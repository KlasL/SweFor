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D:\Users\klluab\Documents\SweFor-donovia\SweFor5\Data\"/>
    </mc:Choice>
  </mc:AlternateContent>
  <xr:revisionPtr revIDLastSave="0" documentId="13_ncr:1_{AB6FCA3F-4BA1-4853-B296-79E92ACEFDFF}" xr6:coauthVersionLast="47" xr6:coauthVersionMax="47" xr10:uidLastSave="{00000000-0000-0000-0000-000000000000}"/>
  <bookViews>
    <workbookView xWindow="-120" yWindow="-120" windowWidth="19320" windowHeight="9930" firstSheet="9" activeTab="16" xr2:uid="{00000000-000D-0000-FFFF-FFFF00000000}"/>
  </bookViews>
  <sheets>
    <sheet name="Import" sheetId="8" r:id="rId1"/>
    <sheet name="Heatingpl" sheetId="7" r:id="rId2"/>
    <sheet name="P&amp;P" sheetId="4" r:id="rId3"/>
    <sheet name="CostAnalysis" sheetId="5" r:id="rId4"/>
    <sheet name="FAOSTAT_data_11-21-2020" sheetId="6" r:id="rId5"/>
    <sheet name="Scenarios" sheetId="9" r:id="rId6"/>
    <sheet name="ScenAssump" sheetId="14" r:id="rId7"/>
    <sheet name="LogFunc" sheetId="11" r:id="rId8"/>
    <sheet name="Elast" sheetId="15" r:id="rId9"/>
    <sheet name="BCCS" sheetId="13" r:id="rId10"/>
    <sheet name="Biofuel" sheetId="16" r:id="rId11"/>
    <sheet name="ElP&amp;P" sheetId="17" r:id="rId12"/>
    <sheet name="DF" sheetId="18" r:id="rId13"/>
    <sheet name="Harvest" sheetId="20" r:id="rId14"/>
    <sheet name="SetAside" sheetId="19" r:id="rId15"/>
    <sheet name="SawMill" sheetId="21" r:id="rId16"/>
    <sheet name="Particle Board" sheetId="22" r:id="rId17"/>
  </sheets>
  <externalReferences>
    <externalReference r:id="rId18"/>
  </externalReferences>
  <definedNames>
    <definedName name="_xlnm._FilterDatabase" localSheetId="4" hidden="1">'FAOSTAT_data_11-21-2020'!$A$1:$P$52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2" l="1"/>
  <c r="C15" i="22"/>
  <c r="C9" i="22"/>
  <c r="C11" i="22"/>
  <c r="C13" i="22" s="1"/>
  <c r="B2" i="22" s="1"/>
  <c r="AD17" i="22"/>
  <c r="AC17" i="22"/>
  <c r="P17" i="22"/>
  <c r="O17" i="22"/>
  <c r="AD16" i="22"/>
  <c r="AC16" i="22"/>
  <c r="AC18" i="22" s="1"/>
  <c r="P16" i="22"/>
  <c r="P18" i="22" s="1"/>
  <c r="O16" i="22"/>
  <c r="O18" i="22" s="1"/>
  <c r="D2" i="22"/>
  <c r="Y13" i="22"/>
  <c r="K13" i="22"/>
  <c r="Y12" i="22"/>
  <c r="K12" i="22"/>
  <c r="Y10" i="22"/>
  <c r="K10" i="22"/>
  <c r="AD9" i="22"/>
  <c r="Y9" i="22"/>
  <c r="P9" i="22"/>
  <c r="K9" i="22"/>
  <c r="C2" i="22"/>
  <c r="Y8" i="22"/>
  <c r="K8" i="22"/>
  <c r="AD6" i="22"/>
  <c r="Y6" i="22"/>
  <c r="P6" i="22"/>
  <c r="K6" i="22"/>
  <c r="K16" i="22" s="1"/>
  <c r="Y5" i="22"/>
  <c r="K5" i="22"/>
  <c r="Y4" i="22"/>
  <c r="Y17" i="22" s="1"/>
  <c r="K4" i="22"/>
  <c r="K17" i="22" s="1"/>
  <c r="Y20" i="22" l="1"/>
  <c r="AD18" i="22"/>
  <c r="K11" i="22"/>
  <c r="K19" i="22" s="1"/>
  <c r="Y7" i="22"/>
  <c r="Y18" i="22" s="1"/>
  <c r="Y21" i="22" s="1"/>
  <c r="K15" i="22"/>
  <c r="Y14" i="22"/>
  <c r="Y11" i="22"/>
  <c r="Y19" i="22" s="1"/>
  <c r="K7" i="22"/>
  <c r="K18" i="22" s="1"/>
  <c r="Y15" i="22"/>
  <c r="K14" i="22"/>
  <c r="K20" i="22" s="1"/>
  <c r="Y16" i="22"/>
  <c r="K21" i="22" l="1"/>
  <c r="O17" i="21" l="1"/>
  <c r="AC17" i="21" l="1"/>
  <c r="AD17" i="21"/>
  <c r="K4" i="21" l="1"/>
  <c r="K5" i="21"/>
  <c r="K6" i="21"/>
  <c r="P6" i="21"/>
  <c r="K8" i="21"/>
  <c r="K9" i="21"/>
  <c r="K16" i="21" s="1"/>
  <c r="P9" i="21"/>
  <c r="K10" i="21"/>
  <c r="K12" i="21"/>
  <c r="K13" i="21"/>
  <c r="O16" i="21"/>
  <c r="O18" i="21" s="1"/>
  <c r="P16" i="21"/>
  <c r="P17" i="21"/>
  <c r="AD16" i="21"/>
  <c r="AC16" i="21"/>
  <c r="Y13" i="21"/>
  <c r="Y12" i="21"/>
  <c r="Y10" i="21"/>
  <c r="AD9" i="21"/>
  <c r="Y9" i="21"/>
  <c r="Y8" i="21"/>
  <c r="AD6" i="21"/>
  <c r="Y6" i="21"/>
  <c r="Y5" i="21"/>
  <c r="Y4" i="21"/>
  <c r="C9" i="21"/>
  <c r="C15" i="21" s="1"/>
  <c r="D2" i="21" s="1"/>
  <c r="C7" i="21"/>
  <c r="K7" i="21" l="1"/>
  <c r="Y15" i="21"/>
  <c r="Y11" i="21"/>
  <c r="Y16" i="21"/>
  <c r="K17" i="21"/>
  <c r="P18" i="21"/>
  <c r="AD18" i="21"/>
  <c r="K18" i="21"/>
  <c r="Y17" i="21"/>
  <c r="Y19" i="21" s="1"/>
  <c r="Y7" i="21"/>
  <c r="Y14" i="21"/>
  <c r="K15" i="21"/>
  <c r="K11" i="21"/>
  <c r="K19" i="21" s="1"/>
  <c r="K14" i="21"/>
  <c r="K20" i="21" s="1"/>
  <c r="AC18" i="21"/>
  <c r="Y18" i="21"/>
  <c r="C13" i="21"/>
  <c r="B2" i="21" s="1"/>
  <c r="C14" i="21"/>
  <c r="C2" i="21" s="1"/>
  <c r="Y20" i="21" l="1"/>
  <c r="K21" i="21"/>
  <c r="Y21" i="21"/>
  <c r="I20" i="14"/>
  <c r="U7" i="5" l="1"/>
  <c r="V7" i="5"/>
  <c r="S10" i="5"/>
  <c r="T10" i="5"/>
  <c r="U10" i="5"/>
  <c r="V10" i="5"/>
  <c r="W10" i="5"/>
  <c r="C18" i="14" l="1"/>
  <c r="D18" i="14"/>
  <c r="E18" i="14"/>
  <c r="F18" i="14"/>
  <c r="G18" i="14"/>
  <c r="H18" i="14"/>
  <c r="B18" i="14"/>
  <c r="C6" i="20" l="1"/>
  <c r="C7" i="20" s="1"/>
  <c r="B8" i="20"/>
  <c r="B9" i="20" s="1"/>
  <c r="C4" i="18" l="1"/>
  <c r="C5" i="18" l="1"/>
  <c r="D5" i="18"/>
  <c r="C6" i="18"/>
  <c r="D6" i="18"/>
  <c r="C7" i="18"/>
  <c r="D7" i="18"/>
  <c r="C8" i="18"/>
  <c r="D8" i="18"/>
  <c r="C9" i="18"/>
  <c r="D9" i="18"/>
  <c r="C10" i="18"/>
  <c r="D10" i="18"/>
  <c r="C11" i="18"/>
  <c r="D11" i="18"/>
  <c r="C12" i="18"/>
  <c r="D12" i="18"/>
  <c r="C13" i="18"/>
  <c r="D13" i="18"/>
  <c r="C14" i="18"/>
  <c r="D14" i="18"/>
  <c r="D4" i="18"/>
  <c r="C21" i="18" l="1"/>
  <c r="C16" i="14" l="1"/>
  <c r="D16" i="14"/>
  <c r="E16" i="14"/>
  <c r="F16" i="14"/>
  <c r="G16" i="14"/>
  <c r="H16" i="14"/>
  <c r="I16" i="14"/>
  <c r="B17" i="14"/>
  <c r="B16" i="14"/>
  <c r="C26" i="14"/>
  <c r="D26" i="14" s="1"/>
  <c r="K12" i="16"/>
  <c r="K21" i="16"/>
  <c r="K30" i="16"/>
  <c r="K31" i="16"/>
  <c r="K32" i="16"/>
  <c r="K3" i="16"/>
  <c r="K38" i="16"/>
  <c r="K37" i="16"/>
  <c r="K36" i="16"/>
  <c r="K35" i="16"/>
  <c r="K34" i="16"/>
  <c r="K33" i="16"/>
  <c r="K29" i="16"/>
  <c r="K28" i="16"/>
  <c r="K27" i="16"/>
  <c r="K26" i="16"/>
  <c r="K25" i="16"/>
  <c r="K24" i="16"/>
  <c r="K23" i="16"/>
  <c r="K22" i="16"/>
  <c r="K20" i="16"/>
  <c r="K19" i="16"/>
  <c r="K18" i="16"/>
  <c r="K17" i="16"/>
  <c r="K16" i="16"/>
  <c r="K15" i="16"/>
  <c r="K14" i="16"/>
  <c r="K13" i="16"/>
  <c r="K11" i="16"/>
  <c r="K10" i="16"/>
  <c r="K9" i="16"/>
  <c r="K8" i="16"/>
  <c r="K7" i="16"/>
  <c r="K6" i="16"/>
  <c r="K5" i="16"/>
  <c r="K4" i="16"/>
  <c r="D17" i="14" l="1"/>
  <c r="E26" i="14"/>
  <c r="C17" i="14"/>
  <c r="F4" i="18"/>
  <c r="F26" i="14" l="1"/>
  <c r="E17" i="14"/>
  <c r="G8" i="18"/>
  <c r="F17" i="14" l="1"/>
  <c r="G26" i="14"/>
  <c r="G4" i="18"/>
  <c r="F5" i="18"/>
  <c r="F6" i="18"/>
  <c r="F7" i="18"/>
  <c r="F8" i="18"/>
  <c r="F9" i="18"/>
  <c r="F10" i="18"/>
  <c r="F11" i="18"/>
  <c r="F12" i="18"/>
  <c r="F13" i="18"/>
  <c r="F14" i="18"/>
  <c r="H26" i="14" l="1"/>
  <c r="G17" i="14"/>
  <c r="B21" i="15"/>
  <c r="B20" i="15"/>
  <c r="B19" i="15"/>
  <c r="B18" i="15"/>
  <c r="B17" i="15"/>
  <c r="B16" i="15"/>
  <c r="B15" i="15"/>
  <c r="B11" i="15"/>
  <c r="I26" i="14" l="1"/>
  <c r="I17" i="14" s="1"/>
  <c r="H17" i="14"/>
  <c r="AD12" i="4"/>
  <c r="AD11" i="4"/>
  <c r="AD9" i="4"/>
  <c r="AE5" i="4"/>
  <c r="AD4" i="4"/>
  <c r="AD3" i="4"/>
  <c r="AD5" i="4" s="1"/>
  <c r="AD15" i="4" l="1"/>
  <c r="K12" i="19"/>
  <c r="K11" i="19"/>
  <c r="K10" i="19"/>
  <c r="K9" i="19"/>
  <c r="T7" i="19"/>
  <c r="W7" i="19" s="1"/>
  <c r="T6" i="19"/>
  <c r="W6" i="19" s="1"/>
  <c r="T5" i="19"/>
  <c r="W5" i="19" s="1"/>
  <c r="S8" i="19"/>
  <c r="R8" i="19"/>
  <c r="Q8" i="19"/>
  <c r="K13" i="19" l="1"/>
  <c r="L12" i="19" s="1"/>
  <c r="T8" i="19"/>
  <c r="U5" i="19" s="1"/>
  <c r="U6" i="19"/>
  <c r="S9" i="19"/>
  <c r="Q9" i="19" l="1"/>
  <c r="U7" i="19"/>
  <c r="L10" i="19"/>
  <c r="L11" i="19"/>
  <c r="L9" i="19"/>
  <c r="R9" i="19"/>
  <c r="J4" i="18"/>
  <c r="R4" i="18" l="1"/>
  <c r="V6" i="18"/>
  <c r="V5" i="18"/>
  <c r="L10" i="18"/>
  <c r="L4" i="18"/>
  <c r="B7" i="9" l="1"/>
  <c r="B8" i="9"/>
  <c r="A21" i="15" l="1"/>
  <c r="A20" i="15"/>
  <c r="A19" i="15"/>
  <c r="A18" i="15"/>
  <c r="A17" i="15"/>
  <c r="A16" i="15"/>
  <c r="A15" i="15"/>
  <c r="A14" i="15"/>
  <c r="A13" i="15"/>
  <c r="A12" i="15"/>
  <c r="A11" i="15"/>
  <c r="A10" i="15"/>
  <c r="A9" i="15"/>
  <c r="A8" i="15"/>
  <c r="A7" i="15"/>
  <c r="A6" i="15"/>
  <c r="A5" i="15"/>
  <c r="A4" i="15"/>
  <c r="A3" i="15"/>
  <c r="A2" i="15"/>
  <c r="B1" i="15"/>
  <c r="A1" i="15"/>
  <c r="J19" i="4" l="1"/>
  <c r="J18" i="4"/>
  <c r="J16" i="4"/>
  <c r="J17" i="4" s="1"/>
  <c r="A43" i="18" l="1"/>
  <c r="A36" i="18" l="1"/>
  <c r="A37" i="18" s="1"/>
  <c r="A31" i="18" l="1"/>
  <c r="A32" i="18" s="1"/>
  <c r="C26" i="18" l="1"/>
  <c r="C27" i="18" s="1"/>
  <c r="B201" i="5" l="1"/>
  <c r="B202" i="5"/>
  <c r="B203" i="5" s="1"/>
  <c r="C200" i="5"/>
  <c r="C199" i="5"/>
  <c r="E200" i="5" l="1"/>
  <c r="E199" i="5"/>
  <c r="G28" i="4"/>
  <c r="G29" i="4"/>
  <c r="G30" i="4"/>
  <c r="G31" i="4"/>
  <c r="G32" i="4"/>
  <c r="G27" i="4"/>
  <c r="E245" i="17" l="1"/>
  <c r="E237" i="17"/>
  <c r="E229" i="17"/>
  <c r="E221" i="17"/>
  <c r="E213" i="17"/>
  <c r="E205" i="17"/>
  <c r="E197" i="17"/>
  <c r="E189" i="17"/>
  <c r="E181" i="17"/>
  <c r="E173" i="17"/>
  <c r="M7" i="17" s="1"/>
  <c r="E165" i="17"/>
  <c r="E157" i="17"/>
  <c r="E149" i="17"/>
  <c r="E141" i="17"/>
  <c r="E133" i="17"/>
  <c r="E125" i="17"/>
  <c r="E117" i="17"/>
  <c r="E109" i="17"/>
  <c r="E101" i="17"/>
  <c r="E93" i="17"/>
  <c r="M4" i="17" s="1"/>
  <c r="E85" i="17"/>
  <c r="E77" i="17"/>
  <c r="E69" i="17"/>
  <c r="E61" i="17"/>
  <c r="E53" i="17"/>
  <c r="E45" i="17"/>
  <c r="E37" i="17"/>
  <c r="M3" i="17" s="1"/>
  <c r="H29" i="4" s="1"/>
  <c r="E29" i="17"/>
  <c r="E21" i="17"/>
  <c r="E13" i="17"/>
  <c r="E5" i="17"/>
  <c r="C245" i="17"/>
  <c r="C237" i="17"/>
  <c r="C229" i="17"/>
  <c r="C221" i="17"/>
  <c r="C213" i="17"/>
  <c r="C205" i="17"/>
  <c r="C197" i="17"/>
  <c r="C189" i="17"/>
  <c r="C181" i="17"/>
  <c r="C173" i="17"/>
  <c r="L7" i="17" s="1"/>
  <c r="C165" i="17"/>
  <c r="C157" i="17"/>
  <c r="C149" i="17"/>
  <c r="C141" i="17"/>
  <c r="C133" i="17"/>
  <c r="C125" i="17"/>
  <c r="C117" i="17"/>
  <c r="C109" i="17"/>
  <c r="C101" i="17"/>
  <c r="C93" i="17"/>
  <c r="C85" i="17"/>
  <c r="C77" i="17"/>
  <c r="C69" i="17"/>
  <c r="C61" i="17"/>
  <c r="C53" i="17"/>
  <c r="C45" i="17"/>
  <c r="C37" i="17"/>
  <c r="L3" i="17" s="1"/>
  <c r="C29" i="17"/>
  <c r="C21" i="17"/>
  <c r="C13" i="17"/>
  <c r="C5" i="17"/>
  <c r="J7" i="17" l="1"/>
  <c r="J2" i="17"/>
  <c r="J5" i="17"/>
  <c r="M5" i="17"/>
  <c r="H27" i="4" s="1"/>
  <c r="J6" i="17"/>
  <c r="M2" i="17"/>
  <c r="L2" i="17"/>
  <c r="L4" i="17"/>
  <c r="J3" i="17"/>
  <c r="J4" i="17"/>
  <c r="K2" i="17"/>
  <c r="K6" i="17"/>
  <c r="L6" i="17"/>
  <c r="K4" i="17"/>
  <c r="K5" i="17"/>
  <c r="L5" i="17"/>
  <c r="M6" i="17"/>
  <c r="K3" i="17"/>
  <c r="K7" i="17"/>
  <c r="C21" i="14" l="1"/>
  <c r="D21" i="14"/>
  <c r="E21" i="14"/>
  <c r="F21" i="14"/>
  <c r="G21" i="14"/>
  <c r="H8" i="9" l="1"/>
  <c r="G8" i="9"/>
  <c r="F8" i="9"/>
  <c r="E8" i="9"/>
  <c r="H7" i="9"/>
  <c r="G7" i="9"/>
  <c r="F7" i="9"/>
  <c r="E7" i="9"/>
  <c r="H6" i="9" l="1"/>
  <c r="G6" i="9"/>
  <c r="F6" i="9"/>
  <c r="E6" i="9"/>
  <c r="H30" i="14"/>
  <c r="F30" i="14"/>
  <c r="E30" i="14"/>
  <c r="D30" i="14"/>
  <c r="B30" i="14"/>
  <c r="B31" i="14" s="1"/>
  <c r="G30" i="14"/>
  <c r="C30" i="14"/>
  <c r="I6" i="9"/>
  <c r="E31" i="14" l="1"/>
  <c r="C31" i="14"/>
  <c r="G31" i="14"/>
  <c r="F31" i="14"/>
  <c r="H31" i="14"/>
  <c r="D31" i="14"/>
  <c r="J6" i="9"/>
  <c r="O7" i="14"/>
  <c r="H5" i="14" s="1"/>
  <c r="I5" i="14" s="1"/>
  <c r="O8" i="14"/>
  <c r="H6" i="14" s="1"/>
  <c r="O9" i="14"/>
  <c r="H7" i="14" s="1"/>
  <c r="I7" i="14" s="1"/>
  <c r="B16" i="9"/>
  <c r="K6" i="9" l="1"/>
  <c r="I6" i="14"/>
  <c r="L6" i="9" l="1"/>
  <c r="E156" i="5"/>
  <c r="E157" i="5" s="1"/>
  <c r="B156" i="5"/>
  <c r="B155" i="5"/>
  <c r="M6" i="9" l="1"/>
  <c r="B153" i="5"/>
  <c r="B8" i="16"/>
  <c r="B9" i="16" s="1"/>
  <c r="B5" i="16"/>
  <c r="B212" i="5" l="1"/>
  <c r="B215" i="5" s="1"/>
  <c r="B216" i="5" s="1"/>
  <c r="B217" i="5" s="1"/>
  <c r="B219" i="5" s="1"/>
  <c r="N6" i="9"/>
  <c r="B157" i="5"/>
  <c r="B158" i="5" s="1"/>
  <c r="B159" i="5" s="1"/>
  <c r="O4" i="5" l="1"/>
  <c r="B218" i="5"/>
  <c r="O3" i="5" s="1"/>
  <c r="O6" i="9"/>
  <c r="D7" i="9"/>
  <c r="I7" i="9"/>
  <c r="D8" i="9"/>
  <c r="I8" i="9"/>
  <c r="C7" i="9"/>
  <c r="C8" i="9"/>
  <c r="J8" i="9" l="1"/>
  <c r="J7" i="9"/>
  <c r="P6" i="9"/>
  <c r="D6" i="9"/>
  <c r="B6" i="9"/>
  <c r="B17" i="9" l="1"/>
  <c r="K8" i="9"/>
  <c r="Q6" i="9"/>
  <c r="K7" i="9"/>
  <c r="C6" i="9"/>
  <c r="H21" i="14"/>
  <c r="B21" i="14"/>
  <c r="G7" i="14"/>
  <c r="G6" i="14"/>
  <c r="G5" i="14"/>
  <c r="D5" i="14"/>
  <c r="D14" i="14"/>
  <c r="C14" i="14"/>
  <c r="C10" i="14"/>
  <c r="D10" i="14"/>
  <c r="C9" i="14"/>
  <c r="C5" i="14"/>
  <c r="E22" i="14" l="1"/>
  <c r="R6" i="9"/>
  <c r="L7" i="9"/>
  <c r="L8" i="9"/>
  <c r="G8" i="14"/>
  <c r="I8" i="14" a="1"/>
  <c r="I8" i="14" s="1"/>
  <c r="H22" i="14"/>
  <c r="C22" i="14"/>
  <c r="B22" i="14"/>
  <c r="G22" i="14"/>
  <c r="F22" i="14"/>
  <c r="D22" i="14"/>
  <c r="H8" i="14" a="1"/>
  <c r="H8" i="14" s="1"/>
  <c r="M7" i="9" l="1"/>
  <c r="M8" i="9"/>
  <c r="S6" i="9"/>
  <c r="I23" i="13"/>
  <c r="G22" i="13"/>
  <c r="N8" i="9" l="1"/>
  <c r="T6" i="9"/>
  <c r="N7" i="9"/>
  <c r="G23" i="13"/>
  <c r="G24" i="13" s="1"/>
  <c r="U6" i="9" l="1"/>
  <c r="O7" i="9"/>
  <c r="O8" i="9"/>
  <c r="I2" i="13"/>
  <c r="I3" i="13"/>
  <c r="I4" i="13"/>
  <c r="I5" i="13"/>
  <c r="I6" i="13"/>
  <c r="I7" i="13"/>
  <c r="I8" i="13"/>
  <c r="I9" i="13"/>
  <c r="I10" i="13"/>
  <c r="I11" i="13"/>
  <c r="I12" i="13"/>
  <c r="I13" i="13"/>
  <c r="I14" i="13"/>
  <c r="I15" i="13"/>
  <c r="I16" i="13"/>
  <c r="I17" i="13"/>
  <c r="I18" i="13"/>
  <c r="I19" i="13"/>
  <c r="I20" i="13"/>
  <c r="I21" i="13"/>
  <c r="H22" i="13"/>
  <c r="I22" i="13" l="1" a="1"/>
  <c r="I22" i="13" s="1"/>
  <c r="I24" i="13" s="1"/>
  <c r="H25" i="13"/>
  <c r="P7" i="9"/>
  <c r="P8" i="9"/>
  <c r="V6" i="9"/>
  <c r="L5" i="4"/>
  <c r="L4" i="4"/>
  <c r="L3" i="4"/>
  <c r="L2" i="4"/>
  <c r="L1" i="4"/>
  <c r="Q8" i="9" l="1"/>
  <c r="W6" i="9"/>
  <c r="Q7" i="9"/>
  <c r="F146" i="5"/>
  <c r="Y9" i="5" s="1"/>
  <c r="Z9" i="5" s="1"/>
  <c r="E146" i="5"/>
  <c r="X9" i="5" s="1"/>
  <c r="F143" i="5"/>
  <c r="F145" i="5" s="1"/>
  <c r="Y7" i="5" s="1"/>
  <c r="Z7" i="5" s="1"/>
  <c r="E143" i="5"/>
  <c r="X6" i="9" l="1"/>
  <c r="R7" i="9"/>
  <c r="R8" i="9"/>
  <c r="D147" i="5"/>
  <c r="F147" i="5" s="1"/>
  <c r="Y8" i="5" s="1"/>
  <c r="Z8" i="5" s="1"/>
  <c r="C147" i="5"/>
  <c r="E147" i="5" s="1"/>
  <c r="X8" i="5" s="1"/>
  <c r="C7" i="5"/>
  <c r="E5" i="5" s="1"/>
  <c r="C13" i="4"/>
  <c r="E10" i="5" l="1"/>
  <c r="S7" i="9"/>
  <c r="S8" i="9"/>
  <c r="Y6" i="9"/>
  <c r="J3" i="5"/>
  <c r="E4" i="5"/>
  <c r="E6" i="5"/>
  <c r="E7" i="5" s="1"/>
  <c r="E3" i="5"/>
  <c r="E11" i="5" l="1"/>
  <c r="T8" i="9"/>
  <c r="Z6" i="9"/>
  <c r="T7" i="9"/>
  <c r="K3" i="5"/>
  <c r="L3" i="5" s="1"/>
  <c r="U7" i="9" l="1"/>
  <c r="U8" i="9"/>
  <c r="V8" i="9" l="1"/>
  <c r="V7" i="9"/>
  <c r="W7" i="9" l="1"/>
  <c r="W8" i="9"/>
  <c r="X8" i="9" l="1"/>
  <c r="X7" i="9"/>
  <c r="Y7" i="9" l="1"/>
  <c r="Y8" i="9"/>
  <c r="Z8" i="9" l="1"/>
  <c r="Z7" i="9"/>
  <c r="J4" i="11" l="1"/>
  <c r="D4" i="11"/>
  <c r="C42" i="11"/>
  <c r="D42" i="11" l="1"/>
  <c r="I42" i="11" s="1"/>
  <c r="C41" i="11"/>
  <c r="C40" i="11" s="1"/>
  <c r="C39" i="11" s="1"/>
  <c r="C38" i="11" s="1"/>
  <c r="C37" i="11" s="1"/>
  <c r="C36" i="11" s="1"/>
  <c r="C43" i="11"/>
  <c r="C35" i="11" l="1"/>
  <c r="D43" i="11"/>
  <c r="I43" i="11" s="1"/>
  <c r="C44" i="11"/>
  <c r="D41" i="11"/>
  <c r="E145" i="5"/>
  <c r="X7" i="5" s="1"/>
  <c r="C145" i="5"/>
  <c r="E4" i="11"/>
  <c r="F4" i="11" s="1"/>
  <c r="B33" i="9"/>
  <c r="B32" i="9"/>
  <c r="B34" i="9"/>
  <c r="B35" i="9"/>
  <c r="C34" i="11" l="1"/>
  <c r="D35" i="11"/>
  <c r="I41" i="11"/>
  <c r="D40" i="11"/>
  <c r="I40" i="11" s="1"/>
  <c r="C45" i="11"/>
  <c r="D44" i="11"/>
  <c r="I44" i="11" s="1"/>
  <c r="G4" i="11"/>
  <c r="H4" i="11" s="1"/>
  <c r="C28" i="9"/>
  <c r="D28" i="9"/>
  <c r="E28" i="9"/>
  <c r="F28" i="9"/>
  <c r="F29" i="9" s="1"/>
  <c r="B28" i="9"/>
  <c r="B36" i="9"/>
  <c r="B27" i="9"/>
  <c r="C29" i="9" l="1"/>
  <c r="E29" i="9"/>
  <c r="D29" i="9"/>
  <c r="I35" i="11"/>
  <c r="F35" i="11"/>
  <c r="G35" i="11" s="1"/>
  <c r="C33" i="11"/>
  <c r="D34" i="11"/>
  <c r="D39" i="11"/>
  <c r="I39" i="11" s="1"/>
  <c r="C46" i="11"/>
  <c r="D45" i="11"/>
  <c r="I45" i="11" s="1"/>
  <c r="F43" i="11"/>
  <c r="G43" i="11" s="1"/>
  <c r="F41" i="11"/>
  <c r="G41" i="11" s="1"/>
  <c r="F42" i="11"/>
  <c r="G42" i="11" s="1"/>
  <c r="F40" i="11"/>
  <c r="G40" i="11" s="1"/>
  <c r="F44" i="11"/>
  <c r="G44" i="11" s="1"/>
  <c r="E27" i="9"/>
  <c r="C9" i="9"/>
  <c r="D9" i="9" s="1"/>
  <c r="C10" i="9"/>
  <c r="D10" i="9" s="1"/>
  <c r="C11" i="9"/>
  <c r="D11" i="9" s="1"/>
  <c r="C12" i="9"/>
  <c r="D12" i="9" s="1"/>
  <c r="C13" i="9"/>
  <c r="D13" i="9" s="1"/>
  <c r="C14" i="9"/>
  <c r="D14" i="9" s="1"/>
  <c r="C15" i="9"/>
  <c r="D15" i="9" s="1"/>
  <c r="C5" i="9"/>
  <c r="E15" i="9" l="1"/>
  <c r="D5" i="9"/>
  <c r="E11" i="9"/>
  <c r="E14" i="9"/>
  <c r="E10" i="9"/>
  <c r="E12" i="9"/>
  <c r="E13" i="9"/>
  <c r="E9" i="9"/>
  <c r="C32" i="11"/>
  <c r="D33" i="11"/>
  <c r="E34" i="11" s="1"/>
  <c r="I34" i="11"/>
  <c r="F34" i="11"/>
  <c r="G34" i="11" s="1"/>
  <c r="H41" i="11"/>
  <c r="H43" i="11"/>
  <c r="H42" i="11"/>
  <c r="C47" i="11"/>
  <c r="D46" i="11"/>
  <c r="F45" i="11"/>
  <c r="G45" i="11" s="1"/>
  <c r="H44" i="11" s="1"/>
  <c r="F39" i="11"/>
  <c r="G39" i="11" s="1"/>
  <c r="H40" i="11" s="1"/>
  <c r="D38" i="11"/>
  <c r="C16" i="9"/>
  <c r="C17" i="9"/>
  <c r="C27" i="9"/>
  <c r="M10" i="5"/>
  <c r="N10" i="5"/>
  <c r="J10" i="5"/>
  <c r="K10" i="5"/>
  <c r="L10" i="5"/>
  <c r="P10" i="5"/>
  <c r="Q10" i="5"/>
  <c r="K7" i="5"/>
  <c r="L7" i="5" s="1"/>
  <c r="P3" i="5"/>
  <c r="B19" i="4"/>
  <c r="C19" i="4" s="1"/>
  <c r="B17" i="4"/>
  <c r="C17" i="4" s="1"/>
  <c r="P4" i="5"/>
  <c r="AL10" i="5"/>
  <c r="F130" i="5"/>
  <c r="C130" i="5"/>
  <c r="B130" i="5"/>
  <c r="F128" i="5"/>
  <c r="C128" i="5"/>
  <c r="B128" i="5"/>
  <c r="G129" i="5"/>
  <c r="C129" i="5" s="1"/>
  <c r="G126" i="5"/>
  <c r="G125" i="5"/>
  <c r="G124" i="5"/>
  <c r="AJ14" i="5"/>
  <c r="AJ13" i="5"/>
  <c r="AJ6" i="5" s="1"/>
  <c r="AJ10" i="5" s="1"/>
  <c r="AL7" i="5"/>
  <c r="AL9" i="5" s="1"/>
  <c r="AK6" i="5"/>
  <c r="AK10" i="5" s="1"/>
  <c r="S5" i="5"/>
  <c r="AO5" i="5" s="1"/>
  <c r="P5" i="5"/>
  <c r="AM5" i="5" s="1"/>
  <c r="F14" i="9" l="1"/>
  <c r="E5" i="9"/>
  <c r="E16" i="9"/>
  <c r="F12" i="9"/>
  <c r="F9" i="9"/>
  <c r="F13" i="9"/>
  <c r="F10" i="9"/>
  <c r="F11" i="9"/>
  <c r="F15" i="9"/>
  <c r="AM4" i="5"/>
  <c r="Q4" i="5"/>
  <c r="AM3" i="5"/>
  <c r="T4" i="5"/>
  <c r="T5" i="5"/>
  <c r="U5" i="5" s="1"/>
  <c r="AQ5" i="5" s="1"/>
  <c r="J4" i="5"/>
  <c r="J5" i="5"/>
  <c r="K5" i="5" s="1"/>
  <c r="L5" i="5" s="1"/>
  <c r="I33" i="11"/>
  <c r="F33" i="11"/>
  <c r="G33" i="11" s="1"/>
  <c r="C31" i="11"/>
  <c r="D32" i="11"/>
  <c r="I38" i="11"/>
  <c r="F38" i="11"/>
  <c r="G38" i="11" s="1"/>
  <c r="I46" i="11"/>
  <c r="F46" i="11"/>
  <c r="G46" i="11" s="1"/>
  <c r="H45" i="11" s="1"/>
  <c r="D37" i="11"/>
  <c r="C48" i="11"/>
  <c r="D47" i="11"/>
  <c r="D16" i="9"/>
  <c r="D17" i="9"/>
  <c r="D27" i="9"/>
  <c r="F27" i="9"/>
  <c r="U4" i="5"/>
  <c r="S4" i="5"/>
  <c r="AP5" i="5"/>
  <c r="B129" i="5"/>
  <c r="F129" i="5"/>
  <c r="AP4" i="5" l="1"/>
  <c r="AQ4" i="5"/>
  <c r="K4" i="5"/>
  <c r="AO4" i="5"/>
  <c r="W4" i="5"/>
  <c r="G9" i="9"/>
  <c r="G13" i="9"/>
  <c r="E17" i="9"/>
  <c r="F5" i="9"/>
  <c r="G11" i="9"/>
  <c r="F16" i="9"/>
  <c r="G15" i="9"/>
  <c r="G10" i="9"/>
  <c r="G12" i="9"/>
  <c r="G14" i="9"/>
  <c r="R4" i="5"/>
  <c r="AN4" i="5"/>
  <c r="H9" i="9"/>
  <c r="AJ3" i="5"/>
  <c r="E33" i="11"/>
  <c r="F32" i="11"/>
  <c r="G32" i="11" s="1"/>
  <c r="I32" i="11"/>
  <c r="D31" i="11"/>
  <c r="E32" i="11" s="1"/>
  <c r="C30" i="11"/>
  <c r="H34" i="11"/>
  <c r="H39" i="11"/>
  <c r="I47" i="11"/>
  <c r="F47" i="11"/>
  <c r="G47" i="11" s="1"/>
  <c r="H46" i="11" s="1"/>
  <c r="C49" i="11"/>
  <c r="D48" i="11"/>
  <c r="I37" i="11"/>
  <c r="F37" i="11"/>
  <c r="G37" i="11" s="1"/>
  <c r="E38" i="11"/>
  <c r="D36" i="11"/>
  <c r="E39" i="11"/>
  <c r="AJ5" i="5"/>
  <c r="AJ4" i="5"/>
  <c r="L4" i="5" l="1"/>
  <c r="V4" i="5"/>
  <c r="AR4" i="5" s="1"/>
  <c r="G16" i="9"/>
  <c r="AS4" i="5"/>
  <c r="H10" i="9"/>
  <c r="H11" i="9"/>
  <c r="H14" i="9"/>
  <c r="H12" i="9"/>
  <c r="H15" i="9"/>
  <c r="F17" i="9"/>
  <c r="G5" i="9"/>
  <c r="H13" i="9"/>
  <c r="AJ8" i="5"/>
  <c r="AK3" i="5"/>
  <c r="E37" i="11"/>
  <c r="E35" i="11"/>
  <c r="C29" i="11"/>
  <c r="D30" i="11"/>
  <c r="H33" i="11"/>
  <c r="I31" i="11"/>
  <c r="F31" i="11"/>
  <c r="G31" i="11" s="1"/>
  <c r="H38" i="11"/>
  <c r="I48" i="11"/>
  <c r="F48" i="11"/>
  <c r="G48" i="11" s="1"/>
  <c r="H47" i="11" s="1"/>
  <c r="C50" i="11"/>
  <c r="C51" i="11" s="1"/>
  <c r="D49" i="11"/>
  <c r="I36" i="11"/>
  <c r="F36" i="11"/>
  <c r="G36" i="11" s="1"/>
  <c r="E40" i="11"/>
  <c r="AJ7" i="5"/>
  <c r="AJ9" i="5" s="1"/>
  <c r="H5" i="9" l="1"/>
  <c r="G17" i="9"/>
  <c r="H16" i="9"/>
  <c r="C52" i="11"/>
  <c r="D51" i="11"/>
  <c r="C28" i="11"/>
  <c r="I30" i="11"/>
  <c r="F30" i="11"/>
  <c r="G30" i="11" s="1"/>
  <c r="D29" i="11"/>
  <c r="E30" i="11" s="1"/>
  <c r="H32" i="11"/>
  <c r="E31" i="11"/>
  <c r="H37" i="11"/>
  <c r="H35" i="11"/>
  <c r="E36" i="11"/>
  <c r="D50" i="11"/>
  <c r="I7" i="11"/>
  <c r="I49" i="11"/>
  <c r="F49" i="11"/>
  <c r="G49" i="11" s="1"/>
  <c r="H36" i="11"/>
  <c r="E41" i="11"/>
  <c r="I11" i="9"/>
  <c r="H17" i="9" l="1"/>
  <c r="I51" i="11"/>
  <c r="F51" i="11"/>
  <c r="G51" i="11" s="1"/>
  <c r="C53" i="11"/>
  <c r="D52" i="11"/>
  <c r="I9" i="9"/>
  <c r="I14" i="9"/>
  <c r="I13" i="9"/>
  <c r="I5" i="9"/>
  <c r="I15" i="9"/>
  <c r="I10" i="9"/>
  <c r="I12" i="9"/>
  <c r="F50" i="11"/>
  <c r="G50" i="11" s="1"/>
  <c r="H50" i="11" s="1"/>
  <c r="I50" i="11"/>
  <c r="E50" i="11"/>
  <c r="C27" i="11"/>
  <c r="D28" i="11"/>
  <c r="E29" i="11" s="1"/>
  <c r="H31" i="11"/>
  <c r="I29" i="11"/>
  <c r="F29" i="11"/>
  <c r="G29" i="11" s="1"/>
  <c r="H49" i="11"/>
  <c r="H48" i="11"/>
  <c r="E42" i="11"/>
  <c r="J11" i="9"/>
  <c r="C54" i="11" l="1"/>
  <c r="D53" i="11"/>
  <c r="E52" i="11" s="1"/>
  <c r="I52" i="11"/>
  <c r="F52" i="11"/>
  <c r="G52" i="11" s="1"/>
  <c r="H51" i="11" s="1"/>
  <c r="E51" i="11"/>
  <c r="I16" i="9"/>
  <c r="J14" i="9"/>
  <c r="J15" i="9"/>
  <c r="J12" i="9"/>
  <c r="J5" i="9"/>
  <c r="I17" i="9"/>
  <c r="J10" i="9"/>
  <c r="J13" i="9"/>
  <c r="J9" i="9"/>
  <c r="I28" i="11"/>
  <c r="F28" i="11"/>
  <c r="G28" i="11" s="1"/>
  <c r="H30" i="11"/>
  <c r="C26" i="11"/>
  <c r="D27" i="11"/>
  <c r="E28" i="11"/>
  <c r="E43" i="11"/>
  <c r="K11" i="9"/>
  <c r="I53" i="11" l="1"/>
  <c r="F53" i="11"/>
  <c r="G53" i="11" s="1"/>
  <c r="C55" i="11"/>
  <c r="D54" i="11"/>
  <c r="J16" i="9"/>
  <c r="K13" i="9"/>
  <c r="K10" i="9"/>
  <c r="K12" i="9"/>
  <c r="K14" i="9"/>
  <c r="K9" i="9"/>
  <c r="J17" i="9"/>
  <c r="K5" i="9"/>
  <c r="K15" i="9"/>
  <c r="I27" i="11"/>
  <c r="F27" i="11"/>
  <c r="G27" i="11" s="1"/>
  <c r="C25" i="11"/>
  <c r="D26" i="11"/>
  <c r="E27" i="11" s="1"/>
  <c r="H29" i="11"/>
  <c r="E44" i="11"/>
  <c r="L11" i="9"/>
  <c r="C56" i="11" l="1"/>
  <c r="D55" i="11"/>
  <c r="E54" i="11" s="1"/>
  <c r="I54" i="11"/>
  <c r="F54" i="11"/>
  <c r="G54" i="11" s="1"/>
  <c r="H53" i="11" s="1"/>
  <c r="E53" i="11"/>
  <c r="K17" i="9"/>
  <c r="K16" i="9"/>
  <c r="L15" i="9"/>
  <c r="L9" i="9"/>
  <c r="L12" i="9"/>
  <c r="L5" i="9"/>
  <c r="L14" i="9"/>
  <c r="L10" i="9"/>
  <c r="L13" i="9"/>
  <c r="H28" i="11"/>
  <c r="C24" i="11"/>
  <c r="D25" i="11"/>
  <c r="I26" i="11"/>
  <c r="F26" i="11"/>
  <c r="G26" i="11" s="1"/>
  <c r="E45" i="11"/>
  <c r="M11" i="9"/>
  <c r="I55" i="11" l="1"/>
  <c r="F55" i="11"/>
  <c r="G55" i="11" s="1"/>
  <c r="C57" i="11"/>
  <c r="D56" i="11"/>
  <c r="M5" i="9"/>
  <c r="M10" i="9"/>
  <c r="M12" i="9"/>
  <c r="M13" i="9"/>
  <c r="L16" i="9"/>
  <c r="M15" i="9"/>
  <c r="M14" i="9"/>
  <c r="L17" i="9"/>
  <c r="M9" i="9"/>
  <c r="H27" i="11"/>
  <c r="C23" i="11"/>
  <c r="D24" i="11"/>
  <c r="E25" i="11" s="1"/>
  <c r="E26" i="11"/>
  <c r="I25" i="11"/>
  <c r="F25" i="11"/>
  <c r="G25" i="11" s="1"/>
  <c r="E46" i="11"/>
  <c r="N11" i="9"/>
  <c r="C58" i="11" l="1"/>
  <c r="D57" i="11"/>
  <c r="E56" i="11" s="1"/>
  <c r="I56" i="11"/>
  <c r="F56" i="11"/>
  <c r="G56" i="11" s="1"/>
  <c r="H55" i="11" s="1"/>
  <c r="E55" i="11"/>
  <c r="M16" i="9"/>
  <c r="N14" i="9"/>
  <c r="M17" i="9"/>
  <c r="N9" i="9"/>
  <c r="N13" i="9"/>
  <c r="N10" i="9"/>
  <c r="N15" i="9"/>
  <c r="N12" i="9"/>
  <c r="N5" i="9"/>
  <c r="C22" i="11"/>
  <c r="D23" i="11"/>
  <c r="E24" i="11" s="1"/>
  <c r="H26" i="11"/>
  <c r="F24" i="11"/>
  <c r="G24" i="11" s="1"/>
  <c r="I24" i="11"/>
  <c r="E47" i="11"/>
  <c r="O11" i="9"/>
  <c r="I57" i="11" l="1"/>
  <c r="F57" i="11"/>
  <c r="G57" i="11" s="1"/>
  <c r="C59" i="11"/>
  <c r="D58" i="11"/>
  <c r="N16" i="9"/>
  <c r="O5" i="9"/>
  <c r="O10" i="9"/>
  <c r="O9" i="9"/>
  <c r="N17" i="9"/>
  <c r="O12" i="9"/>
  <c r="O15" i="9"/>
  <c r="O13" i="9"/>
  <c r="O14" i="9"/>
  <c r="I23" i="11"/>
  <c r="F23" i="11"/>
  <c r="G23" i="11" s="1"/>
  <c r="H25" i="11"/>
  <c r="C21" i="11"/>
  <c r="D22" i="11"/>
  <c r="E23" i="11" s="1"/>
  <c r="E48" i="11"/>
  <c r="P11" i="9"/>
  <c r="D59" i="11" l="1"/>
  <c r="E58" i="11"/>
  <c r="E59" i="11"/>
  <c r="I58" i="11"/>
  <c r="F58" i="11"/>
  <c r="G58" i="11" s="1"/>
  <c r="E57" i="11"/>
  <c r="O17" i="9"/>
  <c r="P14" i="9"/>
  <c r="P15" i="9"/>
  <c r="P10" i="9"/>
  <c r="P5" i="9"/>
  <c r="O16" i="9"/>
  <c r="P13" i="9"/>
  <c r="P12" i="9"/>
  <c r="P9" i="9"/>
  <c r="F22" i="11"/>
  <c r="G22" i="11" s="1"/>
  <c r="I22" i="11"/>
  <c r="H24" i="11"/>
  <c r="C20" i="11"/>
  <c r="D21" i="11"/>
  <c r="E49" i="11"/>
  <c r="Q11" i="9"/>
  <c r="H57" i="11" l="1"/>
  <c r="I59" i="11"/>
  <c r="F59" i="11"/>
  <c r="G59" i="11" s="1"/>
  <c r="H59" i="11" s="1"/>
  <c r="Q13" i="9"/>
  <c r="Q9" i="9"/>
  <c r="Q5" i="9"/>
  <c r="Q15" i="9"/>
  <c r="P17" i="9"/>
  <c r="Q12" i="9"/>
  <c r="P16" i="9"/>
  <c r="Q10" i="9"/>
  <c r="Q14" i="9"/>
  <c r="I21" i="11"/>
  <c r="F21" i="11"/>
  <c r="G21" i="11" s="1"/>
  <c r="E22" i="11"/>
  <c r="C19" i="11"/>
  <c r="D20" i="11"/>
  <c r="E21" i="11"/>
  <c r="H23" i="11"/>
  <c r="R11" i="9"/>
  <c r="Q16" i="9" l="1"/>
  <c r="R5" i="9"/>
  <c r="Q17" i="9"/>
  <c r="R12" i="9"/>
  <c r="R9" i="9"/>
  <c r="R10" i="9"/>
  <c r="R15" i="9"/>
  <c r="R14" i="9"/>
  <c r="R13" i="9"/>
  <c r="C18" i="11"/>
  <c r="D19" i="11"/>
  <c r="E20" i="11" s="1"/>
  <c r="H22" i="11"/>
  <c r="F20" i="11"/>
  <c r="G20" i="11" s="1"/>
  <c r="I20" i="11"/>
  <c r="S11" i="9"/>
  <c r="R16" i="9" l="1"/>
  <c r="S12" i="9"/>
  <c r="S13" i="9"/>
  <c r="R17" i="9"/>
  <c r="S9" i="9"/>
  <c r="S14" i="9"/>
  <c r="S15" i="9"/>
  <c r="S10" i="9"/>
  <c r="S5" i="9"/>
  <c r="H21" i="11"/>
  <c r="F19" i="11"/>
  <c r="G19" i="11" s="1"/>
  <c r="I19" i="11"/>
  <c r="C17" i="11"/>
  <c r="D18" i="11"/>
  <c r="E19" i="11" s="1"/>
  <c r="T11" i="9"/>
  <c r="S16" i="9" l="1"/>
  <c r="S17" i="9"/>
  <c r="T5" i="9"/>
  <c r="T15" i="9"/>
  <c r="T12" i="9"/>
  <c r="T9" i="9"/>
  <c r="T10" i="9"/>
  <c r="T14" i="9"/>
  <c r="T13" i="9"/>
  <c r="H20" i="11"/>
  <c r="I18" i="11"/>
  <c r="F18" i="11"/>
  <c r="G18" i="11" s="1"/>
  <c r="C16" i="11"/>
  <c r="D17" i="11"/>
  <c r="E18" i="11" s="1"/>
  <c r="U11" i="9"/>
  <c r="T16" i="9" l="1"/>
  <c r="T17" i="9"/>
  <c r="U5" i="9"/>
  <c r="U10" i="9"/>
  <c r="U14" i="9"/>
  <c r="U12" i="9"/>
  <c r="U13" i="9"/>
  <c r="U9" i="9"/>
  <c r="U15" i="9"/>
  <c r="I17" i="11"/>
  <c r="F17" i="11"/>
  <c r="G17" i="11" s="1"/>
  <c r="H19" i="11"/>
  <c r="C15" i="11"/>
  <c r="D16" i="11"/>
  <c r="E17" i="11" s="1"/>
  <c r="V11" i="9"/>
  <c r="U16" i="9" l="1"/>
  <c r="W11" i="9"/>
  <c r="V10" i="9"/>
  <c r="U17" i="9"/>
  <c r="V9" i="9"/>
  <c r="V13" i="9"/>
  <c r="V14" i="9"/>
  <c r="V5" i="9"/>
  <c r="V12" i="9"/>
  <c r="V15" i="9"/>
  <c r="H18" i="11"/>
  <c r="I16" i="11"/>
  <c r="F16" i="11"/>
  <c r="G16" i="11" s="1"/>
  <c r="C14" i="11"/>
  <c r="D15" i="11"/>
  <c r="E16" i="11" s="1"/>
  <c r="W15" i="9" l="1"/>
  <c r="W13" i="9"/>
  <c r="W12" i="9"/>
  <c r="W9" i="9"/>
  <c r="X11" i="9"/>
  <c r="W14" i="9"/>
  <c r="W10" i="9"/>
  <c r="W5" i="9"/>
  <c r="V16" i="9"/>
  <c r="V17" i="9"/>
  <c r="F15" i="11"/>
  <c r="G15" i="11" s="1"/>
  <c r="H58" i="11" s="1"/>
  <c r="I15" i="11"/>
  <c r="H17" i="11"/>
  <c r="C13" i="11"/>
  <c r="D14" i="11"/>
  <c r="E15" i="11" s="1"/>
  <c r="D145" i="5"/>
  <c r="B140" i="5"/>
  <c r="B138" i="5"/>
  <c r="C65" i="5"/>
  <c r="C64" i="5" s="1"/>
  <c r="D72" i="5"/>
  <c r="O26" i="8"/>
  <c r="P25" i="8"/>
  <c r="M25" i="8" s="1"/>
  <c r="P24" i="8"/>
  <c r="N24" i="8" s="1"/>
  <c r="M24" i="8" l="1"/>
  <c r="N25" i="8"/>
  <c r="X5" i="9"/>
  <c r="W16" i="9"/>
  <c r="X9" i="9"/>
  <c r="X14" i="9"/>
  <c r="X13" i="9"/>
  <c r="X10" i="9"/>
  <c r="Y11" i="9"/>
  <c r="X12" i="9"/>
  <c r="X15" i="9"/>
  <c r="W17" i="9"/>
  <c r="F14" i="11"/>
  <c r="G14" i="11" s="1"/>
  <c r="I14" i="11"/>
  <c r="C12" i="11"/>
  <c r="D13" i="11"/>
  <c r="E14" i="11" s="1"/>
  <c r="H16" i="11"/>
  <c r="S3" i="5"/>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E13" i="5"/>
  <c r="C67" i="5" s="1"/>
  <c r="E14" i="5"/>
  <c r="C74" i="5"/>
  <c r="C75" i="5"/>
  <c r="C76" i="5"/>
  <c r="C77" i="5"/>
  <c r="C62" i="5"/>
  <c r="C78" i="5"/>
  <c r="C79" i="5"/>
  <c r="C80" i="5"/>
  <c r="C66" i="5"/>
  <c r="C81" i="5"/>
  <c r="C82" i="5"/>
  <c r="C83" i="5"/>
  <c r="C68" i="5"/>
  <c r="C84" i="5"/>
  <c r="C85" i="5"/>
  <c r="C86" i="5"/>
  <c r="C87" i="5"/>
  <c r="C170" i="5"/>
  <c r="D170" i="5" s="1"/>
  <c r="C90" i="5"/>
  <c r="A171" i="5"/>
  <c r="B171" i="5"/>
  <c r="C171" i="5"/>
  <c r="C173" i="5"/>
  <c r="D173" i="5" s="1"/>
  <c r="D174" i="5"/>
  <c r="C175" i="5"/>
  <c r="D175" i="5" s="1"/>
  <c r="C177" i="5"/>
  <c r="D177" i="5" s="1"/>
  <c r="D178" i="5"/>
  <c r="C179" i="5"/>
  <c r="D179" i="5" s="1"/>
  <c r="C181" i="5"/>
  <c r="D181" i="5" s="1"/>
  <c r="D182" i="5"/>
  <c r="C183" i="5"/>
  <c r="D183" i="5" s="1"/>
  <c r="C185" i="5"/>
  <c r="D185" i="5" s="1"/>
  <c r="D186" i="5"/>
  <c r="C187" i="5"/>
  <c r="D187" i="5" s="1"/>
  <c r="C190" i="5"/>
  <c r="D190" i="5" s="1"/>
  <c r="D191" i="5"/>
  <c r="C192" i="5"/>
  <c r="D192" i="5" s="1"/>
  <c r="C194" i="5"/>
  <c r="D194" i="5" s="1"/>
  <c r="D195" i="5"/>
  <c r="C196" i="5"/>
  <c r="D196" i="5" s="1"/>
  <c r="C59" i="5"/>
  <c r="F79" i="5" s="1"/>
  <c r="Y5" i="9" l="1"/>
  <c r="R3" i="5"/>
  <c r="Q3" i="5"/>
  <c r="Y9" i="9"/>
  <c r="X16" i="9"/>
  <c r="Y15" i="9"/>
  <c r="Z11" i="9"/>
  <c r="Y10" i="9"/>
  <c r="Y14" i="9"/>
  <c r="Y13" i="9"/>
  <c r="Y12" i="9"/>
  <c r="X17" i="9"/>
  <c r="Z5" i="9"/>
  <c r="AO3" i="5"/>
  <c r="C11" i="11"/>
  <c r="C10" i="11" s="1"/>
  <c r="D12" i="11"/>
  <c r="E13" i="11" s="1"/>
  <c r="I13" i="11"/>
  <c r="F13" i="11"/>
  <c r="G13" i="11" s="1"/>
  <c r="H15" i="11"/>
  <c r="N4" i="5"/>
  <c r="N3" i="5"/>
  <c r="M3" i="5"/>
  <c r="M4" i="5"/>
  <c r="T3" i="5"/>
  <c r="D193" i="5"/>
  <c r="D171" i="5"/>
  <c r="E171" i="5" s="1"/>
  <c r="D197" i="5"/>
  <c r="D184" i="5"/>
  <c r="D180" i="5"/>
  <c r="D188" i="5"/>
  <c r="F87" i="5"/>
  <c r="F81" i="5"/>
  <c r="F80" i="5"/>
  <c r="D176" i="5"/>
  <c r="AK4" i="5" l="1"/>
  <c r="Z9" i="9"/>
  <c r="C9" i="11"/>
  <c r="D10" i="11"/>
  <c r="Y17" i="9"/>
  <c r="Z14" i="9"/>
  <c r="Z12" i="9"/>
  <c r="Y16" i="9"/>
  <c r="Z13" i="9"/>
  <c r="Z10" i="9"/>
  <c r="Z15" i="9"/>
  <c r="AP3" i="5"/>
  <c r="AN3" i="5"/>
  <c r="H14" i="11"/>
  <c r="H56" i="11"/>
  <c r="I12" i="11"/>
  <c r="F12" i="11"/>
  <c r="G12" i="11" s="1"/>
  <c r="D11" i="11"/>
  <c r="E10" i="11" s="1"/>
  <c r="Q5" i="5"/>
  <c r="R5" i="5" s="1"/>
  <c r="W3" i="5"/>
  <c r="W5" i="5" s="1"/>
  <c r="U3" i="5"/>
  <c r="I10" i="11" l="1"/>
  <c r="F10" i="11"/>
  <c r="G10" i="11" s="1"/>
  <c r="C8" i="11"/>
  <c r="D8" i="11" s="1"/>
  <c r="D9" i="11"/>
  <c r="Z17" i="9"/>
  <c r="Z16" i="9"/>
  <c r="AQ3" i="5"/>
  <c r="AS3" i="5"/>
  <c r="E12" i="11"/>
  <c r="I11" i="11"/>
  <c r="F11" i="11"/>
  <c r="G11" i="11" s="1"/>
  <c r="E11" i="11"/>
  <c r="H13" i="11"/>
  <c r="AK5" i="5"/>
  <c r="AK8" i="5" s="1"/>
  <c r="AN5" i="5"/>
  <c r="V3" i="5"/>
  <c r="I12" i="5" s="1" a="1"/>
  <c r="V5" i="5"/>
  <c r="D2" i="4"/>
  <c r="D3" i="4"/>
  <c r="AM6" i="5" s="1"/>
  <c r="D4" i="4"/>
  <c r="D5" i="4"/>
  <c r="AO6" i="5" s="1"/>
  <c r="D1" i="4"/>
  <c r="R12" i="5" l="1"/>
  <c r="J17" i="5"/>
  <c r="M21" i="5"/>
  <c r="P24" i="5"/>
  <c r="P27" i="5"/>
  <c r="N30" i="5"/>
  <c r="L33" i="5"/>
  <c r="K36" i="5"/>
  <c r="I39" i="5"/>
  <c r="Q41" i="5"/>
  <c r="P44" i="5"/>
  <c r="I13" i="5"/>
  <c r="L17" i="5"/>
  <c r="N21" i="5"/>
  <c r="I25" i="5"/>
  <c r="Q27" i="5"/>
  <c r="O30" i="5"/>
  <c r="N33" i="5"/>
  <c r="L36" i="5"/>
  <c r="J39" i="5"/>
  <c r="J42" i="5"/>
  <c r="I12" i="5"/>
  <c r="I15" i="5"/>
  <c r="L19" i="5"/>
  <c r="M23" i="5"/>
  <c r="K26" i="5"/>
  <c r="I29" i="5"/>
  <c r="R31" i="5"/>
  <c r="P34" i="5"/>
  <c r="N37" i="5"/>
  <c r="N40" i="5"/>
  <c r="L43" i="5"/>
  <c r="R45" i="5"/>
  <c r="J15" i="5"/>
  <c r="M19" i="5"/>
  <c r="N23" i="5"/>
  <c r="L26" i="5"/>
  <c r="L29" i="5"/>
  <c r="J32" i="5"/>
  <c r="R34" i="5"/>
  <c r="Q37" i="5"/>
  <c r="O40" i="5"/>
  <c r="M43" i="5"/>
  <c r="R13" i="5"/>
  <c r="K18" i="5"/>
  <c r="N22" i="5"/>
  <c r="N25" i="5"/>
  <c r="L28" i="5"/>
  <c r="J31" i="5"/>
  <c r="J34" i="5"/>
  <c r="R36" i="5"/>
  <c r="P39" i="5"/>
  <c r="O42" i="5"/>
  <c r="M45" i="5"/>
  <c r="K16" i="5"/>
  <c r="N20" i="5"/>
  <c r="K24" i="5"/>
  <c r="J27" i="5"/>
  <c r="R29" i="5"/>
  <c r="P32" i="5"/>
  <c r="P35" i="5"/>
  <c r="N38" i="5"/>
  <c r="L41" i="5"/>
  <c r="K44" i="5"/>
  <c r="L45" i="5"/>
  <c r="N39" i="5"/>
  <c r="Q33" i="5"/>
  <c r="K28" i="5"/>
  <c r="J22" i="5"/>
  <c r="N13" i="5"/>
  <c r="N41" i="5"/>
  <c r="Q35" i="5"/>
  <c r="J30" i="5"/>
  <c r="N24" i="5"/>
  <c r="O16" i="5"/>
  <c r="L21" i="5"/>
  <c r="I17" i="5"/>
  <c r="P12" i="5"/>
  <c r="N42" i="5"/>
  <c r="K38" i="5"/>
  <c r="R33" i="5"/>
  <c r="P29" i="5"/>
  <c r="M25" i="5"/>
  <c r="J21" i="5"/>
  <c r="R16" i="5"/>
  <c r="O12" i="5"/>
  <c r="K43" i="5"/>
  <c r="I40" i="5"/>
  <c r="Q36" i="5"/>
  <c r="O33" i="5"/>
  <c r="M30" i="5"/>
  <c r="K27" i="5"/>
  <c r="I24" i="5"/>
  <c r="Q20" i="5"/>
  <c r="O17" i="5"/>
  <c r="M14" i="5"/>
  <c r="N44" i="5"/>
  <c r="R38" i="5"/>
  <c r="J33" i="5"/>
  <c r="M27" i="5"/>
  <c r="I21" i="5"/>
  <c r="N12" i="5"/>
  <c r="P40" i="5"/>
  <c r="J35" i="5"/>
  <c r="M29" i="5"/>
  <c r="P23" i="5"/>
  <c r="R44" i="5"/>
  <c r="L20" i="5"/>
  <c r="R26" i="5"/>
  <c r="O32" i="5"/>
  <c r="L38" i="5"/>
  <c r="R43" i="5"/>
  <c r="L18" i="5"/>
  <c r="P25" i="5"/>
  <c r="M31" i="5"/>
  <c r="I37" i="5"/>
  <c r="P42" i="5"/>
  <c r="L42" i="5"/>
  <c r="I31" i="5"/>
  <c r="Q17" i="5"/>
  <c r="O38" i="5"/>
  <c r="L27" i="5"/>
  <c r="L12" i="5"/>
  <c r="R14" i="5"/>
  <c r="L40" i="5"/>
  <c r="Q31" i="5"/>
  <c r="L23" i="5"/>
  <c r="P14" i="5"/>
  <c r="O41" i="5"/>
  <c r="K35" i="5"/>
  <c r="Q28" i="5"/>
  <c r="M22" i="5"/>
  <c r="I16" i="5"/>
  <c r="P41" i="5"/>
  <c r="L30" i="5"/>
  <c r="P16" i="5"/>
  <c r="R37" i="5"/>
  <c r="O26" i="5"/>
  <c r="N15" i="5"/>
  <c r="O34" i="5"/>
  <c r="J23" i="5"/>
  <c r="K42" i="5"/>
  <c r="R30" i="5"/>
  <c r="P17" i="5"/>
  <c r="P19" i="5"/>
  <c r="Q13" i="5"/>
  <c r="R41" i="5"/>
  <c r="O36" i="5"/>
  <c r="P30" i="5"/>
  <c r="R24" i="5"/>
  <c r="N19" i="5"/>
  <c r="P13" i="5"/>
  <c r="Q42" i="5"/>
  <c r="Q38" i="5"/>
  <c r="M34" i="5"/>
  <c r="I30" i="5"/>
  <c r="I26" i="5"/>
  <c r="O21" i="5"/>
  <c r="K17" i="5"/>
  <c r="K13" i="5"/>
  <c r="J38" i="5"/>
  <c r="P26" i="5"/>
  <c r="Q45" i="5"/>
  <c r="L34" i="5"/>
  <c r="I23" i="5"/>
  <c r="Q21" i="5"/>
  <c r="R15" i="5"/>
  <c r="J44" i="5"/>
  <c r="P38" i="5"/>
  <c r="R32" i="5"/>
  <c r="I27" i="5"/>
  <c r="P21" i="5"/>
  <c r="Q15" i="5"/>
  <c r="M44" i="5"/>
  <c r="M40" i="5"/>
  <c r="I36" i="5"/>
  <c r="O31" i="5"/>
  <c r="O27" i="5"/>
  <c r="K23" i="5"/>
  <c r="Q18" i="5"/>
  <c r="Q14" i="5"/>
  <c r="M37" i="5"/>
  <c r="I45" i="5"/>
  <c r="R21" i="5"/>
  <c r="M15" i="5"/>
  <c r="P37" i="5"/>
  <c r="N26" i="5"/>
  <c r="L15" i="5"/>
  <c r="O39" i="5"/>
  <c r="K31" i="5"/>
  <c r="Q22" i="5"/>
  <c r="J16" i="5"/>
  <c r="J24" i="5"/>
  <c r="Q29" i="5"/>
  <c r="M35" i="5"/>
  <c r="J41" i="5"/>
  <c r="J14" i="5"/>
  <c r="O22" i="5"/>
  <c r="N28" i="5"/>
  <c r="K34" i="5"/>
  <c r="R39" i="5"/>
  <c r="N45" i="5"/>
  <c r="P36" i="5"/>
  <c r="L25" i="5"/>
  <c r="L44" i="5"/>
  <c r="I33" i="5"/>
  <c r="R20" i="5"/>
  <c r="J19" i="5"/>
  <c r="O44" i="5"/>
  <c r="J36" i="5"/>
  <c r="N27" i="5"/>
  <c r="I19" i="5"/>
  <c r="Q44" i="5"/>
  <c r="M38" i="5"/>
  <c r="I32" i="5"/>
  <c r="O25" i="5"/>
  <c r="K19" i="5"/>
  <c r="Q12" i="5"/>
  <c r="R35" i="5"/>
  <c r="O24" i="5"/>
  <c r="P43" i="5"/>
  <c r="K32" i="5"/>
  <c r="Q19" i="5"/>
  <c r="K40" i="5"/>
  <c r="R28" i="5"/>
  <c r="O14" i="5"/>
  <c r="N36" i="5"/>
  <c r="J25" i="5"/>
  <c r="L22" i="5"/>
  <c r="N16" i="5"/>
  <c r="J45" i="5"/>
  <c r="L39" i="5"/>
  <c r="M33" i="5"/>
  <c r="J28" i="5"/>
  <c r="K22" i="5"/>
  <c r="L16" i="5"/>
  <c r="K45" i="5"/>
  <c r="Q40" i="5"/>
  <c r="M36" i="5"/>
  <c r="M32" i="5"/>
  <c r="I28" i="5"/>
  <c r="O23" i="5"/>
  <c r="O19" i="5"/>
  <c r="K15" i="5"/>
  <c r="Q43" i="5"/>
  <c r="N32" i="5"/>
  <c r="R19" i="5"/>
  <c r="P28" i="5"/>
  <c r="O18" i="5"/>
  <c r="M41" i="5"/>
  <c r="K30" i="5"/>
  <c r="N18" i="5"/>
  <c r="M42" i="5"/>
  <c r="I34" i="5"/>
  <c r="K25" i="5"/>
  <c r="Q16" i="5"/>
  <c r="J26" i="5"/>
  <c r="P20" i="5"/>
  <c r="L32" i="5"/>
  <c r="I44" i="5"/>
  <c r="Q26" i="5"/>
  <c r="I14" i="5"/>
  <c r="R23" i="5"/>
  <c r="N31" i="5"/>
  <c r="K20" i="5"/>
  <c r="I43" i="5"/>
  <c r="L31" i="5"/>
  <c r="J20" i="5"/>
  <c r="O43" i="5"/>
  <c r="Q34" i="5"/>
  <c r="M26" i="5"/>
  <c r="I18" i="5"/>
  <c r="J43" i="5"/>
  <c r="R18" i="5"/>
  <c r="R27" i="5"/>
  <c r="J18" i="5"/>
  <c r="R40" i="5"/>
  <c r="J29" i="5"/>
  <c r="R17" i="5"/>
  <c r="I42" i="5"/>
  <c r="K33" i="5"/>
  <c r="Q24" i="5"/>
  <c r="M16" i="5"/>
  <c r="N29" i="5"/>
  <c r="L37" i="5"/>
  <c r="R22" i="5"/>
  <c r="P45" i="5"/>
  <c r="N34" i="5"/>
  <c r="P22" i="5"/>
  <c r="O45" i="5"/>
  <c r="K37" i="5"/>
  <c r="M28" i="5"/>
  <c r="I20" i="5"/>
  <c r="J40" i="5"/>
  <c r="N14" i="5"/>
  <c r="L13" i="5"/>
  <c r="N35" i="5"/>
  <c r="L24" i="5"/>
  <c r="J13" i="5"/>
  <c r="I38" i="5"/>
  <c r="O29" i="5"/>
  <c r="K21" i="5"/>
  <c r="M12" i="5"/>
  <c r="P33" i="5"/>
  <c r="N43" i="5"/>
  <c r="O20" i="5"/>
  <c r="O35" i="5"/>
  <c r="M18" i="5"/>
  <c r="L35" i="5"/>
  <c r="R42" i="5"/>
  <c r="P18" i="5"/>
  <c r="L14" i="5"/>
  <c r="J37" i="5"/>
  <c r="R25" i="5"/>
  <c r="K14" i="5"/>
  <c r="K39" i="5"/>
  <c r="Q30" i="5"/>
  <c r="I22" i="5"/>
  <c r="O13" i="5"/>
  <c r="P31" i="5"/>
  <c r="M39" i="5"/>
  <c r="M13" i="5"/>
  <c r="K12" i="5"/>
  <c r="I35" i="5"/>
  <c r="Q23" i="5"/>
  <c r="J12" i="5"/>
  <c r="O37" i="5"/>
  <c r="K29" i="5"/>
  <c r="M20" i="5"/>
  <c r="I41" i="5"/>
  <c r="P15" i="5"/>
  <c r="Q25" i="5"/>
  <c r="N17" i="5"/>
  <c r="Q39" i="5"/>
  <c r="O28" i="5"/>
  <c r="M17" i="5"/>
  <c r="K41" i="5"/>
  <c r="Q32" i="5"/>
  <c r="M24" i="5"/>
  <c r="O15" i="5"/>
  <c r="E8" i="11"/>
  <c r="I8" i="11"/>
  <c r="F8" i="11"/>
  <c r="G8" i="11" s="1"/>
  <c r="I9" i="11"/>
  <c r="F9" i="11"/>
  <c r="G9" i="11" s="1"/>
  <c r="E9" i="11"/>
  <c r="AQ6" i="5"/>
  <c r="AQ7" i="5" s="1"/>
  <c r="AQ9" i="5" s="1"/>
  <c r="AM8" i="5"/>
  <c r="AM10" i="5"/>
  <c r="AP6" i="5"/>
  <c r="AM7" i="5"/>
  <c r="AM9" i="5" s="1"/>
  <c r="AR6" i="5"/>
  <c r="AR10" i="5" s="1"/>
  <c r="AN6" i="5"/>
  <c r="AN7" i="5" s="1"/>
  <c r="AN9" i="5" s="1"/>
  <c r="AO10" i="5"/>
  <c r="AO8" i="5"/>
  <c r="AO7" i="5"/>
  <c r="AO9" i="5" s="1"/>
  <c r="AS5" i="5"/>
  <c r="AR3" i="5"/>
  <c r="H12" i="11"/>
  <c r="H10" i="11"/>
  <c r="H54" i="11"/>
  <c r="H11" i="11"/>
  <c r="AR5" i="5"/>
  <c r="AK7" i="5"/>
  <c r="AK9" i="5" s="1"/>
  <c r="H8" i="11" l="1"/>
  <c r="H52" i="11"/>
  <c r="H9" i="11"/>
  <c r="AR7" i="5"/>
  <c r="AR9" i="5" s="1"/>
  <c r="AS6" i="5"/>
  <c r="AS8" i="5" s="1"/>
  <c r="AN10" i="5"/>
  <c r="AP10" i="5"/>
  <c r="AP8" i="5"/>
  <c r="AP7" i="5"/>
  <c r="AP9" i="5" s="1"/>
  <c r="AN8" i="5"/>
  <c r="AR8" i="5"/>
  <c r="AQ10" i="5"/>
  <c r="AQ8" i="5"/>
  <c r="AS10" i="5" l="1"/>
  <c r="AS7" i="5"/>
  <c r="AS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I7" authorId="0" shapeId="0" xr:uid="{00000000-0006-0000-0200-000001000000}">
      <text>
        <r>
          <rPr>
            <b/>
            <sz val="9"/>
            <color indexed="81"/>
            <rFont val="Tahoma"/>
            <family val="2"/>
          </rPr>
          <t>Ola Eriksson:</t>
        </r>
        <r>
          <rPr>
            <sz val="9"/>
            <color indexed="81"/>
            <rFont val="Tahoma"/>
            <family val="2"/>
          </rPr>
          <t xml:space="preserve">
Ek, M., Gellerstedt, G. Henriksson, G (2009) Pulping Chemistry and  Technology: Pulping Chemistry and Technology Volume 2. De Gruyter</t>
        </r>
      </text>
    </comment>
    <comment ref="A8" authorId="0" shapeId="0" xr:uid="{00000000-0006-0000-0200-000002000000}">
      <text>
        <r>
          <rPr>
            <b/>
            <sz val="9"/>
            <color indexed="81"/>
            <rFont val="Tahoma"/>
            <family val="2"/>
          </rPr>
          <t>Ola Eriksson:</t>
        </r>
        <r>
          <rPr>
            <sz val="9"/>
            <color indexed="81"/>
            <rFont val="Tahoma"/>
            <family val="2"/>
          </rPr>
          <t xml:space="preserve">
https://www.diva-portal.org/smash/get/diva2:913831/FULLTEXT01.pdf
From:
Wiberg, R. and Forslund, M. (2012): Energiförbrukning i massa- och pappersindustrin
2011, ÅF-Industry on behalf of the Swedish Forest Industries Federation, Stockholm,
Sweden, 2012.
W</t>
        </r>
      </text>
    </comment>
    <comment ref="A11" authorId="0" shapeId="0" xr:uid="{00000000-0006-0000-0200-000003000000}">
      <text>
        <r>
          <rPr>
            <b/>
            <sz val="9"/>
            <color indexed="81"/>
            <rFont val="Tahoma"/>
            <family val="2"/>
          </rPr>
          <t>Ola Eriksson:</t>
        </r>
        <r>
          <rPr>
            <sz val="9"/>
            <color indexed="81"/>
            <rFont val="Tahoma"/>
            <family val="2"/>
          </rPr>
          <t xml:space="preserve">
Kristin Onarheim, Stanley Santos, Petteri Kangas, Ville Hankalin,
Performance and cost of CCS in the pulp and paper industry part 2: Economic feasibility of amine-based post-combustion CO2 capture,
International Journal of Greenhouse Gas Control,
Volume 66,
2017,
Pages 60-75,
ISSN 1750-5836,
https://doi.org/10.1016/j.ijggc.2017.09.010.
(http://www.sciencedirect.com/science/article/pii/S1750583617303766)</t>
        </r>
      </text>
    </comment>
    <comment ref="A22" authorId="0" shapeId="0" xr:uid="{00000000-0006-0000-0200-000004000000}">
      <text>
        <r>
          <rPr>
            <b/>
            <sz val="9"/>
            <color indexed="81"/>
            <rFont val="Tahoma"/>
            <family val="2"/>
          </rPr>
          <t>Sathre et al. 2017. Climate effects of electricity production fuelled by coal, forest slash and municipal solid waste with and without carbon capture. Energy 122 ( 711-723)</t>
        </r>
      </text>
    </comment>
    <comment ref="A25" authorId="0" shapeId="0" xr:uid="{00000000-0006-0000-0200-000005000000}">
      <text>
        <r>
          <rPr>
            <b/>
            <sz val="9"/>
            <color indexed="81"/>
            <rFont val="Tahoma"/>
            <family val="2"/>
          </rPr>
          <t>Ola Eriksson:</t>
        </r>
        <r>
          <rPr>
            <sz val="9"/>
            <color indexed="81"/>
            <rFont val="Tahoma"/>
            <family val="2"/>
          </rPr>
          <t xml:space="preserve">
ETSAP, I. (2015). Pulp and Paper Industry. Technology Brief.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A3" authorId="0" shapeId="0" xr:uid="{00000000-0006-0000-0300-000001000000}">
      <text>
        <r>
          <rPr>
            <b/>
            <sz val="9"/>
            <color indexed="81"/>
            <rFont val="Tahoma"/>
            <family val="2"/>
          </rPr>
          <t>Ola Eriksson:</t>
        </r>
        <r>
          <rPr>
            <sz val="9"/>
            <color indexed="81"/>
            <rFont val="Tahoma"/>
            <family val="2"/>
          </rPr>
          <t xml:space="preserve">
https://www.ei.se/Documents/Publikationer/rapporter_och_pm/Rapporter 2011/EI_R2011_08.pdf</t>
        </r>
      </text>
    </comment>
    <comment ref="A8" authorId="0" shapeId="0" xr:uid="{00000000-0006-0000-0300-000002000000}">
      <text>
        <r>
          <rPr>
            <b/>
            <sz val="9"/>
            <color indexed="81"/>
            <rFont val="Tahoma"/>
            <family val="2"/>
          </rPr>
          <t>Ola Eriksson:</t>
        </r>
        <r>
          <rPr>
            <sz val="9"/>
            <color indexed="81"/>
            <rFont val="Tahoma"/>
            <family val="2"/>
          </rPr>
          <t xml:space="preserve">
Trømborg E, Sjølie HK. 2011. Data applied in the forest sector models NorFor and NTMIII (No.17), INA report. Departament of Ecology and Natural Resource Management, Norwegian University of Life Sciences, Ås, Norway [Internet]. Ås, Norway. http://www.umb.no/statisk/ina/publikasjoner/fagrapport/if17.</t>
        </r>
      </text>
    </comment>
    <comment ref="A12" authorId="0" shapeId="0" xr:uid="{00000000-0006-0000-0300-000003000000}">
      <text>
        <r>
          <rPr>
            <b/>
            <sz val="9"/>
            <color indexed="81"/>
            <rFont val="Tahoma"/>
            <family val="2"/>
          </rPr>
          <t>Ola Eriksson:</t>
        </r>
        <r>
          <rPr>
            <sz val="9"/>
            <color indexed="81"/>
            <rFont val="Tahoma"/>
            <family val="2"/>
          </rPr>
          <t xml:space="preserve">
Dimitris mejl</t>
        </r>
      </text>
    </comment>
    <comment ref="A13" authorId="0" shapeId="0" xr:uid="{00000000-0006-0000-0300-000004000000}">
      <text>
        <r>
          <rPr>
            <b/>
            <sz val="9"/>
            <color indexed="81"/>
            <rFont val="Tahoma"/>
            <family val="2"/>
          </rPr>
          <t>Ola Eriksson:</t>
        </r>
        <r>
          <rPr>
            <sz val="9"/>
            <color indexed="81"/>
            <rFont val="Tahoma"/>
            <family val="2"/>
          </rPr>
          <t xml:space="preserve">
https://www.ei.se/Documents/Publikationer/rapporter_och_pm/Rapporter 2011/EI_R2011_08.pdf</t>
        </r>
      </text>
    </comment>
    <comment ref="A57" authorId="0" shapeId="0" xr:uid="{00000000-0006-0000-0300-000005000000}">
      <text>
        <r>
          <rPr>
            <b/>
            <sz val="9"/>
            <color indexed="81"/>
            <rFont val="Tahoma"/>
            <family val="2"/>
          </rPr>
          <t>Ola Eriksson:</t>
        </r>
        <r>
          <rPr>
            <sz val="9"/>
            <color indexed="81"/>
            <rFont val="Tahoma"/>
            <family val="2"/>
          </rPr>
          <t xml:space="preserve">
SCB lönestatistik</t>
        </r>
      </text>
    </comment>
    <comment ref="A58" authorId="0" shapeId="0" xr:uid="{00000000-0006-0000-0300-000006000000}">
      <text>
        <r>
          <rPr>
            <b/>
            <sz val="9"/>
            <color indexed="81"/>
            <rFont val="Tahoma"/>
            <family val="2"/>
          </rPr>
          <t>Ola Eriksson:</t>
        </r>
        <r>
          <rPr>
            <sz val="9"/>
            <color indexed="81"/>
            <rFont val="Tahoma"/>
            <family val="2"/>
          </rPr>
          <t xml:space="preserve">
http://www.umb.no/statisk/ina/publikasjoner/fagrapport/if17</t>
        </r>
      </text>
    </comment>
    <comment ref="A61" authorId="0" shapeId="0" xr:uid="{00000000-0006-0000-0300-000007000000}">
      <text>
        <r>
          <rPr>
            <b/>
            <sz val="9"/>
            <color indexed="81"/>
            <rFont val="Tahoma"/>
            <family val="2"/>
          </rPr>
          <t>Ola Eriksson:</t>
        </r>
        <r>
          <rPr>
            <sz val="9"/>
            <color indexed="81"/>
            <rFont val="Tahoma"/>
            <family val="2"/>
          </rPr>
          <t xml:space="preserve">
https://www.diva-portal.org/smash/get/diva2:913831/FULLTEXT01.pdf
From:
Wiberg, R. and Forslund, M. (2012): Energiförbrukning i massa- och pappersindustrin
2011, ÅF-Industry on behalf of the Swedish Forest Industries Federation, Stockholm,
Sweden, 2012.
W</t>
        </r>
      </text>
    </comment>
    <comment ref="A63" authorId="0" shapeId="0" xr:uid="{00000000-0006-0000-0300-000008000000}">
      <text>
        <r>
          <rPr>
            <b/>
            <sz val="9"/>
            <color indexed="81"/>
            <rFont val="Tahoma"/>
            <family val="2"/>
          </rPr>
          <t>Ola Eriksson:</t>
        </r>
        <r>
          <rPr>
            <sz val="9"/>
            <color indexed="81"/>
            <rFont val="Tahoma"/>
            <family val="2"/>
          </rPr>
          <t xml:space="preserve">
http://www.diva-portal.org/smash/get/diva2:1236653/FULLTEXT01.pdf</t>
        </r>
      </text>
    </comment>
    <comment ref="A67" authorId="0" shapeId="0" xr:uid="{00000000-0006-0000-0300-000009000000}">
      <text>
        <r>
          <rPr>
            <b/>
            <sz val="9"/>
            <color indexed="81"/>
            <rFont val="Tahoma"/>
            <family val="2"/>
          </rPr>
          <t>Ola Eriksson:</t>
        </r>
        <r>
          <rPr>
            <sz val="9"/>
            <color indexed="81"/>
            <rFont val="Tahoma"/>
            <family val="2"/>
          </rPr>
          <t xml:space="preserve">
Guess</t>
        </r>
      </text>
    </comment>
    <comment ref="A68" authorId="0" shapeId="0" xr:uid="{00000000-0006-0000-0300-00000A000000}">
      <text>
        <r>
          <rPr>
            <b/>
            <sz val="9"/>
            <color indexed="81"/>
            <rFont val="Tahoma"/>
            <family val="2"/>
          </rPr>
          <t>Ola Eriksson:</t>
        </r>
        <r>
          <rPr>
            <sz val="9"/>
            <color indexed="81"/>
            <rFont val="Tahoma"/>
            <family val="2"/>
          </rPr>
          <t xml:space="preserve">
https://www.sca.com/sv/om-oss/Detta-ar-sca/vara-verksamheter/ostrands-massafabrik/</t>
        </r>
      </text>
    </comment>
    <comment ref="A69" authorId="0" shapeId="0" xr:uid="{00000000-0006-0000-0300-00000B000000}">
      <text>
        <r>
          <rPr>
            <b/>
            <sz val="9"/>
            <color indexed="81"/>
            <rFont val="Tahoma"/>
            <family val="2"/>
          </rPr>
          <t>Ola Eriksson:</t>
        </r>
        <r>
          <rPr>
            <sz val="9"/>
            <color indexed="81"/>
            <rFont val="Tahoma"/>
            <family val="2"/>
          </rPr>
          <t xml:space="preserve">
Configuration 2A-6 in Onarheim, et al., 2017.
</t>
        </r>
      </text>
    </comment>
    <comment ref="A71" authorId="0" shapeId="0" xr:uid="{00000000-0006-0000-0300-00000C000000}">
      <text>
        <r>
          <rPr>
            <b/>
            <sz val="9"/>
            <color indexed="81"/>
            <rFont val="Tahoma"/>
            <family val="2"/>
          </rPr>
          <t>Ola Eriksson:</t>
        </r>
        <r>
          <rPr>
            <sz val="9"/>
            <color indexed="81"/>
            <rFont val="Tahoma"/>
            <family val="2"/>
          </rPr>
          <t xml:space="preserve">
http://www.umb.no/statisk/ina/publikasjoner/fagrapport/if17</t>
        </r>
      </text>
    </comment>
    <comment ref="A93" authorId="0" shapeId="0" xr:uid="{00000000-0006-0000-0300-00000D000000}">
      <text>
        <r>
          <rPr>
            <b/>
            <sz val="9"/>
            <color indexed="81"/>
            <rFont val="Tahoma"/>
            <family val="2"/>
          </rPr>
          <t>Ola Eriksson:</t>
        </r>
        <r>
          <rPr>
            <sz val="9"/>
            <color indexed="81"/>
            <rFont val="Tahoma"/>
            <family val="2"/>
          </rPr>
          <t xml:space="preserve">
Systems aspects on new energy technologies in the pulp and paper industry
Holmberg, Jonas M
Mid Sweden University, Faculty of Science, Technology and Media, Department of Engineering, Physics and Mathematics.
Gustavsson, Leif
Mid Sweden University, Faculty of Science, Technology and Media, Department of Engineering, Physics and Mathematics.
Responsible organisation
Mid Sweden University
2007 (English)
In: Proceedings. 3rd International Green Energy Conference IGEC-III June 18 - 20, 2007 Västerås, Sweden, 2007
https://www.diva-portal.org/smash/record.jsf?pid=diva2%3A29252&amp;dswid=6054</t>
        </r>
      </text>
    </comment>
    <comment ref="A132" authorId="0" shapeId="0" xr:uid="{00000000-0006-0000-0300-00000E000000}">
      <text>
        <r>
          <rPr>
            <b/>
            <sz val="9"/>
            <color indexed="81"/>
            <rFont val="Tahoma"/>
            <family val="2"/>
          </rPr>
          <t>Ola Eriksson:</t>
        </r>
        <r>
          <rPr>
            <sz val="9"/>
            <color indexed="81"/>
            <rFont val="Tahoma"/>
            <family val="2"/>
          </rPr>
          <t xml:space="preserve">
Kristin Onarheim, Stanley Santos, Petteri Kangas, Ville Hankalin,
Performance and cost of CCS in the pulp and paper industry part 2: Economic feasibility of amine-based post-combustion CO2 capture,
International Journal of Greenhouse Gas Control,
Volume 66,
2017,
Pages 60-75,
ISSN 1750-5836,
https://doi.org/10.1016/j.ijggc.2017.09.010.
(http://www.sciencedirect.com/science/article/pii/S1750583617303766)</t>
        </r>
      </text>
    </comment>
    <comment ref="B150" authorId="0" shapeId="0" xr:uid="{00000000-0006-0000-0300-00000F000000}">
      <text>
        <r>
          <rPr>
            <b/>
            <sz val="9"/>
            <color indexed="81"/>
            <rFont val="Tahoma"/>
            <family val="2"/>
          </rPr>
          <t>Ola Eriksson:</t>
        </r>
        <r>
          <rPr>
            <sz val="9"/>
            <color indexed="81"/>
            <rFont val="Tahoma"/>
            <family val="2"/>
          </rPr>
          <t xml:space="preserve">
Brown, A. (n.d.). Advanced Biofuels – Potential for Cost Reduction. 88. </t>
        </r>
      </text>
    </comment>
    <comment ref="C150" authorId="0" shapeId="0" xr:uid="{00000000-0006-0000-0300-000010000000}">
      <text>
        <r>
          <rPr>
            <b/>
            <sz val="9"/>
            <color indexed="81"/>
            <rFont val="Tahoma"/>
            <family val="2"/>
          </rPr>
          <t>Ola Eriksson:</t>
        </r>
        <r>
          <rPr>
            <sz val="9"/>
            <color indexed="81"/>
            <rFont val="Tahoma"/>
            <family val="2"/>
          </rPr>
          <t xml:space="preserve">
Elliott, D. C., Biller, P., Ross, A. B., Schmidt, A. J., &amp; Jones, S. B. (2015). Hydrothermal liquefaction of biomass: developments from batch to continuous process. Bioresource technology, 178, 147-156.</t>
        </r>
      </text>
    </comment>
    <comment ref="B151" authorId="0" shapeId="0" xr:uid="{00000000-0006-0000-0300-000011000000}">
      <text>
        <r>
          <rPr>
            <b/>
            <sz val="9"/>
            <color indexed="81"/>
            <rFont val="Tahoma"/>
            <family val="2"/>
          </rPr>
          <t>Ola Eriksson:</t>
        </r>
        <r>
          <rPr>
            <sz val="9"/>
            <color indexed="81"/>
            <rFont val="Tahoma"/>
            <family val="2"/>
          </rPr>
          <t xml:space="preserve">
Brown, A. (n.d.). Advanced Biofuels – Potential for Cost Reduction. 88. </t>
        </r>
      </text>
    </comment>
    <comment ref="B152" authorId="0" shapeId="0" xr:uid="{00000000-0006-0000-0300-000012000000}">
      <text>
        <r>
          <rPr>
            <b/>
            <sz val="9"/>
            <color indexed="81"/>
            <rFont val="Tahoma"/>
            <family val="2"/>
          </rPr>
          <t>Ola Eriksson:</t>
        </r>
        <r>
          <rPr>
            <sz val="9"/>
            <color indexed="81"/>
            <rFont val="Tahoma"/>
            <family val="2"/>
          </rPr>
          <t xml:space="preserve">
Brown, A. (n.d.). Advanced Biofuels – Potential for Cost Reduction. 88. </t>
        </r>
      </text>
    </comment>
    <comment ref="B154" authorId="0" shapeId="0" xr:uid="{00000000-0006-0000-0300-000013000000}">
      <text>
        <r>
          <rPr>
            <b/>
            <sz val="9"/>
            <color indexed="81"/>
            <rFont val="Tahoma"/>
            <family val="2"/>
          </rPr>
          <t>Ola Eriksson:</t>
        </r>
        <r>
          <rPr>
            <sz val="9"/>
            <color indexed="81"/>
            <rFont val="Tahoma"/>
            <family val="2"/>
          </rPr>
          <t xml:space="preserve">
Brown, A. (n.d.). Advanced Biofuels – Potential for Cost Reduction. 88. </t>
        </r>
      </text>
    </comment>
    <comment ref="F155" authorId="0" shapeId="0" xr:uid="{00000000-0006-0000-0300-000014000000}">
      <text>
        <r>
          <rPr>
            <b/>
            <sz val="9"/>
            <color indexed="81"/>
            <rFont val="Tahoma"/>
            <family val="2"/>
          </rPr>
          <t>Ola Eriksson:</t>
        </r>
        <r>
          <rPr>
            <sz val="9"/>
            <color indexed="81"/>
            <rFont val="Tahoma"/>
            <family val="2"/>
          </rPr>
          <t xml:space="preserve">
Holmgren: Investment cost estimates for gasification-based biofuel production systems (IVL report)</t>
        </r>
      </text>
    </comment>
    <comment ref="A161" authorId="0" shapeId="0" xr:uid="{00000000-0006-0000-0300-000015000000}">
      <text>
        <r>
          <rPr>
            <b/>
            <sz val="9"/>
            <color indexed="81"/>
            <rFont val="Tahoma"/>
            <family val="2"/>
          </rPr>
          <t>Ola Eriksson:</t>
        </r>
        <r>
          <rPr>
            <sz val="9"/>
            <color indexed="81"/>
            <rFont val="Tahoma"/>
            <family val="2"/>
          </rPr>
          <t xml:space="preserve">
Logging residues from regeneration fellings for biofuel production–a GIS-based availability analysis in Finland</t>
        </r>
      </text>
    </comment>
    <comment ref="A199" authorId="0" shapeId="0" xr:uid="{00000000-0006-0000-0300-000016000000}">
      <text>
        <r>
          <rPr>
            <b/>
            <sz val="9"/>
            <color indexed="81"/>
            <rFont val="Tahoma"/>
            <family val="2"/>
          </rPr>
          <t>Ola Eriksson:</t>
        </r>
        <r>
          <rPr>
            <sz val="9"/>
            <color indexed="81"/>
            <rFont val="Tahoma"/>
            <family val="2"/>
          </rPr>
          <t xml:space="preserve">
Athanassiadis, D. (2000). Energy consumption and exhaust emissions in mechanized timber harvesting operations in Sweden. Science of the Total Environment, 255(1-3), 135-143.</t>
        </r>
      </text>
    </comment>
    <comment ref="A200" authorId="0" shapeId="0" xr:uid="{00000000-0006-0000-0300-000017000000}">
      <text>
        <r>
          <rPr>
            <b/>
            <sz val="9"/>
            <color indexed="81"/>
            <rFont val="Tahoma"/>
            <family val="2"/>
          </rPr>
          <t>Ola Eriksson:</t>
        </r>
        <r>
          <rPr>
            <sz val="9"/>
            <color indexed="81"/>
            <rFont val="Tahoma"/>
            <family val="2"/>
          </rPr>
          <t xml:space="preserve">
Costs and CO2 benefits of recovering, refining and transporting logging residues for fossil fuel replacement</t>
        </r>
      </text>
    </comment>
    <comment ref="A209" authorId="0" shapeId="0" xr:uid="{00000000-0006-0000-0300-000018000000}">
      <text>
        <r>
          <rPr>
            <b/>
            <sz val="9"/>
            <color indexed="81"/>
            <rFont val="Tahoma"/>
            <family val="2"/>
          </rPr>
          <t>Ola Eriksson:</t>
        </r>
        <r>
          <rPr>
            <sz val="9"/>
            <color indexed="81"/>
            <rFont val="Tahoma"/>
            <family val="2"/>
          </rPr>
          <t xml:space="preserve">
DROP-IN THE TANK OR A NEW TANK?
Comparison of costs and carbon footprint
EM and f3
PUBLICATION FDOS 17:2021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L1" authorId="0" shapeId="0" xr:uid="{00000000-0006-0000-0600-000001000000}">
      <text>
        <r>
          <rPr>
            <b/>
            <sz val="9"/>
            <color indexed="81"/>
            <rFont val="Tahoma"/>
            <family val="2"/>
          </rPr>
          <t>Ola Eriksson:</t>
        </r>
        <r>
          <rPr>
            <sz val="9"/>
            <color indexed="81"/>
            <rFont val="Tahoma"/>
            <family val="2"/>
          </rPr>
          <t xml:space="preserve">
UN (2011). The European forest sector outlook study II. Geneva Timber and Forest Study Paper no. 28, UNECE/FAO, Geneva, Switzerland, pp. 111.</t>
        </r>
      </text>
    </comment>
    <comment ref="F2" authorId="0" shapeId="0" xr:uid="{00000000-0006-0000-0600-000002000000}">
      <text>
        <r>
          <rPr>
            <b/>
            <sz val="9"/>
            <color indexed="81"/>
            <rFont val="Tahoma"/>
            <family val="2"/>
          </rPr>
          <t>Ola Eriksson:</t>
        </r>
        <r>
          <rPr>
            <sz val="9"/>
            <color indexed="81"/>
            <rFont val="Tahoma"/>
            <family val="2"/>
          </rPr>
          <t xml:space="preserve">
UN (2011). The European forest sector outlook study II. Geneva Timber and Forest Study Paper no. 28, UNECE/FAO, Geneva, Switzerland, pp. 111.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B1" authorId="0" shapeId="0" xr:uid="{00000000-0006-0000-0800-000001000000}">
      <text>
        <r>
          <rPr>
            <b/>
            <sz val="9"/>
            <color indexed="81"/>
            <rFont val="Tahoma"/>
            <family val="2"/>
          </rPr>
          <t>Ola Eriksson:</t>
        </r>
        <r>
          <rPr>
            <sz val="9"/>
            <color indexed="81"/>
            <rFont val="Tahoma"/>
            <family val="2"/>
          </rPr>
          <t xml:space="preserve">
Referenciies - se document on data.
If e &gt; 0 then there is a fixed constraint on the output volume of the factor</t>
        </r>
      </text>
    </comment>
    <comment ref="B17" authorId="0" shapeId="0" xr:uid="{00000000-0006-0000-0800-000002000000}">
      <text>
        <r>
          <rPr>
            <b/>
            <sz val="9"/>
            <color indexed="81"/>
            <rFont val="Tahoma"/>
            <family val="2"/>
          </rPr>
          <t>Ola Eriksson:</t>
        </r>
        <r>
          <rPr>
            <sz val="9"/>
            <color indexed="81"/>
            <rFont val="Tahoma"/>
            <family val="2"/>
          </rPr>
          <t xml:space="preserve">
Estimating supply and demand elasticities of dissolving pulp, lignocellulose-based chemical derivatives and textile fibres in an emerging forest-based bioeconomy
Type  Journal Article
Author  Franziska Schier
Author  Christian Morland
Author  Matthias Dieter
Author  Holger Weimar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A29" authorId="0" shapeId="0" xr:uid="{00000000-0006-0000-0900-000001000000}">
      <text>
        <r>
          <rPr>
            <b/>
            <sz val="9"/>
            <color indexed="81"/>
            <rFont val="Tahoma"/>
            <family val="2"/>
          </rPr>
          <t>Ola Eriksson:</t>
        </r>
        <r>
          <rPr>
            <sz val="9"/>
            <color indexed="81"/>
            <rFont val="Tahoma"/>
            <family val="2"/>
          </rPr>
          <t xml:space="preserve">
de Jong, S., Hoefnagels, R., Wetterlund, E., Pettersson, K., Faaij, A., &amp; Junginger, M. (2017). Cost optimization of biofuel production – The impact of scale, integration, transport and supply chain configurations. Applied Energy, 195, 1055–1070. https://doi.org/10.1016/j.apenergy.2017.03.109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A1" authorId="0" shapeId="0" xr:uid="{00000000-0006-0000-0A00-000001000000}">
      <text>
        <r>
          <rPr>
            <b/>
            <sz val="9"/>
            <color indexed="81"/>
            <rFont val="Tahoma"/>
            <family val="2"/>
          </rPr>
          <t>Ola Eriksson:</t>
        </r>
        <r>
          <rPr>
            <sz val="9"/>
            <color indexed="81"/>
            <rFont val="Tahoma"/>
            <family val="2"/>
          </rPr>
          <t xml:space="preserve">
de Jong, S., Hoefnagels, R., Wetterlund, E., Pettersson, K., Faaij, A., &amp; Junginger, M. (2017). Cost optimization of biofuel production – The impact of scale, integration, transport and supply chain configurations. Applied Energy, 195, 1055–1070. https://doi.org/10.1016/j.apenergy.2017.03.109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N1" authorId="0" shapeId="0" xr:uid="{00000000-0006-0000-0C00-000001000000}">
      <text>
        <r>
          <rPr>
            <b/>
            <sz val="9"/>
            <color indexed="81"/>
            <rFont val="Tahoma"/>
            <family val="2"/>
          </rPr>
          <t>Ola Eriksson:</t>
        </r>
        <r>
          <rPr>
            <sz val="9"/>
            <color indexed="81"/>
            <rFont val="Tahoma"/>
            <family val="2"/>
          </rPr>
          <t xml:space="preserve">
Standarvärden för forest mgm artikel</t>
        </r>
      </text>
    </comment>
    <comment ref="B8" authorId="0" shapeId="0" xr:uid="{00000000-0006-0000-0C00-000002000000}">
      <text>
        <r>
          <rPr>
            <b/>
            <sz val="9"/>
            <color indexed="81"/>
            <rFont val="Tahoma"/>
            <family val="2"/>
          </rPr>
          <t>Ola Eriksson:</t>
        </r>
        <r>
          <rPr>
            <sz val="9"/>
            <color indexed="81"/>
            <rFont val="Tahoma"/>
            <family val="2"/>
          </rPr>
          <t xml:space="preserve">
Linnea Rosenda, Tabell 9</t>
        </r>
      </text>
    </comment>
    <comment ref="A30" authorId="0" shapeId="0" xr:uid="{00000000-0006-0000-0C00-000003000000}">
      <text>
        <r>
          <rPr>
            <b/>
            <sz val="9"/>
            <color indexed="81"/>
            <rFont val="Tahoma"/>
            <family val="2"/>
          </rPr>
          <t>Ola Eriksson: http://www.energimyndigheten.se/fornybart/hallbarhetskriterier/hallbarhetslagen/fragor-och-svar/vaxthusgasberakning/</t>
        </r>
        <r>
          <rPr>
            <sz val="9"/>
            <color indexed="81"/>
            <rFont val="Tahoma"/>
            <family val="2"/>
          </rPr>
          <t xml:space="preserve">
13,1 g CO2e/MJ / 47 g CO2e/kWh. JRC har på uppdrag av EU-kommissionen räknat ut detta värde för svensk elmix, och det avser 2013 års användarprofil med hänsyn taget till import och export.</t>
        </r>
      </text>
    </comment>
    <comment ref="A34" authorId="0" shapeId="0" xr:uid="{00000000-0006-0000-0C00-000004000000}">
      <text>
        <r>
          <rPr>
            <b/>
            <sz val="9"/>
            <color indexed="81"/>
            <rFont val="Tahoma"/>
            <family val="2"/>
          </rPr>
          <t>Ola Eriksson:</t>
        </r>
        <r>
          <rPr>
            <sz val="9"/>
            <color indexed="81"/>
            <rFont val="Tahoma"/>
            <family val="2"/>
          </rPr>
          <t xml:space="preserve">
EM: Byggnaders
klimatpåverkan,
timme för timme</t>
        </r>
      </text>
    </comment>
    <comment ref="A35" authorId="0" shapeId="0" xr:uid="{00000000-0006-0000-0C00-000005000000}">
      <text>
        <r>
          <rPr>
            <b/>
            <sz val="9"/>
            <color indexed="81"/>
            <rFont val="Tahoma"/>
            <family val="2"/>
          </rPr>
          <t>Ola Eriksson: http://www.energimyndigheten.se/fornybart/hallbarhetskriterier/hallbarhetslagen/fragor-och-svar/vaxthusgasberakning/</t>
        </r>
        <r>
          <rPr>
            <sz val="9"/>
            <color indexed="81"/>
            <rFont val="Tahoma"/>
            <family val="2"/>
          </rPr>
          <t xml:space="preserve">
13,1 g CO2e/MJ / 47 g CO2e/kWh. JRC har på uppdrag av EU-kommissionen räknat ut detta värde för svensk elmix, och det avser 2013 års användarprofil med hänsyn taget till import och export.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I2" authorId="0" shapeId="0" xr:uid="{00000000-0006-0000-0F00-000001000000}">
      <text>
        <r>
          <rPr>
            <b/>
            <sz val="9"/>
            <color indexed="81"/>
            <rFont val="Tahoma"/>
            <family val="2"/>
          </rPr>
          <t>Ola Eriksson:</t>
        </r>
        <r>
          <rPr>
            <sz val="9"/>
            <color indexed="81"/>
            <rFont val="Tahoma"/>
            <family val="2"/>
          </rPr>
          <t xml:space="preserve">
TABLE 4.14; 2006 IPCC Guidelines for National Greenhouse Gas Inventories; Chapter 4: Forest Land 
; https://www.ipcc-nggip.iges.or.jp/public/2006gl/pdf/4_Volume4/V4_04_Ch4_Forest_Land.pdf</t>
        </r>
      </text>
    </comment>
    <comment ref="W2" authorId="0" shapeId="0" xr:uid="{00000000-0006-0000-0F00-000002000000}">
      <text>
        <r>
          <rPr>
            <b/>
            <sz val="9"/>
            <color indexed="81"/>
            <rFont val="Tahoma"/>
            <family val="2"/>
          </rPr>
          <t>Ola Eriksson:</t>
        </r>
        <r>
          <rPr>
            <sz val="9"/>
            <color indexed="81"/>
            <rFont val="Tahoma"/>
            <family val="2"/>
          </rPr>
          <t xml:space="preserve">
TABLE 4.14; 2006 IPCC Guidelines for National Greenhouse Gas Inventories; Chapter 4: Forest Land 
; https://www.ipcc-nggip.iges.or.jp/public/2006gl/pdf/4_Volume4/V4_04_Ch4_Forest_Land.pdf</t>
        </r>
      </text>
    </comment>
    <comment ref="A6" authorId="0" shapeId="0" xr:uid="{00000000-0006-0000-0F00-000003000000}">
      <text>
        <r>
          <rPr>
            <b/>
            <sz val="9"/>
            <color indexed="81"/>
            <rFont val="Tahoma"/>
            <family val="2"/>
          </rPr>
          <t>Ola Eriksson:</t>
        </r>
        <r>
          <rPr>
            <sz val="9"/>
            <color indexed="81"/>
            <rFont val="Tahoma"/>
            <family val="2"/>
          </rPr>
          <t xml:space="preserve">
https://stud.epsilon.slu.se/11299/</t>
        </r>
      </text>
    </comment>
    <comment ref="I7" authorId="0" shapeId="0" xr:uid="{00000000-0006-0000-0F00-000004000000}">
      <text>
        <r>
          <rPr>
            <b/>
            <sz val="9"/>
            <color indexed="81"/>
            <rFont val="Tahoma"/>
            <family val="2"/>
          </rPr>
          <t>Ola Eriksson:</t>
        </r>
        <r>
          <rPr>
            <sz val="9"/>
            <color indexed="81"/>
            <rFont val="Tahoma"/>
            <family val="2"/>
          </rPr>
          <t xml:space="preserve">
Skogsstyrelsen RAPPORT 2020/7</t>
        </r>
      </text>
    </comment>
    <comment ref="W7" authorId="0" shapeId="0" xr:uid="{00000000-0006-0000-0F00-000005000000}">
      <text>
        <r>
          <rPr>
            <b/>
            <sz val="9"/>
            <color indexed="81"/>
            <rFont val="Tahoma"/>
            <family val="2"/>
          </rPr>
          <t>Ola Eriksson:</t>
        </r>
        <r>
          <rPr>
            <sz val="9"/>
            <color indexed="81"/>
            <rFont val="Tahoma"/>
            <family val="2"/>
          </rPr>
          <t xml:space="preserve">
Skogsstyrelsen RAPPORT 2020/7</t>
        </r>
      </text>
    </comment>
    <comment ref="A10" authorId="0" shapeId="0" xr:uid="{00000000-0006-0000-0F00-000006000000}">
      <text>
        <r>
          <rPr>
            <b/>
            <sz val="9"/>
            <color indexed="81"/>
            <rFont val="Tahoma"/>
            <family val="2"/>
          </rPr>
          <t>Ola Eriksson:</t>
        </r>
        <r>
          <rPr>
            <sz val="9"/>
            <color indexed="81"/>
            <rFont val="Tahoma"/>
            <family val="2"/>
          </rPr>
          <t xml:space="preserve">
Trømborg E, Sjølie HK. 2011. Data applied in the forest sector models NorFor and NTMIII (No.17), INA report. Departament of Ecology and Natural Resource Management, Norwegian University of Life Sciences, Ås, Norway [Internet]. Ås, Norway. http://www.umb.no/statisk/ina/publikasjoner/fagrapport/if17.</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Ola Eriksson</author>
  </authors>
  <commentList>
    <comment ref="I2" authorId="0" shapeId="0" xr:uid="{22B4E4ED-1906-4DE5-B015-DF278F88B3CA}">
      <text>
        <r>
          <rPr>
            <b/>
            <sz val="9"/>
            <color indexed="81"/>
            <rFont val="Tahoma"/>
            <family val="2"/>
          </rPr>
          <t>Ola Eriksson:</t>
        </r>
        <r>
          <rPr>
            <sz val="9"/>
            <color indexed="81"/>
            <rFont val="Tahoma"/>
            <family val="2"/>
          </rPr>
          <t xml:space="preserve">
TABLE 4.14; 2006 IPCC Guidelines for National Greenhouse Gas Inventories; Chapter 4: Forest Land 
; https://www.ipcc-nggip.iges.or.jp/public/2006gl/pdf/4_Volume4/V4_04_Ch4_Forest_Land.pdf</t>
        </r>
      </text>
    </comment>
    <comment ref="W2" authorId="0" shapeId="0" xr:uid="{7B192445-91BF-4964-A047-7E56425B49FD}">
      <text>
        <r>
          <rPr>
            <b/>
            <sz val="9"/>
            <color indexed="81"/>
            <rFont val="Tahoma"/>
            <family val="2"/>
          </rPr>
          <t>Ola Eriksson:</t>
        </r>
        <r>
          <rPr>
            <sz val="9"/>
            <color indexed="81"/>
            <rFont val="Tahoma"/>
            <family val="2"/>
          </rPr>
          <t xml:space="preserve">
TABLE 4.14; 2006 IPCC Guidelines for National Greenhouse Gas Inventories; Chapter 4: Forest Land 
; https://www.ipcc-nggip.iges.or.jp/public/2006gl/pdf/4_Volume4/V4_04_Ch4_Forest_Land.pdf</t>
        </r>
      </text>
    </comment>
    <comment ref="I7" authorId="0" shapeId="0" xr:uid="{FEA90FC9-B2ED-4FD8-AE6B-F1366A357610}">
      <text>
        <r>
          <rPr>
            <b/>
            <sz val="9"/>
            <color indexed="81"/>
            <rFont val="Tahoma"/>
            <family val="2"/>
          </rPr>
          <t>Ola Eriksson:</t>
        </r>
        <r>
          <rPr>
            <sz val="9"/>
            <color indexed="81"/>
            <rFont val="Tahoma"/>
            <family val="2"/>
          </rPr>
          <t xml:space="preserve">
Skogsstyrelsen RAPPORT 2020/7</t>
        </r>
      </text>
    </comment>
    <comment ref="W7" authorId="0" shapeId="0" xr:uid="{048AD020-83D9-4AF6-AB43-2855A54A382D}">
      <text>
        <r>
          <rPr>
            <b/>
            <sz val="9"/>
            <color indexed="81"/>
            <rFont val="Tahoma"/>
            <family val="2"/>
          </rPr>
          <t>Ola Eriksson:</t>
        </r>
        <r>
          <rPr>
            <sz val="9"/>
            <color indexed="81"/>
            <rFont val="Tahoma"/>
            <family val="2"/>
          </rPr>
          <t xml:space="preserve">
Skogsstyrelsen RAPPORT 2020/7</t>
        </r>
      </text>
    </comment>
    <comment ref="A10" authorId="0" shapeId="0" xr:uid="{12574ED9-B127-4DA2-8660-4934D17D687C}">
      <text>
        <r>
          <rPr>
            <b/>
            <sz val="9"/>
            <color indexed="81"/>
            <rFont val="Tahoma"/>
            <family val="2"/>
          </rPr>
          <t>Ola Eriksson:</t>
        </r>
        <r>
          <rPr>
            <sz val="9"/>
            <color indexed="81"/>
            <rFont val="Tahoma"/>
            <family val="2"/>
          </rPr>
          <t xml:space="preserve">
Trømborg E, Sjølie HK. 2011. Data applied in the forest sector models NorFor and NTMIII (No.17), INA report. Departament of Ecology and Natural Resource Management, Norwegian University of Life Sciences, Ås, Norway [Internet]. Ås, Norway. http://www.umb.no/statisk/ina/publikasjoner/fagrapport/if17.</t>
        </r>
      </text>
    </comment>
  </commentList>
</comments>
</file>

<file path=xl/sharedStrings.xml><?xml version="1.0" encoding="utf-8"?>
<sst xmlns="http://schemas.openxmlformats.org/spreadsheetml/2006/main" count="2155" uniqueCount="854">
  <si>
    <t>m3fub</t>
  </si>
  <si>
    <t>Sulfat</t>
  </si>
  <si>
    <t>Sulfit</t>
  </si>
  <si>
    <t>Mekanisk</t>
  </si>
  <si>
    <t>Halvkemisk</t>
  </si>
  <si>
    <t>Åtgångstal</t>
  </si>
  <si>
    <t>Gran</t>
  </si>
  <si>
    <t>Löv</t>
  </si>
  <si>
    <t>Dissolving</t>
  </si>
  <si>
    <t>Tall</t>
  </si>
  <si>
    <t>Biometria</t>
  </si>
  <si>
    <t>Summa</t>
  </si>
  <si>
    <t>Sawnwood</t>
  </si>
  <si>
    <t>Transport</t>
  </si>
  <si>
    <t>Crushing</t>
  </si>
  <si>
    <t>S2</t>
  </si>
  <si>
    <t>Forw</t>
  </si>
  <si>
    <t>S1</t>
  </si>
  <si>
    <t>Stump</t>
  </si>
  <si>
    <t>Chipping</t>
  </si>
  <si>
    <t>S4</t>
  </si>
  <si>
    <t>S3</t>
  </si>
  <si>
    <t>MWh/ton</t>
  </si>
  <si>
    <t>Employees</t>
  </si>
  <si>
    <t>Production</t>
  </si>
  <si>
    <t>Capacity</t>
  </si>
  <si>
    <t>Mill</t>
  </si>
  <si>
    <t>Dimitris et al. Regional GIS-based…</t>
  </si>
  <si>
    <t>GROT</t>
  </si>
  <si>
    <t>Incl.crushing and inflation corrected</t>
  </si>
  <si>
    <t>--&gt; Maintenance of 100%</t>
  </si>
  <si>
    <t>% of investm.</t>
  </si>
  <si>
    <t>Maintenance</t>
  </si>
  <si>
    <t>Kostnad</t>
  </si>
  <si>
    <t>Distance</t>
  </si>
  <si>
    <t>Variabel</t>
  </si>
  <si>
    <t>Fixed</t>
  </si>
  <si>
    <t>/5 years</t>
  </si>
  <si>
    <t>Depreciation rate</t>
  </si>
  <si>
    <t>App. B i FF artikel</t>
  </si>
  <si>
    <t>Tim/mav</t>
  </si>
  <si>
    <t>SEK/t</t>
  </si>
  <si>
    <t>Sulphite and dissolving pulp</t>
  </si>
  <si>
    <t>Ref.</t>
  </si>
  <si>
    <t>Transport costs/tTS</t>
  </si>
  <si>
    <t>Other_papers_and_boards</t>
  </si>
  <si>
    <t>Vägtransport km</t>
  </si>
  <si>
    <t>Liner‐board</t>
  </si>
  <si>
    <t>Kraft mill  - selling</t>
  </si>
  <si>
    <t>Terrängtransport m</t>
  </si>
  <si>
    <t>Coated_paper</t>
  </si>
  <si>
    <t>Östrand - försäljning el</t>
  </si>
  <si>
    <t>Uncoated_paper</t>
  </si>
  <si>
    <t>SEK/MWh</t>
  </si>
  <si>
    <t>Price per MWh for industry</t>
  </si>
  <si>
    <t>Newsprint</t>
  </si>
  <si>
    <t>MWh/bdt</t>
  </si>
  <si>
    <t>Chem pulp energy, bought</t>
  </si>
  <si>
    <t>CTMP</t>
  </si>
  <si>
    <t>ton</t>
  </si>
  <si>
    <t>Total produktion</t>
  </si>
  <si>
    <t>Chem.pulp</t>
  </si>
  <si>
    <t>MWh</t>
  </si>
  <si>
    <t>Köpt kraft totalt</t>
  </si>
  <si>
    <t>Mech.Pulp</t>
  </si>
  <si>
    <t>Köpt kraft all P&amp;P</t>
  </si>
  <si>
    <t>Particle‐boards</t>
  </si>
  <si>
    <t>Mechanical pulp, energy</t>
  </si>
  <si>
    <t>Fiber‐boards</t>
  </si>
  <si>
    <t>Non‐coniferous_sawn‐wood</t>
  </si>
  <si>
    <t>Pine_sawn‐wood</t>
  </si>
  <si>
    <t>SEK/ton</t>
  </si>
  <si>
    <t>--&gt; Labor cost pulp &amp; paper</t>
  </si>
  <si>
    <t>Spruce_sawn‐wood</t>
  </si>
  <si>
    <t>manyer/ton</t>
  </si>
  <si>
    <t>Other</t>
  </si>
  <si>
    <t>Labor</t>
  </si>
  <si>
    <t>Energy</t>
  </si>
  <si>
    <t>2010M01</t>
  </si>
  <si>
    <t>KPI</t>
  </si>
  <si>
    <t>kr/tim</t>
  </si>
  <si>
    <t>P&amp;P, timlön</t>
  </si>
  <si>
    <t>2019M12</t>
  </si>
  <si>
    <t>Sågverk, timlön</t>
  </si>
  <si>
    <t>SEK(1.2 from NOK + KPI )</t>
  </si>
  <si>
    <t>NOK/ton(m3)</t>
  </si>
  <si>
    <t>Pulp and paper</t>
  </si>
  <si>
    <t>öre/kWh</t>
  </si>
  <si>
    <t>Price, heatin</t>
  </si>
  <si>
    <t>Price, CHP</t>
  </si>
  <si>
    <t>kr/tonTS</t>
  </si>
  <si>
    <t>Flisning GROT</t>
  </si>
  <si>
    <t>Investering enl. kalkyl CHP</t>
  </si>
  <si>
    <t>kr/MWh</t>
  </si>
  <si>
    <t>--&gt; investment cost, heating</t>
  </si>
  <si>
    <t>SEK/sv</t>
  </si>
  <si>
    <t>Avskrivning 2006</t>
  </si>
  <si>
    <t>%</t>
  </si>
  <si>
    <t>Calcluating rate</t>
  </si>
  <si>
    <t>y</t>
  </si>
  <si>
    <t>Depreciation time</t>
  </si>
  <si>
    <t>Operating cost, heating</t>
  </si>
  <si>
    <t>Capital cost, heating</t>
  </si>
  <si>
    <t>SCB</t>
  </si>
  <si>
    <t>SEK/h</t>
  </si>
  <si>
    <t>Lön</t>
  </si>
  <si>
    <t>Operating cost, CHP</t>
  </si>
  <si>
    <t>&lt;-- projektion by Lindholm</t>
  </si>
  <si>
    <t>Capital cost, CHP</t>
  </si>
  <si>
    <t>Sawmills</t>
  </si>
  <si>
    <t>Heating plants</t>
  </si>
  <si>
    <t>Official data</t>
  </si>
  <si>
    <t>1000 US$</t>
  </si>
  <si>
    <t>Export</t>
  </si>
  <si>
    <t>Other papers mainly for packaging</t>
  </si>
  <si>
    <t>Export Value</t>
  </si>
  <si>
    <t>Sweden</t>
  </si>
  <si>
    <t>Forestry Production and Trade</t>
  </si>
  <si>
    <t>FO</t>
  </si>
  <si>
    <t>tonnes</t>
  </si>
  <si>
    <t>Tot Q</t>
  </si>
  <si>
    <t>Export Quantity</t>
  </si>
  <si>
    <t>Price (9 SEK/USD)</t>
  </si>
  <si>
    <t>Wrapping papers</t>
  </si>
  <si>
    <t>Cartonboard</t>
  </si>
  <si>
    <t>Household and sanitary papers</t>
  </si>
  <si>
    <t>FAO data based on imputation methodology</t>
  </si>
  <si>
    <t>Im</t>
  </si>
  <si>
    <t>Other paper and paperboard</t>
  </si>
  <si>
    <t>PaChem</t>
  </si>
  <si>
    <t>Printing and writing papers, coated</t>
  </si>
  <si>
    <t>FAO estimate</t>
  </si>
  <si>
    <t>F</t>
  </si>
  <si>
    <t>Printing and writing papers, uncoated, wood free</t>
  </si>
  <si>
    <t>OtChem</t>
  </si>
  <si>
    <t>Printing and writing papers, uncoated, mechanical</t>
  </si>
  <si>
    <t>OtMech</t>
  </si>
  <si>
    <t>Printing and writing papers</t>
  </si>
  <si>
    <t>NwMech</t>
  </si>
  <si>
    <t>Dissolving wood pulp</t>
  </si>
  <si>
    <t>PuDiss</t>
  </si>
  <si>
    <t>Chemical wood pulp, sulphite</t>
  </si>
  <si>
    <t>Chemical wood pulp, sulphate, bleached</t>
  </si>
  <si>
    <t>PuChem</t>
  </si>
  <si>
    <t>Unofficial figure</t>
  </si>
  <si>
    <t>*</t>
  </si>
  <si>
    <t>Chemical wood pulp, sulphate, unbleached</t>
  </si>
  <si>
    <t>Chemical wood pulp</t>
  </si>
  <si>
    <t>Mechanical and semi-chemical wood pulp</t>
  </si>
  <si>
    <t>PuMech</t>
  </si>
  <si>
    <t>Sawnwood, coniferous</t>
  </si>
  <si>
    <t>m3</t>
  </si>
  <si>
    <t>Sawnwd</t>
  </si>
  <si>
    <t>Flag Description</t>
  </si>
  <si>
    <t>Flag</t>
  </si>
  <si>
    <t>AIMMS  final produt</t>
  </si>
  <si>
    <t>Value</t>
  </si>
  <si>
    <t>Unit</t>
  </si>
  <si>
    <t>Year</t>
  </si>
  <si>
    <t>Year Code</t>
  </si>
  <si>
    <t>Item</t>
  </si>
  <si>
    <t>Item Code</t>
  </si>
  <si>
    <t>Element</t>
  </si>
  <si>
    <t>Element Code</t>
  </si>
  <si>
    <t>Area</t>
  </si>
  <si>
    <t>Area Code</t>
  </si>
  <si>
    <t>Domain</t>
  </si>
  <si>
    <t>Domain Code</t>
  </si>
  <si>
    <t>Kraft</t>
  </si>
  <si>
    <t>Integr. Board</t>
  </si>
  <si>
    <t>Total installed cost (TIC; mill EUR)</t>
  </si>
  <si>
    <t>TIC (EUR/capacity t)</t>
  </si>
  <si>
    <t>Variable cost (excl. raw material, EUR/t)</t>
  </si>
  <si>
    <t>Fixed cost (EUR/t)</t>
  </si>
  <si>
    <t>Fördelnig trsl</t>
  </si>
  <si>
    <t xml:space="preserve"> Löv</t>
  </si>
  <si>
    <t>Förd. Tim/mav</t>
  </si>
  <si>
    <t>Tim</t>
  </si>
  <si>
    <t>Mav barr</t>
  </si>
  <si>
    <t>Mav löv</t>
  </si>
  <si>
    <t>Barr</t>
  </si>
  <si>
    <t>Dec</t>
  </si>
  <si>
    <t>Skogsstyrelsen</t>
  </si>
  <si>
    <t>--&gt; add investment cost,CHP</t>
  </si>
  <si>
    <t>Investment</t>
  </si>
  <si>
    <t>NorFor data</t>
  </si>
  <si>
    <t>Holmberg, Gustavsson 2007</t>
  </si>
  <si>
    <t xml:space="preserve">Table 1. Abbreviations used for the studied mills and technologies. </t>
  </si>
  <si>
    <t>Technology</t>
  </si>
  <si>
    <t xml:space="preserve"> Chemical market pulp (CM)</t>
  </si>
  <si>
    <t>Integrated CM (CI)</t>
  </si>
  <si>
    <t>Integrated TMP/Newsprint mill</t>
  </si>
  <si>
    <t>Conventional techn /ref)</t>
  </si>
  <si>
    <t>CM-RB</t>
  </si>
  <si>
    <t>CI-RB</t>
  </si>
  <si>
    <t>TMNews</t>
  </si>
  <si>
    <t xml:space="preserve">BLG with el. production </t>
  </si>
  <si>
    <t>CM-BLGCC</t>
  </si>
  <si>
    <t>CI-BLGCC</t>
  </si>
  <si>
    <t>-</t>
  </si>
  <si>
    <t xml:space="preserve">BLG with DME production </t>
  </si>
  <si>
    <t>CM-BLGMF</t>
  </si>
  <si>
    <t>CI-BLGMF</t>
  </si>
  <si>
    <t>pulpwood</t>
  </si>
  <si>
    <t>chips</t>
  </si>
  <si>
    <t>additional fuel</t>
  </si>
  <si>
    <t>El.</t>
  </si>
  <si>
    <t>Liquiid fuels</t>
  </si>
  <si>
    <t>kg</t>
  </si>
  <si>
    <t>GJ</t>
  </si>
  <si>
    <t>Table 2. Wood and energy constumption (in and out of mill) per t</t>
  </si>
  <si>
    <t>Pulp/paper mills</t>
  </si>
  <si>
    <t xml:space="preserve"> €/(t pulp/year) </t>
  </si>
  <si>
    <t>€/t pulp</t>
  </si>
  <si>
    <t>O&amp;M</t>
  </si>
  <si>
    <t>Table 4. Investment and operation and maintenance (O&amp;M) cost for energy plants and pulp and paper mills</t>
  </si>
  <si>
    <t>Näringsgren</t>
  </si>
  <si>
    <t>Massatillverkning</t>
  </si>
  <si>
    <t>Pappers- och papptillverkning</t>
  </si>
  <si>
    <t>Sågning och hyvling</t>
  </si>
  <si>
    <t>Skogsstatistisk årsbok 2014, Tabell 14.6, mill. Kr</t>
  </si>
  <si>
    <t>Oprating expenses</t>
  </si>
  <si>
    <t>Andel lön</t>
  </si>
  <si>
    <t>Andel råvaror</t>
  </si>
  <si>
    <t>Förädlingsvärde</t>
  </si>
  <si>
    <t xml:space="preserve">Onarheim, K., Santos, S., Kangas, P., &amp; Hankalin, V. (2017). </t>
  </si>
  <si>
    <t>Kraft mill</t>
  </si>
  <si>
    <t>Integrated pulp and board mill</t>
  </si>
  <si>
    <t>Conventional (MWh/adt)</t>
  </si>
  <si>
    <t>M3 per adt</t>
  </si>
  <si>
    <t>BECSS (MWh/adt)</t>
  </si>
  <si>
    <t>M3 per adt BECss</t>
  </si>
  <si>
    <t>/MWh</t>
  </si>
  <si>
    <t>Analysis costs</t>
  </si>
  <si>
    <t>/m3sv</t>
  </si>
  <si>
    <t>Rörlig kostnad (ej råvara)  2006</t>
  </si>
  <si>
    <t>Variable cost</t>
  </si>
  <si>
    <t>Fixed cost</t>
  </si>
  <si>
    <t>Maintenance rate</t>
  </si>
  <si>
    <t>Fixed costnad</t>
  </si>
  <si>
    <t>/adt</t>
  </si>
  <si>
    <t>SEK = 10*EUR</t>
  </si>
  <si>
    <t>Profit analysis model</t>
  </si>
  <si>
    <t>Price per unit</t>
  </si>
  <si>
    <t>./. Capital cost</t>
  </si>
  <si>
    <t>./. Variable cost</t>
  </si>
  <si>
    <t>./. Fixed cost</t>
  </si>
  <si>
    <t>./. Wood cost</t>
  </si>
  <si>
    <t>Net</t>
  </si>
  <si>
    <t>Heat__</t>
  </si>
  <si>
    <t>Electr</t>
  </si>
  <si>
    <t>Timmerpris</t>
  </si>
  <si>
    <t>Massaved</t>
  </si>
  <si>
    <t>Marginal (% på pris)</t>
  </si>
  <si>
    <t>Ind. Prod. Income</t>
  </si>
  <si>
    <t>Förädl/Intäkt</t>
  </si>
  <si>
    <t>Wood as part of op. Cost</t>
  </si>
  <si>
    <t>Per output unit</t>
  </si>
  <si>
    <t>Branschnyckeltal efter näringsgren SNI 2007, storleksklass, kvartil, tabellinnehåll och år</t>
  </si>
  <si>
    <t>Avkastning på totalt kapital (procent)</t>
  </si>
  <si>
    <t>Rörelsemarginal (procent)</t>
  </si>
  <si>
    <t>Nettomarginal (procent)</t>
  </si>
  <si>
    <t>Bruttovinstmarginal (procent)</t>
  </si>
  <si>
    <t>Vinstprocent (procent)</t>
  </si>
  <si>
    <t>2019</t>
  </si>
  <si>
    <t>16.1</t>
  </si>
  <si>
    <t>Sågverk och hyvlerier</t>
  </si>
  <si>
    <t>+50</t>
  </si>
  <si>
    <t>minst 50 anställda</t>
  </si>
  <si>
    <t>Med</t>
  </si>
  <si>
    <t>median</t>
  </si>
  <si>
    <t>..</t>
  </si>
  <si>
    <t>16.2</t>
  </si>
  <si>
    <t>Industri för trä och varor av trä, kork och rotting o.d.</t>
  </si>
  <si>
    <t>17.1</t>
  </si>
  <si>
    <t>Massa-, pappers- och pappindustri</t>
  </si>
  <si>
    <t>17.2</t>
  </si>
  <si>
    <t>Industri för pappers- och pappvaror</t>
  </si>
  <si>
    <t>Prod.</t>
  </si>
  <si>
    <t>Förädlingvärde</t>
  </si>
  <si>
    <t>Heatpl</t>
  </si>
  <si>
    <t>Sawmpi</t>
  </si>
  <si>
    <t>Sawmsp</t>
  </si>
  <si>
    <t>Sawmal</t>
  </si>
  <si>
    <t>CHPpl_</t>
  </si>
  <si>
    <t>/m3fub</t>
  </si>
  <si>
    <t>Depreciation period</t>
  </si>
  <si>
    <t>Interest rate for investment</t>
  </si>
  <si>
    <t>Scrap value fraction</t>
  </si>
  <si>
    <t>Depreciation factor per y</t>
  </si>
  <si>
    <t xml:space="preserve">NorFor </t>
  </si>
  <si>
    <t>Ivestment miodels</t>
  </si>
  <si>
    <t>Works quite well. Necessitates 2 stp procedure.</t>
  </si>
  <si>
    <t xml:space="preserve">The  simple model with no depreciation </t>
  </si>
  <si>
    <t>Wokr well but tends to give more activity in the bgeginning. Theroretical basis?</t>
  </si>
  <si>
    <t>Depreciation and evaluating with investment value * df(4)</t>
  </si>
  <si>
    <t>Too expnsive  - no activity until second half of horizon</t>
  </si>
  <si>
    <t>Assume age structure of capacity and replacement after depr. Time</t>
  </si>
  <si>
    <t>2020-2030</t>
  </si>
  <si>
    <t>Wood-based panels</t>
  </si>
  <si>
    <t>Paper and paperboard</t>
  </si>
  <si>
    <t>Scenario B2</t>
  </si>
  <si>
    <t xml:space="preserve">Structure of historic and projected paper consumption in the EU/EFTA: shares of total paper and paperboard quantity consumed </t>
  </si>
  <si>
    <t>Average annual growth rates in the B2 reference future for the
consumption of wood products in Europe by product category, period,
and region (EU/EFTA)</t>
  </si>
  <si>
    <t>Printing and writing paper</t>
  </si>
  <si>
    <t>Annual change</t>
  </si>
  <si>
    <t>Period</t>
  </si>
  <si>
    <t>Length (y)</t>
  </si>
  <si>
    <t xml:space="preserve">Demand scenario BAU - change of basic </t>
  </si>
  <si>
    <t>Base Q</t>
  </si>
  <si>
    <t>Sum</t>
  </si>
  <si>
    <t>Sum P&amp;P</t>
  </si>
  <si>
    <t>Summa tot</t>
  </si>
  <si>
    <t>Profu</t>
  </si>
  <si>
    <t>Avlutar</t>
  </si>
  <si>
    <t>Biprod</t>
  </si>
  <si>
    <t>Stamved</t>
  </si>
  <si>
    <t>Tallolja mm</t>
  </si>
  <si>
    <t>Nya sort (inkl. Stubbar)</t>
  </si>
  <si>
    <t>2030L</t>
  </si>
  <si>
    <t>2030S</t>
  </si>
  <si>
    <t>2045L</t>
  </si>
  <si>
    <t>2045S</t>
  </si>
  <si>
    <t>Tot sum</t>
  </si>
  <si>
    <t>SWEFOR bas-körning</t>
  </si>
  <si>
    <t>Net el. from P&amp;P</t>
  </si>
  <si>
    <t>Sum Bip., Stam., GROT, New</t>
  </si>
  <si>
    <t>Rel. Increase/5-y</t>
  </si>
  <si>
    <t>q</t>
  </si>
  <si>
    <t>p</t>
  </si>
  <si>
    <t>k</t>
  </si>
  <si>
    <t>E</t>
  </si>
  <si>
    <t>p0</t>
  </si>
  <si>
    <t>1/E</t>
  </si>
  <si>
    <t>B</t>
  </si>
  <si>
    <t>A</t>
  </si>
  <si>
    <t>e^-k</t>
  </si>
  <si>
    <t>q0</t>
  </si>
  <si>
    <t>Kraft 2A-6</t>
  </si>
  <si>
    <t>PuBCCS</t>
  </si>
  <si>
    <t>~q</t>
  </si>
  <si>
    <t>KPI 2009-2020</t>
  </si>
  <si>
    <t>KPI2006-2020</t>
  </si>
  <si>
    <t>Integr. 2B-6</t>
  </si>
  <si>
    <t>BCCS</t>
  </si>
  <si>
    <t>adt/m3</t>
  </si>
  <si>
    <t>Åtgångstal (Jimmy)</t>
  </si>
  <si>
    <t>The Nordic Forest Sector Model (NFSM): Data and Model Structure</t>
  </si>
  <si>
    <t>Biofuel</t>
  </si>
  <si>
    <r>
      <t xml:space="preserve"> </t>
    </r>
    <r>
      <rPr>
        <sz val="7"/>
        <color rgb="FF231F20"/>
        <rFont val="Arial"/>
        <family val="2"/>
      </rPr>
      <t>Recovery boiler, Lime kiln</t>
    </r>
  </si>
  <si>
    <r>
      <t xml:space="preserve"> </t>
    </r>
    <r>
      <rPr>
        <sz val="7"/>
        <color rgb="FF231F20"/>
        <rFont val="Arial"/>
        <family val="2"/>
      </rPr>
      <t>Pulp</t>
    </r>
  </si>
  <si>
    <r>
      <t xml:space="preserve"> </t>
    </r>
    <r>
      <rPr>
        <sz val="7"/>
        <color rgb="FF231F20"/>
        <rFont val="Arial"/>
        <family val="2"/>
      </rPr>
      <t>SCA Östrand</t>
    </r>
  </si>
  <si>
    <r>
      <t xml:space="preserve"> </t>
    </r>
    <r>
      <rPr>
        <sz val="7"/>
        <color rgb="FF231F20"/>
        <rFont val="Arial"/>
        <family val="2"/>
      </rPr>
      <t>PP-06</t>
    </r>
  </si>
  <si>
    <t>Recovery boiler, Lime kiln</t>
  </si>
  <si>
    <r>
      <t xml:space="preserve"> </t>
    </r>
    <r>
      <rPr>
        <sz val="7"/>
        <color rgb="FF231F20"/>
        <rFont val="Arial"/>
        <family val="2"/>
      </rPr>
      <t>Södra Cell Värö</t>
    </r>
  </si>
  <si>
    <r>
      <t xml:space="preserve"> </t>
    </r>
    <r>
      <rPr>
        <sz val="7"/>
        <color rgb="FF231F20"/>
        <rFont val="Arial"/>
        <family val="2"/>
      </rPr>
      <t>PP-10</t>
    </r>
  </si>
  <si>
    <t>Pulp and Paper</t>
  </si>
  <si>
    <t>BillerudKorsnäs Frövi</t>
  </si>
  <si>
    <t>PP-16</t>
  </si>
  <si>
    <t>BillerudKorsnäs Gruvön</t>
  </si>
  <si>
    <t>PP-04</t>
  </si>
  <si>
    <t>BillerudKorsnäs Gävle</t>
  </si>
  <si>
    <t>PP-05</t>
  </si>
  <si>
    <t>BillerudKorsnäs Karlsborg</t>
  </si>
  <si>
    <t>PP-13</t>
  </si>
  <si>
    <t>BillerudKorsnäs Skärblacka</t>
  </si>
  <si>
    <t>PP-08</t>
  </si>
  <si>
    <t>Recovery boiler</t>
  </si>
  <si>
    <t>Pulp and Biorefinery</t>
  </si>
  <si>
    <t>Domsjö Fabriker</t>
  </si>
  <si>
    <t>PP-20</t>
  </si>
  <si>
    <t>Holmen Iggesund</t>
  </si>
  <si>
    <t>PP-12</t>
  </si>
  <si>
    <t>Metsä Board Husum</t>
  </si>
  <si>
    <t>PP-03</t>
  </si>
  <si>
    <t>Mondi Dynäs</t>
  </si>
  <si>
    <t>PP-17</t>
  </si>
  <si>
    <t>Nordic Paper, Bäckhammar</t>
  </si>
  <si>
    <t>PP-19</t>
  </si>
  <si>
    <t>Pulp</t>
  </si>
  <si>
    <t>Rottneros, Vallviks Bruk</t>
  </si>
  <si>
    <t>PP-18</t>
  </si>
  <si>
    <t>SCA Munksund</t>
  </si>
  <si>
    <t>PP-15</t>
  </si>
  <si>
    <t>Smurfit Kappa Kraftliner Piteå</t>
  </si>
  <si>
    <t>PP-07</t>
  </si>
  <si>
    <t>Stora Enso Nymölla</t>
  </si>
  <si>
    <t>PP-14</t>
  </si>
  <si>
    <t>Stora Enso Skoghall</t>
  </si>
  <si>
    <t>PP-11</t>
  </si>
  <si>
    <t>Stora Enso Skutskär</t>
  </si>
  <si>
    <t>PP-02</t>
  </si>
  <si>
    <t>Södra Cell Mörrum</t>
  </si>
  <si>
    <t>PP-09</t>
  </si>
  <si>
    <r>
      <t xml:space="preserve"> </t>
    </r>
    <r>
      <rPr>
        <sz val="7"/>
        <color rgb="FF231F20"/>
        <rFont val="Arial"/>
        <family val="2"/>
      </rPr>
      <t>Södra Cell Mönsterås</t>
    </r>
  </si>
  <si>
    <r>
      <t xml:space="preserve"> </t>
    </r>
    <r>
      <rPr>
        <sz val="7"/>
        <color rgb="FF231F20"/>
        <rFont val="Arial"/>
        <family val="2"/>
      </rPr>
      <t>PP-01</t>
    </r>
  </si>
  <si>
    <t>ton CO2/ton output</t>
  </si>
  <si>
    <t>kton/y</t>
  </si>
  <si>
    <t>kt CO2/y</t>
  </si>
  <si>
    <t>Average ton CO2/ton output</t>
  </si>
  <si>
    <t>MWh electricity per ton output</t>
  </si>
  <si>
    <t>MWh per ton CO2</t>
  </si>
  <si>
    <t>Total MWh</t>
  </si>
  <si>
    <t>Onarheim MWh electricity per ton output -  pulp mill</t>
  </si>
  <si>
    <t>Onarheim MWh electricity per ton output -  integrated</t>
  </si>
  <si>
    <t>Main use</t>
  </si>
  <si>
    <t>Recovered paper quality</t>
  </si>
  <si>
    <t>ASH/Filler content (%)</t>
  </si>
  <si>
    <t>ONP</t>
  </si>
  <si>
    <t>3-15</t>
  </si>
  <si>
    <t>Magazines and commercial adds</t>
  </si>
  <si>
    <t>OMG</t>
  </si>
  <si>
    <t>25-35</t>
  </si>
  <si>
    <t>Packaging</t>
  </si>
  <si>
    <t>OCC</t>
  </si>
  <si>
    <t>5-15</t>
  </si>
  <si>
    <t>Computer print-outs</t>
  </si>
  <si>
    <t>MOW</t>
  </si>
  <si>
    <t>15-35</t>
  </si>
  <si>
    <t>Tissue paper</t>
  </si>
  <si>
    <t>5</t>
  </si>
  <si>
    <t>SweFor number</t>
  </si>
  <si>
    <t>BioFue</t>
  </si>
  <si>
    <t>SKA22</t>
  </si>
  <si>
    <t>Saw timber</t>
  </si>
  <si>
    <t>BAU</t>
  </si>
  <si>
    <t>FS</t>
  </si>
  <si>
    <t>Pulpwood</t>
  </si>
  <si>
    <t>Bioenergi</t>
  </si>
  <si>
    <t>dec/y</t>
  </si>
  <si>
    <t>GWh/y</t>
  </si>
  <si>
    <t>IND1</t>
  </si>
  <si>
    <t>Tons 2020</t>
  </si>
  <si>
    <t>The price and income (GDP) elasticities used in the GFTM, as regards Europe, derive from the ones used in EFSOS II (UN 2011), see Jonsson (2012), while for non-European countries and sub-regions the elasticities of Jonsson and Whiteman (2008) are used (see Appendices C-K) . For two product groupings, Newsprint and Printing &amp; writing paper, a specific evaluation of elasticities was carried out in order to update the GDP elasticities used in the GFTM."</t>
  </si>
  <si>
    <t>Referenser för GFTM: </t>
  </si>
  <si>
    <t>Jonsson, R., Rinaldi, F., Pilli, R., Fiorese, G., Hurmekoski, E., Cazzaniga, N., Robert, N., Camia, A. 2020. Boosting the EU forest-based bioeconomy: Market, climate, and employment impacts.  Technological Forecasting &amp; Social Change, 163. URL: https://doi.org/10.1016/j.techfore.2020.120478</t>
  </si>
  <si>
    <r>
      <t>Jonsson, R., Blujdea, V.N.B., Fiorese, G., Pilli, R., Rinaldi, F., Baranzelli, C., Camia, A. 2018. Outlook of the European forest-based sector: forest growth, harvest demand, wood-product markets, and forest carbon dynamics implications. </t>
    </r>
    <r>
      <rPr>
        <i/>
        <sz val="11"/>
        <color rgb="FF212121"/>
        <rFont val="Times New Roman"/>
        <family val="1"/>
      </rPr>
      <t>iForest</t>
    </r>
    <r>
      <rPr>
        <sz val="11"/>
        <color rgb="FF212121"/>
        <rFont val="Times New Roman"/>
        <family val="1"/>
      </rPr>
      <t> 11: 315-328. doi:10.3832/ifor2636-011</t>
    </r>
  </si>
  <si>
    <r>
      <t>Jonsson, R., Rinaldi, F. 2017. The impact on global wood-product markets of increasing consumption of wood pellets within the European Union. </t>
    </r>
    <r>
      <rPr>
        <i/>
        <sz val="11"/>
        <color rgb="FF212121"/>
        <rFont val="Times New Roman"/>
        <family val="1"/>
      </rPr>
      <t>Energy</t>
    </r>
    <r>
      <rPr>
        <sz val="11"/>
        <color rgb="FF212121"/>
        <rFont val="Times New Roman"/>
        <family val="1"/>
      </rPr>
      <t>, 133: 864-878. doi:10.1016/j.energy.2017.05.178</t>
    </r>
  </si>
  <si>
    <r>
      <t>Jonsson, R., Rinaldi, F., Räty, M., Sallnäs, O. 2016. Integrating forest-based industry and forest resource modeling. </t>
    </r>
    <r>
      <rPr>
        <i/>
        <sz val="11"/>
        <color rgb="FF212121"/>
        <rFont val="Times New Roman"/>
        <family val="1"/>
      </rPr>
      <t>iForest</t>
    </r>
    <r>
      <rPr>
        <sz val="11"/>
        <color rgb="FF212121"/>
        <rFont val="Times New Roman"/>
        <family val="1"/>
      </rPr>
      <t> 9: 743-750. doi:10.3832/ifor1961-00</t>
    </r>
  </si>
  <si>
    <t>Newsprint elasticitet</t>
  </si>
  <si>
    <t>(NwMech) Newsprint</t>
  </si>
  <si>
    <t>använd elastic. för Printing &amp; writing paper</t>
  </si>
  <si>
    <t>(OtMech) Printing and writing papers, uncoated, mechanical</t>
  </si>
  <si>
    <t>(OtChem) Printing and writing papers, uncoated, wood free</t>
  </si>
  <si>
    <t>använd elastic. för packaging paper (Hh &amp; sanitary väldigt liten volymdel av Op &amp;Pb)</t>
  </si>
  <si>
    <t>(PuDiss) Other paper and paperboard</t>
  </si>
  <si>
    <t>(PuDiss) Dissolving</t>
  </si>
  <si>
    <t>(PuMech) Mechanical and semi-chemical wood pulp</t>
  </si>
  <si>
    <t>(PuChem) Chemical wood pulp, sulphate / sulphite, bleached</t>
  </si>
  <si>
    <t>(CHPpl_)</t>
  </si>
  <si>
    <t>(Heat__) Energy</t>
  </si>
  <si>
    <t>använd elastic. för coniferous sawnwood (non-coniferous mycket liten i jämförelse)</t>
  </si>
  <si>
    <t> Sawn wood (väsentligen en exportprodukt!)</t>
  </si>
  <si>
    <t>Output (factor name in brackets)</t>
  </si>
  <si>
    <t>Facility type</t>
  </si>
  <si>
    <t>givet exportmarknadernas andel (av deras gemensamma import från Sverige) samt exportens andel av svensk produktion.</t>
  </si>
  <si>
    <t>baserat på elasticiteten för de sex största exportmarknaderna och den svenska elasticteten,</t>
  </si>
  <si>
    <t xml:space="preserve">Priselasticiteten för en given produkt är ett vägt tre-årsmedelvärde (2015-2017),  </t>
  </si>
  <si>
    <t>FAOSTAT Forestry Production and Trade: http://www.fao.org/faostat/en/#data/FO</t>
  </si>
  <si>
    <t>UN Comtrade Database: https://comtrade.un.org/data</t>
  </si>
  <si>
    <t>GFTM demand elasticities: The Global Forest Trade Model - GFTM. DOI: 10.2788/666214</t>
  </si>
  <si>
    <t>Houselhold &amp; sanitary paper</t>
  </si>
  <si>
    <t>GFTM demand elasticities: The Global Forest Trade Model - GFTM. DOI: 10.2788/666213</t>
  </si>
  <si>
    <t>Packaging paper</t>
  </si>
  <si>
    <t>GFTM demand elasticities: The Global Forest Trade Model - GFTM. DOI: 10.2788/666212</t>
  </si>
  <si>
    <t>Printing &amp; writing paper</t>
  </si>
  <si>
    <t>FAOSTAT Forestry Trade Flows: http://www.fao.org/faostat/en/#data/FT</t>
  </si>
  <si>
    <t>GFTM demand elasticities: The Global Forest Trade Model - GFTM. DOI: 10.2788/666211</t>
  </si>
  <si>
    <t>NO Swedish Fibreboard production, use GFTM value for Sweden</t>
  </si>
  <si>
    <t>GFTM demand elasticities: The Global Forest Trade Model - GFTM. DOI: 10.2788/666210</t>
  </si>
  <si>
    <t>Fibreboard</t>
  </si>
  <si>
    <t>GFTM demand elasticities: The Global Forest Trade Model - GFTM. DOI: 10.2788/666209</t>
  </si>
  <si>
    <t>Particle board</t>
  </si>
  <si>
    <t>GFTM demand elasticities: The Global Forest Trade Model - GFTM. DOI: 10.2788/666208</t>
  </si>
  <si>
    <t>Plywood och fane'r</t>
  </si>
  <si>
    <t>GFTM demand elasticities: The Global Forest Trade Model - GFTM. DOI: 10.2788/666207</t>
  </si>
  <si>
    <t>Non-conigerous sawnwood</t>
  </si>
  <si>
    <t>GFTM demand elasticities: The Global Forest Trade Model - GFTM. DOI: 10.2788/666206</t>
  </si>
  <si>
    <t xml:space="preserve">Coniferous sawnwood </t>
  </si>
  <si>
    <t>Produktkod (Item code)</t>
  </si>
  <si>
    <t>Källa produktion</t>
  </si>
  <si>
    <t>Produktkod (Item code/Commodity code)</t>
  </si>
  <si>
    <t>Källa export</t>
  </si>
  <si>
    <t>Källa priselasticitet</t>
  </si>
  <si>
    <t>FV - heat</t>
  </si>
  <si>
    <t>FV - electricity</t>
  </si>
  <si>
    <t>Increase</t>
  </si>
  <si>
    <t>Input/Output</t>
  </si>
  <si>
    <t>Electricity</t>
  </si>
  <si>
    <t>GJout/Gjbiomass</t>
  </si>
  <si>
    <t>Mwh/Mwhbiofuel</t>
  </si>
  <si>
    <t>OPEX</t>
  </si>
  <si>
    <t>MWhBiofuel/MWhInput</t>
  </si>
  <si>
    <t>EUR/GJ</t>
  </si>
  <si>
    <t>EUR/MWh</t>
  </si>
  <si>
    <t>MEUR</t>
  </si>
  <si>
    <t>PJ/y</t>
  </si>
  <si>
    <t>MWh/y</t>
  </si>
  <si>
    <t>€/GJ out</t>
  </si>
  <si>
    <t>€/MWh</t>
  </si>
  <si>
    <t>€/y</t>
  </si>
  <si>
    <t>Investment €</t>
  </si>
  <si>
    <t>MWh/y out</t>
  </si>
  <si>
    <t>EUR/MW</t>
  </si>
  <si>
    <t>Investm</t>
  </si>
  <si>
    <t>max MWh/y</t>
  </si>
  <si>
    <t>EUR/MWh capaciy</t>
  </si>
  <si>
    <t>PuCTMP</t>
  </si>
  <si>
    <t>PaBCCS</t>
  </si>
  <si>
    <t>OtBCCS</t>
  </si>
  <si>
    <t>2020+</t>
  </si>
  <si>
    <t>&lt;-- Sawnwd</t>
  </si>
  <si>
    <t>&lt;-- NwMech</t>
  </si>
  <si>
    <t>&lt;-- PuMech;</t>
  </si>
  <si>
    <t>&lt;-- PaChem</t>
  </si>
  <si>
    <t>&lt;-- Shifter</t>
  </si>
  <si>
    <t>&lt;-- PuChem; PuDiss; OtChem</t>
  </si>
  <si>
    <t>Energy assumptions</t>
  </si>
  <si>
    <t>MWh per tonTS (16.8 GJ of heating value per dry ton)</t>
  </si>
  <si>
    <t>Actual BCCS cost</t>
  </si>
  <si>
    <t>&lt;-- PuChem; PuDiss; OtChem; PaChem</t>
  </si>
  <si>
    <t>&lt;-- Profu numbers from Olivia 13 sept 2021 (DH incl. electricity)</t>
  </si>
  <si>
    <t>&lt;-- Assumptions used for the analysis</t>
  </si>
  <si>
    <t>GROT extraction rate final felling</t>
  </si>
  <si>
    <t>https://da.se/2014/08/sa-mycket-el-slukar-bruken/</t>
  </si>
  <si>
    <t> SCA Ortviken </t>
  </si>
  <si>
    <t>2. Stora Enso Kvarnsveden </t>
  </si>
  <si>
    <t>3. Holmen Hallstavik</t>
  </si>
  <si>
    <t>4. Holmen Braviken </t>
  </si>
  <si>
    <t>5. Stora Enso Hyltebruk </t>
  </si>
  <si>
    <t>6. Stora Enso Skoghall </t>
  </si>
  <si>
    <t>7. BillerudKorsnäs Karskär </t>
  </si>
  <si>
    <t>8. Metsä Board Husum </t>
  </si>
  <si>
    <t>9. Stora Enso Fors </t>
  </si>
  <si>
    <t> 10. SCA Munksund </t>
  </si>
  <si>
    <t>11. BillerudKorsnäs Gruvön </t>
  </si>
  <si>
    <t>13. Stora Enso Nymölla </t>
  </si>
  <si>
    <t>14. Smurfit Kappa Piteå </t>
  </si>
  <si>
    <t>15. Rottneros </t>
  </si>
  <si>
    <t>16. BillerudKorsnäs Skärblacka </t>
  </si>
  <si>
    <t>17. BillerudKorsnäs Frövi </t>
  </si>
  <si>
    <t>18. Domsjö  Fabriker </t>
  </si>
  <si>
    <t>19. SCA Obbola </t>
  </si>
  <si>
    <t>20. Mondi Väja </t>
  </si>
  <si>
    <t>22. ATA Timber Waggeryd Cell </t>
  </si>
  <si>
    <t>23. Holmen Iggesund </t>
  </si>
  <si>
    <t>24. Arctic Paper Grycksbo </t>
  </si>
  <si>
    <t>26. BillerudKorsnäs Karlsborg </t>
  </si>
  <si>
    <t>31.Nordic Paper Bäckhammar </t>
  </si>
  <si>
    <t>32. Stora Enso Skutskär </t>
  </si>
  <si>
    <t>35. Rottneros Vallvik </t>
  </si>
  <si>
    <t>36. Munksjö Aspa </t>
  </si>
  <si>
    <t>37. SCA Östrand </t>
  </si>
  <si>
    <t>40. Södra Värö </t>
  </si>
  <si>
    <t>46. Södra Mörrum </t>
  </si>
  <si>
    <t>51. Södra Mönsterås </t>
  </si>
  <si>
    <t>Kapacitet</t>
  </si>
  <si>
    <t>Produkter</t>
  </si>
  <si>
    <t>Sparåtgärder</t>
  </si>
  <si>
    <t>Anställda</t>
  </si>
  <si>
    <t>Produkt</t>
  </si>
  <si>
    <t> Tidningspapper.</t>
  </si>
  <si>
    <t>Sparåtgärd</t>
  </si>
  <si>
    <t> Anställda</t>
  </si>
  <si>
    <t xml:space="preserve"> Tidningspapper, förbättrat tidningspapper, LVC-papper.</t>
  </si>
  <si>
    <t>Inköpt el</t>
  </si>
  <si>
    <t xml:space="preserve"> Ny biobränslepanna och pelletsanläggning.</t>
  </si>
  <si>
    <t xml:space="preserve"> Tryckpapper.</t>
  </si>
  <si>
    <t xml:space="preserve"> Bok- och magasinpapper.</t>
  </si>
  <si>
    <t xml:space="preserve"> Ny TMP-linje.</t>
  </si>
  <si>
    <t xml:space="preserve"> Cirka 400.</t>
  </si>
  <si>
    <t xml:space="preserve"> Tidningspapper.</t>
  </si>
  <si>
    <t xml:space="preserve"> Löpande.</t>
  </si>
  <si>
    <t xml:space="preserve"> Vätske- och förpackningskartong.</t>
  </si>
  <si>
    <t xml:space="preserve"> Obestruken vätskekartong, white top liner.</t>
  </si>
  <si>
    <t xml:space="preserve"> Ny indunstning, ny biopanna tillsammans med Gävle kommun.</t>
  </si>
  <si>
    <t xml:space="preserve"> Bestruket och obestruket papper, liner.</t>
  </si>
  <si>
    <t xml:space="preserve"> Ny turbin och avsaltningsanläggning.</t>
  </si>
  <si>
    <t> Kartong av CTMP-massa.</t>
  </si>
  <si>
    <t xml:space="preserve"> Nya pumpar.</t>
  </si>
  <si>
    <t xml:space="preserve"> Cirka 500.</t>
  </si>
  <si>
    <t xml:space="preserve"> Kraftliner.</t>
  </si>
  <si>
    <t xml:space="preserve"> Reducerat användande av tryckluft, effektivare pumpar har minimerat massamalningen.</t>
  </si>
  <si>
    <t xml:space="preserve"> Förpackningspapper (kraft- och säckpapper) containerboard, fluting liner m.m.</t>
  </si>
  <si>
    <t xml:space="preserve"> Uppdaterade turbiner, kont elprojekt.</t>
  </si>
  <si>
    <t xml:space="preserve"> Finpapper.</t>
  </si>
  <si>
    <t xml:space="preserve"> Inga.</t>
  </si>
  <si>
    <t xml:space="preserve"> Ombyggd sodapanna, ny förbränningspanna, ny turbin, levererar fjärrvärme till kommunen.</t>
  </si>
  <si>
    <t xml:space="preserve"> 514. </t>
  </si>
  <si>
    <t xml:space="preserve"> Slip- och CTMP-massa.</t>
  </si>
  <si>
    <t xml:space="preserve"> Uppgradering av biopanna, pumpar.</t>
  </si>
  <si>
    <t xml:space="preserve"> Brunt säckpapper, avsalumassa, fluting, kraftpapper.</t>
  </si>
  <si>
    <t xml:space="preserve"> Ny indunstning, ombyggd sodapanna.</t>
  </si>
  <si>
    <t xml:space="preserve"> Massa och kartong.</t>
  </si>
  <si>
    <t xml:space="preserve"> Dissolvingmassa, lignin, etanol.</t>
  </si>
  <si>
    <t xml:space="preserve"> Ny sodapanna, större turbin.</t>
  </si>
  <si>
    <t> Säck- och kraft-papper.</t>
  </si>
  <si>
    <t xml:space="preserve"> CTMP-massa.</t>
  </si>
  <si>
    <t xml:space="preserve"> Kartong</t>
  </si>
  <si>
    <t xml:space="preserve"> Ny sodapanna, ny turbin.</t>
  </si>
  <si>
    <t xml:space="preserve"> Massa- och säck-papper.</t>
  </si>
  <si>
    <t xml:space="preserve"> Ny mottrycksturbin, varvtalsreglerande motorer, nya processutrustningar, optimerade pumpar.</t>
  </si>
  <si>
    <t xml:space="preserve"> Kraftpapper.</t>
  </si>
  <si>
    <t xml:space="preserve"> Byggt om en turbin, ändrat styrsystem.</t>
  </si>
  <si>
    <t xml:space="preserve"> Massa.</t>
  </si>
  <si>
    <t xml:space="preserve"> Fem delägda vindkraftverk.</t>
  </si>
  <si>
    <t xml:space="preserve"> Sulfatmassa.</t>
  </si>
  <si>
    <t xml:space="preserve"> Ny turbin, m.m.</t>
  </si>
  <si>
    <t xml:space="preserve"> Blekt/oblekt massa.</t>
  </si>
  <si>
    <t xml:space="preserve"> Ny turbin bland annat.</t>
  </si>
  <si>
    <t> Massa, tre olika kvaliteter.</t>
  </si>
  <si>
    <t xml:space="preserve"> Nytt sodahus, nya turbiner.</t>
  </si>
  <si>
    <t>Inköpt elenergi</t>
  </si>
  <si>
    <t xml:space="preserve"> Ny sodapanna, ny turbin, ny indunstning.</t>
  </si>
  <si>
    <t xml:space="preserve"> Massa och textilmassa (dissolving).</t>
  </si>
  <si>
    <t xml:space="preserve"> Ny turbin, annars inget större.</t>
  </si>
  <si>
    <t xml:space="preserve">  Massa.</t>
  </si>
  <si>
    <t xml:space="preserve"> Trycksättning av raffinörer, ökad värmeväxling av matarvatten till massafabriken. En besparing p</t>
  </si>
  <si>
    <t>r</t>
  </si>
  <si>
    <t xml:space="preserve"> Bruket är under omstrukturering. Fr</t>
  </si>
  <si>
    <t xml:space="preserve">tergenererad </t>
  </si>
  <si>
    <t>nga fr</t>
  </si>
  <si>
    <t>n raffinörerna i TMP-fabriken. Till detta ytterligare investeringar i energieffektivisering och tillvaratagen spillenergi.</t>
  </si>
  <si>
    <t xml:space="preserve"> Ny sodapanna, indunstning, CTMP-indunstning, ombyggnad av turbiner m.m för 1,9 miljarder kronor. Olika spar</t>
  </si>
  <si>
    <t>r.</t>
  </si>
  <si>
    <t xml:space="preserve"> Byte av vacuumpumpar p</t>
  </si>
  <si>
    <t xml:space="preserve"> Nytt renseri, varvtalsregleringar p</t>
  </si>
  <si>
    <t xml:space="preserve"> 11 GWh de senaste </t>
  </si>
  <si>
    <t>ren.</t>
  </si>
  <si>
    <t xml:space="preserve"> Jobbar kontinuerligt med elspar</t>
  </si>
  <si>
    <t xml:space="preserve"> Nya elmotorer, frekvensstyrning som möjliggjort en produktionsökning fr</t>
  </si>
  <si>
    <t>rston med en ökad elanvändning p</t>
  </si>
  <si>
    <t xml:space="preserve"> bara 40 GWh.</t>
  </si>
  <si>
    <t xml:space="preserve"> Diverse spar</t>
  </si>
  <si>
    <t xml:space="preserve"> totalt cirka 5 GWh de senaste fem </t>
  </si>
  <si>
    <t>ng 172 GWh–119 GWh görs själva)</t>
  </si>
  <si>
    <t xml:space="preserve"> Ny barktorkanläggning  plus investering i kondensturbin. Eldar med barkpulver och tar kraft fr</t>
  </si>
  <si>
    <t>MWh/t</t>
  </si>
  <si>
    <t>?</t>
  </si>
  <si>
    <t>Process</t>
  </si>
  <si>
    <t>Mean</t>
  </si>
  <si>
    <t>Mean &gt; 0</t>
  </si>
  <si>
    <t>Mean &lt;= 0</t>
  </si>
  <si>
    <t>Mean volume weighted</t>
  </si>
  <si>
    <t>Chemical Pulping</t>
  </si>
  <si>
    <t>Mechanical Pulping</t>
  </si>
  <si>
    <t xml:space="preserve"> Other Pulping </t>
  </si>
  <si>
    <t xml:space="preserve">Paper Making </t>
  </si>
  <si>
    <t xml:space="preserve">Energy use </t>
  </si>
  <si>
    <t xml:space="preserve"> Unit </t>
  </si>
  <si>
    <t xml:space="preserve">Recycled paper, slush </t>
  </si>
  <si>
    <t xml:space="preserve">Newsprint </t>
  </si>
  <si>
    <t>Kraft paper‐ board</t>
  </si>
  <si>
    <t>GJ/ton</t>
  </si>
  <si>
    <t>External electricity (bought)</t>
  </si>
  <si>
    <t>Sulphate pulp, bleached,   dried</t>
  </si>
  <si>
    <t xml:space="preserve">Sulphate pulp, unbleached,   dried </t>
  </si>
  <si>
    <t>Thermo‐ mechanical pulp, dried</t>
  </si>
  <si>
    <t>ElP&amp;P</t>
  </si>
  <si>
    <t>Factor</t>
  </si>
  <si>
    <t>HalfLife</t>
  </si>
  <si>
    <t>DP_P</t>
  </si>
  <si>
    <t>DP_EOL</t>
  </si>
  <si>
    <t>Energy consumption</t>
  </si>
  <si>
    <t>Harvesting  (82 MJ /m3fub)</t>
  </si>
  <si>
    <t>Truck</t>
  </si>
  <si>
    <t>MWh/m3fub</t>
  </si>
  <si>
    <t>MWh/tonkm</t>
  </si>
  <si>
    <t>MWh per liter diesel</t>
  </si>
  <si>
    <t>tC/m3fub</t>
  </si>
  <si>
    <t>Carbon per liter diesel (t)</t>
  </si>
  <si>
    <t>C / MWh (t)</t>
  </si>
  <si>
    <t>tC/tonkm</t>
  </si>
  <si>
    <t>tC/tC</t>
  </si>
  <si>
    <t>1 Btu</t>
  </si>
  <si>
    <t>Wh</t>
  </si>
  <si>
    <t>1 Gall Diesel</t>
  </si>
  <si>
    <t>Btu</t>
  </si>
  <si>
    <t>1 Gall</t>
  </si>
  <si>
    <t>l</t>
  </si>
  <si>
    <t>1 l Diesl</t>
  </si>
  <si>
    <t>Ton C</t>
  </si>
  <si>
    <t>Sågat</t>
  </si>
  <si>
    <t>Skivor</t>
  </si>
  <si>
    <t>Papper</t>
  </si>
  <si>
    <t>Papper exkl. returpapper</t>
  </si>
  <si>
    <t>Peat land</t>
  </si>
  <si>
    <t>tot CO2/y</t>
  </si>
  <si>
    <t>mill ton</t>
  </si>
  <si>
    <t>mill ha</t>
  </si>
  <si>
    <t>co2/ha</t>
  </si>
  <si>
    <t>c/ha</t>
  </si>
  <si>
    <t>tC/t prod unit</t>
  </si>
  <si>
    <t>g CO2/kWh</t>
  </si>
  <si>
    <t>g C/kWh</t>
  </si>
  <si>
    <t>El</t>
  </si>
  <si>
    <t>tC/MwWh</t>
  </si>
  <si>
    <t>Fjärärvärme</t>
  </si>
  <si>
    <t>CperTS</t>
  </si>
  <si>
    <t>MJ/kg</t>
  </si>
  <si>
    <t>kW/kg</t>
  </si>
  <si>
    <t>Chips</t>
  </si>
  <si>
    <t>Från skogsstatistisk årsbok 2014</t>
  </si>
  <si>
    <t>sulfit/fat</t>
  </si>
  <si>
    <t>diss</t>
  </si>
  <si>
    <t>mech</t>
  </si>
  <si>
    <t>halv</t>
  </si>
  <si>
    <t>Från Per-Erik</t>
  </si>
  <si>
    <t>C/C</t>
  </si>
  <si>
    <t>Hurmekoski et al. DP=2015</t>
  </si>
  <si>
    <t>Hurmekoski et al. DP=2056</t>
  </si>
  <si>
    <t>Hammar et al.</t>
  </si>
  <si>
    <t>Hurmekoski*1,2, Hanne K. Sjølie3,4 2018</t>
  </si>
  <si>
    <t>Red/5y</t>
  </si>
  <si>
    <t>Olika DF</t>
  </si>
  <si>
    <t>Cintas et al. 2016. The climate effect of increased forest bioenergy use in Sweden: evaluation at different spatial and temporal scales</t>
  </si>
  <si>
    <t>Rapport 10•2015
Svante Claesson, Karl Duvemo, Anders Lundström, Per-Erik Wikberg
Skogliga konsekvensanalyser
2015 – SKA 15</t>
  </si>
  <si>
    <t>Lodin et al.: Combining Climate Change Mitigation Scenarios with Current Forest Owner Behavior: A Scenario Study from a Region in Southern Sweden</t>
  </si>
  <si>
    <t>Final felling</t>
  </si>
  <si>
    <t>Ret. patches</t>
  </si>
  <si>
    <t>Ret. trees</t>
  </si>
  <si>
    <t>Set asides</t>
  </si>
  <si>
    <t>formal</t>
  </si>
  <si>
    <t>volunt.</t>
  </si>
  <si>
    <t>Todays forestry</t>
  </si>
  <si>
    <t>Reserv</t>
  </si>
  <si>
    <t>Volunt.</t>
  </si>
  <si>
    <t>Hänsynsytor</t>
  </si>
  <si>
    <t xml:space="preserve">if Age(ia,CurrJ,1) &gt;= 100 then
 SetAsideIndex(ia) := 13.9*min(1,Dgv(ia,CurrJ,1)/40.) + 37.1*min(1,InitDeadAbove(ia)/20) ;
</t>
  </si>
  <si>
    <t xml:space="preserve">elseif Age(ia,CurrJ,1) &gt;= 70 then
 SetAsideIndex(ia) := 13.3*min(1,Dgv(ia,CurrJ,1)/40.) + 29.6*min(1,InitDeadAbove(ia)/20) ;
</t>
  </si>
  <si>
    <t xml:space="preserve">elseif Age(ia,CurrJ,1) &gt;= 40 then
 SetAsideIndex(ia) := 5.5*min(1,Dgv(ia,CurrJ,1)/40.) + 17.1*min(1,InitDeadAbove(ia)/20) ;
</t>
  </si>
  <si>
    <t>NUTS\Age</t>
  </si>
  <si>
    <t>&lt;30</t>
  </si>
  <si>
    <t>&gt;40</t>
  </si>
  <si>
    <t>&gt;70</t>
  </si>
  <si>
    <t>&gt;100</t>
  </si>
  <si>
    <t>NNo</t>
  </si>
  <si>
    <t>SNo</t>
  </si>
  <si>
    <t>Sveal.</t>
  </si>
  <si>
    <t>Götal.</t>
  </si>
  <si>
    <t>33 (Nb,Vb)</t>
  </si>
  <si>
    <t>31,32 (Värml, Dal., Gävl., Väst.nrl., Jämtl.</t>
  </si>
  <si>
    <t>Cost-effective age structure and geographical distribution of boreal forest reserves</t>
  </si>
  <si>
    <t>Tot areal</t>
  </si>
  <si>
    <t>Setas./ha</t>
  </si>
  <si>
    <t>https</t>
  </si>
  <si>
    <t>//www.biometria.se/media/iktlg5wt/skogsindustrins-virkesfoerbrukning-och-produktion-2019.pdf</t>
  </si>
  <si>
    <t>sista kolumnen medel 15-19</t>
  </si>
  <si>
    <t>//www.skogsindustrierna.se/om-skogsindustrin/branschstatistik/</t>
  </si>
  <si>
    <t>Mek + halvmek</t>
  </si>
  <si>
    <t>Kemisk</t>
  </si>
  <si>
    <t>Skogsind.</t>
  </si>
  <si>
    <t>Supply skogsind.</t>
  </si>
  <si>
    <t>Newsprint (1000 t y-1)</t>
  </si>
  <si>
    <t>Other chem. (1000 t y-1)</t>
  </si>
  <si>
    <t>Other mech. (1000 t y-1)</t>
  </si>
  <si>
    <t>Packaging (1000 t y-1)</t>
  </si>
  <si>
    <t>Chem. pulp (1000 t y-1)</t>
  </si>
  <si>
    <t>Dissolving pulp (1000 t y-1)</t>
  </si>
  <si>
    <t>Mech. pulp (1000 t y-1)</t>
  </si>
  <si>
    <t>Sawn wood (mill. m3sw y-1)</t>
  </si>
  <si>
    <t>Resten från Petersen and Solberg (2005) &lt;- meaning what?</t>
  </si>
  <si>
    <t>Leskinen et al. 2018</t>
  </si>
  <si>
    <t>Initial stock</t>
  </si>
  <si>
    <t>(t)</t>
  </si>
  <si>
    <t>Year for ban of sales of new  ICE vehicles</t>
  </si>
  <si>
    <t>Travel demand scenario</t>
  </si>
  <si>
    <t>BioFuelScenario</t>
  </si>
  <si>
    <t>Biofuel use (GJ)</t>
  </si>
  <si>
    <t>Biofuel use (MWh)</t>
  </si>
  <si>
    <t>5-yerar average</t>
  </si>
  <si>
    <t>Constant 2020 biofuel share</t>
  </si>
  <si>
    <t>Biofuel policy until 2030</t>
  </si>
  <si>
    <t>100% biofuels by 2065</t>
  </si>
  <si>
    <t>Reference travel demand</t>
  </si>
  <si>
    <t>High travel demand</t>
  </si>
  <si>
    <t>No ban</t>
  </si>
  <si>
    <t>Profu scenarios</t>
  </si>
  <si>
    <t>&lt;-- Profu numbers from Göran sep 2022</t>
  </si>
  <si>
    <t>8+</t>
  </si>
  <si>
    <t>MWh/l</t>
  </si>
  <si>
    <t>&lt;-- Assumptions used for the analysis (NB:25% assumed to be garbage)</t>
  </si>
  <si>
    <t>FTDpl_</t>
  </si>
  <si>
    <t>FT-diesel</t>
  </si>
  <si>
    <t>&lt;-- antagande</t>
  </si>
  <si>
    <t>Livslängd</t>
  </si>
  <si>
    <t>Relataion investment cost and variable cost</t>
  </si>
  <si>
    <t>Discount rate</t>
  </si>
  <si>
    <t>Annuity</t>
  </si>
  <si>
    <t>Variable costs</t>
  </si>
  <si>
    <t>Investment cost</t>
  </si>
  <si>
    <t>Multiplyer</t>
  </si>
  <si>
    <t>Final investment cost</t>
  </si>
  <si>
    <t>Final variable cost</t>
  </si>
  <si>
    <t xml:space="preserve">Bruttoavverkning milj. m3sk </t>
  </si>
  <si>
    <t>fällda träd som i dess helhet lämnades kvar i skogen</t>
  </si>
  <si>
    <t>40 % ungskogsröjning</t>
  </si>
  <si>
    <t>3,2 miljoner m3 sk av döda träd.</t>
  </si>
  <si>
    <t>&lt;-- lämnat ej röjning</t>
  </si>
  <si>
    <r>
      <t xml:space="preserve">SKA22: </t>
    </r>
    <r>
      <rPr>
        <sz val="11"/>
        <color theme="1"/>
        <rFont val="Calibri"/>
        <family val="2"/>
        <scheme val="minor"/>
      </rPr>
      <t>https://www.skogsstyrelsen.se/globalassets/om-oss/rapporter/rapporter-2022/rapport-2022-10-skogliga-konsekvensanalyser-2022---virkesbalanser.pdf</t>
    </r>
  </si>
  <si>
    <t>Övriga sortiment</t>
  </si>
  <si>
    <t>Tabell 3</t>
  </si>
  <si>
    <t>Tabell 1 + text</t>
  </si>
  <si>
    <t>&lt;-- Avverkad volym som avgår till annan användning (brärnnved, byasåg …) --&gt; SweForv tas bort från massaved och timmer</t>
  </si>
  <si>
    <t>&lt;-- träd lämnade vid avverkning --&gt; GAYA: andel av stamved till residues</t>
  </si>
  <si>
    <t>TerFTD</t>
  </si>
  <si>
    <t>TerTsp</t>
  </si>
  <si>
    <t>TerTal</t>
  </si>
  <si>
    <t>TerPsp</t>
  </si>
  <si>
    <t>TerPal</t>
  </si>
  <si>
    <t>TerHea</t>
  </si>
  <si>
    <t>#</t>
  </si>
  <si>
    <t>Från</t>
  </si>
  <si>
    <t>Till</t>
  </si>
  <si>
    <t>Flöde kt kol, 2020</t>
  </si>
  <si>
    <t>Sågtimmer Gran</t>
  </si>
  <si>
    <t>Sågverk</t>
  </si>
  <si>
    <t>Sågtimmer Tall</t>
  </si>
  <si>
    <t>Sågad Gran</t>
  </si>
  <si>
    <t>Råflis</t>
  </si>
  <si>
    <t>Papper- massa industri</t>
  </si>
  <si>
    <t>Planhyvling</t>
  </si>
  <si>
    <t>Sågad Tall</t>
  </si>
  <si>
    <t>Planhyvlat virke</t>
  </si>
  <si>
    <t>Spån+torrflis</t>
  </si>
  <si>
    <t>Konstruktion/möbler</t>
  </si>
  <si>
    <t>Inhemsk trävarukonsumtion</t>
  </si>
  <si>
    <t>Förbränning sågverk</t>
  </si>
  <si>
    <t>Koldioxid</t>
  </si>
  <si>
    <t>DM/m3</t>
  </si>
  <si>
    <t>Pine</t>
  </si>
  <si>
    <t>Spruce</t>
  </si>
  <si>
    <t>Birch</t>
  </si>
  <si>
    <t>&lt;--  utbyte</t>
  </si>
  <si>
    <t>&lt;-- summa utbyte</t>
  </si>
  <si>
    <t>&lt;-- summa export + konstr. o möbler</t>
  </si>
  <si>
    <t>C/DM</t>
  </si>
  <si>
    <t>&lt;-- Hyvling och andra förlusteer</t>
  </si>
  <si>
    <t>x</t>
  </si>
  <si>
    <t>Andel G</t>
  </si>
  <si>
    <t>C in --&gt;</t>
  </si>
  <si>
    <t>C ut --&gt;</t>
  </si>
  <si>
    <t>m3fub timmer --&gt;</t>
  </si>
  <si>
    <t>m3fub/m3f</t>
  </si>
  <si>
    <t>Diff --&gt;</t>
  </si>
  <si>
    <t>m3fub/m3fub --&gt;</t>
  </si>
  <si>
    <t>Sawdust</t>
  </si>
  <si>
    <t>Sawn wood</t>
  </si>
  <si>
    <t>m3sv/m3fub --&gt;</t>
  </si>
  <si>
    <t>Costs</t>
  </si>
  <si>
    <t>Cost assessment</t>
  </si>
  <si>
    <t>Exchange assessment</t>
  </si>
  <si>
    <t>Particleboard manufactories</t>
  </si>
  <si>
    <t>Rörlig kostnad (ej råvara)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</si>
</sst>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0.00\ &quot;kr&quot;;[Red]\-#,##0.00\ &quot;kr&quot;"/>
    <numFmt numFmtId="164" formatCode="0.0"/>
    <numFmt numFmtId="165" formatCode="#,##0.0"/>
    <numFmt numFmtId="166" formatCode="#,##0.000"/>
    <numFmt numFmtId="167" formatCode="0.000"/>
    <numFmt numFmtId="168" formatCode="0.00000"/>
    <numFmt numFmtId="169" formatCode="0.0%"/>
    <numFmt numFmtId="170" formatCode="0.0000000000"/>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theme="0" tint="-0.34998626667073579"/>
      <name val="Calibri"/>
      <family val="2"/>
      <scheme val="minor"/>
    </font>
    <font>
      <sz val="10"/>
      <color theme="0" tint="-0.34998626667073579"/>
      <name val="Calibri"/>
      <family val="2"/>
    </font>
    <font>
      <sz val="11"/>
      <color theme="0" tint="-0.499984740745262"/>
      <name val="Calibri"/>
      <family val="2"/>
      <scheme val="minor"/>
    </font>
    <font>
      <sz val="11"/>
      <color rgb="FFFF0000"/>
      <name val="Calibri"/>
      <family val="2"/>
      <scheme val="minor"/>
    </font>
    <font>
      <b/>
      <sz val="10.5"/>
      <color rgb="FF222222"/>
      <name val="Arial"/>
      <family val="2"/>
    </font>
    <font>
      <b/>
      <sz val="14"/>
      <color rgb="FF000000"/>
      <name val="Calibri"/>
      <family val="2"/>
    </font>
    <font>
      <b/>
      <sz val="11"/>
      <color rgb="FF000000"/>
      <name val="Calibri"/>
      <family val="2"/>
    </font>
    <font>
      <sz val="11"/>
      <color rgb="FF000000"/>
      <name val="Calibri"/>
      <family val="2"/>
    </font>
    <font>
      <sz val="7"/>
      <color rgb="FF231F20"/>
      <name val="Arial"/>
      <family val="2"/>
    </font>
    <font>
      <sz val="7"/>
      <color rgb="FF231F20"/>
      <name val="Times New Roman"/>
      <family val="1"/>
    </font>
    <font>
      <sz val="11"/>
      <color rgb="FF212121"/>
      <name val="Segoe UI"/>
      <family val="2"/>
    </font>
    <font>
      <sz val="11"/>
      <color rgb="FF212121"/>
      <name val="Times New Roman"/>
      <family val="1"/>
    </font>
    <font>
      <i/>
      <sz val="11"/>
      <color rgb="FF212121"/>
      <name val="Times New Roman"/>
      <family val="1"/>
    </font>
    <font>
      <u/>
      <sz val="11"/>
      <color theme="10"/>
      <name val="Calibri"/>
      <family val="2"/>
      <scheme val="minor"/>
    </font>
    <font>
      <sz val="10"/>
      <color indexed="0"/>
      <name val="Arial"/>
      <family val="2"/>
    </font>
    <font>
      <sz val="10"/>
      <color rgb="FFFF0000"/>
      <name val="Arial"/>
      <family val="2"/>
    </font>
    <font>
      <sz val="11"/>
      <name val="Calibri"/>
      <family val="2"/>
      <scheme val="minor"/>
    </font>
    <font>
      <sz val="10"/>
      <name val="Arial"/>
      <family val="2"/>
    </font>
    <font>
      <b/>
      <sz val="11"/>
      <name val="Calibri"/>
      <family val="2"/>
      <scheme val="minor"/>
    </font>
    <font>
      <sz val="14"/>
      <color rgb="FF333333"/>
      <name val="Georgia"/>
      <family val="1"/>
    </font>
    <font>
      <b/>
      <sz val="14"/>
      <color rgb="FF333333"/>
      <name val="Georgia"/>
      <family val="1"/>
    </font>
    <font>
      <sz val="10"/>
      <color theme="1"/>
      <name val="Times New Roman"/>
      <family val="1"/>
    </font>
    <font>
      <sz val="12"/>
      <color rgb="FF000000"/>
      <name val="Calibri"/>
      <family val="2"/>
      <scheme val="minor"/>
    </font>
    <font>
      <b/>
      <sz val="11"/>
      <color indexed="8"/>
      <name val="Calibri"/>
      <family val="2"/>
      <scheme val="minor"/>
    </font>
    <font>
      <b/>
      <sz val="10"/>
      <color rgb="FF000000"/>
      <name val="Georgia"/>
      <family val="1"/>
    </font>
    <font>
      <sz val="10"/>
      <color rgb="FF000000"/>
      <name val="Georgia"/>
      <family val="1"/>
    </font>
  </fonts>
  <fills count="11">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tint="-0.14999847407452621"/>
        <bgColor theme="0" tint="-0.14999847407452621"/>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4">
    <xf numFmtId="0" fontId="0" fillId="0" borderId="0"/>
    <xf numFmtId="0" fontId="1" fillId="0" borderId="0"/>
    <xf numFmtId="9" fontId="1" fillId="0" borderId="0" applyFont="0" applyFill="0" applyBorder="0" applyAlignment="0" applyProtection="0"/>
    <xf numFmtId="0" fontId="18" fillId="0" borderId="0" applyNumberFormat="0" applyFill="0" applyBorder="0" applyAlignment="0" applyProtection="0"/>
  </cellStyleXfs>
  <cellXfs count="203">
    <xf numFmtId="0" fontId="0" fillId="0" borderId="0" xfId="0"/>
    <xf numFmtId="0" fontId="0" fillId="0" borderId="4" xfId="0" applyBorder="1"/>
    <xf numFmtId="0" fontId="0" fillId="0" borderId="0" xfId="0" applyBorder="1"/>
    <xf numFmtId="1" fontId="0" fillId="0" borderId="0" xfId="0" applyNumberFormat="1" applyBorder="1"/>
    <xf numFmtId="0" fontId="0" fillId="0" borderId="0" xfId="0" applyAlignment="1"/>
    <xf numFmtId="0" fontId="0" fillId="0" borderId="1" xfId="0" applyBorder="1" applyAlignment="1"/>
    <xf numFmtId="0" fontId="0" fillId="0" borderId="2" xfId="0" applyBorder="1" applyAlignment="1"/>
    <xf numFmtId="0" fontId="0" fillId="0" borderId="8" xfId="0" applyBorder="1"/>
    <xf numFmtId="0" fontId="0" fillId="0" borderId="9" xfId="0" applyBorder="1"/>
    <xf numFmtId="0" fontId="0" fillId="0" borderId="0" xfId="0" applyBorder="1" applyAlignment="1"/>
    <xf numFmtId="0" fontId="0" fillId="0" borderId="10" xfId="0" applyBorder="1"/>
    <xf numFmtId="0" fontId="0" fillId="0" borderId="11" xfId="0" applyBorder="1"/>
    <xf numFmtId="0" fontId="2" fillId="0" borderId="0" xfId="0" applyFont="1" applyBorder="1"/>
    <xf numFmtId="0" fontId="0" fillId="0" borderId="12" xfId="0" applyBorder="1"/>
    <xf numFmtId="0" fontId="0" fillId="0" borderId="13" xfId="0" applyBorder="1"/>
    <xf numFmtId="0" fontId="0" fillId="0" borderId="14" xfId="0" applyBorder="1"/>
    <xf numFmtId="2" fontId="0" fillId="0" borderId="0" xfId="0" applyNumberFormat="1" applyBorder="1"/>
    <xf numFmtId="0" fontId="0" fillId="0" borderId="6" xfId="0" applyBorder="1"/>
    <xf numFmtId="0" fontId="0" fillId="0" borderId="15" xfId="0" applyBorder="1"/>
    <xf numFmtId="0" fontId="0" fillId="0" borderId="5" xfId="0" applyBorder="1"/>
    <xf numFmtId="0" fontId="0" fillId="0" borderId="3" xfId="0" applyBorder="1"/>
    <xf numFmtId="0" fontId="0" fillId="0" borderId="2" xfId="0" applyBorder="1"/>
    <xf numFmtId="0" fontId="0" fillId="0" borderId="16" xfId="0" applyBorder="1"/>
    <xf numFmtId="0" fontId="0" fillId="0" borderId="1" xfId="0" applyBorder="1"/>
    <xf numFmtId="0" fontId="0" fillId="0" borderId="0" xfId="0" quotePrefix="1"/>
    <xf numFmtId="0" fontId="5" fillId="0" borderId="0" xfId="0" applyFont="1" applyBorder="1"/>
    <xf numFmtId="0" fontId="6" fillId="0" borderId="3" xfId="0" applyFont="1" applyBorder="1"/>
    <xf numFmtId="3" fontId="0" fillId="0" borderId="0" xfId="0" applyNumberFormat="1"/>
    <xf numFmtId="0" fontId="2" fillId="0" borderId="0" xfId="0" applyFont="1"/>
    <xf numFmtId="8" fontId="0" fillId="0" borderId="0" xfId="0" applyNumberFormat="1"/>
    <xf numFmtId="0" fontId="0" fillId="2" borderId="0" xfId="0" applyFill="1"/>
    <xf numFmtId="3" fontId="0" fillId="2" borderId="0" xfId="2" applyNumberFormat="1" applyFont="1" applyFill="1"/>
    <xf numFmtId="3" fontId="0" fillId="2" borderId="0" xfId="0" applyNumberFormat="1" applyFill="1"/>
    <xf numFmtId="3" fontId="0" fillId="3" borderId="0" xfId="0" applyNumberFormat="1" applyFill="1"/>
    <xf numFmtId="3" fontId="0" fillId="3" borderId="0" xfId="2" applyNumberFormat="1" applyFont="1" applyFill="1"/>
    <xf numFmtId="3" fontId="0" fillId="0" borderId="0" xfId="0" applyNumberFormat="1" applyFill="1"/>
    <xf numFmtId="0" fontId="0" fillId="0" borderId="0" xfId="0" applyFill="1"/>
    <xf numFmtId="0" fontId="0" fillId="0" borderId="0" xfId="0" applyAlignment="1">
      <alignment wrapText="1"/>
    </xf>
    <xf numFmtId="3" fontId="0" fillId="0" borderId="0" xfId="0" applyNumberFormat="1" applyAlignment="1">
      <alignment wrapText="1"/>
    </xf>
    <xf numFmtId="2" fontId="0" fillId="0" borderId="16" xfId="0" applyNumberFormat="1" applyBorder="1"/>
    <xf numFmtId="2" fontId="0" fillId="0" borderId="15" xfId="0" applyNumberFormat="1" applyBorder="1"/>
    <xf numFmtId="164" fontId="2" fillId="0" borderId="0" xfId="0" applyNumberFormat="1" applyFont="1" applyBorder="1"/>
    <xf numFmtId="164" fontId="2" fillId="0" borderId="15" xfId="0" applyNumberFormat="1" applyFont="1" applyBorder="1"/>
    <xf numFmtId="3" fontId="0" fillId="0" borderId="0" xfId="0" applyNumberFormat="1" applyBorder="1"/>
    <xf numFmtId="0" fontId="0" fillId="0" borderId="3" xfId="0" quotePrefix="1" applyBorder="1"/>
    <xf numFmtId="4" fontId="0" fillId="0" borderId="0" xfId="0" applyNumberFormat="1" applyBorder="1"/>
    <xf numFmtId="165" fontId="0" fillId="0" borderId="0" xfId="0" applyNumberFormat="1" applyBorder="1"/>
    <xf numFmtId="0" fontId="0" fillId="0" borderId="0" xfId="0" quotePrefix="1" applyBorder="1"/>
    <xf numFmtId="0" fontId="0" fillId="0" borderId="5" xfId="0" quotePrefix="1" applyBorder="1"/>
    <xf numFmtId="0" fontId="7" fillId="0" borderId="0" xfId="0" applyFont="1" applyBorder="1"/>
    <xf numFmtId="3" fontId="7" fillId="0" borderId="0" xfId="0" applyNumberFormat="1" applyFont="1" applyBorder="1"/>
    <xf numFmtId="0" fontId="2" fillId="0" borderId="1" xfId="0" applyFont="1" applyBorder="1"/>
    <xf numFmtId="0" fontId="7" fillId="0" borderId="3" xfId="0" applyFont="1" applyBorder="1"/>
    <xf numFmtId="3" fontId="0" fillId="0" borderId="4" xfId="0" applyNumberFormat="1" applyBorder="1"/>
    <xf numFmtId="164" fontId="0" fillId="0" borderId="15" xfId="0" applyNumberFormat="1" applyBorder="1"/>
    <xf numFmtId="164" fontId="0" fillId="0" borderId="0" xfId="0" applyNumberFormat="1" applyFill="1" applyBorder="1"/>
    <xf numFmtId="164" fontId="0" fillId="0" borderId="0" xfId="0" applyNumberFormat="1" applyBorder="1"/>
    <xf numFmtId="164" fontId="0" fillId="0" borderId="0" xfId="0" quotePrefix="1" applyNumberFormat="1" applyBorder="1"/>
    <xf numFmtId="164" fontId="0" fillId="0" borderId="13" xfId="0" applyNumberFormat="1" applyBorder="1"/>
    <xf numFmtId="164" fontId="0" fillId="0" borderId="13" xfId="0" applyNumberFormat="1" applyFill="1" applyBorder="1"/>
    <xf numFmtId="0" fontId="0" fillId="0" borderId="17" xfId="0" applyBorder="1"/>
    <xf numFmtId="0" fontId="0" fillId="0" borderId="3" xfId="0" applyFill="1" applyBorder="1"/>
    <xf numFmtId="3" fontId="0" fillId="0" borderId="15" xfId="0" applyNumberFormat="1" applyBorder="1"/>
    <xf numFmtId="0" fontId="0" fillId="0" borderId="18" xfId="0" applyBorder="1"/>
    <xf numFmtId="0" fontId="9" fillId="0" borderId="1" xfId="0" applyFont="1" applyBorder="1"/>
    <xf numFmtId="0" fontId="0" fillId="0" borderId="19" xfId="0" applyBorder="1"/>
    <xf numFmtId="0" fontId="2" fillId="0" borderId="15" xfId="0" applyFont="1" applyBorder="1"/>
    <xf numFmtId="0" fontId="0" fillId="0" borderId="16" xfId="0" quotePrefix="1" applyBorder="1"/>
    <xf numFmtId="0" fontId="2" fillId="0" borderId="3" xfId="0" applyFont="1" applyBorder="1"/>
    <xf numFmtId="0" fontId="0" fillId="0" borderId="20" xfId="0" applyBorder="1"/>
    <xf numFmtId="4" fontId="0" fillId="0" borderId="0" xfId="0" applyNumberFormat="1"/>
    <xf numFmtId="166" fontId="0" fillId="0" borderId="0" xfId="0" applyNumberFormat="1"/>
    <xf numFmtId="2" fontId="0" fillId="0" borderId="0" xfId="0" applyNumberFormat="1"/>
    <xf numFmtId="164" fontId="0" fillId="0" borderId="0" xfId="0" applyNumberFormat="1"/>
    <xf numFmtId="9" fontId="0" fillId="0" borderId="4" xfId="2" applyFont="1" applyBorder="1"/>
    <xf numFmtId="2" fontId="0" fillId="0" borderId="4" xfId="2" applyNumberFormat="1" applyFont="1" applyBorder="1"/>
    <xf numFmtId="0" fontId="0" fillId="0" borderId="16" xfId="0" applyBorder="1" applyAlignment="1"/>
    <xf numFmtId="0" fontId="0" fillId="0" borderId="3" xfId="0" applyBorder="1" applyAlignment="1"/>
    <xf numFmtId="0" fontId="0" fillId="0" borderId="0" xfId="0" quotePrefix="1" applyAlignment="1"/>
    <xf numFmtId="3" fontId="0" fillId="0" borderId="0" xfId="0" applyNumberFormat="1" applyAlignment="1"/>
    <xf numFmtId="1" fontId="0" fillId="0" borderId="16" xfId="0" applyNumberFormat="1" applyBorder="1"/>
    <xf numFmtId="1" fontId="0" fillId="0" borderId="0" xfId="0" applyNumberFormat="1" applyBorder="1" applyAlignment="1"/>
    <xf numFmtId="9" fontId="0" fillId="0" borderId="0" xfId="2" applyFont="1" applyBorder="1"/>
    <xf numFmtId="3" fontId="0" fillId="0" borderId="0" xfId="0" quotePrefix="1" applyNumberFormat="1"/>
    <xf numFmtId="3" fontId="0" fillId="0" borderId="3" xfId="0" applyNumberFormat="1" applyBorder="1"/>
    <xf numFmtId="166" fontId="0" fillId="0" borderId="3" xfId="0" applyNumberFormat="1" applyBorder="1"/>
    <xf numFmtId="0" fontId="10" fillId="0" borderId="16" xfId="0" applyFont="1" applyFill="1" applyBorder="1" applyProtection="1"/>
    <xf numFmtId="0" fontId="0" fillId="0" borderId="16" xfId="0" applyFill="1" applyBorder="1" applyProtection="1"/>
    <xf numFmtId="0" fontId="0" fillId="0" borderId="0" xfId="0" applyFill="1" applyBorder="1" applyProtection="1"/>
    <xf numFmtId="0" fontId="0" fillId="0" borderId="0" xfId="0" applyFill="1" applyBorder="1" applyAlignment="1" applyProtection="1"/>
    <xf numFmtId="0" fontId="11" fillId="0" borderId="0" xfId="0" applyFont="1" applyFill="1" applyBorder="1" applyAlignment="1" applyProtection="1"/>
    <xf numFmtId="0" fontId="0" fillId="0" borderId="4" xfId="0" applyBorder="1" applyAlignment="1"/>
    <xf numFmtId="0" fontId="11" fillId="0" borderId="0" xfId="0" applyFont="1" applyFill="1" applyBorder="1" applyProtection="1"/>
    <xf numFmtId="164" fontId="0" fillId="0" borderId="0" xfId="0" applyNumberFormat="1" applyFill="1" applyBorder="1" applyProtection="1"/>
    <xf numFmtId="0" fontId="0" fillId="0" borderId="0" xfId="0" applyFill="1" applyBorder="1" applyAlignment="1" applyProtection="1">
      <alignment horizontal="right"/>
    </xf>
    <xf numFmtId="0" fontId="12" fillId="0" borderId="0" xfId="0" applyFont="1" applyFill="1" applyBorder="1" applyAlignment="1" applyProtection="1"/>
    <xf numFmtId="0" fontId="0" fillId="0" borderId="0" xfId="0" applyFont="1"/>
    <xf numFmtId="0" fontId="12" fillId="0" borderId="0" xfId="0" applyFont="1" applyFill="1" applyBorder="1" applyProtection="1"/>
    <xf numFmtId="0" fontId="0" fillId="0" borderId="0" xfId="0" applyFont="1" applyAlignment="1"/>
    <xf numFmtId="3" fontId="0" fillId="4" borderId="0" xfId="0" applyNumberFormat="1" applyFill="1"/>
    <xf numFmtId="3" fontId="0" fillId="5" borderId="0" xfId="0" applyNumberFormat="1" applyFill="1"/>
    <xf numFmtId="3" fontId="0" fillId="6" borderId="0" xfId="0" applyNumberFormat="1" applyFill="1"/>
    <xf numFmtId="0" fontId="0" fillId="0" borderId="0" xfId="0" applyAlignment="1">
      <alignment horizontal="right"/>
    </xf>
    <xf numFmtId="1" fontId="0" fillId="0" borderId="0" xfId="0" applyNumberFormat="1"/>
    <xf numFmtId="0" fontId="0" fillId="0" borderId="0" xfId="0" applyFill="1" applyBorder="1"/>
    <xf numFmtId="3" fontId="0" fillId="0" borderId="0" xfId="0" applyNumberFormat="1" applyFill="1" applyBorder="1"/>
    <xf numFmtId="0" fontId="13" fillId="0" borderId="0" xfId="0" applyFont="1" applyAlignment="1">
      <alignment horizontal="right" vertical="center"/>
    </xf>
    <xf numFmtId="0" fontId="14" fillId="0" borderId="0" xfId="0" applyFont="1" applyAlignment="1">
      <alignment horizontal="left" vertical="center"/>
    </xf>
    <xf numFmtId="0" fontId="14" fillId="0" borderId="0" xfId="0" applyFont="1" applyAlignment="1">
      <alignment vertical="center"/>
    </xf>
    <xf numFmtId="0" fontId="13" fillId="0" borderId="0" xfId="0" applyFont="1" applyAlignment="1">
      <alignment horizontal="left" vertical="center"/>
    </xf>
    <xf numFmtId="0" fontId="13" fillId="0" borderId="0" xfId="0" applyFont="1" applyAlignment="1">
      <alignment vertical="center"/>
    </xf>
    <xf numFmtId="2" fontId="0" fillId="0" borderId="0" xfId="0" applyNumberFormat="1" applyAlignment="1"/>
    <xf numFmtId="0" fontId="2" fillId="0" borderId="18" xfId="0" applyFont="1" applyBorder="1"/>
    <xf numFmtId="49" fontId="2" fillId="0" borderId="18" xfId="0" applyNumberFormat="1" applyFont="1" applyBorder="1"/>
    <xf numFmtId="49" fontId="0" fillId="0" borderId="0" xfId="0" applyNumberFormat="1" applyBorder="1"/>
    <xf numFmtId="49" fontId="0" fillId="0" borderId="15" xfId="0" applyNumberFormat="1" applyBorder="1"/>
    <xf numFmtId="49" fontId="0" fillId="0" borderId="0" xfId="0" applyNumberFormat="1"/>
    <xf numFmtId="167" fontId="0" fillId="0" borderId="0" xfId="0" applyNumberFormat="1"/>
    <xf numFmtId="0" fontId="15" fillId="0" borderId="0" xfId="0" applyFont="1" applyAlignment="1">
      <alignment vertical="center"/>
    </xf>
    <xf numFmtId="0" fontId="18" fillId="0" borderId="0" xfId="3" applyAlignment="1">
      <alignment horizontal="left" vertical="center"/>
    </xf>
    <xf numFmtId="0" fontId="16" fillId="0" borderId="0" xfId="0" applyFont="1" applyAlignment="1">
      <alignment horizontal="left" vertical="center"/>
    </xf>
    <xf numFmtId="167" fontId="8" fillId="0" borderId="0" xfId="0" applyNumberFormat="1" applyFont="1"/>
    <xf numFmtId="0" fontId="19" fillId="0" borderId="0" xfId="0" applyFont="1"/>
    <xf numFmtId="0" fontId="20" fillId="0" borderId="0" xfId="0" applyFont="1"/>
    <xf numFmtId="167" fontId="19" fillId="0" borderId="0" xfId="0" applyNumberFormat="1" applyFont="1"/>
    <xf numFmtId="167" fontId="20" fillId="0" borderId="0" xfId="0" applyNumberFormat="1" applyFont="1"/>
    <xf numFmtId="0" fontId="8" fillId="0" borderId="0" xfId="0" applyFont="1"/>
    <xf numFmtId="0" fontId="22" fillId="0" borderId="0" xfId="0" applyFont="1" applyAlignment="1" applyProtection="1">
      <alignment vertical="top"/>
      <protection locked="0"/>
    </xf>
    <xf numFmtId="0" fontId="0" fillId="0" borderId="0" xfId="0" applyAlignment="1">
      <alignment horizontal="center"/>
    </xf>
    <xf numFmtId="167" fontId="23" fillId="0" borderId="0" xfId="0" applyNumberFormat="1" applyFont="1"/>
    <xf numFmtId="167" fontId="0" fillId="0" borderId="0" xfId="0" applyNumberFormat="1" applyFill="1"/>
    <xf numFmtId="4" fontId="2" fillId="0" borderId="15" xfId="0" applyNumberFormat="1" applyFont="1" applyBorder="1"/>
    <xf numFmtId="0" fontId="0" fillId="0" borderId="0" xfId="0" applyAlignment="1"/>
    <xf numFmtId="0" fontId="2" fillId="0" borderId="7" xfId="0" applyFont="1" applyBorder="1"/>
    <xf numFmtId="0" fontId="0" fillId="0" borderId="0" xfId="0" applyNumberFormat="1" applyBorder="1"/>
    <xf numFmtId="167" fontId="0" fillId="0" borderId="0" xfId="0" applyNumberFormat="1" applyBorder="1"/>
    <xf numFmtId="168" fontId="0" fillId="0" borderId="0" xfId="0" applyNumberFormat="1" applyBorder="1"/>
    <xf numFmtId="0" fontId="2" fillId="0" borderId="10" xfId="0" applyFont="1" applyBorder="1" applyAlignment="1"/>
    <xf numFmtId="10" fontId="0" fillId="0" borderId="0" xfId="0" applyNumberFormat="1" applyBorder="1"/>
    <xf numFmtId="0" fontId="2" fillId="0" borderId="10" xfId="0" applyFont="1" applyBorder="1"/>
    <xf numFmtId="2" fontId="0" fillId="0" borderId="13" xfId="0" applyNumberFormat="1" applyBorder="1"/>
    <xf numFmtId="1" fontId="0" fillId="0" borderId="11" xfId="0" applyNumberFormat="1" applyBorder="1"/>
    <xf numFmtId="1" fontId="0" fillId="0" borderId="13" xfId="0" applyNumberFormat="1" applyBorder="1"/>
    <xf numFmtId="1" fontId="0" fillId="0" borderId="14" xfId="0" applyNumberFormat="1" applyBorder="1"/>
    <xf numFmtId="3" fontId="0" fillId="7" borderId="0" xfId="0" applyNumberFormat="1" applyFill="1"/>
    <xf numFmtId="3" fontId="0" fillId="8" borderId="0" xfId="0" applyNumberFormat="1" applyFill="1"/>
    <xf numFmtId="169" fontId="0" fillId="0" borderId="0" xfId="2" applyNumberFormat="1" applyFont="1" applyBorder="1"/>
    <xf numFmtId="0" fontId="0" fillId="0" borderId="0" xfId="0" applyAlignment="1"/>
    <xf numFmtId="0" fontId="25" fillId="0" borderId="0" xfId="0" applyFont="1" applyAlignment="1">
      <alignment horizontal="left" vertical="center"/>
    </xf>
    <xf numFmtId="0" fontId="0" fillId="0" borderId="0" xfId="0" applyAlignment="1">
      <alignment horizontal="left" vertical="center"/>
    </xf>
    <xf numFmtId="0" fontId="24" fillId="0" borderId="0" xfId="0" applyFont="1" applyAlignment="1">
      <alignment horizontal="left" vertical="center"/>
    </xf>
    <xf numFmtId="0" fontId="26" fillId="0" borderId="0" xfId="0" applyFont="1"/>
    <xf numFmtId="0" fontId="12" fillId="0" borderId="0" xfId="0" applyFont="1" applyAlignment="1">
      <alignment vertical="center"/>
    </xf>
    <xf numFmtId="0" fontId="12" fillId="0" borderId="0" xfId="0" applyFont="1" applyAlignment="1">
      <alignment horizontal="right" vertical="center"/>
    </xf>
    <xf numFmtId="3" fontId="12" fillId="0" borderId="0" xfId="0" applyNumberFormat="1" applyFont="1" applyAlignment="1">
      <alignment horizontal="right" vertical="center"/>
    </xf>
    <xf numFmtId="0" fontId="0" fillId="0" borderId="21" xfId="0" applyBorder="1"/>
    <xf numFmtId="0" fontId="0" fillId="0" borderId="21" xfId="0" quotePrefix="1" applyBorder="1"/>
    <xf numFmtId="0" fontId="0" fillId="9" borderId="21" xfId="0" applyFill="1" applyBorder="1"/>
    <xf numFmtId="3" fontId="2" fillId="0" borderId="0" xfId="0" applyNumberFormat="1" applyFont="1" applyBorder="1"/>
    <xf numFmtId="3" fontId="2" fillId="0" borderId="15" xfId="0" applyNumberFormat="1" applyFont="1" applyBorder="1"/>
    <xf numFmtId="0" fontId="0" fillId="0" borderId="21" xfId="0" applyFill="1" applyBorder="1"/>
    <xf numFmtId="2" fontId="0" fillId="0" borderId="21" xfId="0" applyNumberFormat="1" applyFill="1" applyBorder="1"/>
    <xf numFmtId="0" fontId="0" fillId="0" borderId="0" xfId="0" applyBorder="1" applyAlignment="1">
      <alignment horizontal="right"/>
    </xf>
    <xf numFmtId="0" fontId="0" fillId="0" borderId="0" xfId="0" applyFill="1"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4" xfId="0" applyFill="1"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27" fillId="0" borderId="3" xfId="0" applyFont="1" applyBorder="1"/>
    <xf numFmtId="0" fontId="0" fillId="0" borderId="15" xfId="0" applyBorder="1" applyAlignment="1">
      <alignment horizontal="right"/>
    </xf>
    <xf numFmtId="9" fontId="0" fillId="0" borderId="0" xfId="2" applyFont="1"/>
    <xf numFmtId="0" fontId="0" fillId="7" borderId="16" xfId="0" applyFill="1" applyBorder="1"/>
    <xf numFmtId="0" fontId="0" fillId="7" borderId="2" xfId="0" applyFill="1" applyBorder="1"/>
    <xf numFmtId="0" fontId="0" fillId="7" borderId="0" xfId="0" applyFill="1" applyBorder="1" applyAlignment="1">
      <alignment horizontal="right"/>
    </xf>
    <xf numFmtId="0" fontId="0" fillId="7" borderId="4" xfId="0" applyFill="1" applyBorder="1" applyAlignment="1">
      <alignment horizontal="right"/>
    </xf>
    <xf numFmtId="0" fontId="0" fillId="7" borderId="4" xfId="0" applyFill="1" applyBorder="1"/>
    <xf numFmtId="0" fontId="0" fillId="7" borderId="0" xfId="0" applyFill="1" applyBorder="1"/>
    <xf numFmtId="0" fontId="0" fillId="7" borderId="15" xfId="0" applyFill="1" applyBorder="1" applyAlignment="1">
      <alignment horizontal="right"/>
    </xf>
    <xf numFmtId="0" fontId="0" fillId="7" borderId="6" xfId="0" applyFill="1" applyBorder="1" applyAlignment="1">
      <alignment horizontal="right"/>
    </xf>
    <xf numFmtId="3" fontId="0" fillId="0" borderId="21" xfId="0" applyNumberFormat="1" applyBorder="1"/>
    <xf numFmtId="0" fontId="28" fillId="0" borderId="15" xfId="0" applyFont="1" applyBorder="1" applyAlignment="1">
      <alignment horizontal="left"/>
    </xf>
    <xf numFmtId="8" fontId="0" fillId="0" borderId="0" xfId="0" applyNumberFormat="1" applyBorder="1"/>
    <xf numFmtId="169" fontId="2" fillId="0" borderId="0" xfId="2" applyNumberFormat="1" applyFont="1"/>
    <xf numFmtId="9" fontId="2" fillId="0" borderId="0" xfId="2" applyFont="1"/>
    <xf numFmtId="0" fontId="0" fillId="0" borderId="0" xfId="0" applyAlignment="1"/>
    <xf numFmtId="0" fontId="0" fillId="0" borderId="22" xfId="0" applyFont="1" applyBorder="1"/>
    <xf numFmtId="0" fontId="0" fillId="10" borderId="22" xfId="0" applyFont="1" applyFill="1" applyBorder="1"/>
    <xf numFmtId="0" fontId="29" fillId="0" borderId="23" xfId="0" applyFont="1" applyBorder="1" applyAlignment="1">
      <alignment horizontal="left" vertical="center"/>
    </xf>
    <xf numFmtId="0" fontId="29" fillId="0" borderId="24" xfId="0" applyFont="1" applyBorder="1" applyAlignment="1">
      <alignment horizontal="left" vertical="center"/>
    </xf>
    <xf numFmtId="0" fontId="30" fillId="0" borderId="25" xfId="0" applyFont="1" applyBorder="1" applyAlignment="1">
      <alignment horizontal="left" vertical="center"/>
    </xf>
    <xf numFmtId="0" fontId="30" fillId="0" borderId="14" xfId="0" applyFont="1" applyBorder="1" applyAlignment="1">
      <alignment horizontal="left" vertical="center"/>
    </xf>
    <xf numFmtId="0" fontId="30" fillId="0" borderId="11" xfId="0" applyFont="1" applyFill="1" applyBorder="1" applyAlignment="1">
      <alignment horizontal="left" vertical="center"/>
    </xf>
    <xf numFmtId="169" fontId="0" fillId="0" borderId="0" xfId="2" applyNumberFormat="1" applyFont="1"/>
    <xf numFmtId="169" fontId="2" fillId="0" borderId="15" xfId="2" applyNumberFormat="1" applyFont="1" applyBorder="1"/>
    <xf numFmtId="3" fontId="2" fillId="0" borderId="16" xfId="0" applyNumberFormat="1" applyFont="1" applyBorder="1"/>
    <xf numFmtId="1" fontId="2" fillId="0" borderId="16" xfId="0" applyNumberFormat="1" applyFont="1" applyBorder="1"/>
    <xf numFmtId="1" fontId="2" fillId="0" borderId="2" xfId="0" applyNumberFormat="1" applyFont="1" applyBorder="1"/>
    <xf numFmtId="0" fontId="2" fillId="0" borderId="26" xfId="0" applyFont="1" applyFill="1" applyBorder="1"/>
    <xf numFmtId="170" fontId="0" fillId="0" borderId="0" xfId="0" applyNumberFormat="1"/>
    <xf numFmtId="0" fontId="2" fillId="0" borderId="0" xfId="0" applyFont="1" applyAlignment="1"/>
    <xf numFmtId="0" fontId="0" fillId="0" borderId="0" xfId="0" applyAlignment="1"/>
    <xf numFmtId="167" fontId="21" fillId="0" borderId="0" xfId="0" applyNumberFormat="1" applyFont="1" applyAlignment="1"/>
  </cellXfs>
  <cellStyles count="4">
    <cellStyle name="Hyperlink" xfId="3" builtinId="8"/>
    <cellStyle name="Normal" xfId="0" builtinId="0"/>
    <cellStyle name="Normal 5" xfId="1"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LogFunc!$I$7:$I$59</c:f>
              <c:numCache>
                <c:formatCode>#,##0</c:formatCode>
                <c:ptCount val="53"/>
                <c:pt idx="0">
                  <c:v>-2043956.0439561158</c:v>
                </c:pt>
                <c:pt idx="1">
                  <c:v>1599999.9999999963</c:v>
                </c:pt>
                <c:pt idx="2">
                  <c:v>2099999.9999999981</c:v>
                </c:pt>
                <c:pt idx="3">
                  <c:v>2600000</c:v>
                </c:pt>
                <c:pt idx="4">
                  <c:v>3099999.9999999925</c:v>
                </c:pt>
                <c:pt idx="5">
                  <c:v>3599999.9999999981</c:v>
                </c:pt>
                <c:pt idx="6">
                  <c:v>4099999.9999999981</c:v>
                </c:pt>
                <c:pt idx="7">
                  <c:v>4599999.9999999981</c:v>
                </c:pt>
                <c:pt idx="8">
                  <c:v>5099999.9999999944</c:v>
                </c:pt>
                <c:pt idx="9">
                  <c:v>5600000</c:v>
                </c:pt>
                <c:pt idx="10">
                  <c:v>6100000</c:v>
                </c:pt>
                <c:pt idx="11">
                  <c:v>6600000.0000000019</c:v>
                </c:pt>
                <c:pt idx="12">
                  <c:v>7099999.9999999981</c:v>
                </c:pt>
                <c:pt idx="13">
                  <c:v>7599999.9999999944</c:v>
                </c:pt>
                <c:pt idx="14">
                  <c:v>8099999.9999999944</c:v>
                </c:pt>
                <c:pt idx="15">
                  <c:v>8600000.0000000019</c:v>
                </c:pt>
                <c:pt idx="16">
                  <c:v>9100000.0000000019</c:v>
                </c:pt>
                <c:pt idx="17">
                  <c:v>9599999.9999999981</c:v>
                </c:pt>
                <c:pt idx="18">
                  <c:v>10100000.000000002</c:v>
                </c:pt>
                <c:pt idx="19">
                  <c:v>10599999.999999996</c:v>
                </c:pt>
                <c:pt idx="20">
                  <c:v>11100000.000000004</c:v>
                </c:pt>
                <c:pt idx="21">
                  <c:v>11600000</c:v>
                </c:pt>
                <c:pt idx="22">
                  <c:v>12099999.999999996</c:v>
                </c:pt>
                <c:pt idx="23">
                  <c:v>12600000</c:v>
                </c:pt>
                <c:pt idx="24">
                  <c:v>13100000</c:v>
                </c:pt>
                <c:pt idx="25">
                  <c:v>13599999.999999996</c:v>
                </c:pt>
                <c:pt idx="26">
                  <c:v>14100000</c:v>
                </c:pt>
                <c:pt idx="27">
                  <c:v>14599999.999999998</c:v>
                </c:pt>
                <c:pt idx="28">
                  <c:v>15100000</c:v>
                </c:pt>
                <c:pt idx="29">
                  <c:v>15600000.000000002</c:v>
                </c:pt>
                <c:pt idx="30">
                  <c:v>16100000.000000002</c:v>
                </c:pt>
                <c:pt idx="31">
                  <c:v>16600000.000000002</c:v>
                </c:pt>
                <c:pt idx="32">
                  <c:v>17100000</c:v>
                </c:pt>
                <c:pt idx="33">
                  <c:v>17600000</c:v>
                </c:pt>
                <c:pt idx="34">
                  <c:v>18100000</c:v>
                </c:pt>
                <c:pt idx="35">
                  <c:v>18600000</c:v>
                </c:pt>
                <c:pt idx="36">
                  <c:v>19100000</c:v>
                </c:pt>
                <c:pt idx="37">
                  <c:v>19599999.999999996</c:v>
                </c:pt>
                <c:pt idx="38">
                  <c:v>20100000</c:v>
                </c:pt>
                <c:pt idx="39">
                  <c:v>20600000.000000004</c:v>
                </c:pt>
                <c:pt idx="40">
                  <c:v>21100000</c:v>
                </c:pt>
                <c:pt idx="41">
                  <c:v>21600000</c:v>
                </c:pt>
                <c:pt idx="42">
                  <c:v>22100000</c:v>
                </c:pt>
                <c:pt idx="43">
                  <c:v>22600000</c:v>
                </c:pt>
                <c:pt idx="44">
                  <c:v>23100000</c:v>
                </c:pt>
                <c:pt idx="45">
                  <c:v>23600000</c:v>
                </c:pt>
                <c:pt idx="46">
                  <c:v>24100000</c:v>
                </c:pt>
                <c:pt idx="47">
                  <c:v>24600000</c:v>
                </c:pt>
                <c:pt idx="48">
                  <c:v>25100000</c:v>
                </c:pt>
                <c:pt idx="49">
                  <c:v>25600000</c:v>
                </c:pt>
                <c:pt idx="50">
                  <c:v>26100000</c:v>
                </c:pt>
                <c:pt idx="51">
                  <c:v>26600000.000000004</c:v>
                </c:pt>
                <c:pt idx="52">
                  <c:v>27100000</c:v>
                </c:pt>
              </c:numCache>
            </c:numRef>
          </c:xVal>
          <c:yVal>
            <c:numRef>
              <c:f>LogFunc!$D$7:$D$59</c:f>
              <c:numCache>
                <c:formatCode>General</c:formatCode>
                <c:ptCount val="53"/>
                <c:pt idx="0">
                  <c:v>3873.8236953730752</c:v>
                </c:pt>
                <c:pt idx="1">
                  <c:v>3698.6198486860517</c:v>
                </c:pt>
                <c:pt idx="2">
                  <c:v>3670.3941586133474</c:v>
                </c:pt>
                <c:pt idx="3">
                  <c:v>3641.088325470876</c:v>
                </c:pt>
                <c:pt idx="4">
                  <c:v>3610.6830654056143</c:v>
                </c:pt>
                <c:pt idx="5">
                  <c:v>3579.1608515854018</c:v>
                </c:pt>
                <c:pt idx="6">
                  <c:v>3546.5061257610419</c:v>
                </c:pt>
                <c:pt idx="7">
                  <c:v>3512.7055145583236</c:v>
                </c:pt>
                <c:pt idx="8">
                  <c:v>3477.7480488215133</c:v>
                </c:pt>
                <c:pt idx="9">
                  <c:v>3441.6253840948525</c:v>
                </c:pt>
                <c:pt idx="10">
                  <c:v>3404.3320200967087</c:v>
                </c:pt>
                <c:pt idx="11">
                  <c:v>3365.8655168179325</c:v>
                </c:pt>
                <c:pt idx="12">
                  <c:v>3326.2267046678085</c:v>
                </c:pt>
                <c:pt idx="13">
                  <c:v>3285.4198859046023</c:v>
                </c:pt>
                <c:pt idx="14">
                  <c:v>3243.4530244301886</c:v>
                </c:pt>
                <c:pt idx="15">
                  <c:v>3200.3379209069881</c:v>
                </c:pt>
                <c:pt idx="16">
                  <c:v>3156.0903700778681</c:v>
                </c:pt>
                <c:pt idx="17">
                  <c:v>3110.7302971427362</c:v>
                </c:pt>
                <c:pt idx="18">
                  <c:v>3064.2818700760517</c:v>
                </c:pt>
                <c:pt idx="19">
                  <c:v>3016.7735848628695</c:v>
                </c:pt>
                <c:pt idx="20">
                  <c:v>2968.2383207920329</c:v>
                </c:pt>
                <c:pt idx="21">
                  <c:v>2918.7133631766765</c:v>
                </c:pt>
                <c:pt idx="22">
                  <c:v>2868.2403911755669</c:v>
                </c:pt>
                <c:pt idx="23">
                  <c:v>2816.8654287632348</c:v>
                </c:pt>
                <c:pt idx="24">
                  <c:v>2764.638757339229</c:v>
                </c:pt>
                <c:pt idx="25">
                  <c:v>2711.6147889718013</c:v>
                </c:pt>
                <c:pt idx="26">
                  <c:v>2657.8518998310324</c:v>
                </c:pt>
                <c:pt idx="27">
                  <c:v>2603.412223970658</c:v>
                </c:pt>
                <c:pt idx="28">
                  <c:v>2548.3614082542776</c:v>
                </c:pt>
                <c:pt idx="29">
                  <c:v>2492.7683298759807</c:v>
                </c:pt>
                <c:pt idx="30">
                  <c:v>2436.7047785819</c:v>
                </c:pt>
                <c:pt idx="31">
                  <c:v>2380.2451063410772</c:v>
                </c:pt>
                <c:pt idx="32">
                  <c:v>2323.4658478240508</c:v>
                </c:pt>
                <c:pt idx="33">
                  <c:v>2266.4453156087297</c:v>
                </c:pt>
                <c:pt idx="34">
                  <c:v>2209.2631745292629</c:v>
                </c:pt>
                <c:pt idx="35">
                  <c:v>2152</c:v>
                </c:pt>
                <c:pt idx="36">
                  <c:v>2094.7368254707371</c:v>
                </c:pt>
                <c:pt idx="37">
                  <c:v>2037.5546843912705</c:v>
                </c:pt>
                <c:pt idx="38">
                  <c:v>1980.5341521759492</c:v>
                </c:pt>
                <c:pt idx="39">
                  <c:v>1923.7548936589224</c:v>
                </c:pt>
                <c:pt idx="40">
                  <c:v>1867.2952214181</c:v>
                </c:pt>
                <c:pt idx="41">
                  <c:v>1811.231670124019</c:v>
                </c:pt>
                <c:pt idx="42">
                  <c:v>1755.6385917457221</c:v>
                </c:pt>
                <c:pt idx="43">
                  <c:v>1700.587776029342</c:v>
                </c:pt>
                <c:pt idx="44">
                  <c:v>1646.1481001689676</c:v>
                </c:pt>
                <c:pt idx="45">
                  <c:v>1592.3852110281989</c:v>
                </c:pt>
                <c:pt idx="46">
                  <c:v>1539.361242660771</c:v>
                </c:pt>
                <c:pt idx="47">
                  <c:v>1487.1345712367654</c:v>
                </c:pt>
                <c:pt idx="48">
                  <c:v>1435.7596088244334</c:v>
                </c:pt>
                <c:pt idx="49">
                  <c:v>1385.2866368233235</c:v>
                </c:pt>
                <c:pt idx="50">
                  <c:v>1335.7616792079671</c:v>
                </c:pt>
                <c:pt idx="51">
                  <c:v>1287.2264151371305</c:v>
                </c:pt>
                <c:pt idx="52">
                  <c:v>1239.7181299239485</c:v>
                </c:pt>
              </c:numCache>
            </c:numRef>
          </c:yVal>
          <c:smooth val="1"/>
          <c:extLst>
            <c:ext xmlns:c16="http://schemas.microsoft.com/office/drawing/2014/chart" uri="{C3380CC4-5D6E-409C-BE32-E72D297353CC}">
              <c16:uniqueId val="{00000000-3E4F-41B0-BACA-2CD9FAB1BD4B}"/>
            </c:ext>
          </c:extLst>
        </c:ser>
        <c:dLbls>
          <c:showLegendKey val="0"/>
          <c:showVal val="0"/>
          <c:showCatName val="0"/>
          <c:showSerName val="0"/>
          <c:showPercent val="0"/>
          <c:showBubbleSize val="0"/>
        </c:dLbls>
        <c:axId val="491711808"/>
        <c:axId val="491707104"/>
      </c:scatterChart>
      <c:valAx>
        <c:axId val="491711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491707104"/>
        <c:crosses val="autoZero"/>
        <c:crossBetween val="midCat"/>
      </c:valAx>
      <c:valAx>
        <c:axId val="49170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4917118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strRef>
              <c:f>BCCS!$I$1</c:f>
              <c:strCache>
                <c:ptCount val="1"/>
                <c:pt idx="0">
                  <c:v>ton CO2/ton output</c:v>
                </c:pt>
              </c:strCache>
            </c:strRef>
          </c:tx>
          <c:spPr>
            <a:ln w="19050" cap="rnd">
              <a:noFill/>
              <a:round/>
            </a:ln>
            <a:effectLst/>
          </c:spPr>
          <c:marker>
            <c:symbol val="circle"/>
            <c:size val="5"/>
            <c:spPr>
              <a:solidFill>
                <a:schemeClr val="accent1"/>
              </a:solidFill>
              <a:ln w="9525">
                <a:solidFill>
                  <a:schemeClr val="accent1"/>
                </a:solidFill>
              </a:ln>
              <a:effectLst/>
            </c:spPr>
          </c:marker>
          <c:xVal>
            <c:numRef>
              <c:f>BCCS!$H$2:$H$21</c:f>
              <c:numCache>
                <c:formatCode>General</c:formatCode>
                <c:ptCount val="20"/>
                <c:pt idx="0">
                  <c:v>700</c:v>
                </c:pt>
                <c:pt idx="1">
                  <c:v>600</c:v>
                </c:pt>
                <c:pt idx="2">
                  <c:v>500</c:v>
                </c:pt>
                <c:pt idx="3">
                  <c:v>675</c:v>
                </c:pt>
                <c:pt idx="4">
                  <c:v>400</c:v>
                </c:pt>
                <c:pt idx="5">
                  <c:v>700</c:v>
                </c:pt>
                <c:pt idx="6">
                  <c:v>300</c:v>
                </c:pt>
                <c:pt idx="7">
                  <c:v>150</c:v>
                </c:pt>
                <c:pt idx="8">
                  <c:v>230</c:v>
                </c:pt>
                <c:pt idx="9">
                  <c:v>225</c:v>
                </c:pt>
                <c:pt idx="10">
                  <c:v>650</c:v>
                </c:pt>
                <c:pt idx="11">
                  <c:v>540</c:v>
                </c:pt>
                <c:pt idx="12">
                  <c:v>260</c:v>
                </c:pt>
                <c:pt idx="13">
                  <c:v>460</c:v>
                </c:pt>
                <c:pt idx="14">
                  <c:v>335</c:v>
                </c:pt>
                <c:pt idx="15">
                  <c:v>755</c:v>
                </c:pt>
                <c:pt idx="16">
                  <c:v>500</c:v>
                </c:pt>
                <c:pt idx="17">
                  <c:v>150</c:v>
                </c:pt>
                <c:pt idx="18">
                  <c:v>800</c:v>
                </c:pt>
                <c:pt idx="19">
                  <c:v>900</c:v>
                </c:pt>
              </c:numCache>
            </c:numRef>
          </c:xVal>
          <c:yVal>
            <c:numRef>
              <c:f>BCCS!$I$2:$I$21</c:f>
              <c:numCache>
                <c:formatCode>General</c:formatCode>
                <c:ptCount val="20"/>
                <c:pt idx="0">
                  <c:v>2.62</c:v>
                </c:pt>
                <c:pt idx="1">
                  <c:v>1.615</c:v>
                </c:pt>
                <c:pt idx="2">
                  <c:v>3.6520000000000001</c:v>
                </c:pt>
                <c:pt idx="3">
                  <c:v>1.3970370370370371</c:v>
                </c:pt>
                <c:pt idx="4">
                  <c:v>1.9375</c:v>
                </c:pt>
                <c:pt idx="5">
                  <c:v>1.6185714285714285</c:v>
                </c:pt>
                <c:pt idx="6">
                  <c:v>2.3533333333333335</c:v>
                </c:pt>
                <c:pt idx="7">
                  <c:v>4.0666666666666664</c:v>
                </c:pt>
                <c:pt idx="8">
                  <c:v>2.3739130434782609</c:v>
                </c:pt>
                <c:pt idx="9">
                  <c:v>2.88</c:v>
                </c:pt>
                <c:pt idx="10">
                  <c:v>2.3738461538461539</c:v>
                </c:pt>
                <c:pt idx="11">
                  <c:v>1.6870370370370371</c:v>
                </c:pt>
                <c:pt idx="12">
                  <c:v>1.8730769230769231</c:v>
                </c:pt>
                <c:pt idx="13">
                  <c:v>2.1891304347826086</c:v>
                </c:pt>
                <c:pt idx="14">
                  <c:v>2.6328358208955223</c:v>
                </c:pt>
                <c:pt idx="15">
                  <c:v>1.6635761589403975</c:v>
                </c:pt>
                <c:pt idx="16">
                  <c:v>2.5920000000000001</c:v>
                </c:pt>
                <c:pt idx="17">
                  <c:v>4.6399999999999997</c:v>
                </c:pt>
                <c:pt idx="18">
                  <c:v>1.21</c:v>
                </c:pt>
                <c:pt idx="19">
                  <c:v>1.2955555555555556</c:v>
                </c:pt>
              </c:numCache>
            </c:numRef>
          </c:yVal>
          <c:smooth val="0"/>
          <c:extLst>
            <c:ext xmlns:c16="http://schemas.microsoft.com/office/drawing/2014/chart" uri="{C3380CC4-5D6E-409C-BE32-E72D297353CC}">
              <c16:uniqueId val="{00000000-4C7D-4135-8681-680E0A55FFF4}"/>
            </c:ext>
          </c:extLst>
        </c:ser>
        <c:dLbls>
          <c:showLegendKey val="0"/>
          <c:showVal val="0"/>
          <c:showCatName val="0"/>
          <c:showSerName val="0"/>
          <c:showPercent val="0"/>
          <c:showBubbleSize val="0"/>
        </c:dLbls>
        <c:axId val="491705928"/>
        <c:axId val="620919592"/>
      </c:scatterChart>
      <c:valAx>
        <c:axId val="491705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20919592"/>
        <c:crosses val="autoZero"/>
        <c:crossBetween val="midCat"/>
      </c:valAx>
      <c:valAx>
        <c:axId val="620919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491705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10</xdr:col>
      <xdr:colOff>286641</xdr:colOff>
      <xdr:row>27</xdr:row>
      <xdr:rowOff>143576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266700"/>
          <a:ext cx="6382641" cy="5020376"/>
        </a:xfrm>
        <a:prstGeom prst="rect">
          <a:avLst/>
        </a:prstGeom>
      </xdr:spPr>
    </xdr:pic>
    <xdr:clientData/>
  </xdr:twoCellAnchor>
  <xdr:twoCellAnchor editAs="oneCell">
    <xdr:from>
      <xdr:col>0</xdr:col>
      <xdr:colOff>0</xdr:colOff>
      <xdr:row>29</xdr:row>
      <xdr:rowOff>9525</xdr:rowOff>
    </xdr:from>
    <xdr:to>
      <xdr:col>8</xdr:col>
      <xdr:colOff>591313</xdr:colOff>
      <xdr:row>64</xdr:row>
      <xdr:rowOff>105719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5534025"/>
          <a:ext cx="5468113" cy="67636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533400</xdr:colOff>
      <xdr:row>4</xdr:row>
      <xdr:rowOff>104775</xdr:rowOff>
    </xdr:from>
    <xdr:to>
      <xdr:col>25</xdr:col>
      <xdr:colOff>372303</xdr:colOff>
      <xdr:row>9</xdr:row>
      <xdr:rowOff>104908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049125" y="866775"/>
          <a:ext cx="5934903" cy="952633"/>
        </a:xfrm>
        <a:prstGeom prst="rect">
          <a:avLst/>
        </a:prstGeom>
      </xdr:spPr>
    </xdr:pic>
    <xdr:clientData/>
  </xdr:twoCellAnchor>
  <xdr:twoCellAnchor editAs="oneCell">
    <xdr:from>
      <xdr:col>27</xdr:col>
      <xdr:colOff>381000</xdr:colOff>
      <xdr:row>18</xdr:row>
      <xdr:rowOff>85725</xdr:rowOff>
    </xdr:from>
    <xdr:to>
      <xdr:col>36</xdr:col>
      <xdr:colOff>524804</xdr:colOff>
      <xdr:row>38</xdr:row>
      <xdr:rowOff>48151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9211925" y="3514725"/>
          <a:ext cx="6658904" cy="3772426"/>
        </a:xfrm>
        <a:prstGeom prst="rect">
          <a:avLst/>
        </a:prstGeom>
      </xdr:spPr>
    </xdr:pic>
    <xdr:clientData/>
  </xdr:twoCellAnchor>
  <xdr:twoCellAnchor editAs="oneCell">
    <xdr:from>
      <xdr:col>15</xdr:col>
      <xdr:colOff>514350</xdr:colOff>
      <xdr:row>14</xdr:row>
      <xdr:rowOff>133350</xdr:rowOff>
    </xdr:from>
    <xdr:to>
      <xdr:col>26</xdr:col>
      <xdr:colOff>553391</xdr:colOff>
      <xdr:row>34</xdr:row>
      <xdr:rowOff>143408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030075" y="2800350"/>
          <a:ext cx="6744641" cy="38200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500062</xdr:colOff>
      <xdr:row>1</xdr:row>
      <xdr:rowOff>161925</xdr:rowOff>
    </xdr:from>
    <xdr:to>
      <xdr:col>16</xdr:col>
      <xdr:colOff>114300</xdr:colOff>
      <xdr:row>16</xdr:row>
      <xdr:rowOff>47625</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219075</xdr:colOff>
      <xdr:row>1</xdr:row>
      <xdr:rowOff>176212</xdr:rowOff>
    </xdr:from>
    <xdr:to>
      <xdr:col>16</xdr:col>
      <xdr:colOff>523875</xdr:colOff>
      <xdr:row>16</xdr:row>
      <xdr:rowOff>61912</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152400</xdr:rowOff>
    </xdr:from>
    <xdr:to>
      <xdr:col>8</xdr:col>
      <xdr:colOff>400844</xdr:colOff>
      <xdr:row>15</xdr:row>
      <xdr:rowOff>57456</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3962400"/>
          <a:ext cx="5687219" cy="21910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1</xdr:colOff>
      <xdr:row>15</xdr:row>
      <xdr:rowOff>59586</xdr:rowOff>
    </xdr:from>
    <xdr:ext cx="3703320" cy="2886662"/>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 y="2909466"/>
          <a:ext cx="3703320" cy="288666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xdr:colOff>
      <xdr:row>15</xdr:row>
      <xdr:rowOff>59586</xdr:rowOff>
    </xdr:from>
    <xdr:ext cx="3703320" cy="2886662"/>
    <xdr:pic>
      <xdr:nvPicPr>
        <xdr:cNvPr id="2" name="Picture 1">
          <a:extLst>
            <a:ext uri="{FF2B5EF4-FFF2-40B4-BE49-F238E27FC236}">
              <a16:creationId xmlns:a16="http://schemas.microsoft.com/office/drawing/2014/main" id="{28EBE9DE-A96D-41AD-965B-64A829716768}"/>
            </a:ext>
          </a:extLst>
        </xdr:cNvPr>
        <xdr:cNvPicPr>
          <a:picLocks noChangeAspect="1"/>
        </xdr:cNvPicPr>
      </xdr:nvPicPr>
      <xdr:blipFill>
        <a:blip xmlns:r="http://schemas.openxmlformats.org/officeDocument/2006/relationships" r:embed="rId1"/>
        <a:stretch>
          <a:fillRect/>
        </a:stretch>
      </xdr:blipFill>
      <xdr:spPr>
        <a:xfrm>
          <a:off x="1" y="3050436"/>
          <a:ext cx="3703320" cy="288666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ioframeData\NewIO\Input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Processes"/>
      <sheetName val="IO"/>
      <sheetName val="Trp"/>
      <sheetName val="FAO"/>
      <sheetName val="IIASA"/>
      <sheetName val="ConvFact"/>
      <sheetName val="Cforest"/>
      <sheetName val="Termin"/>
      <sheetName val="Sawmpi"/>
      <sheetName val="Sawmsp"/>
      <sheetName val="Sawmal"/>
      <sheetName val="Heatpl"/>
      <sheetName val="CHPpl_"/>
      <sheetName val="HTLpl_"/>
      <sheetName val="PuChem"/>
      <sheetName val="PuCTMP"/>
      <sheetName val="PuMech"/>
      <sheetName val="PuDiss"/>
      <sheetName val="PaChem"/>
      <sheetName val="OtChem"/>
      <sheetName val="OtMech"/>
      <sheetName val="NwMech"/>
      <sheetName val="PuBCCS"/>
      <sheetName val="PaBCCS"/>
      <sheetName val="OtBCCS"/>
    </sheetNames>
    <sheetDataSet>
      <sheetData sheetId="0">
        <row r="1">
          <cell r="A1" t="str">
            <v>Factor</v>
          </cell>
          <cell r="D1" t="str">
            <v>Ela-sticity</v>
          </cell>
        </row>
        <row r="2">
          <cell r="A2" t="str">
            <v>Pine saw timber</v>
          </cell>
        </row>
        <row r="3">
          <cell r="A3" t="str">
            <v>Pine pulpwood</v>
          </cell>
        </row>
        <row r="4">
          <cell r="A4" t="str">
            <v>Spruce saw timber</v>
          </cell>
        </row>
        <row r="5">
          <cell r="A5" t="str">
            <v>Spruce pulpwood</v>
          </cell>
        </row>
        <row r="6">
          <cell r="A6" t="str">
            <v>Deciduous wood</v>
          </cell>
        </row>
        <row r="7">
          <cell r="A7" t="str">
            <v>Sawdust</v>
          </cell>
        </row>
        <row r="8">
          <cell r="A8" t="str">
            <v>Chips</v>
          </cell>
        </row>
        <row r="9">
          <cell r="A9" t="str">
            <v>Residues above gr.</v>
          </cell>
        </row>
        <row r="10">
          <cell r="A10" t="str">
            <v>Stump and roots</v>
          </cell>
        </row>
        <row r="14">
          <cell r="A14" t="str">
            <v>Sawn wood</v>
          </cell>
        </row>
        <row r="15">
          <cell r="A15" t="str">
            <v>Heat</v>
          </cell>
        </row>
        <row r="16">
          <cell r="A16" t="str">
            <v>Electricity</v>
          </cell>
        </row>
        <row r="17">
          <cell r="A17" t="str">
            <v>Biofuel</v>
          </cell>
        </row>
        <row r="18">
          <cell r="A18" t="str">
            <v>Pulp chem. process</v>
          </cell>
        </row>
        <row r="19">
          <cell r="A19" t="str">
            <v>Pulp mech. process</v>
          </cell>
        </row>
        <row r="20">
          <cell r="A20" t="str">
            <v>Dissolving pulp</v>
          </cell>
        </row>
        <row r="21">
          <cell r="A21" t="str">
            <v>Packaging</v>
          </cell>
        </row>
        <row r="22">
          <cell r="A22" t="str">
            <v>Other paper chem.</v>
          </cell>
        </row>
        <row r="23">
          <cell r="A23" t="str">
            <v>Other paper mech.</v>
          </cell>
        </row>
        <row r="24">
          <cell r="A24" t="str">
            <v>Newsprint</v>
          </cell>
        </row>
      </sheetData>
      <sheetData sheetId="1">
        <row r="2">
          <cell r="A2" t="str">
            <v>Sawmpi</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7.bin"/><Relationship Id="rId1" Type="http://schemas.openxmlformats.org/officeDocument/2006/relationships/hyperlink" Target="https://doi.org/10.1016/j.techfore.2020.120478" TargetMode="Externa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6"/>
  <sheetViews>
    <sheetView topLeftCell="B13" zoomScale="130" zoomScaleNormal="130" workbookViewId="0">
      <selection activeCell="Q25" sqref="Q25"/>
    </sheetView>
  </sheetViews>
  <sheetFormatPr defaultRowHeight="15" x14ac:dyDescent="0.25"/>
  <cols>
    <col min="13" max="15" width="9.5703125" bestFit="1" customWidth="1"/>
  </cols>
  <sheetData>
    <row r="1" spans="1:1" x14ac:dyDescent="0.25">
      <c r="A1" t="s">
        <v>182</v>
      </c>
    </row>
    <row r="20" spans="12:18" x14ac:dyDescent="0.25">
      <c r="L20" s="23"/>
      <c r="M20" s="22" t="s">
        <v>174</v>
      </c>
      <c r="N20" s="22"/>
      <c r="O20" s="22"/>
      <c r="P20" s="22"/>
      <c r="Q20" s="22"/>
      <c r="R20" s="21"/>
    </row>
    <row r="21" spans="12:18" x14ac:dyDescent="0.25">
      <c r="L21" s="20"/>
      <c r="M21" s="2" t="s">
        <v>9</v>
      </c>
      <c r="N21" s="2" t="s">
        <v>6</v>
      </c>
      <c r="O21" s="2" t="s">
        <v>175</v>
      </c>
      <c r="P21" s="2"/>
      <c r="Q21" s="2"/>
      <c r="R21" s="1"/>
    </row>
    <row r="22" spans="12:18" x14ac:dyDescent="0.25">
      <c r="L22" s="20"/>
      <c r="M22" s="2">
        <v>1.7</v>
      </c>
      <c r="N22" s="2">
        <v>2.2999999999999998</v>
      </c>
      <c r="O22" s="2">
        <v>2.7</v>
      </c>
      <c r="P22" s="2"/>
      <c r="Q22" s="2"/>
      <c r="R22" s="1"/>
    </row>
    <row r="23" spans="12:18" x14ac:dyDescent="0.25">
      <c r="L23" s="20" t="s">
        <v>176</v>
      </c>
      <c r="M23" s="2"/>
      <c r="N23" s="2"/>
      <c r="O23" s="2"/>
      <c r="P23" s="2" t="s">
        <v>181</v>
      </c>
      <c r="Q23" s="2" t="s">
        <v>180</v>
      </c>
      <c r="R23" s="1" t="s">
        <v>7</v>
      </c>
    </row>
    <row r="24" spans="12:18" x14ac:dyDescent="0.25">
      <c r="L24" s="20" t="s">
        <v>177</v>
      </c>
      <c r="M24" s="41">
        <f>M22*P24</f>
        <v>0.39187858900738309</v>
      </c>
      <c r="N24" s="41">
        <f>N22*P24</f>
        <v>0.53018867924528301</v>
      </c>
      <c r="O24" s="41"/>
      <c r="P24" s="2">
        <f>Q24/(Q24+Q25)</f>
        <v>0.23051681706316654</v>
      </c>
      <c r="Q24" s="2">
        <v>1124</v>
      </c>
      <c r="R24" s="1"/>
    </row>
    <row r="25" spans="12:18" x14ac:dyDescent="0.25">
      <c r="L25" s="20" t="s">
        <v>178</v>
      </c>
      <c r="M25" s="41">
        <f>M22*P25</f>
        <v>1.3081214109926169</v>
      </c>
      <c r="N25" s="41">
        <f>N22*P25</f>
        <v>1.7698113207547168</v>
      </c>
      <c r="O25" s="41"/>
      <c r="P25" s="2">
        <f>Q25/(Q24+Q25)</f>
        <v>0.76948318293683349</v>
      </c>
      <c r="Q25" s="2">
        <v>3752</v>
      </c>
      <c r="R25" s="1"/>
    </row>
    <row r="26" spans="12:18" x14ac:dyDescent="0.25">
      <c r="L26" s="19" t="s">
        <v>179</v>
      </c>
      <c r="M26" s="42"/>
      <c r="N26" s="42"/>
      <c r="O26" s="42">
        <f>O22</f>
        <v>2.7</v>
      </c>
      <c r="P26" s="18"/>
      <c r="Q26" s="18"/>
      <c r="R26" s="17">
        <v>1676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E32"/>
  <sheetViews>
    <sheetView topLeftCell="N1" zoomScale="115" zoomScaleNormal="115" workbookViewId="0">
      <selection activeCell="AE16" sqref="AE16"/>
    </sheetView>
  </sheetViews>
  <sheetFormatPr defaultRowHeight="15" x14ac:dyDescent="0.25"/>
  <cols>
    <col min="1" max="1" width="28.140625" customWidth="1"/>
    <col min="9" max="9" width="25.28515625" customWidth="1"/>
    <col min="11" max="11" width="9.5703125" bestFit="1" customWidth="1"/>
    <col min="13" max="19" width="9.140625" style="2"/>
    <col min="29" max="29" width="24.5703125" customWidth="1"/>
  </cols>
  <sheetData>
    <row r="1" spans="1:31" x14ac:dyDescent="0.25">
      <c r="A1" s="23" t="s">
        <v>346</v>
      </c>
      <c r="B1" s="22" t="s">
        <v>3</v>
      </c>
      <c r="C1" s="22">
        <v>2.4</v>
      </c>
      <c r="D1" s="39">
        <f>1/C1</f>
        <v>0.41666666666666669</v>
      </c>
      <c r="E1" s="22" t="s">
        <v>6</v>
      </c>
      <c r="F1" s="22"/>
      <c r="G1" s="21"/>
      <c r="I1" s="23" t="s">
        <v>5</v>
      </c>
      <c r="J1" s="22" t="s">
        <v>3</v>
      </c>
      <c r="K1" s="39">
        <v>2.4875621890547261</v>
      </c>
      <c r="L1" s="39">
        <f>1/K1</f>
        <v>0.40200000000000002</v>
      </c>
      <c r="M1" s="2" t="s">
        <v>6</v>
      </c>
      <c r="N1" s="22"/>
      <c r="O1" s="21"/>
      <c r="AC1" t="s">
        <v>11</v>
      </c>
    </row>
    <row r="2" spans="1:31" x14ac:dyDescent="0.25">
      <c r="A2" s="20"/>
      <c r="B2" s="2" t="s">
        <v>4</v>
      </c>
      <c r="C2" s="2">
        <v>2.2999999999999998</v>
      </c>
      <c r="D2" s="16">
        <f>1/C2</f>
        <v>0.43478260869565222</v>
      </c>
      <c r="E2" s="2" t="s">
        <v>7</v>
      </c>
      <c r="F2" s="2"/>
      <c r="G2" s="1"/>
      <c r="I2" s="20" t="s">
        <v>347</v>
      </c>
      <c r="J2" s="2" t="s">
        <v>4</v>
      </c>
      <c r="K2" s="16">
        <v>2.6666666666666665</v>
      </c>
      <c r="L2" s="16">
        <f>1/K2</f>
        <v>0.375</v>
      </c>
      <c r="M2" s="2" t="s">
        <v>6</v>
      </c>
      <c r="O2" s="1"/>
      <c r="AD2" t="s">
        <v>10</v>
      </c>
      <c r="AE2" t="s">
        <v>751</v>
      </c>
    </row>
    <row r="3" spans="1:31" x14ac:dyDescent="0.25">
      <c r="A3" s="20"/>
      <c r="B3" s="2" t="s">
        <v>1</v>
      </c>
      <c r="C3" s="2">
        <v>4.7</v>
      </c>
      <c r="D3" s="16">
        <f>1/C3</f>
        <v>0.21276595744680851</v>
      </c>
      <c r="E3" s="2" t="s">
        <v>6</v>
      </c>
      <c r="F3" s="2" t="s">
        <v>9</v>
      </c>
      <c r="G3" s="1" t="s">
        <v>7</v>
      </c>
      <c r="I3" s="20"/>
      <c r="J3" s="2" t="s">
        <v>1</v>
      </c>
      <c r="K3" s="16">
        <v>4.5454545454545459</v>
      </c>
      <c r="L3" s="16">
        <f>1/K3</f>
        <v>0.21999999999999997</v>
      </c>
      <c r="M3" s="2" t="s">
        <v>6</v>
      </c>
      <c r="N3" s="2" t="s">
        <v>9</v>
      </c>
      <c r="O3" s="1" t="s">
        <v>7</v>
      </c>
      <c r="Q3" s="2" t="s">
        <v>745</v>
      </c>
      <c r="R3" s="2" t="s">
        <v>746</v>
      </c>
      <c r="AC3" t="s">
        <v>749</v>
      </c>
      <c r="AD3">
        <f>2996+214</f>
        <v>3210</v>
      </c>
      <c r="AE3">
        <v>3000</v>
      </c>
    </row>
    <row r="4" spans="1:31" x14ac:dyDescent="0.25">
      <c r="A4" s="20"/>
      <c r="B4" s="2" t="s">
        <v>2</v>
      </c>
      <c r="C4" s="2">
        <v>4.7</v>
      </c>
      <c r="D4" s="16">
        <f>1/C4</f>
        <v>0.21276595744680851</v>
      </c>
      <c r="E4" s="2" t="s">
        <v>6</v>
      </c>
      <c r="F4" s="2" t="s">
        <v>9</v>
      </c>
      <c r="G4" s="1"/>
      <c r="I4" s="20"/>
      <c r="J4" s="2" t="s">
        <v>2</v>
      </c>
      <c r="K4" s="16">
        <v>6.25</v>
      </c>
      <c r="L4" s="16">
        <f>1/K4</f>
        <v>0.16</v>
      </c>
      <c r="M4" s="2" t="s">
        <v>6</v>
      </c>
      <c r="N4" s="2" t="s">
        <v>9</v>
      </c>
      <c r="O4" s="1" t="s">
        <v>7</v>
      </c>
      <c r="Q4" s="104" t="s">
        <v>747</v>
      </c>
      <c r="AC4" t="s">
        <v>750</v>
      </c>
      <c r="AD4">
        <f>500+8280</f>
        <v>8780</v>
      </c>
      <c r="AE4">
        <v>9000</v>
      </c>
    </row>
    <row r="5" spans="1:31" x14ac:dyDescent="0.25">
      <c r="A5" s="19"/>
      <c r="B5" s="18" t="s">
        <v>8</v>
      </c>
      <c r="C5" s="18">
        <v>4.7</v>
      </c>
      <c r="D5" s="40">
        <f>1/C5</f>
        <v>0.21276595744680851</v>
      </c>
      <c r="E5" s="18" t="s">
        <v>7</v>
      </c>
      <c r="F5" s="18"/>
      <c r="G5" s="17"/>
      <c r="I5" s="19"/>
      <c r="J5" s="18" t="s">
        <v>8</v>
      </c>
      <c r="K5" s="40">
        <v>6.25</v>
      </c>
      <c r="L5" s="40">
        <f>1/K5</f>
        <v>0.16</v>
      </c>
      <c r="M5" s="18" t="s">
        <v>6</v>
      </c>
      <c r="N5" s="18" t="s">
        <v>9</v>
      </c>
      <c r="O5" s="17" t="s">
        <v>7</v>
      </c>
      <c r="AC5" t="s">
        <v>11</v>
      </c>
      <c r="AD5">
        <f>SUM(AD3:AD4)</f>
        <v>11990</v>
      </c>
      <c r="AE5">
        <f>SUM(AE3:AE4)</f>
        <v>12000</v>
      </c>
    </row>
    <row r="7" spans="1:31" x14ac:dyDescent="0.25">
      <c r="A7" s="23"/>
      <c r="B7" s="22"/>
      <c r="C7" s="22"/>
      <c r="D7" s="22"/>
      <c r="E7" s="21"/>
      <c r="I7" s="112" t="s">
        <v>405</v>
      </c>
      <c r="J7" s="112" t="s">
        <v>406</v>
      </c>
      <c r="K7" s="113" t="s">
        <v>407</v>
      </c>
      <c r="L7" s="28" t="s">
        <v>421</v>
      </c>
      <c r="AC7" t="s">
        <v>752</v>
      </c>
    </row>
    <row r="8" spans="1:31" x14ac:dyDescent="0.25">
      <c r="A8" s="20" t="s">
        <v>67</v>
      </c>
      <c r="B8" s="2" t="s">
        <v>56</v>
      </c>
      <c r="C8" s="45">
        <v>-2.4500000000000002</v>
      </c>
      <c r="D8" s="18"/>
      <c r="E8" s="17"/>
      <c r="I8" s="2" t="s">
        <v>55</v>
      </c>
      <c r="J8" s="2" t="s">
        <v>408</v>
      </c>
      <c r="K8" s="114" t="s">
        <v>409</v>
      </c>
      <c r="L8">
        <v>0.1</v>
      </c>
      <c r="AC8" t="s">
        <v>753</v>
      </c>
      <c r="AD8">
        <v>900</v>
      </c>
    </row>
    <row r="9" spans="1:31" x14ac:dyDescent="0.25">
      <c r="I9" s="2" t="s">
        <v>410</v>
      </c>
      <c r="J9" s="2" t="s">
        <v>411</v>
      </c>
      <c r="K9" s="114" t="s">
        <v>412</v>
      </c>
      <c r="L9">
        <v>0.3</v>
      </c>
      <c r="AC9" s="23" t="s">
        <v>754</v>
      </c>
      <c r="AD9" s="21">
        <f>2400+400</f>
        <v>2800</v>
      </c>
    </row>
    <row r="10" spans="1:31" x14ac:dyDescent="0.25">
      <c r="I10" s="2" t="s">
        <v>413</v>
      </c>
      <c r="J10" s="2" t="s">
        <v>414</v>
      </c>
      <c r="K10" s="114" t="s">
        <v>415</v>
      </c>
      <c r="L10">
        <v>0.1</v>
      </c>
      <c r="AC10" s="19" t="s">
        <v>755</v>
      </c>
      <c r="AD10" s="17"/>
    </row>
    <row r="11" spans="1:31" x14ac:dyDescent="0.25">
      <c r="A11" s="64" t="s">
        <v>225</v>
      </c>
      <c r="B11" s="22"/>
      <c r="I11" s="2" t="s">
        <v>416</v>
      </c>
      <c r="J11" s="2" t="s">
        <v>417</v>
      </c>
      <c r="K11" s="114" t="s">
        <v>418</v>
      </c>
      <c r="L11">
        <v>0.3</v>
      </c>
      <c r="AC11" t="s">
        <v>756</v>
      </c>
      <c r="AD11">
        <f>(2.9+2.1+0.9)*1000</f>
        <v>5900</v>
      </c>
    </row>
    <row r="12" spans="1:31" x14ac:dyDescent="0.25">
      <c r="A12" s="19" t="s">
        <v>226</v>
      </c>
      <c r="B12" s="18"/>
      <c r="C12" t="s">
        <v>345</v>
      </c>
      <c r="I12" s="18" t="s">
        <v>419</v>
      </c>
      <c r="J12" s="18"/>
      <c r="K12" s="115" t="s">
        <v>420</v>
      </c>
      <c r="L12">
        <v>0.05</v>
      </c>
      <c r="Q12" s="2" t="s">
        <v>745</v>
      </c>
      <c r="R12" s="2" t="s">
        <v>748</v>
      </c>
      <c r="AC12" s="23" t="s">
        <v>757</v>
      </c>
      <c r="AD12" s="21">
        <f>900+3400</f>
        <v>4300</v>
      </c>
    </row>
    <row r="13" spans="1:31" x14ac:dyDescent="0.25">
      <c r="A13" s="20" t="s">
        <v>229</v>
      </c>
      <c r="B13" s="2">
        <v>5.8</v>
      </c>
      <c r="C13">
        <f>1/B13</f>
        <v>0.17241379310344829</v>
      </c>
      <c r="K13" s="116"/>
      <c r="AC13" s="19" t="s">
        <v>758</v>
      </c>
      <c r="AD13" s="17"/>
    </row>
    <row r="14" spans="1:31" x14ac:dyDescent="0.25">
      <c r="A14" s="20" t="s">
        <v>228</v>
      </c>
      <c r="B14" s="2">
        <v>1.127</v>
      </c>
      <c r="K14" s="116"/>
      <c r="AC14" t="s">
        <v>759</v>
      </c>
      <c r="AD14">
        <v>400</v>
      </c>
    </row>
    <row r="15" spans="1:31" x14ac:dyDescent="0.25">
      <c r="A15" s="19" t="s">
        <v>230</v>
      </c>
      <c r="B15" s="18">
        <v>0.22</v>
      </c>
      <c r="I15" t="s">
        <v>702</v>
      </c>
      <c r="AC15" t="s">
        <v>11</v>
      </c>
      <c r="AD15">
        <f>SUM(AD8:AD14)</f>
        <v>14300</v>
      </c>
    </row>
    <row r="16" spans="1:31" x14ac:dyDescent="0.25">
      <c r="A16" s="65" t="s">
        <v>227</v>
      </c>
      <c r="B16" s="63"/>
      <c r="I16" t="s">
        <v>703</v>
      </c>
      <c r="J16">
        <f>1/4.8</f>
        <v>0.20833333333333334</v>
      </c>
      <c r="AC16" t="s">
        <v>760</v>
      </c>
      <c r="AD16">
        <v>18.399999999999999</v>
      </c>
    </row>
    <row r="17" spans="1:10" x14ac:dyDescent="0.25">
      <c r="A17" s="20" t="s">
        <v>229</v>
      </c>
      <c r="B17" s="2">
        <f>5.8/(0.5+0.23)</f>
        <v>7.9452054794520546</v>
      </c>
      <c r="C17">
        <f>1/B17</f>
        <v>0.12586206896551724</v>
      </c>
      <c r="I17" t="s">
        <v>704</v>
      </c>
      <c r="J17">
        <f>J16</f>
        <v>0.20833333333333334</v>
      </c>
    </row>
    <row r="18" spans="1:10" x14ac:dyDescent="0.25">
      <c r="A18" s="20" t="s">
        <v>228</v>
      </c>
      <c r="B18" s="2">
        <v>0.66</v>
      </c>
      <c r="I18" t="s">
        <v>705</v>
      </c>
      <c r="J18">
        <f>1/2.4</f>
        <v>0.41666666666666669</v>
      </c>
    </row>
    <row r="19" spans="1:10" x14ac:dyDescent="0.25">
      <c r="A19" s="20" t="s">
        <v>231</v>
      </c>
      <c r="B19" s="2">
        <f>(5.8+0.13)/(0.5+0.23)</f>
        <v>8.1232876712328768</v>
      </c>
      <c r="C19">
        <f>1/B19</f>
        <v>0.12310286677908938</v>
      </c>
      <c r="I19" t="s">
        <v>706</v>
      </c>
      <c r="J19">
        <f>1/2.3</f>
        <v>0.43478260869565222</v>
      </c>
    </row>
    <row r="20" spans="1:10" x14ac:dyDescent="0.25">
      <c r="A20" s="19" t="s">
        <v>230</v>
      </c>
      <c r="B20" s="18">
        <v>0.22</v>
      </c>
    </row>
    <row r="22" spans="1:10" x14ac:dyDescent="0.25">
      <c r="A22" t="s">
        <v>518</v>
      </c>
      <c r="B22">
        <v>4.67</v>
      </c>
    </row>
    <row r="24" spans="1:10" x14ac:dyDescent="0.25">
      <c r="A24" s="28"/>
    </row>
    <row r="25" spans="1:10" x14ac:dyDescent="0.25">
      <c r="F25" t="s">
        <v>649</v>
      </c>
      <c r="H25" t="s">
        <v>658</v>
      </c>
    </row>
    <row r="26" spans="1:10" x14ac:dyDescent="0.25">
      <c r="A26" t="s">
        <v>648</v>
      </c>
      <c r="B26" t="s">
        <v>654</v>
      </c>
      <c r="F26" t="s">
        <v>653</v>
      </c>
      <c r="G26" t="s">
        <v>22</v>
      </c>
      <c r="H26" t="s">
        <v>22</v>
      </c>
    </row>
    <row r="27" spans="1:10" x14ac:dyDescent="0.25">
      <c r="A27" t="s">
        <v>644</v>
      </c>
      <c r="B27" t="s">
        <v>655</v>
      </c>
      <c r="F27">
        <v>0.4</v>
      </c>
      <c r="G27">
        <f t="shared" ref="G27:G32" si="0">F27*0.28</f>
        <v>0.11200000000000002</v>
      </c>
      <c r="H27" s="72">
        <f>'ElP&amp;P'!M5</f>
        <v>-3.6272878535773712E-2</v>
      </c>
    </row>
    <row r="28" spans="1:10" x14ac:dyDescent="0.25">
      <c r="A28" t="s">
        <v>644</v>
      </c>
      <c r="B28" t="s">
        <v>656</v>
      </c>
      <c r="F28">
        <v>0.9</v>
      </c>
      <c r="G28">
        <f t="shared" si="0"/>
        <v>0.25200000000000006</v>
      </c>
      <c r="H28" t="s">
        <v>638</v>
      </c>
    </row>
    <row r="29" spans="1:10" x14ac:dyDescent="0.25">
      <c r="A29" t="s">
        <v>645</v>
      </c>
      <c r="B29" t="s">
        <v>657</v>
      </c>
      <c r="F29">
        <v>4.3</v>
      </c>
      <c r="G29">
        <f t="shared" si="0"/>
        <v>1.204</v>
      </c>
      <c r="H29" s="72">
        <f>'ElP&amp;P'!M3</f>
        <v>1.7595744680851064</v>
      </c>
    </row>
    <row r="30" spans="1:10" x14ac:dyDescent="0.25">
      <c r="A30" t="s">
        <v>646</v>
      </c>
      <c r="B30" t="s">
        <v>650</v>
      </c>
      <c r="F30">
        <v>1.3</v>
      </c>
      <c r="G30">
        <f t="shared" si="0"/>
        <v>0.36400000000000005</v>
      </c>
      <c r="H30" s="24" t="s">
        <v>199</v>
      </c>
    </row>
    <row r="31" spans="1:10" x14ac:dyDescent="0.25">
      <c r="A31" t="s">
        <v>647</v>
      </c>
      <c r="B31" t="s">
        <v>651</v>
      </c>
      <c r="F31">
        <v>2.1</v>
      </c>
      <c r="G31">
        <f t="shared" si="0"/>
        <v>0.58800000000000008</v>
      </c>
    </row>
    <row r="32" spans="1:10" x14ac:dyDescent="0.25">
      <c r="A32" t="s">
        <v>647</v>
      </c>
      <c r="B32" t="s">
        <v>652</v>
      </c>
      <c r="F32">
        <v>1.5</v>
      </c>
      <c r="G32">
        <f t="shared" si="0"/>
        <v>0.42000000000000004</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M219"/>
  <sheetViews>
    <sheetView topLeftCell="A25" zoomScale="70" zoomScaleNormal="70" workbookViewId="0">
      <selection activeCell="O6" sqref="O6"/>
    </sheetView>
  </sheetViews>
  <sheetFormatPr defaultRowHeight="15" x14ac:dyDescent="0.25"/>
  <cols>
    <col min="1" max="1" width="27.42578125" customWidth="1"/>
    <col min="2" max="2" width="12" bestFit="1" customWidth="1"/>
    <col min="3" max="3" width="12.7109375" customWidth="1"/>
    <col min="4" max="4" width="10.7109375" bestFit="1" customWidth="1"/>
    <col min="5" max="6" width="14.28515625" customWidth="1"/>
    <col min="9" max="9" width="18.7109375" style="84" customWidth="1"/>
    <col min="10" max="33" width="13.140625" style="27" customWidth="1"/>
    <col min="34" max="34" width="9.140625" style="20"/>
    <col min="35" max="35" width="21.42578125" customWidth="1"/>
    <col min="36" max="36" width="9.140625" customWidth="1"/>
    <col min="42" max="42" width="9" customWidth="1"/>
    <col min="43" max="45" width="9.140625" customWidth="1"/>
    <col min="60" max="60" width="15.42578125" style="96" customWidth="1"/>
    <col min="61" max="65" width="9.140625" style="96"/>
  </cols>
  <sheetData>
    <row r="1" spans="1:65" ht="18.75" x14ac:dyDescent="0.3">
      <c r="I1" s="68" t="s">
        <v>233</v>
      </c>
      <c r="J1" t="s">
        <v>281</v>
      </c>
      <c r="K1" t="s">
        <v>282</v>
      </c>
      <c r="L1" t="s">
        <v>283</v>
      </c>
      <c r="M1" t="s">
        <v>280</v>
      </c>
      <c r="N1" t="s">
        <v>284</v>
      </c>
      <c r="O1" s="27" t="s">
        <v>782</v>
      </c>
      <c r="P1" t="s">
        <v>143</v>
      </c>
      <c r="Q1" t="s">
        <v>507</v>
      </c>
      <c r="R1" t="s">
        <v>149</v>
      </c>
      <c r="S1" t="s">
        <v>140</v>
      </c>
      <c r="T1" t="s">
        <v>129</v>
      </c>
      <c r="U1" t="s">
        <v>134</v>
      </c>
      <c r="V1" t="s">
        <v>136</v>
      </c>
      <c r="W1" t="s">
        <v>138</v>
      </c>
      <c r="X1" t="s">
        <v>339</v>
      </c>
      <c r="Y1" t="s">
        <v>508</v>
      </c>
      <c r="Z1" t="s">
        <v>509</v>
      </c>
      <c r="AA1" s="186" t="s">
        <v>805</v>
      </c>
      <c r="AB1" s="187" t="s">
        <v>806</v>
      </c>
      <c r="AC1" s="186" t="s">
        <v>807</v>
      </c>
      <c r="AD1" s="187" t="s">
        <v>808</v>
      </c>
      <c r="AE1" s="186" t="s">
        <v>809</v>
      </c>
      <c r="AF1" s="187" t="s">
        <v>810</v>
      </c>
      <c r="AG1"/>
      <c r="AI1" s="28" t="s">
        <v>242</v>
      </c>
      <c r="AJ1" t="s">
        <v>152</v>
      </c>
      <c r="AK1" t="s">
        <v>249</v>
      </c>
      <c r="AL1" t="s">
        <v>250</v>
      </c>
      <c r="AM1" t="s">
        <v>143</v>
      </c>
      <c r="AN1" t="s">
        <v>149</v>
      </c>
      <c r="AO1" t="s">
        <v>140</v>
      </c>
      <c r="AP1" t="s">
        <v>129</v>
      </c>
      <c r="AQ1" t="s">
        <v>134</v>
      </c>
      <c r="AR1" t="s">
        <v>136</v>
      </c>
      <c r="AS1" t="s">
        <v>138</v>
      </c>
      <c r="AT1" s="23"/>
      <c r="AU1" s="86" t="s">
        <v>258</v>
      </c>
      <c r="AV1" s="87"/>
      <c r="AW1" s="87"/>
      <c r="AX1" s="87"/>
      <c r="AY1" s="87"/>
      <c r="AZ1" s="87"/>
      <c r="BA1" s="87"/>
      <c r="BB1" s="87"/>
      <c r="BC1" s="87"/>
      <c r="BD1" s="87"/>
      <c r="BE1" s="87"/>
      <c r="BF1" s="21"/>
      <c r="BH1" s="96" t="s">
        <v>291</v>
      </c>
    </row>
    <row r="2" spans="1:65" x14ac:dyDescent="0.25">
      <c r="A2" s="28" t="s">
        <v>110</v>
      </c>
      <c r="I2" s="84" t="s">
        <v>241</v>
      </c>
      <c r="J2" s="24" t="s">
        <v>234</v>
      </c>
      <c r="K2" s="24" t="s">
        <v>234</v>
      </c>
      <c r="L2" s="24" t="s">
        <v>234</v>
      </c>
      <c r="M2" s="78" t="s">
        <v>232</v>
      </c>
      <c r="N2" s="78" t="s">
        <v>232</v>
      </c>
      <c r="O2" s="78" t="s">
        <v>232</v>
      </c>
      <c r="P2" s="24" t="s">
        <v>240</v>
      </c>
      <c r="Q2" s="24"/>
      <c r="R2" s="24" t="s">
        <v>240</v>
      </c>
      <c r="S2" s="24" t="s">
        <v>240</v>
      </c>
      <c r="T2" s="24" t="s">
        <v>240</v>
      </c>
      <c r="U2" s="24" t="s">
        <v>240</v>
      </c>
      <c r="V2" s="24" t="s">
        <v>240</v>
      </c>
      <c r="W2" s="24" t="s">
        <v>240</v>
      </c>
      <c r="X2" s="24" t="s">
        <v>240</v>
      </c>
      <c r="Y2" s="24" t="s">
        <v>240</v>
      </c>
      <c r="Z2" s="24" t="s">
        <v>240</v>
      </c>
      <c r="AA2" s="83" t="s">
        <v>285</v>
      </c>
      <c r="AB2" s="83"/>
      <c r="AC2" s="83"/>
      <c r="AD2" s="83"/>
      <c r="AE2" s="83"/>
      <c r="AF2" s="83"/>
      <c r="AG2" s="83"/>
      <c r="AH2" s="23"/>
      <c r="AI2" s="22" t="s">
        <v>243</v>
      </c>
      <c r="AJ2" s="80">
        <v>2152.3303600805457</v>
      </c>
      <c r="AK2" s="80">
        <v>600</v>
      </c>
      <c r="AL2" s="80">
        <v>650</v>
      </c>
      <c r="AM2" s="80">
        <v>5671.6872449494358</v>
      </c>
      <c r="AN2" s="80">
        <v>4521.8222798989136</v>
      </c>
      <c r="AO2" s="80">
        <v>7543.8622572003678</v>
      </c>
      <c r="AP2" s="80">
        <v>7987.3416225966739</v>
      </c>
      <c r="AQ2" s="80">
        <v>8979.0977576808982</v>
      </c>
      <c r="AR2" s="80">
        <v>6194.744892345203</v>
      </c>
      <c r="AS2" s="80">
        <v>5203.8884869339317</v>
      </c>
      <c r="AT2" s="20"/>
      <c r="AU2" s="88"/>
      <c r="AV2" s="88"/>
      <c r="AW2" s="88"/>
      <c r="AX2" s="88"/>
      <c r="AY2" s="88"/>
      <c r="AZ2" s="88"/>
      <c r="BA2" s="88"/>
      <c r="BB2" s="88"/>
      <c r="BC2" s="88"/>
      <c r="BD2" s="88"/>
      <c r="BE2" s="88"/>
      <c r="BF2" s="1"/>
      <c r="BH2" s="96" t="s">
        <v>290</v>
      </c>
      <c r="BI2" s="96" t="s">
        <v>292</v>
      </c>
    </row>
    <row r="3" spans="1:65" s="4" customFormat="1" x14ac:dyDescent="0.25">
      <c r="A3" s="5" t="s">
        <v>108</v>
      </c>
      <c r="B3" s="76" t="s">
        <v>87</v>
      </c>
      <c r="C3" s="76">
        <v>11</v>
      </c>
      <c r="D3" s="76" t="s">
        <v>93</v>
      </c>
      <c r="E3" s="6">
        <f>C3*1000/100*C7</f>
        <v>123.20000000000002</v>
      </c>
      <c r="I3" s="20" t="s">
        <v>184</v>
      </c>
      <c r="J3" s="27">
        <f>C23</f>
        <v>0</v>
      </c>
      <c r="K3" s="27">
        <f t="shared" ref="K3:L5" si="0">J3</f>
        <v>0</v>
      </c>
      <c r="L3" s="27">
        <f t="shared" si="0"/>
        <v>0</v>
      </c>
      <c r="M3" s="79">
        <f>E10</f>
        <v>1284.6311764793097</v>
      </c>
      <c r="N3" s="27">
        <f>E11</f>
        <v>128.46311764793086</v>
      </c>
      <c r="O3" s="27">
        <f>B218</f>
        <v>5087.1906235354409</v>
      </c>
      <c r="P3" s="27">
        <f>C145*10</f>
        <v>16762.5</v>
      </c>
      <c r="Q3" s="27">
        <f>B119*C81/C82*10</f>
        <v>14731.034482758621</v>
      </c>
      <c r="R3" s="79">
        <f>B119*C79/C82*10</f>
        <v>6444.8275862068976</v>
      </c>
      <c r="S3" s="27">
        <f>C$145*10</f>
        <v>16762.5</v>
      </c>
      <c r="T3" s="27">
        <f>D145*10-P3</f>
        <v>4751.0135135135133</v>
      </c>
      <c r="U3" s="27">
        <f>T3</f>
        <v>4751.0135135135133</v>
      </c>
      <c r="V3" s="27">
        <f>W3</f>
        <v>3068.9655172413786</v>
      </c>
      <c r="W3" s="27">
        <f>B119*10-Q3</f>
        <v>3068.9655172413786</v>
      </c>
      <c r="X3" s="4">
        <v>1</v>
      </c>
      <c r="Y3" s="4">
        <v>1</v>
      </c>
      <c r="Z3" s="4">
        <v>1</v>
      </c>
      <c r="AA3" s="4">
        <v>1</v>
      </c>
      <c r="AB3" s="185">
        <v>1</v>
      </c>
      <c r="AC3" s="185">
        <v>1</v>
      </c>
      <c r="AD3" s="185">
        <v>1</v>
      </c>
      <c r="AE3" s="185">
        <v>1</v>
      </c>
      <c r="AF3" s="185">
        <v>1</v>
      </c>
      <c r="AG3" s="185"/>
      <c r="AH3" s="77"/>
      <c r="AI3" s="9" t="s">
        <v>244</v>
      </c>
      <c r="AJ3" s="81">
        <f>-PPMT(0.03,1,20,J3,0)</f>
        <v>0</v>
      </c>
      <c r="AK3" s="81">
        <f>-PPMT(0.03,1,20,K3,0)</f>
        <v>0</v>
      </c>
      <c r="AL3" s="81"/>
      <c r="AM3" s="81">
        <f>-PPMT(0.03,1,20,P3,0)</f>
        <v>623.8282985923513</v>
      </c>
      <c r="AN3" s="81">
        <f>-PPMT(0.03,1,20,Q3,0)</f>
        <v>548.22587190959382</v>
      </c>
      <c r="AO3" s="81">
        <f>-PPMT(0.03,1,20,S3,0)</f>
        <v>623.8282985923513</v>
      </c>
      <c r="AP3" s="81">
        <f>-PPMT(0.03,1,20,T3,0)</f>
        <v>176.81232970764526</v>
      </c>
      <c r="AQ3" s="81">
        <f>-PPMT(0.03,1,20,U3,0)</f>
        <v>176.81232970764526</v>
      </c>
      <c r="AR3" s="81">
        <f>-PPMT(0.03,1,20,V3,0)</f>
        <v>114.21372331449869</v>
      </c>
      <c r="AS3" s="81">
        <f>-PPMT(0.03,1,20,W3,0)</f>
        <v>114.21372331449869</v>
      </c>
      <c r="AT3" s="77"/>
      <c r="AU3" s="89"/>
      <c r="AV3" s="89"/>
      <c r="AW3" s="89"/>
      <c r="AX3" s="89"/>
      <c r="AY3" s="89"/>
      <c r="AZ3" s="89"/>
      <c r="BA3" s="90" t="s">
        <v>259</v>
      </c>
      <c r="BB3" s="90" t="s">
        <v>260</v>
      </c>
      <c r="BC3" s="90" t="s">
        <v>261</v>
      </c>
      <c r="BD3" s="90" t="s">
        <v>262</v>
      </c>
      <c r="BE3" s="90" t="s">
        <v>263</v>
      </c>
      <c r="BF3" s="91"/>
      <c r="BH3" s="95" t="s">
        <v>293</v>
      </c>
      <c r="BI3" s="95" t="s">
        <v>294</v>
      </c>
      <c r="BJ3" s="98"/>
      <c r="BK3" s="98"/>
      <c r="BL3" s="98"/>
      <c r="BM3" s="98"/>
    </row>
    <row r="4" spans="1:65" x14ac:dyDescent="0.25">
      <c r="A4" s="20" t="s">
        <v>106</v>
      </c>
      <c r="B4" s="2" t="s">
        <v>87</v>
      </c>
      <c r="C4" s="2">
        <v>20</v>
      </c>
      <c r="D4" s="2" t="s">
        <v>93</v>
      </c>
      <c r="E4" s="1">
        <f>C4*1000/100*C7</f>
        <v>224.00000000000003</v>
      </c>
      <c r="I4" s="20" t="s">
        <v>236</v>
      </c>
      <c r="J4" s="27">
        <f>C24</f>
        <v>0</v>
      </c>
      <c r="K4" s="27">
        <f t="shared" si="0"/>
        <v>0</v>
      </c>
      <c r="L4" s="27">
        <f t="shared" si="0"/>
        <v>0</v>
      </c>
      <c r="M4" s="27">
        <f>E6</f>
        <v>168.00000000000003</v>
      </c>
      <c r="N4" s="27">
        <f>E4</f>
        <v>224.00000000000003</v>
      </c>
      <c r="O4" s="27">
        <f>B219</f>
        <v>625.67560966487326</v>
      </c>
      <c r="P4" s="27">
        <f>C$147*10</f>
        <v>860</v>
      </c>
      <c r="Q4" s="27">
        <f>P4</f>
        <v>860</v>
      </c>
      <c r="R4" s="79">
        <f>Q4</f>
        <v>860</v>
      </c>
      <c r="S4" s="27">
        <f>C$147*10</f>
        <v>860</v>
      </c>
      <c r="T4" s="27">
        <f>D147*10-P4</f>
        <v>180</v>
      </c>
      <c r="U4" s="27">
        <f>T4</f>
        <v>180</v>
      </c>
      <c r="V4" s="27">
        <f>W4</f>
        <v>180</v>
      </c>
      <c r="W4" s="27">
        <f>T4</f>
        <v>180</v>
      </c>
      <c r="X4" s="132">
        <v>1</v>
      </c>
      <c r="Y4" s="132">
        <v>1</v>
      </c>
      <c r="Z4" s="132">
        <v>1</v>
      </c>
      <c r="AA4" s="27">
        <v>0</v>
      </c>
      <c r="AB4" s="27">
        <v>0</v>
      </c>
      <c r="AC4" s="27">
        <v>0</v>
      </c>
      <c r="AD4" s="27">
        <v>0</v>
      </c>
      <c r="AE4" s="27">
        <v>0</v>
      </c>
      <c r="AF4" s="27">
        <v>0</v>
      </c>
      <c r="AI4" s="2" t="s">
        <v>245</v>
      </c>
      <c r="AJ4" s="3">
        <f>J4</f>
        <v>0</v>
      </c>
      <c r="AK4" s="3">
        <f>M4</f>
        <v>168.00000000000003</v>
      </c>
      <c r="AL4" s="3"/>
      <c r="AM4" s="3">
        <f>P4</f>
        <v>860</v>
      </c>
      <c r="AN4" s="3">
        <f>Q4</f>
        <v>860</v>
      </c>
      <c r="AO4" s="3">
        <f>S4</f>
        <v>860</v>
      </c>
      <c r="AP4" s="3">
        <f>T4+AM4</f>
        <v>1040</v>
      </c>
      <c r="AQ4" s="3">
        <f>U4+AM4</f>
        <v>1040</v>
      </c>
      <c r="AR4" s="3">
        <f>V4+AN4</f>
        <v>1040</v>
      </c>
      <c r="AS4" s="3">
        <f>W4+AN4</f>
        <v>1040</v>
      </c>
      <c r="AT4" s="20"/>
      <c r="AU4" s="88"/>
      <c r="AV4" s="88"/>
      <c r="AW4" s="88"/>
      <c r="AX4" s="88"/>
      <c r="AY4" s="88"/>
      <c r="AZ4" s="88"/>
      <c r="BA4" s="92" t="s">
        <v>264</v>
      </c>
      <c r="BB4" s="92" t="s">
        <v>264</v>
      </c>
      <c r="BC4" s="92" t="s">
        <v>264</v>
      </c>
      <c r="BD4" s="92" t="s">
        <v>264</v>
      </c>
      <c r="BE4" s="92" t="s">
        <v>264</v>
      </c>
      <c r="BF4" s="1"/>
      <c r="BH4" s="97" t="s">
        <v>295</v>
      </c>
      <c r="BI4" s="97" t="s">
        <v>296</v>
      </c>
    </row>
    <row r="5" spans="1:65" x14ac:dyDescent="0.25">
      <c r="A5" s="20" t="s">
        <v>102</v>
      </c>
      <c r="B5" s="2" t="s">
        <v>87</v>
      </c>
      <c r="C5" s="2">
        <v>10</v>
      </c>
      <c r="D5" s="2" t="s">
        <v>93</v>
      </c>
      <c r="E5" s="1">
        <f>C5*1000/100*C7</f>
        <v>112.00000000000001</v>
      </c>
      <c r="I5" s="20" t="s">
        <v>237</v>
      </c>
      <c r="J5" s="27">
        <f>C25</f>
        <v>0</v>
      </c>
      <c r="K5" s="27">
        <f t="shared" si="0"/>
        <v>0</v>
      </c>
      <c r="L5" s="27">
        <f t="shared" si="0"/>
        <v>0</v>
      </c>
      <c r="M5" s="27">
        <v>0</v>
      </c>
      <c r="N5" s="27">
        <v>0</v>
      </c>
      <c r="O5" s="27">
        <v>0</v>
      </c>
      <c r="P5" s="27">
        <f>C$146*10</f>
        <v>650</v>
      </c>
      <c r="Q5" s="27">
        <f>Q3*Q7</f>
        <v>736.55172413793116</v>
      </c>
      <c r="R5" s="79">
        <f>Q5</f>
        <v>736.55172413793116</v>
      </c>
      <c r="S5" s="27">
        <f>C$146*10</f>
        <v>650</v>
      </c>
      <c r="T5" s="27">
        <f>D146*10-S5</f>
        <v>250</v>
      </c>
      <c r="U5" s="27">
        <f>T5</f>
        <v>250</v>
      </c>
      <c r="V5" s="27">
        <f>W5</f>
        <v>153.44827586206893</v>
      </c>
      <c r="W5" s="27">
        <f>W3*W7</f>
        <v>153.44827586206893</v>
      </c>
      <c r="X5" s="132">
        <v>1</v>
      </c>
      <c r="Y5" s="132">
        <v>1</v>
      </c>
      <c r="Z5" s="132">
        <v>1</v>
      </c>
      <c r="AA5" s="27">
        <v>0</v>
      </c>
      <c r="AB5" s="27">
        <v>0</v>
      </c>
      <c r="AC5" s="27">
        <v>0</v>
      </c>
      <c r="AD5" s="27">
        <v>0</v>
      </c>
      <c r="AE5" s="27">
        <v>0</v>
      </c>
      <c r="AF5" s="27">
        <v>0</v>
      </c>
      <c r="AI5" s="2" t="s">
        <v>246</v>
      </c>
      <c r="AJ5" s="3">
        <f>J5</f>
        <v>0</v>
      </c>
      <c r="AK5" s="3">
        <f>M5</f>
        <v>0</v>
      </c>
      <c r="AL5" s="3"/>
      <c r="AM5" s="3">
        <f>P5</f>
        <v>650</v>
      </c>
      <c r="AN5" s="3">
        <f>Q5</f>
        <v>736.55172413793116</v>
      </c>
      <c r="AO5" s="3">
        <f>S5</f>
        <v>650</v>
      </c>
      <c r="AP5" s="3">
        <f>T5+AM5</f>
        <v>900</v>
      </c>
      <c r="AQ5" s="3">
        <f>U5+AM5</f>
        <v>900</v>
      </c>
      <c r="AR5" s="3">
        <f>V5+AN5</f>
        <v>890.00000000000011</v>
      </c>
      <c r="AS5" s="3">
        <f>W5+AN5</f>
        <v>890.00000000000011</v>
      </c>
      <c r="AT5" s="20"/>
      <c r="AU5" s="92" t="s">
        <v>265</v>
      </c>
      <c r="AV5" s="92" t="s">
        <v>266</v>
      </c>
      <c r="AW5" s="92" t="s">
        <v>267</v>
      </c>
      <c r="AX5" s="92" t="s">
        <v>268</v>
      </c>
      <c r="AY5" s="92" t="s">
        <v>269</v>
      </c>
      <c r="AZ5" s="92" t="s">
        <v>270</v>
      </c>
      <c r="BA5" s="93">
        <v>8.1999999999999993</v>
      </c>
      <c r="BB5" s="93">
        <v>5.2</v>
      </c>
      <c r="BC5" s="93">
        <v>5.0999999999999996</v>
      </c>
      <c r="BD5" s="94" t="s">
        <v>271</v>
      </c>
      <c r="BE5" s="93">
        <v>5.3</v>
      </c>
      <c r="BF5" s="1"/>
      <c r="BH5" s="96" t="s">
        <v>297</v>
      </c>
    </row>
    <row r="6" spans="1:65" x14ac:dyDescent="0.25">
      <c r="A6" s="20" t="s">
        <v>101</v>
      </c>
      <c r="B6" s="2" t="s">
        <v>87</v>
      </c>
      <c r="C6" s="2">
        <v>15</v>
      </c>
      <c r="D6" s="2" t="s">
        <v>93</v>
      </c>
      <c r="E6" s="1">
        <f>C6*1000/100*C7</f>
        <v>168.00000000000003</v>
      </c>
      <c r="I6" s="84" t="s">
        <v>286</v>
      </c>
      <c r="J6" s="27">
        <v>20</v>
      </c>
      <c r="K6" s="27">
        <v>20</v>
      </c>
      <c r="L6" s="27">
        <v>20</v>
      </c>
      <c r="M6" s="27">
        <v>20</v>
      </c>
      <c r="N6" s="27">
        <v>20</v>
      </c>
      <c r="O6" s="27">
        <v>20</v>
      </c>
      <c r="P6" s="27">
        <v>20</v>
      </c>
      <c r="Q6" s="27">
        <v>20</v>
      </c>
      <c r="R6" s="27">
        <v>20</v>
      </c>
      <c r="S6" s="27">
        <v>20</v>
      </c>
      <c r="T6" s="27">
        <v>20</v>
      </c>
      <c r="U6" s="27">
        <v>20</v>
      </c>
      <c r="V6" s="27">
        <v>20</v>
      </c>
      <c r="W6" s="27">
        <v>20</v>
      </c>
      <c r="X6" s="27">
        <v>20</v>
      </c>
      <c r="Y6" s="27">
        <v>20</v>
      </c>
      <c r="Z6" s="27">
        <v>20</v>
      </c>
      <c r="AA6" s="27">
        <v>999</v>
      </c>
      <c r="AB6" s="27">
        <v>999</v>
      </c>
      <c r="AC6" s="27">
        <v>999</v>
      </c>
      <c r="AD6" s="27">
        <v>999</v>
      </c>
      <c r="AE6" s="27">
        <v>999</v>
      </c>
      <c r="AF6" s="27">
        <v>999</v>
      </c>
      <c r="AI6" s="2" t="s">
        <v>247</v>
      </c>
      <c r="AJ6" s="3" t="e">
        <f>AJ13/#REF!</f>
        <v>#REF!</v>
      </c>
      <c r="AK6" s="3">
        <f>AJ15/4.8</f>
        <v>41.666666666666671</v>
      </c>
      <c r="AL6" s="3"/>
      <c r="AM6" s="3">
        <f>AJ14/'P&amp;P'!D3</f>
        <v>1803.0516000000002</v>
      </c>
      <c r="AN6" s="3">
        <f>AJ14/'P&amp;P'!D1</f>
        <v>920.70720000000006</v>
      </c>
      <c r="AO6" s="3">
        <f>AJ14/'P&amp;P'!D5</f>
        <v>1803.0516000000002</v>
      </c>
      <c r="AP6" s="3">
        <f>AM6</f>
        <v>1803.0516000000002</v>
      </c>
      <c r="AQ6" s="3">
        <f>AM6</f>
        <v>1803.0516000000002</v>
      </c>
      <c r="AR6" s="3">
        <f>AJ14/'P&amp;P'!D1</f>
        <v>920.70720000000006</v>
      </c>
      <c r="AS6" s="3">
        <f>AN6</f>
        <v>920.70720000000006</v>
      </c>
      <c r="AT6" s="20"/>
      <c r="AU6" s="92" t="s">
        <v>272</v>
      </c>
      <c r="AV6" s="92" t="s">
        <v>273</v>
      </c>
      <c r="AW6" s="92" t="s">
        <v>267</v>
      </c>
      <c r="AX6" s="92" t="s">
        <v>268</v>
      </c>
      <c r="AY6" s="92" t="s">
        <v>269</v>
      </c>
      <c r="AZ6" s="92" t="s">
        <v>270</v>
      </c>
      <c r="BA6" s="93">
        <v>6.1</v>
      </c>
      <c r="BB6" s="93">
        <v>2.4</v>
      </c>
      <c r="BC6" s="93">
        <v>2.6</v>
      </c>
      <c r="BD6" s="94" t="s">
        <v>271</v>
      </c>
      <c r="BE6" s="93">
        <v>2.8</v>
      </c>
      <c r="BF6" s="1"/>
    </row>
    <row r="7" spans="1:65" x14ac:dyDescent="0.25">
      <c r="A7" s="104" t="s">
        <v>341</v>
      </c>
      <c r="B7" s="104"/>
      <c r="C7">
        <f>336/300</f>
        <v>1.1200000000000001</v>
      </c>
      <c r="E7">
        <f>SUM(E5:E6)</f>
        <v>280.00000000000006</v>
      </c>
      <c r="I7" s="20" t="s">
        <v>238</v>
      </c>
      <c r="J7" s="71">
        <v>0.05</v>
      </c>
      <c r="K7" s="71">
        <f>J7</f>
        <v>0.05</v>
      </c>
      <c r="L7" s="71">
        <f>K7</f>
        <v>0.05</v>
      </c>
      <c r="M7" s="71">
        <v>0.05</v>
      </c>
      <c r="N7" s="71">
        <v>0.05</v>
      </c>
      <c r="O7" s="71"/>
      <c r="P7" s="71">
        <v>0</v>
      </c>
      <c r="Q7" s="71">
        <v>0.05</v>
      </c>
      <c r="S7" s="71">
        <v>0</v>
      </c>
      <c r="T7" s="71">
        <v>0</v>
      </c>
      <c r="U7" s="71">
        <f>T7</f>
        <v>0</v>
      </c>
      <c r="V7" s="71">
        <f>W7</f>
        <v>0.05</v>
      </c>
      <c r="W7" s="71">
        <v>0.05</v>
      </c>
      <c r="X7" s="27">
        <f>E145*10</f>
        <v>5207.5</v>
      </c>
      <c r="Y7" s="27">
        <f>F145*10</f>
        <v>6716.2162162162167</v>
      </c>
      <c r="Z7" s="27">
        <f>Y7</f>
        <v>6716.2162162162167</v>
      </c>
      <c r="AA7" s="27">
        <v>0</v>
      </c>
      <c r="AB7" s="27">
        <v>0</v>
      </c>
      <c r="AC7" s="27">
        <v>0</v>
      </c>
      <c r="AD7" s="27">
        <v>0</v>
      </c>
      <c r="AE7" s="27">
        <v>0</v>
      </c>
      <c r="AF7" s="27">
        <v>0</v>
      </c>
      <c r="AI7" s="2" t="s">
        <v>248</v>
      </c>
      <c r="AJ7" s="3" t="e">
        <f>AJ2-SUM(AJ3:AJ6)</f>
        <v>#REF!</v>
      </c>
      <c r="AK7" s="3">
        <f t="shared" ref="AK7:AS7" si="1">AK2-SUM(AK3:AK6)</f>
        <v>390.33333333333331</v>
      </c>
      <c r="AL7" s="3">
        <f t="shared" si="1"/>
        <v>650</v>
      </c>
      <c r="AM7" s="3">
        <f t="shared" si="1"/>
        <v>1734.807346357084</v>
      </c>
      <c r="AN7" s="3">
        <f t="shared" si="1"/>
        <v>1456.3374838513882</v>
      </c>
      <c r="AO7" s="3">
        <f t="shared" si="1"/>
        <v>3606.9823586080161</v>
      </c>
      <c r="AP7" s="3">
        <f t="shared" si="1"/>
        <v>4067.4776928890283</v>
      </c>
      <c r="AQ7" s="3">
        <f t="shared" si="1"/>
        <v>5059.2338279732521</v>
      </c>
      <c r="AR7" s="3">
        <f t="shared" si="1"/>
        <v>3229.8239690307037</v>
      </c>
      <c r="AS7" s="3">
        <f t="shared" si="1"/>
        <v>2238.9675636194324</v>
      </c>
      <c r="AT7" s="20"/>
      <c r="AU7" s="92" t="s">
        <v>274</v>
      </c>
      <c r="AV7" s="92" t="s">
        <v>275</v>
      </c>
      <c r="AW7" s="92" t="s">
        <v>267</v>
      </c>
      <c r="AX7" s="92" t="s">
        <v>268</v>
      </c>
      <c r="AY7" s="92" t="s">
        <v>269</v>
      </c>
      <c r="AZ7" s="92" t="s">
        <v>270</v>
      </c>
      <c r="BA7" s="93">
        <v>11.2</v>
      </c>
      <c r="BB7" s="93">
        <v>8.1999999999999993</v>
      </c>
      <c r="BC7" s="93">
        <v>8.3000000000000007</v>
      </c>
      <c r="BD7" s="94" t="s">
        <v>271</v>
      </c>
      <c r="BE7" s="93">
        <v>8.6999999999999993</v>
      </c>
      <c r="BF7" s="1"/>
    </row>
    <row r="8" spans="1:65" x14ac:dyDescent="0.25">
      <c r="A8" s="20" t="s">
        <v>100</v>
      </c>
      <c r="B8" s="2" t="s">
        <v>99</v>
      </c>
      <c r="C8" s="2">
        <v>20</v>
      </c>
      <c r="D8" s="2"/>
      <c r="E8" s="1"/>
      <c r="I8" s="84" t="s">
        <v>287</v>
      </c>
      <c r="J8" s="71">
        <v>0.06</v>
      </c>
      <c r="K8" s="71">
        <v>0.06</v>
      </c>
      <c r="L8" s="71">
        <v>0.06</v>
      </c>
      <c r="M8" s="71">
        <v>0.06</v>
      </c>
      <c r="N8" s="71">
        <v>0.06</v>
      </c>
      <c r="O8" s="71"/>
      <c r="P8" s="71">
        <v>0.06</v>
      </c>
      <c r="Q8" s="71">
        <v>0.06</v>
      </c>
      <c r="S8" s="71">
        <v>0.06</v>
      </c>
      <c r="T8" s="71">
        <v>0.06</v>
      </c>
      <c r="U8" s="71">
        <v>0.06</v>
      </c>
      <c r="V8" s="71">
        <v>0.06</v>
      </c>
      <c r="W8" s="71">
        <v>0.06</v>
      </c>
      <c r="X8" s="27">
        <f>E147*10</f>
        <v>320</v>
      </c>
      <c r="Y8" s="27">
        <f>F147*10</f>
        <v>480</v>
      </c>
      <c r="Z8" s="27">
        <f>Y8</f>
        <v>480</v>
      </c>
      <c r="AA8" s="27">
        <v>0</v>
      </c>
      <c r="AB8" s="27">
        <v>0</v>
      </c>
      <c r="AC8" s="27">
        <v>0</v>
      </c>
      <c r="AD8" s="27">
        <v>0</v>
      </c>
      <c r="AE8" s="27">
        <v>0</v>
      </c>
      <c r="AF8" s="27">
        <v>0</v>
      </c>
      <c r="AI8" s="2" t="s">
        <v>256</v>
      </c>
      <c r="AJ8" s="82" t="e">
        <f>AJ6/SUM(AJ4:AJ6)</f>
        <v>#REF!</v>
      </c>
      <c r="AK8" s="82">
        <f t="shared" ref="AK8:AS8" si="2">AK6/SUM(AK4:AK6)</f>
        <v>0.1987281399046105</v>
      </c>
      <c r="AL8" s="82"/>
      <c r="AM8" s="82">
        <f t="shared" si="2"/>
        <v>0.54422683908696146</v>
      </c>
      <c r="AN8" s="82">
        <f t="shared" si="2"/>
        <v>0.36575784523847049</v>
      </c>
      <c r="AO8" s="82">
        <f t="shared" si="2"/>
        <v>0.54422683908696146</v>
      </c>
      <c r="AP8" s="82">
        <f t="shared" si="2"/>
        <v>0.48170631684585918</v>
      </c>
      <c r="AQ8" s="82">
        <f t="shared" si="2"/>
        <v>0.48170631684585918</v>
      </c>
      <c r="AR8" s="82">
        <f t="shared" si="2"/>
        <v>0.32297501476124946</v>
      </c>
      <c r="AS8" s="82">
        <f t="shared" si="2"/>
        <v>0.32297501476124946</v>
      </c>
      <c r="AT8" s="20"/>
      <c r="AU8" s="92" t="s">
        <v>276</v>
      </c>
      <c r="AV8" s="92" t="s">
        <v>277</v>
      </c>
      <c r="AW8" s="92" t="s">
        <v>267</v>
      </c>
      <c r="AX8" s="92" t="s">
        <v>268</v>
      </c>
      <c r="AY8" s="92" t="s">
        <v>269</v>
      </c>
      <c r="AZ8" s="92" t="s">
        <v>270</v>
      </c>
      <c r="BA8" s="93">
        <v>6.7</v>
      </c>
      <c r="BB8" s="93">
        <v>3.7</v>
      </c>
      <c r="BC8" s="93">
        <v>4.5</v>
      </c>
      <c r="BD8" s="94" t="s">
        <v>271</v>
      </c>
      <c r="BE8" s="93">
        <v>4.8</v>
      </c>
      <c r="BF8" s="1"/>
    </row>
    <row r="9" spans="1:65" x14ac:dyDescent="0.25">
      <c r="A9" s="20" t="s">
        <v>98</v>
      </c>
      <c r="B9" s="2" t="s">
        <v>97</v>
      </c>
      <c r="C9" s="2">
        <v>0.06</v>
      </c>
      <c r="D9" s="2"/>
      <c r="E9" s="1"/>
      <c r="F9" s="29"/>
      <c r="I9" s="84" t="s">
        <v>288</v>
      </c>
      <c r="J9" s="71">
        <v>0.05</v>
      </c>
      <c r="K9" s="71">
        <v>0.05</v>
      </c>
      <c r="L9" s="71">
        <v>0.05</v>
      </c>
      <c r="M9" s="71">
        <v>0.05</v>
      </c>
      <c r="N9" s="71">
        <v>0.05</v>
      </c>
      <c r="O9" s="71"/>
      <c r="P9" s="71">
        <v>0.05</v>
      </c>
      <c r="Q9" s="71">
        <v>0.05</v>
      </c>
      <c r="S9" s="71">
        <v>0.05</v>
      </c>
      <c r="T9" s="71">
        <v>0.05</v>
      </c>
      <c r="U9" s="71">
        <v>0.05</v>
      </c>
      <c r="V9" s="71">
        <v>0.05</v>
      </c>
      <c r="W9" s="71">
        <v>0.05</v>
      </c>
      <c r="X9" s="27">
        <f>E146*10</f>
        <v>150</v>
      </c>
      <c r="Y9" s="27">
        <f>F146*10</f>
        <v>180</v>
      </c>
      <c r="Z9" s="27">
        <f>Y9</f>
        <v>180</v>
      </c>
      <c r="AA9" s="27">
        <v>0</v>
      </c>
      <c r="AB9" s="27">
        <v>0</v>
      </c>
      <c r="AC9" s="27">
        <v>0</v>
      </c>
      <c r="AD9" s="27">
        <v>0</v>
      </c>
      <c r="AE9" s="27">
        <v>0</v>
      </c>
      <c r="AF9" s="27">
        <v>0</v>
      </c>
      <c r="AG9" s="71"/>
      <c r="AI9" s="2" t="s">
        <v>253</v>
      </c>
      <c r="AJ9" s="82" t="e">
        <f t="shared" ref="AJ9:AS9" si="3">AJ7/AJ2</f>
        <v>#REF!</v>
      </c>
      <c r="AK9" s="82">
        <f t="shared" si="3"/>
        <v>0.65055555555555555</v>
      </c>
      <c r="AL9" s="82">
        <f t="shared" si="3"/>
        <v>1</v>
      </c>
      <c r="AM9" s="82">
        <f t="shared" si="3"/>
        <v>0.30587147552995053</v>
      </c>
      <c r="AN9" s="82">
        <f t="shared" si="3"/>
        <v>0.32206871338692794</v>
      </c>
      <c r="AO9" s="82">
        <f t="shared" si="3"/>
        <v>0.47813470549058212</v>
      </c>
      <c r="AP9" s="82">
        <f t="shared" si="3"/>
        <v>0.50924048138643363</v>
      </c>
      <c r="AQ9" s="82">
        <f t="shared" si="3"/>
        <v>0.56344567845310334</v>
      </c>
      <c r="AR9" s="82">
        <f t="shared" si="3"/>
        <v>0.52138127157129122</v>
      </c>
      <c r="AS9" s="82">
        <f t="shared" si="3"/>
        <v>0.43024895119122836</v>
      </c>
      <c r="AT9" s="19"/>
      <c r="AU9" s="18"/>
      <c r="AV9" s="18"/>
      <c r="AW9" s="18"/>
      <c r="AX9" s="18"/>
      <c r="AY9" s="18"/>
      <c r="AZ9" s="18"/>
      <c r="BA9" s="18"/>
      <c r="BB9" s="18"/>
      <c r="BC9" s="18"/>
      <c r="BD9" s="18"/>
      <c r="BE9" s="18"/>
      <c r="BF9" s="17"/>
    </row>
    <row r="10" spans="1:65" x14ac:dyDescent="0.25">
      <c r="A10" s="44" t="s">
        <v>94</v>
      </c>
      <c r="B10" s="2" t="s">
        <v>87</v>
      </c>
      <c r="C10" s="2"/>
      <c r="D10" s="2" t="s">
        <v>93</v>
      </c>
      <c r="E10" s="53">
        <f>-PV(C9,20,E5)</f>
        <v>1284.6311764793097</v>
      </c>
      <c r="I10" s="84" t="s">
        <v>289</v>
      </c>
      <c r="J10" s="71">
        <f>J9^(1/J6)</f>
        <v>0.86089165933173484</v>
      </c>
      <c r="K10" s="71">
        <f>K9^(1/K6)</f>
        <v>0.86089165933173484</v>
      </c>
      <c r="L10" s="71">
        <f>L9^(1/L6)</f>
        <v>0.86089165933173484</v>
      </c>
      <c r="M10" s="71">
        <f>M9^(1/M6)</f>
        <v>0.86089165933173484</v>
      </c>
      <c r="N10" s="71">
        <f>N9^(1/N6)</f>
        <v>0.86089165933173484</v>
      </c>
      <c r="O10" s="71"/>
      <c r="P10" s="71">
        <f>P9^(1/P6)</f>
        <v>0.86089165933173484</v>
      </c>
      <c r="Q10" s="71">
        <f>Q9^(1/Q6)</f>
        <v>0.86089165933173484</v>
      </c>
      <c r="S10" s="71">
        <f>S9^(1/S6)</f>
        <v>0.86089165933173484</v>
      </c>
      <c r="T10" s="71">
        <f>T9^(1/T6)</f>
        <v>0.86089165933173484</v>
      </c>
      <c r="U10" s="71">
        <f>U9^(1/U6)</f>
        <v>0.86089165933173484</v>
      </c>
      <c r="V10" s="71">
        <f>V9^(1/V6)</f>
        <v>0.86089165933173484</v>
      </c>
      <c r="W10" s="71">
        <f>W9^(1/W6)</f>
        <v>0.86089165933173484</v>
      </c>
      <c r="X10" s="27">
        <v>0</v>
      </c>
      <c r="Y10" s="27">
        <v>0</v>
      </c>
      <c r="Z10" s="27">
        <v>0</v>
      </c>
      <c r="AA10" s="27">
        <v>0</v>
      </c>
      <c r="AB10" s="27">
        <v>0</v>
      </c>
      <c r="AC10" s="27">
        <v>0</v>
      </c>
      <c r="AD10" s="27">
        <v>0</v>
      </c>
      <c r="AE10" s="27">
        <v>0</v>
      </c>
      <c r="AF10" s="27">
        <v>0</v>
      </c>
      <c r="AG10" s="71"/>
      <c r="AI10" s="2" t="s">
        <v>279</v>
      </c>
      <c r="AJ10" s="3" t="e">
        <f>(AJ2-AJ6)</f>
        <v>#REF!</v>
      </c>
      <c r="AK10" s="3">
        <f t="shared" ref="AK10:AS10" si="4">(AK2-AK6)</f>
        <v>558.33333333333337</v>
      </c>
      <c r="AL10" s="3">
        <f t="shared" si="4"/>
        <v>650</v>
      </c>
      <c r="AM10" s="3">
        <f t="shared" si="4"/>
        <v>3868.6356449494356</v>
      </c>
      <c r="AN10" s="3">
        <f t="shared" si="4"/>
        <v>3601.1150798989138</v>
      </c>
      <c r="AO10" s="3">
        <f t="shared" si="4"/>
        <v>5740.8106572003671</v>
      </c>
      <c r="AP10" s="3">
        <f t="shared" si="4"/>
        <v>6184.2900225966732</v>
      </c>
      <c r="AQ10" s="3">
        <f t="shared" si="4"/>
        <v>7176.0461576808975</v>
      </c>
      <c r="AR10" s="3">
        <f t="shared" si="4"/>
        <v>5274.0376923452031</v>
      </c>
      <c r="AS10" s="3">
        <f t="shared" si="4"/>
        <v>4283.1812869339319</v>
      </c>
    </row>
    <row r="11" spans="1:65" x14ac:dyDescent="0.25">
      <c r="A11" s="44" t="s">
        <v>183</v>
      </c>
      <c r="B11" s="2" t="s">
        <v>87</v>
      </c>
      <c r="C11" s="2"/>
      <c r="D11" s="2" t="s">
        <v>93</v>
      </c>
      <c r="E11" s="53">
        <f>-PV(C9,20,E3)-E10</f>
        <v>128.46311764793086</v>
      </c>
      <c r="AI11" s="2"/>
      <c r="AJ11" s="2"/>
      <c r="AK11" s="2"/>
      <c r="AL11" s="2"/>
      <c r="AM11" s="2"/>
      <c r="AN11" s="2"/>
      <c r="AO11" s="2"/>
      <c r="AP11" s="2"/>
      <c r="AQ11" s="2"/>
      <c r="AR11" s="2"/>
      <c r="AS11" s="1"/>
    </row>
    <row r="12" spans="1:65" x14ac:dyDescent="0.25">
      <c r="A12" s="20" t="s">
        <v>91</v>
      </c>
      <c r="B12" s="2" t="s">
        <v>90</v>
      </c>
      <c r="C12" s="2">
        <v>166</v>
      </c>
      <c r="D12" s="2"/>
      <c r="E12" s="1"/>
      <c r="I12" s="84" t="str">
        <f t="array" ref="I12:R45">TRANSPOSE(I1:AF10)</f>
        <v>Analysis costs</v>
      </c>
      <c r="J12" s="27" t="str">
        <v>SEK = 10*EUR</v>
      </c>
      <c r="K12" s="27" t="str">
        <v>Investment</v>
      </c>
      <c r="L12" s="27" t="str">
        <v>Variable cost</v>
      </c>
      <c r="M12" s="27" t="str">
        <v>Fixed cost</v>
      </c>
      <c r="N12" s="27" t="str">
        <v>Depreciation period</v>
      </c>
      <c r="O12" s="27" t="str">
        <v>Maintenance rate</v>
      </c>
      <c r="P12" s="27" t="str">
        <v>Interest rate for investment</v>
      </c>
      <c r="Q12" s="27" t="str">
        <v>Scrap value fraction</v>
      </c>
      <c r="R12" s="27" t="str">
        <v>Depreciation factor per y</v>
      </c>
      <c r="AB12" s="71"/>
      <c r="AC12" s="71"/>
      <c r="AD12" s="71"/>
      <c r="AE12" s="71"/>
      <c r="AF12" s="71"/>
      <c r="AG12" s="71"/>
      <c r="AI12" s="2"/>
      <c r="AJ12" s="2"/>
      <c r="AK12" s="2"/>
      <c r="AL12" s="2"/>
      <c r="AM12" s="2"/>
      <c r="AN12" s="2"/>
      <c r="AO12" s="2"/>
      <c r="AP12" s="2"/>
      <c r="AQ12" s="2"/>
      <c r="AR12" s="2"/>
      <c r="AS12" s="1"/>
    </row>
    <row r="13" spans="1:65" x14ac:dyDescent="0.25">
      <c r="A13" s="20" t="s">
        <v>89</v>
      </c>
      <c r="B13" s="2" t="s">
        <v>87</v>
      </c>
      <c r="C13" s="2">
        <v>65</v>
      </c>
      <c r="D13" s="2"/>
      <c r="E13" s="1">
        <f>C13*1000/100</f>
        <v>650</v>
      </c>
      <c r="I13" s="84" t="str">
        <v>Sawmpi</v>
      </c>
      <c r="J13" s="27" t="str">
        <v>/m3sv</v>
      </c>
      <c r="K13" s="27">
        <v>0</v>
      </c>
      <c r="L13" s="27">
        <v>0</v>
      </c>
      <c r="M13" s="27">
        <v>0</v>
      </c>
      <c r="N13" s="27">
        <v>20</v>
      </c>
      <c r="O13" s="27">
        <v>0.05</v>
      </c>
      <c r="P13" s="27">
        <v>0.06</v>
      </c>
      <c r="Q13" s="27">
        <v>0.05</v>
      </c>
      <c r="R13" s="27">
        <v>0.86089165933173484</v>
      </c>
      <c r="AB13" s="71"/>
      <c r="AC13" s="71"/>
      <c r="AD13" s="71"/>
      <c r="AE13" s="71"/>
      <c r="AF13" s="71"/>
      <c r="AG13" s="71"/>
      <c r="AI13" s="2" t="s">
        <v>251</v>
      </c>
      <c r="AJ13" s="2">
        <f>550+(36 + 1.62*90 )*0.46</f>
        <v>633.62800000000004</v>
      </c>
      <c r="AK13" s="2"/>
      <c r="AL13" s="2"/>
      <c r="AM13" s="2"/>
      <c r="AN13" s="2"/>
      <c r="AO13" s="2"/>
      <c r="AP13" s="2"/>
      <c r="AQ13" s="2"/>
      <c r="AR13" s="2"/>
      <c r="AS13" s="1"/>
    </row>
    <row r="14" spans="1:65" x14ac:dyDescent="0.25">
      <c r="A14" s="20" t="s">
        <v>88</v>
      </c>
      <c r="B14" s="2" t="s">
        <v>87</v>
      </c>
      <c r="C14" s="2">
        <v>60</v>
      </c>
      <c r="D14" s="2"/>
      <c r="E14" s="1">
        <f>C14*1000/100</f>
        <v>600</v>
      </c>
      <c r="I14" s="84" t="str">
        <v>Sawmsp</v>
      </c>
      <c r="J14" s="27" t="str">
        <v>/m3sv</v>
      </c>
      <c r="K14" s="27">
        <v>0</v>
      </c>
      <c r="L14" s="27">
        <v>0</v>
      </c>
      <c r="M14" s="27">
        <v>0</v>
      </c>
      <c r="N14" s="27">
        <v>20</v>
      </c>
      <c r="O14" s="27">
        <v>0.05</v>
      </c>
      <c r="P14" s="27">
        <v>0.06</v>
      </c>
      <c r="Q14" s="27">
        <v>0.05</v>
      </c>
      <c r="R14" s="27">
        <v>0.86089165933173484</v>
      </c>
      <c r="AB14" s="71"/>
      <c r="AC14" s="71"/>
      <c r="AD14" s="71"/>
      <c r="AE14" s="71"/>
      <c r="AF14" s="71"/>
      <c r="AG14" s="71"/>
      <c r="AI14" s="2" t="s">
        <v>252</v>
      </c>
      <c r="AJ14" s="2">
        <f>300+(36 + 1.62*90 )*0.46</f>
        <v>383.62800000000004</v>
      </c>
      <c r="AK14" s="2"/>
      <c r="AL14" s="2"/>
      <c r="AM14" s="2"/>
      <c r="AN14" s="2"/>
      <c r="AO14" s="2"/>
      <c r="AP14" s="2"/>
      <c r="AQ14" s="2"/>
      <c r="AR14" s="2"/>
      <c r="AS14" s="1"/>
    </row>
    <row r="15" spans="1:65" x14ac:dyDescent="0.25">
      <c r="A15" s="2"/>
      <c r="B15" s="2"/>
      <c r="C15" s="2"/>
      <c r="D15" s="2"/>
      <c r="E15" s="2"/>
      <c r="F15" s="2"/>
      <c r="G15" s="2"/>
      <c r="I15" s="84" t="str">
        <v>Sawmal</v>
      </c>
      <c r="J15" s="27" t="str">
        <v>/m3sv</v>
      </c>
      <c r="K15" s="27">
        <v>0</v>
      </c>
      <c r="L15" s="27">
        <v>0</v>
      </c>
      <c r="M15" s="27">
        <v>0</v>
      </c>
      <c r="N15" s="27">
        <v>20</v>
      </c>
      <c r="O15" s="27">
        <v>0.05</v>
      </c>
      <c r="P15" s="27">
        <v>0.06</v>
      </c>
      <c r="Q15" s="27">
        <v>0.05</v>
      </c>
      <c r="R15" s="27">
        <v>0.86089165933173484</v>
      </c>
      <c r="AB15" s="71"/>
      <c r="AC15" s="71"/>
      <c r="AD15" s="71"/>
      <c r="AE15" s="71"/>
      <c r="AF15" s="71"/>
      <c r="AG15" s="71"/>
      <c r="AH15" s="19"/>
      <c r="AI15" s="18" t="s">
        <v>28</v>
      </c>
      <c r="AJ15" s="18">
        <v>200</v>
      </c>
      <c r="AK15" s="18"/>
      <c r="AL15" s="18"/>
      <c r="AM15" s="18"/>
      <c r="AN15" s="18"/>
      <c r="AO15" s="18"/>
      <c r="AP15" s="18"/>
      <c r="AQ15" s="18"/>
      <c r="AR15" s="18"/>
      <c r="AS15" s="17"/>
    </row>
    <row r="16" spans="1:65" x14ac:dyDescent="0.25">
      <c r="A16" s="12"/>
      <c r="B16" s="2"/>
      <c r="C16" s="2"/>
      <c r="D16" s="2"/>
      <c r="E16" s="2"/>
      <c r="F16" s="2"/>
      <c r="G16" s="2"/>
      <c r="I16" s="84" t="str">
        <v>Heatpl</v>
      </c>
      <c r="J16" s="27" t="str">
        <v>/MWh</v>
      </c>
      <c r="K16" s="27">
        <v>1284.6311764793097</v>
      </c>
      <c r="L16" s="27">
        <v>168.00000000000003</v>
      </c>
      <c r="M16" s="27">
        <v>0</v>
      </c>
      <c r="N16" s="27">
        <v>20</v>
      </c>
      <c r="O16" s="27">
        <v>0.05</v>
      </c>
      <c r="P16" s="27">
        <v>0.06</v>
      </c>
      <c r="Q16" s="27">
        <v>0.05</v>
      </c>
      <c r="R16" s="27">
        <v>0.86089165933173484</v>
      </c>
      <c r="S16" s="71"/>
      <c r="T16" s="71"/>
      <c r="U16" s="71"/>
      <c r="V16" s="71"/>
      <c r="W16" s="71"/>
      <c r="X16" s="71"/>
      <c r="Y16" s="71"/>
      <c r="Z16" s="71"/>
      <c r="AA16" s="71"/>
      <c r="AB16" s="71"/>
      <c r="AC16" s="71"/>
      <c r="AD16" s="71"/>
      <c r="AE16" s="71"/>
      <c r="AF16" s="71"/>
      <c r="AG16" s="71"/>
    </row>
    <row r="17" spans="1:33" x14ac:dyDescent="0.25">
      <c r="A17" s="2"/>
      <c r="B17" s="2"/>
      <c r="C17" s="2"/>
      <c r="D17" s="47"/>
      <c r="E17" s="2"/>
      <c r="F17" s="2"/>
      <c r="G17" s="2"/>
      <c r="I17" s="84" t="str">
        <v>CHPpl_</v>
      </c>
      <c r="J17" s="27" t="str">
        <v>/MWh</v>
      </c>
      <c r="K17" s="27">
        <v>128.46311764793086</v>
      </c>
      <c r="L17" s="27">
        <v>224.00000000000003</v>
      </c>
      <c r="M17" s="27">
        <v>0</v>
      </c>
      <c r="N17" s="27">
        <v>20</v>
      </c>
      <c r="O17" s="27">
        <v>0.05</v>
      </c>
      <c r="P17" s="27">
        <v>0.06</v>
      </c>
      <c r="Q17" s="27">
        <v>0.05</v>
      </c>
      <c r="R17" s="27">
        <v>0.86089165933173484</v>
      </c>
    </row>
    <row r="18" spans="1:33" x14ac:dyDescent="0.25">
      <c r="A18" s="2"/>
      <c r="B18" s="2"/>
      <c r="C18" s="43"/>
      <c r="D18" s="2"/>
      <c r="E18" s="2"/>
      <c r="F18" s="2"/>
      <c r="G18" s="2"/>
      <c r="I18" s="84" t="str">
        <v>FTDpl_</v>
      </c>
      <c r="J18" s="27" t="str">
        <v>/MWh</v>
      </c>
      <c r="K18" s="27">
        <v>5087.1906235354409</v>
      </c>
      <c r="L18" s="27">
        <v>625.67560966487326</v>
      </c>
      <c r="M18" s="27">
        <v>0</v>
      </c>
      <c r="N18" s="27">
        <v>20</v>
      </c>
      <c r="O18" s="27">
        <v>0</v>
      </c>
      <c r="P18" s="27">
        <v>0</v>
      </c>
      <c r="Q18" s="27">
        <v>0</v>
      </c>
      <c r="R18" s="27">
        <v>0</v>
      </c>
      <c r="AC18" s="71" t="s">
        <v>519</v>
      </c>
      <c r="AD18" s="71"/>
      <c r="AE18" s="71"/>
    </row>
    <row r="19" spans="1:33" x14ac:dyDescent="0.25">
      <c r="A19" s="2"/>
      <c r="B19" s="2"/>
      <c r="C19" s="16"/>
      <c r="D19" s="2"/>
      <c r="E19" s="2"/>
      <c r="F19" s="2"/>
      <c r="G19" s="2"/>
      <c r="I19" s="84" t="str">
        <v>PuChem</v>
      </c>
      <c r="J19" s="27" t="str">
        <v>/adt</v>
      </c>
      <c r="K19" s="27">
        <v>16762.5</v>
      </c>
      <c r="L19" s="27">
        <v>860</v>
      </c>
      <c r="M19" s="27">
        <v>650</v>
      </c>
      <c r="N19" s="27">
        <v>20</v>
      </c>
      <c r="O19" s="27">
        <v>0</v>
      </c>
      <c r="P19" s="27">
        <v>0.06</v>
      </c>
      <c r="Q19" s="27">
        <v>0.05</v>
      </c>
      <c r="R19" s="27">
        <v>0.86089165933173484</v>
      </c>
      <c r="AC19" t="s">
        <v>339</v>
      </c>
      <c r="AD19" t="s">
        <v>508</v>
      </c>
      <c r="AE19" t="s">
        <v>509</v>
      </c>
    </row>
    <row r="20" spans="1:33" x14ac:dyDescent="0.25">
      <c r="A20" s="2"/>
      <c r="B20" s="2"/>
      <c r="C20" s="2"/>
      <c r="D20" s="2"/>
      <c r="E20" s="2"/>
      <c r="F20" s="2"/>
      <c r="G20" s="2"/>
      <c r="I20" s="84" t="str">
        <v>PuCTMP</v>
      </c>
      <c r="J20" s="27">
        <v>0</v>
      </c>
      <c r="K20" s="27">
        <v>14731.034482758621</v>
      </c>
      <c r="L20" s="27">
        <v>860</v>
      </c>
      <c r="M20" s="27">
        <v>736.55172413793116</v>
      </c>
      <c r="N20" s="27">
        <v>20</v>
      </c>
      <c r="O20" s="27">
        <v>0.05</v>
      </c>
      <c r="P20" s="27">
        <v>0.06</v>
      </c>
      <c r="Q20" s="27">
        <v>0.05</v>
      </c>
      <c r="R20" s="27">
        <v>0.86089165933173484</v>
      </c>
      <c r="AC20" s="24" t="s">
        <v>240</v>
      </c>
      <c r="AD20" s="24" t="s">
        <v>240</v>
      </c>
      <c r="AE20" s="24" t="s">
        <v>240</v>
      </c>
    </row>
    <row r="21" spans="1:33" x14ac:dyDescent="0.25">
      <c r="A21" s="2"/>
      <c r="B21" s="2"/>
      <c r="C21" s="2"/>
      <c r="D21" s="2"/>
      <c r="E21" s="2"/>
      <c r="F21" s="2"/>
      <c r="G21" s="2"/>
      <c r="I21" s="84" t="str">
        <v>PuMech</v>
      </c>
      <c r="J21" s="27" t="str">
        <v>/adt</v>
      </c>
      <c r="K21" s="27">
        <v>6444.8275862068976</v>
      </c>
      <c r="L21" s="27">
        <v>860</v>
      </c>
      <c r="M21" s="27">
        <v>736.55172413793116</v>
      </c>
      <c r="N21" s="27">
        <v>20</v>
      </c>
      <c r="O21" s="27">
        <v>0</v>
      </c>
      <c r="P21" s="27">
        <v>0</v>
      </c>
      <c r="Q21" s="27">
        <v>0</v>
      </c>
      <c r="R21" s="27">
        <v>0</v>
      </c>
    </row>
    <row r="22" spans="1:33" x14ac:dyDescent="0.25">
      <c r="A22" s="2"/>
      <c r="B22" s="2"/>
      <c r="C22" s="2"/>
      <c r="D22" s="2"/>
      <c r="E22" s="2"/>
      <c r="F22" s="2"/>
      <c r="G22" s="2"/>
      <c r="I22" s="84" t="str">
        <v>PuDiss</v>
      </c>
      <c r="J22" s="27" t="str">
        <v>/adt</v>
      </c>
      <c r="K22" s="27">
        <v>16762.5</v>
      </c>
      <c r="L22" s="27">
        <v>860</v>
      </c>
      <c r="M22" s="27">
        <v>650</v>
      </c>
      <c r="N22" s="27">
        <v>20</v>
      </c>
      <c r="O22" s="27">
        <v>0</v>
      </c>
      <c r="P22" s="27">
        <v>0.06</v>
      </c>
      <c r="Q22" s="27">
        <v>0.05</v>
      </c>
      <c r="R22" s="27">
        <v>0.86089165933173484</v>
      </c>
    </row>
    <row r="23" spans="1:33" x14ac:dyDescent="0.25">
      <c r="A23" s="2"/>
      <c r="B23" s="2"/>
      <c r="C23" s="43"/>
      <c r="D23" s="2"/>
      <c r="E23" s="2"/>
      <c r="F23" s="2"/>
      <c r="G23" s="2"/>
      <c r="I23" s="84" t="str">
        <v>PaChem</v>
      </c>
      <c r="J23" s="27" t="str">
        <v>/adt</v>
      </c>
      <c r="K23" s="27">
        <v>4751.0135135135133</v>
      </c>
      <c r="L23" s="27">
        <v>180</v>
      </c>
      <c r="M23" s="27">
        <v>250</v>
      </c>
      <c r="N23" s="27">
        <v>20</v>
      </c>
      <c r="O23" s="27">
        <v>0</v>
      </c>
      <c r="P23" s="27">
        <v>0.06</v>
      </c>
      <c r="Q23" s="27">
        <v>0.05</v>
      </c>
      <c r="R23" s="27">
        <v>0.86089165933173484</v>
      </c>
    </row>
    <row r="24" spans="1:33" x14ac:dyDescent="0.25">
      <c r="A24" s="2"/>
      <c r="B24" s="2"/>
      <c r="C24" s="3"/>
      <c r="D24" s="2"/>
      <c r="E24" s="2"/>
      <c r="F24" s="2"/>
      <c r="G24" s="2"/>
      <c r="I24" s="84" t="str">
        <v>OtChem</v>
      </c>
      <c r="J24" s="27" t="str">
        <v>/adt</v>
      </c>
      <c r="K24" s="27">
        <v>4751.0135135135133</v>
      </c>
      <c r="L24" s="27">
        <v>180</v>
      </c>
      <c r="M24" s="27">
        <v>250</v>
      </c>
      <c r="N24" s="27">
        <v>20</v>
      </c>
      <c r="O24" s="27">
        <v>0</v>
      </c>
      <c r="P24" s="27">
        <v>0.06</v>
      </c>
      <c r="Q24" s="27">
        <v>0.05</v>
      </c>
      <c r="R24" s="27">
        <v>0.86089165933173484</v>
      </c>
      <c r="S24" s="71"/>
      <c r="T24" s="71"/>
      <c r="U24" s="71"/>
      <c r="V24" s="71"/>
      <c r="W24" s="71"/>
      <c r="X24" s="71"/>
      <c r="Y24" s="71"/>
      <c r="Z24" s="71"/>
      <c r="AA24" s="71"/>
      <c r="AB24" s="71"/>
      <c r="AC24" s="71"/>
      <c r="AD24" s="71"/>
      <c r="AE24" s="71"/>
      <c r="AF24" s="71"/>
      <c r="AG24" s="71"/>
    </row>
    <row r="25" spans="1:33" x14ac:dyDescent="0.25">
      <c r="A25" s="104"/>
      <c r="B25" s="2"/>
      <c r="C25" s="3"/>
      <c r="D25" s="2"/>
      <c r="E25" s="2"/>
      <c r="F25" s="2"/>
      <c r="G25" s="2"/>
      <c r="I25" s="84" t="str">
        <v>OtMech</v>
      </c>
      <c r="J25" s="27" t="str">
        <v>/adt</v>
      </c>
      <c r="K25" s="27">
        <v>3068.9655172413786</v>
      </c>
      <c r="L25" s="27">
        <v>180</v>
      </c>
      <c r="M25" s="27">
        <v>153.44827586206893</v>
      </c>
      <c r="N25" s="27">
        <v>20</v>
      </c>
      <c r="O25" s="27">
        <v>0.05</v>
      </c>
      <c r="P25" s="27">
        <v>0.06</v>
      </c>
      <c r="Q25" s="27">
        <v>0.05</v>
      </c>
      <c r="R25" s="27">
        <v>0.86089165933173484</v>
      </c>
    </row>
    <row r="26" spans="1:33" x14ac:dyDescent="0.25">
      <c r="A26" s="2"/>
      <c r="B26" s="2"/>
      <c r="C26" s="2"/>
      <c r="D26" s="2"/>
      <c r="E26" s="2"/>
      <c r="F26" s="2"/>
      <c r="G26" s="2"/>
      <c r="I26" s="84" t="str">
        <v>NwMech</v>
      </c>
      <c r="J26" s="27" t="str">
        <v>/adt</v>
      </c>
      <c r="K26" s="27">
        <v>3068.9655172413786</v>
      </c>
      <c r="L26" s="27">
        <v>180</v>
      </c>
      <c r="M26" s="27">
        <v>153.44827586206893</v>
      </c>
      <c r="N26" s="27">
        <v>20</v>
      </c>
      <c r="O26" s="27">
        <v>0.05</v>
      </c>
      <c r="P26" s="27">
        <v>0.06</v>
      </c>
      <c r="Q26" s="27">
        <v>0.05</v>
      </c>
      <c r="R26" s="27">
        <v>0.86089165933173484</v>
      </c>
    </row>
    <row r="27" spans="1:33" x14ac:dyDescent="0.25">
      <c r="A27" s="2"/>
      <c r="B27" s="2"/>
      <c r="C27" s="2"/>
      <c r="D27" s="2"/>
      <c r="E27" s="2"/>
      <c r="F27" s="2"/>
      <c r="G27" s="2"/>
      <c r="I27" s="84" t="str">
        <v>PuBCCS</v>
      </c>
      <c r="J27" s="27" t="str">
        <v>/adt</v>
      </c>
      <c r="K27" s="27">
        <v>1</v>
      </c>
      <c r="L27" s="27">
        <v>1</v>
      </c>
      <c r="M27" s="27">
        <v>1</v>
      </c>
      <c r="N27" s="27">
        <v>20</v>
      </c>
      <c r="O27" s="27">
        <v>5207.5</v>
      </c>
      <c r="P27" s="27">
        <v>320</v>
      </c>
      <c r="Q27" s="27">
        <v>150</v>
      </c>
      <c r="R27" s="27">
        <v>0</v>
      </c>
    </row>
    <row r="28" spans="1:33" x14ac:dyDescent="0.25">
      <c r="A28" s="2"/>
      <c r="B28" s="2"/>
      <c r="C28" s="2"/>
      <c r="D28" s="2"/>
      <c r="E28" s="2"/>
      <c r="F28" s="2"/>
      <c r="G28" s="2"/>
      <c r="I28" s="84" t="str">
        <v>PaBCCS</v>
      </c>
      <c r="J28" s="27" t="str">
        <v>/adt</v>
      </c>
      <c r="K28" s="27">
        <v>1</v>
      </c>
      <c r="L28" s="27">
        <v>1</v>
      </c>
      <c r="M28" s="27">
        <v>1</v>
      </c>
      <c r="N28" s="27">
        <v>20</v>
      </c>
      <c r="O28" s="27">
        <v>6716.2162162162167</v>
      </c>
      <c r="P28" s="27">
        <v>480</v>
      </c>
      <c r="Q28" s="27">
        <v>180</v>
      </c>
      <c r="R28" s="27">
        <v>0</v>
      </c>
    </row>
    <row r="29" spans="1:33" x14ac:dyDescent="0.25">
      <c r="A29" s="2"/>
      <c r="B29" s="2"/>
      <c r="C29" s="2"/>
      <c r="D29" s="2"/>
      <c r="E29" s="2"/>
      <c r="F29" s="2"/>
      <c r="G29" s="2"/>
      <c r="I29" s="84" t="str">
        <v>OtBCCS</v>
      </c>
      <c r="J29" s="27" t="str">
        <v>/adt</v>
      </c>
      <c r="K29" s="27">
        <v>1</v>
      </c>
      <c r="L29" s="27">
        <v>1</v>
      </c>
      <c r="M29" s="27">
        <v>1</v>
      </c>
      <c r="N29" s="27">
        <v>20</v>
      </c>
      <c r="O29" s="27">
        <v>6716.2162162162167</v>
      </c>
      <c r="P29" s="27">
        <v>480</v>
      </c>
      <c r="Q29" s="27">
        <v>180</v>
      </c>
      <c r="R29" s="27">
        <v>0</v>
      </c>
      <c r="S29" s="71"/>
      <c r="T29" s="71"/>
      <c r="U29" s="71"/>
      <c r="V29" s="71"/>
      <c r="W29" s="71"/>
      <c r="X29" s="71"/>
      <c r="Y29" s="71"/>
      <c r="Z29" s="71"/>
      <c r="AA29" s="71"/>
      <c r="AB29" s="71"/>
      <c r="AC29" s="71"/>
      <c r="AD29" s="71"/>
      <c r="AE29" s="71"/>
      <c r="AF29" s="71"/>
      <c r="AG29" s="71"/>
    </row>
    <row r="30" spans="1:33" x14ac:dyDescent="0.25">
      <c r="A30" s="2"/>
      <c r="B30" s="2"/>
      <c r="C30" s="2"/>
      <c r="D30" s="2"/>
      <c r="E30" s="2"/>
      <c r="F30" s="2"/>
      <c r="G30" s="2"/>
      <c r="I30" s="84" t="str">
        <v>TerFTD</v>
      </c>
      <c r="J30" s="27" t="str">
        <v>/m3fub</v>
      </c>
      <c r="K30" s="27">
        <v>1</v>
      </c>
      <c r="L30" s="27">
        <v>0</v>
      </c>
      <c r="M30" s="27">
        <v>0</v>
      </c>
      <c r="N30" s="27">
        <v>999</v>
      </c>
      <c r="O30" s="27">
        <v>0</v>
      </c>
      <c r="P30" s="27">
        <v>0</v>
      </c>
      <c r="Q30" s="27">
        <v>0</v>
      </c>
      <c r="R30" s="27">
        <v>0</v>
      </c>
    </row>
    <row r="31" spans="1:33" x14ac:dyDescent="0.25">
      <c r="A31" s="2"/>
      <c r="B31" s="2"/>
      <c r="C31" s="2"/>
      <c r="D31" s="2"/>
      <c r="E31" s="2"/>
      <c r="F31" s="2"/>
      <c r="G31" s="2"/>
      <c r="I31" s="84" t="str">
        <v>TerTsp</v>
      </c>
      <c r="J31" s="27">
        <v>0</v>
      </c>
      <c r="K31" s="27">
        <v>1</v>
      </c>
      <c r="L31" s="27">
        <v>0</v>
      </c>
      <c r="M31" s="27">
        <v>0</v>
      </c>
      <c r="N31" s="27">
        <v>999</v>
      </c>
      <c r="O31" s="27">
        <v>0</v>
      </c>
      <c r="P31" s="27">
        <v>0</v>
      </c>
      <c r="Q31" s="27">
        <v>0</v>
      </c>
      <c r="R31" s="27">
        <v>0</v>
      </c>
    </row>
    <row r="32" spans="1:33" x14ac:dyDescent="0.25">
      <c r="A32" s="2"/>
      <c r="B32" s="2"/>
      <c r="C32" s="2"/>
      <c r="D32" s="2"/>
      <c r="E32" s="2"/>
      <c r="F32" s="2"/>
      <c r="G32" s="2"/>
      <c r="I32" s="84" t="str">
        <v>TerTal</v>
      </c>
      <c r="J32" s="27">
        <v>0</v>
      </c>
      <c r="K32" s="27">
        <v>1</v>
      </c>
      <c r="L32" s="27">
        <v>0</v>
      </c>
      <c r="M32" s="27">
        <v>0</v>
      </c>
      <c r="N32" s="27">
        <v>999</v>
      </c>
      <c r="O32" s="27">
        <v>0</v>
      </c>
      <c r="P32" s="27">
        <v>0</v>
      </c>
      <c r="Q32" s="27">
        <v>0</v>
      </c>
      <c r="R32" s="27">
        <v>0</v>
      </c>
    </row>
    <row r="33" spans="1:33" x14ac:dyDescent="0.25">
      <c r="A33" s="2"/>
      <c r="B33" s="2"/>
      <c r="C33" s="2"/>
      <c r="D33" s="2"/>
      <c r="E33" s="2"/>
      <c r="F33" s="2"/>
      <c r="G33" s="2"/>
      <c r="I33" s="84" t="str">
        <v>TerPsp</v>
      </c>
      <c r="J33" s="27">
        <v>0</v>
      </c>
      <c r="K33" s="27">
        <v>1</v>
      </c>
      <c r="L33" s="27">
        <v>0</v>
      </c>
      <c r="M33" s="27">
        <v>0</v>
      </c>
      <c r="N33" s="27">
        <v>999</v>
      </c>
      <c r="O33" s="27">
        <v>0</v>
      </c>
      <c r="P33" s="27">
        <v>0</v>
      </c>
      <c r="Q33" s="27">
        <v>0</v>
      </c>
      <c r="R33" s="27">
        <v>0</v>
      </c>
    </row>
    <row r="34" spans="1:33" x14ac:dyDescent="0.25">
      <c r="A34" s="2"/>
      <c r="B34" s="2"/>
      <c r="C34" s="2"/>
      <c r="D34" s="2"/>
      <c r="E34" s="2"/>
      <c r="F34" s="2"/>
      <c r="G34" s="2"/>
      <c r="I34" s="84" t="str">
        <v>TerPal</v>
      </c>
      <c r="J34" s="27">
        <v>0</v>
      </c>
      <c r="K34" s="27">
        <v>1</v>
      </c>
      <c r="L34" s="27">
        <v>0</v>
      </c>
      <c r="M34" s="27">
        <v>0</v>
      </c>
      <c r="N34" s="27">
        <v>999</v>
      </c>
      <c r="O34" s="27">
        <v>0</v>
      </c>
      <c r="P34" s="27">
        <v>0</v>
      </c>
      <c r="Q34" s="27">
        <v>0</v>
      </c>
      <c r="R34" s="27">
        <v>0</v>
      </c>
      <c r="S34" s="71"/>
      <c r="T34" s="71"/>
      <c r="U34" s="71"/>
      <c r="V34" s="71"/>
      <c r="W34" s="71"/>
      <c r="X34" s="71"/>
      <c r="Y34" s="71"/>
      <c r="Z34" s="71"/>
      <c r="AA34" s="71"/>
      <c r="AB34" s="71"/>
      <c r="AC34" s="71"/>
      <c r="AD34" s="71"/>
      <c r="AE34" s="71"/>
      <c r="AF34" s="71"/>
      <c r="AG34" s="71"/>
    </row>
    <row r="35" spans="1:33" x14ac:dyDescent="0.25">
      <c r="A35" s="2"/>
      <c r="B35" s="2"/>
      <c r="C35" s="2"/>
      <c r="D35" s="2"/>
      <c r="E35" s="2"/>
      <c r="F35" s="2"/>
      <c r="G35" s="2"/>
      <c r="I35" s="84" t="str">
        <v>TerHea</v>
      </c>
      <c r="J35" s="27">
        <v>0</v>
      </c>
      <c r="K35" s="27">
        <v>1</v>
      </c>
      <c r="L35" s="27">
        <v>0</v>
      </c>
      <c r="M35" s="27">
        <v>0</v>
      </c>
      <c r="N35" s="27">
        <v>999</v>
      </c>
      <c r="O35" s="27">
        <v>0</v>
      </c>
      <c r="P35" s="27">
        <v>0</v>
      </c>
      <c r="Q35" s="27">
        <v>0</v>
      </c>
      <c r="R35" s="27">
        <v>0</v>
      </c>
    </row>
    <row r="36" spans="1:33" x14ac:dyDescent="0.25">
      <c r="A36" s="2"/>
      <c r="B36" s="2"/>
      <c r="C36" s="2"/>
      <c r="D36" s="2"/>
      <c r="E36" s="2"/>
      <c r="F36" s="2"/>
      <c r="G36" s="2"/>
      <c r="I36" s="84" t="e">
        <v>#N/A</v>
      </c>
      <c r="J36" s="27" t="e">
        <v>#N/A</v>
      </c>
      <c r="K36" s="27" t="e">
        <v>#N/A</v>
      </c>
      <c r="L36" s="27" t="e">
        <v>#N/A</v>
      </c>
      <c r="M36" s="27" t="e">
        <v>#N/A</v>
      </c>
      <c r="N36" s="27" t="e">
        <v>#N/A</v>
      </c>
      <c r="O36" s="27" t="e">
        <v>#N/A</v>
      </c>
      <c r="P36" s="27" t="e">
        <v>#N/A</v>
      </c>
      <c r="Q36" s="27" t="e">
        <v>#N/A</v>
      </c>
      <c r="R36" s="27" t="e">
        <v>#N/A</v>
      </c>
    </row>
    <row r="37" spans="1:33" x14ac:dyDescent="0.25">
      <c r="A37" s="2"/>
      <c r="B37" s="2"/>
      <c r="C37" s="2"/>
      <c r="D37" s="2"/>
      <c r="E37" s="2"/>
      <c r="F37" s="2"/>
      <c r="G37" s="2"/>
      <c r="I37" s="84" t="e">
        <v>#N/A</v>
      </c>
      <c r="J37" s="27" t="e">
        <v>#N/A</v>
      </c>
      <c r="K37" s="27" t="e">
        <v>#N/A</v>
      </c>
      <c r="L37" s="27" t="e">
        <v>#N/A</v>
      </c>
      <c r="M37" s="27" t="e">
        <v>#N/A</v>
      </c>
      <c r="N37" s="27" t="e">
        <v>#N/A</v>
      </c>
      <c r="O37" s="27" t="e">
        <v>#N/A</v>
      </c>
      <c r="P37" s="27" t="e">
        <v>#N/A</v>
      </c>
      <c r="Q37" s="27" t="e">
        <v>#N/A</v>
      </c>
      <c r="R37" s="27" t="e">
        <v>#N/A</v>
      </c>
    </row>
    <row r="38" spans="1:33" x14ac:dyDescent="0.25">
      <c r="A38" s="2"/>
      <c r="B38" s="2"/>
      <c r="C38" s="2"/>
      <c r="D38" s="2"/>
      <c r="E38" s="2"/>
      <c r="F38" s="2"/>
      <c r="G38" s="2"/>
      <c r="I38" s="84" t="e">
        <v>#N/A</v>
      </c>
      <c r="J38" s="27" t="e">
        <v>#N/A</v>
      </c>
      <c r="K38" s="27" t="e">
        <v>#N/A</v>
      </c>
      <c r="L38" s="27" t="e">
        <v>#N/A</v>
      </c>
      <c r="M38" s="27" t="e">
        <v>#N/A</v>
      </c>
      <c r="N38" s="27" t="e">
        <v>#N/A</v>
      </c>
      <c r="O38" s="27" t="e">
        <v>#N/A</v>
      </c>
      <c r="P38" s="27" t="e">
        <v>#N/A</v>
      </c>
      <c r="Q38" s="27" t="e">
        <v>#N/A</v>
      </c>
      <c r="R38" s="27" t="e">
        <v>#N/A</v>
      </c>
    </row>
    <row r="39" spans="1:33" x14ac:dyDescent="0.25">
      <c r="A39" s="2"/>
      <c r="B39" s="2"/>
      <c r="C39" s="2"/>
      <c r="D39" s="2"/>
      <c r="E39" s="2"/>
      <c r="F39" s="2"/>
      <c r="G39" s="2"/>
      <c r="I39" s="84" t="e">
        <v>#N/A</v>
      </c>
      <c r="J39" s="27" t="e">
        <v>#N/A</v>
      </c>
      <c r="K39" s="27" t="e">
        <v>#N/A</v>
      </c>
      <c r="L39" s="27" t="e">
        <v>#N/A</v>
      </c>
      <c r="M39" s="27" t="e">
        <v>#N/A</v>
      </c>
      <c r="N39" s="27" t="e">
        <v>#N/A</v>
      </c>
      <c r="O39" s="27" t="e">
        <v>#N/A</v>
      </c>
      <c r="P39" s="27" t="e">
        <v>#N/A</v>
      </c>
      <c r="Q39" s="27" t="e">
        <v>#N/A</v>
      </c>
      <c r="R39" s="27" t="e">
        <v>#N/A</v>
      </c>
      <c r="S39" s="71"/>
      <c r="T39" s="71"/>
      <c r="U39" s="71"/>
      <c r="V39" s="71"/>
      <c r="W39" s="71"/>
      <c r="X39" s="71"/>
      <c r="Y39" s="71"/>
      <c r="Z39" s="71"/>
      <c r="AA39" s="71"/>
      <c r="AB39" s="71"/>
      <c r="AC39" s="71"/>
      <c r="AD39" s="71"/>
      <c r="AE39" s="71"/>
      <c r="AF39" s="71"/>
      <c r="AG39" s="71"/>
    </row>
    <row r="40" spans="1:33" x14ac:dyDescent="0.25">
      <c r="A40" s="2"/>
      <c r="B40" s="2"/>
      <c r="C40" s="2"/>
      <c r="D40" s="2"/>
      <c r="E40" s="2"/>
      <c r="F40" s="2"/>
      <c r="G40" s="2"/>
      <c r="I40" s="84" t="e">
        <v>#N/A</v>
      </c>
      <c r="J40" s="27" t="e">
        <v>#N/A</v>
      </c>
      <c r="K40" s="27" t="e">
        <v>#N/A</v>
      </c>
      <c r="L40" s="27" t="e">
        <v>#N/A</v>
      </c>
      <c r="M40" s="27" t="e">
        <v>#N/A</v>
      </c>
      <c r="N40" s="27" t="e">
        <v>#N/A</v>
      </c>
      <c r="O40" s="27" t="e">
        <v>#N/A</v>
      </c>
      <c r="P40" s="27" t="e">
        <v>#N/A</v>
      </c>
      <c r="Q40" s="27" t="e">
        <v>#N/A</v>
      </c>
      <c r="R40" s="27" t="e">
        <v>#N/A</v>
      </c>
    </row>
    <row r="41" spans="1:33" x14ac:dyDescent="0.25">
      <c r="A41" s="2"/>
      <c r="B41" s="2"/>
      <c r="C41" s="2"/>
      <c r="D41" s="2"/>
      <c r="E41" s="2"/>
      <c r="F41" s="2"/>
      <c r="G41" s="2"/>
      <c r="I41" s="84" t="e">
        <v>#N/A</v>
      </c>
      <c r="J41" s="27" t="e">
        <v>#N/A</v>
      </c>
      <c r="K41" s="27" t="e">
        <v>#N/A</v>
      </c>
      <c r="L41" s="27" t="e">
        <v>#N/A</v>
      </c>
      <c r="M41" s="27" t="e">
        <v>#N/A</v>
      </c>
      <c r="N41" s="27" t="e">
        <v>#N/A</v>
      </c>
      <c r="O41" s="27" t="e">
        <v>#N/A</v>
      </c>
      <c r="P41" s="27" t="e">
        <v>#N/A</v>
      </c>
      <c r="Q41" s="27" t="e">
        <v>#N/A</v>
      </c>
      <c r="R41" s="27" t="e">
        <v>#N/A</v>
      </c>
    </row>
    <row r="42" spans="1:33" x14ac:dyDescent="0.25">
      <c r="A42" s="2"/>
      <c r="B42" s="2"/>
      <c r="C42" s="2"/>
      <c r="D42" s="2"/>
      <c r="E42" s="2"/>
      <c r="F42" s="2"/>
      <c r="G42" s="2"/>
      <c r="I42" s="84" t="e">
        <v>#N/A</v>
      </c>
      <c r="J42" s="27" t="e">
        <v>#N/A</v>
      </c>
      <c r="K42" s="27" t="e">
        <v>#N/A</v>
      </c>
      <c r="L42" s="27" t="e">
        <v>#N/A</v>
      </c>
      <c r="M42" s="27" t="e">
        <v>#N/A</v>
      </c>
      <c r="N42" s="27" t="e">
        <v>#N/A</v>
      </c>
      <c r="O42" s="27" t="e">
        <v>#N/A</v>
      </c>
      <c r="P42" s="27" t="e">
        <v>#N/A</v>
      </c>
      <c r="Q42" s="27" t="e">
        <v>#N/A</v>
      </c>
      <c r="R42" s="27" t="e">
        <v>#N/A</v>
      </c>
    </row>
    <row r="43" spans="1:33" x14ac:dyDescent="0.25">
      <c r="A43" s="2"/>
      <c r="B43" s="2"/>
      <c r="C43" s="2"/>
      <c r="D43" s="2"/>
      <c r="E43" s="2"/>
      <c r="F43" s="2"/>
      <c r="G43" s="2"/>
      <c r="I43" s="84" t="e">
        <v>#N/A</v>
      </c>
      <c r="J43" s="27" t="e">
        <v>#N/A</v>
      </c>
      <c r="K43" s="27" t="e">
        <v>#N/A</v>
      </c>
      <c r="L43" s="27" t="e">
        <v>#N/A</v>
      </c>
      <c r="M43" s="27" t="e">
        <v>#N/A</v>
      </c>
      <c r="N43" s="27" t="e">
        <v>#N/A</v>
      </c>
      <c r="O43" s="27" t="e">
        <v>#N/A</v>
      </c>
      <c r="P43" s="27" t="e">
        <v>#N/A</v>
      </c>
      <c r="Q43" s="27" t="e">
        <v>#N/A</v>
      </c>
      <c r="R43" s="27" t="e">
        <v>#N/A</v>
      </c>
    </row>
    <row r="44" spans="1:33" x14ac:dyDescent="0.25">
      <c r="A44" s="2"/>
      <c r="B44" s="2"/>
      <c r="C44" s="2"/>
      <c r="D44" s="2"/>
      <c r="E44" s="2"/>
      <c r="F44" s="2"/>
      <c r="G44" s="2"/>
      <c r="I44" s="84" t="e">
        <v>#N/A</v>
      </c>
      <c r="J44" s="27" t="e">
        <v>#N/A</v>
      </c>
      <c r="K44" s="27" t="e">
        <v>#N/A</v>
      </c>
      <c r="L44" s="27" t="e">
        <v>#N/A</v>
      </c>
      <c r="M44" s="27" t="e">
        <v>#N/A</v>
      </c>
      <c r="N44" s="27" t="e">
        <v>#N/A</v>
      </c>
      <c r="O44" s="27" t="e">
        <v>#N/A</v>
      </c>
      <c r="P44" s="27" t="e">
        <v>#N/A</v>
      </c>
      <c r="Q44" s="27" t="e">
        <v>#N/A</v>
      </c>
      <c r="R44" s="27" t="e">
        <v>#N/A</v>
      </c>
      <c r="S44" s="71"/>
      <c r="T44" s="71"/>
      <c r="U44" s="71"/>
      <c r="V44" s="71"/>
      <c r="W44" s="71"/>
      <c r="X44" s="71"/>
      <c r="Y44" s="71"/>
      <c r="Z44" s="71"/>
      <c r="AA44" s="71"/>
      <c r="AB44" s="71"/>
      <c r="AC44" s="71"/>
      <c r="AD44" s="71"/>
      <c r="AE44" s="71"/>
      <c r="AF44" s="71"/>
      <c r="AG44" s="71"/>
    </row>
    <row r="45" spans="1:33" x14ac:dyDescent="0.25">
      <c r="A45" s="2"/>
      <c r="B45" s="2"/>
      <c r="C45" s="2"/>
      <c r="D45" s="2"/>
      <c r="E45" s="2"/>
      <c r="F45" s="2"/>
      <c r="G45" s="2"/>
      <c r="I45" s="84" t="e">
        <v>#N/A</v>
      </c>
      <c r="J45" s="27" t="e">
        <v>#N/A</v>
      </c>
      <c r="K45" s="27" t="e">
        <v>#N/A</v>
      </c>
      <c r="L45" s="27" t="e">
        <v>#N/A</v>
      </c>
      <c r="M45" s="27" t="e">
        <v>#N/A</v>
      </c>
      <c r="N45" s="27" t="e">
        <v>#N/A</v>
      </c>
      <c r="O45" s="27" t="e">
        <v>#N/A</v>
      </c>
      <c r="P45" s="27" t="e">
        <v>#N/A</v>
      </c>
      <c r="Q45" s="27" t="e">
        <v>#N/A</v>
      </c>
      <c r="R45" s="27" t="e">
        <v>#N/A</v>
      </c>
    </row>
    <row r="46" spans="1:33" x14ac:dyDescent="0.25">
      <c r="A46" s="2"/>
      <c r="B46" s="2"/>
      <c r="C46" s="2"/>
      <c r="D46" s="2"/>
      <c r="E46" s="2"/>
      <c r="F46" s="2"/>
      <c r="G46" s="2"/>
    </row>
    <row r="47" spans="1:33" x14ac:dyDescent="0.25">
      <c r="A47" s="2"/>
      <c r="B47" s="2"/>
      <c r="C47" s="2"/>
      <c r="D47" s="2"/>
      <c r="E47" s="2"/>
      <c r="F47" s="2"/>
      <c r="G47" s="2"/>
    </row>
    <row r="48" spans="1:33" x14ac:dyDescent="0.25">
      <c r="A48" s="2"/>
      <c r="B48" s="2"/>
      <c r="C48" s="2"/>
      <c r="D48" s="2"/>
      <c r="E48" s="2"/>
      <c r="F48" s="2"/>
      <c r="G48" s="2"/>
    </row>
    <row r="49" spans="1:33" x14ac:dyDescent="0.25">
      <c r="A49" s="2"/>
      <c r="B49" s="2"/>
      <c r="C49" s="2"/>
      <c r="D49" s="2"/>
      <c r="E49" s="2"/>
      <c r="F49" s="2"/>
      <c r="G49" s="2"/>
    </row>
    <row r="50" spans="1:33" x14ac:dyDescent="0.25">
      <c r="A50" s="2"/>
      <c r="B50" s="2"/>
      <c r="C50" s="2"/>
      <c r="D50" s="2"/>
      <c r="E50" s="2"/>
      <c r="F50" s="2"/>
      <c r="G50" s="2"/>
      <c r="J50" s="71"/>
      <c r="K50" s="71"/>
      <c r="L50" s="71"/>
      <c r="M50" s="71"/>
      <c r="N50" s="71"/>
      <c r="O50" s="71"/>
      <c r="P50" s="71"/>
      <c r="Q50" s="71"/>
      <c r="R50" s="71"/>
      <c r="S50" s="71"/>
      <c r="T50" s="71"/>
      <c r="U50" s="71"/>
      <c r="V50" s="71"/>
      <c r="W50" s="71"/>
      <c r="X50" s="71"/>
      <c r="Y50" s="71"/>
      <c r="Z50" s="71"/>
      <c r="AA50" s="71"/>
      <c r="AB50" s="71"/>
      <c r="AC50" s="71"/>
      <c r="AD50" s="71"/>
      <c r="AE50" s="71"/>
      <c r="AF50" s="71"/>
      <c r="AG50" s="71"/>
    </row>
    <row r="51" spans="1:33" x14ac:dyDescent="0.25">
      <c r="A51" s="2"/>
      <c r="B51" s="2"/>
      <c r="C51" s="2"/>
      <c r="D51" s="2"/>
      <c r="E51" s="2"/>
      <c r="F51" s="2"/>
      <c r="G51" s="2"/>
    </row>
    <row r="52" spans="1:33" x14ac:dyDescent="0.25">
      <c r="A52" s="2"/>
      <c r="B52" s="2"/>
      <c r="C52" s="2"/>
      <c r="D52" s="2"/>
      <c r="E52" s="2"/>
      <c r="F52" s="2"/>
      <c r="G52" s="2"/>
    </row>
    <row r="53" spans="1:33" x14ac:dyDescent="0.25">
      <c r="A53" s="2"/>
      <c r="B53" s="2"/>
      <c r="C53" s="2"/>
      <c r="D53" s="2"/>
      <c r="E53" s="2"/>
      <c r="F53" s="2"/>
      <c r="G53" s="2"/>
    </row>
    <row r="54" spans="1:33" x14ac:dyDescent="0.25">
      <c r="A54" s="66" t="s">
        <v>86</v>
      </c>
    </row>
    <row r="55" spans="1:33" x14ac:dyDescent="0.25">
      <c r="A55" s="51" t="s">
        <v>185</v>
      </c>
      <c r="B55" s="22"/>
      <c r="C55" s="22"/>
      <c r="D55" s="22"/>
      <c r="E55" s="22"/>
      <c r="F55" s="22"/>
      <c r="G55" s="21"/>
      <c r="H55" s="2"/>
      <c r="J55" s="71"/>
      <c r="K55" s="71"/>
      <c r="L55" s="71"/>
      <c r="M55" s="71"/>
      <c r="N55" s="71"/>
      <c r="O55" s="71"/>
      <c r="P55" s="71"/>
      <c r="Q55" s="71"/>
      <c r="R55" s="71"/>
      <c r="S55" s="71"/>
      <c r="T55" s="71"/>
      <c r="U55" s="71"/>
      <c r="V55" s="71"/>
      <c r="W55" s="71"/>
      <c r="X55" s="71"/>
      <c r="Y55" s="71"/>
      <c r="Z55" s="71"/>
      <c r="AA55" s="71"/>
      <c r="AB55" s="71"/>
      <c r="AC55" s="71"/>
      <c r="AD55" s="71"/>
      <c r="AE55" s="71"/>
      <c r="AF55" s="71"/>
      <c r="AG55" s="71"/>
    </row>
    <row r="56" spans="1:33" x14ac:dyDescent="0.25">
      <c r="A56" s="52" t="s">
        <v>83</v>
      </c>
      <c r="B56" s="49" t="s">
        <v>80</v>
      </c>
      <c r="C56" s="50">
        <v>190</v>
      </c>
      <c r="D56" s="2"/>
      <c r="E56" s="2"/>
      <c r="F56" s="2"/>
      <c r="G56" s="1"/>
      <c r="H56" s="2"/>
      <c r="I56" s="85"/>
      <c r="J56" s="71"/>
      <c r="K56" s="71"/>
      <c r="L56" s="71"/>
      <c r="M56" s="71"/>
      <c r="N56" s="71"/>
      <c r="O56" s="71"/>
      <c r="P56" s="71"/>
      <c r="Q56" s="71"/>
      <c r="R56" s="71"/>
      <c r="S56" s="71"/>
      <c r="T56" s="71"/>
      <c r="U56" s="71"/>
      <c r="V56" s="71"/>
      <c r="W56" s="71"/>
      <c r="X56" s="71"/>
      <c r="Y56" s="71"/>
      <c r="Z56" s="71"/>
      <c r="AA56" s="71"/>
      <c r="AB56" s="71"/>
      <c r="AC56" s="71"/>
      <c r="AD56" s="71"/>
      <c r="AE56" s="71"/>
      <c r="AF56" s="71"/>
      <c r="AG56" s="71"/>
    </row>
    <row r="57" spans="1:33" x14ac:dyDescent="0.25">
      <c r="A57" s="20" t="s">
        <v>81</v>
      </c>
      <c r="B57" s="2" t="s">
        <v>80</v>
      </c>
      <c r="C57" s="43">
        <v>216</v>
      </c>
      <c r="D57" s="2"/>
      <c r="E57" s="2"/>
      <c r="F57" s="2"/>
      <c r="G57" s="1"/>
      <c r="H57" s="2"/>
    </row>
    <row r="58" spans="1:33" x14ac:dyDescent="0.25">
      <c r="A58" s="20" t="s">
        <v>23</v>
      </c>
      <c r="B58" s="2" t="s">
        <v>74</v>
      </c>
      <c r="C58" s="2">
        <v>9.3627375449409302E-4</v>
      </c>
      <c r="D58" s="2"/>
      <c r="E58" s="2"/>
      <c r="F58" s="2"/>
      <c r="G58" s="1"/>
      <c r="H58" s="2"/>
    </row>
    <row r="59" spans="1:33" x14ac:dyDescent="0.25">
      <c r="A59" s="44" t="s">
        <v>72</v>
      </c>
      <c r="B59" s="2" t="s">
        <v>71</v>
      </c>
      <c r="C59" s="43">
        <f>C57*1750*2*C58</f>
        <v>707.82295839753431</v>
      </c>
      <c r="D59" s="2"/>
      <c r="E59" s="2"/>
      <c r="F59" s="2"/>
      <c r="G59" s="1"/>
      <c r="H59" s="2"/>
    </row>
    <row r="60" spans="1:33" x14ac:dyDescent="0.25">
      <c r="A60" s="20"/>
      <c r="B60" s="2"/>
      <c r="C60" s="2"/>
      <c r="D60" s="2"/>
      <c r="E60" s="2"/>
      <c r="F60" s="2"/>
      <c r="G60" s="1"/>
      <c r="H60" s="2"/>
    </row>
    <row r="61" spans="1:33" x14ac:dyDescent="0.25">
      <c r="A61" s="20" t="s">
        <v>67</v>
      </c>
      <c r="B61" s="2" t="s">
        <v>56</v>
      </c>
      <c r="C61" s="45">
        <v>2.4500000000000002</v>
      </c>
      <c r="D61" s="2"/>
      <c r="E61" s="2"/>
      <c r="F61" s="2"/>
      <c r="G61" s="1"/>
      <c r="H61" s="2"/>
    </row>
    <row r="62" spans="1:33" x14ac:dyDescent="0.25">
      <c r="A62" s="20" t="s">
        <v>67</v>
      </c>
      <c r="B62" s="2" t="s">
        <v>62</v>
      </c>
      <c r="C62" s="43">
        <f>5800*1000</f>
        <v>5800000</v>
      </c>
      <c r="D62" s="2"/>
      <c r="E62" s="2"/>
      <c r="F62" s="2"/>
      <c r="G62" s="1"/>
      <c r="H62" s="2"/>
    </row>
    <row r="63" spans="1:33" x14ac:dyDescent="0.25">
      <c r="A63" s="20" t="s">
        <v>65</v>
      </c>
      <c r="B63" s="2" t="s">
        <v>22</v>
      </c>
      <c r="C63" s="46">
        <v>1.3</v>
      </c>
      <c r="D63" s="2"/>
      <c r="E63" s="2"/>
      <c r="F63" s="2"/>
      <c r="G63" s="1"/>
      <c r="H63" s="2"/>
    </row>
    <row r="64" spans="1:33" x14ac:dyDescent="0.25">
      <c r="A64" s="20" t="s">
        <v>63</v>
      </c>
      <c r="B64" s="2" t="s">
        <v>62</v>
      </c>
      <c r="C64" s="43">
        <f>C63*C65</f>
        <v>14718600</v>
      </c>
      <c r="D64" s="2"/>
      <c r="E64" s="2"/>
      <c r="F64" s="2"/>
      <c r="G64" s="1"/>
      <c r="H64" s="2"/>
    </row>
    <row r="65" spans="1:8" x14ac:dyDescent="0.25">
      <c r="A65" s="20" t="s">
        <v>60</v>
      </c>
      <c r="B65" s="2" t="s">
        <v>59</v>
      </c>
      <c r="C65" s="43">
        <f>11322*1000</f>
        <v>11322000</v>
      </c>
      <c r="D65" s="2"/>
      <c r="E65" s="2"/>
      <c r="F65" s="2"/>
      <c r="G65" s="1"/>
      <c r="H65" s="2"/>
    </row>
    <row r="66" spans="1:8" x14ac:dyDescent="0.25">
      <c r="A66" s="20" t="s">
        <v>57</v>
      </c>
      <c r="B66" s="2" t="s">
        <v>56</v>
      </c>
      <c r="C66" s="2">
        <f>(C64-C62)/(C65-C62/C61)</f>
        <v>0.99597381819507813</v>
      </c>
      <c r="D66" s="2"/>
      <c r="E66" s="2"/>
      <c r="F66" s="2"/>
      <c r="G66" s="1"/>
      <c r="H66" s="2"/>
    </row>
    <row r="67" spans="1:8" x14ac:dyDescent="0.25">
      <c r="A67" s="20" t="s">
        <v>54</v>
      </c>
      <c r="B67" s="2" t="s">
        <v>53</v>
      </c>
      <c r="C67" s="2">
        <f>E13/2</f>
        <v>325</v>
      </c>
      <c r="D67" s="2"/>
      <c r="E67" s="2"/>
      <c r="F67" s="2"/>
      <c r="G67" s="1"/>
      <c r="H67" s="2"/>
    </row>
    <row r="68" spans="1:8" x14ac:dyDescent="0.25">
      <c r="A68" s="20" t="s">
        <v>51</v>
      </c>
      <c r="B68" s="2" t="s">
        <v>22</v>
      </c>
      <c r="C68" s="2">
        <f>1.2*11000000/900000</f>
        <v>14.666666666666666</v>
      </c>
      <c r="D68" s="2"/>
      <c r="E68" s="2"/>
      <c r="F68" s="2"/>
      <c r="G68" s="1"/>
      <c r="H68" s="2"/>
    </row>
    <row r="69" spans="1:8" x14ac:dyDescent="0.25">
      <c r="A69" s="20" t="s">
        <v>48</v>
      </c>
      <c r="B69" s="2" t="s">
        <v>22</v>
      </c>
      <c r="C69" s="2">
        <v>1.1299999999999999</v>
      </c>
      <c r="D69" s="2"/>
      <c r="E69" s="2"/>
      <c r="F69" s="2"/>
      <c r="G69" s="1"/>
      <c r="H69" s="2"/>
    </row>
    <row r="70" spans="1:8" x14ac:dyDescent="0.25">
      <c r="A70" s="20"/>
      <c r="B70" s="2"/>
      <c r="C70" s="2"/>
      <c r="D70" s="2"/>
      <c r="E70" s="2"/>
      <c r="F70" s="2"/>
      <c r="G70" s="1"/>
      <c r="H70" s="2"/>
    </row>
    <row r="71" spans="1:8" x14ac:dyDescent="0.25">
      <c r="A71" s="20" t="s">
        <v>184</v>
      </c>
      <c r="B71" s="2" t="s">
        <v>85</v>
      </c>
      <c r="C71" s="2" t="s">
        <v>84</v>
      </c>
      <c r="D71" s="2"/>
      <c r="E71" s="2"/>
      <c r="F71" s="2"/>
      <c r="G71" s="1"/>
      <c r="H71" s="2"/>
    </row>
    <row r="72" spans="1:8" x14ac:dyDescent="0.25">
      <c r="A72" s="20" t="s">
        <v>79</v>
      </c>
      <c r="B72" s="2" t="s">
        <v>82</v>
      </c>
      <c r="C72" s="2">
        <v>337.68</v>
      </c>
      <c r="D72" s="2">
        <f>C72/C73</f>
        <v>1.1263884719303512</v>
      </c>
      <c r="E72" s="2"/>
      <c r="F72" s="2"/>
      <c r="G72" s="1"/>
      <c r="H72" s="2"/>
    </row>
    <row r="73" spans="1:8" x14ac:dyDescent="0.25">
      <c r="A73" s="20" t="s">
        <v>79</v>
      </c>
      <c r="B73" s="2" t="s">
        <v>78</v>
      </c>
      <c r="C73" s="2">
        <v>299.79000000000002</v>
      </c>
      <c r="D73" s="2"/>
      <c r="E73" s="2" t="s">
        <v>77</v>
      </c>
      <c r="F73" s="2" t="s">
        <v>76</v>
      </c>
      <c r="G73" s="1" t="s">
        <v>75</v>
      </c>
      <c r="H73" s="2"/>
    </row>
    <row r="74" spans="1:8" x14ac:dyDescent="0.25">
      <c r="A74" s="20" t="s">
        <v>73</v>
      </c>
      <c r="B74" s="2">
        <v>3000</v>
      </c>
      <c r="C74" s="43">
        <f t="shared" ref="C74:C87" si="5">B74*1.2*C$72/C$73</f>
        <v>4054.9984989492641</v>
      </c>
      <c r="D74" s="2"/>
      <c r="E74" s="2"/>
      <c r="F74" s="2"/>
      <c r="G74" s="1"/>
      <c r="H74" s="2"/>
    </row>
    <row r="75" spans="1:8" x14ac:dyDescent="0.25">
      <c r="A75" s="20" t="s">
        <v>70</v>
      </c>
      <c r="B75" s="2">
        <v>3000</v>
      </c>
      <c r="C75" s="43">
        <f t="shared" si="5"/>
        <v>4054.9984989492641</v>
      </c>
      <c r="D75" s="2"/>
      <c r="E75" s="2"/>
      <c r="F75" s="2"/>
      <c r="G75" s="1"/>
      <c r="H75" s="2"/>
    </row>
    <row r="76" spans="1:8" x14ac:dyDescent="0.25">
      <c r="A76" s="20" t="s">
        <v>69</v>
      </c>
      <c r="B76" s="2">
        <v>3000</v>
      </c>
      <c r="C76" s="43">
        <f t="shared" si="5"/>
        <v>4054.9984989492641</v>
      </c>
      <c r="D76" s="2"/>
      <c r="E76" s="2"/>
      <c r="F76" s="2"/>
      <c r="G76" s="1"/>
      <c r="H76" s="2"/>
    </row>
    <row r="77" spans="1:8" x14ac:dyDescent="0.25">
      <c r="A77" s="20" t="s">
        <v>68</v>
      </c>
      <c r="B77" s="2">
        <v>10000</v>
      </c>
      <c r="C77" s="43">
        <f t="shared" si="5"/>
        <v>13516.661663164214</v>
      </c>
      <c r="D77" s="2" t="s">
        <v>41</v>
      </c>
      <c r="E77" s="43">
        <v>0</v>
      </c>
      <c r="F77" s="43">
        <v>0</v>
      </c>
      <c r="G77" s="53">
        <v>100</v>
      </c>
      <c r="H77" s="43"/>
    </row>
    <row r="78" spans="1:8" x14ac:dyDescent="0.25">
      <c r="A78" s="20" t="s">
        <v>66</v>
      </c>
      <c r="B78" s="2">
        <v>10000</v>
      </c>
      <c r="C78" s="43">
        <f t="shared" si="5"/>
        <v>13516.661663164214</v>
      </c>
      <c r="D78" s="2" t="s">
        <v>41</v>
      </c>
      <c r="E78" s="43">
        <v>0</v>
      </c>
      <c r="F78" s="43">
        <v>0</v>
      </c>
      <c r="G78" s="53">
        <v>100</v>
      </c>
      <c r="H78" s="43"/>
    </row>
    <row r="79" spans="1:8" x14ac:dyDescent="0.25">
      <c r="A79" s="20" t="s">
        <v>64</v>
      </c>
      <c r="B79" s="2">
        <v>3150</v>
      </c>
      <c r="C79" s="43">
        <f t="shared" si="5"/>
        <v>4257.7484238967281</v>
      </c>
      <c r="D79" s="2" t="s">
        <v>41</v>
      </c>
      <c r="E79" s="43">
        <v>0</v>
      </c>
      <c r="F79" s="43">
        <f>C59</f>
        <v>707.82295839753431</v>
      </c>
      <c r="G79" s="53">
        <v>0</v>
      </c>
      <c r="H79" s="43"/>
    </row>
    <row r="80" spans="1:8" x14ac:dyDescent="0.25">
      <c r="A80" s="20" t="s">
        <v>61</v>
      </c>
      <c r="B80" s="2">
        <v>5070</v>
      </c>
      <c r="C80" s="43">
        <f t="shared" si="5"/>
        <v>6852.9474632242573</v>
      </c>
      <c r="D80" s="2" t="s">
        <v>41</v>
      </c>
      <c r="E80" s="43">
        <v>0</v>
      </c>
      <c r="F80" s="43">
        <f>C59</f>
        <v>707.82295839753431</v>
      </c>
      <c r="G80" s="53">
        <v>0</v>
      </c>
      <c r="H80" s="43"/>
    </row>
    <row r="81" spans="1:8" x14ac:dyDescent="0.25">
      <c r="A81" s="20" t="s">
        <v>58</v>
      </c>
      <c r="B81" s="2">
        <v>7200</v>
      </c>
      <c r="C81" s="43">
        <f t="shared" si="5"/>
        <v>9731.9963974782349</v>
      </c>
      <c r="D81" s="2" t="s">
        <v>41</v>
      </c>
      <c r="E81" s="43">
        <v>0</v>
      </c>
      <c r="F81" s="43">
        <f>C59</f>
        <v>707.82295839753431</v>
      </c>
      <c r="G81" s="53">
        <v>0</v>
      </c>
      <c r="H81" s="43"/>
    </row>
    <row r="82" spans="1:8" x14ac:dyDescent="0.25">
      <c r="A82" s="20" t="s">
        <v>55</v>
      </c>
      <c r="B82" s="2">
        <v>8700</v>
      </c>
      <c r="C82" s="43">
        <f t="shared" si="5"/>
        <v>11759.495646952866</v>
      </c>
      <c r="D82" s="2" t="s">
        <v>41</v>
      </c>
      <c r="E82" s="43">
        <v>0</v>
      </c>
      <c r="F82" s="43">
        <v>0</v>
      </c>
      <c r="G82" s="53">
        <v>100</v>
      </c>
      <c r="H82" s="43"/>
    </row>
    <row r="83" spans="1:8" x14ac:dyDescent="0.25">
      <c r="A83" s="20" t="s">
        <v>52</v>
      </c>
      <c r="B83" s="2">
        <v>7500</v>
      </c>
      <c r="C83" s="43">
        <f t="shared" si="5"/>
        <v>10137.496247373161</v>
      </c>
      <c r="D83" s="2" t="s">
        <v>41</v>
      </c>
      <c r="E83" s="43">
        <v>0</v>
      </c>
      <c r="F83" s="43">
        <v>0</v>
      </c>
      <c r="G83" s="53">
        <v>100</v>
      </c>
      <c r="H83" s="43"/>
    </row>
    <row r="84" spans="1:8" x14ac:dyDescent="0.25">
      <c r="A84" s="20" t="s">
        <v>50</v>
      </c>
      <c r="B84" s="2">
        <v>9600</v>
      </c>
      <c r="C84" s="43">
        <f t="shared" si="5"/>
        <v>12975.995196637647</v>
      </c>
      <c r="D84" s="2" t="s">
        <v>41</v>
      </c>
      <c r="E84" s="43">
        <v>0</v>
      </c>
      <c r="F84" s="43">
        <v>0</v>
      </c>
      <c r="G84" s="53">
        <v>100</v>
      </c>
      <c r="H84" s="43"/>
    </row>
    <row r="85" spans="1:8" x14ac:dyDescent="0.25">
      <c r="A85" s="20" t="s">
        <v>47</v>
      </c>
      <c r="B85" s="2">
        <v>3750</v>
      </c>
      <c r="C85" s="43">
        <f t="shared" si="5"/>
        <v>5068.7481236865806</v>
      </c>
      <c r="D85" s="2" t="s">
        <v>41</v>
      </c>
      <c r="E85" s="43">
        <v>0</v>
      </c>
      <c r="F85" s="43">
        <v>0</v>
      </c>
      <c r="G85" s="53">
        <v>100</v>
      </c>
      <c r="H85" s="43"/>
    </row>
    <row r="86" spans="1:8" x14ac:dyDescent="0.25">
      <c r="A86" s="20" t="s">
        <v>45</v>
      </c>
      <c r="B86" s="2">
        <v>14000</v>
      </c>
      <c r="C86" s="43">
        <f t="shared" si="5"/>
        <v>18923.326328429899</v>
      </c>
      <c r="D86" s="2" t="s">
        <v>41</v>
      </c>
      <c r="E86" s="43">
        <v>0</v>
      </c>
      <c r="F86" s="43">
        <v>0</v>
      </c>
      <c r="G86" s="53">
        <v>100</v>
      </c>
      <c r="H86" s="43"/>
    </row>
    <row r="87" spans="1:8" x14ac:dyDescent="0.25">
      <c r="A87" s="20" t="s">
        <v>42</v>
      </c>
      <c r="B87" s="2">
        <v>8400</v>
      </c>
      <c r="C87" s="43">
        <f t="shared" si="5"/>
        <v>11353.99579705794</v>
      </c>
      <c r="D87" s="2" t="s">
        <v>41</v>
      </c>
      <c r="E87" s="43">
        <v>0</v>
      </c>
      <c r="F87" s="43">
        <f>C59</f>
        <v>707.82295839753431</v>
      </c>
      <c r="G87" s="53">
        <v>0</v>
      </c>
      <c r="H87" s="43"/>
    </row>
    <row r="88" spans="1:8" x14ac:dyDescent="0.25">
      <c r="A88" s="20" t="s">
        <v>38</v>
      </c>
      <c r="B88" s="47" t="s">
        <v>37</v>
      </c>
      <c r="C88" s="2">
        <v>0.68</v>
      </c>
      <c r="D88" s="2"/>
      <c r="E88" s="2"/>
      <c r="F88" s="2"/>
      <c r="G88" s="1"/>
      <c r="H88" s="2"/>
    </row>
    <row r="89" spans="1:8" x14ac:dyDescent="0.25">
      <c r="A89" s="20" t="s">
        <v>32</v>
      </c>
      <c r="B89" s="2" t="s">
        <v>31</v>
      </c>
      <c r="C89" s="2">
        <v>0.05</v>
      </c>
      <c r="D89" s="2"/>
      <c r="E89" s="2"/>
      <c r="F89" s="2"/>
      <c r="G89" s="1"/>
      <c r="H89" s="2"/>
    </row>
    <row r="90" spans="1:8" x14ac:dyDescent="0.25">
      <c r="A90" s="48" t="s">
        <v>30</v>
      </c>
      <c r="B90" s="18"/>
      <c r="C90" s="18">
        <f>C89*C88</f>
        <v>3.4000000000000002E-2</v>
      </c>
      <c r="D90" s="18"/>
      <c r="E90" s="18"/>
      <c r="F90" s="18"/>
      <c r="G90" s="17"/>
      <c r="H90" s="2"/>
    </row>
    <row r="91" spans="1:8" x14ac:dyDescent="0.25">
      <c r="A91" s="20"/>
      <c r="B91" s="2"/>
      <c r="C91" s="2"/>
      <c r="D91" s="2"/>
      <c r="E91" s="2"/>
      <c r="F91" s="2"/>
      <c r="G91" s="1"/>
    </row>
    <row r="92" spans="1:8" x14ac:dyDescent="0.25">
      <c r="A92" s="20"/>
      <c r="B92" s="2"/>
      <c r="C92" s="2"/>
      <c r="D92" s="2"/>
      <c r="E92" s="2"/>
      <c r="F92" s="2"/>
      <c r="G92" s="1"/>
    </row>
    <row r="93" spans="1:8" x14ac:dyDescent="0.25">
      <c r="A93" s="51" t="s">
        <v>186</v>
      </c>
      <c r="B93" s="22"/>
      <c r="C93" s="22"/>
      <c r="D93" s="22"/>
      <c r="E93" s="22"/>
      <c r="F93" s="22"/>
      <c r="G93" s="21"/>
      <c r="H93" s="2"/>
    </row>
    <row r="94" spans="1:8" ht="15.75" thickBot="1" x14ac:dyDescent="0.3">
      <c r="A94" s="60"/>
      <c r="B94" s="14"/>
      <c r="C94" s="14"/>
      <c r="D94" s="14"/>
      <c r="E94" s="14"/>
      <c r="F94" s="14"/>
      <c r="G94" s="1"/>
      <c r="H94" s="2"/>
    </row>
    <row r="95" spans="1:8" x14ac:dyDescent="0.25">
      <c r="A95" s="20" t="s">
        <v>187</v>
      </c>
      <c r="B95" s="2"/>
      <c r="C95" s="2"/>
      <c r="D95" s="2"/>
      <c r="E95" s="2"/>
      <c r="F95" s="2"/>
      <c r="G95" s="1"/>
      <c r="H95" s="2"/>
    </row>
    <row r="96" spans="1:8" x14ac:dyDescent="0.25">
      <c r="A96" s="20" t="s">
        <v>188</v>
      </c>
      <c r="B96" s="2" t="s">
        <v>189</v>
      </c>
      <c r="C96" s="2" t="s">
        <v>190</v>
      </c>
      <c r="D96" s="2" t="s">
        <v>191</v>
      </c>
      <c r="E96" s="2"/>
      <c r="F96" s="2"/>
      <c r="G96" s="1"/>
      <c r="H96" s="2"/>
    </row>
    <row r="97" spans="1:8" x14ac:dyDescent="0.25">
      <c r="A97" s="2" t="s">
        <v>192</v>
      </c>
      <c r="B97" s="2" t="s">
        <v>193</v>
      </c>
      <c r="C97" s="2" t="s">
        <v>194</v>
      </c>
      <c r="D97" s="2" t="s">
        <v>195</v>
      </c>
      <c r="E97" s="2"/>
      <c r="F97" s="2"/>
      <c r="G97" s="1"/>
      <c r="H97" s="2"/>
    </row>
    <row r="98" spans="1:8" x14ac:dyDescent="0.25">
      <c r="A98" s="20" t="s">
        <v>196</v>
      </c>
      <c r="B98" s="2" t="s">
        <v>197</v>
      </c>
      <c r="C98" s="2" t="s">
        <v>198</v>
      </c>
      <c r="D98" s="47" t="s">
        <v>199</v>
      </c>
      <c r="E98" s="2"/>
      <c r="F98" s="2"/>
      <c r="G98" s="1"/>
      <c r="H98" s="2"/>
    </row>
    <row r="99" spans="1:8" ht="15.75" thickBot="1" x14ac:dyDescent="0.3">
      <c r="A99" s="60" t="s">
        <v>200</v>
      </c>
      <c r="B99" s="14" t="s">
        <v>201</v>
      </c>
      <c r="C99" s="14" t="s">
        <v>202</v>
      </c>
      <c r="D99" s="14"/>
      <c r="E99" s="14"/>
      <c r="F99" s="14"/>
      <c r="G99" s="1"/>
      <c r="H99" s="2"/>
    </row>
    <row r="100" spans="1:8" x14ac:dyDescent="0.25">
      <c r="A100" s="61" t="s">
        <v>210</v>
      </c>
      <c r="B100" s="2"/>
      <c r="C100" s="2"/>
      <c r="D100" s="2"/>
      <c r="E100" s="2"/>
      <c r="F100" s="2"/>
      <c r="G100" s="1"/>
      <c r="H100" s="2"/>
    </row>
    <row r="101" spans="1:8" x14ac:dyDescent="0.25">
      <c r="A101" s="61" t="s">
        <v>26</v>
      </c>
      <c r="B101" s="2" t="s">
        <v>203</v>
      </c>
      <c r="C101" s="2" t="s">
        <v>204</v>
      </c>
      <c r="D101" s="2" t="s">
        <v>205</v>
      </c>
      <c r="E101" s="2" t="s">
        <v>206</v>
      </c>
      <c r="F101" s="2" t="s">
        <v>207</v>
      </c>
      <c r="G101" s="1"/>
      <c r="H101" s="2"/>
    </row>
    <row r="102" spans="1:8" x14ac:dyDescent="0.25">
      <c r="A102" s="19"/>
      <c r="B102" s="18" t="s">
        <v>208</v>
      </c>
      <c r="C102" s="18" t="s">
        <v>208</v>
      </c>
      <c r="D102" s="18" t="s">
        <v>209</v>
      </c>
      <c r="E102" s="18" t="s">
        <v>209</v>
      </c>
      <c r="F102" s="18" t="s">
        <v>209</v>
      </c>
      <c r="G102" s="1"/>
      <c r="H102" s="2"/>
    </row>
    <row r="103" spans="1:8" x14ac:dyDescent="0.25">
      <c r="A103" s="20" t="s">
        <v>193</v>
      </c>
      <c r="B103" s="43">
        <v>1870</v>
      </c>
      <c r="C103" s="43">
        <v>713</v>
      </c>
      <c r="D103" s="56">
        <v>-1.5</v>
      </c>
      <c r="E103" s="56">
        <v>-2.2000000000000002</v>
      </c>
      <c r="F103" s="56">
        <v>0</v>
      </c>
      <c r="G103" s="1"/>
      <c r="H103" s="2"/>
    </row>
    <row r="104" spans="1:8" x14ac:dyDescent="0.25">
      <c r="A104" s="20" t="s">
        <v>197</v>
      </c>
      <c r="B104" s="43">
        <v>1870</v>
      </c>
      <c r="C104" s="43">
        <v>713</v>
      </c>
      <c r="D104" s="56">
        <v>-1.5</v>
      </c>
      <c r="E104" s="56">
        <v>-4.5</v>
      </c>
      <c r="F104" s="56">
        <v>0</v>
      </c>
      <c r="G104" s="1"/>
      <c r="H104" s="2"/>
    </row>
    <row r="105" spans="1:8" x14ac:dyDescent="0.25">
      <c r="A105" s="20" t="s">
        <v>201</v>
      </c>
      <c r="B105" s="43">
        <v>1870</v>
      </c>
      <c r="C105" s="43">
        <v>713</v>
      </c>
      <c r="D105" s="56">
        <v>4.4000000000000004</v>
      </c>
      <c r="E105" s="56">
        <v>3</v>
      </c>
      <c r="F105" s="56">
        <v>-14</v>
      </c>
      <c r="G105" s="1"/>
      <c r="H105" s="2"/>
    </row>
    <row r="106" spans="1:8" x14ac:dyDescent="0.25">
      <c r="A106" s="20" t="s">
        <v>194</v>
      </c>
      <c r="B106" s="43">
        <v>1870</v>
      </c>
      <c r="C106" s="43">
        <v>713</v>
      </c>
      <c r="D106" s="56">
        <v>-0.1</v>
      </c>
      <c r="E106" s="56">
        <v>1.4</v>
      </c>
      <c r="F106" s="57">
        <v>0</v>
      </c>
      <c r="G106" s="1"/>
      <c r="H106" s="2"/>
    </row>
    <row r="107" spans="1:8" x14ac:dyDescent="0.25">
      <c r="A107" s="20" t="s">
        <v>198</v>
      </c>
      <c r="B107" s="43">
        <v>1870</v>
      </c>
      <c r="C107" s="43">
        <v>713</v>
      </c>
      <c r="D107" s="56">
        <v>4.5</v>
      </c>
      <c r="E107" s="56">
        <v>-2.2999999999999998</v>
      </c>
      <c r="F107" s="56">
        <v>0</v>
      </c>
      <c r="G107" s="1"/>
      <c r="H107" s="2"/>
    </row>
    <row r="108" spans="1:8" x14ac:dyDescent="0.25">
      <c r="A108" s="20" t="s">
        <v>202</v>
      </c>
      <c r="B108" s="43">
        <v>1870</v>
      </c>
      <c r="C108" s="43">
        <v>713</v>
      </c>
      <c r="D108" s="56">
        <v>13</v>
      </c>
      <c r="E108" s="56">
        <v>4.3</v>
      </c>
      <c r="F108" s="55">
        <v>-14</v>
      </c>
      <c r="G108" s="1"/>
      <c r="H108" s="2"/>
    </row>
    <row r="109" spans="1:8" ht="15.75" thickBot="1" x14ac:dyDescent="0.3">
      <c r="A109" s="60" t="s">
        <v>195</v>
      </c>
      <c r="B109" s="14">
        <v>1290</v>
      </c>
      <c r="C109" s="14"/>
      <c r="D109" s="58">
        <v>-2.1</v>
      </c>
      <c r="E109" s="58">
        <v>11</v>
      </c>
      <c r="F109" s="59">
        <v>0</v>
      </c>
      <c r="G109" s="1"/>
      <c r="H109" s="2"/>
    </row>
    <row r="110" spans="1:8" x14ac:dyDescent="0.25">
      <c r="A110" s="61" t="s">
        <v>215</v>
      </c>
      <c r="B110" s="2"/>
      <c r="C110" s="2"/>
      <c r="D110" s="2"/>
      <c r="E110" s="2"/>
      <c r="F110" s="2"/>
      <c r="G110" s="1"/>
      <c r="H110" s="2"/>
    </row>
    <row r="111" spans="1:8" x14ac:dyDescent="0.25">
      <c r="A111" s="20"/>
      <c r="B111" s="2" t="s">
        <v>184</v>
      </c>
      <c r="C111" s="2" t="s">
        <v>214</v>
      </c>
      <c r="D111" s="2"/>
      <c r="E111" s="2"/>
      <c r="F111" s="2"/>
      <c r="G111" s="1"/>
      <c r="H111" s="2"/>
    </row>
    <row r="112" spans="1:8" x14ac:dyDescent="0.25">
      <c r="A112" s="19" t="s">
        <v>211</v>
      </c>
      <c r="B112" s="18" t="s">
        <v>212</v>
      </c>
      <c r="C112" s="18" t="s">
        <v>213</v>
      </c>
      <c r="D112" s="2"/>
      <c r="E112" s="2"/>
      <c r="F112" s="2"/>
      <c r="G112" s="1"/>
      <c r="H112" s="2"/>
    </row>
    <row r="113" spans="1:8" x14ac:dyDescent="0.25">
      <c r="A113" s="20" t="s">
        <v>193</v>
      </c>
      <c r="B113" s="43">
        <v>1320</v>
      </c>
      <c r="C113" s="43">
        <v>88</v>
      </c>
      <c r="D113" s="2"/>
      <c r="E113" s="2"/>
      <c r="F113" s="2"/>
      <c r="G113" s="1"/>
      <c r="H113" s="2"/>
    </row>
    <row r="114" spans="1:8" x14ac:dyDescent="0.25">
      <c r="A114" s="20" t="s">
        <v>197</v>
      </c>
      <c r="B114" s="43">
        <v>1440</v>
      </c>
      <c r="C114" s="43">
        <v>92</v>
      </c>
      <c r="D114" s="2"/>
      <c r="E114" s="2"/>
      <c r="F114" s="2"/>
      <c r="G114" s="1"/>
      <c r="H114" s="2"/>
    </row>
    <row r="115" spans="1:8" x14ac:dyDescent="0.25">
      <c r="A115" s="20" t="s">
        <v>201</v>
      </c>
      <c r="B115" s="43">
        <v>1450</v>
      </c>
      <c r="C115" s="43">
        <v>91</v>
      </c>
      <c r="D115" s="2"/>
      <c r="E115" s="2"/>
      <c r="F115" s="2"/>
      <c r="G115" s="1"/>
      <c r="H115" s="2"/>
    </row>
    <row r="116" spans="1:8" x14ac:dyDescent="0.25">
      <c r="A116" s="20" t="s">
        <v>194</v>
      </c>
      <c r="B116" s="43">
        <v>2900</v>
      </c>
      <c r="C116" s="43">
        <v>175</v>
      </c>
      <c r="D116" s="2"/>
      <c r="E116" s="2"/>
      <c r="F116" s="2"/>
      <c r="G116" s="1"/>
      <c r="H116" s="2"/>
    </row>
    <row r="117" spans="1:8" x14ac:dyDescent="0.25">
      <c r="A117" s="20" t="s">
        <v>198</v>
      </c>
      <c r="B117" s="43">
        <v>3020</v>
      </c>
      <c r="C117" s="43">
        <v>180</v>
      </c>
      <c r="D117" s="2"/>
      <c r="E117" s="2"/>
      <c r="F117" s="2"/>
      <c r="G117" s="1"/>
      <c r="H117" s="2"/>
    </row>
    <row r="118" spans="1:8" x14ac:dyDescent="0.25">
      <c r="A118" s="20" t="s">
        <v>202</v>
      </c>
      <c r="B118" s="43">
        <v>3020</v>
      </c>
      <c r="C118" s="43">
        <v>180</v>
      </c>
      <c r="D118" s="2"/>
      <c r="E118" s="2"/>
      <c r="F118" s="2"/>
      <c r="G118" s="1"/>
      <c r="H118" s="2"/>
    </row>
    <row r="119" spans="1:8" x14ac:dyDescent="0.25">
      <c r="A119" s="19" t="s">
        <v>195</v>
      </c>
      <c r="B119" s="62">
        <v>1780</v>
      </c>
      <c r="C119" s="19">
        <v>100</v>
      </c>
      <c r="D119" s="18"/>
      <c r="E119" s="18"/>
      <c r="F119" s="18"/>
      <c r="G119" s="17"/>
      <c r="H119" s="2"/>
    </row>
    <row r="120" spans="1:8" x14ac:dyDescent="0.25">
      <c r="A120" s="20"/>
      <c r="B120" s="2"/>
      <c r="C120" s="2"/>
      <c r="D120" s="2"/>
      <c r="E120" s="2"/>
      <c r="F120" s="2"/>
      <c r="G120" s="1"/>
    </row>
    <row r="121" spans="1:8" x14ac:dyDescent="0.25">
      <c r="A121" s="20"/>
      <c r="B121" s="2"/>
      <c r="C121" s="2"/>
      <c r="D121" s="2"/>
      <c r="E121" s="2"/>
      <c r="F121" s="2"/>
      <c r="G121" s="1"/>
    </row>
    <row r="122" spans="1:8" x14ac:dyDescent="0.25">
      <c r="A122" s="51" t="s">
        <v>220</v>
      </c>
      <c r="B122" s="22"/>
      <c r="C122" s="22"/>
      <c r="D122" s="22"/>
      <c r="E122" s="22"/>
      <c r="F122" s="22"/>
      <c r="G122" s="21"/>
      <c r="H122" s="2"/>
    </row>
    <row r="123" spans="1:8" x14ac:dyDescent="0.25">
      <c r="A123" s="19" t="s">
        <v>216</v>
      </c>
      <c r="B123" t="s">
        <v>254</v>
      </c>
      <c r="C123" s="18" t="s">
        <v>221</v>
      </c>
      <c r="D123" s="18" t="s">
        <v>222</v>
      </c>
      <c r="E123" s="18" t="s">
        <v>223</v>
      </c>
      <c r="F123" s="18" t="s">
        <v>224</v>
      </c>
      <c r="G123" s="1" t="s">
        <v>255</v>
      </c>
      <c r="H123" s="2"/>
    </row>
    <row r="124" spans="1:8" x14ac:dyDescent="0.25">
      <c r="A124" s="20" t="s">
        <v>219</v>
      </c>
      <c r="B124">
        <v>39036</v>
      </c>
      <c r="C124" s="43">
        <v>43040</v>
      </c>
      <c r="D124" s="56">
        <v>8.1999999999999993</v>
      </c>
      <c r="E124" s="56">
        <v>62.4</v>
      </c>
      <c r="F124" s="43">
        <v>5106</v>
      </c>
      <c r="G124" s="74">
        <f>F124/B124</f>
        <v>0.13080233630494928</v>
      </c>
      <c r="H124" s="2"/>
    </row>
    <row r="125" spans="1:8" x14ac:dyDescent="0.25">
      <c r="A125" s="20" t="s">
        <v>217</v>
      </c>
      <c r="B125">
        <v>19701</v>
      </c>
      <c r="C125" s="43">
        <v>18717</v>
      </c>
      <c r="D125" s="56">
        <v>8</v>
      </c>
      <c r="E125" s="56">
        <v>67.7</v>
      </c>
      <c r="F125" s="43">
        <v>3401</v>
      </c>
      <c r="G125" s="74">
        <f>F125/B125</f>
        <v>0.1726308309222882</v>
      </c>
      <c r="H125" s="2"/>
    </row>
    <row r="126" spans="1:8" x14ac:dyDescent="0.25">
      <c r="A126" s="19" t="s">
        <v>218</v>
      </c>
      <c r="B126">
        <v>76021</v>
      </c>
      <c r="C126" s="62">
        <v>74078</v>
      </c>
      <c r="D126" s="54">
        <v>10.8</v>
      </c>
      <c r="E126" s="54">
        <v>55.7</v>
      </c>
      <c r="F126" s="62">
        <v>19712</v>
      </c>
      <c r="G126" s="74">
        <f>F126/B126</f>
        <v>0.25929677326002026</v>
      </c>
      <c r="H126" s="2"/>
    </row>
    <row r="127" spans="1:8" x14ac:dyDescent="0.25">
      <c r="A127" s="20" t="s">
        <v>257</v>
      </c>
      <c r="C127" s="43"/>
      <c r="D127" s="56"/>
      <c r="E127" s="56"/>
      <c r="F127" s="43"/>
      <c r="G127" s="74" t="s">
        <v>278</v>
      </c>
      <c r="H127" s="2"/>
    </row>
    <row r="128" spans="1:8" x14ac:dyDescent="0.25">
      <c r="A128" s="20" t="s">
        <v>219</v>
      </c>
      <c r="B128" s="70">
        <f t="shared" ref="B128:C130" si="6">B124/$G128</f>
        <v>2168.6666666666665</v>
      </c>
      <c r="C128" s="70">
        <f t="shared" si="6"/>
        <v>2391.1111111111113</v>
      </c>
      <c r="D128" s="70"/>
      <c r="E128" s="70"/>
      <c r="F128" s="70">
        <f>F124/$G128</f>
        <v>283.66666666666669</v>
      </c>
      <c r="G128" s="75">
        <v>18</v>
      </c>
      <c r="H128" s="2"/>
    </row>
    <row r="129" spans="1:8" x14ac:dyDescent="0.25">
      <c r="A129" s="20" t="s">
        <v>217</v>
      </c>
      <c r="B129" s="70">
        <f t="shared" si="6"/>
        <v>5427.272727272727</v>
      </c>
      <c r="C129" s="70">
        <f t="shared" si="6"/>
        <v>5156.1983471074373</v>
      </c>
      <c r="D129" s="70"/>
      <c r="E129" s="70"/>
      <c r="F129" s="70">
        <f>F125/$G129</f>
        <v>936.91460055096411</v>
      </c>
      <c r="G129" s="75">
        <f>11*0.33</f>
        <v>3.6300000000000003</v>
      </c>
      <c r="H129" s="2"/>
    </row>
    <row r="130" spans="1:8" x14ac:dyDescent="0.25">
      <c r="A130" s="19" t="s">
        <v>218</v>
      </c>
      <c r="B130" s="70">
        <f t="shared" si="6"/>
        <v>7602.1</v>
      </c>
      <c r="C130" s="70">
        <f t="shared" si="6"/>
        <v>7407.8</v>
      </c>
      <c r="D130" s="70"/>
      <c r="E130" s="70"/>
      <c r="F130" s="70">
        <f>F126/$G130</f>
        <v>1971.2</v>
      </c>
      <c r="G130" s="75">
        <v>10</v>
      </c>
      <c r="H130" s="2"/>
    </row>
    <row r="131" spans="1:8" x14ac:dyDescent="0.25">
      <c r="A131" s="20"/>
      <c r="B131" s="2"/>
      <c r="C131" s="2"/>
      <c r="D131" s="2"/>
      <c r="E131" s="2"/>
      <c r="F131" s="2"/>
      <c r="G131" s="1"/>
    </row>
    <row r="132" spans="1:8" x14ac:dyDescent="0.25">
      <c r="A132" s="64" t="s">
        <v>225</v>
      </c>
      <c r="B132" s="22"/>
      <c r="C132" s="22"/>
      <c r="D132" s="22"/>
      <c r="E132" s="22"/>
      <c r="F132" s="22"/>
      <c r="G132" s="21"/>
      <c r="H132" s="2"/>
    </row>
    <row r="133" spans="1:8" x14ac:dyDescent="0.25">
      <c r="A133" s="19" t="s">
        <v>226</v>
      </c>
      <c r="B133" s="18"/>
      <c r="C133" s="2"/>
      <c r="D133" s="2"/>
      <c r="E133" s="2"/>
      <c r="F133" s="2"/>
      <c r="G133" s="1"/>
      <c r="H133" s="2"/>
    </row>
    <row r="134" spans="1:8" x14ac:dyDescent="0.25">
      <c r="A134" s="20" t="s">
        <v>229</v>
      </c>
      <c r="B134" s="2">
        <v>5.8</v>
      </c>
      <c r="C134" s="2"/>
      <c r="D134" s="2"/>
      <c r="E134" s="43"/>
      <c r="F134" s="2"/>
      <c r="G134" s="1"/>
      <c r="H134" s="2"/>
    </row>
    <row r="135" spans="1:8" x14ac:dyDescent="0.25">
      <c r="A135" s="20" t="s">
        <v>228</v>
      </c>
      <c r="B135" s="2">
        <v>1.127</v>
      </c>
      <c r="C135" s="2"/>
      <c r="D135" s="2"/>
      <c r="E135" s="2"/>
      <c r="F135" s="2"/>
      <c r="G135" s="1"/>
      <c r="H135" s="2"/>
    </row>
    <row r="136" spans="1:8" x14ac:dyDescent="0.25">
      <c r="A136" s="19" t="s">
        <v>230</v>
      </c>
      <c r="B136" s="18">
        <v>0.22</v>
      </c>
      <c r="C136" s="2"/>
      <c r="D136" s="2"/>
      <c r="E136" s="2"/>
      <c r="F136" s="2"/>
      <c r="G136" s="1"/>
      <c r="H136" s="2"/>
    </row>
    <row r="137" spans="1:8" x14ac:dyDescent="0.25">
      <c r="A137" s="65" t="s">
        <v>227</v>
      </c>
      <c r="B137" s="63"/>
      <c r="C137" s="2"/>
      <c r="D137" s="2"/>
      <c r="E137" s="2"/>
      <c r="F137" s="2"/>
      <c r="G137" s="1"/>
      <c r="H137" s="2"/>
    </row>
    <row r="138" spans="1:8" ht="38.25" customHeight="1" x14ac:dyDescent="0.25">
      <c r="A138" s="20" t="s">
        <v>229</v>
      </c>
      <c r="B138" s="2">
        <f>5.8/(0.5+0.23)</f>
        <v>7.9452054794520546</v>
      </c>
      <c r="C138" s="2"/>
      <c r="D138" s="2"/>
      <c r="E138" s="2"/>
      <c r="F138" s="2"/>
      <c r="G138" s="1"/>
      <c r="H138" s="2"/>
    </row>
    <row r="139" spans="1:8" x14ac:dyDescent="0.25">
      <c r="A139" s="20" t="s">
        <v>228</v>
      </c>
      <c r="B139" s="2">
        <v>0.66</v>
      </c>
      <c r="C139" s="2"/>
      <c r="D139" s="2"/>
      <c r="E139" s="2"/>
      <c r="F139" s="2"/>
      <c r="G139" s="1"/>
      <c r="H139" s="2"/>
    </row>
    <row r="140" spans="1:8" x14ac:dyDescent="0.25">
      <c r="A140" s="20" t="s">
        <v>231</v>
      </c>
      <c r="B140" s="2">
        <f>(5.8+0.13)/(0.5+0.23)</f>
        <v>8.1232876712328768</v>
      </c>
      <c r="C140" s="2"/>
      <c r="D140" s="2"/>
      <c r="E140" s="2"/>
      <c r="F140" s="2"/>
      <c r="G140" s="1"/>
      <c r="H140" s="2"/>
    </row>
    <row r="141" spans="1:8" x14ac:dyDescent="0.25">
      <c r="A141" s="19" t="s">
        <v>230</v>
      </c>
      <c r="B141" s="18">
        <v>0.22</v>
      </c>
      <c r="C141" s="18"/>
      <c r="D141" s="18"/>
      <c r="E141" s="2" t="s">
        <v>344</v>
      </c>
      <c r="F141" s="2" t="s">
        <v>344</v>
      </c>
      <c r="G141" s="1"/>
      <c r="H141" s="2"/>
    </row>
    <row r="142" spans="1:8" x14ac:dyDescent="0.25">
      <c r="A142" s="20"/>
      <c r="B142" s="2"/>
      <c r="C142" s="2" t="s">
        <v>168</v>
      </c>
      <c r="D142" s="2" t="s">
        <v>169</v>
      </c>
      <c r="E142" s="2" t="s">
        <v>338</v>
      </c>
      <c r="F142" s="104" t="s">
        <v>343</v>
      </c>
      <c r="G142" s="1"/>
      <c r="H142" s="2"/>
    </row>
    <row r="143" spans="1:8" x14ac:dyDescent="0.25">
      <c r="A143" s="20" t="s">
        <v>25</v>
      </c>
      <c r="B143" s="2"/>
      <c r="C143" s="43">
        <v>800000</v>
      </c>
      <c r="D143" s="43">
        <v>740000</v>
      </c>
      <c r="E143" s="43">
        <f>C143</f>
        <v>800000</v>
      </c>
      <c r="F143" s="43">
        <f>D143</f>
        <v>740000</v>
      </c>
      <c r="G143" s="1"/>
      <c r="H143" s="2"/>
    </row>
    <row r="144" spans="1:8" x14ac:dyDescent="0.25">
      <c r="A144" s="20" t="s">
        <v>170</v>
      </c>
      <c r="B144" s="2"/>
      <c r="C144" s="43">
        <v>1341</v>
      </c>
      <c r="D144" s="43">
        <v>1592</v>
      </c>
      <c r="E144" s="46">
        <v>416.6</v>
      </c>
      <c r="F144" s="43">
        <v>497</v>
      </c>
      <c r="G144" s="1"/>
      <c r="H144" s="2"/>
    </row>
    <row r="145" spans="1:8" x14ac:dyDescent="0.25">
      <c r="A145" s="20" t="s">
        <v>171</v>
      </c>
      <c r="B145" s="2"/>
      <c r="C145" s="158">
        <f>C144/C143*1000000</f>
        <v>1676.25</v>
      </c>
      <c r="D145" s="43">
        <f>D144/D143*1000000</f>
        <v>2151.3513513513512</v>
      </c>
      <c r="E145" s="43">
        <f>E144/E143*1000000</f>
        <v>520.75</v>
      </c>
      <c r="F145" s="43">
        <f>F144/F143*1000000</f>
        <v>671.62162162162167</v>
      </c>
      <c r="G145" s="1"/>
      <c r="H145" s="2"/>
    </row>
    <row r="146" spans="1:8" x14ac:dyDescent="0.25">
      <c r="A146" s="20" t="s">
        <v>173</v>
      </c>
      <c r="B146" s="2"/>
      <c r="C146" s="158">
        <v>65</v>
      </c>
      <c r="D146" s="43">
        <v>90</v>
      </c>
      <c r="E146" s="43">
        <f>80-C146</f>
        <v>15</v>
      </c>
      <c r="F146" s="105">
        <f>108-D146</f>
        <v>18</v>
      </c>
      <c r="G146" s="1"/>
      <c r="H146" s="2"/>
    </row>
    <row r="147" spans="1:8" x14ac:dyDescent="0.25">
      <c r="A147" s="19" t="s">
        <v>172</v>
      </c>
      <c r="B147" s="18"/>
      <c r="C147" s="159">
        <f>232+40-186</f>
        <v>86</v>
      </c>
      <c r="D147" s="62">
        <f>390+60-346</f>
        <v>104</v>
      </c>
      <c r="E147" s="62">
        <f>243+60-185-C147</f>
        <v>32</v>
      </c>
      <c r="F147" s="62">
        <f>421+76-345-D147</f>
        <v>48</v>
      </c>
      <c r="G147" s="17"/>
      <c r="H147" s="2"/>
    </row>
    <row r="149" spans="1:8" x14ac:dyDescent="0.25">
      <c r="A149" s="51" t="s">
        <v>348</v>
      </c>
      <c r="B149" s="22"/>
      <c r="C149" s="22"/>
      <c r="D149" s="22"/>
      <c r="E149" s="22"/>
      <c r="F149" s="22"/>
      <c r="G149" s="21"/>
    </row>
    <row r="150" spans="1:8" x14ac:dyDescent="0.25">
      <c r="A150" s="20" t="s">
        <v>487</v>
      </c>
      <c r="B150" s="12">
        <v>0.84</v>
      </c>
      <c r="C150" s="28">
        <v>0.64</v>
      </c>
      <c r="D150" s="2" t="s">
        <v>492</v>
      </c>
      <c r="E150" s="2"/>
      <c r="F150" s="43"/>
      <c r="G150" s="53"/>
    </row>
    <row r="151" spans="1:8" x14ac:dyDescent="0.25">
      <c r="A151" s="20" t="s">
        <v>488</v>
      </c>
      <c r="B151" s="12">
        <v>-2.1000000000000001E-2</v>
      </c>
      <c r="C151" s="2" t="s">
        <v>489</v>
      </c>
      <c r="D151" s="2" t="s">
        <v>490</v>
      </c>
      <c r="E151" s="2"/>
      <c r="F151" s="43"/>
      <c r="G151" s="53"/>
    </row>
    <row r="152" spans="1:8" x14ac:dyDescent="0.25">
      <c r="A152" s="20" t="s">
        <v>491</v>
      </c>
      <c r="B152" s="2">
        <v>11.7</v>
      </c>
      <c r="C152" s="2" t="s">
        <v>493</v>
      </c>
      <c r="D152" s="2"/>
      <c r="E152" s="2"/>
      <c r="F152" s="43"/>
      <c r="G152" s="53"/>
    </row>
    <row r="153" spans="1:8" x14ac:dyDescent="0.25">
      <c r="A153" s="20"/>
      <c r="B153" s="12">
        <f>B152/(1/3.6)</f>
        <v>42.12</v>
      </c>
      <c r="C153" s="2" t="s">
        <v>494</v>
      </c>
      <c r="D153" s="2"/>
      <c r="E153" s="2"/>
      <c r="F153" s="2"/>
      <c r="G153" s="1"/>
    </row>
    <row r="154" spans="1:8" x14ac:dyDescent="0.25">
      <c r="A154" s="20" t="s">
        <v>184</v>
      </c>
      <c r="B154" s="2">
        <v>6.75</v>
      </c>
      <c r="C154" s="43" t="s">
        <v>498</v>
      </c>
      <c r="D154" s="2"/>
      <c r="E154" s="2"/>
      <c r="F154" s="2"/>
      <c r="G154" s="1"/>
    </row>
    <row r="155" spans="1:8" x14ac:dyDescent="0.25">
      <c r="A155" s="20"/>
      <c r="B155" s="45">
        <f>B154/0.28</f>
        <v>24.107142857142854</v>
      </c>
      <c r="C155" s="43" t="s">
        <v>499</v>
      </c>
      <c r="D155" s="2" t="s">
        <v>504</v>
      </c>
      <c r="E155" s="43">
        <v>2700000</v>
      </c>
      <c r="F155" s="2" t="s">
        <v>503</v>
      </c>
      <c r="G155" s="1"/>
    </row>
    <row r="156" spans="1:8" x14ac:dyDescent="0.25">
      <c r="A156" s="20"/>
      <c r="B156" s="43">
        <f>2.75*0.28*10^12/10^6*B150</f>
        <v>646800</v>
      </c>
      <c r="C156" s="43" t="s">
        <v>502</v>
      </c>
      <c r="D156" s="2"/>
      <c r="E156" s="27">
        <f>1*24*365*0.9</f>
        <v>7884</v>
      </c>
      <c r="F156" s="27" t="s">
        <v>505</v>
      </c>
      <c r="G156" s="1"/>
    </row>
    <row r="157" spans="1:8" x14ac:dyDescent="0.25">
      <c r="A157" s="20"/>
      <c r="B157" s="43">
        <f>B155*B156</f>
        <v>15592499.999999998</v>
      </c>
      <c r="C157" s="43" t="s">
        <v>500</v>
      </c>
      <c r="D157" s="2"/>
      <c r="E157" s="71">
        <f>E155/E156</f>
        <v>342.46575342465752</v>
      </c>
      <c r="F157" s="27" t="s">
        <v>506</v>
      </c>
      <c r="G157" s="1"/>
    </row>
    <row r="158" spans="1:8" x14ac:dyDescent="0.25">
      <c r="A158" s="20"/>
      <c r="B158" s="43">
        <f>-PV(0.1,20,B157,,0)</f>
        <v>132747742.30033541</v>
      </c>
      <c r="C158" s="43" t="s">
        <v>501</v>
      </c>
      <c r="D158" s="2"/>
      <c r="E158" s="2"/>
      <c r="F158" s="2"/>
      <c r="G158" s="1"/>
    </row>
    <row r="159" spans="1:8" x14ac:dyDescent="0.25">
      <c r="A159" s="19"/>
      <c r="B159" s="131">
        <f>B158/B156</f>
        <v>205.23769681560825</v>
      </c>
      <c r="C159" s="18" t="s">
        <v>494</v>
      </c>
      <c r="D159" s="18"/>
      <c r="E159" s="18"/>
      <c r="F159" s="18"/>
      <c r="G159" s="17"/>
    </row>
    <row r="161" spans="1:7" x14ac:dyDescent="0.25">
      <c r="A161" t="s">
        <v>523</v>
      </c>
      <c r="B161">
        <v>0.65</v>
      </c>
    </row>
    <row r="164" spans="1:7" x14ac:dyDescent="0.25">
      <c r="A164" s="51" t="s">
        <v>44</v>
      </c>
      <c r="B164" s="22"/>
      <c r="C164" s="22"/>
      <c r="D164" s="22"/>
      <c r="E164" s="22"/>
      <c r="F164" s="22"/>
      <c r="G164" s="21"/>
    </row>
    <row r="165" spans="1:7" x14ac:dyDescent="0.25">
      <c r="A165" s="20"/>
      <c r="B165" s="2"/>
      <c r="C165" s="2">
        <v>300</v>
      </c>
      <c r="D165" s="2" t="s">
        <v>49</v>
      </c>
      <c r="E165" s="2"/>
      <c r="F165" s="2"/>
      <c r="G165" s="1"/>
    </row>
    <row r="166" spans="1:7" x14ac:dyDescent="0.25">
      <c r="A166" s="20"/>
      <c r="B166" s="2"/>
      <c r="C166" s="2">
        <v>60</v>
      </c>
      <c r="D166" s="2" t="s">
        <v>46</v>
      </c>
      <c r="E166" s="2"/>
      <c r="F166" s="2"/>
      <c r="G166" s="1"/>
    </row>
    <row r="167" spans="1:7" x14ac:dyDescent="0.25">
      <c r="A167" s="20"/>
      <c r="B167" s="2"/>
      <c r="C167" s="2"/>
      <c r="D167" s="2"/>
      <c r="E167" s="2" t="s">
        <v>43</v>
      </c>
      <c r="F167" s="2"/>
      <c r="G167" s="1"/>
    </row>
    <row r="168" spans="1:7" x14ac:dyDescent="0.25">
      <c r="A168" s="20" t="s">
        <v>40</v>
      </c>
      <c r="B168" s="2"/>
      <c r="C168" s="2"/>
      <c r="D168" s="2"/>
      <c r="E168" s="2" t="s">
        <v>39</v>
      </c>
      <c r="F168" s="2"/>
      <c r="G168" s="1"/>
    </row>
    <row r="169" spans="1:7" x14ac:dyDescent="0.25">
      <c r="A169" s="23" t="s">
        <v>36</v>
      </c>
      <c r="B169" s="22" t="s">
        <v>35</v>
      </c>
      <c r="C169" s="22" t="s">
        <v>34</v>
      </c>
      <c r="D169" s="22" t="s">
        <v>33</v>
      </c>
      <c r="E169" s="22"/>
      <c r="F169" s="21"/>
      <c r="G169" s="1"/>
    </row>
    <row r="170" spans="1:7" x14ac:dyDescent="0.25">
      <c r="A170" s="26">
        <v>31.824000000000002</v>
      </c>
      <c r="B170" s="25">
        <v>1.4339</v>
      </c>
      <c r="C170" s="25">
        <f>C$166</f>
        <v>60</v>
      </c>
      <c r="D170" s="25">
        <f>(A170+B170*C170)</f>
        <v>117.85799999999999</v>
      </c>
      <c r="E170" s="2"/>
      <c r="F170" s="1"/>
      <c r="G170" s="1"/>
    </row>
    <row r="171" spans="1:7" x14ac:dyDescent="0.25">
      <c r="A171" s="19">
        <f>A170*1.13</f>
        <v>35.961120000000001</v>
      </c>
      <c r="B171" s="18">
        <f>B170*1.13</f>
        <v>1.6203069999999997</v>
      </c>
      <c r="C171" s="18">
        <f>C$166</f>
        <v>60</v>
      </c>
      <c r="D171" s="2">
        <f>(A171+B171*C171)</f>
        <v>133.17953999999997</v>
      </c>
      <c r="E171" s="20">
        <f>D171+91.9</f>
        <v>225.07953999999998</v>
      </c>
      <c r="F171" s="17" t="s">
        <v>29</v>
      </c>
      <c r="G171" s="1"/>
    </row>
    <row r="172" spans="1:7" x14ac:dyDescent="0.25">
      <c r="A172" s="20" t="s">
        <v>28</v>
      </c>
      <c r="B172" s="2"/>
      <c r="C172" s="2"/>
      <c r="D172" s="2"/>
      <c r="E172" s="2" t="s">
        <v>27</v>
      </c>
      <c r="F172" s="2"/>
      <c r="G172" s="1"/>
    </row>
    <row r="173" spans="1:7" x14ac:dyDescent="0.25">
      <c r="A173" s="23">
        <v>142</v>
      </c>
      <c r="B173" s="22">
        <v>0.2</v>
      </c>
      <c r="C173" s="22">
        <f>C$165</f>
        <v>300</v>
      </c>
      <c r="D173" s="22">
        <f>A173+B173*C173</f>
        <v>202</v>
      </c>
      <c r="E173" s="22" t="s">
        <v>16</v>
      </c>
      <c r="F173" s="21" t="s">
        <v>17</v>
      </c>
      <c r="G173" s="1"/>
    </row>
    <row r="174" spans="1:7" x14ac:dyDescent="0.25">
      <c r="A174" s="20">
        <v>149.6</v>
      </c>
      <c r="B174" s="2"/>
      <c r="C174" s="2"/>
      <c r="D174" s="2">
        <f>A174+B174*C174</f>
        <v>149.6</v>
      </c>
      <c r="E174" s="2" t="s">
        <v>19</v>
      </c>
      <c r="F174" s="1"/>
      <c r="G174" s="1"/>
    </row>
    <row r="175" spans="1:7" x14ac:dyDescent="0.25">
      <c r="A175" s="20">
        <v>46</v>
      </c>
      <c r="B175" s="2">
        <v>2.2999999999999998</v>
      </c>
      <c r="C175" s="2">
        <f>C$166</f>
        <v>60</v>
      </c>
      <c r="D175" s="2">
        <f>A175+B175*C175</f>
        <v>184</v>
      </c>
      <c r="E175" s="2" t="s">
        <v>13</v>
      </c>
      <c r="F175" s="1"/>
      <c r="G175" s="1"/>
    </row>
    <row r="176" spans="1:7" x14ac:dyDescent="0.25">
      <c r="A176" s="19"/>
      <c r="B176" s="18"/>
      <c r="C176" s="18"/>
      <c r="D176" s="18">
        <f>SUM(D173:D175)</f>
        <v>535.6</v>
      </c>
      <c r="E176" s="18"/>
      <c r="F176" s="17"/>
      <c r="G176" s="1"/>
    </row>
    <row r="177" spans="1:7" x14ac:dyDescent="0.25">
      <c r="A177" s="23">
        <v>142</v>
      </c>
      <c r="B177" s="22">
        <v>0.2</v>
      </c>
      <c r="C177" s="22">
        <f>C$165</f>
        <v>300</v>
      </c>
      <c r="D177" s="22">
        <f>A177+B177*C177</f>
        <v>202</v>
      </c>
      <c r="E177" s="22" t="s">
        <v>16</v>
      </c>
      <c r="F177" s="21" t="s">
        <v>15</v>
      </c>
      <c r="G177" s="1"/>
    </row>
    <row r="178" spans="1:7" x14ac:dyDescent="0.25">
      <c r="A178" s="20">
        <v>91.9</v>
      </c>
      <c r="B178" s="2"/>
      <c r="C178" s="2"/>
      <c r="D178" s="2">
        <f>A178+B178*C178</f>
        <v>91.9</v>
      </c>
      <c r="E178" s="2" t="s">
        <v>14</v>
      </c>
      <c r="F178" s="1"/>
      <c r="G178" s="1"/>
    </row>
    <row r="179" spans="1:7" x14ac:dyDescent="0.25">
      <c r="A179" s="20">
        <v>101.1</v>
      </c>
      <c r="B179" s="2">
        <v>2.6</v>
      </c>
      <c r="C179" s="2">
        <f>C$166</f>
        <v>60</v>
      </c>
      <c r="D179" s="2">
        <f>A179+B179*C179</f>
        <v>257.10000000000002</v>
      </c>
      <c r="E179" s="2" t="s">
        <v>13</v>
      </c>
      <c r="F179" s="1"/>
      <c r="G179" s="1"/>
    </row>
    <row r="180" spans="1:7" x14ac:dyDescent="0.25">
      <c r="A180" s="19"/>
      <c r="B180" s="18"/>
      <c r="C180" s="18"/>
      <c r="D180" s="18">
        <f>SUM(D177:D179)</f>
        <v>551</v>
      </c>
      <c r="E180" s="18"/>
      <c r="F180" s="17"/>
      <c r="G180" s="1"/>
    </row>
    <row r="181" spans="1:7" x14ac:dyDescent="0.25">
      <c r="A181" s="23">
        <v>142</v>
      </c>
      <c r="B181" s="22">
        <v>0.2</v>
      </c>
      <c r="C181" s="22">
        <f>C$165</f>
        <v>300</v>
      </c>
      <c r="D181" s="22">
        <f>A181+B181*C181</f>
        <v>202</v>
      </c>
      <c r="E181" s="22" t="s">
        <v>16</v>
      </c>
      <c r="F181" s="21" t="s">
        <v>21</v>
      </c>
      <c r="G181" s="1"/>
    </row>
    <row r="182" spans="1:7" x14ac:dyDescent="0.25">
      <c r="A182" s="20">
        <v>149.6</v>
      </c>
      <c r="B182" s="2"/>
      <c r="C182" s="2"/>
      <c r="D182" s="2">
        <f>A182+B182*C182</f>
        <v>149.6</v>
      </c>
      <c r="E182" s="2" t="s">
        <v>19</v>
      </c>
      <c r="F182" s="1"/>
      <c r="G182" s="1"/>
    </row>
    <row r="183" spans="1:7" x14ac:dyDescent="0.25">
      <c r="A183" s="20">
        <v>161.69999999999999</v>
      </c>
      <c r="B183" s="2">
        <v>3.4</v>
      </c>
      <c r="C183" s="2">
        <f>C$166</f>
        <v>60</v>
      </c>
      <c r="D183" s="2">
        <f>A183+B183*C183</f>
        <v>365.7</v>
      </c>
      <c r="E183" s="2" t="s">
        <v>13</v>
      </c>
      <c r="F183" s="1"/>
      <c r="G183" s="1"/>
    </row>
    <row r="184" spans="1:7" ht="15.75" thickBot="1" x14ac:dyDescent="0.3">
      <c r="A184" s="20"/>
      <c r="B184" s="2"/>
      <c r="C184" s="2"/>
      <c r="D184" s="2">
        <f>SUM(D181:D183)</f>
        <v>717.3</v>
      </c>
      <c r="E184" s="2"/>
      <c r="F184" s="1"/>
      <c r="G184" s="1"/>
    </row>
    <row r="185" spans="1:7" x14ac:dyDescent="0.25">
      <c r="A185" s="69">
        <v>142</v>
      </c>
      <c r="B185" s="7">
        <v>0.2</v>
      </c>
      <c r="C185" s="7">
        <f>C$165</f>
        <v>300</v>
      </c>
      <c r="D185" s="7">
        <f>A185+B185*C185</f>
        <v>202</v>
      </c>
      <c r="E185" s="7" t="s">
        <v>16</v>
      </c>
      <c r="F185" s="8" t="s">
        <v>20</v>
      </c>
      <c r="G185" s="1"/>
    </row>
    <row r="186" spans="1:7" x14ac:dyDescent="0.25">
      <c r="A186" s="20">
        <v>149.6</v>
      </c>
      <c r="B186" s="2"/>
      <c r="C186" s="2"/>
      <c r="D186" s="2">
        <f>A186+B186*C186</f>
        <v>149.6</v>
      </c>
      <c r="E186" s="2" t="s">
        <v>19</v>
      </c>
      <c r="F186" s="11"/>
      <c r="G186" s="1"/>
    </row>
    <row r="187" spans="1:7" x14ac:dyDescent="0.25">
      <c r="A187" s="20">
        <v>54</v>
      </c>
      <c r="B187" s="2">
        <v>1.9</v>
      </c>
      <c r="C187" s="2">
        <f>C$166</f>
        <v>60</v>
      </c>
      <c r="D187" s="2">
        <f>A187+B187*C187</f>
        <v>168</v>
      </c>
      <c r="E187" s="2" t="s">
        <v>13</v>
      </c>
      <c r="F187" s="11"/>
      <c r="G187" s="1"/>
    </row>
    <row r="188" spans="1:7" ht="15.75" thickBot="1" x14ac:dyDescent="0.3">
      <c r="A188" s="60"/>
      <c r="B188" s="14"/>
      <c r="C188" s="14"/>
      <c r="D188" s="14">
        <f>SUM(D185:D187)</f>
        <v>519.6</v>
      </c>
      <c r="E188" s="14"/>
      <c r="F188" s="15"/>
      <c r="G188" s="1"/>
    </row>
    <row r="189" spans="1:7" ht="15.75" thickBot="1" x14ac:dyDescent="0.3">
      <c r="A189" s="20" t="s">
        <v>18</v>
      </c>
      <c r="B189" s="2"/>
      <c r="C189" s="2"/>
      <c r="D189" s="2"/>
      <c r="E189" s="2"/>
      <c r="F189" s="2"/>
      <c r="G189" s="1"/>
    </row>
    <row r="190" spans="1:7" x14ac:dyDescent="0.25">
      <c r="A190" s="69">
        <v>142</v>
      </c>
      <c r="B190" s="7">
        <v>0.2</v>
      </c>
      <c r="C190" s="7">
        <f>C$165</f>
        <v>300</v>
      </c>
      <c r="D190" s="7">
        <f>A190+B190*C190</f>
        <v>202</v>
      </c>
      <c r="E190" s="7" t="s">
        <v>16</v>
      </c>
      <c r="F190" s="8" t="s">
        <v>17</v>
      </c>
      <c r="G190" s="1"/>
    </row>
    <row r="191" spans="1:7" x14ac:dyDescent="0.25">
      <c r="A191" s="20">
        <v>166.1</v>
      </c>
      <c r="B191" s="2"/>
      <c r="C191" s="2"/>
      <c r="D191" s="2">
        <f>A191+B191*C191</f>
        <v>166.1</v>
      </c>
      <c r="E191" s="2" t="s">
        <v>14</v>
      </c>
      <c r="F191" s="11"/>
      <c r="G191" s="1"/>
    </row>
    <row r="192" spans="1:7" x14ac:dyDescent="0.25">
      <c r="A192" s="20">
        <v>54</v>
      </c>
      <c r="B192" s="2">
        <v>1.9</v>
      </c>
      <c r="C192" s="2">
        <f>C$166</f>
        <v>60</v>
      </c>
      <c r="D192" s="2">
        <f>A192+B192*C192</f>
        <v>168</v>
      </c>
      <c r="E192" s="2" t="s">
        <v>13</v>
      </c>
      <c r="F192" s="11"/>
      <c r="G192" s="1"/>
    </row>
    <row r="193" spans="1:7" ht="15.75" thickBot="1" x14ac:dyDescent="0.3">
      <c r="A193" s="60"/>
      <c r="B193" s="14"/>
      <c r="C193" s="14"/>
      <c r="D193" s="14">
        <f>SUM(D190:D192)</f>
        <v>536.1</v>
      </c>
      <c r="E193" s="14"/>
      <c r="F193" s="15"/>
      <c r="G193" s="1"/>
    </row>
    <row r="194" spans="1:7" x14ac:dyDescent="0.25">
      <c r="A194" s="20">
        <v>142</v>
      </c>
      <c r="B194" s="2">
        <v>0.2</v>
      </c>
      <c r="C194" s="2">
        <f>C$165</f>
        <v>300</v>
      </c>
      <c r="D194" s="2">
        <f>A194+B194*C194</f>
        <v>202</v>
      </c>
      <c r="E194" s="2" t="s">
        <v>16</v>
      </c>
      <c r="F194" s="1" t="s">
        <v>15</v>
      </c>
      <c r="G194" s="1"/>
    </row>
    <row r="195" spans="1:7" x14ac:dyDescent="0.25">
      <c r="A195" s="20">
        <v>91.9</v>
      </c>
      <c r="B195" s="2"/>
      <c r="C195" s="2"/>
      <c r="D195" s="2">
        <f>A195+B195*C195</f>
        <v>91.9</v>
      </c>
      <c r="E195" s="2" t="s">
        <v>14</v>
      </c>
      <c r="F195" s="1"/>
      <c r="G195" s="1"/>
    </row>
    <row r="196" spans="1:7" x14ac:dyDescent="0.25">
      <c r="A196" s="20">
        <v>124.5</v>
      </c>
      <c r="B196" s="2">
        <v>3.2</v>
      </c>
      <c r="C196" s="2">
        <f>C$166</f>
        <v>60</v>
      </c>
      <c r="D196" s="2">
        <f>A196+B196*C196</f>
        <v>316.5</v>
      </c>
      <c r="E196" s="2" t="s">
        <v>13</v>
      </c>
      <c r="F196" s="1"/>
      <c r="G196" s="1"/>
    </row>
    <row r="197" spans="1:7" x14ac:dyDescent="0.25">
      <c r="A197" s="19"/>
      <c r="B197" s="18"/>
      <c r="C197" s="18"/>
      <c r="D197" s="18">
        <f>SUM(D194:D196)</f>
        <v>610.4</v>
      </c>
      <c r="E197" s="18"/>
      <c r="F197" s="17"/>
      <c r="G197" s="1"/>
    </row>
    <row r="198" spans="1:7" x14ac:dyDescent="0.25">
      <c r="A198" s="2" t="s">
        <v>663</v>
      </c>
      <c r="C198" s="2"/>
      <c r="D198" s="2"/>
      <c r="E198" s="2"/>
      <c r="F198" s="2"/>
      <c r="G198" s="1"/>
    </row>
    <row r="199" spans="1:7" x14ac:dyDescent="0.25">
      <c r="A199" s="2" t="s">
        <v>664</v>
      </c>
      <c r="B199" s="2" t="s">
        <v>666</v>
      </c>
      <c r="C199" s="2">
        <f>82/1000/3.6</f>
        <v>2.2777777777777779E-2</v>
      </c>
      <c r="D199" s="2" t="s">
        <v>669</v>
      </c>
      <c r="E199" s="2">
        <f>C199*B203</f>
        <v>1.6734693877551016E-3</v>
      </c>
      <c r="F199" s="2"/>
      <c r="G199" s="1"/>
    </row>
    <row r="200" spans="1:7" x14ac:dyDescent="0.25">
      <c r="A200" s="2" t="s">
        <v>665</v>
      </c>
      <c r="B200" s="2" t="s">
        <v>667</v>
      </c>
      <c r="C200" s="2">
        <f>0.1/1000</f>
        <v>1E-4</v>
      </c>
      <c r="D200" s="2" t="s">
        <v>672</v>
      </c>
      <c r="E200" s="2">
        <f>C200*B203</f>
        <v>7.3469387755102023E-6</v>
      </c>
      <c r="F200" s="2"/>
      <c r="G200" s="1"/>
    </row>
    <row r="201" spans="1:7" x14ac:dyDescent="0.25">
      <c r="A201" s="104" t="s">
        <v>670</v>
      </c>
      <c r="B201" s="2">
        <f>0.72/1000</f>
        <v>7.1999999999999994E-4</v>
      </c>
      <c r="C201" s="2"/>
      <c r="D201" s="2"/>
      <c r="E201" s="2"/>
      <c r="F201" s="2"/>
      <c r="G201" s="1"/>
    </row>
    <row r="202" spans="1:7" x14ac:dyDescent="0.25">
      <c r="A202" s="104" t="s">
        <v>668</v>
      </c>
      <c r="B202" s="2">
        <f>9.8/1000</f>
        <v>9.8000000000000014E-3</v>
      </c>
      <c r="C202" s="2"/>
      <c r="D202" s="2"/>
      <c r="E202" s="2"/>
      <c r="F202" s="2"/>
      <c r="G202" s="1"/>
    </row>
    <row r="203" spans="1:7" x14ac:dyDescent="0.25">
      <c r="A203" s="104" t="s">
        <v>671</v>
      </c>
      <c r="B203" s="2">
        <f>B201/B202</f>
        <v>7.346938775510202E-2</v>
      </c>
      <c r="C203" s="2"/>
      <c r="D203" s="2"/>
      <c r="E203" s="2"/>
      <c r="F203" s="2"/>
      <c r="G203" s="1"/>
    </row>
    <row r="204" spans="1:7" x14ac:dyDescent="0.25">
      <c r="A204" s="2"/>
      <c r="B204" s="2"/>
      <c r="C204" s="2"/>
      <c r="D204" s="2"/>
      <c r="E204" s="2"/>
      <c r="F204" s="2"/>
      <c r="G204" s="1"/>
    </row>
    <row r="205" spans="1:7" x14ac:dyDescent="0.25">
      <c r="A205" s="2"/>
      <c r="B205" s="2"/>
      <c r="C205" s="2"/>
      <c r="D205" s="2"/>
      <c r="E205" s="2"/>
      <c r="F205" s="2"/>
      <c r="G205" s="1"/>
    </row>
    <row r="206" spans="1:7" x14ac:dyDescent="0.25">
      <c r="A206" s="2"/>
      <c r="B206" s="2"/>
      <c r="C206" s="2"/>
      <c r="D206" s="2"/>
      <c r="E206" s="2"/>
      <c r="F206" s="2"/>
      <c r="G206" s="1"/>
    </row>
    <row r="207" spans="1:7" x14ac:dyDescent="0.25">
      <c r="A207" s="19"/>
      <c r="B207" s="18"/>
      <c r="C207" s="18"/>
      <c r="D207" s="18"/>
      <c r="E207" s="18"/>
      <c r="F207" s="18"/>
      <c r="G207" s="17"/>
    </row>
    <row r="209" spans="1:7" x14ac:dyDescent="0.25">
      <c r="A209" s="23" t="s">
        <v>783</v>
      </c>
      <c r="B209" s="22">
        <v>1000</v>
      </c>
      <c r="C209" s="22" t="s">
        <v>53</v>
      </c>
      <c r="D209" s="22" t="s">
        <v>788</v>
      </c>
      <c r="E209" s="22"/>
      <c r="F209" s="22"/>
      <c r="G209" s="21"/>
    </row>
    <row r="210" spans="1:7" x14ac:dyDescent="0.25">
      <c r="A210" s="20"/>
      <c r="B210" s="2">
        <v>0.53</v>
      </c>
      <c r="C210" s="2" t="s">
        <v>492</v>
      </c>
      <c r="D210" s="2"/>
      <c r="E210" s="2"/>
      <c r="F210" s="2"/>
      <c r="G210" s="1"/>
    </row>
    <row r="211" spans="1:7" x14ac:dyDescent="0.25">
      <c r="A211" s="20"/>
      <c r="B211" s="2">
        <v>20</v>
      </c>
      <c r="C211" s="2" t="s">
        <v>784</v>
      </c>
      <c r="D211" s="2" t="s">
        <v>785</v>
      </c>
      <c r="E211" s="2"/>
      <c r="F211" s="2"/>
      <c r="G211" s="1"/>
    </row>
    <row r="212" spans="1:7" x14ac:dyDescent="0.25">
      <c r="A212" s="20"/>
      <c r="B212" s="2">
        <f>E157/B153</f>
        <v>8.1307158932729706</v>
      </c>
      <c r="C212" s="2" t="s">
        <v>784</v>
      </c>
      <c r="D212" s="2" t="s">
        <v>786</v>
      </c>
      <c r="E212" s="2"/>
      <c r="F212" s="2"/>
      <c r="G212" s="1"/>
    </row>
    <row r="213" spans="1:7" x14ac:dyDescent="0.25">
      <c r="A213" s="20"/>
      <c r="B213" s="2">
        <v>0.04</v>
      </c>
      <c r="C213" s="2" t="s">
        <v>784</v>
      </c>
      <c r="D213" s="2" t="s">
        <v>787</v>
      </c>
      <c r="E213" s="2"/>
      <c r="F213" s="2"/>
      <c r="G213" s="1"/>
    </row>
    <row r="214" spans="1:7" x14ac:dyDescent="0.25">
      <c r="A214" s="20"/>
      <c r="B214" s="182">
        <v>1</v>
      </c>
      <c r="C214" s="2" t="s">
        <v>789</v>
      </c>
      <c r="D214" s="2"/>
      <c r="E214" s="2"/>
      <c r="F214" s="2"/>
      <c r="G214" s="1"/>
    </row>
    <row r="215" spans="1:7" x14ac:dyDescent="0.25">
      <c r="A215" s="20"/>
      <c r="B215" s="182">
        <f>B214*B212</f>
        <v>8.1307158932729706</v>
      </c>
      <c r="C215" s="2" t="s">
        <v>790</v>
      </c>
      <c r="D215" s="2"/>
      <c r="E215" s="2"/>
      <c r="F215" s="2"/>
      <c r="G215" s="1"/>
    </row>
    <row r="216" spans="1:7" x14ac:dyDescent="0.25">
      <c r="A216" s="20"/>
      <c r="B216" s="182">
        <f>-PMT(B213,B211,B215)+1</f>
        <v>1.5982723068518265</v>
      </c>
      <c r="C216" s="2" t="s">
        <v>788</v>
      </c>
      <c r="D216" s="2"/>
      <c r="E216" s="2"/>
      <c r="F216" s="2"/>
      <c r="G216" s="1"/>
    </row>
    <row r="217" spans="1:7" x14ac:dyDescent="0.25">
      <c r="A217" s="20"/>
      <c r="B217" s="182">
        <f>B209/B216</f>
        <v>625.67560966487326</v>
      </c>
      <c r="C217" s="2" t="s">
        <v>791</v>
      </c>
      <c r="D217" s="2"/>
      <c r="E217" s="2"/>
      <c r="F217" s="2"/>
      <c r="G217" s="1"/>
    </row>
    <row r="218" spans="1:7" x14ac:dyDescent="0.25">
      <c r="A218" s="20"/>
      <c r="B218" s="2">
        <f>B217*B215</f>
        <v>5087.1906235354409</v>
      </c>
      <c r="C218" s="2" t="s">
        <v>792</v>
      </c>
      <c r="D218" s="2"/>
      <c r="E218" s="2"/>
      <c r="F218" s="2"/>
      <c r="G218" s="1"/>
    </row>
    <row r="219" spans="1:7" x14ac:dyDescent="0.25">
      <c r="A219" s="19"/>
      <c r="B219" s="18">
        <f>B217*B214</f>
        <v>625.67560966487326</v>
      </c>
      <c r="C219" s="18" t="s">
        <v>793</v>
      </c>
      <c r="D219" s="18"/>
      <c r="E219" s="18"/>
      <c r="F219" s="18"/>
      <c r="G219" s="17"/>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S52"/>
  <sheetViews>
    <sheetView topLeftCell="A26" workbookViewId="0">
      <selection activeCell="H30" sqref="H30"/>
    </sheetView>
  </sheetViews>
  <sheetFormatPr defaultRowHeight="15" x14ac:dyDescent="0.25"/>
  <cols>
    <col min="8" max="8" width="50.42578125" customWidth="1"/>
    <col min="9" max="9" width="17" customWidth="1"/>
    <col min="10" max="10" width="17" style="27" customWidth="1"/>
  </cols>
  <sheetData>
    <row r="1" spans="1:19" s="37" customFormat="1" ht="45" x14ac:dyDescent="0.25">
      <c r="A1" s="37" t="s">
        <v>167</v>
      </c>
      <c r="B1" s="37" t="s">
        <v>166</v>
      </c>
      <c r="C1" s="37" t="s">
        <v>165</v>
      </c>
      <c r="D1" s="37" t="s">
        <v>164</v>
      </c>
      <c r="E1" s="37" t="s">
        <v>163</v>
      </c>
      <c r="F1" s="37" t="s">
        <v>162</v>
      </c>
      <c r="G1" s="37" t="s">
        <v>161</v>
      </c>
      <c r="H1" s="37" t="s">
        <v>160</v>
      </c>
      <c r="J1" s="38"/>
      <c r="K1" s="37" t="s">
        <v>159</v>
      </c>
      <c r="L1" s="37" t="s">
        <v>158</v>
      </c>
      <c r="M1" s="37" t="s">
        <v>157</v>
      </c>
      <c r="N1" s="37" t="s">
        <v>156</v>
      </c>
      <c r="O1" s="37" t="s">
        <v>155</v>
      </c>
      <c r="R1" s="37" t="s">
        <v>154</v>
      </c>
      <c r="S1" s="37" t="s">
        <v>153</v>
      </c>
    </row>
    <row r="2" spans="1:19" s="30" customFormat="1" x14ac:dyDescent="0.25">
      <c r="A2" s="30" t="s">
        <v>118</v>
      </c>
      <c r="B2" s="30" t="s">
        <v>117</v>
      </c>
      <c r="C2" s="30">
        <v>210</v>
      </c>
      <c r="D2" s="30" t="s">
        <v>116</v>
      </c>
      <c r="E2" s="30">
        <v>5516</v>
      </c>
      <c r="F2" s="30" t="s">
        <v>24</v>
      </c>
      <c r="G2" s="30">
        <v>1632</v>
      </c>
      <c r="H2" s="30" t="s">
        <v>150</v>
      </c>
      <c r="I2" s="30" t="s">
        <v>122</v>
      </c>
      <c r="J2" s="33">
        <f>N4/N3*9*1000</f>
        <v>2152.3303600805457</v>
      </c>
      <c r="K2" s="30">
        <v>2019</v>
      </c>
      <c r="L2" s="30">
        <v>2019</v>
      </c>
      <c r="M2" s="30" t="s">
        <v>151</v>
      </c>
      <c r="N2" s="30">
        <v>18630000</v>
      </c>
      <c r="O2" s="28" t="s">
        <v>152</v>
      </c>
      <c r="S2" s="30" t="s">
        <v>111</v>
      </c>
    </row>
    <row r="3" spans="1:19" s="30" customFormat="1" x14ac:dyDescent="0.25">
      <c r="A3" s="30" t="s">
        <v>118</v>
      </c>
      <c r="B3" s="30" t="s">
        <v>117</v>
      </c>
      <c r="C3" s="30">
        <v>210</v>
      </c>
      <c r="D3" s="30" t="s">
        <v>116</v>
      </c>
      <c r="E3" s="30">
        <v>5916</v>
      </c>
      <c r="F3" s="30" t="s">
        <v>121</v>
      </c>
      <c r="G3" s="30">
        <v>1632</v>
      </c>
      <c r="H3" s="30" t="s">
        <v>150</v>
      </c>
      <c r="I3" s="30" t="s">
        <v>120</v>
      </c>
      <c r="J3" s="33">
        <f>N2</f>
        <v>18630000</v>
      </c>
      <c r="K3" s="30">
        <v>2019</v>
      </c>
      <c r="L3" s="30">
        <v>2019</v>
      </c>
      <c r="M3" s="30" t="s">
        <v>151</v>
      </c>
      <c r="N3" s="30">
        <v>12601014</v>
      </c>
      <c r="S3" s="30" t="s">
        <v>111</v>
      </c>
    </row>
    <row r="4" spans="1:19" s="30" customFormat="1" x14ac:dyDescent="0.25">
      <c r="A4" s="30" t="s">
        <v>118</v>
      </c>
      <c r="B4" s="30" t="s">
        <v>117</v>
      </c>
      <c r="C4" s="30">
        <v>210</v>
      </c>
      <c r="D4" s="30" t="s">
        <v>116</v>
      </c>
      <c r="E4" s="30">
        <v>5922</v>
      </c>
      <c r="F4" s="30" t="s">
        <v>115</v>
      </c>
      <c r="G4" s="30">
        <v>1632</v>
      </c>
      <c r="H4" s="30" t="s">
        <v>150</v>
      </c>
      <c r="I4" s="30" t="s">
        <v>113</v>
      </c>
      <c r="J4" s="31">
        <f>N3</f>
        <v>12601014</v>
      </c>
      <c r="K4" s="30">
        <v>2019</v>
      </c>
      <c r="L4" s="30">
        <v>2019</v>
      </c>
      <c r="M4" s="30" t="s">
        <v>112</v>
      </c>
      <c r="N4" s="30">
        <v>3013505</v>
      </c>
      <c r="S4" s="30" t="s">
        <v>111</v>
      </c>
    </row>
    <row r="5" spans="1:19" x14ac:dyDescent="0.25">
      <c r="A5" t="s">
        <v>118</v>
      </c>
      <c r="B5" t="s">
        <v>117</v>
      </c>
      <c r="C5">
        <v>210</v>
      </c>
      <c r="D5" t="s">
        <v>116</v>
      </c>
      <c r="E5">
        <v>5510</v>
      </c>
      <c r="F5" t="s">
        <v>24</v>
      </c>
      <c r="G5">
        <v>1685</v>
      </c>
      <c r="H5" t="s">
        <v>148</v>
      </c>
      <c r="I5" t="s">
        <v>122</v>
      </c>
      <c r="J5" s="33">
        <f>N7/N6*9*1000</f>
        <v>4521.8222798989136</v>
      </c>
      <c r="K5">
        <v>2019</v>
      </c>
      <c r="L5">
        <v>2019</v>
      </c>
      <c r="M5" t="s">
        <v>119</v>
      </c>
      <c r="N5">
        <v>3193000</v>
      </c>
      <c r="O5" s="28" t="s">
        <v>149</v>
      </c>
      <c r="S5" t="s">
        <v>111</v>
      </c>
    </row>
    <row r="6" spans="1:19" x14ac:dyDescent="0.25">
      <c r="A6" t="s">
        <v>118</v>
      </c>
      <c r="B6" t="s">
        <v>117</v>
      </c>
      <c r="C6">
        <v>210</v>
      </c>
      <c r="D6" t="s">
        <v>116</v>
      </c>
      <c r="E6">
        <v>5910</v>
      </c>
      <c r="F6" t="s">
        <v>121</v>
      </c>
      <c r="G6">
        <v>1685</v>
      </c>
      <c r="H6" t="s">
        <v>148</v>
      </c>
      <c r="I6" t="s">
        <v>120</v>
      </c>
      <c r="J6" s="27">
        <f>N5</f>
        <v>3193000</v>
      </c>
      <c r="K6">
        <v>2019</v>
      </c>
      <c r="L6">
        <v>2019</v>
      </c>
      <c r="M6" t="s">
        <v>119</v>
      </c>
      <c r="N6">
        <v>409948</v>
      </c>
      <c r="S6" t="s">
        <v>111</v>
      </c>
    </row>
    <row r="7" spans="1:19" x14ac:dyDescent="0.25">
      <c r="A7" t="s">
        <v>118</v>
      </c>
      <c r="B7" t="s">
        <v>117</v>
      </c>
      <c r="C7">
        <v>210</v>
      </c>
      <c r="D7" t="s">
        <v>116</v>
      </c>
      <c r="E7">
        <v>5922</v>
      </c>
      <c r="F7" t="s">
        <v>115</v>
      </c>
      <c r="G7">
        <v>1685</v>
      </c>
      <c r="H7" t="s">
        <v>148</v>
      </c>
      <c r="I7" t="s">
        <v>113</v>
      </c>
      <c r="J7" s="33">
        <f>N6</f>
        <v>409948</v>
      </c>
      <c r="K7">
        <v>2019</v>
      </c>
      <c r="L7">
        <v>2019</v>
      </c>
      <c r="M7" t="s">
        <v>112</v>
      </c>
      <c r="N7">
        <v>205968</v>
      </c>
      <c r="S7" t="s">
        <v>111</v>
      </c>
    </row>
    <row r="8" spans="1:19" s="30" customFormat="1" x14ac:dyDescent="0.25">
      <c r="A8" s="30" t="s">
        <v>118</v>
      </c>
      <c r="B8" s="30" t="s">
        <v>117</v>
      </c>
      <c r="C8" s="30">
        <v>210</v>
      </c>
      <c r="D8" s="30" t="s">
        <v>116</v>
      </c>
      <c r="E8" s="30">
        <v>5510</v>
      </c>
      <c r="F8" s="30" t="s">
        <v>24</v>
      </c>
      <c r="G8" s="30">
        <v>1656</v>
      </c>
      <c r="H8" s="30" t="s">
        <v>147</v>
      </c>
      <c r="I8" s="30" t="s">
        <v>122</v>
      </c>
      <c r="J8" s="32">
        <f>N10/N9*9*1000</f>
        <v>5637.7665400292926</v>
      </c>
      <c r="K8" s="30">
        <v>2019</v>
      </c>
      <c r="L8" s="30">
        <v>2019</v>
      </c>
      <c r="M8" s="30" t="s">
        <v>119</v>
      </c>
      <c r="N8" s="30">
        <v>8398000</v>
      </c>
      <c r="R8" s="30" t="s">
        <v>127</v>
      </c>
      <c r="S8" s="30" t="s">
        <v>126</v>
      </c>
    </row>
    <row r="9" spans="1:19" s="30" customFormat="1" x14ac:dyDescent="0.25">
      <c r="A9" s="30" t="s">
        <v>118</v>
      </c>
      <c r="B9" s="30" t="s">
        <v>117</v>
      </c>
      <c r="C9" s="30">
        <v>210</v>
      </c>
      <c r="D9" s="30" t="s">
        <v>116</v>
      </c>
      <c r="E9" s="30">
        <v>5910</v>
      </c>
      <c r="F9" s="30" t="s">
        <v>121</v>
      </c>
      <c r="G9" s="30">
        <v>1656</v>
      </c>
      <c r="H9" s="30" t="s">
        <v>147</v>
      </c>
      <c r="I9" s="30" t="s">
        <v>120</v>
      </c>
      <c r="J9" s="32">
        <f>N8</f>
        <v>8398000</v>
      </c>
      <c r="K9" s="30">
        <v>2019</v>
      </c>
      <c r="L9" s="30">
        <v>2019</v>
      </c>
      <c r="M9" s="30" t="s">
        <v>119</v>
      </c>
      <c r="N9" s="30">
        <v>3486859</v>
      </c>
      <c r="R9" s="30" t="s">
        <v>127</v>
      </c>
      <c r="S9" s="30" t="s">
        <v>126</v>
      </c>
    </row>
    <row r="10" spans="1:19" s="30" customFormat="1" x14ac:dyDescent="0.25">
      <c r="A10" s="30" t="s">
        <v>118</v>
      </c>
      <c r="B10" s="30" t="s">
        <v>117</v>
      </c>
      <c r="C10" s="30">
        <v>210</v>
      </c>
      <c r="D10" s="30" t="s">
        <v>116</v>
      </c>
      <c r="E10" s="30">
        <v>5922</v>
      </c>
      <c r="F10" s="30" t="s">
        <v>115</v>
      </c>
      <c r="G10" s="30">
        <v>1656</v>
      </c>
      <c r="H10" s="30" t="s">
        <v>147</v>
      </c>
      <c r="I10" s="30" t="s">
        <v>113</v>
      </c>
      <c r="J10" s="31">
        <f>N9</f>
        <v>3486859</v>
      </c>
      <c r="K10" s="30">
        <v>2019</v>
      </c>
      <c r="L10" s="30">
        <v>2019</v>
      </c>
      <c r="M10" s="30" t="s">
        <v>112</v>
      </c>
      <c r="N10" s="30">
        <v>2184233</v>
      </c>
      <c r="R10" s="30" t="s">
        <v>127</v>
      </c>
      <c r="S10" s="30" t="s">
        <v>126</v>
      </c>
    </row>
    <row r="11" spans="1:19" x14ac:dyDescent="0.25">
      <c r="A11" t="s">
        <v>118</v>
      </c>
      <c r="B11" t="s">
        <v>117</v>
      </c>
      <c r="C11">
        <v>210</v>
      </c>
      <c r="D11" t="s">
        <v>116</v>
      </c>
      <c r="E11">
        <v>5510</v>
      </c>
      <c r="F11" t="s">
        <v>24</v>
      </c>
      <c r="G11">
        <v>1662</v>
      </c>
      <c r="H11" t="s">
        <v>146</v>
      </c>
      <c r="I11" t="s">
        <v>122</v>
      </c>
      <c r="J11" s="27">
        <f>N13/N12*9*1000</f>
        <v>5367.4654410216826</v>
      </c>
      <c r="K11">
        <v>2019</v>
      </c>
      <c r="L11">
        <v>2019</v>
      </c>
      <c r="M11" t="s">
        <v>119</v>
      </c>
      <c r="N11">
        <v>2780000</v>
      </c>
      <c r="R11" t="s">
        <v>145</v>
      </c>
      <c r="S11" t="s">
        <v>144</v>
      </c>
    </row>
    <row r="12" spans="1:19" x14ac:dyDescent="0.25">
      <c r="A12" t="s">
        <v>118</v>
      </c>
      <c r="B12" t="s">
        <v>117</v>
      </c>
      <c r="C12">
        <v>210</v>
      </c>
      <c r="D12" t="s">
        <v>116</v>
      </c>
      <c r="E12">
        <v>5910</v>
      </c>
      <c r="F12" t="s">
        <v>121</v>
      </c>
      <c r="G12">
        <v>1662</v>
      </c>
      <c r="H12" t="s">
        <v>146</v>
      </c>
      <c r="I12" t="s">
        <v>120</v>
      </c>
      <c r="J12" s="27">
        <f>N11</f>
        <v>2780000</v>
      </c>
      <c r="K12">
        <v>2019</v>
      </c>
      <c r="L12">
        <v>2019</v>
      </c>
      <c r="M12" t="s">
        <v>119</v>
      </c>
      <c r="N12">
        <v>171012</v>
      </c>
      <c r="R12" t="s">
        <v>145</v>
      </c>
      <c r="S12" t="s">
        <v>144</v>
      </c>
    </row>
    <row r="13" spans="1:19" x14ac:dyDescent="0.25">
      <c r="A13" t="s">
        <v>118</v>
      </c>
      <c r="B13" t="s">
        <v>117</v>
      </c>
      <c r="C13">
        <v>210</v>
      </c>
      <c r="D13" t="s">
        <v>116</v>
      </c>
      <c r="E13">
        <v>5922</v>
      </c>
      <c r="F13" t="s">
        <v>115</v>
      </c>
      <c r="G13">
        <v>1662</v>
      </c>
      <c r="H13" t="s">
        <v>146</v>
      </c>
      <c r="I13" t="s">
        <v>113</v>
      </c>
      <c r="J13" s="27">
        <f>N12</f>
        <v>171012</v>
      </c>
      <c r="K13">
        <v>2019</v>
      </c>
      <c r="L13">
        <v>2019</v>
      </c>
      <c r="M13" t="s">
        <v>112</v>
      </c>
      <c r="N13">
        <v>101989</v>
      </c>
      <c r="R13" t="s">
        <v>145</v>
      </c>
      <c r="S13" t="s">
        <v>144</v>
      </c>
    </row>
    <row r="14" spans="1:19" s="30" customFormat="1" x14ac:dyDescent="0.25">
      <c r="A14" s="30" t="s">
        <v>118</v>
      </c>
      <c r="B14" s="30" t="s">
        <v>117</v>
      </c>
      <c r="C14" s="30">
        <v>210</v>
      </c>
      <c r="D14" s="30" t="s">
        <v>116</v>
      </c>
      <c r="E14" s="30">
        <v>5510</v>
      </c>
      <c r="F14" s="30" t="s">
        <v>24</v>
      </c>
      <c r="G14" s="30">
        <v>1663</v>
      </c>
      <c r="H14" s="30" t="s">
        <v>142</v>
      </c>
      <c r="I14" s="30" t="s">
        <v>122</v>
      </c>
      <c r="J14" s="33">
        <f>N16/N15*9*1000</f>
        <v>5671.6872449494358</v>
      </c>
      <c r="K14" s="30">
        <v>2019</v>
      </c>
      <c r="L14" s="30">
        <v>2019</v>
      </c>
      <c r="M14" s="30" t="s">
        <v>119</v>
      </c>
      <c r="N14" s="30">
        <v>5581000</v>
      </c>
      <c r="O14" s="12" t="s">
        <v>143</v>
      </c>
      <c r="S14" s="30" t="s">
        <v>111</v>
      </c>
    </row>
    <row r="15" spans="1:19" s="30" customFormat="1" x14ac:dyDescent="0.25">
      <c r="A15" s="30" t="s">
        <v>118</v>
      </c>
      <c r="B15" s="30" t="s">
        <v>117</v>
      </c>
      <c r="C15" s="30">
        <v>210</v>
      </c>
      <c r="D15" s="30" t="s">
        <v>116</v>
      </c>
      <c r="E15" s="30">
        <v>5910</v>
      </c>
      <c r="F15" s="30" t="s">
        <v>121</v>
      </c>
      <c r="G15" s="30">
        <v>1663</v>
      </c>
      <c r="H15" s="30" t="s">
        <v>142</v>
      </c>
      <c r="I15" s="30" t="s">
        <v>120</v>
      </c>
      <c r="J15" s="32">
        <f>N14</f>
        <v>5581000</v>
      </c>
      <c r="K15" s="30">
        <v>2019</v>
      </c>
      <c r="L15" s="30">
        <v>2019</v>
      </c>
      <c r="M15" s="30" t="s">
        <v>119</v>
      </c>
      <c r="N15" s="30">
        <v>3290524</v>
      </c>
      <c r="S15" s="30" t="s">
        <v>111</v>
      </c>
    </row>
    <row r="16" spans="1:19" s="30" customFormat="1" x14ac:dyDescent="0.25">
      <c r="A16" s="30" t="s">
        <v>118</v>
      </c>
      <c r="B16" s="30" t="s">
        <v>117</v>
      </c>
      <c r="C16" s="30">
        <v>210</v>
      </c>
      <c r="D16" s="30" t="s">
        <v>116</v>
      </c>
      <c r="E16" s="30">
        <v>5922</v>
      </c>
      <c r="F16" s="30" t="s">
        <v>115</v>
      </c>
      <c r="G16" s="30">
        <v>1663</v>
      </c>
      <c r="H16" s="30" t="s">
        <v>142</v>
      </c>
      <c r="I16" s="30" t="s">
        <v>113</v>
      </c>
      <c r="J16" s="34">
        <f>N15</f>
        <v>3290524</v>
      </c>
      <c r="K16" s="30">
        <v>2019</v>
      </c>
      <c r="L16" s="30">
        <v>2019</v>
      </c>
      <c r="M16" s="30" t="s">
        <v>112</v>
      </c>
      <c r="N16" s="30">
        <v>2073647</v>
      </c>
      <c r="S16" s="30" t="s">
        <v>111</v>
      </c>
    </row>
    <row r="17" spans="1:19" x14ac:dyDescent="0.25">
      <c r="A17" t="s">
        <v>118</v>
      </c>
      <c r="B17" t="s">
        <v>117</v>
      </c>
      <c r="C17">
        <v>210</v>
      </c>
      <c r="D17" t="s">
        <v>116</v>
      </c>
      <c r="E17">
        <v>5510</v>
      </c>
      <c r="F17" t="s">
        <v>24</v>
      </c>
      <c r="G17">
        <v>1686</v>
      </c>
      <c r="H17" t="s">
        <v>141</v>
      </c>
      <c r="I17" s="36" t="s">
        <v>122</v>
      </c>
      <c r="J17" s="35">
        <f>N19/N18*9*1000</f>
        <v>3055.4436678118705</v>
      </c>
      <c r="K17">
        <v>2019</v>
      </c>
      <c r="L17">
        <v>2019</v>
      </c>
      <c r="M17" t="s">
        <v>119</v>
      </c>
      <c r="N17">
        <v>37000</v>
      </c>
      <c r="R17" t="s">
        <v>127</v>
      </c>
      <c r="S17" t="s">
        <v>126</v>
      </c>
    </row>
    <row r="18" spans="1:19" x14ac:dyDescent="0.25">
      <c r="A18" t="s">
        <v>118</v>
      </c>
      <c r="B18" t="s">
        <v>117</v>
      </c>
      <c r="C18">
        <v>210</v>
      </c>
      <c r="D18" t="s">
        <v>116</v>
      </c>
      <c r="E18">
        <v>5910</v>
      </c>
      <c r="F18" t="s">
        <v>121</v>
      </c>
      <c r="G18">
        <v>1686</v>
      </c>
      <c r="H18" t="s">
        <v>141</v>
      </c>
      <c r="I18" s="36" t="s">
        <v>120</v>
      </c>
      <c r="J18" s="35">
        <f>N17</f>
        <v>37000</v>
      </c>
      <c r="K18">
        <v>2019</v>
      </c>
      <c r="L18">
        <v>2019</v>
      </c>
      <c r="M18" t="s">
        <v>119</v>
      </c>
      <c r="N18">
        <v>25323</v>
      </c>
      <c r="S18" t="s">
        <v>111</v>
      </c>
    </row>
    <row r="19" spans="1:19" x14ac:dyDescent="0.25">
      <c r="A19" t="s">
        <v>118</v>
      </c>
      <c r="B19" t="s">
        <v>117</v>
      </c>
      <c r="C19">
        <v>210</v>
      </c>
      <c r="D19" t="s">
        <v>116</v>
      </c>
      <c r="E19">
        <v>5922</v>
      </c>
      <c r="F19" t="s">
        <v>115</v>
      </c>
      <c r="G19">
        <v>1686</v>
      </c>
      <c r="H19" t="s">
        <v>141</v>
      </c>
      <c r="I19" s="36" t="s">
        <v>113</v>
      </c>
      <c r="J19" s="35">
        <f>N18</f>
        <v>25323</v>
      </c>
      <c r="K19">
        <v>2019</v>
      </c>
      <c r="L19">
        <v>2019</v>
      </c>
      <c r="M19" t="s">
        <v>112</v>
      </c>
      <c r="N19">
        <v>8597</v>
      </c>
      <c r="S19" t="s">
        <v>111</v>
      </c>
    </row>
    <row r="20" spans="1:19" s="30" customFormat="1" x14ac:dyDescent="0.25">
      <c r="A20" s="30" t="s">
        <v>118</v>
      </c>
      <c r="B20" s="30" t="s">
        <v>117</v>
      </c>
      <c r="C20" s="30">
        <v>210</v>
      </c>
      <c r="D20" s="30" t="s">
        <v>116</v>
      </c>
      <c r="E20" s="30">
        <v>5510</v>
      </c>
      <c r="F20" s="30" t="s">
        <v>24</v>
      </c>
      <c r="G20" s="30">
        <v>1667</v>
      </c>
      <c r="H20" s="30" t="s">
        <v>139</v>
      </c>
      <c r="I20" s="30" t="s">
        <v>122</v>
      </c>
      <c r="J20" s="33">
        <f>N22/N21*9*1000</f>
        <v>7543.8622572003678</v>
      </c>
      <c r="K20" s="30">
        <v>2019</v>
      </c>
      <c r="L20" s="30">
        <v>2019</v>
      </c>
      <c r="M20" s="30" t="s">
        <v>119</v>
      </c>
      <c r="N20" s="30">
        <v>483000</v>
      </c>
      <c r="O20" s="12" t="s">
        <v>140</v>
      </c>
      <c r="R20" s="30" t="s">
        <v>127</v>
      </c>
      <c r="S20" s="30" t="s">
        <v>126</v>
      </c>
    </row>
    <row r="21" spans="1:19" s="30" customFormat="1" x14ac:dyDescent="0.25">
      <c r="A21" s="30" t="s">
        <v>118</v>
      </c>
      <c r="B21" s="30" t="s">
        <v>117</v>
      </c>
      <c r="C21" s="30">
        <v>210</v>
      </c>
      <c r="D21" s="30" t="s">
        <v>116</v>
      </c>
      <c r="E21" s="30">
        <v>5910</v>
      </c>
      <c r="F21" s="30" t="s">
        <v>121</v>
      </c>
      <c r="G21" s="30">
        <v>1667</v>
      </c>
      <c r="H21" s="30" t="s">
        <v>139</v>
      </c>
      <c r="I21" s="30" t="s">
        <v>120</v>
      </c>
      <c r="J21" s="32">
        <f>N20</f>
        <v>483000</v>
      </c>
      <c r="K21" s="30">
        <v>2019</v>
      </c>
      <c r="L21" s="30">
        <v>2019</v>
      </c>
      <c r="M21" s="30" t="s">
        <v>119</v>
      </c>
      <c r="N21" s="30">
        <v>336337</v>
      </c>
      <c r="S21" s="30" t="s">
        <v>111</v>
      </c>
    </row>
    <row r="22" spans="1:19" s="30" customFormat="1" x14ac:dyDescent="0.25">
      <c r="A22" s="30" t="s">
        <v>118</v>
      </c>
      <c r="B22" s="30" t="s">
        <v>117</v>
      </c>
      <c r="C22" s="30">
        <v>210</v>
      </c>
      <c r="D22" s="30" t="s">
        <v>116</v>
      </c>
      <c r="E22" s="30">
        <v>5922</v>
      </c>
      <c r="F22" s="30" t="s">
        <v>115</v>
      </c>
      <c r="G22" s="30">
        <v>1667</v>
      </c>
      <c r="H22" s="30" t="s">
        <v>139</v>
      </c>
      <c r="I22" s="30" t="s">
        <v>113</v>
      </c>
      <c r="J22" s="34">
        <f>N21</f>
        <v>336337</v>
      </c>
      <c r="K22" s="30">
        <v>2019</v>
      </c>
      <c r="L22" s="30">
        <v>2019</v>
      </c>
      <c r="M22" s="30" t="s">
        <v>112</v>
      </c>
      <c r="N22" s="30">
        <v>281920</v>
      </c>
      <c r="S22" s="30" t="s">
        <v>111</v>
      </c>
    </row>
    <row r="23" spans="1:19" x14ac:dyDescent="0.25">
      <c r="A23" t="s">
        <v>118</v>
      </c>
      <c r="B23" t="s">
        <v>117</v>
      </c>
      <c r="C23">
        <v>210</v>
      </c>
      <c r="D23" t="s">
        <v>116</v>
      </c>
      <c r="E23">
        <v>5510</v>
      </c>
      <c r="F23" t="s">
        <v>24</v>
      </c>
      <c r="G23">
        <v>1671</v>
      </c>
      <c r="H23" t="s">
        <v>55</v>
      </c>
      <c r="I23" t="s">
        <v>122</v>
      </c>
      <c r="J23" s="33">
        <f>N25/N24*9*1000</f>
        <v>5203.8884869339317</v>
      </c>
      <c r="K23">
        <v>2019</v>
      </c>
      <c r="L23">
        <v>2019</v>
      </c>
      <c r="M23" t="s">
        <v>119</v>
      </c>
      <c r="N23">
        <v>889000</v>
      </c>
      <c r="O23" s="12" t="s">
        <v>138</v>
      </c>
      <c r="S23" t="s">
        <v>111</v>
      </c>
    </row>
    <row r="24" spans="1:19" x14ac:dyDescent="0.25">
      <c r="A24" t="s">
        <v>118</v>
      </c>
      <c r="B24" t="s">
        <v>117</v>
      </c>
      <c r="C24">
        <v>210</v>
      </c>
      <c r="D24" t="s">
        <v>116</v>
      </c>
      <c r="E24">
        <v>5910</v>
      </c>
      <c r="F24" t="s">
        <v>121</v>
      </c>
      <c r="G24">
        <v>1671</v>
      </c>
      <c r="H24" t="s">
        <v>55</v>
      </c>
      <c r="I24" t="s">
        <v>120</v>
      </c>
      <c r="J24" s="33">
        <f>N23</f>
        <v>889000</v>
      </c>
      <c r="K24">
        <v>2019</v>
      </c>
      <c r="L24">
        <v>2019</v>
      </c>
      <c r="M24" t="s">
        <v>119</v>
      </c>
      <c r="N24">
        <v>702124</v>
      </c>
      <c r="S24" t="s">
        <v>111</v>
      </c>
    </row>
    <row r="25" spans="1:19" x14ac:dyDescent="0.25">
      <c r="A25" t="s">
        <v>118</v>
      </c>
      <c r="B25" t="s">
        <v>117</v>
      </c>
      <c r="C25">
        <v>210</v>
      </c>
      <c r="D25" t="s">
        <v>116</v>
      </c>
      <c r="E25">
        <v>5922</v>
      </c>
      <c r="F25" t="s">
        <v>115</v>
      </c>
      <c r="G25">
        <v>1671</v>
      </c>
      <c r="H25" t="s">
        <v>55</v>
      </c>
      <c r="I25" t="s">
        <v>113</v>
      </c>
      <c r="J25" s="27">
        <f>N24</f>
        <v>702124</v>
      </c>
      <c r="K25">
        <v>2019</v>
      </c>
      <c r="L25">
        <v>2019</v>
      </c>
      <c r="M25" t="s">
        <v>112</v>
      </c>
      <c r="N25">
        <v>405975</v>
      </c>
      <c r="S25" t="s">
        <v>111</v>
      </c>
    </row>
    <row r="26" spans="1:19" s="30" customFormat="1" x14ac:dyDescent="0.25">
      <c r="A26" s="30" t="s">
        <v>118</v>
      </c>
      <c r="B26" s="30" t="s">
        <v>117</v>
      </c>
      <c r="C26" s="30">
        <v>210</v>
      </c>
      <c r="D26" s="30" t="s">
        <v>116</v>
      </c>
      <c r="E26" s="30">
        <v>5510</v>
      </c>
      <c r="F26" s="30" t="s">
        <v>24</v>
      </c>
      <c r="G26" s="30">
        <v>1674</v>
      </c>
      <c r="H26" s="30" t="s">
        <v>137</v>
      </c>
      <c r="I26" s="30" t="s">
        <v>122</v>
      </c>
      <c r="J26" s="32">
        <f>N28/N27*9*1000</f>
        <v>6950.2848373333754</v>
      </c>
      <c r="K26" s="30">
        <v>2019</v>
      </c>
      <c r="L26" s="30">
        <v>2019</v>
      </c>
      <c r="M26" s="30" t="s">
        <v>119</v>
      </c>
      <c r="N26" s="30">
        <v>2365000</v>
      </c>
      <c r="R26" s="30" t="s">
        <v>127</v>
      </c>
      <c r="S26" s="30" t="s">
        <v>126</v>
      </c>
    </row>
    <row r="27" spans="1:19" s="30" customFormat="1" x14ac:dyDescent="0.25">
      <c r="A27" s="30" t="s">
        <v>118</v>
      </c>
      <c r="B27" s="30" t="s">
        <v>117</v>
      </c>
      <c r="C27" s="30">
        <v>210</v>
      </c>
      <c r="D27" s="30" t="s">
        <v>116</v>
      </c>
      <c r="E27" s="30">
        <v>5910</v>
      </c>
      <c r="F27" s="30" t="s">
        <v>121</v>
      </c>
      <c r="G27" s="30">
        <v>1674</v>
      </c>
      <c r="H27" s="30" t="s">
        <v>137</v>
      </c>
      <c r="I27" s="30" t="s">
        <v>120</v>
      </c>
      <c r="J27" s="30">
        <f>N26</f>
        <v>2365000</v>
      </c>
      <c r="K27" s="30">
        <v>2019</v>
      </c>
      <c r="L27" s="30">
        <v>2019</v>
      </c>
      <c r="M27" s="30" t="s">
        <v>119</v>
      </c>
      <c r="N27" s="30">
        <v>2489140</v>
      </c>
      <c r="R27" s="30" t="s">
        <v>127</v>
      </c>
      <c r="S27" s="30" t="s">
        <v>126</v>
      </c>
    </row>
    <row r="28" spans="1:19" s="30" customFormat="1" x14ac:dyDescent="0.25">
      <c r="A28" s="30" t="s">
        <v>118</v>
      </c>
      <c r="B28" s="30" t="s">
        <v>117</v>
      </c>
      <c r="C28" s="30">
        <v>210</v>
      </c>
      <c r="D28" s="30" t="s">
        <v>116</v>
      </c>
      <c r="E28" s="30">
        <v>5922</v>
      </c>
      <c r="F28" s="30" t="s">
        <v>115</v>
      </c>
      <c r="G28" s="30">
        <v>1674</v>
      </c>
      <c r="H28" s="30" t="s">
        <v>137</v>
      </c>
      <c r="I28" s="30" t="s">
        <v>113</v>
      </c>
      <c r="J28" s="31">
        <f>N27</f>
        <v>2489140</v>
      </c>
      <c r="K28" s="30">
        <v>2019</v>
      </c>
      <c r="L28" s="30">
        <v>2019</v>
      </c>
      <c r="M28" s="30" t="s">
        <v>112</v>
      </c>
      <c r="N28" s="30">
        <v>1922248</v>
      </c>
      <c r="R28" s="30" t="s">
        <v>127</v>
      </c>
      <c r="S28" s="30" t="s">
        <v>126</v>
      </c>
    </row>
    <row r="29" spans="1:19" x14ac:dyDescent="0.25">
      <c r="A29" t="s">
        <v>118</v>
      </c>
      <c r="B29" t="s">
        <v>117</v>
      </c>
      <c r="C29">
        <v>210</v>
      </c>
      <c r="D29" t="s">
        <v>116</v>
      </c>
      <c r="E29">
        <v>5510</v>
      </c>
      <c r="F29" t="s">
        <v>24</v>
      </c>
      <c r="G29">
        <v>1612</v>
      </c>
      <c r="H29" t="s">
        <v>135</v>
      </c>
      <c r="I29" t="s">
        <v>122</v>
      </c>
      <c r="J29" s="33">
        <f>N31/N30*9*1000</f>
        <v>6194.744892345203</v>
      </c>
      <c r="K29">
        <v>2019</v>
      </c>
      <c r="L29">
        <v>2019</v>
      </c>
      <c r="M29" t="s">
        <v>119</v>
      </c>
      <c r="N29">
        <v>1292392</v>
      </c>
      <c r="O29" s="12" t="s">
        <v>136</v>
      </c>
      <c r="R29" t="s">
        <v>132</v>
      </c>
      <c r="S29" t="s">
        <v>131</v>
      </c>
    </row>
    <row r="30" spans="1:19" x14ac:dyDescent="0.25">
      <c r="A30" t="s">
        <v>118</v>
      </c>
      <c r="B30" t="s">
        <v>117</v>
      </c>
      <c r="C30">
        <v>210</v>
      </c>
      <c r="D30" t="s">
        <v>116</v>
      </c>
      <c r="E30">
        <v>5910</v>
      </c>
      <c r="F30" t="s">
        <v>121</v>
      </c>
      <c r="G30">
        <v>1612</v>
      </c>
      <c r="H30" t="s">
        <v>135</v>
      </c>
      <c r="I30" t="s">
        <v>120</v>
      </c>
      <c r="J30" s="27">
        <f>N29</f>
        <v>1292392</v>
      </c>
      <c r="K30">
        <v>2019</v>
      </c>
      <c r="L30">
        <v>2019</v>
      </c>
      <c r="M30" t="s">
        <v>119</v>
      </c>
      <c r="N30">
        <v>1372303</v>
      </c>
      <c r="S30" t="s">
        <v>111</v>
      </c>
    </row>
    <row r="31" spans="1:19" x14ac:dyDescent="0.25">
      <c r="A31" t="s">
        <v>118</v>
      </c>
      <c r="B31" t="s">
        <v>117</v>
      </c>
      <c r="C31">
        <v>210</v>
      </c>
      <c r="D31" t="s">
        <v>116</v>
      </c>
      <c r="E31">
        <v>5922</v>
      </c>
      <c r="F31" t="s">
        <v>115</v>
      </c>
      <c r="G31">
        <v>1612</v>
      </c>
      <c r="H31" t="s">
        <v>135</v>
      </c>
      <c r="I31" t="s">
        <v>113</v>
      </c>
      <c r="J31" s="33">
        <f>N30</f>
        <v>1372303</v>
      </c>
      <c r="K31">
        <v>2019</v>
      </c>
      <c r="L31">
        <v>2019</v>
      </c>
      <c r="M31" t="s">
        <v>112</v>
      </c>
      <c r="N31">
        <v>944563</v>
      </c>
      <c r="S31" t="s">
        <v>111</v>
      </c>
    </row>
    <row r="32" spans="1:19" s="30" customFormat="1" x14ac:dyDescent="0.25">
      <c r="A32" s="30" t="s">
        <v>118</v>
      </c>
      <c r="B32" s="30" t="s">
        <v>117</v>
      </c>
      <c r="C32" s="30">
        <v>210</v>
      </c>
      <c r="D32" s="30" t="s">
        <v>116</v>
      </c>
      <c r="E32" s="30">
        <v>5510</v>
      </c>
      <c r="F32" s="30" t="s">
        <v>24</v>
      </c>
      <c r="G32" s="30">
        <v>1615</v>
      </c>
      <c r="H32" s="30" t="s">
        <v>133</v>
      </c>
      <c r="I32" s="30" t="s">
        <v>122</v>
      </c>
      <c r="J32" s="33">
        <f>N34/N33*9*1000</f>
        <v>8979.0977576808982</v>
      </c>
      <c r="K32" s="30">
        <v>2019</v>
      </c>
      <c r="L32" s="30">
        <v>2019</v>
      </c>
      <c r="M32" s="30" t="s">
        <v>119</v>
      </c>
      <c r="N32" s="30">
        <v>457736</v>
      </c>
      <c r="O32" s="12" t="s">
        <v>134</v>
      </c>
      <c r="R32" s="30" t="s">
        <v>132</v>
      </c>
      <c r="S32" s="30" t="s">
        <v>131</v>
      </c>
    </row>
    <row r="33" spans="1:19" s="30" customFormat="1" x14ac:dyDescent="0.25">
      <c r="A33" s="30" t="s">
        <v>118</v>
      </c>
      <c r="B33" s="30" t="s">
        <v>117</v>
      </c>
      <c r="C33" s="30">
        <v>210</v>
      </c>
      <c r="D33" s="30" t="s">
        <v>116</v>
      </c>
      <c r="E33" s="30">
        <v>5910</v>
      </c>
      <c r="F33" s="30" t="s">
        <v>121</v>
      </c>
      <c r="G33" s="30">
        <v>1615</v>
      </c>
      <c r="H33" s="30" t="s">
        <v>133</v>
      </c>
      <c r="I33" s="30" t="s">
        <v>120</v>
      </c>
      <c r="J33" s="32">
        <f>N32</f>
        <v>457736</v>
      </c>
      <c r="K33" s="30">
        <v>2019</v>
      </c>
      <c r="L33" s="30">
        <v>2019</v>
      </c>
      <c r="M33" s="30" t="s">
        <v>119</v>
      </c>
      <c r="N33" s="30">
        <v>462869</v>
      </c>
      <c r="S33" s="30" t="s">
        <v>111</v>
      </c>
    </row>
    <row r="34" spans="1:19" s="30" customFormat="1" x14ac:dyDescent="0.25">
      <c r="A34" s="30" t="s">
        <v>118</v>
      </c>
      <c r="B34" s="30" t="s">
        <v>117</v>
      </c>
      <c r="C34" s="30">
        <v>210</v>
      </c>
      <c r="D34" s="30" t="s">
        <v>116</v>
      </c>
      <c r="E34" s="30">
        <v>5922</v>
      </c>
      <c r="F34" s="30" t="s">
        <v>115</v>
      </c>
      <c r="G34" s="30">
        <v>1615</v>
      </c>
      <c r="H34" s="30" t="s">
        <v>133</v>
      </c>
      <c r="I34" s="30" t="s">
        <v>113</v>
      </c>
      <c r="J34" s="34">
        <f>N33</f>
        <v>462869</v>
      </c>
      <c r="K34" s="30">
        <v>2019</v>
      </c>
      <c r="L34" s="30">
        <v>2019</v>
      </c>
      <c r="M34" s="30" t="s">
        <v>112</v>
      </c>
      <c r="N34" s="30">
        <v>461794</v>
      </c>
      <c r="S34" s="30" t="s">
        <v>111</v>
      </c>
    </row>
    <row r="35" spans="1:19" x14ac:dyDescent="0.25">
      <c r="A35" t="s">
        <v>118</v>
      </c>
      <c r="B35" t="s">
        <v>117</v>
      </c>
      <c r="C35">
        <v>210</v>
      </c>
      <c r="D35" t="s">
        <v>116</v>
      </c>
      <c r="E35">
        <v>5510</v>
      </c>
      <c r="F35" t="s">
        <v>24</v>
      </c>
      <c r="G35">
        <v>1616</v>
      </c>
      <c r="H35" t="s">
        <v>130</v>
      </c>
      <c r="I35" t="s">
        <v>122</v>
      </c>
      <c r="J35" s="27">
        <f>N37/N36*9*1000</f>
        <v>7099.7648202970176</v>
      </c>
      <c r="K35">
        <v>2019</v>
      </c>
      <c r="L35">
        <v>2019</v>
      </c>
      <c r="M35" t="s">
        <v>119</v>
      </c>
      <c r="N35">
        <v>614872</v>
      </c>
      <c r="R35" t="s">
        <v>132</v>
      </c>
      <c r="S35" t="s">
        <v>131</v>
      </c>
    </row>
    <row r="36" spans="1:19" x14ac:dyDescent="0.25">
      <c r="A36" t="s">
        <v>118</v>
      </c>
      <c r="B36" t="s">
        <v>117</v>
      </c>
      <c r="C36">
        <v>210</v>
      </c>
      <c r="D36" t="s">
        <v>116</v>
      </c>
      <c r="E36">
        <v>5910</v>
      </c>
      <c r="F36" t="s">
        <v>121</v>
      </c>
      <c r="G36">
        <v>1616</v>
      </c>
      <c r="H36" t="s">
        <v>130</v>
      </c>
      <c r="I36" t="s">
        <v>120</v>
      </c>
      <c r="J36" s="27">
        <f>N35</f>
        <v>614872</v>
      </c>
      <c r="K36">
        <v>2019</v>
      </c>
      <c r="L36">
        <v>2019</v>
      </c>
      <c r="M36" t="s">
        <v>119</v>
      </c>
      <c r="N36">
        <v>653968</v>
      </c>
      <c r="S36" t="s">
        <v>111</v>
      </c>
    </row>
    <row r="37" spans="1:19" x14ac:dyDescent="0.25">
      <c r="A37" t="s">
        <v>118</v>
      </c>
      <c r="B37" t="s">
        <v>117</v>
      </c>
      <c r="C37">
        <v>210</v>
      </c>
      <c r="D37" t="s">
        <v>116</v>
      </c>
      <c r="E37">
        <v>5922</v>
      </c>
      <c r="F37" t="s">
        <v>115</v>
      </c>
      <c r="G37">
        <v>1616</v>
      </c>
      <c r="H37" t="s">
        <v>130</v>
      </c>
      <c r="I37" t="s">
        <v>113</v>
      </c>
      <c r="J37" s="27">
        <f>N36</f>
        <v>653968</v>
      </c>
      <c r="K37">
        <v>2019</v>
      </c>
      <c r="L37">
        <v>2019</v>
      </c>
      <c r="M37" t="s">
        <v>112</v>
      </c>
      <c r="N37">
        <v>515891</v>
      </c>
      <c r="S37" t="s">
        <v>111</v>
      </c>
    </row>
    <row r="38" spans="1:19" s="30" customFormat="1" x14ac:dyDescent="0.25">
      <c r="A38" s="30" t="s">
        <v>118</v>
      </c>
      <c r="B38" s="30" t="s">
        <v>117</v>
      </c>
      <c r="C38" s="30">
        <v>210</v>
      </c>
      <c r="D38" s="30" t="s">
        <v>116</v>
      </c>
      <c r="E38" s="30">
        <v>5510</v>
      </c>
      <c r="F38" s="30" t="s">
        <v>24</v>
      </c>
      <c r="G38" s="30">
        <v>1675</v>
      </c>
      <c r="H38" s="30" t="s">
        <v>128</v>
      </c>
      <c r="I38" s="30" t="s">
        <v>122</v>
      </c>
      <c r="J38" s="33">
        <f>N40/N39*9*1000</f>
        <v>7987.3416225966739</v>
      </c>
      <c r="K38" s="30">
        <v>2019</v>
      </c>
      <c r="L38" s="30">
        <v>2019</v>
      </c>
      <c r="M38" s="30" t="s">
        <v>119</v>
      </c>
      <c r="N38" s="30">
        <v>6362000</v>
      </c>
      <c r="O38" s="12" t="s">
        <v>129</v>
      </c>
      <c r="P38" s="30" t="s">
        <v>126</v>
      </c>
    </row>
    <row r="39" spans="1:19" s="30" customFormat="1" x14ac:dyDescent="0.25">
      <c r="A39" s="30" t="s">
        <v>118</v>
      </c>
      <c r="B39" s="30" t="s">
        <v>117</v>
      </c>
      <c r="C39" s="30">
        <v>210</v>
      </c>
      <c r="D39" s="30" t="s">
        <v>116</v>
      </c>
      <c r="E39" s="30">
        <v>5910</v>
      </c>
      <c r="F39" s="30" t="s">
        <v>121</v>
      </c>
      <c r="G39" s="30">
        <v>1675</v>
      </c>
      <c r="H39" s="30" t="s">
        <v>128</v>
      </c>
      <c r="I39" s="30" t="s">
        <v>120</v>
      </c>
      <c r="J39" s="33">
        <f>N38</f>
        <v>6362000</v>
      </c>
      <c r="K39" s="30">
        <v>2019</v>
      </c>
      <c r="L39" s="30">
        <v>2019</v>
      </c>
      <c r="M39" s="30" t="s">
        <v>119</v>
      </c>
      <c r="N39" s="30">
        <v>6009380</v>
      </c>
      <c r="O39" s="30" t="s">
        <v>127</v>
      </c>
      <c r="P39" s="30" t="s">
        <v>126</v>
      </c>
    </row>
    <row r="40" spans="1:19" s="30" customFormat="1" x14ac:dyDescent="0.25">
      <c r="A40" s="30" t="s">
        <v>118</v>
      </c>
      <c r="B40" s="30" t="s">
        <v>117</v>
      </c>
      <c r="C40" s="30">
        <v>210</v>
      </c>
      <c r="D40" s="30" t="s">
        <v>116</v>
      </c>
      <c r="E40" s="30">
        <v>5922</v>
      </c>
      <c r="F40" s="30" t="s">
        <v>115</v>
      </c>
      <c r="G40" s="30">
        <v>1675</v>
      </c>
      <c r="H40" s="30" t="s">
        <v>128</v>
      </c>
      <c r="I40" s="30" t="s">
        <v>113</v>
      </c>
      <c r="J40" s="31">
        <f>N39</f>
        <v>6009380</v>
      </c>
      <c r="K40" s="30">
        <v>2019</v>
      </c>
      <c r="L40" s="30">
        <v>2019</v>
      </c>
      <c r="M40" s="30" t="s">
        <v>112</v>
      </c>
      <c r="N40" s="30">
        <v>5333219</v>
      </c>
      <c r="O40" s="30" t="s">
        <v>127</v>
      </c>
      <c r="P40" s="30" t="s">
        <v>126</v>
      </c>
    </row>
    <row r="41" spans="1:19" x14ac:dyDescent="0.25">
      <c r="A41" t="s">
        <v>118</v>
      </c>
      <c r="B41" t="s">
        <v>117</v>
      </c>
      <c r="C41">
        <v>210</v>
      </c>
      <c r="D41" t="s">
        <v>116</v>
      </c>
      <c r="E41">
        <v>5510</v>
      </c>
      <c r="F41" t="s">
        <v>24</v>
      </c>
      <c r="G41">
        <v>1676</v>
      </c>
      <c r="H41" t="s">
        <v>125</v>
      </c>
      <c r="I41" t="s">
        <v>122</v>
      </c>
      <c r="J41" s="27">
        <f>N43/N42*9*1000</f>
        <v>16190.895349871078</v>
      </c>
      <c r="K41">
        <v>2019</v>
      </c>
      <c r="L41">
        <v>2019</v>
      </c>
      <c r="M41" t="s">
        <v>119</v>
      </c>
      <c r="N41">
        <v>356000</v>
      </c>
      <c r="P41" t="s">
        <v>111</v>
      </c>
    </row>
    <row r="42" spans="1:19" x14ac:dyDescent="0.25">
      <c r="A42" t="s">
        <v>118</v>
      </c>
      <c r="B42" t="s">
        <v>117</v>
      </c>
      <c r="C42">
        <v>210</v>
      </c>
      <c r="D42" t="s">
        <v>116</v>
      </c>
      <c r="E42">
        <v>5910</v>
      </c>
      <c r="F42" t="s">
        <v>121</v>
      </c>
      <c r="G42">
        <v>1676</v>
      </c>
      <c r="H42" t="s">
        <v>125</v>
      </c>
      <c r="I42" t="s">
        <v>120</v>
      </c>
      <c r="J42" s="27">
        <f>N41</f>
        <v>356000</v>
      </c>
      <c r="K42">
        <v>2019</v>
      </c>
      <c r="L42">
        <v>2019</v>
      </c>
      <c r="M42" t="s">
        <v>119</v>
      </c>
      <c r="N42">
        <v>101223</v>
      </c>
      <c r="P42" t="s">
        <v>111</v>
      </c>
    </row>
    <row r="43" spans="1:19" x14ac:dyDescent="0.25">
      <c r="A43" t="s">
        <v>118</v>
      </c>
      <c r="B43" t="s">
        <v>117</v>
      </c>
      <c r="C43">
        <v>210</v>
      </c>
      <c r="D43" t="s">
        <v>116</v>
      </c>
      <c r="E43">
        <v>5922</v>
      </c>
      <c r="F43" t="s">
        <v>115</v>
      </c>
      <c r="G43">
        <v>1676</v>
      </c>
      <c r="H43" t="s">
        <v>125</v>
      </c>
      <c r="I43" t="s">
        <v>113</v>
      </c>
      <c r="J43" s="27">
        <f>N42</f>
        <v>101223</v>
      </c>
      <c r="K43">
        <v>2019</v>
      </c>
      <c r="L43">
        <v>2019</v>
      </c>
      <c r="M43" t="s">
        <v>112</v>
      </c>
      <c r="N43">
        <v>182099</v>
      </c>
      <c r="P43" t="s">
        <v>111</v>
      </c>
    </row>
    <row r="44" spans="1:19" s="30" customFormat="1" x14ac:dyDescent="0.25">
      <c r="A44" s="30" t="s">
        <v>118</v>
      </c>
      <c r="B44" s="30" t="s">
        <v>117</v>
      </c>
      <c r="C44" s="30">
        <v>210</v>
      </c>
      <c r="D44" s="30" t="s">
        <v>116</v>
      </c>
      <c r="E44" s="30">
        <v>5510</v>
      </c>
      <c r="F44" s="30" t="s">
        <v>24</v>
      </c>
      <c r="G44" s="30">
        <v>1618</v>
      </c>
      <c r="H44" s="30" t="s">
        <v>124</v>
      </c>
      <c r="I44" s="30" t="s">
        <v>122</v>
      </c>
      <c r="J44" s="32">
        <f>N46/N45*9*1000</f>
        <v>8804.9665427201144</v>
      </c>
      <c r="K44" s="30">
        <v>2019</v>
      </c>
      <c r="L44" s="30">
        <v>2019</v>
      </c>
      <c r="M44" s="30" t="s">
        <v>119</v>
      </c>
      <c r="N44" s="30">
        <v>2904000</v>
      </c>
      <c r="P44" s="30" t="s">
        <v>111</v>
      </c>
    </row>
    <row r="45" spans="1:19" s="30" customFormat="1" x14ac:dyDescent="0.25">
      <c r="A45" s="30" t="s">
        <v>118</v>
      </c>
      <c r="B45" s="30" t="s">
        <v>117</v>
      </c>
      <c r="C45" s="30">
        <v>210</v>
      </c>
      <c r="D45" s="30" t="s">
        <v>116</v>
      </c>
      <c r="E45" s="30">
        <v>5910</v>
      </c>
      <c r="F45" s="30" t="s">
        <v>121</v>
      </c>
      <c r="G45" s="30">
        <v>1618</v>
      </c>
      <c r="H45" s="30" t="s">
        <v>124</v>
      </c>
      <c r="I45" s="30" t="s">
        <v>120</v>
      </c>
      <c r="J45" s="32">
        <f>N44</f>
        <v>2904000</v>
      </c>
      <c r="K45" s="30">
        <v>2019</v>
      </c>
      <c r="L45" s="30">
        <v>2019</v>
      </c>
      <c r="M45" s="30" t="s">
        <v>119</v>
      </c>
      <c r="N45" s="30">
        <v>2895334</v>
      </c>
      <c r="P45" s="30" t="s">
        <v>111</v>
      </c>
    </row>
    <row r="46" spans="1:19" s="30" customFormat="1" x14ac:dyDescent="0.25">
      <c r="A46" s="30" t="s">
        <v>118</v>
      </c>
      <c r="B46" s="30" t="s">
        <v>117</v>
      </c>
      <c r="C46" s="30">
        <v>210</v>
      </c>
      <c r="D46" s="30" t="s">
        <v>116</v>
      </c>
      <c r="E46" s="30">
        <v>5922</v>
      </c>
      <c r="F46" s="30" t="s">
        <v>115</v>
      </c>
      <c r="G46" s="30">
        <v>1618</v>
      </c>
      <c r="H46" s="30" t="s">
        <v>124</v>
      </c>
      <c r="I46" s="30" t="s">
        <v>113</v>
      </c>
      <c r="J46" s="31">
        <f>N45</f>
        <v>2895334</v>
      </c>
      <c r="K46" s="30">
        <v>2019</v>
      </c>
      <c r="L46" s="30">
        <v>2019</v>
      </c>
      <c r="M46" s="30" t="s">
        <v>112</v>
      </c>
      <c r="N46" s="30">
        <v>2832591</v>
      </c>
      <c r="P46" s="30" t="s">
        <v>111</v>
      </c>
    </row>
    <row r="47" spans="1:19" x14ac:dyDescent="0.25">
      <c r="A47" t="s">
        <v>118</v>
      </c>
      <c r="B47" t="s">
        <v>117</v>
      </c>
      <c r="C47">
        <v>210</v>
      </c>
      <c r="D47" t="s">
        <v>116</v>
      </c>
      <c r="E47">
        <v>5510</v>
      </c>
      <c r="F47" t="s">
        <v>24</v>
      </c>
      <c r="G47">
        <v>1621</v>
      </c>
      <c r="H47" t="s">
        <v>123</v>
      </c>
      <c r="I47" t="s">
        <v>122</v>
      </c>
      <c r="J47" s="27">
        <f>N49/N48*9*1000</f>
        <v>10053.860026031456</v>
      </c>
      <c r="K47">
        <v>2019</v>
      </c>
      <c r="L47">
        <v>2019</v>
      </c>
      <c r="M47" t="s">
        <v>119</v>
      </c>
      <c r="N47">
        <v>930000</v>
      </c>
      <c r="P47" t="s">
        <v>111</v>
      </c>
    </row>
    <row r="48" spans="1:19" x14ac:dyDescent="0.25">
      <c r="A48" t="s">
        <v>118</v>
      </c>
      <c r="B48" t="s">
        <v>117</v>
      </c>
      <c r="C48">
        <v>210</v>
      </c>
      <c r="D48" t="s">
        <v>116</v>
      </c>
      <c r="E48">
        <v>5910</v>
      </c>
      <c r="F48" t="s">
        <v>121</v>
      </c>
      <c r="G48">
        <v>1621</v>
      </c>
      <c r="H48" t="s">
        <v>123</v>
      </c>
      <c r="I48" t="s">
        <v>120</v>
      </c>
      <c r="J48" s="27">
        <f>N47</f>
        <v>930000</v>
      </c>
      <c r="K48">
        <v>2019</v>
      </c>
      <c r="L48">
        <v>2019</v>
      </c>
      <c r="M48" t="s">
        <v>119</v>
      </c>
      <c r="N48">
        <v>956535</v>
      </c>
      <c r="P48" t="s">
        <v>111</v>
      </c>
    </row>
    <row r="49" spans="1:16" x14ac:dyDescent="0.25">
      <c r="A49" t="s">
        <v>118</v>
      </c>
      <c r="B49" t="s">
        <v>117</v>
      </c>
      <c r="C49">
        <v>210</v>
      </c>
      <c r="D49" t="s">
        <v>116</v>
      </c>
      <c r="E49">
        <v>5922</v>
      </c>
      <c r="F49" t="s">
        <v>115</v>
      </c>
      <c r="G49">
        <v>1621</v>
      </c>
      <c r="H49" t="s">
        <v>123</v>
      </c>
      <c r="I49" t="s">
        <v>113</v>
      </c>
      <c r="J49" s="27">
        <f>N48</f>
        <v>956535</v>
      </c>
      <c r="K49">
        <v>2019</v>
      </c>
      <c r="L49">
        <v>2019</v>
      </c>
      <c r="M49" t="s">
        <v>112</v>
      </c>
      <c r="N49">
        <v>1068541</v>
      </c>
      <c r="P49" t="s">
        <v>111</v>
      </c>
    </row>
    <row r="50" spans="1:16" s="30" customFormat="1" x14ac:dyDescent="0.25">
      <c r="A50" s="30" t="s">
        <v>118</v>
      </c>
      <c r="B50" s="30" t="s">
        <v>117</v>
      </c>
      <c r="C50" s="30">
        <v>210</v>
      </c>
      <c r="D50" s="30" t="s">
        <v>116</v>
      </c>
      <c r="E50" s="30">
        <v>5510</v>
      </c>
      <c r="F50" s="30" t="s">
        <v>24</v>
      </c>
      <c r="G50" s="30">
        <v>1622</v>
      </c>
      <c r="H50" s="30" t="s">
        <v>114</v>
      </c>
      <c r="I50" s="30" t="s">
        <v>122</v>
      </c>
      <c r="J50" s="32">
        <f>N52/N51*9*1000</f>
        <v>7171.4059067610442</v>
      </c>
      <c r="K50" s="30">
        <v>2019</v>
      </c>
      <c r="L50" s="30">
        <v>2019</v>
      </c>
      <c r="M50" s="30" t="s">
        <v>119</v>
      </c>
      <c r="N50" s="30">
        <v>49164</v>
      </c>
      <c r="P50" s="30" t="s">
        <v>111</v>
      </c>
    </row>
    <row r="51" spans="1:16" s="30" customFormat="1" x14ac:dyDescent="0.25">
      <c r="A51" s="30" t="s">
        <v>118</v>
      </c>
      <c r="B51" s="30" t="s">
        <v>117</v>
      </c>
      <c r="C51" s="30">
        <v>210</v>
      </c>
      <c r="D51" s="30" t="s">
        <v>116</v>
      </c>
      <c r="E51" s="30">
        <v>5910</v>
      </c>
      <c r="F51" s="30" t="s">
        <v>121</v>
      </c>
      <c r="G51" s="30">
        <v>1622</v>
      </c>
      <c r="H51" s="30" t="s">
        <v>114</v>
      </c>
      <c r="I51" s="30" t="s">
        <v>120</v>
      </c>
      <c r="J51" s="32">
        <f>N50</f>
        <v>49164</v>
      </c>
      <c r="K51" s="30">
        <v>2019</v>
      </c>
      <c r="L51" s="30">
        <v>2019</v>
      </c>
      <c r="M51" s="30" t="s">
        <v>119</v>
      </c>
      <c r="N51" s="30">
        <v>49164</v>
      </c>
      <c r="P51" s="30" t="s">
        <v>111</v>
      </c>
    </row>
    <row r="52" spans="1:16" s="30" customFormat="1" x14ac:dyDescent="0.25">
      <c r="A52" s="30" t="s">
        <v>118</v>
      </c>
      <c r="B52" s="30" t="s">
        <v>117</v>
      </c>
      <c r="C52" s="30">
        <v>210</v>
      </c>
      <c r="D52" s="30" t="s">
        <v>116</v>
      </c>
      <c r="E52" s="30">
        <v>5922</v>
      </c>
      <c r="F52" s="30" t="s">
        <v>115</v>
      </c>
      <c r="G52" s="30">
        <v>1622</v>
      </c>
      <c r="H52" s="30" t="s">
        <v>114</v>
      </c>
      <c r="I52" s="30" t="s">
        <v>113</v>
      </c>
      <c r="J52" s="31">
        <f>N51</f>
        <v>49164</v>
      </c>
      <c r="K52" s="30">
        <v>2019</v>
      </c>
      <c r="L52" s="30">
        <v>2019</v>
      </c>
      <c r="M52" s="30" t="s">
        <v>112</v>
      </c>
      <c r="N52" s="30">
        <v>39175</v>
      </c>
      <c r="P52" s="30" t="s">
        <v>111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Z36"/>
  <sheetViews>
    <sheetView workbookViewId="0">
      <selection activeCell="B8" sqref="B8"/>
    </sheetView>
  </sheetViews>
  <sheetFormatPr defaultRowHeight="15" x14ac:dyDescent="0.25"/>
  <cols>
    <col min="1" max="1" width="20.5703125" customWidth="1"/>
    <col min="2" max="2" width="11.140625" bestFit="1" customWidth="1"/>
    <col min="3" max="9" width="13" customWidth="1"/>
    <col min="10" max="22" width="11.140625" customWidth="1"/>
    <col min="23" max="26" width="12.85546875" customWidth="1"/>
  </cols>
  <sheetData>
    <row r="2" spans="1:26" x14ac:dyDescent="0.25">
      <c r="A2" s="28" t="s">
        <v>308</v>
      </c>
    </row>
    <row r="3" spans="1:26" x14ac:dyDescent="0.25">
      <c r="A3" s="28" t="s">
        <v>306</v>
      </c>
      <c r="B3" t="s">
        <v>309</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row>
    <row r="4" spans="1:26" x14ac:dyDescent="0.25">
      <c r="A4" s="28" t="s">
        <v>307</v>
      </c>
      <c r="C4">
        <v>5</v>
      </c>
      <c r="D4">
        <v>5</v>
      </c>
      <c r="E4">
        <v>5</v>
      </c>
      <c r="F4">
        <v>5</v>
      </c>
      <c r="G4">
        <v>5</v>
      </c>
      <c r="H4">
        <v>5</v>
      </c>
      <c r="I4">
        <v>5</v>
      </c>
      <c r="J4">
        <v>5</v>
      </c>
      <c r="K4">
        <v>5</v>
      </c>
      <c r="L4">
        <v>5</v>
      </c>
      <c r="M4">
        <v>5</v>
      </c>
      <c r="N4">
        <v>5</v>
      </c>
      <c r="O4">
        <v>5</v>
      </c>
      <c r="P4">
        <v>5</v>
      </c>
      <c r="Q4">
        <v>5</v>
      </c>
      <c r="R4">
        <v>5</v>
      </c>
      <c r="S4">
        <v>5</v>
      </c>
      <c r="T4">
        <v>5</v>
      </c>
      <c r="U4">
        <v>5</v>
      </c>
      <c r="V4">
        <v>5</v>
      </c>
      <c r="W4">
        <v>5</v>
      </c>
      <c r="X4">
        <v>5</v>
      </c>
      <c r="Y4">
        <v>5</v>
      </c>
      <c r="Z4">
        <v>5</v>
      </c>
    </row>
    <row r="5" spans="1:26" x14ac:dyDescent="0.25">
      <c r="A5" t="s">
        <v>152</v>
      </c>
      <c r="B5" s="27">
        <v>18630000</v>
      </c>
      <c r="C5" s="27">
        <f>B5</f>
        <v>18630000</v>
      </c>
      <c r="D5" s="27">
        <f>C5*(1+ScenAssump!$D$4*D$4)</f>
        <v>18816300</v>
      </c>
      <c r="E5" s="27">
        <f>D5*(1+ScenAssump!$D$4*E$4)</f>
        <v>19004463</v>
      </c>
      <c r="F5" s="27">
        <f>E5*(1+ScenAssump!$D$4*F$4)</f>
        <v>19194507.629999999</v>
      </c>
      <c r="G5" s="27">
        <f>F5*(1+ScenAssump!$D$4*G$4)</f>
        <v>19386452.706299998</v>
      </c>
      <c r="H5" s="27">
        <f>G5*(1+ScenAssump!$D$4*H$4)</f>
        <v>19580317.233362999</v>
      </c>
      <c r="I5" s="145">
        <f>H5</f>
        <v>19580317.233362999</v>
      </c>
      <c r="J5" s="145">
        <f t="shared" ref="J5:V6" si="0">I5</f>
        <v>19580317.233362999</v>
      </c>
      <c r="K5" s="145">
        <f t="shared" si="0"/>
        <v>19580317.233362999</v>
      </c>
      <c r="L5" s="145">
        <f t="shared" si="0"/>
        <v>19580317.233362999</v>
      </c>
      <c r="M5" s="145">
        <f t="shared" si="0"/>
        <v>19580317.233362999</v>
      </c>
      <c r="N5" s="145">
        <f t="shared" si="0"/>
        <v>19580317.233362999</v>
      </c>
      <c r="O5" s="145">
        <f t="shared" si="0"/>
        <v>19580317.233362999</v>
      </c>
      <c r="P5" s="145">
        <f t="shared" si="0"/>
        <v>19580317.233362999</v>
      </c>
      <c r="Q5" s="145">
        <f t="shared" si="0"/>
        <v>19580317.233362999</v>
      </c>
      <c r="R5" s="145">
        <f t="shared" si="0"/>
        <v>19580317.233362999</v>
      </c>
      <c r="S5" s="145">
        <f t="shared" si="0"/>
        <v>19580317.233362999</v>
      </c>
      <c r="T5" s="145">
        <f t="shared" si="0"/>
        <v>19580317.233362999</v>
      </c>
      <c r="U5" s="145">
        <f t="shared" si="0"/>
        <v>19580317.233362999</v>
      </c>
      <c r="V5" s="145">
        <f t="shared" si="0"/>
        <v>19580317.233362999</v>
      </c>
      <c r="W5" s="145">
        <f t="shared" ref="W5:Z6" si="1">V5</f>
        <v>19580317.233362999</v>
      </c>
      <c r="X5" s="145">
        <f t="shared" si="1"/>
        <v>19580317.233362999</v>
      </c>
      <c r="Y5" s="145">
        <f t="shared" si="1"/>
        <v>19580317.233362999</v>
      </c>
      <c r="Z5" s="145">
        <f t="shared" si="1"/>
        <v>19580317.233362999</v>
      </c>
    </row>
    <row r="6" spans="1:26" x14ac:dyDescent="0.25">
      <c r="A6" t="s">
        <v>249</v>
      </c>
      <c r="B6" s="27">
        <f>ScenAssump!B18*1000000</f>
        <v>20250000</v>
      </c>
      <c r="C6" s="27">
        <f>ScenAssump!B18*1000000</f>
        <v>20250000</v>
      </c>
      <c r="D6" s="27">
        <f>ScenAssump!C18*1000000</f>
        <v>20250000</v>
      </c>
      <c r="E6" s="27">
        <f>ScenAssump!D18*1000000</f>
        <v>18000000</v>
      </c>
      <c r="F6" s="27">
        <f>ScenAssump!E18*1000000</f>
        <v>18750000</v>
      </c>
      <c r="G6" s="27">
        <f>ScenAssump!F18*1000000</f>
        <v>18000000</v>
      </c>
      <c r="H6" s="27">
        <f>ScenAssump!G18*1000000</f>
        <v>18750000</v>
      </c>
      <c r="I6" s="27">
        <f>ScenAssump!H18*1000000</f>
        <v>17250000</v>
      </c>
      <c r="J6" s="144">
        <f>I6</f>
        <v>17250000</v>
      </c>
      <c r="K6" s="144">
        <f t="shared" si="0"/>
        <v>17250000</v>
      </c>
      <c r="L6" s="144">
        <f t="shared" si="0"/>
        <v>17250000</v>
      </c>
      <c r="M6" s="144">
        <f t="shared" si="0"/>
        <v>17250000</v>
      </c>
      <c r="N6" s="144">
        <f t="shared" si="0"/>
        <v>17250000</v>
      </c>
      <c r="O6" s="144">
        <f t="shared" si="0"/>
        <v>17250000</v>
      </c>
      <c r="P6" s="144">
        <f t="shared" si="0"/>
        <v>17250000</v>
      </c>
      <c r="Q6" s="144">
        <f t="shared" si="0"/>
        <v>17250000</v>
      </c>
      <c r="R6" s="144">
        <f t="shared" si="0"/>
        <v>17250000</v>
      </c>
      <c r="S6" s="144">
        <f t="shared" si="0"/>
        <v>17250000</v>
      </c>
      <c r="T6" s="144">
        <f t="shared" si="0"/>
        <v>17250000</v>
      </c>
      <c r="U6" s="144">
        <f t="shared" si="0"/>
        <v>17250000</v>
      </c>
      <c r="V6" s="144">
        <f t="shared" si="0"/>
        <v>17250000</v>
      </c>
      <c r="W6" s="144">
        <f t="shared" si="1"/>
        <v>17250000</v>
      </c>
      <c r="X6" s="144">
        <f t="shared" si="1"/>
        <v>17250000</v>
      </c>
      <c r="Y6" s="144">
        <f t="shared" si="1"/>
        <v>17250000</v>
      </c>
      <c r="Z6" s="144">
        <f t="shared" si="1"/>
        <v>17250000</v>
      </c>
    </row>
    <row r="7" spans="1:26" x14ac:dyDescent="0.25">
      <c r="A7" t="s">
        <v>250</v>
      </c>
      <c r="B7" s="27">
        <f>ScenAssump!B19*1000000</f>
        <v>0</v>
      </c>
      <c r="C7" s="27">
        <f>ScenAssump!B19*1000000</f>
        <v>0</v>
      </c>
      <c r="D7" s="27">
        <f>ScenAssump!C19*1000000</f>
        <v>0</v>
      </c>
      <c r="E7" s="27">
        <f>ScenAssump!D19*1000000</f>
        <v>0</v>
      </c>
      <c r="F7" s="27">
        <f>ScenAssump!E19*1000000</f>
        <v>0</v>
      </c>
      <c r="G7" s="27">
        <f>ScenAssump!F19*1000000</f>
        <v>0</v>
      </c>
      <c r="H7" s="27">
        <f>ScenAssump!G19*1000000</f>
        <v>0</v>
      </c>
      <c r="I7" s="27">
        <f>ScenAssump!H19*1000000</f>
        <v>0</v>
      </c>
      <c r="J7" s="144">
        <f t="shared" ref="J7:Y8" si="2">I7</f>
        <v>0</v>
      </c>
      <c r="K7" s="144">
        <f t="shared" si="2"/>
        <v>0</v>
      </c>
      <c r="L7" s="144">
        <f t="shared" si="2"/>
        <v>0</v>
      </c>
      <c r="M7" s="144">
        <f t="shared" si="2"/>
        <v>0</v>
      </c>
      <c r="N7" s="144">
        <f t="shared" si="2"/>
        <v>0</v>
      </c>
      <c r="O7" s="144">
        <f t="shared" si="2"/>
        <v>0</v>
      </c>
      <c r="P7" s="144">
        <f t="shared" si="2"/>
        <v>0</v>
      </c>
      <c r="Q7" s="144">
        <f t="shared" si="2"/>
        <v>0</v>
      </c>
      <c r="R7" s="144">
        <f t="shared" si="2"/>
        <v>0</v>
      </c>
      <c r="S7" s="144">
        <f t="shared" si="2"/>
        <v>0</v>
      </c>
      <c r="T7" s="144">
        <f t="shared" si="2"/>
        <v>0</v>
      </c>
      <c r="U7" s="144">
        <f t="shared" si="2"/>
        <v>0</v>
      </c>
      <c r="V7" s="144">
        <f t="shared" si="2"/>
        <v>0</v>
      </c>
      <c r="W7" s="144">
        <f t="shared" si="2"/>
        <v>0</v>
      </c>
      <c r="X7" s="144">
        <f t="shared" si="2"/>
        <v>0</v>
      </c>
      <c r="Y7" s="144">
        <f t="shared" si="2"/>
        <v>0</v>
      </c>
      <c r="Z7" s="144">
        <f>Y7</f>
        <v>0</v>
      </c>
    </row>
    <row r="8" spans="1:26" x14ac:dyDescent="0.25">
      <c r="A8" t="s">
        <v>422</v>
      </c>
      <c r="B8" s="27">
        <f>ScenAssump!B20*1000000</f>
        <v>0</v>
      </c>
      <c r="C8" s="27">
        <f>ScenAssump!B20*1000000</f>
        <v>0</v>
      </c>
      <c r="D8" s="27">
        <f>ScenAssump!C20*1000000</f>
        <v>0</v>
      </c>
      <c r="E8" s="27">
        <f>ScenAssump!D20*1000000</f>
        <v>0</v>
      </c>
      <c r="F8" s="27">
        <f>ScenAssump!E20*1000000</f>
        <v>0</v>
      </c>
      <c r="G8" s="27">
        <f>ScenAssump!F20*1000000</f>
        <v>0</v>
      </c>
      <c r="H8" s="27">
        <f>ScenAssump!G20*1000000</f>
        <v>0</v>
      </c>
      <c r="I8" s="27">
        <f>ScenAssump!H20*1000000</f>
        <v>0</v>
      </c>
      <c r="J8" s="144">
        <f t="shared" si="2"/>
        <v>0</v>
      </c>
      <c r="K8" s="144">
        <f t="shared" ref="K8:Y8" si="3">J8</f>
        <v>0</v>
      </c>
      <c r="L8" s="144">
        <f t="shared" si="3"/>
        <v>0</v>
      </c>
      <c r="M8" s="144">
        <f t="shared" si="3"/>
        <v>0</v>
      </c>
      <c r="N8" s="144">
        <f t="shared" si="3"/>
        <v>0</v>
      </c>
      <c r="O8" s="144">
        <f t="shared" si="3"/>
        <v>0</v>
      </c>
      <c r="P8" s="144">
        <f t="shared" si="3"/>
        <v>0</v>
      </c>
      <c r="Q8" s="144">
        <f t="shared" si="3"/>
        <v>0</v>
      </c>
      <c r="R8" s="144">
        <f t="shared" si="3"/>
        <v>0</v>
      </c>
      <c r="S8" s="144">
        <f t="shared" si="3"/>
        <v>0</v>
      </c>
      <c r="T8" s="144">
        <f t="shared" si="3"/>
        <v>0</v>
      </c>
      <c r="U8" s="144">
        <f t="shared" si="3"/>
        <v>0</v>
      </c>
      <c r="V8" s="144">
        <f t="shared" si="3"/>
        <v>0</v>
      </c>
      <c r="W8" s="144">
        <f t="shared" si="3"/>
        <v>0</v>
      </c>
      <c r="X8" s="144">
        <f t="shared" si="3"/>
        <v>0</v>
      </c>
      <c r="Y8" s="144">
        <f t="shared" si="3"/>
        <v>0</v>
      </c>
      <c r="Z8" s="144">
        <f>Y8</f>
        <v>0</v>
      </c>
    </row>
    <row r="9" spans="1:26" x14ac:dyDescent="0.25">
      <c r="A9" t="s">
        <v>143</v>
      </c>
      <c r="B9" s="99">
        <v>3290524</v>
      </c>
      <c r="C9" s="27">
        <f t="shared" ref="C9:C15" si="4">B9</f>
        <v>3290524</v>
      </c>
      <c r="D9" s="27">
        <f>C9*(1+ScenAssump!$I$7*D$4)</f>
        <v>3435447.0888858577</v>
      </c>
      <c r="E9" s="27">
        <f>D9*(1+ScenAssump!$I$7*E$4)</f>
        <v>3586752.9610889675</v>
      </c>
      <c r="F9" s="27">
        <f>E9*(1+ScenAssump!$I$7*F$4)</f>
        <v>3744722.7307036277</v>
      </c>
      <c r="G9" s="27">
        <f>F9*(1+ScenAssump!$I$7*G$4)</f>
        <v>3909649.8928074911</v>
      </c>
      <c r="H9" s="27">
        <f>G9*(1+ScenAssump!$I$7*H$4)</f>
        <v>4081840.8687517252</v>
      </c>
      <c r="I9" s="145">
        <f t="shared" ref="I9:V15" si="5">H9</f>
        <v>4081840.8687517252</v>
      </c>
      <c r="J9" s="145">
        <f t="shared" si="5"/>
        <v>4081840.8687517252</v>
      </c>
      <c r="K9" s="145">
        <f t="shared" si="5"/>
        <v>4081840.8687517252</v>
      </c>
      <c r="L9" s="145">
        <f t="shared" si="5"/>
        <v>4081840.8687517252</v>
      </c>
      <c r="M9" s="145">
        <f t="shared" si="5"/>
        <v>4081840.8687517252</v>
      </c>
      <c r="N9" s="145">
        <f t="shared" si="5"/>
        <v>4081840.8687517252</v>
      </c>
      <c r="O9" s="145">
        <f t="shared" si="5"/>
        <v>4081840.8687517252</v>
      </c>
      <c r="P9" s="145">
        <f t="shared" si="5"/>
        <v>4081840.8687517252</v>
      </c>
      <c r="Q9" s="145">
        <f t="shared" si="5"/>
        <v>4081840.8687517252</v>
      </c>
      <c r="R9" s="145">
        <f t="shared" si="5"/>
        <v>4081840.8687517252</v>
      </c>
      <c r="S9" s="145">
        <f t="shared" si="5"/>
        <v>4081840.8687517252</v>
      </c>
      <c r="T9" s="145">
        <f t="shared" si="5"/>
        <v>4081840.8687517252</v>
      </c>
      <c r="U9" s="145">
        <f t="shared" si="5"/>
        <v>4081840.8687517252</v>
      </c>
      <c r="V9" s="145">
        <f t="shared" si="5"/>
        <v>4081840.8687517252</v>
      </c>
      <c r="W9" s="145">
        <f t="shared" ref="W9:W15" si="6">V9</f>
        <v>4081840.8687517252</v>
      </c>
      <c r="X9" s="145">
        <f t="shared" ref="X9:X15" si="7">W9</f>
        <v>4081840.8687517252</v>
      </c>
      <c r="Y9" s="145">
        <f t="shared" ref="Y9:Y15" si="8">X9</f>
        <v>4081840.8687517252</v>
      </c>
      <c r="Z9" s="145">
        <f t="shared" ref="Z9:Z15" si="9">Y9</f>
        <v>4081840.8687517252</v>
      </c>
    </row>
    <row r="10" spans="1:26" x14ac:dyDescent="0.25">
      <c r="A10" t="s">
        <v>149</v>
      </c>
      <c r="B10" s="101">
        <v>409948</v>
      </c>
      <c r="C10" s="27">
        <f t="shared" si="4"/>
        <v>409948</v>
      </c>
      <c r="D10" s="27">
        <f>C10*(1+ScenAssump!$I$6*D$4)</f>
        <v>403929.61402838596</v>
      </c>
      <c r="E10" s="27">
        <f>D10*(1+ScenAssump!$I$6*E$4)</f>
        <v>397999.58309132099</v>
      </c>
      <c r="F10" s="27">
        <f>E10*(1+ScenAssump!$I$6*F$4)</f>
        <v>392156.61006160732</v>
      </c>
      <c r="G10" s="27">
        <f>F10*(1+ScenAssump!$I$6*G$4)</f>
        <v>386399.41685497988</v>
      </c>
      <c r="H10" s="27">
        <f>G10*(1+ScenAssump!$I$6*H$4)</f>
        <v>380726.74415053963</v>
      </c>
      <c r="I10" s="145">
        <f t="shared" si="5"/>
        <v>380726.74415053963</v>
      </c>
      <c r="J10" s="145">
        <f t="shared" si="5"/>
        <v>380726.74415053963</v>
      </c>
      <c r="K10" s="145">
        <f t="shared" si="5"/>
        <v>380726.74415053963</v>
      </c>
      <c r="L10" s="145">
        <f t="shared" si="5"/>
        <v>380726.74415053963</v>
      </c>
      <c r="M10" s="145">
        <f t="shared" si="5"/>
        <v>380726.74415053963</v>
      </c>
      <c r="N10" s="145">
        <f t="shared" si="5"/>
        <v>380726.74415053963</v>
      </c>
      <c r="O10" s="145">
        <f t="shared" si="5"/>
        <v>380726.74415053963</v>
      </c>
      <c r="P10" s="145">
        <f t="shared" si="5"/>
        <v>380726.74415053963</v>
      </c>
      <c r="Q10" s="145">
        <f t="shared" si="5"/>
        <v>380726.74415053963</v>
      </c>
      <c r="R10" s="145">
        <f t="shared" si="5"/>
        <v>380726.74415053963</v>
      </c>
      <c r="S10" s="145">
        <f t="shared" si="5"/>
        <v>380726.74415053963</v>
      </c>
      <c r="T10" s="145">
        <f t="shared" si="5"/>
        <v>380726.74415053963</v>
      </c>
      <c r="U10" s="145">
        <f t="shared" si="5"/>
        <v>380726.74415053963</v>
      </c>
      <c r="V10" s="145">
        <f t="shared" si="5"/>
        <v>380726.74415053963</v>
      </c>
      <c r="W10" s="145">
        <f t="shared" si="6"/>
        <v>380726.74415053963</v>
      </c>
      <c r="X10" s="145">
        <f t="shared" si="7"/>
        <v>380726.74415053963</v>
      </c>
      <c r="Y10" s="145">
        <f t="shared" si="8"/>
        <v>380726.74415053963</v>
      </c>
      <c r="Z10" s="145">
        <f t="shared" si="9"/>
        <v>380726.74415053963</v>
      </c>
    </row>
    <row r="11" spans="1:26" x14ac:dyDescent="0.25">
      <c r="A11" t="s">
        <v>140</v>
      </c>
      <c r="B11" s="99">
        <v>336337</v>
      </c>
      <c r="C11" s="27">
        <f t="shared" si="4"/>
        <v>336337</v>
      </c>
      <c r="D11" s="27">
        <f>C11*(1+ScenAssump!$I$7*D$4)</f>
        <v>351150.14129500429</v>
      </c>
      <c r="E11" s="27">
        <f>D11*(1+ScenAssump!$I$7*E$4)</f>
        <v>366615.69120109139</v>
      </c>
      <c r="F11" s="27">
        <f>E11*(1+ScenAssump!$I$7*F$4)</f>
        <v>382762.38346131681</v>
      </c>
      <c r="G11" s="27">
        <f>F11*(1+ScenAssump!$I$7*G$4)</f>
        <v>399620.21732623532</v>
      </c>
      <c r="H11" s="27">
        <f>G11*(1+ScenAssump!$I$7*H$4)</f>
        <v>417220.51329008659</v>
      </c>
      <c r="I11" s="145">
        <f t="shared" si="5"/>
        <v>417220.51329008659</v>
      </c>
      <c r="J11" s="145">
        <f t="shared" si="5"/>
        <v>417220.51329008659</v>
      </c>
      <c r="K11" s="145">
        <f t="shared" si="5"/>
        <v>417220.51329008659</v>
      </c>
      <c r="L11" s="145">
        <f t="shared" si="5"/>
        <v>417220.51329008659</v>
      </c>
      <c r="M11" s="145">
        <f t="shared" si="5"/>
        <v>417220.51329008659</v>
      </c>
      <c r="N11" s="145">
        <f t="shared" si="5"/>
        <v>417220.51329008659</v>
      </c>
      <c r="O11" s="145">
        <f t="shared" si="5"/>
        <v>417220.51329008659</v>
      </c>
      <c r="P11" s="145">
        <f t="shared" si="5"/>
        <v>417220.51329008659</v>
      </c>
      <c r="Q11" s="145">
        <f t="shared" si="5"/>
        <v>417220.51329008659</v>
      </c>
      <c r="R11" s="145">
        <f t="shared" si="5"/>
        <v>417220.51329008659</v>
      </c>
      <c r="S11" s="145">
        <f t="shared" si="5"/>
        <v>417220.51329008659</v>
      </c>
      <c r="T11" s="145">
        <f t="shared" si="5"/>
        <v>417220.51329008659</v>
      </c>
      <c r="U11" s="145">
        <f t="shared" si="5"/>
        <v>417220.51329008659</v>
      </c>
      <c r="V11" s="145">
        <f t="shared" si="5"/>
        <v>417220.51329008659</v>
      </c>
      <c r="W11" s="145">
        <f t="shared" si="6"/>
        <v>417220.51329008659</v>
      </c>
      <c r="X11" s="145">
        <f t="shared" si="7"/>
        <v>417220.51329008659</v>
      </c>
      <c r="Y11" s="145">
        <f t="shared" si="8"/>
        <v>417220.51329008659</v>
      </c>
      <c r="Z11" s="145">
        <f t="shared" si="9"/>
        <v>417220.51329008659</v>
      </c>
    </row>
    <row r="12" spans="1:26" x14ac:dyDescent="0.25">
      <c r="A12" t="s">
        <v>129</v>
      </c>
      <c r="B12" s="99">
        <v>6362000</v>
      </c>
      <c r="C12" s="27">
        <f t="shared" si="4"/>
        <v>6362000</v>
      </c>
      <c r="D12" s="27">
        <f>C12*(1+ScenAssump!$I$7*D$4)</f>
        <v>6642198.7438753909</v>
      </c>
      <c r="E12" s="27">
        <f>D12*(1+ScenAssump!$I$7*E$4)</f>
        <v>6934738.1567337029</v>
      </c>
      <c r="F12" s="27">
        <f>E12*(1+ScenAssump!$I$7*F$4)</f>
        <v>7240161.7531847442</v>
      </c>
      <c r="G12" s="27">
        <f>F12*(1+ScenAssump!$I$7*G$4)</f>
        <v>7559036.9856111845</v>
      </c>
      <c r="H12" s="27">
        <f>G12*(1+ScenAssump!$I$7*H$4)</f>
        <v>7891956.2984492658</v>
      </c>
      <c r="I12" s="145">
        <f t="shared" si="5"/>
        <v>7891956.2984492658</v>
      </c>
      <c r="J12" s="145">
        <f t="shared" si="5"/>
        <v>7891956.2984492658</v>
      </c>
      <c r="K12" s="145">
        <f t="shared" si="5"/>
        <v>7891956.2984492658</v>
      </c>
      <c r="L12" s="145">
        <f t="shared" si="5"/>
        <v>7891956.2984492658</v>
      </c>
      <c r="M12" s="145">
        <f t="shared" si="5"/>
        <v>7891956.2984492658</v>
      </c>
      <c r="N12" s="145">
        <f t="shared" si="5"/>
        <v>7891956.2984492658</v>
      </c>
      <c r="O12" s="145">
        <f t="shared" si="5"/>
        <v>7891956.2984492658</v>
      </c>
      <c r="P12" s="145">
        <f t="shared" si="5"/>
        <v>7891956.2984492658</v>
      </c>
      <c r="Q12" s="145">
        <f t="shared" si="5"/>
        <v>7891956.2984492658</v>
      </c>
      <c r="R12" s="145">
        <f t="shared" si="5"/>
        <v>7891956.2984492658</v>
      </c>
      <c r="S12" s="145">
        <f t="shared" si="5"/>
        <v>7891956.2984492658</v>
      </c>
      <c r="T12" s="145">
        <f t="shared" si="5"/>
        <v>7891956.2984492658</v>
      </c>
      <c r="U12" s="145">
        <f t="shared" si="5"/>
        <v>7891956.2984492658</v>
      </c>
      <c r="V12" s="145">
        <f t="shared" si="5"/>
        <v>7891956.2984492658</v>
      </c>
      <c r="W12" s="145">
        <f t="shared" si="6"/>
        <v>7891956.2984492658</v>
      </c>
      <c r="X12" s="145">
        <f t="shared" si="7"/>
        <v>7891956.2984492658</v>
      </c>
      <c r="Y12" s="145">
        <f t="shared" si="8"/>
        <v>7891956.2984492658</v>
      </c>
      <c r="Z12" s="145">
        <f t="shared" si="9"/>
        <v>7891956.2984492658</v>
      </c>
    </row>
    <row r="13" spans="1:26" x14ac:dyDescent="0.25">
      <c r="A13" t="s">
        <v>134</v>
      </c>
      <c r="B13" s="99">
        <v>462869</v>
      </c>
      <c r="C13" s="27">
        <f t="shared" si="4"/>
        <v>462869</v>
      </c>
      <c r="D13" s="27">
        <f>C13*(1+ScenAssump!$I$7*D$4)</f>
        <v>483254.93404257437</v>
      </c>
      <c r="E13" s="27">
        <f>D13*(1+ScenAssump!$I$7*E$4)</f>
        <v>504538.71673517325</v>
      </c>
      <c r="F13" s="27">
        <f>E13*(1+ScenAssump!$I$7*F$4)</f>
        <v>526759.89162761229</v>
      </c>
      <c r="G13" s="27">
        <f>F13*(1+ScenAssump!$I$7*G$4)</f>
        <v>549959.7438687305</v>
      </c>
      <c r="H13" s="27">
        <f>G13*(1+ScenAssump!$I$7*H$4)</f>
        <v>574181.37691086344</v>
      </c>
      <c r="I13" s="145">
        <f t="shared" si="5"/>
        <v>574181.37691086344</v>
      </c>
      <c r="J13" s="145">
        <f t="shared" si="5"/>
        <v>574181.37691086344</v>
      </c>
      <c r="K13" s="145">
        <f t="shared" si="5"/>
        <v>574181.37691086344</v>
      </c>
      <c r="L13" s="145">
        <f t="shared" si="5"/>
        <v>574181.37691086344</v>
      </c>
      <c r="M13" s="145">
        <f t="shared" si="5"/>
        <v>574181.37691086344</v>
      </c>
      <c r="N13" s="145">
        <f t="shared" si="5"/>
        <v>574181.37691086344</v>
      </c>
      <c r="O13" s="145">
        <f t="shared" si="5"/>
        <v>574181.37691086344</v>
      </c>
      <c r="P13" s="145">
        <f t="shared" si="5"/>
        <v>574181.37691086344</v>
      </c>
      <c r="Q13" s="145">
        <f t="shared" si="5"/>
        <v>574181.37691086344</v>
      </c>
      <c r="R13" s="145">
        <f t="shared" si="5"/>
        <v>574181.37691086344</v>
      </c>
      <c r="S13" s="145">
        <f t="shared" si="5"/>
        <v>574181.37691086344</v>
      </c>
      <c r="T13" s="145">
        <f t="shared" si="5"/>
        <v>574181.37691086344</v>
      </c>
      <c r="U13" s="145">
        <f t="shared" si="5"/>
        <v>574181.37691086344</v>
      </c>
      <c r="V13" s="145">
        <f t="shared" si="5"/>
        <v>574181.37691086344</v>
      </c>
      <c r="W13" s="145">
        <f t="shared" si="6"/>
        <v>574181.37691086344</v>
      </c>
      <c r="X13" s="145">
        <f t="shared" si="7"/>
        <v>574181.37691086344</v>
      </c>
      <c r="Y13" s="145">
        <f t="shared" si="8"/>
        <v>574181.37691086344</v>
      </c>
      <c r="Z13" s="145">
        <f t="shared" si="9"/>
        <v>574181.37691086344</v>
      </c>
    </row>
    <row r="14" spans="1:26" x14ac:dyDescent="0.25">
      <c r="A14" t="s">
        <v>136</v>
      </c>
      <c r="B14" s="101">
        <v>1372303</v>
      </c>
      <c r="C14" s="27">
        <f t="shared" si="4"/>
        <v>1372303</v>
      </c>
      <c r="D14" s="27">
        <f>C14*(1+ScenAssump!$I$6*D$4)</f>
        <v>1352156.4225706579</v>
      </c>
      <c r="E14" s="27">
        <f>D14*(1+ScenAssump!$I$6*E$4)</f>
        <v>1332305.6140656108</v>
      </c>
      <c r="F14" s="27">
        <f>E14*(1+ScenAssump!$I$6*F$4)</f>
        <v>1312746.2323450143</v>
      </c>
      <c r="G14" s="27">
        <f>F14*(1+ScenAssump!$I$6*G$4)</f>
        <v>1293473.9990153373</v>
      </c>
      <c r="H14" s="27">
        <f>G14*(1+ScenAssump!$I$6*H$4)</f>
        <v>1274484.6984935116</v>
      </c>
      <c r="I14" s="145">
        <f t="shared" si="5"/>
        <v>1274484.6984935116</v>
      </c>
      <c r="J14" s="145">
        <f t="shared" si="5"/>
        <v>1274484.6984935116</v>
      </c>
      <c r="K14" s="145">
        <f t="shared" si="5"/>
        <v>1274484.6984935116</v>
      </c>
      <c r="L14" s="145">
        <f t="shared" si="5"/>
        <v>1274484.6984935116</v>
      </c>
      <c r="M14" s="145">
        <f t="shared" si="5"/>
        <v>1274484.6984935116</v>
      </c>
      <c r="N14" s="145">
        <f t="shared" si="5"/>
        <v>1274484.6984935116</v>
      </c>
      <c r="O14" s="145">
        <f t="shared" si="5"/>
        <v>1274484.6984935116</v>
      </c>
      <c r="P14" s="145">
        <f t="shared" si="5"/>
        <v>1274484.6984935116</v>
      </c>
      <c r="Q14" s="145">
        <f t="shared" si="5"/>
        <v>1274484.6984935116</v>
      </c>
      <c r="R14" s="145">
        <f t="shared" si="5"/>
        <v>1274484.6984935116</v>
      </c>
      <c r="S14" s="145">
        <f t="shared" si="5"/>
        <v>1274484.6984935116</v>
      </c>
      <c r="T14" s="145">
        <f t="shared" si="5"/>
        <v>1274484.6984935116</v>
      </c>
      <c r="U14" s="145">
        <f t="shared" si="5"/>
        <v>1274484.6984935116</v>
      </c>
      <c r="V14" s="145">
        <f t="shared" si="5"/>
        <v>1274484.6984935116</v>
      </c>
      <c r="W14" s="145">
        <f t="shared" si="6"/>
        <v>1274484.6984935116</v>
      </c>
      <c r="X14" s="145">
        <f t="shared" si="7"/>
        <v>1274484.6984935116</v>
      </c>
      <c r="Y14" s="145">
        <f t="shared" si="8"/>
        <v>1274484.6984935116</v>
      </c>
      <c r="Z14" s="145">
        <f t="shared" si="9"/>
        <v>1274484.6984935116</v>
      </c>
    </row>
    <row r="15" spans="1:26" x14ac:dyDescent="0.25">
      <c r="A15" t="s">
        <v>138</v>
      </c>
      <c r="B15" s="100">
        <v>889000</v>
      </c>
      <c r="C15" s="27">
        <f t="shared" si="4"/>
        <v>889000</v>
      </c>
      <c r="D15" s="27">
        <f>C15*(1+ScenAssump!$I$5*D$4)</f>
        <v>862897.4449014751</v>
      </c>
      <c r="E15" s="27">
        <f>D15*(1+ScenAssump!$I$5*E$4)</f>
        <v>837561.30530651775</v>
      </c>
      <c r="F15" s="27">
        <f>E15*(1+ScenAssump!$I$5*F$4)</f>
        <v>812969.07794976211</v>
      </c>
      <c r="G15" s="27">
        <f>F15*(1+ScenAssump!$I$5*G$4)</f>
        <v>789098.92030006507</v>
      </c>
      <c r="H15" s="27">
        <f>G15*(1+ScenAssump!$I$5*H$4)</f>
        <v>765929.63116022374</v>
      </c>
      <c r="I15" s="145">
        <f t="shared" si="5"/>
        <v>765929.63116022374</v>
      </c>
      <c r="J15" s="145">
        <f t="shared" si="5"/>
        <v>765929.63116022374</v>
      </c>
      <c r="K15" s="145">
        <f t="shared" si="5"/>
        <v>765929.63116022374</v>
      </c>
      <c r="L15" s="145">
        <f t="shared" si="5"/>
        <v>765929.63116022374</v>
      </c>
      <c r="M15" s="145">
        <f t="shared" si="5"/>
        <v>765929.63116022374</v>
      </c>
      <c r="N15" s="145">
        <f t="shared" si="5"/>
        <v>765929.63116022374</v>
      </c>
      <c r="O15" s="145">
        <f t="shared" si="5"/>
        <v>765929.63116022374</v>
      </c>
      <c r="P15" s="145">
        <f t="shared" si="5"/>
        <v>765929.63116022374</v>
      </c>
      <c r="Q15" s="145">
        <f t="shared" si="5"/>
        <v>765929.63116022374</v>
      </c>
      <c r="R15" s="145">
        <f t="shared" si="5"/>
        <v>765929.63116022374</v>
      </c>
      <c r="S15" s="145">
        <f t="shared" si="5"/>
        <v>765929.63116022374</v>
      </c>
      <c r="T15" s="145">
        <f t="shared" si="5"/>
        <v>765929.63116022374</v>
      </c>
      <c r="U15" s="145">
        <f t="shared" si="5"/>
        <v>765929.63116022374</v>
      </c>
      <c r="V15" s="145">
        <f t="shared" si="5"/>
        <v>765929.63116022374</v>
      </c>
      <c r="W15" s="145">
        <f t="shared" si="6"/>
        <v>765929.63116022374</v>
      </c>
      <c r="X15" s="145">
        <f t="shared" si="7"/>
        <v>765929.63116022374</v>
      </c>
      <c r="Y15" s="145">
        <f t="shared" si="8"/>
        <v>765929.63116022374</v>
      </c>
      <c r="Z15" s="145">
        <f t="shared" si="9"/>
        <v>765929.63116022374</v>
      </c>
    </row>
    <row r="16" spans="1:26" x14ac:dyDescent="0.25">
      <c r="A16" t="s">
        <v>311</v>
      </c>
      <c r="B16" s="35">
        <f>SUM(B9:B15)</f>
        <v>13122981</v>
      </c>
      <c r="C16" s="35">
        <f t="shared" ref="C16:V16" si="10">SUM(C9:C15)</f>
        <v>13122981</v>
      </c>
      <c r="D16" s="35">
        <f t="shared" si="10"/>
        <v>13531034.389599347</v>
      </c>
      <c r="E16" s="35">
        <f>SUM(E9:E15)</f>
        <v>13960512.028222384</v>
      </c>
      <c r="F16" s="35">
        <f>SUM(F9:F15)</f>
        <v>14412278.679333685</v>
      </c>
      <c r="G16" s="35">
        <f>SUM(G9:G15)</f>
        <v>14887239.175784022</v>
      </c>
      <c r="H16" s="35">
        <f>SUM(H9:H15)</f>
        <v>15386340.131206216</v>
      </c>
      <c r="I16" s="145">
        <f t="shared" si="10"/>
        <v>15386340.131206216</v>
      </c>
      <c r="J16" s="145">
        <f t="shared" si="10"/>
        <v>15386340.131206216</v>
      </c>
      <c r="K16" s="145">
        <f t="shared" si="10"/>
        <v>15386340.131206216</v>
      </c>
      <c r="L16" s="145">
        <f t="shared" si="10"/>
        <v>15386340.131206216</v>
      </c>
      <c r="M16" s="145">
        <f t="shared" si="10"/>
        <v>15386340.131206216</v>
      </c>
      <c r="N16" s="145">
        <f t="shared" si="10"/>
        <v>15386340.131206216</v>
      </c>
      <c r="O16" s="145">
        <f t="shared" si="10"/>
        <v>15386340.131206216</v>
      </c>
      <c r="P16" s="145">
        <f t="shared" si="10"/>
        <v>15386340.131206216</v>
      </c>
      <c r="Q16" s="145">
        <f t="shared" si="10"/>
        <v>15386340.131206216</v>
      </c>
      <c r="R16" s="145">
        <f t="shared" si="10"/>
        <v>15386340.131206216</v>
      </c>
      <c r="S16" s="145">
        <f t="shared" si="10"/>
        <v>15386340.131206216</v>
      </c>
      <c r="T16" s="145">
        <f t="shared" si="10"/>
        <v>15386340.131206216</v>
      </c>
      <c r="U16" s="145">
        <f t="shared" si="10"/>
        <v>15386340.131206216</v>
      </c>
      <c r="V16" s="145">
        <f t="shared" si="10"/>
        <v>15386340.131206216</v>
      </c>
      <c r="W16" s="145">
        <f>SUM(W9:W15)</f>
        <v>15386340.131206216</v>
      </c>
      <c r="X16" s="145">
        <f>SUM(X9:X15)</f>
        <v>15386340.131206216</v>
      </c>
      <c r="Y16" s="145">
        <f>SUM(Y9:Y15)</f>
        <v>15386340.131206216</v>
      </c>
      <c r="Z16" s="145">
        <f>SUM(Z9:Z15)</f>
        <v>15386340.131206216</v>
      </c>
    </row>
    <row r="17" spans="1:26" x14ac:dyDescent="0.25">
      <c r="A17" t="s">
        <v>312</v>
      </c>
      <c r="B17" s="27">
        <f>SUM(B5:B15)</f>
        <v>52002981</v>
      </c>
      <c r="C17" s="27">
        <f t="shared" ref="C17:V17" si="11">SUM(C5:C15)</f>
        <v>52002981</v>
      </c>
      <c r="D17" s="27">
        <f t="shared" si="11"/>
        <v>52597334.389599346</v>
      </c>
      <c r="E17" s="27">
        <f>SUM(E5:E15)</f>
        <v>50964975.02822239</v>
      </c>
      <c r="F17" s="27">
        <f>SUM(F5:F15)</f>
        <v>52356786.309333682</v>
      </c>
      <c r="G17" s="27">
        <f>SUM(G5:G15)</f>
        <v>52273691.882084027</v>
      </c>
      <c r="H17" s="27">
        <f>SUM(H5:H15)</f>
        <v>53716657.364569217</v>
      </c>
      <c r="I17" s="145">
        <f t="shared" si="11"/>
        <v>52216657.364569217</v>
      </c>
      <c r="J17" s="145">
        <f t="shared" si="11"/>
        <v>52216657.364569217</v>
      </c>
      <c r="K17" s="145">
        <f t="shared" si="11"/>
        <v>52216657.364569217</v>
      </c>
      <c r="L17" s="145">
        <f t="shared" si="11"/>
        <v>52216657.364569217</v>
      </c>
      <c r="M17" s="145">
        <f t="shared" si="11"/>
        <v>52216657.364569217</v>
      </c>
      <c r="N17" s="145">
        <f t="shared" si="11"/>
        <v>52216657.364569217</v>
      </c>
      <c r="O17" s="145">
        <f t="shared" si="11"/>
        <v>52216657.364569217</v>
      </c>
      <c r="P17" s="145">
        <f t="shared" si="11"/>
        <v>52216657.364569217</v>
      </c>
      <c r="Q17" s="145">
        <f t="shared" si="11"/>
        <v>52216657.364569217</v>
      </c>
      <c r="R17" s="145">
        <f t="shared" si="11"/>
        <v>52216657.364569217</v>
      </c>
      <c r="S17" s="145">
        <f t="shared" si="11"/>
        <v>52216657.364569217</v>
      </c>
      <c r="T17" s="145">
        <f t="shared" si="11"/>
        <v>52216657.364569217</v>
      </c>
      <c r="U17" s="145">
        <f t="shared" si="11"/>
        <v>52216657.364569217</v>
      </c>
      <c r="V17" s="145">
        <f t="shared" si="11"/>
        <v>52216657.364569217</v>
      </c>
      <c r="W17" s="145">
        <f>SUM(W5:W15)</f>
        <v>52216657.364569217</v>
      </c>
      <c r="X17" s="145">
        <f>SUM(X5:X15)</f>
        <v>52216657.364569217</v>
      </c>
      <c r="Y17" s="145">
        <f>SUM(Y5:Y15)</f>
        <v>52216657.364569217</v>
      </c>
      <c r="Z17" s="145">
        <f>SUM(Z5:Z15)</f>
        <v>52216657.364569217</v>
      </c>
    </row>
    <row r="19" spans="1:26" x14ac:dyDescent="0.25">
      <c r="B19">
        <v>1</v>
      </c>
      <c r="C19">
        <v>3</v>
      </c>
      <c r="D19">
        <v>3</v>
      </c>
      <c r="E19">
        <v>6</v>
      </c>
      <c r="F19">
        <v>6</v>
      </c>
    </row>
    <row r="20" spans="1:26" x14ac:dyDescent="0.25">
      <c r="A20" s="28" t="s">
        <v>313</v>
      </c>
      <c r="B20">
        <v>2018</v>
      </c>
      <c r="C20" s="102" t="s">
        <v>319</v>
      </c>
      <c r="D20" s="102" t="s">
        <v>320</v>
      </c>
      <c r="E20" s="102" t="s">
        <v>321</v>
      </c>
      <c r="F20" s="102" t="s">
        <v>322</v>
      </c>
    </row>
    <row r="21" spans="1:26" x14ac:dyDescent="0.25">
      <c r="A21" t="s">
        <v>314</v>
      </c>
      <c r="B21">
        <v>42</v>
      </c>
      <c r="C21">
        <v>54</v>
      </c>
      <c r="D21">
        <v>54</v>
      </c>
      <c r="E21">
        <v>58</v>
      </c>
      <c r="F21">
        <v>58</v>
      </c>
    </row>
    <row r="22" spans="1:26" x14ac:dyDescent="0.25">
      <c r="A22" s="28" t="s">
        <v>315</v>
      </c>
      <c r="B22">
        <v>26</v>
      </c>
      <c r="C22">
        <v>28</v>
      </c>
      <c r="D22">
        <v>32</v>
      </c>
      <c r="E22">
        <v>30</v>
      </c>
      <c r="F22">
        <v>35</v>
      </c>
    </row>
    <row r="23" spans="1:26" x14ac:dyDescent="0.25">
      <c r="A23" s="28" t="s">
        <v>316</v>
      </c>
      <c r="B23">
        <v>15</v>
      </c>
      <c r="C23">
        <v>23</v>
      </c>
      <c r="D23">
        <v>27</v>
      </c>
      <c r="E23">
        <v>24</v>
      </c>
      <c r="F23">
        <v>30</v>
      </c>
    </row>
    <row r="24" spans="1:26" x14ac:dyDescent="0.25">
      <c r="A24" s="28" t="s">
        <v>28</v>
      </c>
      <c r="B24">
        <v>10</v>
      </c>
      <c r="C24">
        <v>21</v>
      </c>
      <c r="D24">
        <v>37</v>
      </c>
      <c r="E24">
        <v>21</v>
      </c>
      <c r="F24">
        <v>38</v>
      </c>
    </row>
    <row r="25" spans="1:26" x14ac:dyDescent="0.25">
      <c r="A25" t="s">
        <v>317</v>
      </c>
      <c r="B25">
        <v>4</v>
      </c>
      <c r="C25">
        <v>4</v>
      </c>
      <c r="D25">
        <v>4</v>
      </c>
      <c r="E25">
        <v>4</v>
      </c>
      <c r="F25">
        <v>4</v>
      </c>
    </row>
    <row r="26" spans="1:26" x14ac:dyDescent="0.25">
      <c r="A26" t="s">
        <v>318</v>
      </c>
      <c r="B26">
        <v>0</v>
      </c>
      <c r="C26">
        <v>18</v>
      </c>
      <c r="D26">
        <v>20</v>
      </c>
      <c r="E26">
        <v>17</v>
      </c>
      <c r="F26">
        <v>18</v>
      </c>
    </row>
    <row r="27" spans="1:26" x14ac:dyDescent="0.25">
      <c r="A27" t="s">
        <v>323</v>
      </c>
      <c r="B27">
        <f>SUM(B21:B26)</f>
        <v>97</v>
      </c>
      <c r="C27">
        <f>SUM(C21:C26)</f>
        <v>148</v>
      </c>
      <c r="D27">
        <f>SUM(D21:D26)</f>
        <v>174</v>
      </c>
      <c r="E27">
        <f>SUM(E21:E26)</f>
        <v>154</v>
      </c>
      <c r="F27">
        <f>SUM(F21:F26)</f>
        <v>183</v>
      </c>
    </row>
    <row r="28" spans="1:26" x14ac:dyDescent="0.25">
      <c r="A28" t="s">
        <v>326</v>
      </c>
      <c r="B28">
        <f>B22+B23+B24+B26</f>
        <v>51</v>
      </c>
      <c r="C28">
        <f>C22+C23+C24+C26</f>
        <v>90</v>
      </c>
      <c r="D28">
        <f>D22+D23+D24+D26</f>
        <v>116</v>
      </c>
      <c r="E28">
        <f>E22+E23+E24+E26</f>
        <v>92</v>
      </c>
      <c r="F28">
        <f>F22+F23+F24+F26</f>
        <v>121</v>
      </c>
    </row>
    <row r="29" spans="1:26" x14ac:dyDescent="0.25">
      <c r="A29" t="s">
        <v>327</v>
      </c>
      <c r="B29">
        <v>1</v>
      </c>
      <c r="C29">
        <f>1+(C28/B28-1)/2</f>
        <v>1.3823529411764706</v>
      </c>
      <c r="D29">
        <f>1+(D28/B28-1)/2</f>
        <v>1.6372549019607843</v>
      </c>
      <c r="E29">
        <f>1+(E28/C28-1)/3</f>
        <v>1.0074074074074073</v>
      </c>
      <c r="F29">
        <f>1+(F28/D28-1)/3</f>
        <v>1.014367816091954</v>
      </c>
    </row>
    <row r="31" spans="1:26" x14ac:dyDescent="0.25">
      <c r="A31" t="s">
        <v>324</v>
      </c>
    </row>
    <row r="32" spans="1:26" x14ac:dyDescent="0.25">
      <c r="A32" t="s">
        <v>315</v>
      </c>
      <c r="B32" s="73">
        <f>(6.725+0.327)*0.46*4.8</f>
        <v>15.570816000000001</v>
      </c>
    </row>
    <row r="33" spans="1:2" x14ac:dyDescent="0.25">
      <c r="A33" t="s">
        <v>316</v>
      </c>
      <c r="B33" s="73">
        <f>(0.224+0.17)*0.46*4.8</f>
        <v>0.86995200000000006</v>
      </c>
    </row>
    <row r="34" spans="1:2" x14ac:dyDescent="0.25">
      <c r="A34" t="s">
        <v>28</v>
      </c>
      <c r="B34" s="73">
        <f>1.034*4.8</f>
        <v>4.9631999999999996</v>
      </c>
    </row>
    <row r="35" spans="1:2" x14ac:dyDescent="0.25">
      <c r="A35" t="s">
        <v>325</v>
      </c>
      <c r="B35">
        <f>13.162-6.991+0.598</f>
        <v>6.769000000000001</v>
      </c>
    </row>
    <row r="36" spans="1:2" x14ac:dyDescent="0.25">
      <c r="A36" t="s">
        <v>310</v>
      </c>
      <c r="B36" s="73">
        <f>SUM(B32:B35)</f>
        <v>28.172968000000004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Y31"/>
  <sheetViews>
    <sheetView workbookViewId="0">
      <selection activeCell="B20" sqref="B20:H20"/>
    </sheetView>
  </sheetViews>
  <sheetFormatPr defaultRowHeight="15" x14ac:dyDescent="0.25"/>
  <cols>
    <col min="1" max="1" width="18.28515625" customWidth="1"/>
    <col min="2" max="8" width="9" bestFit="1" customWidth="1"/>
    <col min="9" max="9" width="11" bestFit="1" customWidth="1"/>
  </cols>
  <sheetData>
    <row r="1" spans="1:16" x14ac:dyDescent="0.25">
      <c r="A1" s="133" t="s">
        <v>423</v>
      </c>
      <c r="B1" s="7"/>
      <c r="C1" s="7"/>
      <c r="D1" s="7"/>
      <c r="E1" s="7"/>
      <c r="F1" s="7"/>
      <c r="G1" s="7"/>
      <c r="H1" s="7"/>
      <c r="I1" s="7"/>
      <c r="J1" s="8"/>
      <c r="L1" s="133" t="s">
        <v>301</v>
      </c>
      <c r="M1" s="7"/>
      <c r="N1" s="7"/>
      <c r="O1" s="7"/>
      <c r="P1" s="8"/>
    </row>
    <row r="2" spans="1:16" x14ac:dyDescent="0.25">
      <c r="A2" s="10"/>
      <c r="B2" s="2"/>
      <c r="C2" s="2" t="s">
        <v>510</v>
      </c>
      <c r="D2" s="2">
        <v>2050</v>
      </c>
      <c r="E2" s="2"/>
      <c r="F2" s="12" t="s">
        <v>301</v>
      </c>
      <c r="G2" s="12" t="s">
        <v>302</v>
      </c>
      <c r="H2" s="47" t="s">
        <v>199</v>
      </c>
      <c r="I2" s="2"/>
      <c r="J2" s="11"/>
      <c r="L2" s="137" t="s">
        <v>303</v>
      </c>
      <c r="M2" s="2"/>
      <c r="N2" s="2"/>
      <c r="O2" s="2" t="s">
        <v>298</v>
      </c>
      <c r="P2" s="11"/>
    </row>
    <row r="3" spans="1:16" x14ac:dyDescent="0.25">
      <c r="A3" s="10"/>
      <c r="B3" s="2" t="s">
        <v>425</v>
      </c>
      <c r="C3" s="2"/>
      <c r="D3" s="2"/>
      <c r="E3" s="2"/>
      <c r="F3" s="2"/>
      <c r="G3" s="134"/>
      <c r="H3" s="2"/>
      <c r="I3" s="2"/>
      <c r="J3" s="11"/>
      <c r="L3" s="10" t="s">
        <v>12</v>
      </c>
      <c r="M3" s="2"/>
      <c r="N3" s="2"/>
      <c r="O3" s="138">
        <v>5.0000000000000001E-3</v>
      </c>
      <c r="P3" s="11" t="s">
        <v>511</v>
      </c>
    </row>
    <row r="4" spans="1:16" x14ac:dyDescent="0.25">
      <c r="A4" s="10" t="s">
        <v>424</v>
      </c>
      <c r="B4" s="2" t="s">
        <v>429</v>
      </c>
      <c r="C4" s="2">
        <v>2E-3</v>
      </c>
      <c r="D4" s="146">
        <v>2E-3</v>
      </c>
      <c r="E4" s="2"/>
      <c r="F4" s="2"/>
      <c r="G4" s="2" t="s">
        <v>432</v>
      </c>
      <c r="H4" s="2" t="s">
        <v>305</v>
      </c>
      <c r="I4" s="2">
        <v>0.29361704272806322</v>
      </c>
      <c r="J4" s="11" t="s">
        <v>515</v>
      </c>
      <c r="K4" s="117"/>
      <c r="L4" s="10" t="s">
        <v>299</v>
      </c>
      <c r="M4" s="2"/>
      <c r="N4" s="2"/>
      <c r="O4" s="138">
        <v>8.9999999999999993E-3</v>
      </c>
      <c r="P4" s="11"/>
    </row>
    <row r="5" spans="1:16" x14ac:dyDescent="0.25">
      <c r="A5" s="10" t="s">
        <v>427</v>
      </c>
      <c r="B5" s="2" t="s">
        <v>429</v>
      </c>
      <c r="C5" s="135">
        <f>2.9/37.8/15</f>
        <v>5.1146384479717815E-3</v>
      </c>
      <c r="D5" s="146">
        <f>2.9/37.8/15</f>
        <v>5.1146384479717815E-3</v>
      </c>
      <c r="E5" s="2"/>
      <c r="F5" s="2" t="s">
        <v>55</v>
      </c>
      <c r="G5" s="43">
        <f>Scenarios!B15</f>
        <v>889000</v>
      </c>
      <c r="H5" s="2">
        <f>O7</f>
        <v>-2.0000000000000018E-2</v>
      </c>
      <c r="I5" s="146">
        <f>H5*I$4</f>
        <v>-5.8723408545612692E-3</v>
      </c>
      <c r="J5" s="11" t="s">
        <v>512</v>
      </c>
      <c r="L5" s="10" t="s">
        <v>300</v>
      </c>
      <c r="M5" s="2"/>
      <c r="N5" s="2"/>
      <c r="O5" s="138">
        <v>8.9999999999999993E-3</v>
      </c>
      <c r="P5" s="11" t="s">
        <v>514</v>
      </c>
    </row>
    <row r="6" spans="1:16" x14ac:dyDescent="0.25">
      <c r="A6" s="10" t="s">
        <v>428</v>
      </c>
      <c r="B6" s="2" t="s">
        <v>429</v>
      </c>
      <c r="C6" s="2">
        <v>4.0000000000000001E-3</v>
      </c>
      <c r="D6" s="2">
        <v>0</v>
      </c>
      <c r="E6" s="2"/>
      <c r="F6" s="2" t="s">
        <v>304</v>
      </c>
      <c r="G6" s="43">
        <f>Scenarios!B13+Scenarios!B14</f>
        <v>1835172</v>
      </c>
      <c r="H6" s="2">
        <f>O8</f>
        <v>-9.9999999999997868E-3</v>
      </c>
      <c r="I6" s="146">
        <f>H6*I$4</f>
        <v>-2.9361704272805695E-3</v>
      </c>
      <c r="J6" s="11" t="s">
        <v>513</v>
      </c>
      <c r="L6" s="139" t="s">
        <v>302</v>
      </c>
      <c r="M6" s="134">
        <v>2010</v>
      </c>
      <c r="N6" s="2">
        <v>2030</v>
      </c>
      <c r="O6" s="2" t="s">
        <v>305</v>
      </c>
      <c r="P6" s="11"/>
    </row>
    <row r="7" spans="1:16" x14ac:dyDescent="0.25">
      <c r="A7" s="10"/>
      <c r="B7" s="2" t="s">
        <v>426</v>
      </c>
      <c r="C7" s="136"/>
      <c r="D7" s="136"/>
      <c r="E7" s="2"/>
      <c r="F7" s="2" t="s">
        <v>128</v>
      </c>
      <c r="G7" s="43">
        <f>Scenarios!B12</f>
        <v>6362000</v>
      </c>
      <c r="H7" s="2">
        <f>O9</f>
        <v>3.0000000000000072E-2</v>
      </c>
      <c r="I7" s="146">
        <f>H7*I$4</f>
        <v>8.8085112818419176E-3</v>
      </c>
      <c r="J7" s="11" t="s">
        <v>520</v>
      </c>
      <c r="L7" s="10" t="s">
        <v>55</v>
      </c>
      <c r="M7" s="16">
        <v>11.9</v>
      </c>
      <c r="N7" s="16">
        <v>11.5</v>
      </c>
      <c r="O7" s="2">
        <f>(N7-M7)/20</f>
        <v>-2.0000000000000018E-2</v>
      </c>
      <c r="P7" s="11" t="s">
        <v>512</v>
      </c>
    </row>
    <row r="8" spans="1:16" x14ac:dyDescent="0.25">
      <c r="A8" s="10" t="s">
        <v>424</v>
      </c>
      <c r="B8" s="2" t="s">
        <v>429</v>
      </c>
      <c r="C8" s="2">
        <v>2E-3</v>
      </c>
      <c r="D8" s="2"/>
      <c r="E8" s="2"/>
      <c r="F8" s="2"/>
      <c r="G8" s="43">
        <f>SUM(G5:G7)</f>
        <v>9086172</v>
      </c>
      <c r="H8" s="2">
        <f t="array" ref="H8">MMULT(TRANSPOSE(H5:H7),$G5:$G7)/SUM($G5:$G7)</f>
        <v>1.7028984263119919E-2</v>
      </c>
      <c r="I8" s="146">
        <f t="array" ref="I8">MMULT(TRANSPOSE(G5:G7),H5:H7)*I4/G8</f>
        <v>4.9999999999999975E-3</v>
      </c>
      <c r="J8" s="11"/>
      <c r="L8" s="10" t="s">
        <v>304</v>
      </c>
      <c r="M8" s="16">
        <v>34.299999999999997</v>
      </c>
      <c r="N8" s="16">
        <v>34.1</v>
      </c>
      <c r="O8" s="2">
        <f>(N8-M8)/20</f>
        <v>-9.9999999999997868E-3</v>
      </c>
      <c r="P8" s="11" t="s">
        <v>513</v>
      </c>
    </row>
    <row r="9" spans="1:16" ht="15.75" thickBot="1" x14ac:dyDescent="0.3">
      <c r="A9" s="10" t="s">
        <v>427</v>
      </c>
      <c r="B9" s="2" t="s">
        <v>429</v>
      </c>
      <c r="C9" s="135">
        <f>2.9/37.8/15</f>
        <v>5.1146384479717815E-3</v>
      </c>
      <c r="D9" s="2"/>
      <c r="E9" s="2"/>
      <c r="F9" s="2"/>
      <c r="G9" s="2"/>
      <c r="H9" s="2"/>
      <c r="I9" s="2"/>
      <c r="J9" s="11"/>
      <c r="L9" s="13" t="s">
        <v>128</v>
      </c>
      <c r="M9" s="140">
        <v>53.8</v>
      </c>
      <c r="N9" s="140">
        <v>54.4</v>
      </c>
      <c r="O9" s="14">
        <f>(N9-M9)/20</f>
        <v>3.0000000000000072E-2</v>
      </c>
      <c r="P9" s="15" t="s">
        <v>516</v>
      </c>
    </row>
    <row r="10" spans="1:16" x14ac:dyDescent="0.25">
      <c r="A10" s="10" t="s">
        <v>428</v>
      </c>
      <c r="B10" s="2" t="s">
        <v>430</v>
      </c>
      <c r="C10" s="56">
        <f>73/30</f>
        <v>2.4333333333333331</v>
      </c>
      <c r="D10" s="56">
        <f>73/30</f>
        <v>2.4333333333333331</v>
      </c>
      <c r="E10" s="2"/>
      <c r="F10" s="2"/>
      <c r="G10" s="2"/>
      <c r="H10" s="2"/>
      <c r="I10" s="2"/>
      <c r="J10" s="11"/>
    </row>
    <row r="11" spans="1:16" x14ac:dyDescent="0.25">
      <c r="A11" s="10"/>
      <c r="B11" s="2" t="s">
        <v>431</v>
      </c>
      <c r="C11" s="2"/>
      <c r="D11" s="2"/>
      <c r="E11" s="2"/>
      <c r="F11" s="2"/>
      <c r="G11" s="2"/>
      <c r="H11" s="2"/>
      <c r="I11" s="2"/>
      <c r="J11" s="11"/>
    </row>
    <row r="12" spans="1:16" x14ac:dyDescent="0.25">
      <c r="A12" s="10" t="s">
        <v>424</v>
      </c>
      <c r="B12" s="2" t="s">
        <v>429</v>
      </c>
      <c r="C12" s="2">
        <v>0.01</v>
      </c>
      <c r="D12" s="2">
        <v>0.01</v>
      </c>
      <c r="E12" s="2"/>
      <c r="F12" s="2"/>
      <c r="G12" s="2"/>
      <c r="H12" s="2"/>
      <c r="I12" s="2"/>
      <c r="J12" s="11"/>
    </row>
    <row r="13" spans="1:16" x14ac:dyDescent="0.25">
      <c r="A13" s="10" t="s">
        <v>427</v>
      </c>
      <c r="B13" s="2" t="s">
        <v>429</v>
      </c>
      <c r="C13" s="2">
        <v>0.01</v>
      </c>
      <c r="D13" s="2">
        <v>0.01</v>
      </c>
      <c r="E13" s="2"/>
      <c r="F13" s="2"/>
      <c r="G13" s="2"/>
      <c r="H13" s="2"/>
      <c r="I13" s="2"/>
      <c r="J13" s="11"/>
    </row>
    <row r="14" spans="1:16" ht="15.75" thickBot="1" x14ac:dyDescent="0.3">
      <c r="A14" s="13" t="s">
        <v>428</v>
      </c>
      <c r="B14" s="14" t="s">
        <v>430</v>
      </c>
      <c r="C14" s="58">
        <f>73/30</f>
        <v>2.4333333333333331</v>
      </c>
      <c r="D14" s="58">
        <f>73/30</f>
        <v>2.4333333333333331</v>
      </c>
      <c r="E14" s="14"/>
      <c r="F14" s="14"/>
      <c r="G14" s="14"/>
      <c r="H14" s="14"/>
      <c r="I14" s="14"/>
      <c r="J14" s="15"/>
    </row>
    <row r="15" spans="1:16" ht="15.75" thickBot="1" x14ac:dyDescent="0.3"/>
    <row r="16" spans="1:16" x14ac:dyDescent="0.25">
      <c r="A16" s="133" t="s">
        <v>517</v>
      </c>
      <c r="B16" s="7">
        <f>B25</f>
        <v>1</v>
      </c>
      <c r="C16" s="7">
        <f t="shared" ref="C16:I16" si="0">C25</f>
        <v>2</v>
      </c>
      <c r="D16" s="7">
        <f t="shared" si="0"/>
        <v>3</v>
      </c>
      <c r="E16" s="7">
        <f t="shared" si="0"/>
        <v>4</v>
      </c>
      <c r="F16" s="7">
        <f t="shared" si="0"/>
        <v>5</v>
      </c>
      <c r="G16" s="7">
        <f t="shared" si="0"/>
        <v>6</v>
      </c>
      <c r="H16" s="7">
        <f t="shared" si="0"/>
        <v>7</v>
      </c>
      <c r="I16" s="7" t="str">
        <f t="shared" si="0"/>
        <v>8+</v>
      </c>
    </row>
    <row r="17" spans="1:25" x14ac:dyDescent="0.25">
      <c r="A17" s="10"/>
      <c r="B17" s="3">
        <f>B26</f>
        <v>2022</v>
      </c>
      <c r="C17" s="3">
        <f t="shared" ref="C17:I17" si="1">C26</f>
        <v>2027</v>
      </c>
      <c r="D17" s="3">
        <f t="shared" si="1"/>
        <v>2032</v>
      </c>
      <c r="E17" s="3">
        <f t="shared" si="1"/>
        <v>2037</v>
      </c>
      <c r="F17" s="3">
        <f t="shared" si="1"/>
        <v>2042</v>
      </c>
      <c r="G17" s="3">
        <f t="shared" si="1"/>
        <v>2047</v>
      </c>
      <c r="H17" s="3">
        <f t="shared" si="1"/>
        <v>2052</v>
      </c>
      <c r="I17" s="3">
        <f t="shared" si="1"/>
        <v>2057</v>
      </c>
    </row>
    <row r="18" spans="1:25" x14ac:dyDescent="0.25">
      <c r="A18" s="10" t="s">
        <v>484</v>
      </c>
      <c r="B18" s="3">
        <f>B27*0.75</f>
        <v>20.25</v>
      </c>
      <c r="C18" s="3">
        <f t="shared" ref="C18:H18" si="2">C27*0.75</f>
        <v>20.25</v>
      </c>
      <c r="D18" s="3">
        <f t="shared" si="2"/>
        <v>18</v>
      </c>
      <c r="E18" s="3">
        <f t="shared" si="2"/>
        <v>18.75</v>
      </c>
      <c r="F18" s="3">
        <f t="shared" si="2"/>
        <v>18</v>
      </c>
      <c r="G18" s="3">
        <f t="shared" si="2"/>
        <v>18.75</v>
      </c>
      <c r="H18" s="3">
        <f t="shared" si="2"/>
        <v>17.25</v>
      </c>
      <c r="I18" t="s">
        <v>781</v>
      </c>
    </row>
    <row r="19" spans="1:25" x14ac:dyDescent="0.25">
      <c r="A19" s="10" t="s">
        <v>485</v>
      </c>
      <c r="B19" s="3">
        <v>0</v>
      </c>
      <c r="C19" s="3">
        <v>0</v>
      </c>
      <c r="D19" s="3">
        <v>0</v>
      </c>
      <c r="E19" s="3">
        <v>0</v>
      </c>
      <c r="F19" s="3">
        <v>0</v>
      </c>
      <c r="G19" s="3">
        <v>0</v>
      </c>
      <c r="H19" s="3">
        <v>0</v>
      </c>
      <c r="I19" t="s">
        <v>522</v>
      </c>
    </row>
    <row r="20" spans="1:25" x14ac:dyDescent="0.25">
      <c r="A20" s="10" t="s">
        <v>348</v>
      </c>
      <c r="B20" s="3">
        <v>0</v>
      </c>
      <c r="C20" s="3">
        <v>0</v>
      </c>
      <c r="D20" s="3">
        <v>0</v>
      </c>
      <c r="E20" s="3">
        <v>0</v>
      </c>
      <c r="F20" s="3">
        <v>0</v>
      </c>
      <c r="G20" s="3">
        <v>0</v>
      </c>
      <c r="H20" s="3">
        <v>0</v>
      </c>
      <c r="I20" s="3">
        <f>I29</f>
        <v>0</v>
      </c>
      <c r="J20" t="s">
        <v>522</v>
      </c>
    </row>
    <row r="21" spans="1:25" x14ac:dyDescent="0.25">
      <c r="A21" s="10" t="s">
        <v>310</v>
      </c>
      <c r="B21" s="3">
        <f t="shared" ref="B21:H21" si="3">SUM(B18:B20)</f>
        <v>20.25</v>
      </c>
      <c r="C21" s="3">
        <f t="shared" si="3"/>
        <v>20.25</v>
      </c>
      <c r="D21" s="3">
        <f t="shared" si="3"/>
        <v>18</v>
      </c>
      <c r="E21" s="3">
        <f t="shared" si="3"/>
        <v>18.75</v>
      </c>
      <c r="F21" s="3">
        <f t="shared" si="3"/>
        <v>18</v>
      </c>
      <c r="G21" s="3">
        <f t="shared" si="3"/>
        <v>18.75</v>
      </c>
      <c r="H21" s="141">
        <f t="shared" si="3"/>
        <v>17.25</v>
      </c>
    </row>
    <row r="22" spans="1:25" ht="15.75" thickBot="1" x14ac:dyDescent="0.3">
      <c r="A22" s="13" t="s">
        <v>486</v>
      </c>
      <c r="B22" s="142">
        <f t="shared" ref="B22:H22" si="4">B21-$B21</f>
        <v>0</v>
      </c>
      <c r="C22" s="142">
        <f t="shared" si="4"/>
        <v>0</v>
      </c>
      <c r="D22" s="142">
        <f t="shared" si="4"/>
        <v>-2.25</v>
      </c>
      <c r="E22" s="142">
        <f t="shared" si="4"/>
        <v>-1.5</v>
      </c>
      <c r="F22" s="142">
        <f t="shared" si="4"/>
        <v>-2.25</v>
      </c>
      <c r="G22" s="142">
        <f t="shared" si="4"/>
        <v>-1.5</v>
      </c>
      <c r="H22" s="143">
        <f t="shared" si="4"/>
        <v>-3</v>
      </c>
    </row>
    <row r="23" spans="1:25" x14ac:dyDescent="0.25">
      <c r="I23" s="103"/>
      <c r="J23" s="103"/>
      <c r="K23" s="103"/>
      <c r="L23" s="103"/>
      <c r="M23" s="103"/>
      <c r="N23" s="103"/>
      <c r="O23" s="103"/>
      <c r="P23" s="103"/>
      <c r="Q23" s="103"/>
      <c r="R23" s="103"/>
      <c r="S23" s="103"/>
      <c r="T23" s="103"/>
      <c r="U23" s="103"/>
      <c r="V23" s="103"/>
      <c r="W23" s="103"/>
      <c r="X23" s="103"/>
      <c r="Y23" s="103"/>
    </row>
    <row r="24" spans="1:25" ht="15.75" thickBot="1" x14ac:dyDescent="0.3">
      <c r="I24" s="103"/>
      <c r="J24" s="103"/>
      <c r="K24" s="103"/>
      <c r="L24" s="103"/>
      <c r="M24" s="103"/>
      <c r="N24" s="103"/>
      <c r="O24" s="103"/>
      <c r="P24" s="103"/>
      <c r="Q24" s="103"/>
      <c r="R24" s="103"/>
      <c r="S24" s="103"/>
      <c r="T24" s="103"/>
      <c r="U24" s="103"/>
      <c r="V24" s="103"/>
      <c r="W24" s="103"/>
      <c r="X24" s="103"/>
      <c r="Y24" s="103"/>
    </row>
    <row r="25" spans="1:25" x14ac:dyDescent="0.25">
      <c r="A25" s="133" t="s">
        <v>313</v>
      </c>
      <c r="B25" s="7">
        <v>1</v>
      </c>
      <c r="C25" s="7">
        <v>2</v>
      </c>
      <c r="D25" s="7">
        <v>3</v>
      </c>
      <c r="E25" s="7">
        <v>4</v>
      </c>
      <c r="F25" s="7">
        <v>5</v>
      </c>
      <c r="G25" s="7">
        <v>6</v>
      </c>
      <c r="H25" s="8">
        <v>7</v>
      </c>
      <c r="I25" s="103" t="s">
        <v>779</v>
      </c>
      <c r="J25" s="103"/>
      <c r="K25" s="103"/>
      <c r="L25" s="103"/>
      <c r="M25" s="103"/>
      <c r="N25" s="103"/>
      <c r="O25" s="103"/>
      <c r="P25" s="103"/>
      <c r="Q25" s="103"/>
      <c r="R25" s="103"/>
      <c r="S25" s="103"/>
      <c r="T25" s="103"/>
      <c r="U25" s="103"/>
      <c r="V25" s="103"/>
      <c r="W25" s="103"/>
      <c r="X25" s="103"/>
      <c r="Y25" s="103"/>
    </row>
    <row r="26" spans="1:25" x14ac:dyDescent="0.25">
      <c r="A26" s="10"/>
      <c r="B26" s="3">
        <v>2022</v>
      </c>
      <c r="C26" s="3">
        <f>B26+5</f>
        <v>2027</v>
      </c>
      <c r="D26" s="3">
        <f t="shared" ref="D26:I26" si="5">C26+5</f>
        <v>2032</v>
      </c>
      <c r="E26" s="3">
        <f t="shared" si="5"/>
        <v>2037</v>
      </c>
      <c r="F26" s="3">
        <f t="shared" si="5"/>
        <v>2042</v>
      </c>
      <c r="G26" s="3">
        <f t="shared" si="5"/>
        <v>2047</v>
      </c>
      <c r="H26" s="3">
        <f t="shared" si="5"/>
        <v>2052</v>
      </c>
      <c r="I26" s="3">
        <f t="shared" si="5"/>
        <v>2057</v>
      </c>
      <c r="J26" s="103"/>
      <c r="K26" s="103"/>
      <c r="L26" s="103"/>
      <c r="M26" s="103"/>
      <c r="N26" s="103"/>
      <c r="O26" s="103"/>
      <c r="P26" s="103"/>
      <c r="Q26" s="103"/>
      <c r="R26" s="103"/>
      <c r="S26" s="103"/>
      <c r="T26" s="103"/>
      <c r="U26" s="103"/>
      <c r="V26" s="103"/>
      <c r="W26" s="103"/>
      <c r="X26" s="103"/>
      <c r="Y26" s="103"/>
    </row>
    <row r="27" spans="1:25" x14ac:dyDescent="0.25">
      <c r="A27" s="10" t="s">
        <v>484</v>
      </c>
      <c r="B27" s="3">
        <v>27</v>
      </c>
      <c r="C27" s="3">
        <v>27</v>
      </c>
      <c r="D27" s="3">
        <v>24</v>
      </c>
      <c r="E27" s="3">
        <v>25</v>
      </c>
      <c r="F27" s="3">
        <v>24</v>
      </c>
      <c r="G27" s="3">
        <v>25</v>
      </c>
      <c r="H27" s="141">
        <v>23</v>
      </c>
      <c r="I27" t="s">
        <v>521</v>
      </c>
      <c r="J27" s="103"/>
      <c r="K27" s="103"/>
      <c r="L27" s="103"/>
      <c r="M27" s="103"/>
      <c r="N27" s="103"/>
      <c r="O27" s="103"/>
      <c r="P27" s="103"/>
      <c r="Q27" s="103"/>
      <c r="R27" s="103"/>
      <c r="S27" s="103"/>
      <c r="T27" s="103"/>
      <c r="U27" s="103"/>
      <c r="V27" s="103"/>
      <c r="W27" s="103"/>
      <c r="X27" s="103"/>
      <c r="Y27" s="103"/>
    </row>
    <row r="28" spans="1:25" x14ac:dyDescent="0.25">
      <c r="A28" s="10" t="s">
        <v>485</v>
      </c>
      <c r="B28" s="3">
        <v>8</v>
      </c>
      <c r="C28" s="3">
        <v>8</v>
      </c>
      <c r="D28" s="3">
        <v>8</v>
      </c>
      <c r="E28" s="3">
        <v>8</v>
      </c>
      <c r="F28" s="3">
        <v>8</v>
      </c>
      <c r="G28" s="3">
        <v>8</v>
      </c>
      <c r="H28" s="141">
        <v>8</v>
      </c>
      <c r="I28" s="103"/>
      <c r="J28" s="103"/>
      <c r="K28" s="103"/>
      <c r="L28" s="103"/>
      <c r="M28" s="103"/>
      <c r="N28" s="103"/>
      <c r="O28" s="103"/>
      <c r="P28" s="103"/>
      <c r="Q28" s="103"/>
      <c r="R28" s="103"/>
      <c r="S28" s="103"/>
      <c r="T28" s="103"/>
      <c r="U28" s="103"/>
      <c r="V28" s="103"/>
      <c r="W28" s="103"/>
      <c r="X28" s="103"/>
      <c r="Y28" s="103"/>
    </row>
    <row r="29" spans="1:25" x14ac:dyDescent="0.25">
      <c r="A29" s="10" t="s">
        <v>348</v>
      </c>
      <c r="B29" s="3">
        <v>1</v>
      </c>
      <c r="C29" s="3">
        <v>7</v>
      </c>
      <c r="D29" s="3">
        <v>20</v>
      </c>
      <c r="E29" s="3">
        <v>22</v>
      </c>
      <c r="F29" s="3">
        <v>23</v>
      </c>
      <c r="G29" s="3">
        <v>25</v>
      </c>
      <c r="H29" s="141">
        <v>26</v>
      </c>
      <c r="I29" s="141"/>
      <c r="J29" t="s">
        <v>778</v>
      </c>
    </row>
    <row r="30" spans="1:25" x14ac:dyDescent="0.25">
      <c r="A30" s="10" t="s">
        <v>310</v>
      </c>
      <c r="B30" s="3">
        <f>SUM(B27:B29)</f>
        <v>36</v>
      </c>
      <c r="C30" s="3">
        <f t="shared" ref="C30:H30" si="6">SUM(C27:C29)</f>
        <v>42</v>
      </c>
      <c r="D30" s="3">
        <f t="shared" si="6"/>
        <v>52</v>
      </c>
      <c r="E30" s="3">
        <f t="shared" si="6"/>
        <v>55</v>
      </c>
      <c r="F30" s="3">
        <f t="shared" si="6"/>
        <v>55</v>
      </c>
      <c r="G30" s="3">
        <f t="shared" si="6"/>
        <v>58</v>
      </c>
      <c r="H30" s="141">
        <f t="shared" si="6"/>
        <v>57</v>
      </c>
    </row>
    <row r="31" spans="1:25" ht="15.75" thickBot="1" x14ac:dyDescent="0.3">
      <c r="A31" s="13" t="s">
        <v>486</v>
      </c>
      <c r="B31" s="142">
        <f t="shared" ref="B31:H31" si="7">B30-$B30</f>
        <v>0</v>
      </c>
      <c r="C31" s="142">
        <f t="shared" si="7"/>
        <v>6</v>
      </c>
      <c r="D31" s="142">
        <f t="shared" si="7"/>
        <v>16</v>
      </c>
      <c r="E31" s="142">
        <f t="shared" si="7"/>
        <v>19</v>
      </c>
      <c r="F31" s="142">
        <f t="shared" si="7"/>
        <v>19</v>
      </c>
      <c r="G31" s="142">
        <f t="shared" si="7"/>
        <v>22</v>
      </c>
      <c r="H31" s="143">
        <f t="shared" si="7"/>
        <v>21</v>
      </c>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3:J59"/>
  <sheetViews>
    <sheetView topLeftCell="B1" workbookViewId="0"/>
  </sheetViews>
  <sheetFormatPr defaultRowHeight="15" x14ac:dyDescent="0.25"/>
  <cols>
    <col min="1" max="1" width="24" customWidth="1"/>
    <col min="3" max="3" width="16.5703125" customWidth="1"/>
    <col min="5" max="5" width="12" bestFit="1" customWidth="1"/>
    <col min="9" max="9" width="11.28515625" customWidth="1"/>
    <col min="10" max="10" width="12.7109375" bestFit="1" customWidth="1"/>
    <col min="11" max="11" width="13.140625" customWidth="1"/>
  </cols>
  <sheetData>
    <row r="3" spans="2:10" x14ac:dyDescent="0.25">
      <c r="B3" t="s">
        <v>337</v>
      </c>
      <c r="C3" t="s">
        <v>328</v>
      </c>
      <c r="D3" s="24" t="s">
        <v>333</v>
      </c>
      <c r="E3" t="s">
        <v>335</v>
      </c>
      <c r="F3" t="s">
        <v>334</v>
      </c>
      <c r="G3" s="24" t="s">
        <v>336</v>
      </c>
      <c r="H3" t="s">
        <v>330</v>
      </c>
      <c r="I3" t="s">
        <v>332</v>
      </c>
      <c r="J3" t="s">
        <v>330</v>
      </c>
    </row>
    <row r="4" spans="2:10" x14ac:dyDescent="0.25">
      <c r="B4">
        <v>18600000</v>
      </c>
      <c r="C4">
        <v>-1</v>
      </c>
      <c r="D4">
        <f>0.01/-C4</f>
        <v>0.01</v>
      </c>
      <c r="E4">
        <f>0.5*(1+D4)</f>
        <v>0.505</v>
      </c>
      <c r="F4">
        <f>(1-E4)/E4</f>
        <v>0.98019801980198018</v>
      </c>
      <c r="G4">
        <f>EXP(F4)/EXP((1))</f>
        <v>0.98039279127291112</v>
      </c>
      <c r="H4">
        <f>LN(G4)</f>
        <v>-1.9801980198019736E-2</v>
      </c>
      <c r="I4">
        <v>2152</v>
      </c>
      <c r="J4">
        <f>(1-0.01/-C4)/(1+0.01/-C4) -1</f>
        <v>-1.980198019801982E-2</v>
      </c>
    </row>
    <row r="6" spans="2:10" x14ac:dyDescent="0.25">
      <c r="C6" t="s">
        <v>328</v>
      </c>
      <c r="D6" t="s">
        <v>329</v>
      </c>
      <c r="E6" t="s">
        <v>331</v>
      </c>
      <c r="F6" t="s">
        <v>340</v>
      </c>
      <c r="G6" t="s">
        <v>328</v>
      </c>
      <c r="H6" t="s">
        <v>331</v>
      </c>
      <c r="I6" t="s">
        <v>328</v>
      </c>
    </row>
    <row r="7" spans="2:10" x14ac:dyDescent="0.25">
      <c r="D7">
        <v>3873.8236953730752</v>
      </c>
      <c r="I7" s="27">
        <f>(LN(2*$I$4/D7-1)/-$J$4)*$B$4/100+$B$4</f>
        <v>-2043956.0439561158</v>
      </c>
    </row>
    <row r="8" spans="2:10" x14ac:dyDescent="0.25">
      <c r="C8">
        <f>C9-500000</f>
        <v>1600000</v>
      </c>
      <c r="D8">
        <f>2*I$4/(1+EXP(-J$4*((C8-$B$4)/$B$4*100)))</f>
        <v>3698.6198486860517</v>
      </c>
      <c r="E8">
        <f>((C9-C4)/C8)/((D9-D4)/D8)</f>
        <v>1.3225974865998309</v>
      </c>
      <c r="F8">
        <f>LN(2*$I$4/D8-1)/-$H$4</f>
        <v>-91.397849462365983</v>
      </c>
      <c r="G8">
        <f>(F8*$B$4/100+$B$4)</f>
        <v>1599999.9999999255</v>
      </c>
      <c r="H8">
        <f>((G9-G4)/G8)/((D9-D4)/D8)</f>
        <v>1.3225962393325725</v>
      </c>
      <c r="I8" s="27">
        <f>(LN(2*$I$4/D8-1)/-$J$4)*$B$4/100+$B$4</f>
        <v>1599999.9999999963</v>
      </c>
    </row>
    <row r="9" spans="2:10" x14ac:dyDescent="0.25">
      <c r="C9">
        <f>C10-500000</f>
        <v>2100000</v>
      </c>
      <c r="D9">
        <f>2*I$4/(1+EXP(-J$4*((C9-$B$4)/$B$4*100)))</f>
        <v>3670.3941586133474</v>
      </c>
      <c r="E9">
        <f>((C10-C5)/C9)/((D10-D5)/D9)</f>
        <v>1.2480602291140745</v>
      </c>
      <c r="F9">
        <f>LN(2*$I$4/D9-1)/-$H$4</f>
        <v>-88.709677419355216</v>
      </c>
      <c r="G9">
        <f>(F9*$B$4/100+$B$4)</f>
        <v>2099999.9999999311</v>
      </c>
      <c r="H9">
        <f>((G10-G5)/G9)/((D10-D5)/D9)</f>
        <v>1.2480602291140832</v>
      </c>
      <c r="I9" s="27">
        <f>(LN(2*$I$4/D9-1)/-$J$4)*$B$4/100+$B$4</f>
        <v>2099999.9999999981</v>
      </c>
    </row>
    <row r="10" spans="2:10" x14ac:dyDescent="0.25">
      <c r="C10">
        <f>C11-500000</f>
        <v>2600000</v>
      </c>
      <c r="D10">
        <f>2*I$4/(1+EXP(-J$4*((C10-$B$4)/$B$4*100)))</f>
        <v>3641.088325470876</v>
      </c>
      <c r="E10" t="e">
        <f>((C11-C6)/C10)/((D11-D6)/D10)</f>
        <v>#VALUE!</v>
      </c>
      <c r="F10">
        <f>LN(2*$I$4/D10-1)/-$H$4</f>
        <v>-86.02150537634445</v>
      </c>
      <c r="G10">
        <f>(F10*$B$4/100+$B$4)</f>
        <v>2599999.9999999329</v>
      </c>
      <c r="H10" t="e">
        <f>((G11-G6)/G10)/((D11-D6)/D10)</f>
        <v>#VALUE!</v>
      </c>
      <c r="I10" s="27">
        <f>(LN(2*$I$4/D10-1)/-$J$4)*$B$4/100+$B$4</f>
        <v>2600000</v>
      </c>
    </row>
    <row r="11" spans="2:10" x14ac:dyDescent="0.25">
      <c r="C11">
        <f t="shared" ref="C11:C28" si="0">C12-500000</f>
        <v>3100000</v>
      </c>
      <c r="D11">
        <f t="shared" ref="D11:D50" si="1">2*I$4/(1+EXP(-J$4*((C11-$B$4)/$B$4*100)))</f>
        <v>3610.6830654056143</v>
      </c>
      <c r="E11">
        <f>((C12-C7)/C11)/((D12-D7)/D11)</f>
        <v>-14.229996723926162</v>
      </c>
      <c r="F11">
        <f t="shared" ref="F11:F28" si="2">LN(2*$I$4/D11-1)/-$H$4</f>
        <v>-83.333333333333727</v>
      </c>
      <c r="G11">
        <f t="shared" ref="G11:G28" si="3">(F11*$B$4/100+$B$4)</f>
        <v>3099999.9999999255</v>
      </c>
      <c r="H11">
        <f>((G12-G7)/G11)/((D12-D7)/D11)</f>
        <v>-14.229996723926245</v>
      </c>
      <c r="I11" s="27">
        <f t="shared" ref="I11:I28" si="4">(LN(2*$I$4/D11-1)/-$J$4)*$B$4/100+$B$4</f>
        <v>3099999.9999999925</v>
      </c>
    </row>
    <row r="12" spans="2:10" x14ac:dyDescent="0.25">
      <c r="C12">
        <f t="shared" si="0"/>
        <v>3600000</v>
      </c>
      <c r="D12">
        <f t="shared" si="1"/>
        <v>3579.1608515854018</v>
      </c>
      <c r="E12">
        <f t="shared" ref="E12:E35" si="5">((C13-C11)/C12)/((D13-D11)/D12)</f>
        <v>-15.491722621377647</v>
      </c>
      <c r="F12">
        <f t="shared" si="2"/>
        <v>-80.645161290322932</v>
      </c>
      <c r="G12">
        <f t="shared" si="3"/>
        <v>3599999.9999999348</v>
      </c>
      <c r="H12">
        <f t="shared" ref="H12:H49" si="6">((G13-G11)/G12)/((D13-D11)/D12)</f>
        <v>-15.49172262137813</v>
      </c>
      <c r="I12" s="27">
        <f t="shared" si="4"/>
        <v>3599999.9999999981</v>
      </c>
    </row>
    <row r="13" spans="2:10" x14ac:dyDescent="0.25">
      <c r="C13">
        <f t="shared" si="0"/>
        <v>4100000</v>
      </c>
      <c r="D13">
        <f t="shared" si="1"/>
        <v>3546.5061257610419</v>
      </c>
      <c r="E13">
        <f t="shared" si="5"/>
        <v>-13.016283308225503</v>
      </c>
      <c r="F13">
        <f t="shared" si="2"/>
        <v>-77.956989247312166</v>
      </c>
      <c r="G13">
        <f t="shared" si="3"/>
        <v>4099999.9999999385</v>
      </c>
      <c r="H13">
        <f t="shared" si="6"/>
        <v>-13.016283308225749</v>
      </c>
      <c r="I13" s="27">
        <f t="shared" si="4"/>
        <v>4099999.9999999981</v>
      </c>
    </row>
    <row r="14" spans="2:10" x14ac:dyDescent="0.25">
      <c r="C14">
        <f t="shared" si="0"/>
        <v>4600000</v>
      </c>
      <c r="D14">
        <f t="shared" si="1"/>
        <v>3512.7055145583236</v>
      </c>
      <c r="E14">
        <f t="shared" si="5"/>
        <v>-11.106064444926742</v>
      </c>
      <c r="F14">
        <f t="shared" si="2"/>
        <v>-75.268817204301413</v>
      </c>
      <c r="G14">
        <f t="shared" si="3"/>
        <v>4599999.9999999385</v>
      </c>
      <c r="H14">
        <f t="shared" si="6"/>
        <v>-11.106064444926911</v>
      </c>
      <c r="I14" s="27">
        <f t="shared" si="4"/>
        <v>4599999.9999999981</v>
      </c>
    </row>
    <row r="15" spans="2:10" x14ac:dyDescent="0.25">
      <c r="C15">
        <f t="shared" si="0"/>
        <v>5100000</v>
      </c>
      <c r="D15">
        <f t="shared" si="1"/>
        <v>3477.7480488215133</v>
      </c>
      <c r="E15">
        <f t="shared" si="5"/>
        <v>-9.5935583921347458</v>
      </c>
      <c r="F15">
        <f t="shared" si="2"/>
        <v>-72.580645161290647</v>
      </c>
      <c r="G15">
        <f t="shared" si="3"/>
        <v>5099999.9999999404</v>
      </c>
      <c r="H15">
        <f t="shared" si="6"/>
        <v>-9.5935583921349288</v>
      </c>
      <c r="I15" s="27">
        <f t="shared" si="4"/>
        <v>5099999.9999999944</v>
      </c>
    </row>
    <row r="16" spans="2:10" x14ac:dyDescent="0.25">
      <c r="C16">
        <f t="shared" si="0"/>
        <v>5600000</v>
      </c>
      <c r="D16">
        <f t="shared" si="1"/>
        <v>3441.6253840948525</v>
      </c>
      <c r="E16">
        <f t="shared" si="5"/>
        <v>-8.3711414539896847</v>
      </c>
      <c r="F16">
        <f t="shared" si="2"/>
        <v>-69.892473118279867</v>
      </c>
      <c r="G16">
        <f t="shared" si="3"/>
        <v>5599999.999999946</v>
      </c>
      <c r="H16">
        <f t="shared" si="6"/>
        <v>-8.3711414539898286</v>
      </c>
      <c r="I16" s="27">
        <f t="shared" si="4"/>
        <v>5600000</v>
      </c>
    </row>
    <row r="17" spans="3:9" x14ac:dyDescent="0.25">
      <c r="C17">
        <f t="shared" si="0"/>
        <v>6100000</v>
      </c>
      <c r="D17">
        <f t="shared" si="1"/>
        <v>3404.3320200967087</v>
      </c>
      <c r="E17">
        <f t="shared" si="5"/>
        <v>-7.3665284334429675</v>
      </c>
      <c r="F17">
        <f t="shared" si="2"/>
        <v>-67.2043010752691</v>
      </c>
      <c r="G17">
        <f t="shared" si="3"/>
        <v>6099999.9999999478</v>
      </c>
      <c r="H17">
        <f t="shared" si="6"/>
        <v>-7.3665284334430723</v>
      </c>
      <c r="I17" s="27">
        <f t="shared" si="4"/>
        <v>6100000</v>
      </c>
    </row>
    <row r="18" spans="3:9" x14ac:dyDescent="0.25">
      <c r="C18">
        <f t="shared" si="0"/>
        <v>6600000</v>
      </c>
      <c r="D18">
        <f t="shared" si="1"/>
        <v>3365.8655168179325</v>
      </c>
      <c r="E18">
        <f t="shared" si="5"/>
        <v>-6.5293843442003716</v>
      </c>
      <c r="F18">
        <f t="shared" si="2"/>
        <v>-64.51612903225832</v>
      </c>
      <c r="G18">
        <f t="shared" si="3"/>
        <v>6599999.9999999516</v>
      </c>
      <c r="H18">
        <f t="shared" si="6"/>
        <v>-6.5293843442004196</v>
      </c>
      <c r="I18" s="27">
        <f t="shared" si="4"/>
        <v>6600000.0000000019</v>
      </c>
    </row>
    <row r="19" spans="3:9" x14ac:dyDescent="0.25">
      <c r="C19">
        <f t="shared" si="0"/>
        <v>7100000</v>
      </c>
      <c r="D19">
        <f t="shared" si="1"/>
        <v>3326.2267046678085</v>
      </c>
      <c r="E19">
        <f t="shared" si="5"/>
        <v>-5.8235932659286913</v>
      </c>
      <c r="F19">
        <f t="shared" si="2"/>
        <v>-61.827956989247589</v>
      </c>
      <c r="G19">
        <f t="shared" si="3"/>
        <v>7099999.9999999478</v>
      </c>
      <c r="H19">
        <f t="shared" si="6"/>
        <v>-5.8235932659287233</v>
      </c>
      <c r="I19" s="27">
        <f t="shared" si="4"/>
        <v>7099999.9999999981</v>
      </c>
    </row>
    <row r="20" spans="3:9" x14ac:dyDescent="0.25">
      <c r="C20">
        <f t="shared" si="0"/>
        <v>7600000</v>
      </c>
      <c r="D20">
        <f t="shared" si="1"/>
        <v>3285.4198859046023</v>
      </c>
      <c r="E20">
        <f t="shared" si="5"/>
        <v>-5.2225790735607891</v>
      </c>
      <c r="F20">
        <f t="shared" si="2"/>
        <v>-59.13978494623683</v>
      </c>
      <c r="G20">
        <f t="shared" si="3"/>
        <v>7599999.9999999497</v>
      </c>
      <c r="H20">
        <f t="shared" si="6"/>
        <v>-5.2225790735608433</v>
      </c>
      <c r="I20" s="27">
        <f t="shared" si="4"/>
        <v>7599999.9999999944</v>
      </c>
    </row>
    <row r="21" spans="3:9" x14ac:dyDescent="0.25">
      <c r="C21">
        <f t="shared" si="0"/>
        <v>8100000</v>
      </c>
      <c r="D21">
        <f t="shared" si="1"/>
        <v>3243.4530244301886</v>
      </c>
      <c r="E21">
        <f t="shared" si="5"/>
        <v>-4.7063593244890045</v>
      </c>
      <c r="F21">
        <f t="shared" si="2"/>
        <v>-56.451612903226071</v>
      </c>
      <c r="G21">
        <f t="shared" si="3"/>
        <v>8099999.9999999516</v>
      </c>
      <c r="H21">
        <f t="shared" si="6"/>
        <v>-4.7063593244890773</v>
      </c>
      <c r="I21" s="27">
        <f t="shared" si="4"/>
        <v>8099999.9999999944</v>
      </c>
    </row>
    <row r="22" spans="3:9" x14ac:dyDescent="0.25">
      <c r="C22">
        <f t="shared" si="0"/>
        <v>8600000</v>
      </c>
      <c r="D22">
        <f t="shared" si="1"/>
        <v>3200.3379209069881</v>
      </c>
      <c r="E22">
        <f t="shared" si="5"/>
        <v>-4.2596269440690238</v>
      </c>
      <c r="F22">
        <f t="shared" si="2"/>
        <v>-53.763440860215276</v>
      </c>
      <c r="G22">
        <f t="shared" si="3"/>
        <v>8599999.999999959</v>
      </c>
      <c r="H22">
        <f t="shared" si="6"/>
        <v>-4.2596269440690921</v>
      </c>
      <c r="I22" s="27">
        <f t="shared" si="4"/>
        <v>8600000.0000000019</v>
      </c>
    </row>
    <row r="23" spans="3:9" x14ac:dyDescent="0.25">
      <c r="C23">
        <f t="shared" si="0"/>
        <v>9100000</v>
      </c>
      <c r="D23">
        <f t="shared" si="1"/>
        <v>3156.0903700778681</v>
      </c>
      <c r="E23">
        <f t="shared" si="5"/>
        <v>-3.8704643982461704</v>
      </c>
      <c r="F23">
        <f t="shared" si="2"/>
        <v>-51.075268817204503</v>
      </c>
      <c r="G23">
        <f t="shared" si="3"/>
        <v>9099999.9999999627</v>
      </c>
      <c r="H23">
        <f t="shared" si="6"/>
        <v>-3.870464398246193</v>
      </c>
      <c r="I23" s="27">
        <f t="shared" si="4"/>
        <v>9100000.0000000019</v>
      </c>
    </row>
    <row r="24" spans="3:9" x14ac:dyDescent="0.25">
      <c r="C24">
        <f t="shared" si="0"/>
        <v>9600000</v>
      </c>
      <c r="D24">
        <f t="shared" si="1"/>
        <v>3110.7302971427362</v>
      </c>
      <c r="E24">
        <f t="shared" si="5"/>
        <v>-3.5294597553163118</v>
      </c>
      <c r="F24">
        <f t="shared" si="2"/>
        <v>-48.387096774193758</v>
      </c>
      <c r="G24">
        <f t="shared" si="3"/>
        <v>9599999.9999999609</v>
      </c>
      <c r="H24">
        <f t="shared" si="6"/>
        <v>-3.5294597553163327</v>
      </c>
      <c r="I24" s="27">
        <f t="shared" si="4"/>
        <v>9599999.9999999981</v>
      </c>
    </row>
    <row r="25" spans="3:9" x14ac:dyDescent="0.25">
      <c r="C25">
        <f t="shared" si="0"/>
        <v>10100000</v>
      </c>
      <c r="D25">
        <f t="shared" si="1"/>
        <v>3064.2818700760517</v>
      </c>
      <c r="E25">
        <f t="shared" si="5"/>
        <v>-3.2290853649526596</v>
      </c>
      <c r="F25">
        <f t="shared" si="2"/>
        <v>-45.698924731182984</v>
      </c>
      <c r="G25">
        <f t="shared" si="3"/>
        <v>10099999.999999965</v>
      </c>
      <c r="H25">
        <f t="shared" si="6"/>
        <v>-3.229085364952677</v>
      </c>
      <c r="I25" s="27">
        <f t="shared" si="4"/>
        <v>10100000.000000002</v>
      </c>
    </row>
    <row r="26" spans="3:9" x14ac:dyDescent="0.25">
      <c r="C26">
        <f t="shared" si="0"/>
        <v>10600000</v>
      </c>
      <c r="D26">
        <f t="shared" si="1"/>
        <v>3016.7735848628695</v>
      </c>
      <c r="E26">
        <f t="shared" si="5"/>
        <v>-2.9632524382165149</v>
      </c>
      <c r="F26">
        <f t="shared" si="2"/>
        <v>-43.010752688172239</v>
      </c>
      <c r="G26">
        <f t="shared" si="3"/>
        <v>10599999.999999963</v>
      </c>
      <c r="H26">
        <f t="shared" si="6"/>
        <v>-2.9632524382165415</v>
      </c>
      <c r="I26" s="27">
        <f t="shared" si="4"/>
        <v>10599999.999999996</v>
      </c>
    </row>
    <row r="27" spans="3:9" x14ac:dyDescent="0.25">
      <c r="C27">
        <f t="shared" si="0"/>
        <v>11100000</v>
      </c>
      <c r="D27">
        <f t="shared" si="1"/>
        <v>2968.2383207920329</v>
      </c>
      <c r="E27">
        <f t="shared" si="5"/>
        <v>-2.7269860615322616</v>
      </c>
      <c r="F27">
        <f t="shared" si="2"/>
        <v>-40.322580645161445</v>
      </c>
      <c r="G27">
        <f t="shared" si="3"/>
        <v>11099999.99999997</v>
      </c>
      <c r="H27">
        <f t="shared" si="6"/>
        <v>-2.7269860615322892</v>
      </c>
      <c r="I27" s="27">
        <f t="shared" si="4"/>
        <v>11100000.000000004</v>
      </c>
    </row>
    <row r="28" spans="3:9" x14ac:dyDescent="0.25">
      <c r="C28">
        <f t="shared" si="0"/>
        <v>11600000</v>
      </c>
      <c r="D28">
        <f t="shared" si="1"/>
        <v>2918.7133631766765</v>
      </c>
      <c r="E28">
        <f t="shared" si="5"/>
        <v>-2.5161843043005856</v>
      </c>
      <c r="F28">
        <f t="shared" si="2"/>
        <v>-37.634408602150693</v>
      </c>
      <c r="G28">
        <f t="shared" si="3"/>
        <v>11599999.99999997</v>
      </c>
      <c r="H28">
        <f t="shared" si="6"/>
        <v>-2.5161843043005918</v>
      </c>
      <c r="I28" s="27">
        <f t="shared" si="4"/>
        <v>11600000</v>
      </c>
    </row>
    <row r="29" spans="3:9" x14ac:dyDescent="0.25">
      <c r="C29">
        <f t="shared" ref="C29:C35" si="7">C30-500000</f>
        <v>12100000</v>
      </c>
      <c r="D29">
        <f t="shared" si="1"/>
        <v>2868.2403911755669</v>
      </c>
      <c r="E29">
        <f t="shared" si="5"/>
        <v>-2.327437093279412</v>
      </c>
      <c r="F29">
        <f t="shared" ref="F29:F35" si="8">LN(2*$I$4/D29-1)/-$H$4</f>
        <v>-34.946236559139948</v>
      </c>
      <c r="G29">
        <f t="shared" ref="G29:G35" si="9">(F29*$B$4/100+$B$4)</f>
        <v>12099999.99999997</v>
      </c>
      <c r="H29">
        <f t="shared" si="6"/>
        <v>-2.3274370932794266</v>
      </c>
      <c r="I29" s="27">
        <f t="shared" ref="I29:I35" si="10">(LN(2*$I$4/D29-1)/-$J$4)*$B$4/100+$B$4</f>
        <v>12099999.999999996</v>
      </c>
    </row>
    <row r="30" spans="3:9" x14ac:dyDescent="0.25">
      <c r="C30">
        <f t="shared" si="7"/>
        <v>12600000</v>
      </c>
      <c r="D30">
        <f t="shared" si="1"/>
        <v>2816.8654287632348</v>
      </c>
      <c r="E30">
        <f t="shared" si="5"/>
        <v>-2.1578882497906062</v>
      </c>
      <c r="F30">
        <f t="shared" si="8"/>
        <v>-32.258064516129167</v>
      </c>
      <c r="G30">
        <f t="shared" si="9"/>
        <v>12599999.999999974</v>
      </c>
      <c r="H30">
        <f t="shared" si="6"/>
        <v>-2.1578882497906271</v>
      </c>
      <c r="I30" s="27">
        <f t="shared" si="10"/>
        <v>12600000</v>
      </c>
    </row>
    <row r="31" spans="3:9" x14ac:dyDescent="0.25">
      <c r="C31">
        <f t="shared" si="7"/>
        <v>13100000</v>
      </c>
      <c r="D31">
        <f t="shared" si="1"/>
        <v>2764.638757339229</v>
      </c>
      <c r="E31">
        <f t="shared" si="5"/>
        <v>-2.0051291558193634</v>
      </c>
      <c r="F31">
        <f t="shared" si="8"/>
        <v>-29.569892473118401</v>
      </c>
      <c r="G31">
        <f t="shared" si="9"/>
        <v>13099999.999999978</v>
      </c>
      <c r="H31">
        <f t="shared" si="6"/>
        <v>-2.0051291558193705</v>
      </c>
      <c r="I31" s="27">
        <f t="shared" si="10"/>
        <v>13100000</v>
      </c>
    </row>
    <row r="32" spans="3:9" x14ac:dyDescent="0.25">
      <c r="C32">
        <f t="shared" si="7"/>
        <v>13600000</v>
      </c>
      <c r="D32">
        <f t="shared" si="1"/>
        <v>2711.6147889718013</v>
      </c>
      <c r="E32">
        <f t="shared" si="5"/>
        <v>-1.8671159075007864</v>
      </c>
      <c r="F32">
        <f t="shared" si="8"/>
        <v>-26.881720430107659</v>
      </c>
      <c r="G32">
        <f t="shared" si="9"/>
        <v>13599999.999999976</v>
      </c>
      <c r="H32">
        <f t="shared" si="6"/>
        <v>-1.8671159075007966</v>
      </c>
      <c r="I32" s="27">
        <f t="shared" si="10"/>
        <v>13599999.999999996</v>
      </c>
    </row>
    <row r="33" spans="3:9" x14ac:dyDescent="0.25">
      <c r="C33">
        <f t="shared" si="7"/>
        <v>14100000</v>
      </c>
      <c r="D33">
        <f t="shared" si="1"/>
        <v>2657.8518998310324</v>
      </c>
      <c r="E33">
        <f t="shared" si="5"/>
        <v>-1.7421041242210649</v>
      </c>
      <c r="F33">
        <f t="shared" si="8"/>
        <v>-24.193548387096879</v>
      </c>
      <c r="G33">
        <f t="shared" si="9"/>
        <v>14099999.999999981</v>
      </c>
      <c r="H33">
        <f t="shared" si="6"/>
        <v>-1.7421041242210766</v>
      </c>
      <c r="I33" s="27">
        <f t="shared" si="10"/>
        <v>14100000</v>
      </c>
    </row>
    <row r="34" spans="3:9" x14ac:dyDescent="0.25">
      <c r="C34">
        <f t="shared" si="7"/>
        <v>14600000</v>
      </c>
      <c r="D34">
        <f t="shared" si="1"/>
        <v>2603.412223970658</v>
      </c>
      <c r="E34">
        <f t="shared" si="5"/>
        <v>-1.6285971793853204</v>
      </c>
      <c r="F34">
        <f t="shared" si="8"/>
        <v>-21.505376344086123</v>
      </c>
      <c r="G34">
        <f t="shared" si="9"/>
        <v>14599999.999999981</v>
      </c>
      <c r="H34">
        <f t="shared" si="6"/>
        <v>-1.6285971793853287</v>
      </c>
      <c r="I34" s="27">
        <f t="shared" si="10"/>
        <v>14599999.999999998</v>
      </c>
    </row>
    <row r="35" spans="3:9" x14ac:dyDescent="0.25">
      <c r="C35">
        <f t="shared" si="7"/>
        <v>15100000</v>
      </c>
      <c r="D35">
        <f t="shared" si="1"/>
        <v>2548.3614082542776</v>
      </c>
      <c r="E35">
        <f t="shared" si="5"/>
        <v>-1.5253047405523186</v>
      </c>
      <c r="F35">
        <f t="shared" si="8"/>
        <v>-18.81720430107535</v>
      </c>
      <c r="G35">
        <f t="shared" si="9"/>
        <v>15099999.999999985</v>
      </c>
      <c r="H35">
        <f t="shared" si="6"/>
        <v>-1.5253047405523315</v>
      </c>
      <c r="I35" s="27">
        <f t="shared" si="10"/>
        <v>15100000</v>
      </c>
    </row>
    <row r="36" spans="3:9" x14ac:dyDescent="0.25">
      <c r="C36">
        <f t="shared" ref="C36:C41" si="11">C37-500000</f>
        <v>15600000</v>
      </c>
      <c r="D36">
        <f t="shared" si="1"/>
        <v>2492.7683298759807</v>
      </c>
      <c r="E36">
        <f t="shared" ref="E36:E59" si="12">((C37-C35)/C36)/((D37-D35)/D36)</f>
        <v>-1.4311093047280761</v>
      </c>
      <c r="F36">
        <f t="shared" ref="F36:F50" si="13">LN(2*$I$4/D36-1)/-$H$4</f>
        <v>-16.129032258064573</v>
      </c>
      <c r="G36">
        <f t="shared" ref="G36:G50" si="14">(F36*$B$4/100+$B$4)</f>
        <v>15599999.999999989</v>
      </c>
      <c r="H36">
        <f t="shared" si="6"/>
        <v>-1.4311093047280854</v>
      </c>
      <c r="I36" s="27">
        <f t="shared" ref="I36:I50" si="15">(LN(2*$I$4/D36-1)/-$J$4)*$B$4/100+$B$4</f>
        <v>15600000.000000002</v>
      </c>
    </row>
    <row r="37" spans="3:9" x14ac:dyDescent="0.25">
      <c r="C37">
        <f t="shared" si="11"/>
        <v>16100000</v>
      </c>
      <c r="D37">
        <f t="shared" si="1"/>
        <v>2436.7047785819</v>
      </c>
      <c r="E37">
        <f t="shared" si="12"/>
        <v>-1.3450389896298971</v>
      </c>
      <c r="F37">
        <f t="shared" si="13"/>
        <v>-13.440860215053814</v>
      </c>
      <c r="G37">
        <f t="shared" si="14"/>
        <v>16099999.999999991</v>
      </c>
      <c r="H37">
        <f t="shared" si="6"/>
        <v>-1.3450389896299031</v>
      </c>
      <c r="I37" s="27">
        <f t="shared" si="15"/>
        <v>16100000.000000002</v>
      </c>
    </row>
    <row r="38" spans="3:9" x14ac:dyDescent="0.25">
      <c r="C38">
        <f t="shared" si="11"/>
        <v>16600000</v>
      </c>
      <c r="D38">
        <f t="shared" si="1"/>
        <v>2380.2451063410772</v>
      </c>
      <c r="E38">
        <f t="shared" si="12"/>
        <v>-1.266245260870217</v>
      </c>
      <c r="F38">
        <f t="shared" si="13"/>
        <v>-10.752688172043051</v>
      </c>
      <c r="G38">
        <f t="shared" si="14"/>
        <v>16599999.999999993</v>
      </c>
      <c r="H38">
        <f t="shared" si="6"/>
        <v>-1.2662452608702199</v>
      </c>
      <c r="I38" s="27">
        <f t="shared" si="15"/>
        <v>16600000.000000002</v>
      </c>
    </row>
    <row r="39" spans="3:9" x14ac:dyDescent="0.25">
      <c r="C39">
        <f t="shared" si="11"/>
        <v>17100000</v>
      </c>
      <c r="D39">
        <f t="shared" si="1"/>
        <v>2323.4658478240508</v>
      </c>
      <c r="E39">
        <f t="shared" si="12"/>
        <v>-1.193984583844774</v>
      </c>
      <c r="F39">
        <f t="shared" si="13"/>
        <v>-8.06451612903229</v>
      </c>
      <c r="G39">
        <f t="shared" si="14"/>
        <v>17099999.999999993</v>
      </c>
      <c r="H39">
        <f t="shared" si="6"/>
        <v>-1.1939845838447747</v>
      </c>
      <c r="I39" s="27">
        <f t="shared" si="15"/>
        <v>17100000</v>
      </c>
    </row>
    <row r="40" spans="3:9" x14ac:dyDescent="0.25">
      <c r="C40">
        <f t="shared" si="11"/>
        <v>17600000</v>
      </c>
      <c r="D40">
        <f t="shared" si="1"/>
        <v>2266.4453156087297</v>
      </c>
      <c r="E40">
        <f t="shared" si="12"/>
        <v>-1.1276032189791168</v>
      </c>
      <c r="F40">
        <f t="shared" si="13"/>
        <v>-5.376344086021537</v>
      </c>
      <c r="G40">
        <f t="shared" si="14"/>
        <v>17599999.999999993</v>
      </c>
      <c r="H40">
        <f t="shared" si="6"/>
        <v>-1.1276032189791256</v>
      </c>
      <c r="I40" s="27">
        <f t="shared" si="15"/>
        <v>17600000</v>
      </c>
    </row>
    <row r="41" spans="3:9" x14ac:dyDescent="0.25">
      <c r="C41">
        <f t="shared" si="11"/>
        <v>18100000</v>
      </c>
      <c r="D41">
        <f t="shared" si="1"/>
        <v>2209.2631745292629</v>
      </c>
      <c r="E41">
        <f t="shared" si="12"/>
        <v>-1.0665245517043966</v>
      </c>
      <c r="F41">
        <f t="shared" si="13"/>
        <v>-2.6881720430107556</v>
      </c>
      <c r="G41">
        <f t="shared" si="14"/>
        <v>18100000</v>
      </c>
      <c r="H41">
        <f t="shared" si="6"/>
        <v>-1.0665245517044046</v>
      </c>
      <c r="I41" s="27">
        <f t="shared" si="15"/>
        <v>18100000</v>
      </c>
    </row>
    <row r="42" spans="3:9" x14ac:dyDescent="0.25">
      <c r="C42">
        <f>B4</f>
        <v>18600000</v>
      </c>
      <c r="D42">
        <f t="shared" si="1"/>
        <v>2152</v>
      </c>
      <c r="E42">
        <f t="shared" si="12"/>
        <v>-1.0102384794616812</v>
      </c>
      <c r="F42">
        <f t="shared" si="13"/>
        <v>0</v>
      </c>
      <c r="G42">
        <f t="shared" si="14"/>
        <v>18600000</v>
      </c>
      <c r="H42">
        <f t="shared" si="6"/>
        <v>-1.0102384794616812</v>
      </c>
      <c r="I42" s="27">
        <f t="shared" si="15"/>
        <v>18600000</v>
      </c>
    </row>
    <row r="43" spans="3:9" x14ac:dyDescent="0.25">
      <c r="C43">
        <f t="shared" ref="C43:C50" si="16">C42+500000</f>
        <v>19100000</v>
      </c>
      <c r="D43">
        <f t="shared" si="1"/>
        <v>2094.7368254707371</v>
      </c>
      <c r="E43">
        <f t="shared" si="12"/>
        <v>-0.95829247811357798</v>
      </c>
      <c r="F43">
        <f t="shared" si="13"/>
        <v>2.6881720430107614</v>
      </c>
      <c r="G43">
        <f t="shared" si="14"/>
        <v>19100000</v>
      </c>
      <c r="H43">
        <f t="shared" si="6"/>
        <v>-0.95829247811358154</v>
      </c>
      <c r="I43" s="27">
        <f t="shared" si="15"/>
        <v>19100000</v>
      </c>
    </row>
    <row r="44" spans="3:9" x14ac:dyDescent="0.25">
      <c r="C44">
        <f t="shared" si="16"/>
        <v>19600000</v>
      </c>
      <c r="D44">
        <f t="shared" si="1"/>
        <v>2037.5546843912705</v>
      </c>
      <c r="E44">
        <f t="shared" si="12"/>
        <v>-0.91028404724182854</v>
      </c>
      <c r="F44">
        <f t="shared" si="13"/>
        <v>5.3763440860215184</v>
      </c>
      <c r="G44">
        <f t="shared" si="14"/>
        <v>19600000.000000004</v>
      </c>
      <c r="H44">
        <f t="shared" si="6"/>
        <v>-0.91028404724183509</v>
      </c>
      <c r="I44" s="27">
        <f t="shared" si="15"/>
        <v>19599999.999999996</v>
      </c>
    </row>
    <row r="45" spans="3:9" x14ac:dyDescent="0.25">
      <c r="C45">
        <f t="shared" si="16"/>
        <v>20100000</v>
      </c>
      <c r="D45">
        <f t="shared" si="1"/>
        <v>1980.5341521759492</v>
      </c>
      <c r="E45">
        <f t="shared" si="12"/>
        <v>-0.86585429364660726</v>
      </c>
      <c r="F45">
        <f t="shared" si="13"/>
        <v>8.0645161290322953</v>
      </c>
      <c r="G45">
        <f t="shared" si="14"/>
        <v>20100000.000000007</v>
      </c>
      <c r="H45">
        <f t="shared" si="6"/>
        <v>-0.86585429364661337</v>
      </c>
      <c r="I45" s="27">
        <f t="shared" si="15"/>
        <v>20100000</v>
      </c>
    </row>
    <row r="46" spans="3:9" x14ac:dyDescent="0.25">
      <c r="C46">
        <f t="shared" si="16"/>
        <v>20600000</v>
      </c>
      <c r="D46">
        <f t="shared" si="1"/>
        <v>1923.7548936589224</v>
      </c>
      <c r="E46">
        <f t="shared" si="12"/>
        <v>-0.82468245912753269</v>
      </c>
      <c r="F46">
        <f t="shared" si="13"/>
        <v>10.75268817204307</v>
      </c>
      <c r="G46">
        <f t="shared" si="14"/>
        <v>20600000.000000011</v>
      </c>
      <c r="H46">
        <f t="shared" si="6"/>
        <v>-0.82468245912753524</v>
      </c>
      <c r="I46" s="27">
        <f t="shared" si="15"/>
        <v>20600000.000000004</v>
      </c>
    </row>
    <row r="47" spans="3:9" x14ac:dyDescent="0.25">
      <c r="C47">
        <f t="shared" si="16"/>
        <v>21100000</v>
      </c>
      <c r="D47">
        <f t="shared" si="1"/>
        <v>1867.2952214181</v>
      </c>
      <c r="E47">
        <f t="shared" si="12"/>
        <v>-0.7864812354156111</v>
      </c>
      <c r="F47">
        <f t="shared" si="13"/>
        <v>13.440860215053819</v>
      </c>
      <c r="G47">
        <f t="shared" si="14"/>
        <v>21100000.000000011</v>
      </c>
      <c r="H47">
        <f t="shared" si="6"/>
        <v>-0.78648123541561077</v>
      </c>
      <c r="I47" s="27">
        <f t="shared" si="15"/>
        <v>21100000</v>
      </c>
    </row>
    <row r="48" spans="3:9" x14ac:dyDescent="0.25">
      <c r="C48">
        <f t="shared" si="16"/>
        <v>21600000</v>
      </c>
      <c r="D48">
        <f t="shared" si="1"/>
        <v>1811.231670124019</v>
      </c>
      <c r="E48">
        <f t="shared" si="12"/>
        <v>-0.75099273824885271</v>
      </c>
      <c r="F48">
        <f t="shared" si="13"/>
        <v>16.129032258064584</v>
      </c>
      <c r="G48">
        <f t="shared" si="14"/>
        <v>21600000.000000011</v>
      </c>
      <c r="H48">
        <f t="shared" si="6"/>
        <v>-0.75099273824885515</v>
      </c>
      <c r="I48" s="27">
        <f t="shared" si="15"/>
        <v>21600000</v>
      </c>
    </row>
    <row r="49" spans="3:9" x14ac:dyDescent="0.25">
      <c r="C49">
        <f t="shared" si="16"/>
        <v>22100000</v>
      </c>
      <c r="D49">
        <f t="shared" si="1"/>
        <v>1755.6385917457221</v>
      </c>
      <c r="E49">
        <f t="shared" si="12"/>
        <v>-0.71798503577622363</v>
      </c>
      <c r="F49">
        <f t="shared" si="13"/>
        <v>18.81720430107535</v>
      </c>
      <c r="G49">
        <f t="shared" si="14"/>
        <v>22100000.000000015</v>
      </c>
      <c r="H49">
        <f t="shared" si="6"/>
        <v>-0.71798503577622852</v>
      </c>
      <c r="I49" s="27">
        <f t="shared" si="15"/>
        <v>22100000</v>
      </c>
    </row>
    <row r="50" spans="3:9" x14ac:dyDescent="0.25">
      <c r="C50">
        <f t="shared" si="16"/>
        <v>22600000</v>
      </c>
      <c r="D50">
        <f t="shared" si="1"/>
        <v>1700.587776029342</v>
      </c>
      <c r="E50">
        <f t="shared" si="12"/>
        <v>-0.68724914504756396</v>
      </c>
      <c r="F50">
        <f t="shared" si="13"/>
        <v>21.505376344086116</v>
      </c>
      <c r="G50">
        <f t="shared" si="14"/>
        <v>22600000.000000019</v>
      </c>
      <c r="H50">
        <f>((G7-G49)/G50)/((D7-D49)/D50)</f>
        <v>-0.78508915477597563</v>
      </c>
      <c r="I50" s="27">
        <f t="shared" si="15"/>
        <v>22600000</v>
      </c>
    </row>
    <row r="51" spans="3:9" x14ac:dyDescent="0.25">
      <c r="C51">
        <f t="shared" ref="C51:C59" si="17">C50+500000</f>
        <v>23100000</v>
      </c>
      <c r="D51">
        <f t="shared" ref="D51:D59" si="18">2*I$4/(1+EXP(-J$4*((C51-$B$4)/$B$4*100)))</f>
        <v>1646.1481001689676</v>
      </c>
      <c r="E51">
        <f t="shared" si="12"/>
        <v>-0.65859642530086338</v>
      </c>
      <c r="F51">
        <f t="shared" ref="F51:F59" si="19">LN(2*$I$4/D51-1)/-$H$4</f>
        <v>24.193548387096868</v>
      </c>
      <c r="G51">
        <f t="shared" ref="G51:G59" si="20">(F51*$B$4/100+$B$4)</f>
        <v>23100000.000000019</v>
      </c>
      <c r="H51">
        <f>((G52-G50)/G51)/((D52-D50)/D51)</f>
        <v>-0.65859642530086282</v>
      </c>
      <c r="I51" s="27">
        <f t="shared" ref="I51:I59" si="21">(LN(2*$I$4/D51-1)/-$J$4)*$B$4/100+$B$4</f>
        <v>23100000</v>
      </c>
    </row>
    <row r="52" spans="3:9" x14ac:dyDescent="0.25">
      <c r="C52">
        <f t="shared" si="17"/>
        <v>23600000</v>
      </c>
      <c r="D52">
        <f t="shared" si="18"/>
        <v>1592.3852110281989</v>
      </c>
      <c r="E52">
        <f t="shared" si="12"/>
        <v>-0.63185630885954169</v>
      </c>
      <c r="F52">
        <f t="shared" si="19"/>
        <v>26.881720430107631</v>
      </c>
      <c r="G52">
        <f t="shared" si="20"/>
        <v>23600000.000000019</v>
      </c>
      <c r="H52">
        <f>((G9-G51)/G52)/((D9-D51)/D52)</f>
        <v>-0.699990466132137</v>
      </c>
      <c r="I52" s="27">
        <f t="shared" si="21"/>
        <v>23600000</v>
      </c>
    </row>
    <row r="53" spans="3:9" x14ac:dyDescent="0.25">
      <c r="C53">
        <f t="shared" si="17"/>
        <v>24100000</v>
      </c>
      <c r="D53">
        <f t="shared" si="18"/>
        <v>1539.361242660771</v>
      </c>
      <c r="E53">
        <f t="shared" si="12"/>
        <v>-0.60687432029318833</v>
      </c>
      <c r="F53">
        <f t="shared" si="19"/>
        <v>29.569892473118408</v>
      </c>
      <c r="G53">
        <f t="shared" si="20"/>
        <v>24100000.000000022</v>
      </c>
      <c r="H53">
        <f>((G54-G52)/G53)/((D54-D52)/D53)</f>
        <v>-0.60687432029319233</v>
      </c>
      <c r="I53" s="27">
        <f t="shared" si="21"/>
        <v>24100000</v>
      </c>
    </row>
    <row r="54" spans="3:9" x14ac:dyDescent="0.25">
      <c r="C54">
        <f t="shared" si="17"/>
        <v>24600000</v>
      </c>
      <c r="D54">
        <f t="shared" si="18"/>
        <v>1487.1345712367654</v>
      </c>
      <c r="E54">
        <f t="shared" si="12"/>
        <v>-0.58351034253496081</v>
      </c>
      <c r="F54">
        <f t="shared" si="19"/>
        <v>32.258064516129167</v>
      </c>
      <c r="G54">
        <f t="shared" si="20"/>
        <v>24600000.000000026</v>
      </c>
      <c r="H54">
        <f>((G11-G53)/G54)/((D11-D53)/D54)</f>
        <v>-0.61289612644798153</v>
      </c>
      <c r="I54" s="27">
        <f t="shared" si="21"/>
        <v>24600000</v>
      </c>
    </row>
    <row r="55" spans="3:9" x14ac:dyDescent="0.25">
      <c r="C55">
        <f t="shared" si="17"/>
        <v>25100000</v>
      </c>
      <c r="D55">
        <f t="shared" si="18"/>
        <v>1435.7596088244334</v>
      </c>
      <c r="E55">
        <f t="shared" si="12"/>
        <v>-0.5616370952464268</v>
      </c>
      <c r="F55">
        <f t="shared" si="19"/>
        <v>34.946236559139933</v>
      </c>
      <c r="G55">
        <f t="shared" si="20"/>
        <v>25100000.000000026</v>
      </c>
      <c r="H55">
        <f>((G56-G54)/G55)/((D56-D54)/D55)</f>
        <v>-0.56163709524642835</v>
      </c>
      <c r="I55" s="27">
        <f t="shared" si="21"/>
        <v>25100000</v>
      </c>
    </row>
    <row r="56" spans="3:9" x14ac:dyDescent="0.25">
      <c r="C56">
        <f t="shared" si="17"/>
        <v>25600000</v>
      </c>
      <c r="D56">
        <f t="shared" si="18"/>
        <v>1385.2866368233235</v>
      </c>
      <c r="E56">
        <f t="shared" si="12"/>
        <v>-0.54113879615764082</v>
      </c>
      <c r="F56">
        <f t="shared" si="19"/>
        <v>37.6344086021507</v>
      </c>
      <c r="G56">
        <f t="shared" si="20"/>
        <v>25600000.00000003</v>
      </c>
      <c r="H56">
        <f>((G13-G55)/G56)/((D13-D55)/D56)</f>
        <v>-0.53837253083254255</v>
      </c>
      <c r="I56" s="27">
        <f t="shared" si="21"/>
        <v>25600000</v>
      </c>
    </row>
    <row r="57" spans="3:9" x14ac:dyDescent="0.25">
      <c r="C57">
        <f t="shared" si="17"/>
        <v>26100000</v>
      </c>
      <c r="D57">
        <f t="shared" si="18"/>
        <v>1335.7616792079671</v>
      </c>
      <c r="E57">
        <f t="shared" si="12"/>
        <v>-0.52190998060917793</v>
      </c>
      <c r="F57">
        <f t="shared" si="19"/>
        <v>40.322580645161452</v>
      </c>
      <c r="G57">
        <f t="shared" si="20"/>
        <v>26100000.00000003</v>
      </c>
      <c r="H57">
        <f>((G58-G56)/G57)/((D58-D56)/D57)</f>
        <v>-0.52190998060918126</v>
      </c>
      <c r="I57" s="27">
        <f t="shared" si="21"/>
        <v>26100000</v>
      </c>
    </row>
    <row r="58" spans="3:9" x14ac:dyDescent="0.25">
      <c r="C58">
        <f t="shared" si="17"/>
        <v>26600000</v>
      </c>
      <c r="D58">
        <f t="shared" si="18"/>
        <v>1287.2264151371305</v>
      </c>
      <c r="E58">
        <f t="shared" si="12"/>
        <v>-0.50385445826010711</v>
      </c>
      <c r="F58">
        <f t="shared" si="19"/>
        <v>43.010752688172232</v>
      </c>
      <c r="G58">
        <f t="shared" si="20"/>
        <v>26600000.000000037</v>
      </c>
      <c r="H58">
        <f>((G15-G57)/G58)/((D15-D57)/D58)</f>
        <v>-0.47443410228365207</v>
      </c>
      <c r="I58" s="27">
        <f t="shared" si="21"/>
        <v>26600000.000000004</v>
      </c>
    </row>
    <row r="59" spans="3:9" x14ac:dyDescent="0.25">
      <c r="C59">
        <f t="shared" si="17"/>
        <v>27100000</v>
      </c>
      <c r="D59">
        <f t="shared" si="18"/>
        <v>1239.7181299239485</v>
      </c>
      <c r="E59">
        <f t="shared" si="12"/>
        <v>0.94532328375729979</v>
      </c>
      <c r="F59">
        <f t="shared" si="19"/>
        <v>45.698924731182977</v>
      </c>
      <c r="G59">
        <f t="shared" si="20"/>
        <v>27100000.000000034</v>
      </c>
      <c r="H59">
        <f>((G60-G58)/G59)/((D60-D58)/D59)</f>
        <v>0.9453232837572999</v>
      </c>
      <c r="I59" s="27">
        <f t="shared" si="21"/>
        <v>27100000</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V60"/>
  <sheetViews>
    <sheetView topLeftCell="A10" zoomScale="85" zoomScaleNormal="85" workbookViewId="0">
      <selection activeCell="B10" sqref="B10"/>
    </sheetView>
  </sheetViews>
  <sheetFormatPr defaultRowHeight="15" x14ac:dyDescent="0.25"/>
  <cols>
    <col min="1" max="1" width="25.7109375" bestFit="1" customWidth="1"/>
    <col min="2" max="2" width="18.28515625" style="121" customWidth="1"/>
    <col min="3" max="3" width="27.28515625" customWidth="1"/>
    <col min="4" max="4" width="22.140625" customWidth="1"/>
    <col min="9" max="9" width="42.28515625" customWidth="1"/>
    <col min="13" max="13" width="38.85546875" bestFit="1" customWidth="1"/>
    <col min="18" max="18" width="22.42578125" bestFit="1" customWidth="1"/>
  </cols>
  <sheetData>
    <row r="1" spans="1:3" x14ac:dyDescent="0.25">
      <c r="A1" s="28" t="str">
        <f>[1]Factors!A1</f>
        <v>Factor</v>
      </c>
      <c r="B1" s="28" t="str">
        <f>[1]Factors!$D$1</f>
        <v>Ela-sticity</v>
      </c>
    </row>
    <row r="2" spans="1:3" x14ac:dyDescent="0.25">
      <c r="A2" s="96" t="str">
        <f>[1]Factors!A2</f>
        <v>Pine saw timber</v>
      </c>
      <c r="B2" s="36">
        <v>0</v>
      </c>
    </row>
    <row r="3" spans="1:3" x14ac:dyDescent="0.25">
      <c r="A3" s="96" t="str">
        <f>[1]Factors!A3</f>
        <v>Pine pulpwood</v>
      </c>
      <c r="B3" s="36">
        <v>0</v>
      </c>
    </row>
    <row r="4" spans="1:3" x14ac:dyDescent="0.25">
      <c r="A4" s="96" t="str">
        <f>[1]Factors!A4</f>
        <v>Spruce saw timber</v>
      </c>
      <c r="B4" s="36">
        <v>0</v>
      </c>
    </row>
    <row r="5" spans="1:3" x14ac:dyDescent="0.25">
      <c r="A5" s="96" t="str">
        <f>[1]Factors!A5</f>
        <v>Spruce pulpwood</v>
      </c>
      <c r="B5" s="36">
        <v>0</v>
      </c>
    </row>
    <row r="6" spans="1:3" x14ac:dyDescent="0.25">
      <c r="A6" s="96" t="str">
        <f>[1]Factors!A6</f>
        <v>Deciduous wood</v>
      </c>
      <c r="B6" s="36">
        <v>0</v>
      </c>
    </row>
    <row r="7" spans="1:3" x14ac:dyDescent="0.25">
      <c r="A7" s="96" t="str">
        <f>[1]Factors!A7</f>
        <v>Sawdust</v>
      </c>
      <c r="B7" s="36">
        <v>0</v>
      </c>
    </row>
    <row r="8" spans="1:3" x14ac:dyDescent="0.25">
      <c r="A8" s="96" t="str">
        <f>[1]Factors!A8</f>
        <v>Chips</v>
      </c>
      <c r="B8" s="36">
        <v>0</v>
      </c>
    </row>
    <row r="9" spans="1:3" x14ac:dyDescent="0.25">
      <c r="A9" s="96" t="str">
        <f>[1]Factors!A9</f>
        <v>Residues above gr.</v>
      </c>
      <c r="B9" s="36">
        <v>0</v>
      </c>
    </row>
    <row r="10" spans="1:3" x14ac:dyDescent="0.25">
      <c r="A10" s="96" t="str">
        <f>[1]Factors!A10</f>
        <v>Stump and roots</v>
      </c>
      <c r="B10" s="36">
        <v>0</v>
      </c>
    </row>
    <row r="11" spans="1:3" x14ac:dyDescent="0.25">
      <c r="A11" s="96" t="str">
        <f>[1]Factors!A14</f>
        <v>Sawn wood</v>
      </c>
      <c r="B11" s="130">
        <f>B26</f>
        <v>-0.1225429648006558</v>
      </c>
      <c r="C11" s="125" t="s">
        <v>451</v>
      </c>
    </row>
    <row r="12" spans="1:3" x14ac:dyDescent="0.25">
      <c r="A12" s="96" t="str">
        <f>[1]Factors!A15</f>
        <v>Heat</v>
      </c>
      <c r="B12" s="36">
        <v>1</v>
      </c>
    </row>
    <row r="13" spans="1:3" x14ac:dyDescent="0.25">
      <c r="A13" s="96" t="str">
        <f>[1]Factors!A16</f>
        <v>Electricity</v>
      </c>
      <c r="B13" s="36">
        <v>1</v>
      </c>
    </row>
    <row r="14" spans="1:3" x14ac:dyDescent="0.25">
      <c r="A14" s="96" t="str">
        <f>[1]Factors!A17</f>
        <v>Biofuel</v>
      </c>
      <c r="B14" s="36">
        <v>1</v>
      </c>
    </row>
    <row r="15" spans="1:3" x14ac:dyDescent="0.25">
      <c r="A15" s="96" t="str">
        <f>[1]Factors!A18</f>
        <v>Pulp chem. process</v>
      </c>
      <c r="B15" s="36">
        <f>-0.5</f>
        <v>-0.5</v>
      </c>
      <c r="C15" t="s">
        <v>347</v>
      </c>
    </row>
    <row r="16" spans="1:3" x14ac:dyDescent="0.25">
      <c r="A16" s="96" t="str">
        <f>[1]Factors!A19</f>
        <v>Pulp mech. process</v>
      </c>
      <c r="B16" s="36">
        <f>-0.5</f>
        <v>-0.5</v>
      </c>
      <c r="C16" t="s">
        <v>347</v>
      </c>
    </row>
    <row r="17" spans="1:22" x14ac:dyDescent="0.25">
      <c r="A17" s="96" t="str">
        <f>[1]Factors!A20</f>
        <v>Dissolving pulp</v>
      </c>
      <c r="B17" s="36">
        <f>-1.93</f>
        <v>-1.93</v>
      </c>
    </row>
    <row r="18" spans="1:22" x14ac:dyDescent="0.25">
      <c r="A18" s="96" t="str">
        <f>[1]Factors!A21</f>
        <v>Packaging</v>
      </c>
      <c r="B18" s="130">
        <f>B33</f>
        <v>-0.31123035623374551</v>
      </c>
      <c r="C18" s="123" t="s">
        <v>444</v>
      </c>
    </row>
    <row r="19" spans="1:22" x14ac:dyDescent="0.25">
      <c r="A19" s="96" t="str">
        <f>[1]Factors!A22</f>
        <v>Other paper chem.</v>
      </c>
      <c r="B19" s="130">
        <f>B32</f>
        <v>-0.49445162512436425</v>
      </c>
      <c r="C19" s="123" t="s">
        <v>441</v>
      </c>
    </row>
    <row r="20" spans="1:22" x14ac:dyDescent="0.25">
      <c r="A20" s="96" t="str">
        <f>[1]Factors!A23</f>
        <v>Other paper mech.</v>
      </c>
      <c r="B20" s="130">
        <f>B32</f>
        <v>-0.49445162512436425</v>
      </c>
      <c r="C20" s="123" t="s">
        <v>441</v>
      </c>
    </row>
    <row r="21" spans="1:22" x14ac:dyDescent="0.25">
      <c r="A21" s="96" t="str">
        <f>[1]Factors!A24</f>
        <v>Newsprint</v>
      </c>
      <c r="B21" s="130">
        <f>B31</f>
        <v>-0.5347389136270293</v>
      </c>
      <c r="C21" s="123" t="s">
        <v>439</v>
      </c>
    </row>
    <row r="25" spans="1:22" x14ac:dyDescent="0.25">
      <c r="C25" s="129" t="s">
        <v>483</v>
      </c>
      <c r="D25" s="121"/>
      <c r="E25" s="121"/>
      <c r="F25" s="121"/>
      <c r="G25" s="121"/>
      <c r="H25" s="121"/>
      <c r="I25" s="200" t="s">
        <v>482</v>
      </c>
      <c r="J25" s="200"/>
      <c r="K25" s="200"/>
      <c r="L25" s="200"/>
      <c r="M25" s="28" t="s">
        <v>481</v>
      </c>
      <c r="N25" s="200" t="s">
        <v>480</v>
      </c>
      <c r="O25" s="200"/>
      <c r="P25" s="200"/>
      <c r="Q25" s="200"/>
      <c r="R25" s="200"/>
      <c r="S25" s="200"/>
      <c r="T25" s="200"/>
      <c r="U25" s="200"/>
      <c r="V25" s="28" t="s">
        <v>479</v>
      </c>
    </row>
    <row r="26" spans="1:22" x14ac:dyDescent="0.25">
      <c r="A26" t="s">
        <v>478</v>
      </c>
      <c r="B26" s="121">
        <v>-0.1225429648006558</v>
      </c>
      <c r="C26" s="202" t="s">
        <v>477</v>
      </c>
      <c r="D26" s="201"/>
      <c r="E26" s="201"/>
      <c r="F26" s="201"/>
      <c r="G26" s="201"/>
      <c r="H26" s="121"/>
      <c r="I26" s="201" t="s">
        <v>466</v>
      </c>
      <c r="J26" s="201"/>
      <c r="K26" s="201"/>
      <c r="L26" s="201"/>
      <c r="M26" s="4">
        <v>1632</v>
      </c>
      <c r="N26" t="s">
        <v>458</v>
      </c>
      <c r="V26">
        <v>1632</v>
      </c>
    </row>
    <row r="27" spans="1:22" x14ac:dyDescent="0.25">
      <c r="A27" t="s">
        <v>476</v>
      </c>
      <c r="B27" s="121">
        <v>-0.16607277585022934</v>
      </c>
      <c r="C27" s="202" t="s">
        <v>475</v>
      </c>
      <c r="D27" s="201"/>
      <c r="E27" s="201"/>
      <c r="F27" s="201"/>
      <c r="G27" s="201"/>
      <c r="H27" s="121"/>
      <c r="I27" s="201" t="s">
        <v>466</v>
      </c>
      <c r="J27" s="201"/>
      <c r="K27" s="201"/>
      <c r="L27" s="201"/>
      <c r="M27" s="4">
        <v>1633</v>
      </c>
      <c r="N27" t="s">
        <v>458</v>
      </c>
      <c r="V27">
        <v>1633</v>
      </c>
    </row>
    <row r="28" spans="1:22" x14ac:dyDescent="0.25">
      <c r="A28" t="s">
        <v>474</v>
      </c>
      <c r="B28" s="125">
        <v>-0.37292878391342177</v>
      </c>
      <c r="C28" s="202" t="s">
        <v>473</v>
      </c>
      <c r="D28" s="201"/>
      <c r="E28" s="201"/>
      <c r="F28" s="201"/>
      <c r="G28" s="201"/>
      <c r="H28" s="125"/>
      <c r="I28" s="201" t="s">
        <v>466</v>
      </c>
      <c r="J28" s="201"/>
      <c r="K28" s="201"/>
      <c r="L28" s="201"/>
      <c r="M28" s="4">
        <v>1640</v>
      </c>
      <c r="N28" t="s">
        <v>458</v>
      </c>
      <c r="V28">
        <v>1640</v>
      </c>
    </row>
    <row r="29" spans="1:22" x14ac:dyDescent="0.25">
      <c r="A29" t="s">
        <v>472</v>
      </c>
      <c r="B29" s="121">
        <v>-0.32155056344974675</v>
      </c>
      <c r="C29" s="202" t="s">
        <v>471</v>
      </c>
      <c r="D29" s="201"/>
      <c r="E29" s="201"/>
      <c r="F29" s="201"/>
      <c r="G29" s="201"/>
      <c r="H29" s="121"/>
      <c r="I29" s="201" t="s">
        <v>459</v>
      </c>
      <c r="J29" s="201"/>
      <c r="K29" s="201"/>
      <c r="L29" s="201"/>
      <c r="M29" s="4">
        <v>4410</v>
      </c>
      <c r="N29" t="s">
        <v>458</v>
      </c>
      <c r="V29">
        <v>1697</v>
      </c>
    </row>
    <row r="30" spans="1:22" x14ac:dyDescent="0.25">
      <c r="A30" t="s">
        <v>470</v>
      </c>
      <c r="B30" s="121">
        <v>-0.46439097000000001</v>
      </c>
      <c r="C30" s="202" t="s">
        <v>469</v>
      </c>
      <c r="D30" s="201"/>
      <c r="E30" s="201"/>
      <c r="F30" s="201"/>
      <c r="G30" s="201"/>
      <c r="H30" s="121"/>
      <c r="I30" t="s">
        <v>468</v>
      </c>
      <c r="M30" s="128" t="s">
        <v>199</v>
      </c>
      <c r="V30" s="128" t="s">
        <v>199</v>
      </c>
    </row>
    <row r="31" spans="1:22" x14ac:dyDescent="0.25">
      <c r="A31" t="s">
        <v>55</v>
      </c>
      <c r="B31" s="121">
        <v>-0.5347389136270293</v>
      </c>
      <c r="C31" s="202" t="s">
        <v>467</v>
      </c>
      <c r="D31" s="201"/>
      <c r="E31" s="201"/>
      <c r="F31" s="201"/>
      <c r="G31" s="201"/>
      <c r="H31" s="121"/>
      <c r="I31" s="4" t="s">
        <v>466</v>
      </c>
      <c r="J31" s="4"/>
      <c r="K31" s="4"/>
      <c r="L31" s="4"/>
      <c r="M31" s="127">
        <v>1671</v>
      </c>
      <c r="N31" t="s">
        <v>458</v>
      </c>
      <c r="V31">
        <v>1671</v>
      </c>
    </row>
    <row r="32" spans="1:22" x14ac:dyDescent="0.25">
      <c r="A32" t="s">
        <v>465</v>
      </c>
      <c r="B32" s="121">
        <v>-0.49445162512436425</v>
      </c>
      <c r="C32" s="202" t="s">
        <v>464</v>
      </c>
      <c r="D32" s="201"/>
      <c r="E32" s="201"/>
      <c r="F32" s="201"/>
      <c r="G32" s="201"/>
      <c r="H32" s="121"/>
      <c r="I32" s="201" t="s">
        <v>459</v>
      </c>
      <c r="J32" s="201"/>
      <c r="K32" s="201"/>
      <c r="L32" s="201"/>
      <c r="M32">
        <v>4802</v>
      </c>
      <c r="N32" t="s">
        <v>458</v>
      </c>
      <c r="V32">
        <v>1674</v>
      </c>
    </row>
    <row r="33" spans="1:22" x14ac:dyDescent="0.25">
      <c r="A33" t="s">
        <v>463</v>
      </c>
      <c r="B33" s="121">
        <v>-0.31123035623374551</v>
      </c>
      <c r="C33" s="202" t="s">
        <v>462</v>
      </c>
      <c r="D33" s="201"/>
      <c r="E33" s="201"/>
      <c r="F33" s="201"/>
      <c r="G33" s="201"/>
      <c r="H33" s="121"/>
      <c r="I33" s="201" t="s">
        <v>459</v>
      </c>
      <c r="J33" s="201"/>
      <c r="K33" s="201"/>
      <c r="L33" s="201"/>
      <c r="M33">
        <v>4804</v>
      </c>
      <c r="N33" t="s">
        <v>458</v>
      </c>
      <c r="V33">
        <v>1618</v>
      </c>
    </row>
    <row r="34" spans="1:22" x14ac:dyDescent="0.25">
      <c r="A34" t="s">
        <v>461</v>
      </c>
      <c r="B34" s="121">
        <v>-6.9750012811426926E-2</v>
      </c>
      <c r="C34" s="202" t="s">
        <v>460</v>
      </c>
      <c r="D34" s="201"/>
      <c r="E34" s="201"/>
      <c r="F34" s="201"/>
      <c r="G34" s="201"/>
      <c r="H34" s="121"/>
      <c r="I34" s="201" t="s">
        <v>459</v>
      </c>
      <c r="J34" s="201"/>
      <c r="K34" s="201"/>
      <c r="L34" s="201"/>
      <c r="M34">
        <v>481810</v>
      </c>
      <c r="N34" t="s">
        <v>458</v>
      </c>
      <c r="V34">
        <v>1676</v>
      </c>
    </row>
    <row r="35" spans="1:22" x14ac:dyDescent="0.25">
      <c r="C35" s="121"/>
      <c r="D35" s="121"/>
      <c r="E35" s="121"/>
      <c r="F35" s="121"/>
      <c r="G35" s="121"/>
      <c r="H35" s="121"/>
    </row>
    <row r="36" spans="1:22" x14ac:dyDescent="0.25">
      <c r="C36" s="121"/>
      <c r="D36" s="121"/>
      <c r="E36" s="121"/>
      <c r="F36" s="121"/>
      <c r="G36" s="121"/>
      <c r="H36" s="121"/>
    </row>
    <row r="37" spans="1:22" x14ac:dyDescent="0.25">
      <c r="A37" s="126" t="s">
        <v>457</v>
      </c>
      <c r="C37" s="126"/>
      <c r="D37" s="126"/>
      <c r="E37" s="126"/>
      <c r="F37" s="126"/>
      <c r="G37" s="126"/>
      <c r="H37" s="126"/>
    </row>
    <row r="38" spans="1:22" x14ac:dyDescent="0.25">
      <c r="A38" s="126" t="s">
        <v>456</v>
      </c>
      <c r="C38" s="126"/>
      <c r="D38" s="125"/>
      <c r="E38" s="125"/>
      <c r="F38" s="125"/>
      <c r="G38" s="125"/>
      <c r="H38" s="125"/>
    </row>
    <row r="39" spans="1:22" x14ac:dyDescent="0.25">
      <c r="A39" s="126" t="s">
        <v>455</v>
      </c>
      <c r="C39" s="126"/>
      <c r="D39" s="126"/>
      <c r="E39" s="126"/>
      <c r="F39" s="126"/>
      <c r="G39" s="126"/>
      <c r="H39" s="126"/>
    </row>
    <row r="40" spans="1:22" x14ac:dyDescent="0.25">
      <c r="A40" s="126"/>
      <c r="C40" s="126"/>
      <c r="D40" s="126"/>
      <c r="E40" s="126"/>
      <c r="F40" s="126"/>
      <c r="G40" s="126"/>
      <c r="H40" s="126"/>
    </row>
    <row r="41" spans="1:22" x14ac:dyDescent="0.25">
      <c r="A41" s="124" t="s">
        <v>454</v>
      </c>
      <c r="B41" s="124" t="s">
        <v>453</v>
      </c>
      <c r="C41" s="124"/>
      <c r="D41" s="124"/>
      <c r="E41" s="124"/>
    </row>
    <row r="42" spans="1:22" x14ac:dyDescent="0.25">
      <c r="A42" s="124"/>
      <c r="B42" s="124"/>
      <c r="C42" s="124"/>
      <c r="D42" s="124"/>
      <c r="E42" s="124"/>
    </row>
    <row r="43" spans="1:22" x14ac:dyDescent="0.25">
      <c r="A43" s="124" t="s">
        <v>283</v>
      </c>
      <c r="B43" s="124" t="s">
        <v>452</v>
      </c>
      <c r="C43" s="124"/>
      <c r="E43" s="124"/>
    </row>
    <row r="44" spans="1:22" x14ac:dyDescent="0.25">
      <c r="A44" s="124" t="s">
        <v>280</v>
      </c>
      <c r="B44" s="124" t="s">
        <v>450</v>
      </c>
      <c r="C44" s="124"/>
      <c r="D44" s="124"/>
      <c r="E44" s="124"/>
    </row>
    <row r="45" spans="1:22" x14ac:dyDescent="0.25">
      <c r="A45" s="124" t="s">
        <v>449</v>
      </c>
      <c r="B45" s="124" t="s">
        <v>199</v>
      </c>
      <c r="C45" s="124"/>
      <c r="D45" s="124"/>
      <c r="E45" s="124"/>
    </row>
    <row r="46" spans="1:22" x14ac:dyDescent="0.25">
      <c r="A46" s="124" t="s">
        <v>143</v>
      </c>
      <c r="B46" s="124" t="s">
        <v>448</v>
      </c>
      <c r="C46" s="124"/>
      <c r="D46" s="124"/>
      <c r="E46" s="124"/>
    </row>
    <row r="47" spans="1:22" x14ac:dyDescent="0.25">
      <c r="A47" s="122" t="s">
        <v>149</v>
      </c>
      <c r="B47" s="122" t="s">
        <v>447</v>
      </c>
      <c r="C47" s="122"/>
      <c r="D47" s="122"/>
      <c r="E47" s="122"/>
    </row>
    <row r="48" spans="1:22" x14ac:dyDescent="0.25">
      <c r="A48" s="122" t="s">
        <v>140</v>
      </c>
      <c r="B48" s="122" t="s">
        <v>446</v>
      </c>
      <c r="C48" s="122"/>
      <c r="D48" s="122"/>
      <c r="E48" s="122"/>
    </row>
    <row r="49" spans="1:8" x14ac:dyDescent="0.25">
      <c r="A49" s="122" t="s">
        <v>129</v>
      </c>
      <c r="B49" s="122" t="s">
        <v>445</v>
      </c>
      <c r="C49" s="122"/>
      <c r="E49" s="122"/>
      <c r="F49" s="122"/>
      <c r="G49" s="122"/>
      <c r="H49" s="122"/>
    </row>
    <row r="50" spans="1:8" x14ac:dyDescent="0.25">
      <c r="A50" s="122" t="s">
        <v>134</v>
      </c>
      <c r="B50" s="122" t="s">
        <v>443</v>
      </c>
      <c r="C50" s="122"/>
      <c r="E50" s="122"/>
    </row>
    <row r="51" spans="1:8" x14ac:dyDescent="0.25">
      <c r="A51" s="122" t="s">
        <v>136</v>
      </c>
      <c r="B51" s="122" t="s">
        <v>442</v>
      </c>
      <c r="C51" s="122"/>
      <c r="E51" s="122"/>
    </row>
    <row r="52" spans="1:8" x14ac:dyDescent="0.25">
      <c r="A52" s="122" t="s">
        <v>138</v>
      </c>
      <c r="B52" s="122" t="s">
        <v>440</v>
      </c>
      <c r="C52" s="122"/>
      <c r="E52" s="122"/>
    </row>
    <row r="54" spans="1:8" ht="16.5" x14ac:dyDescent="0.25">
      <c r="A54" s="118" t="s">
        <v>433</v>
      </c>
      <c r="B54"/>
    </row>
    <row r="55" spans="1:8" ht="16.5" x14ac:dyDescent="0.25">
      <c r="A55" s="118" t="s">
        <v>434</v>
      </c>
      <c r="B55"/>
    </row>
    <row r="56" spans="1:8" x14ac:dyDescent="0.25">
      <c r="A56" s="119" t="s">
        <v>435</v>
      </c>
      <c r="B56"/>
    </row>
    <row r="57" spans="1:8" x14ac:dyDescent="0.25">
      <c r="A57" s="120" t="s">
        <v>436</v>
      </c>
      <c r="B57"/>
    </row>
    <row r="58" spans="1:8" x14ac:dyDescent="0.25">
      <c r="A58" s="120" t="s">
        <v>437</v>
      </c>
      <c r="B58"/>
    </row>
    <row r="59" spans="1:8" x14ac:dyDescent="0.25">
      <c r="A59" s="120" t="s">
        <v>438</v>
      </c>
      <c r="B59"/>
    </row>
    <row r="60" spans="1:8" x14ac:dyDescent="0.25">
      <c r="B60"/>
    </row>
  </sheetData>
  <mergeCells count="18">
    <mergeCell ref="I34:L34"/>
    <mergeCell ref="C26:G26"/>
    <mergeCell ref="C27:G27"/>
    <mergeCell ref="C28:G28"/>
    <mergeCell ref="C31:G31"/>
    <mergeCell ref="I26:L26"/>
    <mergeCell ref="I27:L27"/>
    <mergeCell ref="I28:L28"/>
    <mergeCell ref="C29:G29"/>
    <mergeCell ref="C30:G30"/>
    <mergeCell ref="C32:G32"/>
    <mergeCell ref="C33:G33"/>
    <mergeCell ref="C34:G34"/>
    <mergeCell ref="I25:L25"/>
    <mergeCell ref="N25:U25"/>
    <mergeCell ref="I29:L29"/>
    <mergeCell ref="I32:L32"/>
    <mergeCell ref="I33:L33"/>
  </mergeCells>
  <hyperlinks>
    <hyperlink ref="A56" r:id="rId1" display="https://doi.org/10.1016/j.techfore.2020.120478" xr:uid="{00000000-0004-0000-0800-000000000000}"/>
  </hyperlink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J29"/>
  <sheetViews>
    <sheetView workbookViewId="0">
      <selection activeCell="A22" sqref="A22"/>
    </sheetView>
  </sheetViews>
  <sheetFormatPr defaultRowHeight="15" x14ac:dyDescent="0.25"/>
  <cols>
    <col min="1" max="1" width="16.5703125" customWidth="1"/>
    <col min="2" max="2" width="17.5703125" customWidth="1"/>
    <col min="7" max="7" width="17" customWidth="1"/>
    <col min="8" max="8" width="11.85546875" customWidth="1"/>
    <col min="9" max="9" width="9.5703125" bestFit="1" customWidth="1"/>
  </cols>
  <sheetData>
    <row r="1" spans="1:9" x14ac:dyDescent="0.25">
      <c r="G1" t="s">
        <v>398</v>
      </c>
      <c r="H1" t="s">
        <v>397</v>
      </c>
      <c r="I1" t="s">
        <v>396</v>
      </c>
    </row>
    <row r="2" spans="1:9" s="4" customFormat="1" x14ac:dyDescent="0.25">
      <c r="A2" s="108" t="s">
        <v>395</v>
      </c>
      <c r="B2" s="107" t="s">
        <v>394</v>
      </c>
      <c r="C2" s="107" t="s">
        <v>350</v>
      </c>
      <c r="D2" s="107" t="s">
        <v>349</v>
      </c>
      <c r="E2" s="106">
        <v>1811</v>
      </c>
      <c r="F2" s="106">
        <v>23</v>
      </c>
      <c r="G2" s="106">
        <v>1834</v>
      </c>
      <c r="H2">
        <v>700</v>
      </c>
      <c r="I2" s="4">
        <f t="shared" ref="I2:I21" si="0">G2/H2</f>
        <v>2.62</v>
      </c>
    </row>
    <row r="3" spans="1:9" s="4" customFormat="1" x14ac:dyDescent="0.25">
      <c r="A3" s="110" t="s">
        <v>393</v>
      </c>
      <c r="B3" s="109" t="s">
        <v>392</v>
      </c>
      <c r="C3" s="109" t="s">
        <v>379</v>
      </c>
      <c r="D3" s="109" t="s">
        <v>353</v>
      </c>
      <c r="E3" s="106">
        <v>952</v>
      </c>
      <c r="F3" s="106">
        <v>17</v>
      </c>
      <c r="G3" s="106">
        <v>969</v>
      </c>
      <c r="H3">
        <v>600</v>
      </c>
      <c r="I3" s="4">
        <f t="shared" si="0"/>
        <v>1.615</v>
      </c>
    </row>
    <row r="4" spans="1:9" s="4" customFormat="1" x14ac:dyDescent="0.25">
      <c r="A4" s="110" t="s">
        <v>391</v>
      </c>
      <c r="B4" s="109" t="s">
        <v>390</v>
      </c>
      <c r="C4" s="109" t="s">
        <v>379</v>
      </c>
      <c r="D4" s="109" t="s">
        <v>353</v>
      </c>
      <c r="E4" s="106">
        <v>1826</v>
      </c>
      <c r="F4" s="106">
        <v>1</v>
      </c>
      <c r="G4" s="106">
        <v>1826</v>
      </c>
      <c r="H4">
        <v>500</v>
      </c>
      <c r="I4" s="4">
        <f t="shared" si="0"/>
        <v>3.6520000000000001</v>
      </c>
    </row>
    <row r="5" spans="1:9" s="4" customFormat="1" x14ac:dyDescent="0.25">
      <c r="A5" s="110" t="s">
        <v>389</v>
      </c>
      <c r="B5" s="109" t="s">
        <v>388</v>
      </c>
      <c r="C5" s="109" t="s">
        <v>356</v>
      </c>
      <c r="D5" s="109" t="s">
        <v>353</v>
      </c>
      <c r="E5" s="106">
        <v>889</v>
      </c>
      <c r="F5" s="106">
        <v>53</v>
      </c>
      <c r="G5" s="106">
        <v>943</v>
      </c>
      <c r="H5">
        <v>675</v>
      </c>
      <c r="I5" s="4">
        <f t="shared" si="0"/>
        <v>1.3970370370370371</v>
      </c>
    </row>
    <row r="6" spans="1:9" s="4" customFormat="1" x14ac:dyDescent="0.25">
      <c r="A6" s="110" t="s">
        <v>387</v>
      </c>
      <c r="B6" s="109" t="s">
        <v>386</v>
      </c>
      <c r="C6" s="109" t="s">
        <v>356</v>
      </c>
      <c r="D6" s="109" t="s">
        <v>367</v>
      </c>
      <c r="E6" s="106">
        <v>746</v>
      </c>
      <c r="F6" s="106">
        <v>30</v>
      </c>
      <c r="G6" s="106">
        <v>775</v>
      </c>
      <c r="H6">
        <v>400</v>
      </c>
      <c r="I6" s="4">
        <f t="shared" si="0"/>
        <v>1.9375</v>
      </c>
    </row>
    <row r="7" spans="1:9" s="4" customFormat="1" x14ac:dyDescent="0.25">
      <c r="A7" s="110" t="s">
        <v>385</v>
      </c>
      <c r="B7" s="109" t="s">
        <v>384</v>
      </c>
      <c r="C7" s="109" t="s">
        <v>356</v>
      </c>
      <c r="D7" s="109" t="s">
        <v>353</v>
      </c>
      <c r="E7" s="106">
        <v>1120</v>
      </c>
      <c r="F7" s="106">
        <v>13</v>
      </c>
      <c r="G7" s="106">
        <v>1133</v>
      </c>
      <c r="H7">
        <v>700</v>
      </c>
      <c r="I7" s="4">
        <f t="shared" si="0"/>
        <v>1.6185714285714285</v>
      </c>
    </row>
    <row r="8" spans="1:9" s="4" customFormat="1" x14ac:dyDescent="0.25">
      <c r="A8" s="110" t="s">
        <v>383</v>
      </c>
      <c r="B8" s="109" t="s">
        <v>382</v>
      </c>
      <c r="C8" s="109" t="s">
        <v>356</v>
      </c>
      <c r="D8" s="109" t="s">
        <v>353</v>
      </c>
      <c r="E8" s="106">
        <v>689</v>
      </c>
      <c r="F8" s="106">
        <v>17</v>
      </c>
      <c r="G8" s="106">
        <v>706</v>
      </c>
      <c r="H8" s="4">
        <v>300</v>
      </c>
      <c r="I8" s="4">
        <f t="shared" si="0"/>
        <v>2.3533333333333335</v>
      </c>
    </row>
    <row r="9" spans="1:9" s="4" customFormat="1" x14ac:dyDescent="0.25">
      <c r="A9" s="110" t="s">
        <v>381</v>
      </c>
      <c r="B9" s="109" t="s">
        <v>380</v>
      </c>
      <c r="C9" s="109" t="s">
        <v>379</v>
      </c>
      <c r="D9" s="109" t="s">
        <v>353</v>
      </c>
      <c r="E9" s="106">
        <v>604</v>
      </c>
      <c r="F9" s="106">
        <v>6</v>
      </c>
      <c r="G9" s="106">
        <v>610</v>
      </c>
      <c r="H9" s="2">
        <v>150</v>
      </c>
      <c r="I9" s="4">
        <f t="shared" si="0"/>
        <v>4.0666666666666664</v>
      </c>
    </row>
    <row r="10" spans="1:9" s="4" customFormat="1" x14ac:dyDescent="0.25">
      <c r="A10" s="110" t="s">
        <v>378</v>
      </c>
      <c r="B10" s="109" t="s">
        <v>377</v>
      </c>
      <c r="C10" s="109" t="s">
        <v>356</v>
      </c>
      <c r="D10" s="109" t="s">
        <v>353</v>
      </c>
      <c r="E10" s="106">
        <v>539</v>
      </c>
      <c r="F10" s="106">
        <v>7</v>
      </c>
      <c r="G10" s="106">
        <v>546</v>
      </c>
      <c r="H10" s="4">
        <v>230</v>
      </c>
      <c r="I10" s="4">
        <f t="shared" si="0"/>
        <v>2.3739130434782609</v>
      </c>
    </row>
    <row r="11" spans="1:9" s="4" customFormat="1" x14ac:dyDescent="0.25">
      <c r="A11" s="110" t="s">
        <v>376</v>
      </c>
      <c r="B11" s="109" t="s">
        <v>375</v>
      </c>
      <c r="C11" s="109" t="s">
        <v>356</v>
      </c>
      <c r="D11" s="109" t="s">
        <v>353</v>
      </c>
      <c r="E11" s="106">
        <v>633</v>
      </c>
      <c r="F11" s="106">
        <v>15</v>
      </c>
      <c r="G11" s="106">
        <v>648</v>
      </c>
      <c r="H11" s="4">
        <v>225</v>
      </c>
      <c r="I11" s="4">
        <f t="shared" si="0"/>
        <v>2.88</v>
      </c>
    </row>
    <row r="12" spans="1:9" s="4" customFormat="1" x14ac:dyDescent="0.25">
      <c r="A12" s="110" t="s">
        <v>374</v>
      </c>
      <c r="B12" s="109" t="s">
        <v>373</v>
      </c>
      <c r="C12" s="109" t="s">
        <v>356</v>
      </c>
      <c r="D12" s="109" t="s">
        <v>353</v>
      </c>
      <c r="E12" s="106">
        <v>1483</v>
      </c>
      <c r="F12" s="106">
        <v>60</v>
      </c>
      <c r="G12" s="106">
        <v>1543</v>
      </c>
      <c r="H12" s="4">
        <v>650</v>
      </c>
      <c r="I12" s="4">
        <f t="shared" si="0"/>
        <v>2.3738461538461539</v>
      </c>
    </row>
    <row r="13" spans="1:9" s="4" customFormat="1" x14ac:dyDescent="0.25">
      <c r="A13" s="110" t="s">
        <v>372</v>
      </c>
      <c r="B13" s="109" t="s">
        <v>371</v>
      </c>
      <c r="C13" s="109" t="s">
        <v>356</v>
      </c>
      <c r="D13" s="109" t="s">
        <v>353</v>
      </c>
      <c r="E13" s="106">
        <v>884</v>
      </c>
      <c r="F13" s="106">
        <v>27</v>
      </c>
      <c r="G13" s="106">
        <v>911</v>
      </c>
      <c r="H13" s="4">
        <v>540</v>
      </c>
      <c r="I13" s="4">
        <f t="shared" si="0"/>
        <v>1.6870370370370371</v>
      </c>
    </row>
    <row r="14" spans="1:9" s="4" customFormat="1" x14ac:dyDescent="0.25">
      <c r="A14" s="110" t="s">
        <v>370</v>
      </c>
      <c r="B14" s="109" t="s">
        <v>369</v>
      </c>
      <c r="C14" s="109" t="s">
        <v>368</v>
      </c>
      <c r="D14" s="109" t="s">
        <v>367</v>
      </c>
      <c r="E14" s="106">
        <v>476</v>
      </c>
      <c r="F14" s="106">
        <v>11</v>
      </c>
      <c r="G14" s="106">
        <v>487</v>
      </c>
      <c r="H14" s="4">
        <v>260</v>
      </c>
      <c r="I14" s="4">
        <f t="shared" si="0"/>
        <v>1.8730769230769231</v>
      </c>
    </row>
    <row r="15" spans="1:9" s="4" customFormat="1" x14ac:dyDescent="0.25">
      <c r="A15" s="110" t="s">
        <v>366</v>
      </c>
      <c r="B15" s="109" t="s">
        <v>365</v>
      </c>
      <c r="C15" s="109" t="s">
        <v>356</v>
      </c>
      <c r="D15" s="109" t="s">
        <v>353</v>
      </c>
      <c r="E15" s="106">
        <v>996</v>
      </c>
      <c r="F15" s="106">
        <v>11</v>
      </c>
      <c r="G15" s="106">
        <v>1007</v>
      </c>
      <c r="H15" s="4">
        <v>460</v>
      </c>
      <c r="I15" s="4">
        <f t="shared" si="0"/>
        <v>2.1891304347826086</v>
      </c>
    </row>
    <row r="16" spans="1:9" s="4" customFormat="1" x14ac:dyDescent="0.25">
      <c r="A16" s="110" t="s">
        <v>364</v>
      </c>
      <c r="B16" s="109" t="s">
        <v>363</v>
      </c>
      <c r="C16" s="109" t="s">
        <v>356</v>
      </c>
      <c r="D16" s="109" t="s">
        <v>353</v>
      </c>
      <c r="E16" s="106">
        <v>877</v>
      </c>
      <c r="F16" s="106">
        <v>6</v>
      </c>
      <c r="G16" s="106">
        <v>882</v>
      </c>
      <c r="H16" s="4">
        <v>335</v>
      </c>
      <c r="I16" s="4">
        <f t="shared" si="0"/>
        <v>2.6328358208955223</v>
      </c>
    </row>
    <row r="17" spans="1:10" s="4" customFormat="1" x14ac:dyDescent="0.25">
      <c r="A17" s="110" t="s">
        <v>362</v>
      </c>
      <c r="B17" s="109" t="s">
        <v>361</v>
      </c>
      <c r="C17" s="109" t="s">
        <v>356</v>
      </c>
      <c r="D17" s="109" t="s">
        <v>353</v>
      </c>
      <c r="E17" s="106">
        <v>1239</v>
      </c>
      <c r="F17" s="106">
        <v>17</v>
      </c>
      <c r="G17" s="106">
        <v>1256</v>
      </c>
      <c r="H17" s="4">
        <v>755</v>
      </c>
      <c r="I17" s="4">
        <f t="shared" si="0"/>
        <v>1.6635761589403975</v>
      </c>
    </row>
    <row r="18" spans="1:10" s="4" customFormat="1" x14ac:dyDescent="0.25">
      <c r="A18" s="110" t="s">
        <v>360</v>
      </c>
      <c r="B18" s="109" t="s">
        <v>359</v>
      </c>
      <c r="C18" s="109" t="s">
        <v>356</v>
      </c>
      <c r="D18" s="109" t="s">
        <v>353</v>
      </c>
      <c r="E18" s="106">
        <v>1280</v>
      </c>
      <c r="F18" s="106">
        <v>16</v>
      </c>
      <c r="G18" s="106">
        <v>1296</v>
      </c>
      <c r="H18" s="4">
        <v>500</v>
      </c>
      <c r="I18" s="4">
        <f t="shared" si="0"/>
        <v>2.5920000000000001</v>
      </c>
    </row>
    <row r="19" spans="1:10" s="4" customFormat="1" x14ac:dyDescent="0.25">
      <c r="A19" s="110" t="s">
        <v>358</v>
      </c>
      <c r="B19" s="109" t="s">
        <v>357</v>
      </c>
      <c r="C19" s="109" t="s">
        <v>356</v>
      </c>
      <c r="D19" s="109" t="s">
        <v>353</v>
      </c>
      <c r="E19" s="106">
        <v>682</v>
      </c>
      <c r="F19" s="106">
        <v>14</v>
      </c>
      <c r="G19" s="106">
        <v>696</v>
      </c>
      <c r="H19" s="4">
        <v>150</v>
      </c>
      <c r="I19" s="4">
        <f t="shared" si="0"/>
        <v>4.6399999999999997</v>
      </c>
    </row>
    <row r="20" spans="1:10" s="4" customFormat="1" x14ac:dyDescent="0.25">
      <c r="A20" s="108" t="s">
        <v>355</v>
      </c>
      <c r="B20" s="107" t="s">
        <v>354</v>
      </c>
      <c r="C20" s="107" t="s">
        <v>350</v>
      </c>
      <c r="D20" s="109" t="s">
        <v>353</v>
      </c>
      <c r="E20" s="106">
        <v>958</v>
      </c>
      <c r="F20" s="106">
        <v>10</v>
      </c>
      <c r="G20" s="106">
        <v>968</v>
      </c>
      <c r="H20">
        <v>800</v>
      </c>
      <c r="I20" s="4">
        <f t="shared" si="0"/>
        <v>1.21</v>
      </c>
    </row>
    <row r="21" spans="1:10" s="4" customFormat="1" x14ac:dyDescent="0.25">
      <c r="A21" s="108" t="s">
        <v>352</v>
      </c>
      <c r="B21" s="107" t="s">
        <v>351</v>
      </c>
      <c r="C21" s="107" t="s">
        <v>350</v>
      </c>
      <c r="D21" s="107" t="s">
        <v>349</v>
      </c>
      <c r="E21" s="106">
        <v>1135</v>
      </c>
      <c r="F21" s="106">
        <v>32</v>
      </c>
      <c r="G21" s="106">
        <v>1166</v>
      </c>
      <c r="H21">
        <v>900</v>
      </c>
      <c r="I21" s="4">
        <f t="shared" si="0"/>
        <v>1.2955555555555556</v>
      </c>
    </row>
    <row r="22" spans="1:10" s="4" customFormat="1" x14ac:dyDescent="0.25">
      <c r="G22" s="4">
        <f>SUM(G2:G21)</f>
        <v>20202</v>
      </c>
      <c r="H22" s="4">
        <f>SUM(H2:H21)</f>
        <v>9830</v>
      </c>
      <c r="I22" s="111">
        <f t="array" ref="I22">MMULT(TRANSPOSE(H2:H21),I2:I21)/H22</f>
        <v>2.0551373346897255</v>
      </c>
      <c r="J22" t="s">
        <v>399</v>
      </c>
    </row>
    <row r="23" spans="1:10" x14ac:dyDescent="0.25">
      <c r="G23">
        <f>I23</f>
        <v>0.83333333333333337</v>
      </c>
      <c r="I23" s="72">
        <f>3/3600*1000</f>
        <v>0.83333333333333337</v>
      </c>
      <c r="J23" t="s">
        <v>401</v>
      </c>
    </row>
    <row r="24" spans="1:10" x14ac:dyDescent="0.25">
      <c r="G24" s="27">
        <f>G22*1000*G23</f>
        <v>16835000</v>
      </c>
      <c r="I24" s="72">
        <f>I22*I23</f>
        <v>1.7126144455747714</v>
      </c>
      <c r="J24" t="s">
        <v>400</v>
      </c>
    </row>
    <row r="25" spans="1:10" x14ac:dyDescent="0.25">
      <c r="H25" s="27">
        <f>H22*1000*I24</f>
        <v>16835000.000000004</v>
      </c>
      <c r="I25" s="72"/>
      <c r="J25" t="s">
        <v>402</v>
      </c>
    </row>
    <row r="26" spans="1:10" x14ac:dyDescent="0.25">
      <c r="I26" s="72">
        <v>0.90700000000000003</v>
      </c>
      <c r="J26" t="s">
        <v>403</v>
      </c>
    </row>
    <row r="27" spans="1:10" x14ac:dyDescent="0.25">
      <c r="I27" s="72">
        <v>0.44</v>
      </c>
      <c r="J27" t="s">
        <v>404</v>
      </c>
    </row>
    <row r="29" spans="1:10" x14ac:dyDescent="0.25"/>
  </sheetData>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L172"/>
  <sheetViews>
    <sheetView zoomScale="70" zoomScaleNormal="70" workbookViewId="0">
      <selection activeCell="B9" sqref="B9"/>
    </sheetView>
  </sheetViews>
  <sheetFormatPr defaultRowHeight="15" x14ac:dyDescent="0.25"/>
  <cols>
    <col min="3" max="4" width="18.7109375" customWidth="1"/>
    <col min="6" max="6" width="31.5703125" customWidth="1"/>
    <col min="7" max="7" width="24.7109375" customWidth="1"/>
    <col min="8" max="8" width="26.42578125" customWidth="1"/>
    <col min="10" max="12" width="15.7109375" customWidth="1"/>
  </cols>
  <sheetData>
    <row r="1" spans="1:12" x14ac:dyDescent="0.25">
      <c r="A1" t="s">
        <v>348</v>
      </c>
      <c r="F1" t="s">
        <v>777</v>
      </c>
    </row>
    <row r="2" spans="1:12" x14ac:dyDescent="0.25">
      <c r="A2" t="s">
        <v>487</v>
      </c>
      <c r="B2" s="28">
        <v>0.84</v>
      </c>
      <c r="C2" t="s">
        <v>492</v>
      </c>
      <c r="F2" s="181" t="s">
        <v>765</v>
      </c>
      <c r="G2" s="181" t="s">
        <v>766</v>
      </c>
      <c r="H2" s="181" t="s">
        <v>767</v>
      </c>
      <c r="I2" s="181" t="s">
        <v>158</v>
      </c>
      <c r="J2" s="181" t="s">
        <v>768</v>
      </c>
      <c r="K2" s="181" t="s">
        <v>769</v>
      </c>
      <c r="L2" s="181" t="s">
        <v>770</v>
      </c>
    </row>
    <row r="3" spans="1:12" x14ac:dyDescent="0.25">
      <c r="A3" t="s">
        <v>488</v>
      </c>
      <c r="B3" s="28">
        <v>-2.1000000000000001E-2</v>
      </c>
      <c r="C3" t="s">
        <v>489</v>
      </c>
      <c r="D3" t="s">
        <v>490</v>
      </c>
      <c r="F3" s="102" t="s">
        <v>776</v>
      </c>
      <c r="G3" s="102" t="s">
        <v>774</v>
      </c>
      <c r="H3" s="102" t="s">
        <v>773</v>
      </c>
      <c r="I3" s="102">
        <v>2020</v>
      </c>
      <c r="J3" s="27">
        <v>42903309.211403817</v>
      </c>
      <c r="K3" s="27">
        <f t="shared" ref="K3:K38" si="0">J3*(1/3.6)</f>
        <v>11917585.892056616</v>
      </c>
    </row>
    <row r="4" spans="1:12" x14ac:dyDescent="0.25">
      <c r="A4" t="s">
        <v>491</v>
      </c>
      <c r="B4">
        <v>11.7</v>
      </c>
      <c r="C4" t="s">
        <v>493</v>
      </c>
      <c r="F4" s="102" t="s">
        <v>776</v>
      </c>
      <c r="G4" s="102" t="s">
        <v>774</v>
      </c>
      <c r="H4" s="102" t="s">
        <v>773</v>
      </c>
      <c r="I4" s="102">
        <v>2022</v>
      </c>
      <c r="J4" s="27">
        <v>50864821.274037689</v>
      </c>
      <c r="K4" s="27">
        <f t="shared" si="0"/>
        <v>14129117.020566026</v>
      </c>
      <c r="L4" s="27">
        <v>14065796.543932002</v>
      </c>
    </row>
    <row r="5" spans="1:12" x14ac:dyDescent="0.25">
      <c r="B5" s="28">
        <f>B4/(1/3.6)</f>
        <v>42.12</v>
      </c>
      <c r="C5" t="s">
        <v>494</v>
      </c>
      <c r="F5" s="102" t="s">
        <v>776</v>
      </c>
      <c r="G5" s="102" t="s">
        <v>774</v>
      </c>
      <c r="H5" s="102" t="s">
        <v>773</v>
      </c>
      <c r="I5" s="102">
        <v>2027</v>
      </c>
      <c r="J5" s="27">
        <v>66693940.447608434</v>
      </c>
      <c r="K5" s="27">
        <f t="shared" si="0"/>
        <v>18526094.56878012</v>
      </c>
      <c r="L5" s="27">
        <v>18455401.238330044</v>
      </c>
    </row>
    <row r="6" spans="1:12" x14ac:dyDescent="0.25">
      <c r="A6" t="s">
        <v>184</v>
      </c>
      <c r="B6">
        <v>132</v>
      </c>
      <c r="C6" t="s">
        <v>495</v>
      </c>
      <c r="F6" s="102" t="s">
        <v>776</v>
      </c>
      <c r="G6" s="102" t="s">
        <v>774</v>
      </c>
      <c r="H6" s="102" t="s">
        <v>773</v>
      </c>
      <c r="I6" s="102">
        <v>2032</v>
      </c>
      <c r="J6" s="27">
        <v>72783598.594776362</v>
      </c>
      <c r="K6" s="27">
        <f t="shared" si="0"/>
        <v>20217666.276326768</v>
      </c>
      <c r="L6" s="27">
        <v>20253758.365896098</v>
      </c>
    </row>
    <row r="7" spans="1:12" x14ac:dyDescent="0.25">
      <c r="B7">
        <v>2.75</v>
      </c>
      <c r="C7" t="s">
        <v>496</v>
      </c>
      <c r="F7" s="102" t="s">
        <v>776</v>
      </c>
      <c r="G7" s="102" t="s">
        <v>774</v>
      </c>
      <c r="H7" s="102" t="s">
        <v>773</v>
      </c>
      <c r="I7" s="102">
        <v>2037</v>
      </c>
      <c r="J7" s="27">
        <v>74290413.041904002</v>
      </c>
      <c r="K7" s="27">
        <f t="shared" si="0"/>
        <v>20636225.844973333</v>
      </c>
      <c r="L7" s="27">
        <v>20686349.277782869</v>
      </c>
    </row>
    <row r="8" spans="1:12" x14ac:dyDescent="0.25">
      <c r="B8" s="27">
        <f>B7*1/3.6*10^12/10^6</f>
        <v>763888.88888888876</v>
      </c>
      <c r="C8" t="s">
        <v>497</v>
      </c>
      <c r="F8" s="102" t="s">
        <v>776</v>
      </c>
      <c r="G8" s="102" t="s">
        <v>774</v>
      </c>
      <c r="H8" s="102" t="s">
        <v>773</v>
      </c>
      <c r="I8" s="102">
        <v>2042</v>
      </c>
      <c r="J8" s="27">
        <v>79617775.397948235</v>
      </c>
      <c r="K8" s="27">
        <f t="shared" si="0"/>
        <v>22116048.721652288</v>
      </c>
      <c r="L8" s="27">
        <v>22156434.45178888</v>
      </c>
    </row>
    <row r="9" spans="1:12" x14ac:dyDescent="0.25">
      <c r="B9" s="28">
        <f>B6*10^6/B8</f>
        <v>172.80000000000004</v>
      </c>
      <c r="C9" t="s">
        <v>494</v>
      </c>
      <c r="F9" s="102" t="s">
        <v>776</v>
      </c>
      <c r="G9" s="102" t="s">
        <v>774</v>
      </c>
      <c r="H9" s="102" t="s">
        <v>773</v>
      </c>
      <c r="I9" s="102">
        <v>2047</v>
      </c>
      <c r="J9" s="27">
        <v>87737225.156491771</v>
      </c>
      <c r="K9" s="27">
        <f t="shared" si="0"/>
        <v>24371451.432358827</v>
      </c>
      <c r="L9" s="27">
        <v>24392590.890997332</v>
      </c>
    </row>
    <row r="10" spans="1:12" x14ac:dyDescent="0.25">
      <c r="F10" s="102" t="s">
        <v>776</v>
      </c>
      <c r="G10" s="102" t="s">
        <v>774</v>
      </c>
      <c r="H10" s="102" t="s">
        <v>773</v>
      </c>
      <c r="I10" s="102">
        <v>2052</v>
      </c>
      <c r="J10" s="27">
        <v>97787027.617978409</v>
      </c>
      <c r="K10" s="27">
        <f t="shared" si="0"/>
        <v>27163063.227216225</v>
      </c>
      <c r="L10" s="27">
        <v>27169116.429643966</v>
      </c>
    </row>
    <row r="11" spans="1:12" x14ac:dyDescent="0.25">
      <c r="F11" s="102" t="s">
        <v>776</v>
      </c>
      <c r="G11" s="102" t="s">
        <v>774</v>
      </c>
      <c r="H11" s="102" t="s">
        <v>773</v>
      </c>
      <c r="I11" s="102">
        <v>2057</v>
      </c>
      <c r="J11" s="27">
        <v>108503741.92102194</v>
      </c>
      <c r="K11" s="27">
        <f t="shared" si="0"/>
        <v>30139928.311394986</v>
      </c>
      <c r="L11" s="27">
        <v>30146027.742943607</v>
      </c>
    </row>
    <row r="12" spans="1:12" x14ac:dyDescent="0.25">
      <c r="F12" s="102" t="s">
        <v>776</v>
      </c>
      <c r="G12" s="102" t="s">
        <v>775</v>
      </c>
      <c r="H12" s="102" t="s">
        <v>771</v>
      </c>
      <c r="I12" s="102">
        <v>2020</v>
      </c>
      <c r="J12" s="27">
        <v>38151330.544989184</v>
      </c>
      <c r="K12" s="27">
        <f t="shared" si="0"/>
        <v>10597591.818052551</v>
      </c>
    </row>
    <row r="13" spans="1:12" x14ac:dyDescent="0.25">
      <c r="F13" s="102" t="s">
        <v>776</v>
      </c>
      <c r="G13" s="102" t="s">
        <v>775</v>
      </c>
      <c r="H13" s="102" t="s">
        <v>771</v>
      </c>
      <c r="I13" s="102">
        <v>2022</v>
      </c>
      <c r="J13" s="27">
        <v>37216148.782353133</v>
      </c>
      <c r="K13" s="27">
        <f t="shared" si="0"/>
        <v>10337819.106209204</v>
      </c>
      <c r="L13" s="27">
        <v>10332083.343059674</v>
      </c>
    </row>
    <row r="14" spans="1:12" x14ac:dyDescent="0.25">
      <c r="F14" s="102" t="s">
        <v>776</v>
      </c>
      <c r="G14" s="102" t="s">
        <v>775</v>
      </c>
      <c r="H14" s="102" t="s">
        <v>771</v>
      </c>
      <c r="I14" s="102">
        <v>2027</v>
      </c>
      <c r="J14" s="27">
        <v>34492042.50833635</v>
      </c>
      <c r="K14" s="27">
        <f t="shared" si="0"/>
        <v>9581122.9189823195</v>
      </c>
      <c r="L14" s="27">
        <v>9573389.2511632349</v>
      </c>
    </row>
    <row r="15" spans="1:12" x14ac:dyDescent="0.25">
      <c r="F15" s="102" t="s">
        <v>776</v>
      </c>
      <c r="G15" s="102" t="s">
        <v>775</v>
      </c>
      <c r="H15" s="102" t="s">
        <v>771</v>
      </c>
      <c r="I15" s="102">
        <v>2032</v>
      </c>
      <c r="J15" s="27">
        <v>31387042.344768293</v>
      </c>
      <c r="K15" s="27">
        <f t="shared" si="0"/>
        <v>8718622.8735467494</v>
      </c>
      <c r="L15" s="27">
        <v>8740173.3003937937</v>
      </c>
    </row>
    <row r="16" spans="1:12" x14ac:dyDescent="0.25">
      <c r="F16" s="102" t="s">
        <v>776</v>
      </c>
      <c r="G16" s="102" t="s">
        <v>775</v>
      </c>
      <c r="H16" s="102" t="s">
        <v>771</v>
      </c>
      <c r="I16" s="102">
        <v>2037</v>
      </c>
      <c r="J16" s="27">
        <v>29851284.186897978</v>
      </c>
      <c r="K16" s="27">
        <f t="shared" si="0"/>
        <v>8292023.3852494387</v>
      </c>
      <c r="L16" s="27">
        <v>8310888.7464995068</v>
      </c>
    </row>
    <row r="17" spans="6:12" x14ac:dyDescent="0.25">
      <c r="F17" s="102" t="s">
        <v>776</v>
      </c>
      <c r="G17" s="102" t="s">
        <v>775</v>
      </c>
      <c r="H17" s="102" t="s">
        <v>771</v>
      </c>
      <c r="I17" s="102">
        <v>2042</v>
      </c>
      <c r="J17" s="27">
        <v>29977461.988832247</v>
      </c>
      <c r="K17" s="27">
        <f t="shared" si="0"/>
        <v>8327072.7746756244</v>
      </c>
      <c r="L17" s="27">
        <v>8338197.6507074106</v>
      </c>
    </row>
    <row r="18" spans="6:12" x14ac:dyDescent="0.25">
      <c r="F18" s="102" t="s">
        <v>776</v>
      </c>
      <c r="G18" s="102" t="s">
        <v>775</v>
      </c>
      <c r="H18" s="102" t="s">
        <v>771</v>
      </c>
      <c r="I18" s="102">
        <v>2047</v>
      </c>
      <c r="J18" s="27">
        <v>31099419.072555352</v>
      </c>
      <c r="K18" s="27">
        <f t="shared" si="0"/>
        <v>8638727.5201542657</v>
      </c>
      <c r="L18" s="27">
        <v>8641228.3096576724</v>
      </c>
    </row>
    <row r="19" spans="6:12" x14ac:dyDescent="0.25">
      <c r="F19" s="102" t="s">
        <v>776</v>
      </c>
      <c r="G19" s="102" t="s">
        <v>775</v>
      </c>
      <c r="H19" s="102" t="s">
        <v>771</v>
      </c>
      <c r="I19" s="102">
        <v>2052</v>
      </c>
      <c r="J19" s="27">
        <v>32465533.633408152</v>
      </c>
      <c r="K19" s="27">
        <f t="shared" si="0"/>
        <v>9018203.7870578207</v>
      </c>
      <c r="L19" s="27">
        <v>9014869.8878138345</v>
      </c>
    </row>
    <row r="20" spans="6:12" x14ac:dyDescent="0.25">
      <c r="F20" s="102" t="s">
        <v>776</v>
      </c>
      <c r="G20" s="102" t="s">
        <v>775</v>
      </c>
      <c r="H20" s="102" t="s">
        <v>771</v>
      </c>
      <c r="I20" s="102">
        <v>2057</v>
      </c>
      <c r="J20" s="27">
        <v>33614653.040744558</v>
      </c>
      <c r="K20" s="27">
        <f t="shared" si="0"/>
        <v>9337403.6224290449</v>
      </c>
      <c r="L20" s="27">
        <v>9337512.3718411457</v>
      </c>
    </row>
    <row r="21" spans="6:12" ht="16.899999999999999" customHeight="1" x14ac:dyDescent="0.25">
      <c r="F21" s="102" t="s">
        <v>776</v>
      </c>
      <c r="G21" s="102" t="s">
        <v>775</v>
      </c>
      <c r="H21" s="102" t="s">
        <v>772</v>
      </c>
      <c r="I21" s="102">
        <v>2020</v>
      </c>
      <c r="J21" s="27">
        <v>43278386.823762447</v>
      </c>
      <c r="K21" s="27">
        <f t="shared" si="0"/>
        <v>12021774.117711792</v>
      </c>
    </row>
    <row r="22" spans="6:12" ht="16.899999999999999" customHeight="1" x14ac:dyDescent="0.25">
      <c r="F22" s="102" t="s">
        <v>776</v>
      </c>
      <c r="G22" s="102" t="s">
        <v>775</v>
      </c>
      <c r="H22" s="102" t="s">
        <v>772</v>
      </c>
      <c r="I22" s="102">
        <v>2022</v>
      </c>
      <c r="J22" s="27">
        <v>52220287.817135833</v>
      </c>
      <c r="K22" s="27">
        <f t="shared" si="0"/>
        <v>14505635.504759954</v>
      </c>
      <c r="L22" s="27">
        <v>14461138.440744793</v>
      </c>
    </row>
    <row r="23" spans="6:12" ht="16.899999999999999" customHeight="1" x14ac:dyDescent="0.25">
      <c r="F23" s="102" t="s">
        <v>776</v>
      </c>
      <c r="G23" s="102" t="s">
        <v>775</v>
      </c>
      <c r="H23" s="102" t="s">
        <v>772</v>
      </c>
      <c r="I23" s="102">
        <v>2027</v>
      </c>
      <c r="J23" s="27">
        <v>71574396.509393573</v>
      </c>
      <c r="K23" s="27">
        <f t="shared" si="0"/>
        <v>19881776.808164883</v>
      </c>
      <c r="L23" s="27">
        <v>19820237.754114814</v>
      </c>
    </row>
    <row r="24" spans="6:12" ht="16.899999999999999" customHeight="1" x14ac:dyDescent="0.25">
      <c r="F24" s="102" t="s">
        <v>776</v>
      </c>
      <c r="G24" s="102" t="s">
        <v>775</v>
      </c>
      <c r="H24" s="102" t="s">
        <v>772</v>
      </c>
      <c r="I24" s="102">
        <v>2032</v>
      </c>
      <c r="J24" s="27">
        <v>77785278.854425728</v>
      </c>
      <c r="K24" s="27">
        <f t="shared" si="0"/>
        <v>21607021.904007148</v>
      </c>
      <c r="L24" s="27">
        <v>21660429.483584605</v>
      </c>
    </row>
    <row r="25" spans="6:12" ht="16.899999999999999" customHeight="1" x14ac:dyDescent="0.25">
      <c r="F25" s="102" t="s">
        <v>776</v>
      </c>
      <c r="G25" s="102" t="s">
        <v>775</v>
      </c>
      <c r="H25" s="102" t="s">
        <v>772</v>
      </c>
      <c r="I25" s="102">
        <v>2037</v>
      </c>
      <c r="J25" s="27">
        <v>73979269.506660119</v>
      </c>
      <c r="K25" s="27">
        <f t="shared" si="0"/>
        <v>20549797.085183367</v>
      </c>
      <c r="L25" s="27">
        <v>20596550.371759623</v>
      </c>
    </row>
    <row r="26" spans="6:12" ht="16.899999999999999" customHeight="1" x14ac:dyDescent="0.25">
      <c r="F26" s="102" t="s">
        <v>776</v>
      </c>
      <c r="G26" s="102" t="s">
        <v>775</v>
      </c>
      <c r="H26" s="102" t="s">
        <v>772</v>
      </c>
      <c r="I26" s="102">
        <v>2042</v>
      </c>
      <c r="J26" s="27">
        <v>74291971.015801579</v>
      </c>
      <c r="K26" s="27">
        <f t="shared" si="0"/>
        <v>20636658.615500439</v>
      </c>
      <c r="L26" s="27">
        <v>20664228.960448779</v>
      </c>
    </row>
    <row r="27" spans="6:12" ht="16.899999999999999" customHeight="1" x14ac:dyDescent="0.25">
      <c r="F27" s="102" t="s">
        <v>776</v>
      </c>
      <c r="G27" s="102" t="s">
        <v>775</v>
      </c>
      <c r="H27" s="102" t="s">
        <v>772</v>
      </c>
      <c r="I27" s="102">
        <v>2047</v>
      </c>
      <c r="J27" s="27">
        <v>77072473.353724092</v>
      </c>
      <c r="K27" s="27">
        <f t="shared" si="0"/>
        <v>21409020.376034472</v>
      </c>
      <c r="L27" s="27">
        <v>21415217.984803781</v>
      </c>
    </row>
    <row r="28" spans="6:12" ht="16.899999999999999" customHeight="1" x14ac:dyDescent="0.25">
      <c r="F28" s="102" t="s">
        <v>776</v>
      </c>
      <c r="G28" s="102" t="s">
        <v>775</v>
      </c>
      <c r="H28" s="102" t="s">
        <v>772</v>
      </c>
      <c r="I28" s="102">
        <v>2052</v>
      </c>
      <c r="J28" s="27">
        <v>80458061.613228872</v>
      </c>
      <c r="K28" s="27">
        <f t="shared" si="0"/>
        <v>22349461.559230242</v>
      </c>
      <c r="L28" s="27">
        <v>22341199.287190799</v>
      </c>
    </row>
    <row r="29" spans="6:12" ht="16.899999999999999" customHeight="1" x14ac:dyDescent="0.25">
      <c r="F29" s="102" t="s">
        <v>776</v>
      </c>
      <c r="G29" s="102" t="s">
        <v>775</v>
      </c>
      <c r="H29" s="102" t="s">
        <v>772</v>
      </c>
      <c r="I29" s="102">
        <v>2057</v>
      </c>
      <c r="J29" s="27">
        <v>83305879.27488865</v>
      </c>
      <c r="K29" s="27">
        <f t="shared" si="0"/>
        <v>23140522.020802405</v>
      </c>
      <c r="L29" s="27">
        <v>23140791.530215003</v>
      </c>
    </row>
    <row r="30" spans="6:12" x14ac:dyDescent="0.25">
      <c r="F30" s="102" t="s">
        <v>776</v>
      </c>
      <c r="G30" s="102" t="s">
        <v>775</v>
      </c>
      <c r="H30" s="102" t="s">
        <v>773</v>
      </c>
      <c r="I30" s="102">
        <v>2020</v>
      </c>
      <c r="J30" s="27">
        <v>43278386.823762447</v>
      </c>
      <c r="K30" s="27">
        <f t="shared" si="0"/>
        <v>12021774.117711792</v>
      </c>
    </row>
    <row r="31" spans="6:12" x14ac:dyDescent="0.25">
      <c r="F31" s="102" t="s">
        <v>776</v>
      </c>
      <c r="G31" s="102" t="s">
        <v>775</v>
      </c>
      <c r="H31" s="102" t="s">
        <v>773</v>
      </c>
      <c r="I31" s="102">
        <v>2022</v>
      </c>
      <c r="J31" s="27">
        <v>52220287.817135833</v>
      </c>
      <c r="K31" s="27">
        <f t="shared" si="0"/>
        <v>14505635.504759954</v>
      </c>
      <c r="L31" s="27">
        <v>14461138.440744793</v>
      </c>
    </row>
    <row r="32" spans="6:12" x14ac:dyDescent="0.25">
      <c r="F32" s="102" t="s">
        <v>776</v>
      </c>
      <c r="G32" s="102" t="s">
        <v>775</v>
      </c>
      <c r="H32" s="102" t="s">
        <v>773</v>
      </c>
      <c r="I32" s="102">
        <v>2027</v>
      </c>
      <c r="J32" s="27">
        <v>71574396.509393573</v>
      </c>
      <c r="K32" s="27">
        <f t="shared" si="0"/>
        <v>19881776.808164883</v>
      </c>
      <c r="L32" s="27">
        <v>19820237.754114814</v>
      </c>
    </row>
    <row r="33" spans="6:12" x14ac:dyDescent="0.25">
      <c r="F33" s="102" t="s">
        <v>776</v>
      </c>
      <c r="G33" s="102" t="s">
        <v>775</v>
      </c>
      <c r="H33" s="102" t="s">
        <v>773</v>
      </c>
      <c r="I33" s="102">
        <v>2032</v>
      </c>
      <c r="J33" s="27">
        <v>81606310.096397504</v>
      </c>
      <c r="K33" s="27">
        <f t="shared" si="0"/>
        <v>22668419.471221529</v>
      </c>
      <c r="L33" s="27">
        <v>22707596.750695396</v>
      </c>
    </row>
    <row r="34" spans="6:12" x14ac:dyDescent="0.25">
      <c r="F34" s="102" t="s">
        <v>776</v>
      </c>
      <c r="G34" s="102" t="s">
        <v>775</v>
      </c>
      <c r="H34" s="102" t="s">
        <v>773</v>
      </c>
      <c r="I34" s="102">
        <v>2037</v>
      </c>
      <c r="J34" s="27">
        <v>86698512.334121004</v>
      </c>
      <c r="K34" s="27">
        <f t="shared" si="0"/>
        <v>24082920.092811391</v>
      </c>
      <c r="L34" s="27">
        <v>24133448.061083809</v>
      </c>
    </row>
    <row r="35" spans="6:12" x14ac:dyDescent="0.25">
      <c r="F35" s="102" t="s">
        <v>776</v>
      </c>
      <c r="G35" s="102" t="s">
        <v>775</v>
      </c>
      <c r="H35" s="102" t="s">
        <v>773</v>
      </c>
      <c r="I35" s="102">
        <v>2042</v>
      </c>
      <c r="J35" s="27">
        <v>95562935.348746851</v>
      </c>
      <c r="K35" s="27">
        <f t="shared" si="0"/>
        <v>26545259.819096349</v>
      </c>
      <c r="L35" s="27">
        <v>26584840.579563729</v>
      </c>
    </row>
    <row r="36" spans="6:12" x14ac:dyDescent="0.25">
      <c r="F36" s="102" t="s">
        <v>776</v>
      </c>
      <c r="G36" s="102" t="s">
        <v>775</v>
      </c>
      <c r="H36" s="102" t="s">
        <v>773</v>
      </c>
      <c r="I36" s="102">
        <v>2047</v>
      </c>
      <c r="J36" s="27">
        <v>106982001.60959038</v>
      </c>
      <c r="K36" s="27">
        <f t="shared" si="0"/>
        <v>29717222.669330664</v>
      </c>
      <c r="L36" s="27">
        <v>29733359.123230517</v>
      </c>
    </row>
    <row r="37" spans="6:12" x14ac:dyDescent="0.25">
      <c r="F37" s="102" t="s">
        <v>776</v>
      </c>
      <c r="G37" s="102" t="s">
        <v>775</v>
      </c>
      <c r="H37" s="102" t="s">
        <v>773</v>
      </c>
      <c r="I37" s="102">
        <v>2052</v>
      </c>
      <c r="J37" s="27">
        <v>119868396.35430516</v>
      </c>
      <c r="K37" s="27">
        <f t="shared" si="0"/>
        <v>33296776.76508477</v>
      </c>
      <c r="L37" s="27">
        <v>33291620.112516522</v>
      </c>
    </row>
    <row r="38" spans="6:12" x14ac:dyDescent="0.25">
      <c r="F38" s="102" t="s">
        <v>776</v>
      </c>
      <c r="G38" s="102" t="s">
        <v>775</v>
      </c>
      <c r="H38" s="102" t="s">
        <v>773</v>
      </c>
      <c r="I38" s="102">
        <v>2057</v>
      </c>
      <c r="J38" s="27">
        <v>132587883.64592801</v>
      </c>
      <c r="K38" s="27">
        <f t="shared" si="0"/>
        <v>36829967.67942445</v>
      </c>
      <c r="L38" s="27">
        <v>36836614.883969821</v>
      </c>
    </row>
    <row r="71" spans="6:12" x14ac:dyDescent="0.25">
      <c r="F71" s="102"/>
      <c r="G71" s="102"/>
      <c r="H71" s="102"/>
      <c r="I71" s="102"/>
      <c r="J71" s="27"/>
      <c r="K71" s="27"/>
      <c r="L71" s="27"/>
    </row>
    <row r="72" spans="6:12" x14ac:dyDescent="0.25">
      <c r="F72" s="102"/>
      <c r="G72" s="102"/>
      <c r="H72" s="102"/>
      <c r="I72" s="102"/>
      <c r="J72" s="27"/>
      <c r="K72" s="27"/>
      <c r="L72" s="27"/>
    </row>
    <row r="73" spans="6:12" x14ac:dyDescent="0.25">
      <c r="F73" s="102"/>
      <c r="G73" s="102"/>
      <c r="H73" s="102"/>
      <c r="I73" s="102"/>
      <c r="J73" s="27"/>
      <c r="K73" s="27"/>
      <c r="L73" s="27"/>
    </row>
    <row r="74" spans="6:12" x14ac:dyDescent="0.25">
      <c r="F74" s="102"/>
      <c r="G74" s="102"/>
      <c r="H74" s="102"/>
      <c r="I74" s="102"/>
      <c r="J74" s="27"/>
      <c r="K74" s="27"/>
      <c r="L74" s="27"/>
    </row>
    <row r="75" spans="6:12" x14ac:dyDescent="0.25">
      <c r="F75" s="102"/>
      <c r="G75" s="102"/>
      <c r="H75" s="102"/>
      <c r="I75" s="102"/>
      <c r="J75" s="27"/>
      <c r="K75" s="27"/>
      <c r="L75" s="27"/>
    </row>
    <row r="76" spans="6:12" x14ac:dyDescent="0.25">
      <c r="F76" s="102"/>
      <c r="G76" s="102"/>
      <c r="H76" s="102"/>
      <c r="I76" s="102"/>
      <c r="J76" s="27"/>
      <c r="K76" s="27"/>
      <c r="L76" s="27"/>
    </row>
    <row r="77" spans="6:12" x14ac:dyDescent="0.25">
      <c r="F77" s="102"/>
      <c r="G77" s="102"/>
      <c r="H77" s="102"/>
      <c r="I77" s="102"/>
      <c r="J77" s="27"/>
      <c r="K77" s="27"/>
      <c r="L77" s="27"/>
    </row>
    <row r="78" spans="6:12" x14ac:dyDescent="0.25">
      <c r="F78" s="102"/>
      <c r="G78" s="102"/>
      <c r="H78" s="102"/>
      <c r="I78" s="102"/>
      <c r="J78" s="27"/>
      <c r="K78" s="27"/>
      <c r="L78" s="27"/>
    </row>
    <row r="79" spans="6:12" x14ac:dyDescent="0.25">
      <c r="F79" s="102"/>
      <c r="G79" s="102"/>
      <c r="H79" s="102"/>
      <c r="I79" s="102"/>
      <c r="J79" s="27"/>
      <c r="K79" s="27"/>
      <c r="L79" s="27"/>
    </row>
    <row r="80" spans="6:12" x14ac:dyDescent="0.25">
      <c r="F80" s="102"/>
      <c r="G80" s="102"/>
      <c r="H80" s="102"/>
      <c r="I80" s="102"/>
      <c r="J80" s="27"/>
      <c r="K80" s="27"/>
      <c r="L80" s="27"/>
    </row>
    <row r="81" spans="6:12" x14ac:dyDescent="0.25">
      <c r="F81" s="102"/>
      <c r="G81" s="102"/>
      <c r="H81" s="102"/>
      <c r="I81" s="102"/>
      <c r="J81" s="27"/>
      <c r="K81" s="27"/>
      <c r="L81" s="27"/>
    </row>
    <row r="82" spans="6:12" x14ac:dyDescent="0.25">
      <c r="F82" s="102"/>
      <c r="G82" s="102"/>
      <c r="H82" s="102"/>
      <c r="I82" s="102"/>
      <c r="J82" s="27"/>
      <c r="K82" s="27"/>
      <c r="L82" s="27"/>
    </row>
    <row r="83" spans="6:12" x14ac:dyDescent="0.25">
      <c r="F83" s="102"/>
      <c r="G83" s="102"/>
      <c r="H83" s="102"/>
      <c r="I83" s="102"/>
      <c r="J83" s="27"/>
      <c r="K83" s="27"/>
      <c r="L83" s="27"/>
    </row>
    <row r="84" spans="6:12" x14ac:dyDescent="0.25">
      <c r="F84" s="102"/>
      <c r="G84" s="102"/>
      <c r="H84" s="102"/>
      <c r="I84" s="102"/>
      <c r="J84" s="27"/>
      <c r="K84" s="27"/>
      <c r="L84" s="27"/>
    </row>
    <row r="85" spans="6:12" x14ac:dyDescent="0.25">
      <c r="F85" s="102"/>
      <c r="G85" s="102"/>
      <c r="H85" s="102"/>
      <c r="I85" s="102"/>
      <c r="J85" s="27"/>
      <c r="K85" s="27"/>
      <c r="L85" s="27"/>
    </row>
    <row r="86" spans="6:12" x14ac:dyDescent="0.25">
      <c r="F86" s="102"/>
      <c r="G86" s="102"/>
      <c r="H86" s="102"/>
      <c r="I86" s="102"/>
      <c r="J86" s="27"/>
      <c r="K86" s="27"/>
      <c r="L86" s="27"/>
    </row>
    <row r="87" spans="6:12" x14ac:dyDescent="0.25">
      <c r="F87" s="102"/>
      <c r="G87" s="102"/>
      <c r="H87" s="102"/>
      <c r="I87" s="102"/>
      <c r="J87" s="27"/>
      <c r="K87" s="27"/>
      <c r="L87" s="27"/>
    </row>
    <row r="88" spans="6:12" x14ac:dyDescent="0.25">
      <c r="F88" s="102"/>
      <c r="G88" s="102"/>
      <c r="H88" s="102"/>
      <c r="I88" s="102"/>
      <c r="J88" s="27"/>
      <c r="K88" s="27"/>
      <c r="L88" s="27"/>
    </row>
    <row r="89" spans="6:12" x14ac:dyDescent="0.25">
      <c r="F89" s="102"/>
      <c r="G89" s="102"/>
      <c r="H89" s="102"/>
      <c r="I89" s="102"/>
      <c r="J89" s="27"/>
      <c r="K89" s="27"/>
      <c r="L89" s="27"/>
    </row>
    <row r="90" spans="6:12" x14ac:dyDescent="0.25">
      <c r="F90" s="102"/>
      <c r="G90" s="102"/>
      <c r="H90" s="102"/>
      <c r="I90" s="102"/>
      <c r="J90" s="27"/>
      <c r="K90" s="27"/>
      <c r="L90" s="27"/>
    </row>
    <row r="91" spans="6:12" x14ac:dyDescent="0.25">
      <c r="F91" s="102"/>
      <c r="G91" s="102"/>
      <c r="H91" s="102"/>
      <c r="I91" s="102"/>
      <c r="J91" s="27"/>
      <c r="K91" s="27"/>
      <c r="L91" s="27"/>
    </row>
    <row r="92" spans="6:12" x14ac:dyDescent="0.25">
      <c r="F92" s="102"/>
      <c r="G92" s="102"/>
      <c r="H92" s="102"/>
      <c r="I92" s="102"/>
      <c r="J92" s="27"/>
      <c r="K92" s="27"/>
      <c r="L92" s="27"/>
    </row>
    <row r="93" spans="6:12" x14ac:dyDescent="0.25">
      <c r="F93" s="102"/>
      <c r="G93" s="102"/>
      <c r="H93" s="102"/>
      <c r="I93" s="102"/>
      <c r="J93" s="27"/>
      <c r="K93" s="27"/>
      <c r="L93" s="27"/>
    </row>
    <row r="94" spans="6:12" x14ac:dyDescent="0.25">
      <c r="F94" s="102"/>
      <c r="G94" s="102"/>
      <c r="H94" s="102"/>
      <c r="I94" s="102"/>
      <c r="J94" s="27"/>
      <c r="K94" s="27"/>
      <c r="L94" s="27"/>
    </row>
    <row r="95" spans="6:12" x14ac:dyDescent="0.25">
      <c r="F95" s="102"/>
      <c r="G95" s="102"/>
      <c r="H95" s="102"/>
      <c r="I95" s="102"/>
      <c r="J95" s="27"/>
      <c r="K95" s="27"/>
      <c r="L95" s="27"/>
    </row>
    <row r="96" spans="6:12" x14ac:dyDescent="0.25">
      <c r="F96" s="102"/>
      <c r="G96" s="102"/>
      <c r="H96" s="102"/>
      <c r="I96" s="102"/>
      <c r="J96" s="27"/>
      <c r="K96" s="27"/>
      <c r="L96" s="27"/>
    </row>
    <row r="97" spans="6:12" x14ac:dyDescent="0.25">
      <c r="F97" s="102"/>
      <c r="G97" s="102"/>
      <c r="H97" s="102"/>
      <c r="I97" s="102"/>
      <c r="J97" s="27"/>
      <c r="K97" s="27"/>
      <c r="L97" s="27"/>
    </row>
    <row r="98" spans="6:12" x14ac:dyDescent="0.25">
      <c r="F98" s="102"/>
      <c r="G98" s="102"/>
      <c r="H98" s="102"/>
      <c r="I98" s="102"/>
      <c r="J98" s="27"/>
      <c r="K98" s="27"/>
      <c r="L98" s="27"/>
    </row>
    <row r="99" spans="6:12" x14ac:dyDescent="0.25">
      <c r="F99" s="102"/>
      <c r="G99" s="102"/>
      <c r="H99" s="102"/>
      <c r="I99" s="102"/>
      <c r="J99" s="27"/>
      <c r="K99" s="27"/>
      <c r="L99" s="27"/>
    </row>
    <row r="100" spans="6:12" x14ac:dyDescent="0.25">
      <c r="F100" s="102"/>
      <c r="G100" s="102"/>
      <c r="H100" s="102"/>
      <c r="I100" s="102"/>
      <c r="J100" s="27"/>
      <c r="K100" s="27"/>
      <c r="L100" s="27"/>
    </row>
    <row r="101" spans="6:12" x14ac:dyDescent="0.25">
      <c r="F101" s="102"/>
      <c r="G101" s="102"/>
      <c r="H101" s="102"/>
      <c r="I101" s="102"/>
      <c r="J101" s="27"/>
      <c r="K101" s="27"/>
      <c r="L101" s="27"/>
    </row>
    <row r="102" spans="6:12" x14ac:dyDescent="0.25">
      <c r="F102" s="102"/>
      <c r="G102" s="102"/>
      <c r="H102" s="102"/>
      <c r="I102" s="102"/>
      <c r="J102" s="27"/>
      <c r="K102" s="27"/>
      <c r="L102" s="27"/>
    </row>
    <row r="103" spans="6:12" x14ac:dyDescent="0.25">
      <c r="F103" s="102"/>
      <c r="G103" s="102"/>
      <c r="H103" s="102"/>
      <c r="I103" s="102"/>
      <c r="J103" s="27"/>
      <c r="K103" s="27"/>
      <c r="L103" s="27"/>
    </row>
    <row r="104" spans="6:12" x14ac:dyDescent="0.25">
      <c r="F104" s="102"/>
      <c r="G104" s="102"/>
      <c r="H104" s="102"/>
      <c r="I104" s="102"/>
      <c r="J104" s="27"/>
      <c r="K104" s="27"/>
      <c r="L104" s="27"/>
    </row>
    <row r="105" spans="6:12" x14ac:dyDescent="0.25">
      <c r="F105" s="102"/>
      <c r="G105" s="102"/>
      <c r="H105" s="102"/>
      <c r="I105" s="102"/>
      <c r="J105" s="27"/>
      <c r="K105" s="27"/>
      <c r="L105" s="27"/>
    </row>
    <row r="106" spans="6:12" x14ac:dyDescent="0.25">
      <c r="F106" s="102"/>
      <c r="G106" s="102"/>
      <c r="H106" s="102"/>
      <c r="I106" s="102"/>
      <c r="J106" s="27"/>
      <c r="K106" s="27"/>
      <c r="L106" s="27"/>
    </row>
    <row r="107" spans="6:12" x14ac:dyDescent="0.25">
      <c r="F107" s="102"/>
      <c r="G107" s="102"/>
      <c r="H107" s="102"/>
      <c r="I107" s="102"/>
      <c r="J107" s="27"/>
      <c r="K107" s="27"/>
      <c r="L107" s="27"/>
    </row>
    <row r="108" spans="6:12" x14ac:dyDescent="0.25">
      <c r="F108" s="102"/>
      <c r="G108" s="102"/>
      <c r="H108" s="102"/>
      <c r="I108" s="102"/>
      <c r="J108" s="27"/>
      <c r="K108" s="27"/>
      <c r="L108" s="27"/>
    </row>
    <row r="109" spans="6:12" x14ac:dyDescent="0.25">
      <c r="F109" s="102"/>
      <c r="G109" s="102"/>
      <c r="H109" s="102"/>
      <c r="I109" s="102"/>
      <c r="J109" s="27"/>
      <c r="K109" s="27"/>
      <c r="L109" s="27"/>
    </row>
    <row r="110" spans="6:12" x14ac:dyDescent="0.25">
      <c r="F110" s="102"/>
      <c r="G110" s="102"/>
      <c r="H110" s="102"/>
      <c r="I110" s="102"/>
      <c r="J110" s="27"/>
      <c r="K110" s="27"/>
      <c r="L110" s="27"/>
    </row>
    <row r="111" spans="6:12" x14ac:dyDescent="0.25">
      <c r="F111" s="102"/>
      <c r="G111" s="102"/>
      <c r="H111" s="102"/>
      <c r="I111" s="102"/>
      <c r="J111" s="27"/>
      <c r="K111" s="27"/>
      <c r="L111" s="27"/>
    </row>
    <row r="112" spans="6:12" x14ac:dyDescent="0.25">
      <c r="F112" s="102"/>
      <c r="G112" s="102"/>
      <c r="H112" s="102"/>
      <c r="I112" s="102"/>
      <c r="J112" s="27"/>
      <c r="K112" s="27"/>
      <c r="L112" s="27"/>
    </row>
    <row r="113" spans="6:12" x14ac:dyDescent="0.25">
      <c r="F113" s="102"/>
      <c r="G113" s="102"/>
      <c r="H113" s="102"/>
      <c r="I113" s="102"/>
      <c r="J113" s="27"/>
      <c r="K113" s="27"/>
      <c r="L113" s="27"/>
    </row>
    <row r="114" spans="6:12" x14ac:dyDescent="0.25">
      <c r="F114" s="102"/>
      <c r="G114" s="102"/>
      <c r="H114" s="102"/>
      <c r="I114" s="102"/>
      <c r="J114" s="27"/>
      <c r="K114" s="27"/>
      <c r="L114" s="27"/>
    </row>
    <row r="115" spans="6:12" x14ac:dyDescent="0.25">
      <c r="F115" s="102"/>
      <c r="G115" s="102"/>
      <c r="H115" s="102"/>
      <c r="I115" s="102"/>
      <c r="J115" s="27"/>
      <c r="K115" s="27"/>
      <c r="L115" s="27"/>
    </row>
    <row r="116" spans="6:12" x14ac:dyDescent="0.25">
      <c r="F116" s="102"/>
      <c r="G116" s="102"/>
      <c r="H116" s="102"/>
      <c r="I116" s="102"/>
      <c r="J116" s="27"/>
      <c r="K116" s="27"/>
      <c r="L116" s="27"/>
    </row>
    <row r="117" spans="6:12" x14ac:dyDescent="0.25">
      <c r="F117" s="102"/>
      <c r="G117" s="102"/>
      <c r="H117" s="102"/>
      <c r="I117" s="102"/>
      <c r="J117" s="27"/>
      <c r="K117" s="27"/>
      <c r="L117" s="27"/>
    </row>
    <row r="118" spans="6:12" x14ac:dyDescent="0.25">
      <c r="F118" s="102"/>
      <c r="G118" s="102"/>
      <c r="H118" s="102"/>
      <c r="I118" s="102"/>
      <c r="J118" s="27"/>
      <c r="K118" s="27"/>
      <c r="L118" s="27"/>
    </row>
    <row r="119" spans="6:12" x14ac:dyDescent="0.25">
      <c r="F119" s="102"/>
      <c r="G119" s="102"/>
      <c r="H119" s="102"/>
      <c r="I119" s="102"/>
      <c r="J119" s="27"/>
      <c r="K119" s="27"/>
      <c r="L119" s="27"/>
    </row>
    <row r="120" spans="6:12" x14ac:dyDescent="0.25">
      <c r="F120" s="102"/>
      <c r="G120" s="102"/>
      <c r="H120" s="102"/>
      <c r="I120" s="102"/>
      <c r="J120" s="27"/>
      <c r="K120" s="27"/>
      <c r="L120" s="27"/>
    </row>
    <row r="121" spans="6:12" x14ac:dyDescent="0.25">
      <c r="F121" s="102"/>
      <c r="G121" s="102"/>
      <c r="H121" s="102"/>
      <c r="I121" s="102"/>
      <c r="J121" s="27"/>
      <c r="K121" s="27"/>
      <c r="L121" s="27"/>
    </row>
    <row r="122" spans="6:12" x14ac:dyDescent="0.25">
      <c r="F122" s="102"/>
      <c r="G122" s="102"/>
      <c r="H122" s="102"/>
      <c r="I122" s="102"/>
      <c r="J122" s="27"/>
      <c r="K122" s="27"/>
      <c r="L122" s="27"/>
    </row>
    <row r="123" spans="6:12" x14ac:dyDescent="0.25">
      <c r="F123" s="102"/>
      <c r="G123" s="102"/>
      <c r="H123" s="102"/>
      <c r="I123" s="102"/>
      <c r="J123" s="27"/>
      <c r="K123" s="27"/>
      <c r="L123" s="27"/>
    </row>
    <row r="124" spans="6:12" x14ac:dyDescent="0.25">
      <c r="F124" s="102"/>
      <c r="G124" s="102"/>
      <c r="H124" s="102"/>
      <c r="I124" s="102"/>
      <c r="J124" s="27"/>
      <c r="K124" s="27"/>
      <c r="L124" s="27"/>
    </row>
    <row r="125" spans="6:12" x14ac:dyDescent="0.25">
      <c r="F125" s="102"/>
      <c r="G125" s="102"/>
      <c r="H125" s="102"/>
      <c r="I125" s="102"/>
      <c r="J125" s="27"/>
      <c r="K125" s="27"/>
      <c r="L125" s="27"/>
    </row>
    <row r="126" spans="6:12" x14ac:dyDescent="0.25">
      <c r="F126" s="102"/>
      <c r="G126" s="102"/>
      <c r="H126" s="102"/>
      <c r="I126" s="102"/>
      <c r="J126" s="27"/>
      <c r="K126" s="27"/>
      <c r="L126" s="27"/>
    </row>
    <row r="127" spans="6:12" x14ac:dyDescent="0.25">
      <c r="F127" s="102"/>
      <c r="G127" s="102"/>
      <c r="H127" s="102"/>
      <c r="I127" s="102"/>
      <c r="J127" s="27"/>
      <c r="K127" s="27"/>
      <c r="L127" s="27"/>
    </row>
    <row r="128" spans="6:12" x14ac:dyDescent="0.25">
      <c r="F128" s="102"/>
      <c r="G128" s="102"/>
      <c r="H128" s="102"/>
      <c r="I128" s="102"/>
      <c r="J128" s="27"/>
      <c r="K128" s="27"/>
      <c r="L128" s="27"/>
    </row>
    <row r="129" spans="6:12" x14ac:dyDescent="0.25">
      <c r="F129" s="102"/>
      <c r="G129" s="102"/>
      <c r="H129" s="102"/>
      <c r="I129" s="102"/>
      <c r="J129" s="27"/>
      <c r="K129" s="27"/>
      <c r="L129" s="27"/>
    </row>
    <row r="130" spans="6:12" x14ac:dyDescent="0.25">
      <c r="F130" s="102"/>
      <c r="G130" s="102"/>
      <c r="H130" s="102"/>
      <c r="I130" s="102"/>
      <c r="J130" s="27"/>
      <c r="K130" s="27"/>
      <c r="L130" s="27"/>
    </row>
    <row r="131" spans="6:12" x14ac:dyDescent="0.25">
      <c r="F131" s="102"/>
      <c r="G131" s="102"/>
      <c r="H131" s="102"/>
      <c r="I131" s="102"/>
      <c r="J131" s="27"/>
      <c r="K131" s="27"/>
      <c r="L131" s="27"/>
    </row>
    <row r="132" spans="6:12" x14ac:dyDescent="0.25">
      <c r="F132" s="102"/>
      <c r="G132" s="102"/>
      <c r="H132" s="102"/>
      <c r="I132" s="102"/>
      <c r="J132" s="27"/>
      <c r="K132" s="27"/>
      <c r="L132" s="27"/>
    </row>
    <row r="133" spans="6:12" x14ac:dyDescent="0.25">
      <c r="F133" s="102"/>
      <c r="G133" s="102"/>
      <c r="H133" s="102"/>
      <c r="I133" s="102"/>
      <c r="J133" s="27"/>
      <c r="K133" s="27"/>
      <c r="L133" s="27"/>
    </row>
    <row r="134" spans="6:12" x14ac:dyDescent="0.25">
      <c r="F134" s="102"/>
      <c r="G134" s="102"/>
      <c r="H134" s="102"/>
      <c r="I134" s="102"/>
      <c r="J134" s="27"/>
      <c r="K134" s="27"/>
      <c r="L134" s="27"/>
    </row>
    <row r="135" spans="6:12" x14ac:dyDescent="0.25">
      <c r="F135" s="102"/>
      <c r="G135" s="102"/>
      <c r="H135" s="102"/>
      <c r="I135" s="102"/>
      <c r="J135" s="27"/>
      <c r="K135" s="27"/>
      <c r="L135" s="27"/>
    </row>
    <row r="136" spans="6:12" x14ac:dyDescent="0.25">
      <c r="F136" s="102"/>
      <c r="G136" s="102"/>
      <c r="H136" s="102"/>
      <c r="I136" s="102"/>
      <c r="J136" s="27"/>
      <c r="K136" s="27"/>
      <c r="L136" s="27"/>
    </row>
    <row r="137" spans="6:12" x14ac:dyDescent="0.25">
      <c r="F137" s="102"/>
      <c r="G137" s="102"/>
      <c r="H137" s="102"/>
      <c r="I137" s="102"/>
      <c r="J137" s="27"/>
      <c r="K137" s="27"/>
      <c r="L137" s="27"/>
    </row>
    <row r="138" spans="6:12" x14ac:dyDescent="0.25">
      <c r="F138" s="102"/>
      <c r="G138" s="102"/>
      <c r="H138" s="102"/>
      <c r="I138" s="102"/>
      <c r="J138" s="27"/>
      <c r="K138" s="27"/>
      <c r="L138" s="27"/>
    </row>
    <row r="139" spans="6:12" x14ac:dyDescent="0.25">
      <c r="F139" s="102"/>
      <c r="G139" s="102"/>
      <c r="H139" s="102"/>
      <c r="I139" s="102"/>
      <c r="J139" s="27"/>
      <c r="K139" s="27"/>
      <c r="L139" s="27"/>
    </row>
    <row r="140" spans="6:12" x14ac:dyDescent="0.25">
      <c r="F140" s="102"/>
      <c r="G140" s="102"/>
      <c r="H140" s="102"/>
      <c r="I140" s="102"/>
      <c r="J140" s="27"/>
      <c r="K140" s="27"/>
      <c r="L140" s="27"/>
    </row>
    <row r="141" spans="6:12" x14ac:dyDescent="0.25">
      <c r="F141" s="102"/>
      <c r="G141" s="102"/>
      <c r="H141" s="102"/>
      <c r="I141" s="102"/>
      <c r="J141" s="27"/>
      <c r="K141" s="27"/>
      <c r="L141" s="27"/>
    </row>
    <row r="142" spans="6:12" x14ac:dyDescent="0.25">
      <c r="F142" s="102"/>
      <c r="G142" s="102"/>
      <c r="H142" s="102"/>
      <c r="I142" s="102"/>
      <c r="J142" s="27"/>
      <c r="K142" s="27"/>
      <c r="L142" s="27"/>
    </row>
    <row r="143" spans="6:12" x14ac:dyDescent="0.25">
      <c r="F143" s="102"/>
      <c r="G143" s="102"/>
      <c r="H143" s="102"/>
      <c r="I143" s="102"/>
      <c r="J143" s="27"/>
      <c r="K143" s="27"/>
      <c r="L143" s="27"/>
    </row>
    <row r="144" spans="6:12" x14ac:dyDescent="0.25">
      <c r="F144" s="102"/>
      <c r="G144" s="102"/>
      <c r="H144" s="102"/>
      <c r="I144" s="102"/>
      <c r="J144" s="27"/>
      <c r="K144" s="27"/>
      <c r="L144" s="27"/>
    </row>
    <row r="145" spans="6:12" x14ac:dyDescent="0.25">
      <c r="F145" s="102"/>
      <c r="G145" s="102"/>
      <c r="H145" s="102"/>
      <c r="I145" s="102"/>
      <c r="J145" s="27"/>
      <c r="K145" s="27"/>
      <c r="L145" s="27"/>
    </row>
    <row r="146" spans="6:12" x14ac:dyDescent="0.25">
      <c r="F146" s="102"/>
      <c r="G146" s="102"/>
      <c r="H146" s="102"/>
      <c r="I146" s="102"/>
      <c r="J146" s="27"/>
      <c r="K146" s="27"/>
      <c r="L146" s="27"/>
    </row>
    <row r="147" spans="6:12" x14ac:dyDescent="0.25">
      <c r="F147" s="102"/>
      <c r="G147" s="102"/>
      <c r="H147" s="102"/>
      <c r="I147" s="102"/>
      <c r="J147" s="27"/>
      <c r="K147" s="27"/>
      <c r="L147" s="27"/>
    </row>
    <row r="148" spans="6:12" x14ac:dyDescent="0.25">
      <c r="F148" s="102"/>
      <c r="G148" s="102"/>
      <c r="H148" s="102"/>
      <c r="I148" s="102"/>
      <c r="J148" s="27"/>
      <c r="K148" s="27"/>
      <c r="L148" s="27"/>
    </row>
    <row r="149" spans="6:12" x14ac:dyDescent="0.25">
      <c r="F149" s="102"/>
      <c r="G149" s="102"/>
      <c r="H149" s="102"/>
      <c r="I149" s="102"/>
      <c r="J149" s="27"/>
      <c r="K149" s="27"/>
      <c r="L149" s="27"/>
    </row>
    <row r="150" spans="6:12" x14ac:dyDescent="0.25">
      <c r="F150" s="102"/>
      <c r="G150" s="102"/>
      <c r="H150" s="102"/>
      <c r="I150" s="102"/>
      <c r="J150" s="27"/>
      <c r="K150" s="27"/>
      <c r="L150" s="27"/>
    </row>
    <row r="151" spans="6:12" x14ac:dyDescent="0.25">
      <c r="F151" s="102"/>
      <c r="G151" s="102"/>
      <c r="H151" s="102"/>
      <c r="I151" s="102"/>
      <c r="J151" s="27"/>
      <c r="K151" s="27"/>
      <c r="L151" s="27"/>
    </row>
    <row r="152" spans="6:12" x14ac:dyDescent="0.25">
      <c r="F152" s="102"/>
      <c r="G152" s="102"/>
      <c r="H152" s="102"/>
      <c r="I152" s="102"/>
      <c r="J152" s="27"/>
      <c r="K152" s="27"/>
      <c r="L152" s="27"/>
    </row>
    <row r="153" spans="6:12" x14ac:dyDescent="0.25">
      <c r="F153" s="102"/>
      <c r="G153" s="102"/>
      <c r="H153" s="102"/>
      <c r="I153" s="102"/>
      <c r="J153" s="27"/>
      <c r="K153" s="27"/>
      <c r="L153" s="27"/>
    </row>
    <row r="154" spans="6:12" x14ac:dyDescent="0.25">
      <c r="F154" s="102"/>
      <c r="G154" s="102"/>
      <c r="H154" s="102"/>
      <c r="I154" s="102"/>
      <c r="J154" s="27"/>
      <c r="K154" s="27"/>
      <c r="L154" s="27"/>
    </row>
    <row r="155" spans="6:12" x14ac:dyDescent="0.25">
      <c r="F155" s="102"/>
      <c r="G155" s="102"/>
      <c r="H155" s="102"/>
      <c r="I155" s="102"/>
      <c r="J155" s="27"/>
      <c r="K155" s="27"/>
      <c r="L155" s="27"/>
    </row>
    <row r="156" spans="6:12" x14ac:dyDescent="0.25">
      <c r="F156" s="102"/>
      <c r="G156" s="102"/>
      <c r="H156" s="102"/>
      <c r="I156" s="102"/>
      <c r="J156" s="27"/>
      <c r="K156" s="27"/>
      <c r="L156" s="27"/>
    </row>
    <row r="157" spans="6:12" x14ac:dyDescent="0.25">
      <c r="F157" s="102"/>
      <c r="G157" s="102"/>
      <c r="H157" s="102"/>
      <c r="I157" s="102"/>
      <c r="J157" s="27"/>
      <c r="K157" s="27"/>
      <c r="L157" s="27"/>
    </row>
    <row r="158" spans="6:12" x14ac:dyDescent="0.25">
      <c r="F158" s="102"/>
      <c r="G158" s="102"/>
      <c r="H158" s="102"/>
      <c r="I158" s="102"/>
      <c r="J158" s="27"/>
      <c r="K158" s="27"/>
      <c r="L158" s="27"/>
    </row>
    <row r="159" spans="6:12" x14ac:dyDescent="0.25">
      <c r="F159" s="102"/>
      <c r="G159" s="102"/>
      <c r="H159" s="102"/>
      <c r="I159" s="102"/>
      <c r="J159" s="27"/>
      <c r="K159" s="27"/>
      <c r="L159" s="27"/>
    </row>
    <row r="160" spans="6:12" x14ac:dyDescent="0.25">
      <c r="F160" s="102"/>
      <c r="G160" s="102"/>
      <c r="H160" s="102"/>
      <c r="I160" s="102"/>
      <c r="J160" s="27"/>
      <c r="K160" s="27"/>
      <c r="L160" s="27"/>
    </row>
    <row r="161" spans="6:12" x14ac:dyDescent="0.25">
      <c r="F161" s="102"/>
      <c r="G161" s="102"/>
      <c r="H161" s="102"/>
      <c r="I161" s="102"/>
      <c r="J161" s="27"/>
      <c r="K161" s="27"/>
      <c r="L161" s="27"/>
    </row>
    <row r="162" spans="6:12" x14ac:dyDescent="0.25">
      <c r="F162" s="102"/>
      <c r="G162" s="102"/>
      <c r="H162" s="102"/>
      <c r="I162" s="102"/>
      <c r="J162" s="27"/>
      <c r="K162" s="27"/>
      <c r="L162" s="27"/>
    </row>
    <row r="163" spans="6:12" x14ac:dyDescent="0.25">
      <c r="F163" s="102"/>
      <c r="G163" s="102"/>
      <c r="H163" s="102"/>
      <c r="I163" s="102"/>
      <c r="J163" s="27"/>
      <c r="K163" s="27"/>
      <c r="L163" s="27"/>
    </row>
    <row r="164" spans="6:12" x14ac:dyDescent="0.25">
      <c r="F164" s="102"/>
      <c r="G164" s="102"/>
      <c r="H164" s="102"/>
      <c r="I164" s="102"/>
      <c r="J164" s="27"/>
      <c r="K164" s="27"/>
      <c r="L164" s="27"/>
    </row>
    <row r="165" spans="6:12" x14ac:dyDescent="0.25">
      <c r="F165" s="102"/>
      <c r="G165" s="102"/>
      <c r="H165" s="102"/>
      <c r="I165" s="102"/>
      <c r="J165" s="27"/>
      <c r="K165" s="27"/>
      <c r="L165" s="27"/>
    </row>
    <row r="166" spans="6:12" x14ac:dyDescent="0.25">
      <c r="F166" s="102"/>
      <c r="G166" s="102"/>
      <c r="H166" s="102"/>
      <c r="I166" s="102"/>
      <c r="J166" s="27"/>
      <c r="K166" s="27"/>
      <c r="L166" s="27"/>
    </row>
    <row r="167" spans="6:12" x14ac:dyDescent="0.25">
      <c r="F167" s="102"/>
      <c r="G167" s="102"/>
      <c r="H167" s="102"/>
      <c r="I167" s="102"/>
      <c r="J167" s="27"/>
      <c r="K167" s="27"/>
      <c r="L167" s="27"/>
    </row>
    <row r="168" spans="6:12" x14ac:dyDescent="0.25">
      <c r="F168" s="102"/>
      <c r="G168" s="102"/>
      <c r="H168" s="102"/>
      <c r="I168" s="102"/>
      <c r="J168" s="27"/>
      <c r="K168" s="27"/>
      <c r="L168" s="27"/>
    </row>
    <row r="169" spans="6:12" x14ac:dyDescent="0.25">
      <c r="F169" s="102"/>
      <c r="G169" s="102"/>
      <c r="H169" s="102"/>
      <c r="I169" s="102"/>
      <c r="J169" s="27"/>
      <c r="K169" s="27"/>
      <c r="L169" s="27"/>
    </row>
    <row r="170" spans="6:12" x14ac:dyDescent="0.25">
      <c r="F170" s="102"/>
      <c r="G170" s="102"/>
      <c r="H170" s="102"/>
      <c r="I170" s="102"/>
      <c r="J170" s="27"/>
      <c r="K170" s="27"/>
      <c r="L170" s="27"/>
    </row>
    <row r="171" spans="6:12" x14ac:dyDescent="0.25">
      <c r="F171" s="102"/>
      <c r="G171" s="102"/>
      <c r="H171" s="102"/>
      <c r="I171" s="102"/>
      <c r="J171" s="27"/>
      <c r="K171" s="27"/>
      <c r="L171" s="27"/>
    </row>
    <row r="172" spans="6:12" x14ac:dyDescent="0.25">
      <c r="F172" s="102"/>
      <c r="G172" s="102"/>
      <c r="H172" s="102"/>
      <c r="I172" s="102"/>
      <c r="J172" s="27"/>
      <c r="K172" s="27"/>
      <c r="L172" s="27"/>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M249"/>
  <sheetViews>
    <sheetView topLeftCell="A5" workbookViewId="0">
      <selection activeCell="J20" sqref="J20"/>
    </sheetView>
  </sheetViews>
  <sheetFormatPr defaultRowHeight="15" x14ac:dyDescent="0.25"/>
  <cols>
    <col min="1" max="1" width="17.42578125" style="147" customWidth="1"/>
    <col min="2" max="2" width="9.5703125" style="27" bestFit="1" customWidth="1"/>
    <col min="10" max="10" width="9.5703125" bestFit="1" customWidth="1"/>
    <col min="11" max="11" width="10.28515625" bestFit="1" customWidth="1"/>
    <col min="12" max="12" width="9.5703125" bestFit="1" customWidth="1"/>
  </cols>
  <sheetData>
    <row r="1" spans="1:13" x14ac:dyDescent="0.25">
      <c r="A1" s="147" t="s">
        <v>524</v>
      </c>
      <c r="I1" t="s">
        <v>639</v>
      </c>
      <c r="J1" t="s">
        <v>641</v>
      </c>
      <c r="K1" t="s">
        <v>642</v>
      </c>
      <c r="L1" t="s">
        <v>640</v>
      </c>
      <c r="M1" t="s">
        <v>643</v>
      </c>
    </row>
    <row r="2" spans="1:13" x14ac:dyDescent="0.25">
      <c r="I2" t="s">
        <v>58</v>
      </c>
      <c r="J2" s="72">
        <f>AVERAGEIFS(C5:C249,F5:F249,"=CTMP",C5:C249,"&gt;0")</f>
        <v>2.1350857874266116</v>
      </c>
      <c r="K2" s="72" t="e">
        <f>AVERAGEIFS(C5:C249,F5:F249,"=CTMP",C5:C249,"&lt;=0")</f>
        <v>#DIV/0!</v>
      </c>
      <c r="L2" s="72">
        <f>AVERAGEIFS(C5:C249,F5:F249,"=CTMP")</f>
        <v>2.1350857874266116</v>
      </c>
      <c r="M2" s="72">
        <f>SUMIFS(E5:E249,F5:F249,"=CTMP")/SUMIFS(B5:B249,F5:F249,"=CTMP")</f>
        <v>2.3388429752066116</v>
      </c>
    </row>
    <row r="3" spans="1:13" ht="18" x14ac:dyDescent="0.25">
      <c r="A3" s="148" t="s">
        <v>525</v>
      </c>
      <c r="I3" s="2" t="s">
        <v>149</v>
      </c>
      <c r="J3" s="72">
        <f>AVERAGEIFS(C5:C249,F5:F249,"=pumech",C5:C249,"&gt;0")</f>
        <v>1.7595744680851064</v>
      </c>
      <c r="K3" s="72" t="e">
        <f>AVERAGEIFS(C5:C249,F5:F249,"=pumech",C5:C249,"&lt;=0")</f>
        <v>#DIV/0!</v>
      </c>
      <c r="L3" s="72">
        <f>AVERAGEIFS(C5:C249,F5:F249,"=pumech")</f>
        <v>1.7595744680851064</v>
      </c>
      <c r="M3" s="72">
        <f>SUMIFS(E5:E249,F5:F249,"=pumech")/SUMIFS(B5:B249,F5:F249,"=pumech")</f>
        <v>1.7595744680851064</v>
      </c>
    </row>
    <row r="4" spans="1:13" x14ac:dyDescent="0.25">
      <c r="A4" s="149"/>
      <c r="I4" s="104" t="s">
        <v>140</v>
      </c>
      <c r="J4" s="72">
        <f>AVERAGEIFS(C5:C249,F5:F249,"=pudiss",C5:C249,"&gt;0")</f>
        <v>0.74891640866873066</v>
      </c>
      <c r="K4" s="72" t="e">
        <f>AVERAGEIFS(C5:C249,F5:F249,"=pudiss",C5:C249,"&lt;=0")</f>
        <v>#DIV/0!</v>
      </c>
      <c r="L4" s="72">
        <f>AVERAGEIFS(C5:C249,F5:F249,"=pudiss")</f>
        <v>0.74891640866873066</v>
      </c>
      <c r="M4" s="72">
        <f>SUMIFS(E5:E249,F5:F249,"=pudiss")/SUMIFS(B5:B249,F5:F249,"=pudiss")</f>
        <v>0.69452054794520546</v>
      </c>
    </row>
    <row r="5" spans="1:13" ht="18" x14ac:dyDescent="0.25">
      <c r="A5" s="150" t="s">
        <v>556</v>
      </c>
      <c r="B5" s="72">
        <v>890</v>
      </c>
      <c r="C5" s="72">
        <f>B7/B5</f>
        <v>2.2471910112359552</v>
      </c>
      <c r="D5" t="s">
        <v>637</v>
      </c>
      <c r="E5" s="27">
        <f>B7</f>
        <v>2000</v>
      </c>
      <c r="F5" t="s">
        <v>58</v>
      </c>
      <c r="I5" s="104" t="s">
        <v>143</v>
      </c>
      <c r="J5" s="72">
        <f>AVERAGEIFS(C5:C249,F5:F249,"=puchem",C5:C249,"&gt;0")</f>
        <v>0.17743055555555556</v>
      </c>
      <c r="K5" s="72">
        <f>AVERAGEIFS(C5:C249,F5:F249,"=puchem",C5:C249,"&lt;=0")</f>
        <v>-0.16939988116458704</v>
      </c>
      <c r="L5" s="72">
        <f>AVERAGEIFS(C5:C249,F5:F249,"=puchem")</f>
        <v>2.8788939818351598E-2</v>
      </c>
      <c r="M5" s="72">
        <f>SUMIFS(E5:E249,F5:F249,"=puchem")/SUMIFS(B5:B249,F5:F249,"=puchem")</f>
        <v>-3.6272878535773712E-2</v>
      </c>
    </row>
    <row r="6" spans="1:13" ht="18" x14ac:dyDescent="0.25">
      <c r="A6" s="150" t="s">
        <v>557</v>
      </c>
      <c r="B6" s="27" t="s">
        <v>564</v>
      </c>
      <c r="I6" t="s">
        <v>129</v>
      </c>
      <c r="J6" s="72">
        <f>AVERAGEIFS(C5:C249,F5:F249,"=pachem",C5:C249,"&gt;0")</f>
        <v>0.58283741676573686</v>
      </c>
      <c r="K6" s="72" t="e">
        <f>AVERAGEIFS(C5:C249,F5:F249,"=pachem",C5:C249,"&lt;=0")</f>
        <v>#DIV/0!</v>
      </c>
      <c r="L6" s="72">
        <f>AVERAGEIFS(C5:C249,F5:F249,"=pachem")</f>
        <v>0.58283741676573686</v>
      </c>
      <c r="M6" s="72">
        <f>SUMIFS(E5:E249,F5:F249,"=pachem")/SUMIFS(B5:B249,F5:F249,"=pachem")</f>
        <v>0.59746387496313769</v>
      </c>
    </row>
    <row r="7" spans="1:13" ht="18" x14ac:dyDescent="0.25">
      <c r="A7" s="150" t="s">
        <v>565</v>
      </c>
      <c r="B7" s="27">
        <v>2000</v>
      </c>
      <c r="I7" t="s">
        <v>134</v>
      </c>
      <c r="J7" s="72">
        <f>AVERAGEIFS(C5:C249,F5:F249,"=otchem",C5:C249,"&gt;0")</f>
        <v>0.504</v>
      </c>
      <c r="K7" s="72" t="e">
        <f>AVERAGEIFS(C5:C249,F5:F249,"=otchem",C5:C249,"&lt;=0")</f>
        <v>#DIV/0!</v>
      </c>
      <c r="L7" s="72">
        <f>AVERAGEIFS(C5:C249,F5:F249,"=otchem")</f>
        <v>0.504</v>
      </c>
      <c r="M7" s="72">
        <f>SUMIFS(E5:E249,F5:F249,"=otchem")/SUMIFS(B5:B249,F5:F249,"=otchem")</f>
        <v>0.504</v>
      </c>
    </row>
    <row r="8" spans="1:13" ht="18" x14ac:dyDescent="0.25">
      <c r="A8" s="150" t="s">
        <v>558</v>
      </c>
      <c r="B8" s="27" t="s">
        <v>566</v>
      </c>
    </row>
    <row r="9" spans="1:13" ht="18" x14ac:dyDescent="0.25">
      <c r="A9" s="150" t="s">
        <v>559</v>
      </c>
      <c r="B9" s="27">
        <v>750</v>
      </c>
    </row>
    <row r="11" spans="1:13" ht="18" x14ac:dyDescent="0.25">
      <c r="A11" s="148" t="s">
        <v>526</v>
      </c>
    </row>
    <row r="12" spans="1:13" x14ac:dyDescent="0.25">
      <c r="A12" s="149"/>
    </row>
    <row r="13" spans="1:13" ht="18" x14ac:dyDescent="0.25">
      <c r="A13" s="150" t="s">
        <v>556</v>
      </c>
      <c r="B13" s="27">
        <v>700</v>
      </c>
      <c r="C13" s="72">
        <f>B15/B13</f>
        <v>2.2857142857142856</v>
      </c>
      <c r="D13" t="s">
        <v>637</v>
      </c>
      <c r="E13" s="27">
        <f>B15</f>
        <v>1600</v>
      </c>
      <c r="F13" t="s">
        <v>58</v>
      </c>
    </row>
    <row r="14" spans="1:13" ht="18" x14ac:dyDescent="0.25">
      <c r="A14" s="150" t="s">
        <v>560</v>
      </c>
      <c r="B14" s="27" t="s">
        <v>567</v>
      </c>
    </row>
    <row r="15" spans="1:13" ht="18" x14ac:dyDescent="0.25">
      <c r="A15" s="150" t="s">
        <v>565</v>
      </c>
      <c r="B15" s="27">
        <v>1600</v>
      </c>
    </row>
    <row r="16" spans="1:13" ht="18" x14ac:dyDescent="0.25">
      <c r="A16" s="150" t="s">
        <v>558</v>
      </c>
      <c r="B16" s="27" t="s">
        <v>617</v>
      </c>
      <c r="D16" t="s">
        <v>618</v>
      </c>
    </row>
    <row r="17" spans="1:7" ht="18" x14ac:dyDescent="0.25">
      <c r="A17" s="150" t="s">
        <v>559</v>
      </c>
      <c r="B17" s="27">
        <v>600</v>
      </c>
    </row>
    <row r="19" spans="1:7" ht="18" x14ac:dyDescent="0.25">
      <c r="A19" s="148" t="s">
        <v>527</v>
      </c>
    </row>
    <row r="20" spans="1:7" x14ac:dyDescent="0.25">
      <c r="A20" s="149"/>
    </row>
    <row r="21" spans="1:7" ht="18" x14ac:dyDescent="0.25">
      <c r="A21" s="150" t="s">
        <v>556</v>
      </c>
      <c r="B21" s="27">
        <v>550</v>
      </c>
      <c r="C21" s="72">
        <f>B23/B21</f>
        <v>2.9090909090909092</v>
      </c>
      <c r="D21" t="s">
        <v>637</v>
      </c>
      <c r="E21" s="27">
        <f>B23</f>
        <v>1600</v>
      </c>
      <c r="F21" t="s">
        <v>58</v>
      </c>
    </row>
    <row r="22" spans="1:7" ht="18" x14ac:dyDescent="0.25">
      <c r="A22" s="150" t="s">
        <v>557</v>
      </c>
      <c r="B22" s="27" t="s">
        <v>568</v>
      </c>
    </row>
    <row r="23" spans="1:7" ht="18" x14ac:dyDescent="0.25">
      <c r="A23" s="150" t="s">
        <v>565</v>
      </c>
      <c r="B23" s="27">
        <v>1600</v>
      </c>
    </row>
    <row r="24" spans="1:7" ht="18" x14ac:dyDescent="0.25">
      <c r="A24" s="150" t="s">
        <v>558</v>
      </c>
      <c r="B24" s="27" t="s">
        <v>619</v>
      </c>
      <c r="D24" t="s">
        <v>620</v>
      </c>
      <c r="F24" t="s">
        <v>621</v>
      </c>
      <c r="G24" t="s">
        <v>622</v>
      </c>
    </row>
    <row r="25" spans="1:7" ht="18" x14ac:dyDescent="0.25">
      <c r="A25" s="150" t="s">
        <v>559</v>
      </c>
      <c r="B25" s="27">
        <v>375</v>
      </c>
    </row>
    <row r="27" spans="1:7" ht="18" x14ac:dyDescent="0.25">
      <c r="A27" s="148" t="s">
        <v>528</v>
      </c>
    </row>
    <row r="28" spans="1:7" x14ac:dyDescent="0.25">
      <c r="A28" s="149"/>
    </row>
    <row r="29" spans="1:7" ht="18" x14ac:dyDescent="0.25">
      <c r="A29" s="150" t="s">
        <v>556</v>
      </c>
      <c r="B29" s="27">
        <v>600</v>
      </c>
      <c r="C29" s="72">
        <f>B31/B29</f>
        <v>2.4166666666666665</v>
      </c>
      <c r="D29" t="s">
        <v>637</v>
      </c>
      <c r="E29" s="27">
        <f>B31</f>
        <v>1450</v>
      </c>
      <c r="F29" t="s">
        <v>58</v>
      </c>
    </row>
    <row r="30" spans="1:7" ht="18" x14ac:dyDescent="0.25">
      <c r="A30" s="150" t="s">
        <v>560</v>
      </c>
      <c r="B30" s="27" t="s">
        <v>561</v>
      </c>
    </row>
    <row r="31" spans="1:7" ht="18" x14ac:dyDescent="0.25">
      <c r="A31" s="150" t="s">
        <v>565</v>
      </c>
      <c r="B31" s="27">
        <v>1450</v>
      </c>
    </row>
    <row r="32" spans="1:7" ht="18" x14ac:dyDescent="0.25">
      <c r="A32" s="150" t="s">
        <v>558</v>
      </c>
      <c r="B32" s="27" t="s">
        <v>569</v>
      </c>
    </row>
    <row r="33" spans="1:6" ht="18" x14ac:dyDescent="0.25">
      <c r="A33" s="150" t="s">
        <v>559</v>
      </c>
      <c r="B33" s="27" t="s">
        <v>570</v>
      </c>
    </row>
    <row r="35" spans="1:6" ht="18" x14ac:dyDescent="0.25">
      <c r="A35" s="148" t="s">
        <v>529</v>
      </c>
    </row>
    <row r="36" spans="1:6" x14ac:dyDescent="0.25">
      <c r="A36" s="149"/>
    </row>
    <row r="37" spans="1:6" ht="18" x14ac:dyDescent="0.25">
      <c r="A37" s="150" t="s">
        <v>556</v>
      </c>
      <c r="B37" s="27">
        <v>470</v>
      </c>
      <c r="C37" s="72">
        <f>B39/B37</f>
        <v>1.7595744680851064</v>
      </c>
      <c r="D37" t="s">
        <v>637</v>
      </c>
      <c r="E37" s="27">
        <f>B39</f>
        <v>827</v>
      </c>
      <c r="F37" s="2" t="s">
        <v>149</v>
      </c>
    </row>
    <row r="38" spans="1:6" ht="18" x14ac:dyDescent="0.25">
      <c r="A38" s="150" t="s">
        <v>560</v>
      </c>
      <c r="B38" s="27" t="s">
        <v>571</v>
      </c>
    </row>
    <row r="39" spans="1:6" ht="18" x14ac:dyDescent="0.25">
      <c r="A39" s="150" t="s">
        <v>565</v>
      </c>
      <c r="B39" s="27">
        <v>827</v>
      </c>
    </row>
    <row r="40" spans="1:6" ht="18" x14ac:dyDescent="0.25">
      <c r="A40" s="150" t="s">
        <v>558</v>
      </c>
      <c r="B40" s="27" t="s">
        <v>572</v>
      </c>
    </row>
    <row r="41" spans="1:6" ht="18" x14ac:dyDescent="0.25">
      <c r="A41" s="150" t="s">
        <v>559</v>
      </c>
      <c r="B41" s="27">
        <v>467</v>
      </c>
    </row>
    <row r="43" spans="1:6" ht="18" x14ac:dyDescent="0.25">
      <c r="A43" s="148" t="s">
        <v>530</v>
      </c>
    </row>
    <row r="44" spans="1:6" x14ac:dyDescent="0.25">
      <c r="A44" s="149"/>
    </row>
    <row r="45" spans="1:6" ht="18" x14ac:dyDescent="0.25">
      <c r="A45" s="150" t="s">
        <v>556</v>
      </c>
      <c r="B45" s="27">
        <v>750</v>
      </c>
      <c r="C45" s="72">
        <f>B47/B45</f>
        <v>0.83599999999999997</v>
      </c>
      <c r="D45" t="s">
        <v>637</v>
      </c>
      <c r="E45" s="27">
        <f>B47</f>
        <v>627</v>
      </c>
      <c r="F45" t="s">
        <v>129</v>
      </c>
    </row>
    <row r="46" spans="1:6" ht="18" x14ac:dyDescent="0.25">
      <c r="A46" s="150" t="s">
        <v>557</v>
      </c>
      <c r="B46" s="27" t="s">
        <v>573</v>
      </c>
    </row>
    <row r="47" spans="1:6" ht="18" x14ac:dyDescent="0.25">
      <c r="A47" s="150" t="s">
        <v>565</v>
      </c>
      <c r="B47" s="27">
        <v>627</v>
      </c>
    </row>
    <row r="48" spans="1:6" ht="18" x14ac:dyDescent="0.25">
      <c r="A48" s="150" t="s">
        <v>558</v>
      </c>
      <c r="B48" s="27" t="s">
        <v>623</v>
      </c>
      <c r="D48" t="s">
        <v>624</v>
      </c>
    </row>
    <row r="49" spans="1:6" ht="18" x14ac:dyDescent="0.25">
      <c r="A49" s="150" t="s">
        <v>559</v>
      </c>
      <c r="B49" s="27">
        <v>680</v>
      </c>
    </row>
    <row r="51" spans="1:6" ht="18" x14ac:dyDescent="0.25">
      <c r="A51" s="148" t="s">
        <v>531</v>
      </c>
    </row>
    <row r="52" spans="1:6" x14ac:dyDescent="0.25">
      <c r="A52" s="149"/>
    </row>
    <row r="53" spans="1:6" ht="18" x14ac:dyDescent="0.25">
      <c r="A53" s="150" t="s">
        <v>556</v>
      </c>
      <c r="B53" s="27">
        <v>625</v>
      </c>
      <c r="C53" s="72">
        <f>B55/B53</f>
        <v>0.8</v>
      </c>
      <c r="D53" t="s">
        <v>637</v>
      </c>
      <c r="E53" s="27">
        <f>B55</f>
        <v>500</v>
      </c>
      <c r="F53" t="s">
        <v>129</v>
      </c>
    </row>
    <row r="54" spans="1:6" ht="18" x14ac:dyDescent="0.25">
      <c r="A54" s="150" t="s">
        <v>557</v>
      </c>
      <c r="B54" s="27" t="s">
        <v>574</v>
      </c>
    </row>
    <row r="55" spans="1:6" ht="18" x14ac:dyDescent="0.25">
      <c r="A55" s="150" t="s">
        <v>565</v>
      </c>
      <c r="B55" s="27">
        <v>500</v>
      </c>
    </row>
    <row r="56" spans="1:6" ht="18" x14ac:dyDescent="0.25">
      <c r="A56" s="150" t="s">
        <v>558</v>
      </c>
      <c r="B56" s="27" t="s">
        <v>575</v>
      </c>
    </row>
    <row r="57" spans="1:6" ht="18" x14ac:dyDescent="0.25">
      <c r="A57" s="150" t="s">
        <v>559</v>
      </c>
      <c r="B57" s="27">
        <v>720</v>
      </c>
    </row>
    <row r="59" spans="1:6" ht="18" x14ac:dyDescent="0.25">
      <c r="A59" s="148" t="s">
        <v>532</v>
      </c>
    </row>
    <row r="60" spans="1:6" x14ac:dyDescent="0.25">
      <c r="A60" s="149"/>
    </row>
    <row r="61" spans="1:6" ht="18" x14ac:dyDescent="0.25">
      <c r="A61" s="150" t="s">
        <v>556</v>
      </c>
      <c r="B61" s="27">
        <v>810</v>
      </c>
      <c r="C61" s="72">
        <f>B63/B61</f>
        <v>0.6</v>
      </c>
      <c r="D61" t="s">
        <v>637</v>
      </c>
      <c r="E61" s="27">
        <f>B63</f>
        <v>486</v>
      </c>
      <c r="F61" t="s">
        <v>129</v>
      </c>
    </row>
    <row r="62" spans="1:6" ht="18" x14ac:dyDescent="0.25">
      <c r="A62" s="150" t="s">
        <v>557</v>
      </c>
      <c r="B62" s="27" t="s">
        <v>576</v>
      </c>
    </row>
    <row r="63" spans="1:6" ht="18" x14ac:dyDescent="0.25">
      <c r="A63" s="150" t="s">
        <v>565</v>
      </c>
      <c r="B63" s="27">
        <v>486</v>
      </c>
    </row>
    <row r="64" spans="1:6" ht="18" x14ac:dyDescent="0.25">
      <c r="A64" s="150" t="s">
        <v>558</v>
      </c>
      <c r="B64" s="27" t="s">
        <v>577</v>
      </c>
    </row>
    <row r="65" spans="1:6" ht="18" x14ac:dyDescent="0.25">
      <c r="A65" s="150" t="s">
        <v>559</v>
      </c>
      <c r="B65" s="27">
        <v>800</v>
      </c>
    </row>
    <row r="67" spans="1:6" ht="18" x14ac:dyDescent="0.25">
      <c r="A67" s="148" t="s">
        <v>533</v>
      </c>
    </row>
    <row r="68" spans="1:6" x14ac:dyDescent="0.25">
      <c r="A68" s="149"/>
    </row>
    <row r="69" spans="1:6" ht="18" x14ac:dyDescent="0.25">
      <c r="A69" s="150" t="s">
        <v>556</v>
      </c>
      <c r="B69" s="27">
        <v>400</v>
      </c>
      <c r="C69" s="72">
        <f>B71/B69</f>
        <v>1.125</v>
      </c>
      <c r="D69" t="s">
        <v>637</v>
      </c>
      <c r="E69" s="27">
        <f>B71</f>
        <v>450</v>
      </c>
      <c r="F69" t="s">
        <v>129</v>
      </c>
    </row>
    <row r="70" spans="1:6" ht="18" x14ac:dyDescent="0.25">
      <c r="A70" s="150" t="s">
        <v>560</v>
      </c>
      <c r="B70" s="27" t="s">
        <v>578</v>
      </c>
    </row>
    <row r="71" spans="1:6" ht="18" x14ac:dyDescent="0.25">
      <c r="A71" s="150" t="s">
        <v>565</v>
      </c>
      <c r="B71" s="27">
        <v>450</v>
      </c>
    </row>
    <row r="72" spans="1:6" ht="18" x14ac:dyDescent="0.25">
      <c r="A72" s="150" t="s">
        <v>562</v>
      </c>
      <c r="B72" s="27" t="s">
        <v>579</v>
      </c>
    </row>
    <row r="73" spans="1:6" ht="18" x14ac:dyDescent="0.25">
      <c r="A73" s="150" t="s">
        <v>559</v>
      </c>
      <c r="B73" s="27" t="s">
        <v>580</v>
      </c>
    </row>
    <row r="75" spans="1:6" ht="18" x14ac:dyDescent="0.25">
      <c r="A75" s="148" t="s">
        <v>534</v>
      </c>
    </row>
    <row r="76" spans="1:6" x14ac:dyDescent="0.25">
      <c r="A76" s="149"/>
    </row>
    <row r="77" spans="1:6" ht="18" x14ac:dyDescent="0.25">
      <c r="A77" s="150" t="s">
        <v>556</v>
      </c>
      <c r="B77" s="27">
        <v>400</v>
      </c>
      <c r="C77" s="72">
        <f>B79/B77</f>
        <v>0.42499999999999999</v>
      </c>
      <c r="D77" t="s">
        <v>637</v>
      </c>
      <c r="E77" s="27">
        <f>B79</f>
        <v>170</v>
      </c>
      <c r="F77" t="s">
        <v>129</v>
      </c>
    </row>
    <row r="78" spans="1:6" ht="18" x14ac:dyDescent="0.25">
      <c r="A78" s="150" t="s">
        <v>560</v>
      </c>
      <c r="B78" s="27" t="s">
        <v>581</v>
      </c>
    </row>
    <row r="79" spans="1:6" ht="18" x14ac:dyDescent="0.25">
      <c r="A79" s="150" t="s">
        <v>565</v>
      </c>
      <c r="B79" s="27">
        <v>170</v>
      </c>
    </row>
    <row r="80" spans="1:6" ht="18" x14ac:dyDescent="0.25">
      <c r="A80" s="150" t="s">
        <v>558</v>
      </c>
      <c r="B80" s="27" t="s">
        <v>582</v>
      </c>
    </row>
    <row r="81" spans="1:6" ht="18" x14ac:dyDescent="0.25">
      <c r="A81" s="150" t="s">
        <v>559</v>
      </c>
      <c r="B81" s="27">
        <v>310</v>
      </c>
    </row>
    <row r="83" spans="1:6" ht="18" x14ac:dyDescent="0.25">
      <c r="A83" s="148" t="s">
        <v>535</v>
      </c>
    </row>
    <row r="84" spans="1:6" x14ac:dyDescent="0.25">
      <c r="A84" s="149"/>
    </row>
    <row r="85" spans="1:6" ht="18" x14ac:dyDescent="0.25">
      <c r="A85" s="150" t="s">
        <v>556</v>
      </c>
      <c r="B85" s="27">
        <v>685</v>
      </c>
      <c r="C85" s="72">
        <f>B87/B85</f>
        <v>0.48905109489051096</v>
      </c>
      <c r="D85" t="s">
        <v>637</v>
      </c>
      <c r="E85" s="27">
        <f>B87</f>
        <v>335</v>
      </c>
      <c r="F85" t="s">
        <v>129</v>
      </c>
    </row>
    <row r="86" spans="1:6" ht="18" x14ac:dyDescent="0.25">
      <c r="A86" s="150" t="s">
        <v>557</v>
      </c>
      <c r="B86" s="27" t="s">
        <v>583</v>
      </c>
    </row>
    <row r="87" spans="1:6" ht="18" x14ac:dyDescent="0.25">
      <c r="A87" s="150" t="s">
        <v>565</v>
      </c>
      <c r="B87" s="27">
        <v>335</v>
      </c>
    </row>
    <row r="88" spans="1:6" ht="18" x14ac:dyDescent="0.25">
      <c r="A88" s="150" t="s">
        <v>558</v>
      </c>
      <c r="B88" s="27" t="s">
        <v>584</v>
      </c>
    </row>
    <row r="89" spans="1:6" ht="18" x14ac:dyDescent="0.25">
      <c r="A89" s="150" t="s">
        <v>559</v>
      </c>
      <c r="B89" s="27">
        <v>873</v>
      </c>
    </row>
    <row r="91" spans="1:6" ht="18" x14ac:dyDescent="0.25">
      <c r="A91" s="148" t="s">
        <v>536</v>
      </c>
    </row>
    <row r="92" spans="1:6" x14ac:dyDescent="0.25">
      <c r="A92" s="149"/>
    </row>
    <row r="93" spans="1:6" ht="18" x14ac:dyDescent="0.25">
      <c r="A93" s="150" t="s">
        <v>556</v>
      </c>
      <c r="B93" s="27">
        <v>475</v>
      </c>
      <c r="C93" s="72">
        <f>B95/B93</f>
        <v>0.56842105263157894</v>
      </c>
      <c r="D93" t="s">
        <v>637</v>
      </c>
      <c r="E93" s="27">
        <f>B95</f>
        <v>270</v>
      </c>
      <c r="F93" t="s">
        <v>140</v>
      </c>
    </row>
    <row r="94" spans="1:6" ht="18" x14ac:dyDescent="0.25">
      <c r="A94" s="150" t="s">
        <v>560</v>
      </c>
      <c r="B94" s="27" t="s">
        <v>585</v>
      </c>
    </row>
    <row r="95" spans="1:6" ht="18" x14ac:dyDescent="0.25">
      <c r="A95" s="150" t="s">
        <v>565</v>
      </c>
      <c r="B95" s="27">
        <v>270</v>
      </c>
    </row>
    <row r="96" spans="1:6" ht="18" x14ac:dyDescent="0.25">
      <c r="A96" s="150" t="s">
        <v>558</v>
      </c>
      <c r="B96" s="27" t="s">
        <v>586</v>
      </c>
    </row>
    <row r="97" spans="1:6" ht="18" x14ac:dyDescent="0.25">
      <c r="A97" s="150" t="s">
        <v>559</v>
      </c>
      <c r="B97" s="27">
        <v>520</v>
      </c>
    </row>
    <row r="99" spans="1:6" ht="18" x14ac:dyDescent="0.25">
      <c r="A99" s="148" t="s">
        <v>537</v>
      </c>
    </row>
    <row r="100" spans="1:6" x14ac:dyDescent="0.25">
      <c r="A100" s="149"/>
    </row>
    <row r="101" spans="1:6" ht="18" x14ac:dyDescent="0.25">
      <c r="A101" s="150" t="s">
        <v>556</v>
      </c>
      <c r="B101" s="27">
        <v>700</v>
      </c>
      <c r="C101" s="72">
        <f>B103/B101</f>
        <v>0.38142857142857145</v>
      </c>
      <c r="D101" t="s">
        <v>637</v>
      </c>
      <c r="E101" s="27">
        <f>B103</f>
        <v>267</v>
      </c>
      <c r="F101" t="s">
        <v>129</v>
      </c>
    </row>
    <row r="102" spans="1:6" ht="18" x14ac:dyDescent="0.25">
      <c r="A102" s="150" t="s">
        <v>560</v>
      </c>
      <c r="B102" s="27" t="s">
        <v>581</v>
      </c>
    </row>
    <row r="103" spans="1:6" ht="18" x14ac:dyDescent="0.25">
      <c r="A103" s="150" t="s">
        <v>565</v>
      </c>
      <c r="B103" s="27">
        <v>267</v>
      </c>
    </row>
    <row r="104" spans="1:6" ht="18" x14ac:dyDescent="0.25">
      <c r="A104" s="150" t="s">
        <v>558</v>
      </c>
      <c r="B104" s="27" t="s">
        <v>587</v>
      </c>
    </row>
    <row r="105" spans="1:6" ht="18" x14ac:dyDescent="0.25">
      <c r="A105" s="150" t="s">
        <v>559</v>
      </c>
      <c r="B105" s="27" t="s">
        <v>588</v>
      </c>
    </row>
    <row r="107" spans="1:6" ht="18" x14ac:dyDescent="0.25">
      <c r="A107" s="148" t="s">
        <v>538</v>
      </c>
    </row>
    <row r="108" spans="1:6" x14ac:dyDescent="0.25">
      <c r="A108" s="149"/>
    </row>
    <row r="109" spans="1:6" ht="18" x14ac:dyDescent="0.25">
      <c r="A109" s="150" t="s">
        <v>556</v>
      </c>
      <c r="B109" s="27">
        <v>150</v>
      </c>
      <c r="C109" s="72">
        <f>B111/B109</f>
        <v>1.7666666666666666</v>
      </c>
      <c r="D109" t="s">
        <v>637</v>
      </c>
      <c r="E109" s="27">
        <f>B111</f>
        <v>265</v>
      </c>
      <c r="F109" t="s">
        <v>58</v>
      </c>
    </row>
    <row r="110" spans="1:6" ht="18" x14ac:dyDescent="0.25">
      <c r="A110" s="150" t="s">
        <v>557</v>
      </c>
      <c r="B110" s="27" t="s">
        <v>589</v>
      </c>
      <c r="E110" s="27"/>
    </row>
    <row r="111" spans="1:6" ht="18" x14ac:dyDescent="0.25">
      <c r="A111" s="150" t="s">
        <v>565</v>
      </c>
      <c r="B111" s="27">
        <v>265</v>
      </c>
    </row>
    <row r="112" spans="1:6" ht="18" x14ac:dyDescent="0.25">
      <c r="A112" s="150" t="s">
        <v>558</v>
      </c>
      <c r="B112" s="27" t="s">
        <v>590</v>
      </c>
    </row>
    <row r="113" spans="1:6" ht="18" x14ac:dyDescent="0.25">
      <c r="A113" s="150" t="s">
        <v>559</v>
      </c>
      <c r="B113" s="27">
        <v>100</v>
      </c>
    </row>
    <row r="115" spans="1:6" ht="18" x14ac:dyDescent="0.25">
      <c r="A115" s="148" t="s">
        <v>539</v>
      </c>
    </row>
    <row r="116" spans="1:6" x14ac:dyDescent="0.25">
      <c r="A116" s="149"/>
    </row>
    <row r="117" spans="1:6" ht="18" x14ac:dyDescent="0.25">
      <c r="A117" s="150" t="s">
        <v>556</v>
      </c>
      <c r="B117" s="27">
        <v>400</v>
      </c>
      <c r="C117" s="72">
        <f>B119/B117</f>
        <v>0.61250000000000004</v>
      </c>
      <c r="D117" t="s">
        <v>637</v>
      </c>
      <c r="E117" s="27">
        <f>B119</f>
        <v>245</v>
      </c>
      <c r="F117" t="s">
        <v>129</v>
      </c>
    </row>
    <row r="118" spans="1:6" ht="18" x14ac:dyDescent="0.25">
      <c r="A118" s="150" t="s">
        <v>557</v>
      </c>
      <c r="B118" s="27" t="s">
        <v>591</v>
      </c>
    </row>
    <row r="119" spans="1:6" ht="18" x14ac:dyDescent="0.25">
      <c r="A119" s="150" t="s">
        <v>565</v>
      </c>
      <c r="B119" s="27">
        <v>245</v>
      </c>
    </row>
    <row r="120" spans="1:6" ht="18" x14ac:dyDescent="0.25">
      <c r="A120" s="150" t="s">
        <v>558</v>
      </c>
      <c r="B120" s="27" t="s">
        <v>592</v>
      </c>
    </row>
    <row r="121" spans="1:6" ht="18" x14ac:dyDescent="0.25">
      <c r="A121" s="150" t="s">
        <v>559</v>
      </c>
      <c r="B121" s="27">
        <v>630</v>
      </c>
    </row>
    <row r="123" spans="1:6" ht="18" x14ac:dyDescent="0.25">
      <c r="A123" s="148" t="s">
        <v>540</v>
      </c>
    </row>
    <row r="124" spans="1:6" x14ac:dyDescent="0.25">
      <c r="A124" s="149"/>
    </row>
    <row r="125" spans="1:6" ht="18" x14ac:dyDescent="0.25">
      <c r="A125" s="150" t="s">
        <v>556</v>
      </c>
      <c r="B125" s="27">
        <v>430</v>
      </c>
      <c r="C125" s="72">
        <f>B127/B125</f>
        <v>0.56046511627906981</v>
      </c>
      <c r="D125" t="s">
        <v>637</v>
      </c>
      <c r="E125" s="27">
        <f>B127</f>
        <v>241</v>
      </c>
      <c r="F125" t="s">
        <v>129</v>
      </c>
    </row>
    <row r="126" spans="1:6" ht="18" x14ac:dyDescent="0.25">
      <c r="A126" s="150" t="s">
        <v>557</v>
      </c>
      <c r="B126" s="27" t="s">
        <v>593</v>
      </c>
    </row>
    <row r="127" spans="1:6" ht="18" x14ac:dyDescent="0.25">
      <c r="A127" s="150" t="s">
        <v>565</v>
      </c>
      <c r="B127" s="27">
        <v>241</v>
      </c>
    </row>
    <row r="128" spans="1:6" ht="18" x14ac:dyDescent="0.25">
      <c r="A128" s="150" t="s">
        <v>558</v>
      </c>
      <c r="B128" s="27" t="s">
        <v>625</v>
      </c>
    </row>
    <row r="129" spans="1:6" ht="18" x14ac:dyDescent="0.25">
      <c r="A129" s="150" t="s">
        <v>559</v>
      </c>
      <c r="B129" s="27">
        <v>630</v>
      </c>
    </row>
    <row r="131" spans="1:6" ht="18" x14ac:dyDescent="0.25">
      <c r="A131" s="148" t="s">
        <v>541</v>
      </c>
    </row>
    <row r="132" spans="1:6" x14ac:dyDescent="0.25">
      <c r="A132" s="149"/>
    </row>
    <row r="133" spans="1:6" ht="18" x14ac:dyDescent="0.25">
      <c r="A133" s="150" t="s">
        <v>556</v>
      </c>
      <c r="B133" s="27">
        <v>255</v>
      </c>
      <c r="C133" s="72">
        <f>B135/B133</f>
        <v>0.92941176470588238</v>
      </c>
      <c r="D133" t="s">
        <v>637</v>
      </c>
      <c r="E133" s="27">
        <f>B135</f>
        <v>237</v>
      </c>
      <c r="F133" t="s">
        <v>140</v>
      </c>
    </row>
    <row r="134" spans="1:6" ht="18" x14ac:dyDescent="0.25">
      <c r="A134" s="150" t="s">
        <v>557</v>
      </c>
      <c r="B134" s="27" t="s">
        <v>594</v>
      </c>
    </row>
    <row r="135" spans="1:6" ht="18" x14ac:dyDescent="0.25">
      <c r="A135" s="150" t="s">
        <v>565</v>
      </c>
      <c r="B135" s="27">
        <v>237</v>
      </c>
    </row>
    <row r="136" spans="1:6" ht="18" x14ac:dyDescent="0.25">
      <c r="A136" s="150" t="s">
        <v>558</v>
      </c>
      <c r="B136" s="27" t="s">
        <v>626</v>
      </c>
      <c r="D136" t="s">
        <v>627</v>
      </c>
      <c r="F136" t="s">
        <v>628</v>
      </c>
    </row>
    <row r="137" spans="1:6" ht="18" x14ac:dyDescent="0.25">
      <c r="A137" s="150" t="s">
        <v>563</v>
      </c>
      <c r="B137" s="27">
        <v>400</v>
      </c>
    </row>
    <row r="139" spans="1:6" ht="18" x14ac:dyDescent="0.25">
      <c r="A139" s="148" t="s">
        <v>542</v>
      </c>
    </row>
    <row r="140" spans="1:6" x14ac:dyDescent="0.25">
      <c r="A140" s="149"/>
    </row>
    <row r="141" spans="1:6" ht="18" x14ac:dyDescent="0.25">
      <c r="A141" s="150" t="s">
        <v>556</v>
      </c>
      <c r="B141" s="27">
        <v>435</v>
      </c>
      <c r="C141" s="72">
        <f>B143/B141</f>
        <v>0.48045977011494251</v>
      </c>
      <c r="D141" t="s">
        <v>637</v>
      </c>
      <c r="E141" s="27">
        <f>B143</f>
        <v>209</v>
      </c>
      <c r="F141" t="s">
        <v>129</v>
      </c>
    </row>
    <row r="142" spans="1:6" ht="18" x14ac:dyDescent="0.25">
      <c r="A142" s="150" t="s">
        <v>560</v>
      </c>
      <c r="B142" s="27" t="s">
        <v>581</v>
      </c>
    </row>
    <row r="143" spans="1:6" ht="18" x14ac:dyDescent="0.25">
      <c r="A143" s="150" t="s">
        <v>565</v>
      </c>
      <c r="B143" s="27">
        <v>209</v>
      </c>
    </row>
    <row r="144" spans="1:6" ht="18" x14ac:dyDescent="0.25">
      <c r="A144" s="150" t="s">
        <v>558</v>
      </c>
      <c r="B144" s="27" t="s">
        <v>595</v>
      </c>
    </row>
    <row r="145" spans="1:6" ht="18" x14ac:dyDescent="0.25">
      <c r="A145" s="150" t="s">
        <v>559</v>
      </c>
      <c r="B145" s="27">
        <v>300</v>
      </c>
    </row>
    <row r="147" spans="1:6" ht="18" x14ac:dyDescent="0.25">
      <c r="A147" s="148" t="s">
        <v>543</v>
      </c>
    </row>
    <row r="148" spans="1:6" x14ac:dyDescent="0.25">
      <c r="A148" s="149"/>
    </row>
    <row r="149" spans="1:6" ht="18" x14ac:dyDescent="0.25">
      <c r="A149" s="150" t="s">
        <v>556</v>
      </c>
      <c r="B149" s="27">
        <v>260</v>
      </c>
      <c r="C149" s="72">
        <f>B151/B149</f>
        <v>0.71923076923076923</v>
      </c>
      <c r="D149" t="s">
        <v>637</v>
      </c>
      <c r="E149" s="27">
        <f>B151</f>
        <v>187</v>
      </c>
      <c r="F149" t="s">
        <v>129</v>
      </c>
    </row>
    <row r="150" spans="1:6" ht="18" x14ac:dyDescent="0.25">
      <c r="A150" s="150" t="s">
        <v>557</v>
      </c>
      <c r="B150" s="27" t="s">
        <v>596</v>
      </c>
    </row>
    <row r="151" spans="1:6" ht="18" x14ac:dyDescent="0.25">
      <c r="A151" s="150" t="s">
        <v>565</v>
      </c>
      <c r="B151" s="27">
        <v>187</v>
      </c>
    </row>
    <row r="152" spans="1:6" ht="18" x14ac:dyDescent="0.25">
      <c r="A152" s="150" t="s">
        <v>558</v>
      </c>
      <c r="B152" s="27" t="s">
        <v>629</v>
      </c>
    </row>
    <row r="153" spans="1:6" ht="18" x14ac:dyDescent="0.25">
      <c r="A153" s="150" t="s">
        <v>559</v>
      </c>
      <c r="B153" s="27">
        <v>300</v>
      </c>
    </row>
    <row r="155" spans="1:6" ht="18" x14ac:dyDescent="0.25">
      <c r="A155" s="148" t="s">
        <v>544</v>
      </c>
    </row>
    <row r="156" spans="1:6" x14ac:dyDescent="0.25">
      <c r="A156" s="149"/>
    </row>
    <row r="157" spans="1:6" ht="18" x14ac:dyDescent="0.25">
      <c r="A157" s="150" t="s">
        <v>556</v>
      </c>
      <c r="B157" s="27">
        <v>135</v>
      </c>
      <c r="C157" s="72">
        <f>B159/B157</f>
        <v>1.1851851851851851</v>
      </c>
      <c r="D157" t="s">
        <v>637</v>
      </c>
      <c r="E157" s="27">
        <f>B159</f>
        <v>160</v>
      </c>
      <c r="F157" t="s">
        <v>58</v>
      </c>
    </row>
    <row r="158" spans="1:6" ht="18" x14ac:dyDescent="0.25">
      <c r="A158" s="150" t="s">
        <v>560</v>
      </c>
      <c r="B158" s="27" t="s">
        <v>597</v>
      </c>
    </row>
    <row r="159" spans="1:6" ht="18" x14ac:dyDescent="0.25">
      <c r="A159" s="150" t="s">
        <v>565</v>
      </c>
      <c r="B159" s="27">
        <v>160</v>
      </c>
    </row>
    <row r="160" spans="1:6" ht="18" x14ac:dyDescent="0.25">
      <c r="A160" s="150" t="s">
        <v>558</v>
      </c>
      <c r="B160" s="27" t="s">
        <v>630</v>
      </c>
      <c r="D160" t="s">
        <v>631</v>
      </c>
      <c r="F160" t="s">
        <v>632</v>
      </c>
    </row>
    <row r="161" spans="1:6" ht="18" x14ac:dyDescent="0.25">
      <c r="A161" s="150" t="s">
        <v>559</v>
      </c>
      <c r="B161" s="27">
        <v>43</v>
      </c>
    </row>
    <row r="163" spans="1:6" ht="18" x14ac:dyDescent="0.25">
      <c r="A163" s="148" t="s">
        <v>545</v>
      </c>
    </row>
    <row r="164" spans="1:6" x14ac:dyDescent="0.25">
      <c r="A164" s="149"/>
    </row>
    <row r="165" spans="1:6" ht="18" x14ac:dyDescent="0.25">
      <c r="A165" s="150" t="s">
        <v>556</v>
      </c>
      <c r="B165" s="27">
        <v>370</v>
      </c>
      <c r="C165" s="72">
        <f>B167/B165</f>
        <v>0.40540540540540543</v>
      </c>
      <c r="D165" t="s">
        <v>637</v>
      </c>
      <c r="E165" s="27">
        <f>B167</f>
        <v>150</v>
      </c>
      <c r="F165" t="s">
        <v>129</v>
      </c>
    </row>
    <row r="166" spans="1:6" ht="18" x14ac:dyDescent="0.25">
      <c r="A166" s="150" t="s">
        <v>560</v>
      </c>
      <c r="B166" s="27" t="s">
        <v>598</v>
      </c>
    </row>
    <row r="167" spans="1:6" ht="18" x14ac:dyDescent="0.25">
      <c r="A167" s="150" t="s">
        <v>565</v>
      </c>
      <c r="B167" s="27">
        <v>150</v>
      </c>
    </row>
    <row r="168" spans="1:6" ht="18" x14ac:dyDescent="0.25">
      <c r="A168" s="150" t="s">
        <v>558</v>
      </c>
      <c r="B168" s="27" t="s">
        <v>599</v>
      </c>
    </row>
    <row r="169" spans="1:6" ht="18" x14ac:dyDescent="0.25">
      <c r="A169" s="150" t="s">
        <v>559</v>
      </c>
      <c r="B169" s="27">
        <v>850</v>
      </c>
    </row>
    <row r="171" spans="1:6" ht="18" x14ac:dyDescent="0.25">
      <c r="A171" s="148" t="s">
        <v>546</v>
      </c>
    </row>
    <row r="172" spans="1:6" x14ac:dyDescent="0.25">
      <c r="A172" s="149"/>
    </row>
    <row r="173" spans="1:6" ht="18" x14ac:dyDescent="0.25">
      <c r="A173" s="150" t="s">
        <v>556</v>
      </c>
      <c r="B173" s="27">
        <v>250</v>
      </c>
      <c r="C173" s="72">
        <f>B175/B173</f>
        <v>0.504</v>
      </c>
      <c r="D173" t="s">
        <v>637</v>
      </c>
      <c r="E173" s="27">
        <f>B175</f>
        <v>126</v>
      </c>
      <c r="F173" t="s">
        <v>134</v>
      </c>
    </row>
    <row r="174" spans="1:6" ht="18" x14ac:dyDescent="0.25">
      <c r="A174" s="150" t="s">
        <v>560</v>
      </c>
      <c r="B174" s="27" t="s">
        <v>585</v>
      </c>
    </row>
    <row r="175" spans="1:6" ht="18" x14ac:dyDescent="0.25">
      <c r="A175" s="150" t="s">
        <v>565</v>
      </c>
      <c r="B175" s="27">
        <v>126</v>
      </c>
    </row>
    <row r="176" spans="1:6" ht="18" x14ac:dyDescent="0.25">
      <c r="A176" s="150" t="s">
        <v>558</v>
      </c>
      <c r="B176" s="27" t="s">
        <v>633</v>
      </c>
      <c r="D176" t="s">
        <v>634</v>
      </c>
      <c r="F176" t="s">
        <v>628</v>
      </c>
    </row>
    <row r="177" spans="1:6" ht="18" x14ac:dyDescent="0.25">
      <c r="A177" s="150" t="s">
        <v>559</v>
      </c>
      <c r="B177" s="27">
        <v>380</v>
      </c>
    </row>
    <row r="179" spans="1:6" ht="18" x14ac:dyDescent="0.25">
      <c r="A179" s="148" t="s">
        <v>547</v>
      </c>
    </row>
    <row r="180" spans="1:6" x14ac:dyDescent="0.25">
      <c r="A180" s="149"/>
    </row>
    <row r="181" spans="1:6" ht="18" x14ac:dyDescent="0.25">
      <c r="A181" s="150" t="s">
        <v>556</v>
      </c>
      <c r="B181" s="27">
        <v>310</v>
      </c>
      <c r="C181" s="72">
        <f>B183/B181</f>
        <v>0.33870967741935482</v>
      </c>
      <c r="D181" t="s">
        <v>637</v>
      </c>
      <c r="E181" s="27">
        <f>B183</f>
        <v>105</v>
      </c>
      <c r="F181" t="s">
        <v>129</v>
      </c>
    </row>
    <row r="182" spans="1:6" ht="18" x14ac:dyDescent="0.25">
      <c r="A182" s="150" t="s">
        <v>557</v>
      </c>
      <c r="B182" s="27" t="s">
        <v>600</v>
      </c>
    </row>
    <row r="183" spans="1:6" ht="18" x14ac:dyDescent="0.25">
      <c r="A183" s="150" t="s">
        <v>565</v>
      </c>
      <c r="B183" s="27">
        <v>105</v>
      </c>
    </row>
    <row r="184" spans="1:6" ht="18" x14ac:dyDescent="0.25">
      <c r="A184" s="150" t="s">
        <v>558</v>
      </c>
      <c r="B184" s="27" t="s">
        <v>601</v>
      </c>
    </row>
    <row r="185" spans="1:6" ht="18" x14ac:dyDescent="0.25">
      <c r="A185" s="150" t="s">
        <v>559</v>
      </c>
      <c r="B185" s="27">
        <v>375</v>
      </c>
    </row>
    <row r="187" spans="1:6" ht="18" x14ac:dyDescent="0.25">
      <c r="A187" s="148" t="s">
        <v>548</v>
      </c>
    </row>
    <row r="188" spans="1:6" x14ac:dyDescent="0.25">
      <c r="A188" s="149"/>
    </row>
    <row r="189" spans="1:6" ht="18" x14ac:dyDescent="0.25">
      <c r="A189" s="150" t="s">
        <v>556</v>
      </c>
      <c r="B189" s="27">
        <v>207</v>
      </c>
      <c r="C189" s="72">
        <f>B191/B189</f>
        <v>0.38647342995169082</v>
      </c>
      <c r="D189" t="s">
        <v>637</v>
      </c>
      <c r="E189" s="27">
        <f>B191</f>
        <v>80</v>
      </c>
      <c r="F189" t="s">
        <v>129</v>
      </c>
    </row>
    <row r="190" spans="1:6" ht="18" x14ac:dyDescent="0.25">
      <c r="A190" s="150" t="s">
        <v>560</v>
      </c>
      <c r="B190" s="27" t="s">
        <v>602</v>
      </c>
    </row>
    <row r="191" spans="1:6" ht="18" x14ac:dyDescent="0.25">
      <c r="A191" s="150" t="s">
        <v>565</v>
      </c>
      <c r="B191" s="27">
        <v>80</v>
      </c>
    </row>
    <row r="192" spans="1:6" ht="18" x14ac:dyDescent="0.25">
      <c r="A192" s="150" t="s">
        <v>558</v>
      </c>
      <c r="B192" s="27" t="s">
        <v>603</v>
      </c>
    </row>
    <row r="193" spans="1:6" ht="18" x14ac:dyDescent="0.25">
      <c r="A193" s="150" t="s">
        <v>559</v>
      </c>
      <c r="B193" s="27">
        <v>240</v>
      </c>
    </row>
    <row r="195" spans="1:6" ht="18" x14ac:dyDescent="0.25">
      <c r="A195" s="148" t="s">
        <v>549</v>
      </c>
    </row>
    <row r="196" spans="1:6" x14ac:dyDescent="0.25">
      <c r="A196" s="149"/>
    </row>
    <row r="197" spans="1:6" ht="18" x14ac:dyDescent="0.25">
      <c r="A197" s="150" t="s">
        <v>556</v>
      </c>
      <c r="B197" s="27">
        <v>520</v>
      </c>
      <c r="C197" s="72">
        <f>B199/B197</f>
        <v>0.15</v>
      </c>
      <c r="D197" t="s">
        <v>637</v>
      </c>
      <c r="E197" s="27">
        <f>B199</f>
        <v>78</v>
      </c>
      <c r="F197" t="s">
        <v>143</v>
      </c>
    </row>
    <row r="198" spans="1:6" ht="18" x14ac:dyDescent="0.25">
      <c r="A198" s="150" t="s">
        <v>560</v>
      </c>
      <c r="B198" s="27" t="s">
        <v>604</v>
      </c>
    </row>
    <row r="199" spans="1:6" ht="18" x14ac:dyDescent="0.25">
      <c r="A199" s="150" t="s">
        <v>565</v>
      </c>
      <c r="B199" s="27">
        <v>78</v>
      </c>
    </row>
    <row r="200" spans="1:6" ht="18" x14ac:dyDescent="0.25">
      <c r="A200" s="150" t="s">
        <v>562</v>
      </c>
      <c r="B200" s="27" t="s">
        <v>605</v>
      </c>
    </row>
    <row r="201" spans="1:6" ht="18" x14ac:dyDescent="0.25">
      <c r="A201" s="150" t="s">
        <v>559</v>
      </c>
      <c r="B201" s="27">
        <v>320</v>
      </c>
    </row>
    <row r="203" spans="1:6" ht="18" x14ac:dyDescent="0.25">
      <c r="A203" s="148" t="s">
        <v>550</v>
      </c>
    </row>
    <row r="204" spans="1:6" x14ac:dyDescent="0.25">
      <c r="A204" s="149"/>
    </row>
    <row r="205" spans="1:6" ht="18" x14ac:dyDescent="0.25">
      <c r="A205" s="150" t="s">
        <v>556</v>
      </c>
      <c r="B205" s="27">
        <v>240</v>
      </c>
      <c r="C205" s="72">
        <f>B207/B205</f>
        <v>0.22083333333333333</v>
      </c>
      <c r="D205" t="s">
        <v>637</v>
      </c>
      <c r="E205" s="27">
        <f>B207</f>
        <v>53</v>
      </c>
      <c r="F205" t="s">
        <v>143</v>
      </c>
    </row>
    <row r="206" spans="1:6" ht="18" x14ac:dyDescent="0.25">
      <c r="A206" s="150" t="s">
        <v>560</v>
      </c>
      <c r="B206" s="27" t="s">
        <v>606</v>
      </c>
    </row>
    <row r="207" spans="1:6" ht="18" x14ac:dyDescent="0.25">
      <c r="A207" s="150" t="s">
        <v>565</v>
      </c>
      <c r="B207" s="27">
        <v>53</v>
      </c>
      <c r="D207" t="s">
        <v>635</v>
      </c>
    </row>
    <row r="208" spans="1:6" ht="18" x14ac:dyDescent="0.25">
      <c r="A208" s="150" t="s">
        <v>558</v>
      </c>
      <c r="B208" s="27" t="s">
        <v>607</v>
      </c>
    </row>
    <row r="209" spans="1:6" ht="18" x14ac:dyDescent="0.25">
      <c r="A209" s="150" t="s">
        <v>559</v>
      </c>
      <c r="B209" s="27">
        <v>160</v>
      </c>
    </row>
    <row r="211" spans="1:6" ht="18" x14ac:dyDescent="0.25">
      <c r="A211" s="148" t="s">
        <v>551</v>
      </c>
    </row>
    <row r="212" spans="1:6" x14ac:dyDescent="0.25">
      <c r="A212" s="149"/>
    </row>
    <row r="213" spans="1:6" ht="18" x14ac:dyDescent="0.25">
      <c r="A213" s="150" t="s">
        <v>556</v>
      </c>
      <c r="B213" s="27">
        <v>180</v>
      </c>
      <c r="C213" s="72">
        <f>B215/B213</f>
        <v>0.25</v>
      </c>
      <c r="D213" t="s">
        <v>637</v>
      </c>
      <c r="E213" s="27">
        <f>B215</f>
        <v>45</v>
      </c>
      <c r="F213" s="2" t="s">
        <v>143</v>
      </c>
    </row>
    <row r="214" spans="1:6" ht="18" x14ac:dyDescent="0.25">
      <c r="A214" s="150" t="s">
        <v>557</v>
      </c>
      <c r="B214" s="27" t="s">
        <v>608</v>
      </c>
    </row>
    <row r="215" spans="1:6" ht="18" x14ac:dyDescent="0.25">
      <c r="A215" s="150" t="s">
        <v>565</v>
      </c>
      <c r="B215" s="27">
        <v>45</v>
      </c>
    </row>
    <row r="216" spans="1:6" ht="18" x14ac:dyDescent="0.25">
      <c r="A216" s="150" t="s">
        <v>558</v>
      </c>
      <c r="B216" s="27" t="s">
        <v>609</v>
      </c>
    </row>
    <row r="217" spans="1:6" ht="18" x14ac:dyDescent="0.25">
      <c r="A217" s="150" t="s">
        <v>559</v>
      </c>
      <c r="B217" s="27">
        <v>180</v>
      </c>
    </row>
    <row r="219" spans="1:6" ht="18" x14ac:dyDescent="0.25">
      <c r="A219" s="148" t="s">
        <v>552</v>
      </c>
    </row>
    <row r="220" spans="1:6" x14ac:dyDescent="0.25">
      <c r="A220" s="149"/>
    </row>
    <row r="221" spans="1:6" ht="18" x14ac:dyDescent="0.25">
      <c r="A221" s="150" t="s">
        <v>556</v>
      </c>
      <c r="B221" s="27">
        <v>450</v>
      </c>
      <c r="C221" s="72">
        <f>B223/B221</f>
        <v>8.8888888888888892E-2</v>
      </c>
      <c r="D221" t="s">
        <v>637</v>
      </c>
      <c r="E221" s="27">
        <f>B223</f>
        <v>40</v>
      </c>
      <c r="F221" s="2" t="s">
        <v>143</v>
      </c>
    </row>
    <row r="222" spans="1:6" ht="18" x14ac:dyDescent="0.25">
      <c r="A222" s="150" t="s">
        <v>560</v>
      </c>
      <c r="B222" s="27" t="s">
        <v>610</v>
      </c>
    </row>
    <row r="223" spans="1:6" ht="18" x14ac:dyDescent="0.25">
      <c r="A223" s="150" t="s">
        <v>565</v>
      </c>
      <c r="B223" s="27">
        <v>40</v>
      </c>
    </row>
    <row r="224" spans="1:6" ht="18" x14ac:dyDescent="0.25">
      <c r="A224" s="150" t="s">
        <v>558</v>
      </c>
      <c r="B224" s="27" t="s">
        <v>611</v>
      </c>
    </row>
    <row r="225" spans="1:6" ht="18" x14ac:dyDescent="0.25">
      <c r="A225" s="150" t="s">
        <v>559</v>
      </c>
      <c r="B225" s="27">
        <v>380</v>
      </c>
    </row>
    <row r="227" spans="1:6" ht="18" x14ac:dyDescent="0.25">
      <c r="A227" s="148" t="s">
        <v>553</v>
      </c>
    </row>
    <row r="228" spans="1:6" x14ac:dyDescent="0.25">
      <c r="A228" s="149"/>
    </row>
    <row r="229" spans="1:6" ht="18" x14ac:dyDescent="0.25">
      <c r="A229" s="150" t="s">
        <v>556</v>
      </c>
      <c r="B229" s="27">
        <v>425</v>
      </c>
      <c r="C229" s="72">
        <f>B231/B229</f>
        <v>-0.12941176470588237</v>
      </c>
      <c r="D229" t="s">
        <v>637</v>
      </c>
      <c r="E229" s="27">
        <f>B231</f>
        <v>-55</v>
      </c>
      <c r="F229" s="2" t="s">
        <v>143</v>
      </c>
    </row>
    <row r="230" spans="1:6" ht="18" x14ac:dyDescent="0.25">
      <c r="A230" s="150" t="s">
        <v>560</v>
      </c>
      <c r="B230" s="27" t="s">
        <v>604</v>
      </c>
    </row>
    <row r="231" spans="1:6" ht="18" x14ac:dyDescent="0.25">
      <c r="A231" s="150" t="s">
        <v>612</v>
      </c>
      <c r="B231" s="27">
        <v>-55</v>
      </c>
    </row>
    <row r="232" spans="1:6" ht="18" x14ac:dyDescent="0.25">
      <c r="A232" s="150" t="s">
        <v>558</v>
      </c>
      <c r="B232" s="27" t="s">
        <v>613</v>
      </c>
    </row>
    <row r="233" spans="1:6" ht="18" x14ac:dyDescent="0.25">
      <c r="A233" s="150" t="s">
        <v>559</v>
      </c>
      <c r="B233" s="27">
        <v>325</v>
      </c>
    </row>
    <row r="235" spans="1:6" ht="18" x14ac:dyDescent="0.25">
      <c r="A235" s="148" t="s">
        <v>554</v>
      </c>
    </row>
    <row r="236" spans="1:6" x14ac:dyDescent="0.25">
      <c r="A236" s="149"/>
    </row>
    <row r="237" spans="1:6" ht="18" x14ac:dyDescent="0.25">
      <c r="A237" s="150" t="s">
        <v>556</v>
      </c>
      <c r="B237" s="27">
        <v>440</v>
      </c>
      <c r="C237" s="72">
        <f>B239/B237</f>
        <v>-4.5454545454545456E-2</v>
      </c>
      <c r="D237" t="s">
        <v>637</v>
      </c>
      <c r="E237" s="27">
        <f>B239</f>
        <v>-20</v>
      </c>
      <c r="F237" s="2" t="s">
        <v>143</v>
      </c>
    </row>
    <row r="238" spans="1:6" ht="18" x14ac:dyDescent="0.25">
      <c r="A238" s="150" t="s">
        <v>557</v>
      </c>
      <c r="B238" s="27" t="s">
        <v>614</v>
      </c>
    </row>
    <row r="239" spans="1:6" ht="18" x14ac:dyDescent="0.25">
      <c r="A239" s="150" t="s">
        <v>565</v>
      </c>
      <c r="B239" s="27">
        <v>-20</v>
      </c>
    </row>
    <row r="240" spans="1:6" ht="18" x14ac:dyDescent="0.25">
      <c r="A240" s="150" t="s">
        <v>558</v>
      </c>
      <c r="B240" s="27" t="s">
        <v>615</v>
      </c>
    </row>
    <row r="241" spans="1:6" ht="18" x14ac:dyDescent="0.25">
      <c r="A241" s="150" t="s">
        <v>559</v>
      </c>
      <c r="B241" s="27">
        <v>335</v>
      </c>
    </row>
    <row r="243" spans="1:6" ht="18" x14ac:dyDescent="0.25">
      <c r="A243" s="148" t="s">
        <v>555</v>
      </c>
    </row>
    <row r="244" spans="1:6" x14ac:dyDescent="0.25">
      <c r="A244" s="149"/>
    </row>
    <row r="245" spans="1:6" ht="18" x14ac:dyDescent="0.25">
      <c r="A245" s="150" t="s">
        <v>556</v>
      </c>
      <c r="B245" s="27">
        <v>750</v>
      </c>
      <c r="C245" s="72">
        <f>B247/B245</f>
        <v>-0.33333333333333331</v>
      </c>
      <c r="D245" t="s">
        <v>637</v>
      </c>
      <c r="E245" s="27">
        <f>B247</f>
        <v>-250</v>
      </c>
      <c r="F245" s="2" t="s">
        <v>143</v>
      </c>
    </row>
    <row r="246" spans="1:6" ht="18" x14ac:dyDescent="0.25">
      <c r="A246" s="150" t="s">
        <v>560</v>
      </c>
      <c r="B246" s="27" t="s">
        <v>616</v>
      </c>
    </row>
    <row r="247" spans="1:6" ht="18" x14ac:dyDescent="0.25">
      <c r="A247" s="150" t="s">
        <v>565</v>
      </c>
      <c r="B247" s="27">
        <v>-250</v>
      </c>
    </row>
    <row r="248" spans="1:6" ht="18" x14ac:dyDescent="0.25">
      <c r="A248" s="150" t="s">
        <v>558</v>
      </c>
      <c r="B248" s="27" t="s">
        <v>636</v>
      </c>
    </row>
    <row r="249" spans="1:6" ht="18" x14ac:dyDescent="0.25">
      <c r="A249" s="150" t="s">
        <v>559</v>
      </c>
      <c r="B249" s="27">
        <v>407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W51"/>
  <sheetViews>
    <sheetView zoomScaleNormal="100" workbookViewId="0">
      <selection activeCell="J1" sqref="J1:M14"/>
    </sheetView>
  </sheetViews>
  <sheetFormatPr defaultRowHeight="15" x14ac:dyDescent="0.25"/>
  <cols>
    <col min="7" max="10" width="11.28515625" customWidth="1"/>
    <col min="11" max="12" width="9.140625" customWidth="1"/>
    <col min="13" max="13" width="11.140625" bestFit="1" customWidth="1"/>
    <col min="14" max="16" width="10.140625" bestFit="1" customWidth="1"/>
    <col min="17" max="17" width="11.140625" customWidth="1"/>
  </cols>
  <sheetData>
    <row r="1" spans="1:23" x14ac:dyDescent="0.25">
      <c r="I1" s="2" t="s">
        <v>714</v>
      </c>
      <c r="J1" s="23" t="s">
        <v>709</v>
      </c>
      <c r="K1" s="22"/>
      <c r="L1" s="22" t="s">
        <v>710</v>
      </c>
      <c r="M1" s="21"/>
      <c r="N1" s="172" t="s">
        <v>762</v>
      </c>
      <c r="O1" s="173"/>
      <c r="P1" s="23" t="s">
        <v>712</v>
      </c>
      <c r="Q1" s="22"/>
      <c r="R1" s="22" t="s">
        <v>712</v>
      </c>
      <c r="S1" s="21"/>
      <c r="T1" s="2" t="s">
        <v>715</v>
      </c>
      <c r="U1" s="2"/>
      <c r="V1" t="s">
        <v>711</v>
      </c>
      <c r="W1" s="21"/>
    </row>
    <row r="2" spans="1:23" x14ac:dyDescent="0.25">
      <c r="A2" s="155"/>
      <c r="B2" s="155" t="s">
        <v>692</v>
      </c>
      <c r="C2" s="155" t="s">
        <v>673</v>
      </c>
      <c r="D2" s="155" t="s">
        <v>673</v>
      </c>
      <c r="E2" s="155"/>
      <c r="F2" s="155"/>
      <c r="G2" s="155" t="s">
        <v>763</v>
      </c>
      <c r="I2" s="2"/>
      <c r="J2" s="164" t="s">
        <v>661</v>
      </c>
      <c r="K2" s="162" t="s">
        <v>662</v>
      </c>
      <c r="L2" s="162" t="s">
        <v>661</v>
      </c>
      <c r="M2" s="165" t="s">
        <v>662</v>
      </c>
      <c r="N2" s="174" t="s">
        <v>661</v>
      </c>
      <c r="O2" s="175" t="s">
        <v>662</v>
      </c>
      <c r="P2" s="164" t="s">
        <v>661</v>
      </c>
      <c r="Q2" s="165" t="s">
        <v>662</v>
      </c>
      <c r="R2" s="164" t="s">
        <v>661</v>
      </c>
      <c r="S2" s="165" t="s">
        <v>662</v>
      </c>
      <c r="T2" s="164" t="s">
        <v>661</v>
      </c>
      <c r="U2" s="165" t="s">
        <v>662</v>
      </c>
      <c r="V2" s="162" t="s">
        <v>661</v>
      </c>
      <c r="W2" s="165" t="s">
        <v>662</v>
      </c>
    </row>
    <row r="3" spans="1:23" x14ac:dyDescent="0.25">
      <c r="A3" s="155" t="s">
        <v>659</v>
      </c>
      <c r="B3" s="155"/>
      <c r="C3" s="160" t="s">
        <v>661</v>
      </c>
      <c r="D3" s="160" t="s">
        <v>662</v>
      </c>
      <c r="E3" s="160" t="s">
        <v>660</v>
      </c>
      <c r="F3" s="155" t="s">
        <v>713</v>
      </c>
      <c r="G3" s="155" t="s">
        <v>764</v>
      </c>
      <c r="I3" s="2" t="s">
        <v>659</v>
      </c>
      <c r="J3" s="164" t="s">
        <v>708</v>
      </c>
      <c r="K3" s="163" t="s">
        <v>708</v>
      </c>
      <c r="L3" s="162" t="s">
        <v>708</v>
      </c>
      <c r="M3" s="166" t="s">
        <v>708</v>
      </c>
      <c r="N3" s="174" t="s">
        <v>708</v>
      </c>
      <c r="O3" s="175" t="s">
        <v>708</v>
      </c>
      <c r="P3" s="164" t="s">
        <v>708</v>
      </c>
      <c r="Q3" s="166" t="s">
        <v>708</v>
      </c>
      <c r="R3" s="164" t="s">
        <v>708</v>
      </c>
      <c r="S3" s="166" t="s">
        <v>708</v>
      </c>
      <c r="T3" s="164" t="s">
        <v>708</v>
      </c>
      <c r="U3" s="166" t="s">
        <v>708</v>
      </c>
      <c r="V3" s="162" t="s">
        <v>708</v>
      </c>
      <c r="W3" s="166" t="s">
        <v>708</v>
      </c>
    </row>
    <row r="4" spans="1:23" ht="15.75" x14ac:dyDescent="0.25">
      <c r="A4" s="155" t="s">
        <v>152</v>
      </c>
      <c r="B4" s="156" t="s">
        <v>199</v>
      </c>
      <c r="C4" s="161">
        <f>N4</f>
        <v>1.3</v>
      </c>
      <c r="D4" s="161">
        <f>O4</f>
        <v>0.4</v>
      </c>
      <c r="E4" s="160">
        <v>35</v>
      </c>
      <c r="F4" s="155">
        <f>1-0.5^(5/E4)</f>
        <v>9.4276335736093286E-2</v>
      </c>
      <c r="G4" s="180">
        <f>G51</f>
        <v>115512122</v>
      </c>
      <c r="I4" s="2" t="s">
        <v>152</v>
      </c>
      <c r="J4" s="164">
        <f>0.88*1.1+0.03*0.9</f>
        <v>0.99500000000000011</v>
      </c>
      <c r="K4" s="162">
        <v>0.7</v>
      </c>
      <c r="L4" s="162">
        <f>0.69*0.82+0.41*0.74</f>
        <v>0.86919999999999997</v>
      </c>
      <c r="M4" s="165">
        <v>0.14000000000000001</v>
      </c>
      <c r="N4" s="174">
        <v>1.3</v>
      </c>
      <c r="O4" s="176">
        <v>0.4</v>
      </c>
      <c r="P4" s="169">
        <v>0.97834500000000002</v>
      </c>
      <c r="Q4" s="2"/>
      <c r="R4" s="2">
        <f>P4*0.5</f>
        <v>0.48917250000000001</v>
      </c>
      <c r="S4" s="1"/>
      <c r="T4" s="2"/>
      <c r="U4" s="2"/>
      <c r="V4" s="2"/>
      <c r="W4" s="1"/>
    </row>
    <row r="5" spans="1:23" x14ac:dyDescent="0.25">
      <c r="A5" s="155" t="s">
        <v>249</v>
      </c>
      <c r="B5" s="156" t="s">
        <v>199</v>
      </c>
      <c r="C5" s="161">
        <f t="shared" ref="C5:C14" si="0">N5</f>
        <v>0.4</v>
      </c>
      <c r="D5" s="161">
        <f t="shared" ref="D5:D14" si="1">O5</f>
        <v>0</v>
      </c>
      <c r="E5" s="160">
        <v>0</v>
      </c>
      <c r="F5" s="155" t="e">
        <f t="shared" ref="F5:F14" si="2">1-0.5^(5/E5)</f>
        <v>#DIV/0!</v>
      </c>
      <c r="G5" s="180">
        <v>0</v>
      </c>
      <c r="I5" s="2" t="s">
        <v>249</v>
      </c>
      <c r="J5" s="164">
        <v>0.7</v>
      </c>
      <c r="K5" s="162">
        <v>0</v>
      </c>
      <c r="L5" s="162">
        <v>0.14000000000000001</v>
      </c>
      <c r="M5" s="165">
        <v>0</v>
      </c>
      <c r="N5" s="174">
        <v>0.4</v>
      </c>
      <c r="O5" s="175">
        <v>0</v>
      </c>
      <c r="P5" s="20" t="s">
        <v>761</v>
      </c>
      <c r="Q5" s="2"/>
      <c r="R5" s="2"/>
      <c r="S5" s="1"/>
      <c r="T5" s="2">
        <v>0.55000000000000004</v>
      </c>
      <c r="U5" s="2"/>
      <c r="V5" s="163">
        <f>0.11/0.107</f>
        <v>1.0280373831775702</v>
      </c>
      <c r="W5" s="1"/>
    </row>
    <row r="6" spans="1:23" x14ac:dyDescent="0.25">
      <c r="A6" s="155" t="s">
        <v>250</v>
      </c>
      <c r="B6" s="156" t="s">
        <v>199</v>
      </c>
      <c r="C6" s="161">
        <f t="shared" si="0"/>
        <v>0.4</v>
      </c>
      <c r="D6" s="161">
        <f t="shared" si="1"/>
        <v>0</v>
      </c>
      <c r="E6" s="160">
        <v>0</v>
      </c>
      <c r="F6" s="155" t="e">
        <f t="shared" si="2"/>
        <v>#DIV/0!</v>
      </c>
      <c r="G6" s="180">
        <v>0</v>
      </c>
      <c r="I6" s="2" t="s">
        <v>250</v>
      </c>
      <c r="J6" s="164">
        <v>0.7</v>
      </c>
      <c r="K6" s="162">
        <v>0</v>
      </c>
      <c r="L6" s="162">
        <v>0.14000000000000001</v>
      </c>
      <c r="M6" s="165">
        <v>0</v>
      </c>
      <c r="N6" s="174">
        <v>0.4</v>
      </c>
      <c r="O6" s="175">
        <v>0</v>
      </c>
      <c r="P6" s="20"/>
      <c r="Q6" s="2"/>
      <c r="R6" s="2"/>
      <c r="S6" s="1"/>
      <c r="T6" s="2">
        <v>0.55000000000000004</v>
      </c>
      <c r="U6" s="2"/>
      <c r="V6" s="163">
        <f>0.66/0.107</f>
        <v>6.1682242990654208</v>
      </c>
      <c r="W6" s="1"/>
    </row>
    <row r="7" spans="1:23" x14ac:dyDescent="0.25">
      <c r="A7" s="155" t="s">
        <v>422</v>
      </c>
      <c r="B7" s="156" t="s">
        <v>199</v>
      </c>
      <c r="C7" s="161">
        <f t="shared" si="0"/>
        <v>0</v>
      </c>
      <c r="D7" s="161">
        <f t="shared" si="1"/>
        <v>0</v>
      </c>
      <c r="E7" s="160">
        <v>0</v>
      </c>
      <c r="F7" s="155" t="e">
        <f t="shared" si="2"/>
        <v>#DIV/0!</v>
      </c>
      <c r="G7" s="180">
        <v>0</v>
      </c>
      <c r="I7" s="2" t="s">
        <v>422</v>
      </c>
      <c r="J7" s="164">
        <v>0</v>
      </c>
      <c r="K7" s="162">
        <v>0</v>
      </c>
      <c r="L7" s="162">
        <v>0</v>
      </c>
      <c r="M7" s="165">
        <v>0</v>
      </c>
      <c r="N7" s="177">
        <v>0</v>
      </c>
      <c r="O7" s="176">
        <v>0</v>
      </c>
      <c r="P7" s="20"/>
      <c r="Q7" s="2"/>
      <c r="R7" s="2"/>
      <c r="S7" s="1"/>
      <c r="T7" s="2"/>
      <c r="U7" s="2"/>
      <c r="V7" s="2"/>
      <c r="W7" s="1"/>
    </row>
    <row r="8" spans="1:23" x14ac:dyDescent="0.25">
      <c r="A8" s="155" t="s">
        <v>143</v>
      </c>
      <c r="B8" s="157">
        <v>0.45</v>
      </c>
      <c r="C8" s="161">
        <f t="shared" si="0"/>
        <v>0</v>
      </c>
      <c r="D8" s="161">
        <f t="shared" si="1"/>
        <v>0.4</v>
      </c>
      <c r="E8" s="160">
        <v>2</v>
      </c>
      <c r="F8" s="155">
        <f t="shared" si="2"/>
        <v>0.82322330470336313</v>
      </c>
      <c r="G8" s="180">
        <f>I51</f>
        <v>37001679</v>
      </c>
      <c r="I8" s="2" t="s">
        <v>143</v>
      </c>
      <c r="J8" s="164">
        <v>0</v>
      </c>
      <c r="K8" s="162">
        <v>0.7</v>
      </c>
      <c r="L8" s="162">
        <v>0</v>
      </c>
      <c r="M8" s="165">
        <v>0.14000000000000001</v>
      </c>
      <c r="N8" s="174">
        <v>0</v>
      </c>
      <c r="O8" s="175">
        <v>0.4</v>
      </c>
      <c r="P8" s="20"/>
      <c r="Q8" s="2"/>
      <c r="R8" s="2"/>
      <c r="S8" s="1"/>
      <c r="T8" s="2"/>
      <c r="U8" s="2"/>
      <c r="V8" s="2"/>
      <c r="W8" s="1"/>
    </row>
    <row r="9" spans="1:23" x14ac:dyDescent="0.25">
      <c r="A9" s="155" t="s">
        <v>149</v>
      </c>
      <c r="B9" s="157">
        <v>0.38800000000000001</v>
      </c>
      <c r="C9" s="161">
        <f t="shared" si="0"/>
        <v>0</v>
      </c>
      <c r="D9" s="161">
        <f t="shared" si="1"/>
        <v>0.4</v>
      </c>
      <c r="E9" s="160">
        <v>2</v>
      </c>
      <c r="F9" s="155">
        <f t="shared" si="2"/>
        <v>0.82322330470336313</v>
      </c>
      <c r="G9" s="180">
        <v>0</v>
      </c>
      <c r="I9" s="2" t="s">
        <v>149</v>
      </c>
      <c r="J9" s="164">
        <v>0</v>
      </c>
      <c r="K9" s="162">
        <v>0.7</v>
      </c>
      <c r="L9" s="162">
        <v>0</v>
      </c>
      <c r="M9" s="165">
        <v>0.14000000000000001</v>
      </c>
      <c r="N9" s="174">
        <v>0</v>
      </c>
      <c r="O9" s="175">
        <v>0.4</v>
      </c>
      <c r="P9" s="20"/>
      <c r="Q9" s="2"/>
      <c r="R9" s="2"/>
      <c r="S9" s="1"/>
      <c r="T9" s="2"/>
      <c r="U9" s="2"/>
      <c r="V9" s="2"/>
      <c r="W9" s="1"/>
    </row>
    <row r="10" spans="1:23" x14ac:dyDescent="0.25">
      <c r="A10" s="155" t="s">
        <v>140</v>
      </c>
      <c r="B10" s="157">
        <v>0.45</v>
      </c>
      <c r="C10" s="161">
        <f t="shared" si="0"/>
        <v>2.8</v>
      </c>
      <c r="D10" s="161">
        <f t="shared" si="1"/>
        <v>0.4</v>
      </c>
      <c r="E10" s="160">
        <v>2</v>
      </c>
      <c r="F10" s="155">
        <f t="shared" si="2"/>
        <v>0.82322330470336313</v>
      </c>
      <c r="G10" s="180">
        <v>0</v>
      </c>
      <c r="I10" s="2" t="s">
        <v>140</v>
      </c>
      <c r="J10" s="164">
        <v>2.96</v>
      </c>
      <c r="K10" s="162">
        <v>0.7</v>
      </c>
      <c r="L10" s="162">
        <f>0.74*2</f>
        <v>1.48</v>
      </c>
      <c r="M10" s="165">
        <v>0.14000000000000001</v>
      </c>
      <c r="N10" s="174">
        <v>2.8</v>
      </c>
      <c r="O10" s="175">
        <v>0.4</v>
      </c>
      <c r="P10" s="20"/>
      <c r="Q10" s="2"/>
      <c r="R10" s="2"/>
      <c r="S10" s="1"/>
      <c r="T10" s="2"/>
      <c r="U10" s="2"/>
      <c r="V10" s="2"/>
      <c r="W10" s="1"/>
    </row>
    <row r="11" spans="1:23" x14ac:dyDescent="0.25">
      <c r="A11" s="155" t="s">
        <v>129</v>
      </c>
      <c r="B11" s="156" t="s">
        <v>199</v>
      </c>
      <c r="C11" s="161">
        <f t="shared" si="0"/>
        <v>1</v>
      </c>
      <c r="D11" s="161">
        <f t="shared" si="1"/>
        <v>0.4</v>
      </c>
      <c r="E11" s="160">
        <v>2</v>
      </c>
      <c r="F11" s="155">
        <f t="shared" si="2"/>
        <v>0.82322330470336313</v>
      </c>
      <c r="G11" s="180">
        <v>0</v>
      </c>
      <c r="I11" s="2" t="s">
        <v>129</v>
      </c>
      <c r="J11" s="164">
        <v>1.4</v>
      </c>
      <c r="K11" s="162">
        <v>0.7</v>
      </c>
      <c r="L11" s="162">
        <v>0.3</v>
      </c>
      <c r="M11" s="165">
        <v>0.14000000000000001</v>
      </c>
      <c r="N11" s="174">
        <v>1</v>
      </c>
      <c r="O11" s="175">
        <v>0.4</v>
      </c>
      <c r="P11" s="20"/>
      <c r="Q11" s="2"/>
      <c r="R11" s="2"/>
      <c r="S11" s="1"/>
      <c r="T11" s="2"/>
      <c r="U11" s="2"/>
      <c r="V11" s="2"/>
      <c r="W11" s="1"/>
    </row>
    <row r="12" spans="1:23" x14ac:dyDescent="0.25">
      <c r="A12" s="155" t="s">
        <v>134</v>
      </c>
      <c r="B12" s="156" t="s">
        <v>199</v>
      </c>
      <c r="C12" s="161">
        <f t="shared" si="0"/>
        <v>0</v>
      </c>
      <c r="D12" s="161">
        <f t="shared" si="1"/>
        <v>0.4</v>
      </c>
      <c r="E12" s="160">
        <v>2</v>
      </c>
      <c r="F12" s="155">
        <f t="shared" si="2"/>
        <v>0.82322330470336313</v>
      </c>
      <c r="G12" s="180">
        <v>0</v>
      </c>
      <c r="I12" s="2" t="s">
        <v>134</v>
      </c>
      <c r="J12" s="164">
        <v>0</v>
      </c>
      <c r="K12" s="162">
        <v>0.7</v>
      </c>
      <c r="L12" s="162">
        <v>0</v>
      </c>
      <c r="M12" s="165">
        <v>0.14000000000000001</v>
      </c>
      <c r="N12" s="174">
        <v>0</v>
      </c>
      <c r="O12" s="175">
        <v>0.4</v>
      </c>
      <c r="P12" s="20"/>
      <c r="Q12" s="2"/>
      <c r="R12" s="2"/>
      <c r="S12" s="1"/>
      <c r="T12" s="2"/>
      <c r="U12" s="2"/>
      <c r="V12" s="2"/>
      <c r="W12" s="1"/>
    </row>
    <row r="13" spans="1:23" x14ac:dyDescent="0.25">
      <c r="A13" s="155" t="s">
        <v>136</v>
      </c>
      <c r="B13" s="156" t="s">
        <v>199</v>
      </c>
      <c r="C13" s="161">
        <f t="shared" si="0"/>
        <v>0</v>
      </c>
      <c r="D13" s="161">
        <f t="shared" si="1"/>
        <v>0.4</v>
      </c>
      <c r="E13" s="160">
        <v>2</v>
      </c>
      <c r="F13" s="155">
        <f t="shared" si="2"/>
        <v>0.82322330470336313</v>
      </c>
      <c r="G13" s="180">
        <v>0</v>
      </c>
      <c r="I13" s="2" t="s">
        <v>136</v>
      </c>
      <c r="J13" s="164">
        <v>0</v>
      </c>
      <c r="K13" s="162">
        <v>0.7</v>
      </c>
      <c r="L13" s="162">
        <v>0</v>
      </c>
      <c r="M13" s="165">
        <v>0.14000000000000001</v>
      </c>
      <c r="N13" s="174">
        <v>0</v>
      </c>
      <c r="O13" s="175">
        <v>0.4</v>
      </c>
      <c r="P13" s="20"/>
      <c r="Q13" s="2"/>
      <c r="R13" s="2"/>
      <c r="S13" s="1"/>
      <c r="T13" s="2"/>
      <c r="U13" s="2"/>
      <c r="V13" s="2"/>
      <c r="W13" s="1"/>
    </row>
    <row r="14" spans="1:23" x14ac:dyDescent="0.25">
      <c r="A14" s="155" t="s">
        <v>138</v>
      </c>
      <c r="B14" s="156" t="s">
        <v>199</v>
      </c>
      <c r="C14" s="161">
        <f t="shared" si="0"/>
        <v>0</v>
      </c>
      <c r="D14" s="161">
        <f t="shared" si="1"/>
        <v>0.4</v>
      </c>
      <c r="E14" s="160">
        <v>2</v>
      </c>
      <c r="F14" s="155">
        <f t="shared" si="2"/>
        <v>0.82322330470336313</v>
      </c>
      <c r="G14" s="180">
        <v>0</v>
      </c>
      <c r="I14" s="2" t="s">
        <v>138</v>
      </c>
      <c r="J14" s="167">
        <v>0</v>
      </c>
      <c r="K14" s="170">
        <v>0.7</v>
      </c>
      <c r="L14" s="170">
        <v>0</v>
      </c>
      <c r="M14" s="168">
        <v>0.14000000000000001</v>
      </c>
      <c r="N14" s="178">
        <v>0</v>
      </c>
      <c r="O14" s="179">
        <v>0.4</v>
      </c>
      <c r="P14" s="19"/>
      <c r="Q14" s="18"/>
      <c r="R14" s="18"/>
      <c r="S14" s="17"/>
      <c r="T14" s="18"/>
      <c r="U14" s="18"/>
      <c r="V14" s="18"/>
      <c r="W14" s="17"/>
    </row>
    <row r="15" spans="1:23" x14ac:dyDescent="0.25">
      <c r="C15" s="36"/>
      <c r="D15" s="36"/>
      <c r="E15" s="36"/>
      <c r="H15" s="2"/>
      <c r="I15" s="2"/>
      <c r="J15" s="2"/>
      <c r="K15" s="2"/>
      <c r="L15" s="2"/>
      <c r="Q15" s="154"/>
    </row>
    <row r="16" spans="1:23" x14ac:dyDescent="0.25">
      <c r="C16" s="36"/>
      <c r="D16" s="36"/>
      <c r="E16" s="104"/>
      <c r="Q16" s="154"/>
    </row>
    <row r="17" spans="1:17" x14ac:dyDescent="0.25">
      <c r="A17" t="s">
        <v>77</v>
      </c>
      <c r="C17" s="36"/>
      <c r="D17" s="36"/>
      <c r="E17" s="36"/>
      <c r="Q17" s="154"/>
    </row>
    <row r="18" spans="1:17" x14ac:dyDescent="0.25">
      <c r="A18" t="s">
        <v>674</v>
      </c>
      <c r="C18">
        <v>0.29299999999999998</v>
      </c>
      <c r="D18" t="s">
        <v>675</v>
      </c>
      <c r="Q18" s="154"/>
    </row>
    <row r="19" spans="1:17" x14ac:dyDescent="0.25">
      <c r="A19" t="s">
        <v>676</v>
      </c>
      <c r="C19">
        <v>140000</v>
      </c>
      <c r="D19" t="s">
        <v>677</v>
      </c>
      <c r="F19" s="151"/>
      <c r="G19" s="152" t="s">
        <v>681</v>
      </c>
      <c r="H19" s="151" t="s">
        <v>707</v>
      </c>
      <c r="I19" s="151"/>
      <c r="J19" s="151"/>
    </row>
    <row r="20" spans="1:17" x14ac:dyDescent="0.25">
      <c r="A20" t="s">
        <v>678</v>
      </c>
      <c r="C20">
        <v>3.8</v>
      </c>
      <c r="D20" t="s">
        <v>679</v>
      </c>
      <c r="F20" s="151"/>
      <c r="G20" s="152" t="s">
        <v>682</v>
      </c>
      <c r="H20" s="152" t="s">
        <v>683</v>
      </c>
      <c r="I20" s="152" t="s">
        <v>684</v>
      </c>
      <c r="J20" s="152" t="s">
        <v>685</v>
      </c>
    </row>
    <row r="21" spans="1:17" x14ac:dyDescent="0.25">
      <c r="A21" t="s">
        <v>680</v>
      </c>
      <c r="C21">
        <f>C19/C20*C18*0.000001</f>
        <v>1.0794736842105261E-2</v>
      </c>
      <c r="D21" t="s">
        <v>780</v>
      </c>
      <c r="F21" s="153">
        <v>1990</v>
      </c>
      <c r="G21" s="154">
        <v>75132132</v>
      </c>
      <c r="H21" s="154">
        <v>11389917</v>
      </c>
      <c r="I21" s="154">
        <v>16969118</v>
      </c>
      <c r="J21" s="154">
        <v>11089802</v>
      </c>
    </row>
    <row r="22" spans="1:17" x14ac:dyDescent="0.25">
      <c r="F22" s="153">
        <v>1991</v>
      </c>
      <c r="G22" s="154">
        <v>76022962</v>
      </c>
      <c r="H22" s="154">
        <v>11436186</v>
      </c>
      <c r="I22" s="154">
        <v>17345176</v>
      </c>
      <c r="J22" s="154">
        <v>11302065</v>
      </c>
    </row>
    <row r="23" spans="1:17" x14ac:dyDescent="0.25">
      <c r="A23" t="s">
        <v>686</v>
      </c>
      <c r="F23" s="153">
        <v>1992</v>
      </c>
      <c r="G23" s="154">
        <v>76818885</v>
      </c>
      <c r="H23" s="154">
        <v>11439542</v>
      </c>
      <c r="I23" s="154">
        <v>17678139</v>
      </c>
      <c r="J23" s="154">
        <v>11458476</v>
      </c>
    </row>
    <row r="24" spans="1:17" x14ac:dyDescent="0.25">
      <c r="A24" t="s">
        <v>687</v>
      </c>
      <c r="C24">
        <v>5.5</v>
      </c>
      <c r="D24" t="s">
        <v>688</v>
      </c>
      <c r="F24" s="153">
        <v>1993</v>
      </c>
      <c r="G24" s="154">
        <v>77710813</v>
      </c>
      <c r="H24" s="154">
        <v>11351673</v>
      </c>
      <c r="I24" s="154">
        <v>17825607</v>
      </c>
      <c r="J24" s="154">
        <v>11412781</v>
      </c>
    </row>
    <row r="25" spans="1:17" x14ac:dyDescent="0.25">
      <c r="A25" t="s">
        <v>686</v>
      </c>
      <c r="C25">
        <v>1.7</v>
      </c>
      <c r="D25" t="s">
        <v>689</v>
      </c>
      <c r="F25" s="153">
        <v>1994</v>
      </c>
      <c r="G25" s="154">
        <v>78755349</v>
      </c>
      <c r="H25" s="154">
        <v>11297683</v>
      </c>
      <c r="I25" s="154">
        <v>18226822</v>
      </c>
      <c r="J25" s="154">
        <v>11588787</v>
      </c>
    </row>
    <row r="26" spans="1:17" x14ac:dyDescent="0.25">
      <c r="A26" t="s">
        <v>690</v>
      </c>
      <c r="C26">
        <f>C24/C25</f>
        <v>3.2352941176470589</v>
      </c>
      <c r="F26" s="153">
        <v>1995</v>
      </c>
      <c r="G26" s="154">
        <v>80017499</v>
      </c>
      <c r="H26" s="154">
        <v>11225694</v>
      </c>
      <c r="I26" s="154">
        <v>18537697</v>
      </c>
      <c r="J26" s="154">
        <v>11631756</v>
      </c>
    </row>
    <row r="27" spans="1:17" x14ac:dyDescent="0.25">
      <c r="A27" t="s">
        <v>691</v>
      </c>
      <c r="C27">
        <f>C26*12/44</f>
        <v>0.88235294117647067</v>
      </c>
      <c r="F27" s="153">
        <v>1996</v>
      </c>
      <c r="G27" s="154">
        <v>81446745</v>
      </c>
      <c r="H27" s="154">
        <v>11180978</v>
      </c>
      <c r="I27" s="154">
        <v>18803322</v>
      </c>
      <c r="J27" s="154">
        <v>11575080</v>
      </c>
    </row>
    <row r="28" spans="1:17" x14ac:dyDescent="0.25">
      <c r="F28" s="153">
        <v>1997</v>
      </c>
      <c r="G28" s="154">
        <v>82769835</v>
      </c>
      <c r="H28" s="154">
        <v>11124339</v>
      </c>
      <c r="I28" s="154">
        <v>19045295</v>
      </c>
      <c r="J28" s="154">
        <v>11485550</v>
      </c>
    </row>
    <row r="29" spans="1:17" x14ac:dyDescent="0.25">
      <c r="A29" t="s">
        <v>695</v>
      </c>
      <c r="F29" s="153">
        <v>1998</v>
      </c>
      <c r="G29" s="154">
        <v>84321624</v>
      </c>
      <c r="H29" s="154">
        <v>11068164</v>
      </c>
      <c r="I29" s="154">
        <v>19552711</v>
      </c>
      <c r="J29" s="154">
        <v>11635526</v>
      </c>
    </row>
    <row r="30" spans="1:17" x14ac:dyDescent="0.25">
      <c r="A30">
        <v>47</v>
      </c>
      <c r="B30" t="s">
        <v>693</v>
      </c>
      <c r="F30" s="153">
        <v>1999</v>
      </c>
      <c r="G30" s="154">
        <v>85809429</v>
      </c>
      <c r="H30" s="154">
        <v>11027068</v>
      </c>
      <c r="I30" s="154">
        <v>20014471</v>
      </c>
      <c r="J30" s="154">
        <v>11731519</v>
      </c>
    </row>
    <row r="31" spans="1:17" x14ac:dyDescent="0.25">
      <c r="A31">
        <f>A30*12/44</f>
        <v>12.818181818181818</v>
      </c>
      <c r="B31" t="s">
        <v>694</v>
      </c>
      <c r="F31" s="153">
        <v>2000</v>
      </c>
      <c r="G31" s="154">
        <v>87255510</v>
      </c>
      <c r="H31" s="154">
        <v>10978550</v>
      </c>
      <c r="I31" s="154">
        <v>20496938</v>
      </c>
      <c r="J31" s="154">
        <v>11832925</v>
      </c>
    </row>
    <row r="32" spans="1:17" x14ac:dyDescent="0.25">
      <c r="A32" s="28">
        <f>A31/1000</f>
        <v>1.2818181818181819E-2</v>
      </c>
      <c r="B32" t="s">
        <v>696</v>
      </c>
      <c r="F32" s="153">
        <v>2001</v>
      </c>
      <c r="G32" s="154">
        <v>88751712</v>
      </c>
      <c r="H32" s="154">
        <v>10920826</v>
      </c>
      <c r="I32" s="154">
        <v>21207587</v>
      </c>
      <c r="J32" s="154">
        <v>12165046</v>
      </c>
    </row>
    <row r="33" spans="1:14" x14ac:dyDescent="0.25">
      <c r="F33" s="153">
        <v>2002</v>
      </c>
      <c r="G33" s="154">
        <v>90121030</v>
      </c>
      <c r="H33" s="154">
        <v>10823614</v>
      </c>
      <c r="I33" s="154">
        <v>21727594</v>
      </c>
      <c r="J33" s="154">
        <v>12241949</v>
      </c>
    </row>
    <row r="34" spans="1:14" x14ac:dyDescent="0.25">
      <c r="A34" t="s">
        <v>697</v>
      </c>
      <c r="F34" s="153">
        <v>2003</v>
      </c>
      <c r="G34" s="154">
        <v>91509290</v>
      </c>
      <c r="H34" s="154">
        <v>10743891</v>
      </c>
      <c r="I34" s="154">
        <v>22388166</v>
      </c>
      <c r="J34" s="154">
        <v>12424621</v>
      </c>
    </row>
    <row r="35" spans="1:14" x14ac:dyDescent="0.25">
      <c r="A35">
        <v>46</v>
      </c>
      <c r="B35" t="s">
        <v>693</v>
      </c>
      <c r="F35" s="153">
        <v>2004</v>
      </c>
      <c r="G35" s="154">
        <v>92964636</v>
      </c>
      <c r="H35" s="154">
        <v>10630637</v>
      </c>
      <c r="I35" s="154">
        <v>23199507</v>
      </c>
      <c r="J35" s="154">
        <v>12696054</v>
      </c>
      <c r="M35" s="27"/>
      <c r="N35" s="27"/>
    </row>
    <row r="36" spans="1:14" x14ac:dyDescent="0.25">
      <c r="A36">
        <f>A35*12/44</f>
        <v>12.545454545454545</v>
      </c>
      <c r="B36" t="s">
        <v>694</v>
      </c>
      <c r="F36" s="153">
        <v>2005</v>
      </c>
      <c r="G36" s="154">
        <v>94432398</v>
      </c>
      <c r="H36" s="154">
        <v>10506580</v>
      </c>
      <c r="I36" s="154">
        <v>24184138</v>
      </c>
      <c r="J36" s="154">
        <v>13040078</v>
      </c>
    </row>
    <row r="37" spans="1:14" x14ac:dyDescent="0.25">
      <c r="A37" s="28">
        <f>A36/1000</f>
        <v>1.2545454545454545E-2</v>
      </c>
      <c r="B37" t="s">
        <v>696</v>
      </c>
      <c r="F37" s="153">
        <v>2006</v>
      </c>
      <c r="G37" s="154">
        <v>96192466</v>
      </c>
      <c r="H37" s="154">
        <v>10415502</v>
      </c>
      <c r="I37" s="154">
        <v>25331117</v>
      </c>
      <c r="J37" s="154">
        <v>13472225</v>
      </c>
    </row>
    <row r="38" spans="1:14" x14ac:dyDescent="0.25">
      <c r="F38" s="153">
        <v>2007</v>
      </c>
      <c r="G38" s="154">
        <v>98003526</v>
      </c>
      <c r="H38" s="154">
        <v>10354391</v>
      </c>
      <c r="I38" s="154">
        <v>26682861</v>
      </c>
      <c r="J38" s="154">
        <v>14034700</v>
      </c>
    </row>
    <row r="39" spans="1:14" x14ac:dyDescent="0.25">
      <c r="F39" s="153">
        <v>2008</v>
      </c>
      <c r="G39" s="154">
        <v>99914732</v>
      </c>
      <c r="H39" s="154">
        <v>10310962</v>
      </c>
      <c r="I39" s="154">
        <v>27968715</v>
      </c>
      <c r="J39" s="154">
        <v>14432889</v>
      </c>
    </row>
    <row r="40" spans="1:14" x14ac:dyDescent="0.25">
      <c r="A40">
        <v>0.5</v>
      </c>
      <c r="B40" t="s">
        <v>698</v>
      </c>
      <c r="F40" s="153">
        <v>2009</v>
      </c>
      <c r="G40" s="154">
        <v>101491832</v>
      </c>
      <c r="H40" s="154">
        <v>10263531</v>
      </c>
      <c r="I40" s="154">
        <v>29070824</v>
      </c>
      <c r="J40" s="154">
        <v>14582127</v>
      </c>
    </row>
    <row r="41" spans="1:14" x14ac:dyDescent="0.25">
      <c r="F41" s="153">
        <v>2010</v>
      </c>
      <c r="G41" s="154">
        <v>102747245</v>
      </c>
      <c r="H41" s="154">
        <v>10201515</v>
      </c>
      <c r="I41" s="154">
        <v>29867859</v>
      </c>
      <c r="J41" s="154">
        <v>14469958</v>
      </c>
    </row>
    <row r="42" spans="1:14" x14ac:dyDescent="0.25">
      <c r="A42">
        <v>19</v>
      </c>
      <c r="B42" t="s">
        <v>699</v>
      </c>
      <c r="F42" s="153">
        <v>2011</v>
      </c>
      <c r="G42" s="154">
        <v>104053695</v>
      </c>
      <c r="H42" s="154">
        <v>10113831</v>
      </c>
      <c r="I42" s="154">
        <v>30685138</v>
      </c>
      <c r="J42" s="154">
        <v>14390009</v>
      </c>
    </row>
    <row r="43" spans="1:14" x14ac:dyDescent="0.25">
      <c r="A43">
        <f>(1/3.6)*A42</f>
        <v>5.2777777777777777</v>
      </c>
      <c r="B43" t="s">
        <v>700</v>
      </c>
      <c r="F43" s="153">
        <v>2012</v>
      </c>
      <c r="G43" s="154">
        <v>105273338</v>
      </c>
      <c r="H43" s="154">
        <v>10012413</v>
      </c>
      <c r="I43" s="154">
        <v>31483638</v>
      </c>
      <c r="J43" s="154">
        <v>14299243</v>
      </c>
    </row>
    <row r="44" spans="1:14" x14ac:dyDescent="0.25">
      <c r="F44" s="153">
        <v>2013</v>
      </c>
      <c r="G44" s="154">
        <v>106358461</v>
      </c>
      <c r="H44" s="154">
        <v>9913699</v>
      </c>
      <c r="I44" s="154">
        <v>32355404</v>
      </c>
      <c r="J44" s="154">
        <v>14271632</v>
      </c>
    </row>
    <row r="45" spans="1:14" x14ac:dyDescent="0.25">
      <c r="F45" s="153">
        <v>2014</v>
      </c>
      <c r="G45" s="154">
        <v>107356553</v>
      </c>
      <c r="H45" s="154">
        <v>9808554</v>
      </c>
      <c r="I45" s="154">
        <v>33155541</v>
      </c>
      <c r="J45" s="154">
        <v>14176441</v>
      </c>
    </row>
    <row r="46" spans="1:14" x14ac:dyDescent="0.25">
      <c r="F46" s="153">
        <v>2015</v>
      </c>
      <c r="G46" s="154">
        <v>108649253</v>
      </c>
      <c r="H46" s="154">
        <v>9694826</v>
      </c>
      <c r="I46" s="154">
        <v>34005282</v>
      </c>
      <c r="J46" s="154">
        <v>14038715</v>
      </c>
    </row>
    <row r="47" spans="1:14" x14ac:dyDescent="0.25">
      <c r="F47" s="153">
        <v>2016</v>
      </c>
      <c r="G47" s="154">
        <v>110004506</v>
      </c>
      <c r="H47" s="154">
        <v>9605594</v>
      </c>
      <c r="I47" s="154">
        <v>34744943</v>
      </c>
      <c r="J47" s="154">
        <v>13845633</v>
      </c>
    </row>
    <row r="48" spans="1:14" x14ac:dyDescent="0.25">
      <c r="F48" s="153">
        <v>2017</v>
      </c>
      <c r="G48" s="154">
        <v>111375133</v>
      </c>
      <c r="H48" s="154">
        <v>9514603</v>
      </c>
      <c r="I48" s="154">
        <v>35702638</v>
      </c>
      <c r="J48" s="154">
        <v>13918823</v>
      </c>
    </row>
    <row r="49" spans="6:10" x14ac:dyDescent="0.25">
      <c r="F49" s="153">
        <v>2018</v>
      </c>
      <c r="G49" s="154">
        <v>112704911</v>
      </c>
      <c r="H49" s="154">
        <v>9419693</v>
      </c>
      <c r="I49" s="154">
        <v>36236417</v>
      </c>
      <c r="J49" s="154">
        <v>13666592</v>
      </c>
    </row>
    <row r="50" spans="6:10" x14ac:dyDescent="0.25">
      <c r="F50" s="153">
        <v>2019</v>
      </c>
      <c r="G50" s="154">
        <v>114075411</v>
      </c>
      <c r="H50" s="154">
        <v>9329885</v>
      </c>
      <c r="I50" s="154">
        <v>36582517</v>
      </c>
      <c r="J50" s="154">
        <v>13263089</v>
      </c>
    </row>
    <row r="51" spans="6:10" x14ac:dyDescent="0.25">
      <c r="F51" s="153">
        <v>2020</v>
      </c>
      <c r="G51" s="154">
        <v>115512122</v>
      </c>
      <c r="H51" s="154">
        <v>9243923</v>
      </c>
      <c r="I51" s="154">
        <v>37001679</v>
      </c>
      <c r="J51" s="154">
        <v>13068343</v>
      </c>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2"/>
  <sheetViews>
    <sheetView workbookViewId="0">
      <selection activeCell="A5" sqref="A5"/>
    </sheetView>
  </sheetViews>
  <sheetFormatPr defaultRowHeight="15" x14ac:dyDescent="0.25"/>
  <cols>
    <col min="1" max="1" width="25.85546875" customWidth="1"/>
  </cols>
  <sheetData>
    <row r="1" spans="1:4" x14ac:dyDescent="0.25">
      <c r="A1" s="28" t="s">
        <v>799</v>
      </c>
    </row>
    <row r="2" spans="1:4" x14ac:dyDescent="0.25">
      <c r="A2" s="28"/>
    </row>
    <row r="3" spans="1:4" x14ac:dyDescent="0.25">
      <c r="A3" s="28" t="s">
        <v>802</v>
      </c>
    </row>
    <row r="4" spans="1:4" x14ac:dyDescent="0.25">
      <c r="A4" t="s">
        <v>794</v>
      </c>
      <c r="B4">
        <v>92.3</v>
      </c>
    </row>
    <row r="5" spans="1:4" x14ac:dyDescent="0.25">
      <c r="A5" t="s">
        <v>795</v>
      </c>
      <c r="B5">
        <v>4.0999999999999996</v>
      </c>
    </row>
    <row r="6" spans="1:4" x14ac:dyDescent="0.25">
      <c r="A6" t="s">
        <v>796</v>
      </c>
      <c r="B6">
        <v>0.4</v>
      </c>
      <c r="C6">
        <f>B5*(1-B6)</f>
        <v>2.4599999999999995</v>
      </c>
      <c r="D6" t="s">
        <v>798</v>
      </c>
    </row>
    <row r="7" spans="1:4" x14ac:dyDescent="0.25">
      <c r="A7" t="s">
        <v>797</v>
      </c>
      <c r="B7">
        <v>3.2</v>
      </c>
      <c r="C7" s="183">
        <f>C6/B4</f>
        <v>2.6652221018418198E-2</v>
      </c>
      <c r="D7" s="28" t="s">
        <v>804</v>
      </c>
    </row>
    <row r="8" spans="1:4" x14ac:dyDescent="0.25">
      <c r="A8" t="s">
        <v>248</v>
      </c>
      <c r="B8">
        <f>B4-B5</f>
        <v>88.2</v>
      </c>
    </row>
    <row r="9" spans="1:4" x14ac:dyDescent="0.25">
      <c r="A9" t="s">
        <v>0</v>
      </c>
      <c r="B9" s="73">
        <f>B8*0.82</f>
        <v>72.323999999999998</v>
      </c>
    </row>
    <row r="11" spans="1:4" x14ac:dyDescent="0.25">
      <c r="A11" s="28" t="s">
        <v>801</v>
      </c>
    </row>
    <row r="12" spans="1:4" x14ac:dyDescent="0.25">
      <c r="A12" t="s">
        <v>800</v>
      </c>
      <c r="B12" s="184">
        <v>0.08</v>
      </c>
      <c r="C12" s="28" t="s">
        <v>803</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1:W13"/>
  <sheetViews>
    <sheetView topLeftCell="D5" workbookViewId="0">
      <selection activeCell="P4" sqref="P4:W9"/>
    </sheetView>
  </sheetViews>
  <sheetFormatPr defaultRowHeight="15" x14ac:dyDescent="0.25"/>
  <cols>
    <col min="2" max="2" width="15.28515625" customWidth="1"/>
    <col min="12" max="12" width="17.5703125" customWidth="1"/>
    <col min="16" max="18" width="20" customWidth="1"/>
  </cols>
  <sheetData>
    <row r="1" spans="2:23" ht="162.75" customHeight="1" x14ac:dyDescent="0.25">
      <c r="B1" s="37" t="s">
        <v>716</v>
      </c>
      <c r="C1" t="s">
        <v>725</v>
      </c>
      <c r="D1" t="s">
        <v>726</v>
      </c>
      <c r="E1" t="s">
        <v>727</v>
      </c>
      <c r="L1" s="37" t="s">
        <v>717</v>
      </c>
      <c r="M1" t="s">
        <v>719</v>
      </c>
      <c r="N1" t="s">
        <v>720</v>
      </c>
      <c r="P1" s="37" t="s">
        <v>742</v>
      </c>
    </row>
    <row r="2" spans="2:23" ht="122.25" customHeight="1" x14ac:dyDescent="0.25">
      <c r="B2" t="s">
        <v>724</v>
      </c>
      <c r="C2">
        <v>3.6</v>
      </c>
      <c r="D2">
        <v>5.8</v>
      </c>
      <c r="E2">
        <v>7</v>
      </c>
      <c r="L2" t="s">
        <v>718</v>
      </c>
      <c r="M2">
        <v>6</v>
      </c>
      <c r="N2">
        <v>2</v>
      </c>
      <c r="P2" s="37" t="s">
        <v>728</v>
      </c>
      <c r="Q2" s="37" t="s">
        <v>729</v>
      </c>
      <c r="R2" s="37" t="s">
        <v>730</v>
      </c>
    </row>
    <row r="3" spans="2:23" x14ac:dyDescent="0.25">
      <c r="L3" t="s">
        <v>721</v>
      </c>
      <c r="M3">
        <v>2</v>
      </c>
      <c r="N3">
        <v>6</v>
      </c>
    </row>
    <row r="4" spans="2:23" x14ac:dyDescent="0.25">
      <c r="M4" t="s">
        <v>722</v>
      </c>
      <c r="N4" t="s">
        <v>723</v>
      </c>
      <c r="P4" s="102" t="s">
        <v>731</v>
      </c>
      <c r="Q4" s="102" t="s">
        <v>733</v>
      </c>
      <c r="R4" s="102" t="s">
        <v>734</v>
      </c>
      <c r="S4" s="102" t="s">
        <v>735</v>
      </c>
      <c r="V4" s="102" t="s">
        <v>743</v>
      </c>
      <c r="W4" s="102" t="s">
        <v>744</v>
      </c>
    </row>
    <row r="5" spans="2:23" x14ac:dyDescent="0.25">
      <c r="P5" s="102" t="s">
        <v>740</v>
      </c>
      <c r="Q5">
        <v>0</v>
      </c>
      <c r="R5">
        <v>148</v>
      </c>
      <c r="S5">
        <v>574</v>
      </c>
      <c r="T5">
        <f>SUM(Q5:S5)</f>
        <v>722</v>
      </c>
      <c r="U5" s="171">
        <f>T5/T$8</f>
        <v>0.33754090696587191</v>
      </c>
      <c r="V5">
        <v>6917</v>
      </c>
      <c r="W5" s="171">
        <f>T5/V5</f>
        <v>0.10438051178256469</v>
      </c>
    </row>
    <row r="6" spans="2:23" x14ac:dyDescent="0.25">
      <c r="P6" s="102" t="s">
        <v>741</v>
      </c>
      <c r="Q6">
        <v>15</v>
      </c>
      <c r="R6">
        <v>129</v>
      </c>
      <c r="S6">
        <v>757</v>
      </c>
      <c r="T6">
        <f>SUM(Q6:S6)</f>
        <v>901</v>
      </c>
      <c r="U6" s="171">
        <f>T6/T$8</f>
        <v>0.42122487143525011</v>
      </c>
      <c r="V6">
        <v>8704</v>
      </c>
      <c r="W6" s="171">
        <f>T6/V6</f>
        <v>0.103515625</v>
      </c>
    </row>
    <row r="7" spans="2:23" x14ac:dyDescent="0.25">
      <c r="P7" s="102" t="s">
        <v>732</v>
      </c>
      <c r="Q7">
        <v>14</v>
      </c>
      <c r="R7">
        <v>219</v>
      </c>
      <c r="S7">
        <v>283</v>
      </c>
      <c r="T7">
        <f>SUM(Q7:S7)</f>
        <v>516</v>
      </c>
      <c r="U7" s="171">
        <f>T7/T$8</f>
        <v>0.24123422159887797</v>
      </c>
      <c r="V7">
        <v>6752</v>
      </c>
      <c r="W7" s="171">
        <f>T7/V7</f>
        <v>7.6421800947867297E-2</v>
      </c>
    </row>
    <row r="8" spans="2:23" x14ac:dyDescent="0.25">
      <c r="Q8">
        <f>SUM(Q5:Q7)</f>
        <v>29</v>
      </c>
      <c r="R8">
        <f>SUM(R5:R7)</f>
        <v>496</v>
      </c>
      <c r="S8">
        <f>SUM(S5:S7)</f>
        <v>1614</v>
      </c>
      <c r="T8">
        <f>SUM(T5:T7)</f>
        <v>2139</v>
      </c>
    </row>
    <row r="9" spans="2:23" x14ac:dyDescent="0.25">
      <c r="J9" t="s">
        <v>736</v>
      </c>
      <c r="K9">
        <f>486+543</f>
        <v>1029</v>
      </c>
      <c r="L9" s="171">
        <f>K9/K$13</f>
        <v>0.47705146036161333</v>
      </c>
      <c r="Q9" s="171">
        <f>Q8/$T8</f>
        <v>1.3557737260402058E-2</v>
      </c>
      <c r="R9" s="171">
        <f>R8/$T8</f>
        <v>0.2318840579710145</v>
      </c>
      <c r="S9" s="171">
        <f>S8/$T8</f>
        <v>0.75455820476858348</v>
      </c>
      <c r="U9" s="171"/>
    </row>
    <row r="10" spans="2:23" x14ac:dyDescent="0.25">
      <c r="J10" t="s">
        <v>737</v>
      </c>
      <c r="K10">
        <f>105+319</f>
        <v>424</v>
      </c>
      <c r="L10" s="171">
        <f>K10/K$13</f>
        <v>0.19656930922577653</v>
      </c>
      <c r="U10" s="171"/>
    </row>
    <row r="11" spans="2:23" x14ac:dyDescent="0.25">
      <c r="J11" t="s">
        <v>738</v>
      </c>
      <c r="K11">
        <f>131+276</f>
        <v>407</v>
      </c>
      <c r="L11" s="171">
        <f>K11/K$13</f>
        <v>0.18868799258229021</v>
      </c>
    </row>
    <row r="12" spans="2:23" x14ac:dyDescent="0.25">
      <c r="J12" t="s">
        <v>739</v>
      </c>
      <c r="K12">
        <f>100+197</f>
        <v>297</v>
      </c>
      <c r="L12" s="171">
        <f>K12/K$13</f>
        <v>0.13769123783031989</v>
      </c>
      <c r="Q12" s="171"/>
      <c r="R12" s="171"/>
      <c r="S12" s="171"/>
    </row>
    <row r="13" spans="2:23" x14ac:dyDescent="0.25">
      <c r="K13">
        <f>SUM(K9:K12)</f>
        <v>2157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2"/>
  <sheetViews>
    <sheetView zoomScale="85" zoomScaleNormal="85" workbookViewId="0">
      <selection activeCell="C2" sqref="C2"/>
    </sheetView>
  </sheetViews>
  <sheetFormatPr defaultRowHeight="15" x14ac:dyDescent="0.25"/>
  <cols>
    <col min="1" max="1" width="38.140625" customWidth="1"/>
    <col min="2" max="2" width="24.140625" customWidth="1"/>
    <col min="3" max="3" width="20.7109375" customWidth="1"/>
    <col min="4" max="4" width="17.42578125" customWidth="1"/>
    <col min="11" max="11" width="11.85546875" customWidth="1"/>
    <col min="12" max="12" width="4.85546875" customWidth="1"/>
    <col min="13" max="14" width="18" customWidth="1"/>
    <col min="25" max="25" width="11.85546875" customWidth="1"/>
    <col min="26" max="26" width="4.85546875" customWidth="1"/>
    <col min="27" max="28" width="18" customWidth="1"/>
  </cols>
  <sheetData>
    <row r="1" spans="1:31" x14ac:dyDescent="0.25">
      <c r="A1" s="28" t="s">
        <v>850</v>
      </c>
      <c r="H1" s="28" t="s">
        <v>851</v>
      </c>
    </row>
    <row r="2" spans="1:31" ht="15.75" thickBot="1" x14ac:dyDescent="0.3">
      <c r="A2" s="23" t="s">
        <v>849</v>
      </c>
      <c r="B2" s="195">
        <f>C13</f>
        <v>827.77290597082265</v>
      </c>
      <c r="C2" s="196">
        <f>C14</f>
        <v>308.78873239436621</v>
      </c>
      <c r="D2" s="197">
        <f>C15</f>
        <v>302.87323943661971</v>
      </c>
      <c r="I2" t="s">
        <v>829</v>
      </c>
      <c r="W2" t="s">
        <v>829</v>
      </c>
    </row>
    <row r="3" spans="1:31" ht="15.75" thickBot="1" x14ac:dyDescent="0.3">
      <c r="A3" s="20"/>
      <c r="B3" s="68" t="s">
        <v>92</v>
      </c>
      <c r="C3" s="68" t="s">
        <v>235</v>
      </c>
      <c r="D3" s="198" t="s">
        <v>239</v>
      </c>
      <c r="H3" t="s">
        <v>830</v>
      </c>
      <c r="I3" s="72">
        <v>0.42</v>
      </c>
      <c r="K3" t="s">
        <v>0</v>
      </c>
      <c r="L3" s="188" t="s">
        <v>811</v>
      </c>
      <c r="M3" s="189" t="s">
        <v>812</v>
      </c>
      <c r="N3" s="189" t="s">
        <v>813</v>
      </c>
      <c r="O3" s="189" t="s">
        <v>814</v>
      </c>
      <c r="V3" t="s">
        <v>830</v>
      </c>
      <c r="W3" s="72">
        <v>0.42</v>
      </c>
      <c r="Y3" t="s">
        <v>0</v>
      </c>
      <c r="Z3" s="188" t="s">
        <v>811</v>
      </c>
      <c r="AA3" s="189" t="s">
        <v>812</v>
      </c>
      <c r="AB3" s="189" t="s">
        <v>813</v>
      </c>
      <c r="AC3" s="189" t="s">
        <v>814</v>
      </c>
    </row>
    <row r="4" spans="1:31" ht="15.75" thickBot="1" x14ac:dyDescent="0.3">
      <c r="A4" s="19"/>
      <c r="B4" s="18" t="s">
        <v>95</v>
      </c>
      <c r="C4" s="18" t="s">
        <v>95</v>
      </c>
      <c r="D4" s="17" t="s">
        <v>95</v>
      </c>
      <c r="H4" t="s">
        <v>831</v>
      </c>
      <c r="I4" s="72">
        <v>0.4</v>
      </c>
      <c r="K4" s="27">
        <f>O4*1000/$I$6/$I$4*$I$7</f>
        <v>24274800</v>
      </c>
      <c r="L4" s="190">
        <v>1</v>
      </c>
      <c r="M4" s="191" t="s">
        <v>815</v>
      </c>
      <c r="N4" s="191" t="s">
        <v>816</v>
      </c>
      <c r="O4" s="191">
        <v>5517</v>
      </c>
      <c r="V4" t="s">
        <v>831</v>
      </c>
      <c r="W4" s="72">
        <v>0.4</v>
      </c>
      <c r="Y4" s="27">
        <f>AC4*1000/$I$6/$I$4*$I$7</f>
        <v>24274800</v>
      </c>
      <c r="Z4" s="190">
        <v>1</v>
      </c>
      <c r="AA4" s="191" t="s">
        <v>815</v>
      </c>
      <c r="AB4" s="191" t="s">
        <v>816</v>
      </c>
      <c r="AC4" s="191">
        <v>5517</v>
      </c>
    </row>
    <row r="5" spans="1:31" ht="15.75" thickBot="1" x14ac:dyDescent="0.3">
      <c r="H5" t="s">
        <v>832</v>
      </c>
      <c r="I5" s="72">
        <v>0.51</v>
      </c>
      <c r="K5" s="27">
        <f>O5*1000/$I$6/$I$3*$I$7</f>
        <v>15236571.428571431</v>
      </c>
      <c r="L5" s="190">
        <v>2</v>
      </c>
      <c r="M5" s="191" t="s">
        <v>817</v>
      </c>
      <c r="N5" s="191" t="s">
        <v>816</v>
      </c>
      <c r="O5" s="191">
        <v>3636</v>
      </c>
      <c r="V5" t="s">
        <v>832</v>
      </c>
      <c r="W5" s="72">
        <v>0.51</v>
      </c>
      <c r="Y5" s="27">
        <f>AC5*1000/$I$6/$I$3*$I$7</f>
        <v>15236571.428571431</v>
      </c>
      <c r="Z5" s="190">
        <v>2</v>
      </c>
      <c r="AA5" s="191" t="s">
        <v>817</v>
      </c>
      <c r="AB5" s="191" t="s">
        <v>816</v>
      </c>
      <c r="AC5" s="191">
        <v>3636</v>
      </c>
    </row>
    <row r="6" spans="1:31" ht="15.75" thickBot="1" x14ac:dyDescent="0.3">
      <c r="A6" s="28" t="s">
        <v>109</v>
      </c>
      <c r="H6" t="s">
        <v>836</v>
      </c>
      <c r="I6" s="72">
        <v>0.5</v>
      </c>
      <c r="K6" s="27">
        <f>O6*1000/$I$6/$I$4*$I$7</f>
        <v>11664400</v>
      </c>
      <c r="L6" s="190">
        <v>3</v>
      </c>
      <c r="M6" s="191" t="s">
        <v>816</v>
      </c>
      <c r="N6" s="191" t="s">
        <v>818</v>
      </c>
      <c r="O6" s="191">
        <v>2651</v>
      </c>
      <c r="P6">
        <f>O6/O4</f>
        <v>0.48051477252129782</v>
      </c>
      <c r="Q6" t="s">
        <v>833</v>
      </c>
      <c r="V6" t="s">
        <v>836</v>
      </c>
      <c r="W6" s="72">
        <v>0.5</v>
      </c>
      <c r="Y6" s="27">
        <f>AC6*1000/$I$6/$I$4*$I$7</f>
        <v>11664400</v>
      </c>
      <c r="Z6" s="190">
        <v>3</v>
      </c>
      <c r="AA6" s="191" t="s">
        <v>816</v>
      </c>
      <c r="AB6" s="191" t="s">
        <v>818</v>
      </c>
      <c r="AC6" s="191">
        <v>2651</v>
      </c>
      <c r="AD6">
        <f>AC6/AC4</f>
        <v>0.48051477252129782</v>
      </c>
      <c r="AE6" t="s">
        <v>833</v>
      </c>
    </row>
    <row r="7" spans="1:31" ht="15.75" thickBot="1" x14ac:dyDescent="0.3">
      <c r="A7" s="23" t="s">
        <v>105</v>
      </c>
      <c r="B7" s="22" t="s">
        <v>104</v>
      </c>
      <c r="C7" s="22">
        <f>114+3.53*17</f>
        <v>174.01</v>
      </c>
      <c r="D7" s="67" t="s">
        <v>107</v>
      </c>
      <c r="E7" s="22"/>
      <c r="F7" s="21"/>
      <c r="H7" t="s">
        <v>843</v>
      </c>
      <c r="I7" s="72">
        <v>0.88</v>
      </c>
      <c r="J7" t="s">
        <v>838</v>
      </c>
      <c r="K7" s="27">
        <f>O7*1000/$I$6/((1-$K$16)*$I$3+$K$16*$I$4)*$I$7</f>
        <v>10058078.044132613</v>
      </c>
      <c r="L7" s="190">
        <v>4</v>
      </c>
      <c r="M7" s="191" t="s">
        <v>819</v>
      </c>
      <c r="N7" s="191" t="s">
        <v>820</v>
      </c>
      <c r="O7" s="191">
        <v>2330</v>
      </c>
      <c r="V7" t="s">
        <v>843</v>
      </c>
      <c r="W7" s="72">
        <v>0.88</v>
      </c>
      <c r="X7" t="s">
        <v>838</v>
      </c>
      <c r="Y7" s="27">
        <f>AC7*1000/$I$6/((1-$K$16)*$I$3+$K$16*$I$4)*$I$7</f>
        <v>10058078.044132613</v>
      </c>
      <c r="Z7" s="190">
        <v>4</v>
      </c>
      <c r="AA7" s="191" t="s">
        <v>819</v>
      </c>
      <c r="AB7" s="191" t="s">
        <v>820</v>
      </c>
      <c r="AC7" s="191">
        <v>2330</v>
      </c>
    </row>
    <row r="8" spans="1:31" ht="15.75" thickBot="1" x14ac:dyDescent="0.3">
      <c r="A8" s="20" t="s">
        <v>105</v>
      </c>
      <c r="B8" s="2" t="s">
        <v>104</v>
      </c>
      <c r="C8" s="43">
        <v>190</v>
      </c>
      <c r="D8" s="2" t="s">
        <v>103</v>
      </c>
      <c r="E8" s="2"/>
      <c r="F8" s="1"/>
      <c r="K8" s="27">
        <f>O8*1000/$I$6/$I$4*$I$7</f>
        <v>8338000</v>
      </c>
      <c r="L8" s="190">
        <v>5</v>
      </c>
      <c r="M8" s="191" t="s">
        <v>818</v>
      </c>
      <c r="N8" s="191" t="s">
        <v>821</v>
      </c>
      <c r="O8" s="191">
        <v>1895</v>
      </c>
      <c r="Y8" s="27">
        <f>AC8*1000/$I$6/$I$4*$I$7</f>
        <v>8338000</v>
      </c>
      <c r="Z8" s="190">
        <v>5</v>
      </c>
      <c r="AA8" s="191" t="s">
        <v>818</v>
      </c>
      <c r="AB8" s="191" t="s">
        <v>821</v>
      </c>
      <c r="AC8" s="191">
        <v>1895</v>
      </c>
    </row>
    <row r="9" spans="1:31" ht="15.75" thickBot="1" x14ac:dyDescent="0.3">
      <c r="A9" s="20" t="s">
        <v>342</v>
      </c>
      <c r="B9" s="2"/>
      <c r="C9" s="16">
        <f>336/284</f>
        <v>1.1830985915492958</v>
      </c>
      <c r="E9" s="2"/>
      <c r="F9" s="1"/>
      <c r="K9" s="27">
        <f>O9*1000/$I$6/$I$3*$I$7</f>
        <v>7320761.9047619049</v>
      </c>
      <c r="L9" s="190">
        <v>6</v>
      </c>
      <c r="M9" s="191" t="s">
        <v>816</v>
      </c>
      <c r="N9" s="191" t="s">
        <v>822</v>
      </c>
      <c r="O9" s="191">
        <v>1747</v>
      </c>
      <c r="P9">
        <f>O9/O5</f>
        <v>0.48047304730473045</v>
      </c>
      <c r="Q9" t="s">
        <v>833</v>
      </c>
      <c r="Y9" s="27">
        <f>AC9*1000/$I$6/$I$3*$I$7</f>
        <v>7320761.9047619049</v>
      </c>
      <c r="Z9" s="190">
        <v>6</v>
      </c>
      <c r="AA9" s="191" t="s">
        <v>816</v>
      </c>
      <c r="AB9" s="191" t="s">
        <v>822</v>
      </c>
      <c r="AC9" s="191">
        <v>1747</v>
      </c>
      <c r="AD9">
        <f>AC9/AC5</f>
        <v>0.48047304730473045</v>
      </c>
      <c r="AE9" t="s">
        <v>833</v>
      </c>
    </row>
    <row r="10" spans="1:31" ht="15.75" thickBot="1" x14ac:dyDescent="0.3">
      <c r="A10" s="20" t="s">
        <v>100</v>
      </c>
      <c r="B10" s="2" t="s">
        <v>99</v>
      </c>
      <c r="C10" s="2">
        <v>20</v>
      </c>
      <c r="E10" s="2"/>
      <c r="F10" s="1"/>
      <c r="K10" s="27">
        <f>O10*1000/$I$6/$I$4*$I$7</f>
        <v>7378800</v>
      </c>
      <c r="L10" s="190">
        <v>7</v>
      </c>
      <c r="M10" s="191" t="s">
        <v>821</v>
      </c>
      <c r="N10" s="191" t="s">
        <v>823</v>
      </c>
      <c r="O10" s="191">
        <v>1677</v>
      </c>
      <c r="Y10" s="27">
        <f>AC10*1000/$I$6/$I$4*$I$7</f>
        <v>7378800</v>
      </c>
      <c r="Z10" s="190">
        <v>7</v>
      </c>
      <c r="AA10" s="191" t="s">
        <v>821</v>
      </c>
      <c r="AB10" s="191" t="s">
        <v>823</v>
      </c>
      <c r="AC10" s="191">
        <v>1677</v>
      </c>
    </row>
    <row r="11" spans="1:31" ht="15.75" thickBot="1" x14ac:dyDescent="0.3">
      <c r="A11" s="20" t="s">
        <v>96</v>
      </c>
      <c r="B11" s="2" t="s">
        <v>95</v>
      </c>
      <c r="C11" s="2">
        <v>61</v>
      </c>
      <c r="D11" s="2"/>
      <c r="E11" s="2"/>
      <c r="F11" s="1"/>
      <c r="J11" t="s">
        <v>838</v>
      </c>
      <c r="K11" s="27">
        <f>O11*1000/$I$6/((1-$K$16)*$I$3+$K$16*$I$4)*$I$7</f>
        <v>7032021.0875073085</v>
      </c>
      <c r="L11" s="190">
        <v>8</v>
      </c>
      <c r="M11" s="191" t="s">
        <v>816</v>
      </c>
      <c r="N11" s="191" t="s">
        <v>824</v>
      </c>
      <c r="O11" s="191">
        <v>1629</v>
      </c>
      <c r="X11" t="s">
        <v>838</v>
      </c>
      <c r="Y11" s="27">
        <f>AC11*1000/$I$6/((1-$K$16)*$I$3+$K$16*$I$4)*$I$7</f>
        <v>7032021.0875073085</v>
      </c>
      <c r="Z11" s="190">
        <v>8</v>
      </c>
      <c r="AA11" s="191" t="s">
        <v>816</v>
      </c>
      <c r="AB11" s="191" t="s">
        <v>824</v>
      </c>
      <c r="AC11" s="191">
        <v>1629</v>
      </c>
    </row>
    <row r="12" spans="1:31" ht="15.75" thickBot="1" x14ac:dyDescent="0.3">
      <c r="A12" s="20" t="s">
        <v>98</v>
      </c>
      <c r="B12" s="2"/>
      <c r="C12" s="2">
        <v>0.06</v>
      </c>
      <c r="D12" s="2"/>
      <c r="E12" s="2"/>
      <c r="F12" s="1"/>
      <c r="K12" s="27">
        <f>O12*1000/$I$6/$I$4*$I$7*O8/O12</f>
        <v>8338000</v>
      </c>
      <c r="L12" s="190">
        <v>9</v>
      </c>
      <c r="M12" s="191" t="s">
        <v>823</v>
      </c>
      <c r="N12" s="191" t="s">
        <v>113</v>
      </c>
      <c r="O12" s="191">
        <v>1274</v>
      </c>
      <c r="Y12" s="27">
        <f>AC12*1000/$I$6/$I$4*$I$7*AC8/AC12</f>
        <v>8338000</v>
      </c>
      <c r="Z12" s="190">
        <v>9</v>
      </c>
      <c r="AA12" s="191" t="s">
        <v>823</v>
      </c>
      <c r="AB12" s="191" t="s">
        <v>113</v>
      </c>
      <c r="AC12" s="191">
        <v>1274</v>
      </c>
    </row>
    <row r="13" spans="1:31" ht="15.75" thickBot="1" x14ac:dyDescent="0.3">
      <c r="A13" s="20" t="s">
        <v>92</v>
      </c>
      <c r="B13" s="2" t="s">
        <v>95</v>
      </c>
      <c r="C13" s="43">
        <f>-PV(C12,C10,C11)*C9</f>
        <v>827.77290597082265</v>
      </c>
      <c r="D13" s="2"/>
      <c r="E13" s="2"/>
      <c r="F13" s="1"/>
      <c r="K13" s="27">
        <f>O13*1000/$I$6/$I$3*$I$7</f>
        <v>5137523.8095238097</v>
      </c>
      <c r="L13" s="190">
        <v>10</v>
      </c>
      <c r="M13" s="191" t="s">
        <v>822</v>
      </c>
      <c r="N13" s="191" t="s">
        <v>113</v>
      </c>
      <c r="O13" s="191">
        <v>1226</v>
      </c>
      <c r="Y13" s="27">
        <f>AC13*1000/$I$6/$I$3*$I$7</f>
        <v>5137523.8095238097</v>
      </c>
      <c r="Z13" s="190">
        <v>10</v>
      </c>
      <c r="AA13" s="191" t="s">
        <v>822</v>
      </c>
      <c r="AB13" s="191" t="s">
        <v>113</v>
      </c>
      <c r="AC13" s="191">
        <v>1226</v>
      </c>
    </row>
    <row r="14" spans="1:31" ht="15.75" thickBot="1" x14ac:dyDescent="0.3">
      <c r="A14" s="20" t="s">
        <v>235</v>
      </c>
      <c r="B14" s="2" t="s">
        <v>95</v>
      </c>
      <c r="C14" s="3">
        <f>(247+14)*C9</f>
        <v>308.78873239436621</v>
      </c>
      <c r="D14" s="2"/>
      <c r="E14" s="2"/>
      <c r="F14" s="1"/>
      <c r="J14" t="s">
        <v>838</v>
      </c>
      <c r="K14" s="27">
        <f>O14*1000/$I$6/((1-$K$16)*$I$3+$K$16*$I$4)*$I$7</f>
        <v>4644846.3414105978</v>
      </c>
      <c r="L14" s="190">
        <v>11</v>
      </c>
      <c r="M14" s="191" t="s">
        <v>825</v>
      </c>
      <c r="N14" s="191" t="s">
        <v>826</v>
      </c>
      <c r="O14" s="191">
        <v>1076</v>
      </c>
      <c r="X14" t="s">
        <v>838</v>
      </c>
      <c r="Y14" s="27">
        <f>AC14*1000/$I$6/((1-$K$16)*$I$3+$K$16*$I$4)*$I$7</f>
        <v>4644846.3414105978</v>
      </c>
      <c r="Z14" s="190">
        <v>11</v>
      </c>
      <c r="AA14" s="191" t="s">
        <v>825</v>
      </c>
      <c r="AB14" s="191" t="s">
        <v>826</v>
      </c>
      <c r="AC14" s="191">
        <v>1076</v>
      </c>
    </row>
    <row r="15" spans="1:31" ht="15.75" thickBot="1" x14ac:dyDescent="0.3">
      <c r="A15" s="61" t="s">
        <v>239</v>
      </c>
      <c r="B15" s="2" t="s">
        <v>95</v>
      </c>
      <c r="C15" s="103">
        <f>(161+95)*C9</f>
        <v>302.87323943661971</v>
      </c>
      <c r="D15" s="2"/>
      <c r="E15" s="2"/>
      <c r="F15" s="1"/>
      <c r="J15" t="s">
        <v>838</v>
      </c>
      <c r="K15" s="27">
        <f>O15*1000/$I$6/((1-$K$16)*$I$3+$K$16*$I$4)*$I$7</f>
        <v>3634721.7653045752</v>
      </c>
      <c r="L15" s="190">
        <v>12</v>
      </c>
      <c r="M15" s="191" t="s">
        <v>827</v>
      </c>
      <c r="N15" s="191" t="s">
        <v>828</v>
      </c>
      <c r="O15" s="191">
        <v>842</v>
      </c>
      <c r="X15" t="s">
        <v>838</v>
      </c>
      <c r="Y15" s="27">
        <f>AC15*1000/$I$6/((1-$K$16)*$I$3+$K$16*$I$4)*$I$7</f>
        <v>3634721.7653045752</v>
      </c>
      <c r="Z15" s="190">
        <v>12</v>
      </c>
      <c r="AA15" s="191" t="s">
        <v>827</v>
      </c>
      <c r="AB15" s="191" t="s">
        <v>828</v>
      </c>
      <c r="AC15" s="191">
        <v>842</v>
      </c>
    </row>
    <row r="16" spans="1:31" x14ac:dyDescent="0.25">
      <c r="A16" s="20"/>
      <c r="B16" s="2"/>
      <c r="C16" s="2"/>
      <c r="D16" s="2"/>
      <c r="E16" s="2"/>
      <c r="F16" s="1"/>
      <c r="J16" t="s">
        <v>839</v>
      </c>
      <c r="K16" s="70">
        <f>K6/(K6+K9)</f>
        <v>0.61439560318283659</v>
      </c>
      <c r="N16" s="192" t="s">
        <v>840</v>
      </c>
      <c r="O16">
        <f>O4+O5</f>
        <v>9153</v>
      </c>
      <c r="P16">
        <f>O6+O9</f>
        <v>4398</v>
      </c>
      <c r="Q16" t="s">
        <v>834</v>
      </c>
      <c r="X16" t="s">
        <v>839</v>
      </c>
      <c r="Y16" s="70">
        <f>Y6/(Y6+Y9)</f>
        <v>0.61439560318283659</v>
      </c>
      <c r="AB16" s="192" t="s">
        <v>840</v>
      </c>
      <c r="AC16">
        <f>AC4+AC5</f>
        <v>9153</v>
      </c>
      <c r="AD16">
        <f>AC6+AC9</f>
        <v>4398</v>
      </c>
      <c r="AE16" t="s">
        <v>834</v>
      </c>
    </row>
    <row r="17" spans="1:31" x14ac:dyDescent="0.25">
      <c r="D17" s="2"/>
      <c r="E17" s="2"/>
      <c r="F17" s="1"/>
      <c r="I17" t="s">
        <v>842</v>
      </c>
      <c r="K17" s="27">
        <f>K4+K5</f>
        <v>39511371.428571433</v>
      </c>
      <c r="N17" s="192" t="s">
        <v>841</v>
      </c>
      <c r="O17">
        <f>O7+O11+O12+O13+O14+O15+O6-O8</f>
        <v>9133</v>
      </c>
      <c r="P17">
        <f>O12+O13+O14</f>
        <v>3576</v>
      </c>
      <c r="Q17" t="s">
        <v>835</v>
      </c>
      <c r="W17" t="s">
        <v>842</v>
      </c>
      <c r="Y17" s="27">
        <f>Y4+Y5</f>
        <v>39511371.428571433</v>
      </c>
      <c r="AB17" s="192" t="s">
        <v>841</v>
      </c>
      <c r="AC17">
        <f>AC7+AC11+AC12+AC13+AC14+AC15+(AC6-AC8)</f>
        <v>9133</v>
      </c>
      <c r="AD17">
        <f>AC12+AC13+AC14+(AC6-AC8)</f>
        <v>4332</v>
      </c>
      <c r="AE17" t="s">
        <v>835</v>
      </c>
    </row>
    <row r="18" spans="1:31" x14ac:dyDescent="0.25">
      <c r="A18" s="20"/>
      <c r="B18" s="2"/>
      <c r="C18" s="2"/>
      <c r="D18" s="2"/>
      <c r="E18" s="2"/>
      <c r="F18" s="1"/>
      <c r="H18" t="s">
        <v>845</v>
      </c>
      <c r="J18" s="28" t="s">
        <v>701</v>
      </c>
      <c r="K18" s="183">
        <f>K7/K$17</f>
        <v>0.25456160291260915</v>
      </c>
      <c r="N18" s="192" t="s">
        <v>844</v>
      </c>
      <c r="O18">
        <f>O16-O17</f>
        <v>20</v>
      </c>
      <c r="P18">
        <f>P16-P17</f>
        <v>822</v>
      </c>
      <c r="Q18" t="s">
        <v>837</v>
      </c>
      <c r="V18" t="s">
        <v>845</v>
      </c>
      <c r="X18" s="28" t="s">
        <v>701</v>
      </c>
      <c r="Y18" s="183">
        <f>Y7/Y$17</f>
        <v>0.25456160291260915</v>
      </c>
      <c r="AB18" s="192" t="s">
        <v>844</v>
      </c>
      <c r="AC18">
        <f>AC16-AC17</f>
        <v>20</v>
      </c>
      <c r="AD18">
        <f>AD16-AD17</f>
        <v>66</v>
      </c>
      <c r="AE18" t="s">
        <v>837</v>
      </c>
    </row>
    <row r="19" spans="1:31" x14ac:dyDescent="0.25">
      <c r="A19" s="20"/>
      <c r="B19" s="2"/>
      <c r="C19" s="2"/>
      <c r="D19" s="2"/>
      <c r="E19" s="2"/>
      <c r="F19" s="1"/>
      <c r="H19" t="s">
        <v>845</v>
      </c>
      <c r="J19" s="28" t="s">
        <v>846</v>
      </c>
      <c r="K19" s="183">
        <f>K11/K$17</f>
        <v>0.17797461422516755</v>
      </c>
      <c r="V19" t="s">
        <v>845</v>
      </c>
      <c r="X19" s="28" t="s">
        <v>846</v>
      </c>
      <c r="Y19" s="183">
        <f>Y11/Y$17</f>
        <v>0.17797461422516755</v>
      </c>
    </row>
    <row r="20" spans="1:31" x14ac:dyDescent="0.25">
      <c r="A20" s="20"/>
      <c r="B20" s="2"/>
      <c r="C20" s="2"/>
      <c r="D20" s="2"/>
      <c r="E20" s="2"/>
      <c r="F20" s="1"/>
      <c r="H20" t="s">
        <v>848</v>
      </c>
      <c r="J20" s="66" t="s">
        <v>847</v>
      </c>
      <c r="K20" s="194">
        <f>(K12+K13+K14)/K$17</f>
        <v>0.45861152108304742</v>
      </c>
      <c r="V20" t="s">
        <v>848</v>
      </c>
      <c r="X20" s="66" t="s">
        <v>847</v>
      </c>
      <c r="Y20" s="194">
        <f>(Y6+Y9)/Y17</f>
        <v>0.48049868223590353</v>
      </c>
      <c r="AA20" s="199"/>
    </row>
    <row r="21" spans="1:31" x14ac:dyDescent="0.25">
      <c r="A21" s="20"/>
      <c r="B21" s="2"/>
      <c r="C21" s="2"/>
      <c r="D21" s="2"/>
      <c r="E21" s="2"/>
      <c r="F21" s="1"/>
      <c r="J21" t="s">
        <v>310</v>
      </c>
      <c r="K21" s="193">
        <f>K18+K19+K20</f>
        <v>0.89114773822082416</v>
      </c>
      <c r="X21" t="s">
        <v>310</v>
      </c>
      <c r="Y21" s="193">
        <f>Y18+Y19+Y20</f>
        <v>0.91303489937368021</v>
      </c>
    </row>
    <row r="22" spans="1:31" x14ac:dyDescent="0.25">
      <c r="A22" s="20"/>
      <c r="B22" s="2"/>
      <c r="C22" s="2"/>
      <c r="D22" s="2"/>
      <c r="E22" s="2"/>
      <c r="F22" s="1"/>
    </row>
    <row r="23" spans="1:31" x14ac:dyDescent="0.25">
      <c r="A23" s="20"/>
      <c r="B23" s="2"/>
      <c r="C23" s="2"/>
      <c r="D23" s="2"/>
      <c r="E23" s="2"/>
      <c r="F23" s="1"/>
    </row>
    <row r="24" spans="1:31" x14ac:dyDescent="0.25">
      <c r="A24" s="20"/>
      <c r="B24" s="2"/>
      <c r="C24" s="2"/>
      <c r="D24" s="2"/>
      <c r="E24" s="2"/>
      <c r="F24" s="1"/>
    </row>
    <row r="25" spans="1:31" x14ac:dyDescent="0.25">
      <c r="A25" s="20"/>
      <c r="B25" s="2"/>
      <c r="C25" s="2"/>
      <c r="D25" s="2"/>
      <c r="E25" s="2"/>
      <c r="F25" s="1"/>
    </row>
    <row r="26" spans="1:31" x14ac:dyDescent="0.25">
      <c r="A26" s="20"/>
      <c r="B26" s="2"/>
      <c r="C26" s="2"/>
      <c r="D26" s="2"/>
      <c r="E26" s="2"/>
      <c r="F26" s="1"/>
    </row>
    <row r="27" spans="1:31" x14ac:dyDescent="0.25">
      <c r="A27" s="20"/>
      <c r="B27" s="2"/>
      <c r="C27" s="2"/>
      <c r="D27" s="2"/>
      <c r="E27" s="2"/>
      <c r="F27" s="1"/>
    </row>
    <row r="28" spans="1:31" x14ac:dyDescent="0.25">
      <c r="A28" s="20"/>
      <c r="B28" s="2"/>
      <c r="C28" s="2"/>
      <c r="D28" s="2"/>
      <c r="E28" s="2"/>
      <c r="F28" s="1"/>
    </row>
    <row r="29" spans="1:31" x14ac:dyDescent="0.25">
      <c r="A29" s="20"/>
      <c r="B29" s="2"/>
      <c r="C29" s="2"/>
      <c r="D29" s="2"/>
      <c r="E29" s="2"/>
      <c r="F29" s="1"/>
    </row>
    <row r="30" spans="1:31" x14ac:dyDescent="0.25">
      <c r="A30" s="20"/>
      <c r="B30" s="2"/>
      <c r="C30" s="2"/>
      <c r="D30" s="2"/>
      <c r="E30" s="2"/>
      <c r="F30" s="1"/>
    </row>
    <row r="31" spans="1:31" x14ac:dyDescent="0.25">
      <c r="A31" s="20"/>
      <c r="B31" s="2"/>
      <c r="C31" s="2"/>
      <c r="D31" s="2"/>
      <c r="E31" s="2"/>
      <c r="F31" s="1"/>
    </row>
    <row r="32" spans="1:31" x14ac:dyDescent="0.25">
      <c r="A32" s="20"/>
      <c r="B32" s="2"/>
      <c r="C32" s="2"/>
      <c r="D32" s="2"/>
      <c r="E32" s="2"/>
      <c r="F32" s="1"/>
    </row>
    <row r="33" spans="1:6" x14ac:dyDescent="0.25">
      <c r="A33" s="20"/>
      <c r="B33" s="2"/>
      <c r="C33" s="2"/>
      <c r="D33" s="2"/>
      <c r="E33" s="2"/>
      <c r="F33" s="1"/>
    </row>
    <row r="34" spans="1:6" x14ac:dyDescent="0.25">
      <c r="A34" s="20"/>
      <c r="B34" s="2"/>
      <c r="C34" s="2"/>
      <c r="D34" s="2"/>
      <c r="E34" s="2"/>
      <c r="F34" s="1"/>
    </row>
    <row r="35" spans="1:6" x14ac:dyDescent="0.25">
      <c r="A35" s="20"/>
      <c r="B35" s="2"/>
      <c r="C35" s="2"/>
      <c r="D35" s="2"/>
      <c r="E35" s="2"/>
      <c r="F35" s="1"/>
    </row>
    <row r="36" spans="1:6" x14ac:dyDescent="0.25">
      <c r="A36" s="20"/>
      <c r="B36" s="2"/>
      <c r="C36" s="2"/>
      <c r="D36" s="2"/>
      <c r="E36" s="2"/>
      <c r="F36" s="1"/>
    </row>
    <row r="37" spans="1:6" x14ac:dyDescent="0.25">
      <c r="A37" s="20"/>
      <c r="B37" s="2"/>
      <c r="C37" s="2"/>
      <c r="D37" s="2"/>
      <c r="E37" s="2"/>
      <c r="F37" s="1"/>
    </row>
    <row r="38" spans="1:6" x14ac:dyDescent="0.25">
      <c r="A38" s="20"/>
      <c r="B38" s="2"/>
      <c r="C38" s="2"/>
      <c r="D38" s="2"/>
      <c r="E38" s="2"/>
      <c r="F38" s="1"/>
    </row>
    <row r="39" spans="1:6" x14ac:dyDescent="0.25">
      <c r="A39" s="20"/>
      <c r="B39" s="2"/>
      <c r="C39" s="2"/>
      <c r="D39" s="2"/>
      <c r="E39" s="2"/>
      <c r="F39" s="1"/>
    </row>
    <row r="40" spans="1:6" x14ac:dyDescent="0.25">
      <c r="A40" s="20"/>
      <c r="B40" s="2"/>
      <c r="C40" s="2"/>
      <c r="D40" s="2"/>
      <c r="E40" s="2"/>
      <c r="F40" s="1"/>
    </row>
    <row r="41" spans="1:6" x14ac:dyDescent="0.25">
      <c r="A41" s="20"/>
      <c r="B41" s="2"/>
      <c r="C41" s="2"/>
      <c r="D41" s="2"/>
      <c r="E41" s="2"/>
      <c r="F41" s="1"/>
    </row>
    <row r="42" spans="1:6" x14ac:dyDescent="0.25">
      <c r="A42" s="19"/>
      <c r="B42" s="18"/>
      <c r="C42" s="18"/>
      <c r="D42" s="18"/>
      <c r="E42" s="18"/>
      <c r="F42" s="17"/>
    </row>
  </sheetData>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85579-5051-42E7-BE2C-10ADD491C9E6}">
  <dimension ref="A1:AE42"/>
  <sheetViews>
    <sheetView tabSelected="1" topLeftCell="A7" zoomScaleNormal="100" workbookViewId="0">
      <selection activeCell="C14" sqref="C14"/>
    </sheetView>
  </sheetViews>
  <sheetFormatPr defaultRowHeight="15" x14ac:dyDescent="0.25"/>
  <cols>
    <col min="1" max="1" width="38.140625" customWidth="1"/>
    <col min="2" max="2" width="29.42578125" customWidth="1"/>
    <col min="3" max="3" width="30.7109375" customWidth="1"/>
    <col min="4" max="4" width="17.42578125" customWidth="1"/>
    <col min="11" max="11" width="11.85546875" customWidth="1"/>
    <col min="12" max="12" width="4.85546875" customWidth="1"/>
    <col min="13" max="14" width="18" customWidth="1"/>
    <col min="25" max="25" width="11.85546875" customWidth="1"/>
    <col min="26" max="26" width="4.85546875" customWidth="1"/>
    <col min="27" max="28" width="18" customWidth="1"/>
  </cols>
  <sheetData>
    <row r="1" spans="1:31" x14ac:dyDescent="0.25">
      <c r="A1" s="28" t="s">
        <v>850</v>
      </c>
      <c r="H1" s="28" t="s">
        <v>851</v>
      </c>
    </row>
    <row r="2" spans="1:31" ht="15.75" thickBot="1" x14ac:dyDescent="0.3">
      <c r="A2" s="23" t="s">
        <v>849</v>
      </c>
      <c r="B2" s="195">
        <f>C13</f>
        <v>791.42456408100315</v>
      </c>
      <c r="C2" s="196">
        <f>C14</f>
        <v>529</v>
      </c>
      <c r="D2" s="197">
        <f>C15</f>
        <v>264</v>
      </c>
      <c r="I2" t="s">
        <v>829</v>
      </c>
      <c r="W2" t="s">
        <v>829</v>
      </c>
    </row>
    <row r="3" spans="1:31" ht="15.75" thickBot="1" x14ac:dyDescent="0.3">
      <c r="A3" s="20"/>
      <c r="B3" s="68" t="s">
        <v>92</v>
      </c>
      <c r="C3" s="68" t="s">
        <v>853</v>
      </c>
      <c r="D3" s="198" t="s">
        <v>239</v>
      </c>
      <c r="H3" t="s">
        <v>830</v>
      </c>
      <c r="I3" s="72">
        <v>0.42</v>
      </c>
      <c r="K3" t="s">
        <v>0</v>
      </c>
      <c r="L3" s="188" t="s">
        <v>811</v>
      </c>
      <c r="M3" s="189" t="s">
        <v>812</v>
      </c>
      <c r="N3" s="189" t="s">
        <v>813</v>
      </c>
      <c r="O3" s="189" t="s">
        <v>814</v>
      </c>
      <c r="V3" t="s">
        <v>830</v>
      </c>
      <c r="W3" s="72">
        <v>0.42</v>
      </c>
      <c r="Y3" t="s">
        <v>0</v>
      </c>
      <c r="Z3" s="188" t="s">
        <v>811</v>
      </c>
      <c r="AA3" s="189" t="s">
        <v>812</v>
      </c>
      <c r="AB3" s="189" t="s">
        <v>813</v>
      </c>
      <c r="AC3" s="189" t="s">
        <v>814</v>
      </c>
    </row>
    <row r="4" spans="1:31" ht="15.75" thickBot="1" x14ac:dyDescent="0.3">
      <c r="A4" s="19"/>
      <c r="B4" s="18" t="s">
        <v>95</v>
      </c>
      <c r="C4" s="18" t="s">
        <v>95</v>
      </c>
      <c r="D4" s="17" t="s">
        <v>95</v>
      </c>
      <c r="H4" t="s">
        <v>831</v>
      </c>
      <c r="I4" s="72">
        <v>0.4</v>
      </c>
      <c r="K4" s="27">
        <f>O4*1000/$I$6/$I$4*$I$7</f>
        <v>24274800</v>
      </c>
      <c r="L4" s="190">
        <v>1</v>
      </c>
      <c r="M4" s="191" t="s">
        <v>815</v>
      </c>
      <c r="N4" s="191" t="s">
        <v>816</v>
      </c>
      <c r="O4" s="191">
        <v>5517</v>
      </c>
      <c r="V4" t="s">
        <v>831</v>
      </c>
      <c r="W4" s="72">
        <v>0.4</v>
      </c>
      <c r="Y4" s="27">
        <f>AC4*1000/$I$6/$I$4*$I$7</f>
        <v>24274800</v>
      </c>
      <c r="Z4" s="190">
        <v>1</v>
      </c>
      <c r="AA4" s="191" t="s">
        <v>815</v>
      </c>
      <c r="AB4" s="191" t="s">
        <v>816</v>
      </c>
      <c r="AC4" s="191">
        <v>5517</v>
      </c>
    </row>
    <row r="5" spans="1:31" ht="15.75" thickBot="1" x14ac:dyDescent="0.3">
      <c r="H5" t="s">
        <v>832</v>
      </c>
      <c r="I5" s="72">
        <v>0.51</v>
      </c>
      <c r="K5" s="27">
        <f>O5*1000/$I$6/$I$3*$I$7</f>
        <v>15236571.428571431</v>
      </c>
      <c r="L5" s="190">
        <v>2</v>
      </c>
      <c r="M5" s="191" t="s">
        <v>817</v>
      </c>
      <c r="N5" s="191" t="s">
        <v>816</v>
      </c>
      <c r="O5" s="191">
        <v>3636</v>
      </c>
      <c r="V5" t="s">
        <v>832</v>
      </c>
      <c r="W5" s="72">
        <v>0.51</v>
      </c>
      <c r="Y5" s="27">
        <f>AC5*1000/$I$6/$I$3*$I$7</f>
        <v>15236571.428571431</v>
      </c>
      <c r="Z5" s="190">
        <v>2</v>
      </c>
      <c r="AA5" s="191" t="s">
        <v>817</v>
      </c>
      <c r="AB5" s="191" t="s">
        <v>816</v>
      </c>
      <c r="AC5" s="191">
        <v>3636</v>
      </c>
    </row>
    <row r="6" spans="1:31" ht="15.75" thickBot="1" x14ac:dyDescent="0.3">
      <c r="A6" s="28" t="s">
        <v>852</v>
      </c>
      <c r="H6" t="s">
        <v>836</v>
      </c>
      <c r="I6" s="72">
        <v>0.5</v>
      </c>
      <c r="K6" s="27">
        <f>O6*1000/$I$6/$I$4*$I$7</f>
        <v>11664400</v>
      </c>
      <c r="L6" s="190">
        <v>3</v>
      </c>
      <c r="M6" s="191" t="s">
        <v>816</v>
      </c>
      <c r="N6" s="191" t="s">
        <v>818</v>
      </c>
      <c r="O6" s="191">
        <v>2651</v>
      </c>
      <c r="P6">
        <f>O6/O4</f>
        <v>0.48051477252129782</v>
      </c>
      <c r="Q6" t="s">
        <v>833</v>
      </c>
      <c r="V6" t="s">
        <v>836</v>
      </c>
      <c r="W6" s="72">
        <v>0.5</v>
      </c>
      <c r="Y6" s="27">
        <f>AC6*1000/$I$6/$I$4*$I$7</f>
        <v>11664400</v>
      </c>
      <c r="Z6" s="190">
        <v>3</v>
      </c>
      <c r="AA6" s="191" t="s">
        <v>816</v>
      </c>
      <c r="AB6" s="191" t="s">
        <v>818</v>
      </c>
      <c r="AC6" s="191">
        <v>2651</v>
      </c>
      <c r="AD6">
        <f>AC6/AC4</f>
        <v>0.48051477252129782</v>
      </c>
      <c r="AE6" t="s">
        <v>833</v>
      </c>
    </row>
    <row r="7" spans="1:31" ht="15.75" thickBot="1" x14ac:dyDescent="0.3">
      <c r="A7" s="23" t="s">
        <v>105</v>
      </c>
      <c r="B7" s="22" t="s">
        <v>104</v>
      </c>
      <c r="C7" s="22"/>
      <c r="D7" s="67"/>
      <c r="E7" s="22"/>
      <c r="F7" s="21"/>
      <c r="H7" t="s">
        <v>843</v>
      </c>
      <c r="I7" s="72">
        <v>0.88</v>
      </c>
      <c r="J7" t="s">
        <v>838</v>
      </c>
      <c r="K7" s="27">
        <f>O7*1000/$I$6/((1-$K$16)*$I$3+$K$16*$I$4)*$I$7</f>
        <v>10058078.044132613</v>
      </c>
      <c r="L7" s="190">
        <v>4</v>
      </c>
      <c r="M7" s="191" t="s">
        <v>819</v>
      </c>
      <c r="N7" s="191" t="s">
        <v>820</v>
      </c>
      <c r="O7" s="191">
        <v>2330</v>
      </c>
      <c r="V7" t="s">
        <v>843</v>
      </c>
      <c r="W7" s="72">
        <v>0.88</v>
      </c>
      <c r="X7" t="s">
        <v>838</v>
      </c>
      <c r="Y7" s="27">
        <f>AC7*1000/$I$6/((1-$K$16)*$I$3+$K$16*$I$4)*$I$7</f>
        <v>10058078.044132613</v>
      </c>
      <c r="Z7" s="190">
        <v>4</v>
      </c>
      <c r="AA7" s="191" t="s">
        <v>819</v>
      </c>
      <c r="AB7" s="191" t="s">
        <v>820</v>
      </c>
      <c r="AC7" s="191">
        <v>2330</v>
      </c>
    </row>
    <row r="8" spans="1:31" ht="15.75" thickBot="1" x14ac:dyDescent="0.3">
      <c r="A8" s="20" t="s">
        <v>105</v>
      </c>
      <c r="B8" s="2" t="s">
        <v>104</v>
      </c>
      <c r="C8" s="43"/>
      <c r="D8" s="2"/>
      <c r="E8" s="2"/>
      <c r="F8" s="1"/>
      <c r="K8" s="27">
        <f>O8*1000/$I$6/$I$4*$I$7</f>
        <v>8338000</v>
      </c>
      <c r="L8" s="190">
        <v>5</v>
      </c>
      <c r="M8" s="191" t="s">
        <v>818</v>
      </c>
      <c r="N8" s="191" t="s">
        <v>821</v>
      </c>
      <c r="O8" s="191">
        <v>1895</v>
      </c>
      <c r="Y8" s="27">
        <f>AC8*1000/$I$6/$I$4*$I$7</f>
        <v>8338000</v>
      </c>
      <c r="Z8" s="190">
        <v>5</v>
      </c>
      <c r="AA8" s="191" t="s">
        <v>818</v>
      </c>
      <c r="AB8" s="191" t="s">
        <v>821</v>
      </c>
      <c r="AC8" s="191">
        <v>1895</v>
      </c>
    </row>
    <row r="9" spans="1:31" ht="15.75" thickBot="1" x14ac:dyDescent="0.3">
      <c r="A9" s="20" t="s">
        <v>342</v>
      </c>
      <c r="B9" s="2"/>
      <c r="C9" s="16">
        <f>336/284</f>
        <v>1.1830985915492958</v>
      </c>
      <c r="E9" s="2"/>
      <c r="F9" s="1"/>
      <c r="K9" s="27">
        <f>O9*1000/$I$6/$I$3*$I$7</f>
        <v>7320761.9047619049</v>
      </c>
      <c r="L9" s="190">
        <v>6</v>
      </c>
      <c r="M9" s="191" t="s">
        <v>816</v>
      </c>
      <c r="N9" s="191" t="s">
        <v>822</v>
      </c>
      <c r="O9" s="191">
        <v>1747</v>
      </c>
      <c r="P9">
        <f>O9/O5</f>
        <v>0.48047304730473045</v>
      </c>
      <c r="Q9" t="s">
        <v>833</v>
      </c>
      <c r="Y9" s="27">
        <f>AC9*1000/$I$6/$I$3*$I$7</f>
        <v>7320761.9047619049</v>
      </c>
      <c r="Z9" s="190">
        <v>6</v>
      </c>
      <c r="AA9" s="191" t="s">
        <v>816</v>
      </c>
      <c r="AB9" s="191" t="s">
        <v>822</v>
      </c>
      <c r="AC9" s="191">
        <v>1747</v>
      </c>
      <c r="AD9">
        <f>AC9/AC5</f>
        <v>0.48047304730473045</v>
      </c>
      <c r="AE9" t="s">
        <v>833</v>
      </c>
    </row>
    <row r="10" spans="1:31" ht="15.75" thickBot="1" x14ac:dyDescent="0.3">
      <c r="A10" s="20" t="s">
        <v>100</v>
      </c>
      <c r="B10" s="2" t="s">
        <v>99</v>
      </c>
      <c r="C10" s="2">
        <v>20</v>
      </c>
      <c r="E10" s="2"/>
      <c r="F10" s="1"/>
      <c r="K10" s="27">
        <f>O10*1000/$I$6/$I$4*$I$7</f>
        <v>7378800</v>
      </c>
      <c r="L10" s="190">
        <v>7</v>
      </c>
      <c r="M10" s="191" t="s">
        <v>821</v>
      </c>
      <c r="N10" s="191" t="s">
        <v>823</v>
      </c>
      <c r="O10" s="191">
        <v>1677</v>
      </c>
      <c r="Y10" s="27">
        <f>AC10*1000/$I$6/$I$4*$I$7</f>
        <v>7378800</v>
      </c>
      <c r="Z10" s="190">
        <v>7</v>
      </c>
      <c r="AA10" s="191" t="s">
        <v>821</v>
      </c>
      <c r="AB10" s="191" t="s">
        <v>823</v>
      </c>
      <c r="AC10" s="191">
        <v>1677</v>
      </c>
    </row>
    <row r="11" spans="1:31" ht="15.75" thickBot="1" x14ac:dyDescent="0.3">
      <c r="A11" s="20" t="s">
        <v>96</v>
      </c>
      <c r="B11" s="2" t="s">
        <v>95</v>
      </c>
      <c r="C11" s="2">
        <f>6.9*10</f>
        <v>69</v>
      </c>
      <c r="D11" s="2"/>
      <c r="E11" s="2"/>
      <c r="F11" s="1"/>
      <c r="J11" t="s">
        <v>838</v>
      </c>
      <c r="K11" s="27">
        <f>O11*1000/$I$6/((1-$K$16)*$I$3+$K$16*$I$4)*$I$7</f>
        <v>7032021.0875073085</v>
      </c>
      <c r="L11" s="190">
        <v>8</v>
      </c>
      <c r="M11" s="191" t="s">
        <v>816</v>
      </c>
      <c r="N11" s="191" t="s">
        <v>824</v>
      </c>
      <c r="O11" s="191">
        <v>1629</v>
      </c>
      <c r="X11" t="s">
        <v>838</v>
      </c>
      <c r="Y11" s="27">
        <f>AC11*1000/$I$6/((1-$K$16)*$I$3+$K$16*$I$4)*$I$7</f>
        <v>7032021.0875073085</v>
      </c>
      <c r="Z11" s="190">
        <v>8</v>
      </c>
      <c r="AA11" s="191" t="s">
        <v>816</v>
      </c>
      <c r="AB11" s="191" t="s">
        <v>824</v>
      </c>
      <c r="AC11" s="191">
        <v>1629</v>
      </c>
    </row>
    <row r="12" spans="1:31" ht="15.75" thickBot="1" x14ac:dyDescent="0.3">
      <c r="A12" s="20" t="s">
        <v>98</v>
      </c>
      <c r="B12" s="2"/>
      <c r="C12" s="2">
        <v>0.06</v>
      </c>
      <c r="D12" s="2"/>
      <c r="E12" s="2"/>
      <c r="F12" s="1"/>
      <c r="K12" s="27">
        <f>O12*1000/$I$6/$I$4*$I$7*O8/O12</f>
        <v>8338000</v>
      </c>
      <c r="L12" s="190">
        <v>9</v>
      </c>
      <c r="M12" s="191" t="s">
        <v>823</v>
      </c>
      <c r="N12" s="191" t="s">
        <v>113</v>
      </c>
      <c r="O12" s="191">
        <v>1274</v>
      </c>
      <c r="Y12" s="27">
        <f>AC12*1000/$I$6/$I$4*$I$7*AC8/AC12</f>
        <v>8338000</v>
      </c>
      <c r="Z12" s="190">
        <v>9</v>
      </c>
      <c r="AA12" s="191" t="s">
        <v>823</v>
      </c>
      <c r="AB12" s="191" t="s">
        <v>113</v>
      </c>
      <c r="AC12" s="191">
        <v>1274</v>
      </c>
    </row>
    <row r="13" spans="1:31" ht="15.75" thickBot="1" x14ac:dyDescent="0.3">
      <c r="A13" s="20" t="s">
        <v>92</v>
      </c>
      <c r="B13" s="2" t="s">
        <v>95</v>
      </c>
      <c r="C13" s="43">
        <f>-PV(C12,C10,C11)</f>
        <v>791.42456408100315</v>
      </c>
      <c r="D13" s="2"/>
      <c r="E13" s="2"/>
      <c r="F13" s="1"/>
      <c r="K13" s="27">
        <f>O13*1000/$I$6/$I$3*$I$7</f>
        <v>5137523.8095238097</v>
      </c>
      <c r="L13" s="190">
        <v>10</v>
      </c>
      <c r="M13" s="191" t="s">
        <v>822</v>
      </c>
      <c r="N13" s="191" t="s">
        <v>113</v>
      </c>
      <c r="O13" s="191">
        <v>1226</v>
      </c>
      <c r="Y13" s="27">
        <f>AC13*1000/$I$6/$I$3*$I$7</f>
        <v>5137523.8095238097</v>
      </c>
      <c r="Z13" s="190">
        <v>10</v>
      </c>
      <c r="AA13" s="191" t="s">
        <v>822</v>
      </c>
      <c r="AB13" s="191" t="s">
        <v>113</v>
      </c>
      <c r="AC13" s="191">
        <v>1226</v>
      </c>
    </row>
    <row r="14" spans="1:31" ht="15.75" thickBot="1" x14ac:dyDescent="0.3">
      <c r="A14" s="20" t="s">
        <v>235</v>
      </c>
      <c r="B14" s="2" t="s">
        <v>95</v>
      </c>
      <c r="C14" s="3">
        <f>(31.8*10)+(16.9*10)+(4.2*10)</f>
        <v>529</v>
      </c>
      <c r="D14" s="2"/>
      <c r="E14" s="2"/>
      <c r="F14" s="1"/>
      <c r="J14" t="s">
        <v>838</v>
      </c>
      <c r="K14" s="27">
        <f>O14*1000/$I$6/((1-$K$16)*$I$3+$K$16*$I$4)*$I$7</f>
        <v>4644846.3414105978</v>
      </c>
      <c r="L14" s="190">
        <v>11</v>
      </c>
      <c r="M14" s="191" t="s">
        <v>825</v>
      </c>
      <c r="N14" s="191" t="s">
        <v>826</v>
      </c>
      <c r="O14" s="191">
        <v>1076</v>
      </c>
      <c r="X14" t="s">
        <v>838</v>
      </c>
      <c r="Y14" s="27">
        <f>AC14*1000/$I$6/((1-$K$16)*$I$3+$K$16*$I$4)*$I$7</f>
        <v>4644846.3414105978</v>
      </c>
      <c r="Z14" s="190">
        <v>11</v>
      </c>
      <c r="AA14" s="191" t="s">
        <v>825</v>
      </c>
      <c r="AB14" s="191" t="s">
        <v>826</v>
      </c>
      <c r="AC14" s="191">
        <v>1076</v>
      </c>
    </row>
    <row r="15" spans="1:31" ht="15.75" thickBot="1" x14ac:dyDescent="0.3">
      <c r="A15" s="61" t="s">
        <v>239</v>
      </c>
      <c r="B15" s="2" t="s">
        <v>95</v>
      </c>
      <c r="C15" s="103">
        <f>(15.3*10)+(11.1*10)</f>
        <v>264</v>
      </c>
      <c r="D15" s="2"/>
      <c r="E15" s="2"/>
      <c r="F15" s="1"/>
      <c r="J15" t="s">
        <v>838</v>
      </c>
      <c r="K15" s="27">
        <f>O15*1000/$I$6/((1-$K$16)*$I$3+$K$16*$I$4)*$I$7</f>
        <v>3634721.7653045752</v>
      </c>
      <c r="L15" s="190">
        <v>12</v>
      </c>
      <c r="M15" s="191" t="s">
        <v>827</v>
      </c>
      <c r="N15" s="191" t="s">
        <v>828</v>
      </c>
      <c r="O15" s="191">
        <v>842</v>
      </c>
      <c r="X15" t="s">
        <v>838</v>
      </c>
      <c r="Y15" s="27">
        <f>AC15*1000/$I$6/((1-$K$16)*$I$3+$K$16*$I$4)*$I$7</f>
        <v>3634721.7653045752</v>
      </c>
      <c r="Z15" s="190">
        <v>12</v>
      </c>
      <c r="AA15" s="191" t="s">
        <v>827</v>
      </c>
      <c r="AB15" s="191" t="s">
        <v>828</v>
      </c>
      <c r="AC15" s="191">
        <v>842</v>
      </c>
    </row>
    <row r="16" spans="1:31" x14ac:dyDescent="0.25">
      <c r="A16" s="20"/>
      <c r="B16" s="2"/>
      <c r="C16" s="2"/>
      <c r="D16" s="2"/>
      <c r="E16" s="2"/>
      <c r="F16" s="1"/>
      <c r="J16" t="s">
        <v>839</v>
      </c>
      <c r="K16" s="70">
        <f>K6/(K6+K9)</f>
        <v>0.61439560318283659</v>
      </c>
      <c r="N16" s="192" t="s">
        <v>840</v>
      </c>
      <c r="O16">
        <f>O4+O5</f>
        <v>9153</v>
      </c>
      <c r="P16">
        <f>O6+O9</f>
        <v>4398</v>
      </c>
      <c r="Q16" t="s">
        <v>834</v>
      </c>
      <c r="X16" t="s">
        <v>839</v>
      </c>
      <c r="Y16" s="70">
        <f>Y6/(Y6+Y9)</f>
        <v>0.61439560318283659</v>
      </c>
      <c r="AB16" s="192" t="s">
        <v>840</v>
      </c>
      <c r="AC16">
        <f>AC4+AC5</f>
        <v>9153</v>
      </c>
      <c r="AD16">
        <f>AC6+AC9</f>
        <v>4398</v>
      </c>
      <c r="AE16" t="s">
        <v>834</v>
      </c>
    </row>
    <row r="17" spans="1:31" x14ac:dyDescent="0.25">
      <c r="D17" s="2"/>
      <c r="E17" s="2"/>
      <c r="F17" s="1"/>
      <c r="I17" t="s">
        <v>842</v>
      </c>
      <c r="K17" s="27">
        <f>K4+K5</f>
        <v>39511371.428571433</v>
      </c>
      <c r="N17" s="192" t="s">
        <v>841</v>
      </c>
      <c r="O17">
        <f>O7+O11+O12+O13+O14+O15+O6-O8</f>
        <v>9133</v>
      </c>
      <c r="P17">
        <f>O12+O13+O14</f>
        <v>3576</v>
      </c>
      <c r="Q17" t="s">
        <v>835</v>
      </c>
      <c r="W17" t="s">
        <v>842</v>
      </c>
      <c r="Y17" s="27">
        <f>Y4+Y5</f>
        <v>39511371.428571433</v>
      </c>
      <c r="AB17" s="192" t="s">
        <v>841</v>
      </c>
      <c r="AC17">
        <f>AC7+AC11+AC12+AC13+AC14+AC15+(AC6-AC8)</f>
        <v>9133</v>
      </c>
      <c r="AD17">
        <f>AC12+AC13+AC14+(AC6-AC8)</f>
        <v>4332</v>
      </c>
      <c r="AE17" t="s">
        <v>835</v>
      </c>
    </row>
    <row r="18" spans="1:31" x14ac:dyDescent="0.25">
      <c r="A18" s="20"/>
      <c r="B18" s="2"/>
      <c r="C18" s="2"/>
      <c r="D18" s="2"/>
      <c r="E18" s="2"/>
      <c r="F18" s="1"/>
      <c r="H18" t="s">
        <v>845</v>
      </c>
      <c r="J18" s="28" t="s">
        <v>701</v>
      </c>
      <c r="K18" s="183">
        <f>K7/K$17</f>
        <v>0.25456160291260915</v>
      </c>
      <c r="N18" s="192" t="s">
        <v>844</v>
      </c>
      <c r="O18">
        <f>O16-O17</f>
        <v>20</v>
      </c>
      <c r="P18">
        <f>P16-P17</f>
        <v>822</v>
      </c>
      <c r="Q18" t="s">
        <v>837</v>
      </c>
      <c r="V18" t="s">
        <v>845</v>
      </c>
      <c r="X18" s="28" t="s">
        <v>701</v>
      </c>
      <c r="Y18" s="183">
        <f>Y7/Y$17</f>
        <v>0.25456160291260915</v>
      </c>
      <c r="AB18" s="192" t="s">
        <v>844</v>
      </c>
      <c r="AC18">
        <f>AC16-AC17</f>
        <v>20</v>
      </c>
      <c r="AD18">
        <f>AD16-AD17</f>
        <v>66</v>
      </c>
      <c r="AE18" t="s">
        <v>837</v>
      </c>
    </row>
    <row r="19" spans="1:31" x14ac:dyDescent="0.25">
      <c r="A19" s="20"/>
      <c r="B19" s="2"/>
      <c r="C19" s="2"/>
      <c r="D19" s="2"/>
      <c r="E19" s="2"/>
      <c r="F19" s="1"/>
      <c r="H19" t="s">
        <v>845</v>
      </c>
      <c r="J19" s="28" t="s">
        <v>846</v>
      </c>
      <c r="K19" s="183">
        <f>K11/K$17</f>
        <v>0.17797461422516755</v>
      </c>
      <c r="V19" t="s">
        <v>845</v>
      </c>
      <c r="X19" s="28" t="s">
        <v>846</v>
      </c>
      <c r="Y19" s="183">
        <f>Y11/Y$17</f>
        <v>0.17797461422516755</v>
      </c>
    </row>
    <row r="20" spans="1:31" x14ac:dyDescent="0.25">
      <c r="A20" s="20"/>
      <c r="B20" s="2"/>
      <c r="C20" s="2"/>
      <c r="D20" s="2"/>
      <c r="E20" s="2"/>
      <c r="F20" s="1"/>
      <c r="H20" t="s">
        <v>848</v>
      </c>
      <c r="J20" s="66" t="s">
        <v>847</v>
      </c>
      <c r="K20" s="194">
        <f>(K12+K13+K14)/K$17</f>
        <v>0.45861152108304742</v>
      </c>
      <c r="V20" t="s">
        <v>848</v>
      </c>
      <c r="X20" s="66" t="s">
        <v>847</v>
      </c>
      <c r="Y20" s="194">
        <f>(Y6+Y9)/Y17</f>
        <v>0.48049868223590353</v>
      </c>
      <c r="AA20" s="199"/>
    </row>
    <row r="21" spans="1:31" x14ac:dyDescent="0.25">
      <c r="A21" s="20"/>
      <c r="B21" s="2"/>
      <c r="C21" s="2"/>
      <c r="D21" s="2"/>
      <c r="E21" s="2"/>
      <c r="F21" s="1"/>
      <c r="J21" t="s">
        <v>310</v>
      </c>
      <c r="K21" s="193">
        <f>K18+K19+K20</f>
        <v>0.89114773822082416</v>
      </c>
      <c r="X21" t="s">
        <v>310</v>
      </c>
      <c r="Y21" s="193">
        <f>Y18+Y19+Y20</f>
        <v>0.91303489937368021</v>
      </c>
    </row>
    <row r="22" spans="1:31" x14ac:dyDescent="0.25">
      <c r="A22" s="20"/>
      <c r="B22" s="2"/>
      <c r="C22" s="2"/>
      <c r="D22" s="2"/>
      <c r="E22" s="2"/>
      <c r="F22" s="1"/>
    </row>
    <row r="23" spans="1:31" x14ac:dyDescent="0.25">
      <c r="A23" s="20"/>
      <c r="B23" s="2"/>
      <c r="C23" s="2"/>
      <c r="D23" s="2"/>
      <c r="E23" s="2"/>
      <c r="F23" s="1"/>
    </row>
    <row r="24" spans="1:31" x14ac:dyDescent="0.25">
      <c r="A24" s="20"/>
      <c r="B24" s="2"/>
      <c r="C24" s="2"/>
      <c r="D24" s="2"/>
      <c r="E24" s="2"/>
      <c r="F24" s="1"/>
    </row>
    <row r="25" spans="1:31" x14ac:dyDescent="0.25">
      <c r="A25" s="20"/>
      <c r="B25" s="2"/>
      <c r="C25" s="2"/>
      <c r="D25" s="2"/>
      <c r="E25" s="2"/>
      <c r="F25" s="1"/>
    </row>
    <row r="26" spans="1:31" x14ac:dyDescent="0.25">
      <c r="A26" s="20"/>
      <c r="B26" s="2"/>
      <c r="C26" s="2"/>
      <c r="D26" s="2"/>
      <c r="E26" s="2"/>
      <c r="F26" s="1"/>
    </row>
    <row r="27" spans="1:31" x14ac:dyDescent="0.25">
      <c r="A27" s="20"/>
      <c r="B27" s="2"/>
      <c r="C27" s="2"/>
      <c r="D27" s="2"/>
      <c r="E27" s="2"/>
      <c r="F27" s="1"/>
    </row>
    <row r="28" spans="1:31" x14ac:dyDescent="0.25">
      <c r="A28" s="20"/>
      <c r="B28" s="2"/>
      <c r="C28" s="2"/>
      <c r="D28" s="2"/>
      <c r="E28" s="2"/>
      <c r="F28" s="1"/>
    </row>
    <row r="29" spans="1:31" x14ac:dyDescent="0.25">
      <c r="A29" s="20"/>
      <c r="B29" s="2"/>
      <c r="C29" s="2"/>
      <c r="D29" s="2"/>
      <c r="E29" s="2"/>
      <c r="F29" s="1"/>
    </row>
    <row r="30" spans="1:31" x14ac:dyDescent="0.25">
      <c r="A30" s="20"/>
      <c r="B30" s="2"/>
      <c r="C30" s="2"/>
      <c r="D30" s="2"/>
      <c r="E30" s="2"/>
      <c r="F30" s="1"/>
    </row>
    <row r="31" spans="1:31" x14ac:dyDescent="0.25">
      <c r="A31" s="20"/>
      <c r="B31" s="2"/>
      <c r="C31" s="2"/>
      <c r="D31" s="2"/>
      <c r="E31" s="2"/>
      <c r="F31" s="1"/>
    </row>
    <row r="32" spans="1:31" x14ac:dyDescent="0.25">
      <c r="A32" s="20"/>
      <c r="B32" s="2"/>
      <c r="C32" s="2"/>
      <c r="D32" s="2"/>
      <c r="E32" s="2"/>
      <c r="F32" s="1"/>
    </row>
    <row r="33" spans="1:6" x14ac:dyDescent="0.25">
      <c r="A33" s="20"/>
      <c r="B33" s="2"/>
      <c r="C33" s="2"/>
      <c r="D33" s="2"/>
      <c r="E33" s="2"/>
      <c r="F33" s="1"/>
    </row>
    <row r="34" spans="1:6" x14ac:dyDescent="0.25">
      <c r="A34" s="20"/>
      <c r="B34" s="2"/>
      <c r="C34" s="2"/>
      <c r="D34" s="2"/>
      <c r="E34" s="2"/>
      <c r="F34" s="1"/>
    </row>
    <row r="35" spans="1:6" x14ac:dyDescent="0.25">
      <c r="A35" s="20"/>
      <c r="B35" s="2"/>
      <c r="C35" s="2"/>
      <c r="D35" s="2"/>
      <c r="E35" s="2"/>
      <c r="F35" s="1"/>
    </row>
    <row r="36" spans="1:6" x14ac:dyDescent="0.25">
      <c r="A36" s="20"/>
      <c r="B36" s="2"/>
      <c r="C36" s="2"/>
      <c r="D36" s="2"/>
      <c r="E36" s="2"/>
      <c r="F36" s="1"/>
    </row>
    <row r="37" spans="1:6" x14ac:dyDescent="0.25">
      <c r="A37" s="20"/>
      <c r="B37" s="2"/>
      <c r="C37" s="2"/>
      <c r="D37" s="2"/>
      <c r="E37" s="2"/>
      <c r="F37" s="1"/>
    </row>
    <row r="38" spans="1:6" x14ac:dyDescent="0.25">
      <c r="A38" s="20"/>
      <c r="B38" s="2"/>
      <c r="C38" s="2"/>
      <c r="D38" s="2"/>
      <c r="E38" s="2"/>
      <c r="F38" s="1"/>
    </row>
    <row r="39" spans="1:6" x14ac:dyDescent="0.25">
      <c r="A39" s="20"/>
      <c r="B39" s="2"/>
      <c r="C39" s="2"/>
      <c r="D39" s="2"/>
      <c r="E39" s="2"/>
      <c r="F39" s="1"/>
    </row>
    <row r="40" spans="1:6" x14ac:dyDescent="0.25">
      <c r="A40" s="20"/>
      <c r="B40" s="2"/>
      <c r="C40" s="2"/>
      <c r="D40" s="2"/>
      <c r="E40" s="2"/>
      <c r="F40" s="1"/>
    </row>
    <row r="41" spans="1:6" x14ac:dyDescent="0.25">
      <c r="A41" s="20"/>
      <c r="B41" s="2"/>
      <c r="C41" s="2"/>
      <c r="D41" s="2"/>
      <c r="E41" s="2"/>
      <c r="F41" s="1"/>
    </row>
    <row r="42" spans="1:6" x14ac:dyDescent="0.25">
      <c r="A42" s="19"/>
      <c r="B42" s="18"/>
      <c r="C42" s="18"/>
      <c r="D42" s="18"/>
      <c r="E42" s="18"/>
      <c r="F42" s="17"/>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Import</vt:lpstr>
      <vt:lpstr>Heatingpl</vt:lpstr>
      <vt:lpstr>P&amp;P</vt:lpstr>
      <vt:lpstr>CostAnalysis</vt:lpstr>
      <vt:lpstr>FAOSTAT_data_11-21-2020</vt:lpstr>
      <vt:lpstr>Scenarios</vt:lpstr>
      <vt:lpstr>ScenAssump</vt:lpstr>
      <vt:lpstr>LogFunc</vt:lpstr>
      <vt:lpstr>Elast</vt:lpstr>
      <vt:lpstr>BCCS</vt:lpstr>
      <vt:lpstr>Biofuel</vt:lpstr>
      <vt:lpstr>ElP&amp;P</vt:lpstr>
      <vt:lpstr>DF</vt:lpstr>
      <vt:lpstr>Harvest</vt:lpstr>
      <vt:lpstr>SetAside</vt:lpstr>
      <vt:lpstr>SawMill</vt:lpstr>
      <vt:lpstr>Particle Board</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 Eriksson</dc:creator>
  <cp:lastModifiedBy>Klas Lucander</cp:lastModifiedBy>
  <dcterms:created xsi:type="dcterms:W3CDTF">2020-09-19T08:06:44Z</dcterms:created>
  <dcterms:modified xsi:type="dcterms:W3CDTF">2024-11-05T12:30:25Z</dcterms:modified>
</cp:coreProperties>
</file>