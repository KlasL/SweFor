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lluab\Documents\SweFor-donovia\SweFor5\Data\"/>
    </mc:Choice>
  </mc:AlternateContent>
  <xr:revisionPtr revIDLastSave="0" documentId="13_ncr:1_{10147F52-C89E-4296-96ED-9B078F43F447}" xr6:coauthVersionLast="47" xr6:coauthVersionMax="47" xr10:uidLastSave="{00000000-0000-0000-0000-000000000000}"/>
  <bookViews>
    <workbookView xWindow="-120" yWindow="-120" windowWidth="38520" windowHeight="19500" activeTab="1" xr2:uid="{00000000-000D-0000-FFFF-FFFF00000000}"/>
  </bookViews>
  <sheets>
    <sheet name="Factors" sheetId="4" r:id="rId1"/>
    <sheet name="Processes" sheetId="17" r:id="rId2"/>
    <sheet name="IO" sheetId="40" r:id="rId3"/>
    <sheet name="Trp" sheetId="41" r:id="rId4"/>
    <sheet name="FAO" sheetId="30" r:id="rId5"/>
    <sheet name="IIASA" sheetId="37" r:id="rId6"/>
    <sheet name="ConvFact" sheetId="15" r:id="rId7"/>
  </sheets>
  <externalReferences>
    <externalReference r:id="rId8"/>
    <externalReference r:id="rId9"/>
  </externalReferences>
  <definedNames>
    <definedName name="_xlnm.Print_Area" localSheetId="2">IO!$A$1:$AE$84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41" l="1" a="1"/>
  <c r="G2" i="41" s="1"/>
  <c r="J15" i="4"/>
  <c r="AF89" i="40"/>
  <c r="F89" i="40" s="1"/>
  <c r="D89" i="40" s="1"/>
  <c r="AF86" i="40"/>
  <c r="F86" i="40" s="1"/>
  <c r="AD2" i="41" l="1"/>
  <c r="AB2" i="41"/>
  <c r="Z2" i="41"/>
  <c r="X2" i="41"/>
  <c r="V2" i="41"/>
  <c r="T2" i="41"/>
  <c r="R2" i="41"/>
  <c r="P2" i="41"/>
  <c r="N2" i="41"/>
  <c r="L2" i="41"/>
  <c r="J2" i="41"/>
  <c r="H2" i="41"/>
  <c r="AC2" i="41"/>
  <c r="AA2" i="41"/>
  <c r="Y2" i="41"/>
  <c r="W2" i="41"/>
  <c r="U2" i="41"/>
  <c r="S2" i="41"/>
  <c r="Q2" i="41"/>
  <c r="O2" i="41"/>
  <c r="M2" i="41"/>
  <c r="K2" i="41"/>
  <c r="I2" i="41"/>
  <c r="AF90" i="40"/>
  <c r="AF91" i="40"/>
  <c r="AG91" i="40"/>
  <c r="AG90" i="40"/>
  <c r="AF87" i="40"/>
  <c r="F87" i="40" s="1"/>
  <c r="AF88" i="40"/>
  <c r="F88" i="40" s="1"/>
  <c r="AF85" i="40"/>
  <c r="F85" i="40" s="1"/>
  <c r="D85" i="40" s="1"/>
  <c r="F91" i="40" l="1"/>
  <c r="F90" i="40"/>
  <c r="B14" i="37"/>
  <c r="A14" i="37"/>
  <c r="A38" i="37"/>
  <c r="A62" i="37"/>
  <c r="A85" i="37"/>
  <c r="B58" i="30" l="1"/>
  <c r="A84" i="30"/>
  <c r="A61" i="30"/>
  <c r="A37" i="30"/>
  <c r="A14" i="30"/>
  <c r="E5" i="17"/>
  <c r="J16" i="4"/>
  <c r="G38" i="40" l="1"/>
  <c r="H38" i="40"/>
  <c r="K38" i="40"/>
  <c r="H37" i="40"/>
  <c r="K37" i="40"/>
  <c r="G37" i="40"/>
  <c r="H33" i="40"/>
  <c r="H32" i="40"/>
  <c r="H29" i="40"/>
  <c r="F38" i="40" l="1"/>
  <c r="F37" i="40"/>
  <c r="O50" i="40"/>
  <c r="F50" i="40" s="1"/>
  <c r="O43" i="40"/>
  <c r="F43" i="40" s="1"/>
  <c r="A7" i="41" l="1"/>
  <c r="B7" i="41"/>
  <c r="C7" i="41"/>
  <c r="E7" i="41"/>
  <c r="F7" i="41"/>
  <c r="A3" i="41" l="1"/>
  <c r="B3" i="41"/>
  <c r="C3" i="41"/>
  <c r="E3" i="41"/>
  <c r="E14" i="41" s="1"/>
  <c r="F3" i="41"/>
  <c r="A4" i="41"/>
  <c r="B4" i="41"/>
  <c r="C4" i="41"/>
  <c r="E4" i="41"/>
  <c r="F4" i="41"/>
  <c r="A5" i="41"/>
  <c r="B5" i="41"/>
  <c r="C5" i="41"/>
  <c r="E5" i="41"/>
  <c r="F5" i="41"/>
  <c r="A6" i="41"/>
  <c r="B6" i="41"/>
  <c r="C6" i="41"/>
  <c r="E6" i="41"/>
  <c r="F6" i="41"/>
  <c r="A8" i="41"/>
  <c r="B8" i="41"/>
  <c r="C8" i="41"/>
  <c r="E8" i="41"/>
  <c r="F8" i="41"/>
  <c r="A9" i="41"/>
  <c r="B9" i="41"/>
  <c r="C9" i="41"/>
  <c r="E9" i="41"/>
  <c r="F9" i="41"/>
  <c r="A10" i="41"/>
  <c r="B10" i="41"/>
  <c r="C10" i="41"/>
  <c r="E10" i="41"/>
  <c r="F10" i="41"/>
  <c r="A11" i="41"/>
  <c r="B11" i="41"/>
  <c r="C11" i="41"/>
  <c r="A12" i="41"/>
  <c r="B12" i="41"/>
  <c r="C12" i="41"/>
  <c r="A13" i="41"/>
  <c r="B13" i="41"/>
  <c r="C13" i="41"/>
  <c r="E13" i="41"/>
  <c r="F13" i="41"/>
  <c r="A14" i="41"/>
  <c r="B14" i="41"/>
  <c r="C14" i="41"/>
  <c r="F14" i="41"/>
  <c r="A15" i="41"/>
  <c r="B15" i="41"/>
  <c r="C15" i="41"/>
  <c r="F15" i="41"/>
  <c r="B2" i="41"/>
  <c r="C2" i="41"/>
  <c r="E15" i="41" l="1"/>
  <c r="H36" i="40" l="1"/>
  <c r="H35" i="40"/>
  <c r="G36" i="40"/>
  <c r="G35" i="40"/>
  <c r="G34" i="40"/>
  <c r="F34" i="40" s="1"/>
  <c r="F33" i="40" l="1"/>
  <c r="AE31" i="40"/>
  <c r="F31" i="40" s="1"/>
  <c r="AE23" i="40"/>
  <c r="F23" i="40" s="1"/>
  <c r="W59" i="37" l="1"/>
  <c r="Y59" i="37"/>
  <c r="F32" i="40" l="1"/>
  <c r="G26" i="40"/>
  <c r="AE30" i="40"/>
  <c r="F30" i="40" s="1"/>
  <c r="AE22" i="40"/>
  <c r="F22" i="40" s="1"/>
  <c r="F29" i="40"/>
  <c r="H28" i="40"/>
  <c r="F28" i="40" s="1"/>
  <c r="H27" i="40"/>
  <c r="F27" i="40" s="1"/>
  <c r="H25" i="40"/>
  <c r="F25" i="40" s="1"/>
  <c r="H24" i="40"/>
  <c r="F24" i="40" s="1"/>
  <c r="H21" i="40"/>
  <c r="F21" i="40" s="1"/>
  <c r="H20" i="40"/>
  <c r="F20" i="40" s="1"/>
  <c r="H19" i="40"/>
  <c r="F19" i="40" s="1"/>
  <c r="C59" i="37" l="1"/>
  <c r="D59" i="37"/>
  <c r="E59" i="37"/>
  <c r="F59" i="37"/>
  <c r="G59" i="37"/>
  <c r="H59" i="37"/>
  <c r="I59" i="37"/>
  <c r="J59" i="37"/>
  <c r="K59" i="37"/>
  <c r="L59" i="37"/>
  <c r="M59" i="37"/>
  <c r="N59" i="37"/>
  <c r="O59" i="37"/>
  <c r="P59" i="37"/>
  <c r="Q59" i="37"/>
  <c r="R59" i="37"/>
  <c r="S59" i="37"/>
  <c r="T59" i="37"/>
  <c r="U59" i="37"/>
  <c r="V59" i="37"/>
  <c r="B59" i="37"/>
  <c r="F84" i="40" l="1"/>
  <c r="F83" i="40"/>
  <c r="F82" i="40"/>
  <c r="F81" i="40"/>
  <c r="F80" i="40"/>
  <c r="F79" i="40"/>
  <c r="AA73" i="40"/>
  <c r="Y69" i="40"/>
  <c r="X65" i="40"/>
  <c r="V78" i="40"/>
  <c r="F78" i="40" s="1"/>
  <c r="U77" i="40"/>
  <c r="F77" i="40" s="1"/>
  <c r="T75" i="40"/>
  <c r="R65" i="40"/>
  <c r="Q72" i="40"/>
  <c r="F72" i="40" s="1"/>
  <c r="K26" i="40" l="1"/>
  <c r="F26" i="40" s="1"/>
  <c r="F36" i="40"/>
  <c r="F35" i="40"/>
  <c r="P63" i="40"/>
  <c r="P61" i="40"/>
  <c r="P60" i="40"/>
  <c r="P64" i="40"/>
  <c r="P62" i="40"/>
  <c r="P59" i="40"/>
  <c r="Z64" i="40"/>
  <c r="Z62" i="40"/>
  <c r="Z59" i="40"/>
  <c r="Z60" i="40"/>
  <c r="Z63" i="40"/>
  <c r="Z61" i="40"/>
  <c r="O58" i="40"/>
  <c r="O53" i="40"/>
  <c r="O55" i="40"/>
  <c r="O46" i="40"/>
  <c r="F46" i="40" s="1"/>
  <c r="O39" i="40"/>
  <c r="F39" i="40" s="1"/>
  <c r="O56" i="40"/>
  <c r="O52" i="40"/>
  <c r="F52" i="40" s="1"/>
  <c r="O49" i="40"/>
  <c r="F49" i="40" s="1"/>
  <c r="O47" i="40"/>
  <c r="F47" i="40" s="1"/>
  <c r="O45" i="40"/>
  <c r="F45" i="40" s="1"/>
  <c r="O42" i="40"/>
  <c r="F42" i="40" s="1"/>
  <c r="O40" i="40"/>
  <c r="F40" i="40" s="1"/>
  <c r="O48" i="40"/>
  <c r="F48" i="40" s="1"/>
  <c r="O41" i="40"/>
  <c r="F41" i="40" s="1"/>
  <c r="O54" i="40"/>
  <c r="F54" i="40" s="1"/>
  <c r="O57" i="40"/>
  <c r="O51" i="40"/>
  <c r="F51" i="40" s="1"/>
  <c r="O44" i="40"/>
  <c r="F44" i="40" s="1"/>
  <c r="W56" i="40"/>
  <c r="W54" i="40"/>
  <c r="W58" i="40"/>
  <c r="W53" i="40"/>
  <c r="W57" i="40"/>
  <c r="W55" i="40"/>
  <c r="Z110" i="40"/>
  <c r="Z108" i="40"/>
  <c r="Z105" i="40"/>
  <c r="Z106" i="40"/>
  <c r="Z109" i="40"/>
  <c r="Z107" i="40"/>
  <c r="O115" i="40"/>
  <c r="O116" i="40"/>
  <c r="O113" i="40"/>
  <c r="O111" i="40"/>
  <c r="O114" i="40"/>
  <c r="F114" i="40" s="1"/>
  <c r="O112" i="40"/>
  <c r="P109" i="40"/>
  <c r="P107" i="40"/>
  <c r="P110" i="40"/>
  <c r="F110" i="40" s="1"/>
  <c r="P108" i="40"/>
  <c r="P105" i="40"/>
  <c r="P106" i="40"/>
  <c r="O104" i="40"/>
  <c r="F104" i="40" s="1"/>
  <c r="O102" i="40"/>
  <c r="F102" i="40" s="1"/>
  <c r="O100" i="40"/>
  <c r="F100" i="40" s="1"/>
  <c r="O94" i="40"/>
  <c r="O96" i="40"/>
  <c r="O93" i="40"/>
  <c r="O97" i="40"/>
  <c r="O103" i="40"/>
  <c r="F103" i="40" s="1"/>
  <c r="O101" i="40"/>
  <c r="F101" i="40" s="1"/>
  <c r="O99" i="40"/>
  <c r="F99" i="40" s="1"/>
  <c r="O95" i="40"/>
  <c r="W97" i="40"/>
  <c r="W94" i="40"/>
  <c r="W96" i="40"/>
  <c r="W93" i="40"/>
  <c r="W95" i="40"/>
  <c r="O98" i="40"/>
  <c r="W98" i="40"/>
  <c r="X66" i="40"/>
  <c r="Q69" i="40"/>
  <c r="F69" i="40" s="1"/>
  <c r="Q71" i="40"/>
  <c r="F71" i="40" s="1"/>
  <c r="Y70" i="40"/>
  <c r="F65" i="40"/>
  <c r="Q70" i="40"/>
  <c r="AA75" i="40"/>
  <c r="F75" i="40" s="1"/>
  <c r="R66" i="40"/>
  <c r="R67" i="40"/>
  <c r="F67" i="40" s="1"/>
  <c r="S73" i="40"/>
  <c r="F73" i="40" s="1"/>
  <c r="S74" i="40"/>
  <c r="F74" i="40" s="1"/>
  <c r="R68" i="40"/>
  <c r="F68" i="40" s="1"/>
  <c r="T76" i="40"/>
  <c r="F76" i="40" s="1"/>
  <c r="F60" i="40" l="1"/>
  <c r="F64" i="40"/>
  <c r="F63" i="40"/>
  <c r="F57" i="40"/>
  <c r="F55" i="40"/>
  <c r="F56" i="40"/>
  <c r="F53" i="40"/>
  <c r="F61" i="40"/>
  <c r="F58" i="40"/>
  <c r="F59" i="40"/>
  <c r="F62" i="40"/>
  <c r="F106" i="40"/>
  <c r="F108" i="40"/>
  <c r="F107" i="40"/>
  <c r="F112" i="40"/>
  <c r="F116" i="40"/>
  <c r="F115" i="40"/>
  <c r="F95" i="40"/>
  <c r="F97" i="40"/>
  <c r="F105" i="40"/>
  <c r="F111" i="40"/>
  <c r="F113" i="40"/>
  <c r="F109" i="40"/>
  <c r="F93" i="40"/>
  <c r="F96" i="40"/>
  <c r="F94" i="40"/>
  <c r="F98" i="40"/>
  <c r="F66" i="40"/>
  <c r="F70" i="40"/>
  <c r="A25" i="15" l="1"/>
  <c r="A95" i="37" l="1"/>
  <c r="A94" i="37"/>
  <c r="A93" i="37"/>
  <c r="A92" i="37"/>
  <c r="A91" i="37"/>
  <c r="A90" i="37"/>
  <c r="A89" i="37"/>
  <c r="A88" i="37"/>
  <c r="A87" i="37"/>
  <c r="A86" i="37"/>
  <c r="A84" i="37"/>
  <c r="A83" i="37"/>
  <c r="A82" i="37"/>
  <c r="A81" i="37"/>
  <c r="A80" i="37"/>
  <c r="A79" i="37"/>
  <c r="A78" i="37"/>
  <c r="A77" i="37"/>
  <c r="A76" i="37"/>
  <c r="A75" i="37"/>
  <c r="A72" i="37"/>
  <c r="A71" i="37"/>
  <c r="A70" i="37"/>
  <c r="A69" i="37"/>
  <c r="A68" i="37"/>
  <c r="A67" i="37"/>
  <c r="A66" i="37"/>
  <c r="A65" i="37"/>
  <c r="A64" i="37"/>
  <c r="A63" i="37"/>
  <c r="A61" i="37"/>
  <c r="A60" i="37"/>
  <c r="A59" i="37"/>
  <c r="B58" i="37"/>
  <c r="A58" i="37"/>
  <c r="B57" i="37"/>
  <c r="A57" i="37"/>
  <c r="A56" i="37"/>
  <c r="A55" i="37"/>
  <c r="A54" i="37"/>
  <c r="A53" i="37"/>
  <c r="A52" i="37"/>
  <c r="A48" i="37"/>
  <c r="A47" i="37"/>
  <c r="A46" i="37"/>
  <c r="A45" i="37"/>
  <c r="A44" i="37"/>
  <c r="A43" i="37"/>
  <c r="A42" i="37"/>
  <c r="A41" i="37"/>
  <c r="A40" i="37"/>
  <c r="A39" i="37"/>
  <c r="A37" i="37"/>
  <c r="A36" i="37"/>
  <c r="A35" i="37"/>
  <c r="C34" i="37"/>
  <c r="D34" i="37" s="1"/>
  <c r="E34" i="37" s="1"/>
  <c r="F34" i="37" s="1"/>
  <c r="G34" i="37" s="1"/>
  <c r="H34" i="37" s="1"/>
  <c r="I34" i="37" s="1"/>
  <c r="J34" i="37" s="1"/>
  <c r="K34" i="37" s="1"/>
  <c r="L34" i="37" s="1"/>
  <c r="M34" i="37" s="1"/>
  <c r="N34" i="37" s="1"/>
  <c r="O34" i="37" s="1"/>
  <c r="P34" i="37" s="1"/>
  <c r="Q34" i="37" s="1"/>
  <c r="R34" i="37" s="1"/>
  <c r="S34" i="37" s="1"/>
  <c r="T34" i="37" s="1"/>
  <c r="U34" i="37" s="1"/>
  <c r="V34" i="37" s="1"/>
  <c r="A34" i="37"/>
  <c r="C33" i="37"/>
  <c r="D33" i="37" s="1"/>
  <c r="E33" i="37" s="1"/>
  <c r="F33" i="37" s="1"/>
  <c r="G33" i="37" s="1"/>
  <c r="H33" i="37" s="1"/>
  <c r="I33" i="37" s="1"/>
  <c r="J33" i="37" s="1"/>
  <c r="K33" i="37" s="1"/>
  <c r="L33" i="37" s="1"/>
  <c r="M33" i="37" s="1"/>
  <c r="N33" i="37" s="1"/>
  <c r="O33" i="37" s="1"/>
  <c r="P33" i="37" s="1"/>
  <c r="Q33" i="37" s="1"/>
  <c r="R33" i="37" s="1"/>
  <c r="S33" i="37" s="1"/>
  <c r="T33" i="37" s="1"/>
  <c r="U33" i="37" s="1"/>
  <c r="V33" i="37" s="1"/>
  <c r="A33" i="37"/>
  <c r="C32" i="37"/>
  <c r="D32" i="37" s="1"/>
  <c r="E32" i="37" s="1"/>
  <c r="F32" i="37" s="1"/>
  <c r="G32" i="37" s="1"/>
  <c r="H32" i="37" s="1"/>
  <c r="I32" i="37" s="1"/>
  <c r="J32" i="37" s="1"/>
  <c r="K32" i="37" s="1"/>
  <c r="L32" i="37" s="1"/>
  <c r="M32" i="37" s="1"/>
  <c r="N32" i="37" s="1"/>
  <c r="O32" i="37" s="1"/>
  <c r="P32" i="37" s="1"/>
  <c r="Q32" i="37" s="1"/>
  <c r="R32" i="37" s="1"/>
  <c r="S32" i="37" s="1"/>
  <c r="T32" i="37" s="1"/>
  <c r="U32" i="37" s="1"/>
  <c r="V32" i="37" s="1"/>
  <c r="A32" i="37"/>
  <c r="C31" i="37"/>
  <c r="D31" i="37" s="1"/>
  <c r="E31" i="37" s="1"/>
  <c r="F31" i="37" s="1"/>
  <c r="G31" i="37" s="1"/>
  <c r="H31" i="37" s="1"/>
  <c r="I31" i="37" s="1"/>
  <c r="J31" i="37" s="1"/>
  <c r="K31" i="37" s="1"/>
  <c r="L31" i="37" s="1"/>
  <c r="M31" i="37" s="1"/>
  <c r="N31" i="37" s="1"/>
  <c r="O31" i="37" s="1"/>
  <c r="P31" i="37" s="1"/>
  <c r="Q31" i="37" s="1"/>
  <c r="R31" i="37" s="1"/>
  <c r="S31" i="37" s="1"/>
  <c r="T31" i="37" s="1"/>
  <c r="U31" i="37" s="1"/>
  <c r="V31" i="37" s="1"/>
  <c r="A31" i="37"/>
  <c r="C30" i="37"/>
  <c r="D30" i="37" s="1"/>
  <c r="E30" i="37" s="1"/>
  <c r="F30" i="37" s="1"/>
  <c r="G30" i="37" s="1"/>
  <c r="H30" i="37" s="1"/>
  <c r="I30" i="37" s="1"/>
  <c r="J30" i="37" s="1"/>
  <c r="K30" i="37" s="1"/>
  <c r="L30" i="37" s="1"/>
  <c r="M30" i="37" s="1"/>
  <c r="N30" i="37" s="1"/>
  <c r="O30" i="37" s="1"/>
  <c r="P30" i="37" s="1"/>
  <c r="Q30" i="37" s="1"/>
  <c r="R30" i="37" s="1"/>
  <c r="S30" i="37" s="1"/>
  <c r="T30" i="37" s="1"/>
  <c r="U30" i="37" s="1"/>
  <c r="V30" i="37" s="1"/>
  <c r="A30" i="37"/>
  <c r="C29" i="37"/>
  <c r="D29" i="37" s="1"/>
  <c r="E29" i="37" s="1"/>
  <c r="F29" i="37" s="1"/>
  <c r="G29" i="37" s="1"/>
  <c r="H29" i="37" s="1"/>
  <c r="I29" i="37" s="1"/>
  <c r="J29" i="37" s="1"/>
  <c r="K29" i="37" s="1"/>
  <c r="L29" i="37" s="1"/>
  <c r="M29" i="37" s="1"/>
  <c r="N29" i="37" s="1"/>
  <c r="O29" i="37" s="1"/>
  <c r="P29" i="37" s="1"/>
  <c r="Q29" i="37" s="1"/>
  <c r="R29" i="37" s="1"/>
  <c r="S29" i="37" s="1"/>
  <c r="T29" i="37" s="1"/>
  <c r="U29" i="37" s="1"/>
  <c r="V29" i="37" s="1"/>
  <c r="A29" i="37"/>
  <c r="C28" i="37"/>
  <c r="D28" i="37" s="1"/>
  <c r="E28" i="37" s="1"/>
  <c r="F28" i="37" s="1"/>
  <c r="G28" i="37" s="1"/>
  <c r="H28" i="37" s="1"/>
  <c r="I28" i="37" s="1"/>
  <c r="J28" i="37" s="1"/>
  <c r="K28" i="37" s="1"/>
  <c r="L28" i="37" s="1"/>
  <c r="M28" i="37" s="1"/>
  <c r="N28" i="37" s="1"/>
  <c r="O28" i="37" s="1"/>
  <c r="P28" i="37" s="1"/>
  <c r="Q28" i="37" s="1"/>
  <c r="R28" i="37" s="1"/>
  <c r="S28" i="37" s="1"/>
  <c r="T28" i="37" s="1"/>
  <c r="U28" i="37" s="1"/>
  <c r="V28" i="37" s="1"/>
  <c r="A28" i="37"/>
  <c r="A24" i="37"/>
  <c r="A23" i="37"/>
  <c r="A22" i="37"/>
  <c r="A21" i="37"/>
  <c r="A20" i="37"/>
  <c r="A19" i="37"/>
  <c r="A18" i="37"/>
  <c r="A17" i="37"/>
  <c r="A16" i="37"/>
  <c r="A15" i="37"/>
  <c r="A13" i="37"/>
  <c r="A12" i="37"/>
  <c r="A11" i="37"/>
  <c r="C10" i="37"/>
  <c r="C58" i="37" s="1"/>
  <c r="A10" i="37"/>
  <c r="C9" i="37"/>
  <c r="A9" i="37"/>
  <c r="C8" i="37"/>
  <c r="D8" i="37" s="1"/>
  <c r="E8" i="37" s="1"/>
  <c r="F8" i="37" s="1"/>
  <c r="G8" i="37" s="1"/>
  <c r="H8" i="37" s="1"/>
  <c r="I8" i="37" s="1"/>
  <c r="J8" i="37" s="1"/>
  <c r="K8" i="37" s="1"/>
  <c r="L8" i="37" s="1"/>
  <c r="M8" i="37" s="1"/>
  <c r="N8" i="37" s="1"/>
  <c r="O8" i="37" s="1"/>
  <c r="P8" i="37" s="1"/>
  <c r="Q8" i="37" s="1"/>
  <c r="R8" i="37" s="1"/>
  <c r="S8" i="37" s="1"/>
  <c r="T8" i="37" s="1"/>
  <c r="U8" i="37" s="1"/>
  <c r="V8" i="37" s="1"/>
  <c r="A8" i="37"/>
  <c r="C7" i="37"/>
  <c r="D7" i="37" s="1"/>
  <c r="E7" i="37" s="1"/>
  <c r="F7" i="37" s="1"/>
  <c r="G7" i="37" s="1"/>
  <c r="H7" i="37" s="1"/>
  <c r="I7" i="37" s="1"/>
  <c r="J7" i="37" s="1"/>
  <c r="K7" i="37" s="1"/>
  <c r="L7" i="37" s="1"/>
  <c r="M7" i="37" s="1"/>
  <c r="N7" i="37" s="1"/>
  <c r="O7" i="37" s="1"/>
  <c r="P7" i="37" s="1"/>
  <c r="Q7" i="37" s="1"/>
  <c r="R7" i="37" s="1"/>
  <c r="S7" i="37" s="1"/>
  <c r="T7" i="37" s="1"/>
  <c r="U7" i="37" s="1"/>
  <c r="V7" i="37" s="1"/>
  <c r="A7" i="37"/>
  <c r="C6" i="37"/>
  <c r="D6" i="37" s="1"/>
  <c r="E6" i="37" s="1"/>
  <c r="F6" i="37" s="1"/>
  <c r="G6" i="37" s="1"/>
  <c r="H6" i="37" s="1"/>
  <c r="I6" i="37" s="1"/>
  <c r="J6" i="37" s="1"/>
  <c r="K6" i="37" s="1"/>
  <c r="L6" i="37" s="1"/>
  <c r="M6" i="37" s="1"/>
  <c r="N6" i="37" s="1"/>
  <c r="O6" i="37" s="1"/>
  <c r="P6" i="37" s="1"/>
  <c r="Q6" i="37" s="1"/>
  <c r="R6" i="37" s="1"/>
  <c r="S6" i="37" s="1"/>
  <c r="T6" i="37" s="1"/>
  <c r="U6" i="37" s="1"/>
  <c r="V6" i="37" s="1"/>
  <c r="A6" i="37"/>
  <c r="C5" i="37"/>
  <c r="D5" i="37" s="1"/>
  <c r="E5" i="37" s="1"/>
  <c r="F5" i="37" s="1"/>
  <c r="G5" i="37" s="1"/>
  <c r="H5" i="37" s="1"/>
  <c r="I5" i="37" s="1"/>
  <c r="J5" i="37" s="1"/>
  <c r="K5" i="37" s="1"/>
  <c r="L5" i="37" s="1"/>
  <c r="M5" i="37" s="1"/>
  <c r="N5" i="37" s="1"/>
  <c r="O5" i="37" s="1"/>
  <c r="P5" i="37" s="1"/>
  <c r="Q5" i="37" s="1"/>
  <c r="R5" i="37" s="1"/>
  <c r="S5" i="37" s="1"/>
  <c r="T5" i="37" s="1"/>
  <c r="U5" i="37" s="1"/>
  <c r="V5" i="37" s="1"/>
  <c r="A5" i="37"/>
  <c r="C4" i="37"/>
  <c r="D4" i="37" s="1"/>
  <c r="E4" i="37" s="1"/>
  <c r="F4" i="37" s="1"/>
  <c r="G4" i="37" s="1"/>
  <c r="H4" i="37" s="1"/>
  <c r="I4" i="37" s="1"/>
  <c r="J4" i="37" s="1"/>
  <c r="K4" i="37" s="1"/>
  <c r="L4" i="37" s="1"/>
  <c r="M4" i="37" s="1"/>
  <c r="N4" i="37" s="1"/>
  <c r="O4" i="37" s="1"/>
  <c r="P4" i="37" s="1"/>
  <c r="Q4" i="37" s="1"/>
  <c r="R4" i="37" s="1"/>
  <c r="S4" i="37" s="1"/>
  <c r="T4" i="37" s="1"/>
  <c r="U4" i="37" s="1"/>
  <c r="V4" i="37" s="1"/>
  <c r="A4" i="37"/>
  <c r="AA75" i="37" l="1"/>
  <c r="AB75" i="37" s="1"/>
  <c r="AC75" i="37" s="1"/>
  <c r="Y75" i="37"/>
  <c r="AA77" i="37"/>
  <c r="AB77" i="37" s="1"/>
  <c r="AC77" i="37" s="1"/>
  <c r="Y77" i="37"/>
  <c r="AA79" i="37"/>
  <c r="AB79" i="37" s="1"/>
  <c r="AC79" i="37" s="1"/>
  <c r="Y79" i="37"/>
  <c r="AA4" i="37"/>
  <c r="AB4" i="37" s="1"/>
  <c r="AC4" i="37" s="1"/>
  <c r="W4" i="37"/>
  <c r="Y4" i="37" s="1"/>
  <c r="AA29" i="37"/>
  <c r="AB29" i="37" s="1"/>
  <c r="AC29" i="37" s="1"/>
  <c r="W29" i="37"/>
  <c r="Y29" i="37" s="1"/>
  <c r="AA31" i="37"/>
  <c r="AB31" i="37" s="1"/>
  <c r="AC31" i="37" s="1"/>
  <c r="W31" i="37"/>
  <c r="Y31" i="37" s="1"/>
  <c r="AA33" i="37"/>
  <c r="AB33" i="37" s="1"/>
  <c r="AC33" i="37" s="1"/>
  <c r="W33" i="37"/>
  <c r="Y33" i="37" s="1"/>
  <c r="AA6" i="37"/>
  <c r="AB6" i="37" s="1"/>
  <c r="AC6" i="37" s="1"/>
  <c r="W6" i="37"/>
  <c r="Y6" i="37" s="1"/>
  <c r="AA5" i="37"/>
  <c r="AB5" i="37" s="1"/>
  <c r="AC5" i="37" s="1"/>
  <c r="W5" i="37"/>
  <c r="Y5" i="37" s="1"/>
  <c r="AA7" i="37"/>
  <c r="AB7" i="37" s="1"/>
  <c r="AC7" i="37" s="1"/>
  <c r="W7" i="37"/>
  <c r="Y7" i="37" s="1"/>
  <c r="AA76" i="37"/>
  <c r="AB76" i="37" s="1"/>
  <c r="AC76" i="37" s="1"/>
  <c r="Y76" i="37"/>
  <c r="AA78" i="37"/>
  <c r="AB78" i="37" s="1"/>
  <c r="AC78" i="37" s="1"/>
  <c r="Y78" i="37"/>
  <c r="AA8" i="37"/>
  <c r="AB8" i="37" s="1"/>
  <c r="AC8" i="37" s="1"/>
  <c r="W8" i="37"/>
  <c r="Y8" i="37" s="1"/>
  <c r="AA28" i="37"/>
  <c r="AB28" i="37" s="1"/>
  <c r="AC28" i="37" s="1"/>
  <c r="W28" i="37"/>
  <c r="Y28" i="37" s="1"/>
  <c r="AA30" i="37"/>
  <c r="AB30" i="37" s="1"/>
  <c r="AC30" i="37" s="1"/>
  <c r="W30" i="37"/>
  <c r="Y30" i="37" s="1"/>
  <c r="AA32" i="37"/>
  <c r="AB32" i="37" s="1"/>
  <c r="AC32" i="37" s="1"/>
  <c r="W32" i="37"/>
  <c r="Y32" i="37" s="1"/>
  <c r="AA34" i="37"/>
  <c r="AB34" i="37" s="1"/>
  <c r="AC34" i="37" s="1"/>
  <c r="W34" i="37"/>
  <c r="Y34" i="37" s="1"/>
  <c r="AA17" i="37"/>
  <c r="AB17" i="37" s="1"/>
  <c r="AC17" i="37" s="1"/>
  <c r="AA16" i="37"/>
  <c r="AB16" i="37" s="1"/>
  <c r="AC16" i="37" s="1"/>
  <c r="D9" i="37"/>
  <c r="C57" i="37"/>
  <c r="D10" i="37"/>
  <c r="D58" i="37" s="1"/>
  <c r="D57" i="37" l="1"/>
  <c r="E9" i="37"/>
  <c r="E10" i="37"/>
  <c r="E58" i="37" s="1"/>
  <c r="C58" i="30"/>
  <c r="D58" i="30" s="1"/>
  <c r="E58" i="30" s="1"/>
  <c r="F58" i="30" s="1"/>
  <c r="G58" i="30" s="1"/>
  <c r="H58" i="30" s="1"/>
  <c r="I58" i="30" s="1"/>
  <c r="J58" i="30" s="1"/>
  <c r="K58" i="30" s="1"/>
  <c r="L58" i="30" s="1"/>
  <c r="M58" i="30" s="1"/>
  <c r="N58" i="30" s="1"/>
  <c r="O58" i="30" s="1"/>
  <c r="P58" i="30" s="1"/>
  <c r="Q58" i="30" s="1"/>
  <c r="R58" i="30" s="1"/>
  <c r="S58" i="30" s="1"/>
  <c r="T58" i="30" s="1"/>
  <c r="U58" i="30" s="1"/>
  <c r="V58" i="30" s="1"/>
  <c r="AA15" i="37" l="1"/>
  <c r="E57" i="37"/>
  <c r="F9" i="37"/>
  <c r="F10" i="37"/>
  <c r="F58" i="37" s="1"/>
  <c r="AA59" i="37" l="1"/>
  <c r="AB15" i="37"/>
  <c r="G10" i="37"/>
  <c r="G58" i="37" s="1"/>
  <c r="F57" i="37"/>
  <c r="G9" i="37"/>
  <c r="AB59" i="37" l="1"/>
  <c r="AC15" i="37"/>
  <c r="AC59" i="37" s="1"/>
  <c r="G57" i="37"/>
  <c r="H9" i="37"/>
  <c r="H10" i="37"/>
  <c r="H58" i="37" s="1"/>
  <c r="I10" i="37" l="1"/>
  <c r="I58" i="37" s="1"/>
  <c r="H57" i="37"/>
  <c r="I9" i="37"/>
  <c r="I57" i="37" l="1"/>
  <c r="J9" i="37"/>
  <c r="J10" i="37"/>
  <c r="J58" i="37" s="1"/>
  <c r="K10" i="37" l="1"/>
  <c r="K58" i="37" s="1"/>
  <c r="J57" i="37"/>
  <c r="K9" i="37"/>
  <c r="L9" i="37" l="1"/>
  <c r="K57" i="37"/>
  <c r="L10" i="37"/>
  <c r="L58" i="37" s="1"/>
  <c r="M10" i="37" l="1"/>
  <c r="M58" i="37" s="1"/>
  <c r="L57" i="37"/>
  <c r="M9" i="37"/>
  <c r="M57" i="37" l="1"/>
  <c r="N9" i="37"/>
  <c r="N10" i="37"/>
  <c r="N58" i="37" s="1"/>
  <c r="O10" i="37" l="1"/>
  <c r="O58" i="37" s="1"/>
  <c r="N57" i="37"/>
  <c r="O9" i="37"/>
  <c r="O57" i="37" l="1"/>
  <c r="P9" i="37"/>
  <c r="P10" i="37"/>
  <c r="P58" i="37" s="1"/>
  <c r="Q10" i="37" l="1"/>
  <c r="Q58" i="37" s="1"/>
  <c r="Q9" i="37"/>
  <c r="P57" i="37"/>
  <c r="A87" i="30"/>
  <c r="A64" i="30"/>
  <c r="A40" i="30"/>
  <c r="A17" i="30"/>
  <c r="C17" i="30"/>
  <c r="D17" i="30" s="1"/>
  <c r="E17" i="30" s="1"/>
  <c r="F17" i="30" s="1"/>
  <c r="G17" i="30" s="1"/>
  <c r="H17" i="30" s="1"/>
  <c r="I17" i="30" s="1"/>
  <c r="J17" i="30" s="1"/>
  <c r="K17" i="30" s="1"/>
  <c r="L17" i="30" s="1"/>
  <c r="M17" i="30" s="1"/>
  <c r="N17" i="30" s="1"/>
  <c r="O17" i="30" s="1"/>
  <c r="P17" i="30" s="1"/>
  <c r="Q17" i="30" s="1"/>
  <c r="R17" i="30" s="1"/>
  <c r="S17" i="30" s="1"/>
  <c r="T17" i="30" s="1"/>
  <c r="U17" i="30" s="1"/>
  <c r="V17" i="30" s="1"/>
  <c r="X17" i="30" s="1"/>
  <c r="Y17" i="30" s="1"/>
  <c r="Z17" i="30" s="1"/>
  <c r="R10" i="37" l="1"/>
  <c r="R58" i="37" s="1"/>
  <c r="Q57" i="37"/>
  <c r="R9" i="37"/>
  <c r="J26" i="4"/>
  <c r="J25" i="4"/>
  <c r="J24" i="4"/>
  <c r="J23" i="4"/>
  <c r="R57" i="37" l="1"/>
  <c r="S9" i="37"/>
  <c r="S10" i="37"/>
  <c r="S58" i="37" s="1"/>
  <c r="T10" i="37" l="1"/>
  <c r="T58" i="37" s="1"/>
  <c r="T9" i="37"/>
  <c r="S57" i="37"/>
  <c r="T57" i="37" l="1"/>
  <c r="U9" i="37"/>
  <c r="U10" i="37"/>
  <c r="U58" i="37" s="1"/>
  <c r="V10" i="37" l="1"/>
  <c r="U57" i="37"/>
  <c r="V9" i="37"/>
  <c r="W9" i="37" s="1"/>
  <c r="W57" i="37" l="1"/>
  <c r="Y9" i="37"/>
  <c r="Y57" i="37" s="1"/>
  <c r="V58" i="37"/>
  <c r="W10" i="37"/>
  <c r="V57" i="37"/>
  <c r="AA9" i="37"/>
  <c r="AA10" i="37"/>
  <c r="W58" i="37" l="1"/>
  <c r="Y10" i="37"/>
  <c r="Y58" i="37" s="1"/>
  <c r="AA58" i="37"/>
  <c r="AB10" i="37"/>
  <c r="AA57" i="37"/>
  <c r="AB9" i="37"/>
  <c r="AB57" i="37" l="1"/>
  <c r="AC9" i="37"/>
  <c r="AC57" i="37" s="1"/>
  <c r="AB58" i="37"/>
  <c r="AC10" i="37"/>
  <c r="AC58" i="37" s="1"/>
  <c r="C75" i="30" l="1"/>
  <c r="D75" i="30" s="1"/>
  <c r="E75" i="30" s="1"/>
  <c r="F75" i="30" s="1"/>
  <c r="G75" i="30" s="1"/>
  <c r="H75" i="30" s="1"/>
  <c r="I75" i="30" s="1"/>
  <c r="J75" i="30" s="1"/>
  <c r="K75" i="30" s="1"/>
  <c r="L75" i="30" s="1"/>
  <c r="M75" i="30" s="1"/>
  <c r="N75" i="30" s="1"/>
  <c r="O75" i="30" s="1"/>
  <c r="P75" i="30" s="1"/>
  <c r="Q75" i="30" s="1"/>
  <c r="R75" i="30" s="1"/>
  <c r="S75" i="30" s="1"/>
  <c r="T75" i="30" s="1"/>
  <c r="U75" i="30" s="1"/>
  <c r="V75" i="30" s="1"/>
  <c r="X75" i="30" s="1"/>
  <c r="Y75" i="30" s="1"/>
  <c r="Z75" i="30" s="1"/>
  <c r="C76" i="30"/>
  <c r="D76" i="30" s="1"/>
  <c r="E76" i="30" s="1"/>
  <c r="F76" i="30" s="1"/>
  <c r="G76" i="30" s="1"/>
  <c r="H76" i="30" s="1"/>
  <c r="I76" i="30" s="1"/>
  <c r="J76" i="30" s="1"/>
  <c r="K76" i="30" s="1"/>
  <c r="L76" i="30" s="1"/>
  <c r="M76" i="30" s="1"/>
  <c r="N76" i="30" s="1"/>
  <c r="O76" i="30" s="1"/>
  <c r="P76" i="30" s="1"/>
  <c r="Q76" i="30" s="1"/>
  <c r="R76" i="30" s="1"/>
  <c r="S76" i="30" s="1"/>
  <c r="T76" i="30" s="1"/>
  <c r="U76" i="30" s="1"/>
  <c r="V76" i="30" s="1"/>
  <c r="X76" i="30" s="1"/>
  <c r="Y76" i="30" s="1"/>
  <c r="Z76" i="30" s="1"/>
  <c r="C77" i="30"/>
  <c r="D77" i="30" s="1"/>
  <c r="E77" i="30" s="1"/>
  <c r="F77" i="30" s="1"/>
  <c r="G77" i="30" s="1"/>
  <c r="H77" i="30" s="1"/>
  <c r="I77" i="30" s="1"/>
  <c r="J77" i="30" s="1"/>
  <c r="K77" i="30" s="1"/>
  <c r="L77" i="30" s="1"/>
  <c r="M77" i="30" s="1"/>
  <c r="N77" i="30" s="1"/>
  <c r="O77" i="30" s="1"/>
  <c r="P77" i="30" s="1"/>
  <c r="Q77" i="30" s="1"/>
  <c r="R77" i="30" s="1"/>
  <c r="S77" i="30" s="1"/>
  <c r="T77" i="30" s="1"/>
  <c r="U77" i="30" s="1"/>
  <c r="V77" i="30" s="1"/>
  <c r="X77" i="30" s="1"/>
  <c r="Y77" i="30" s="1"/>
  <c r="Z77" i="30" s="1"/>
  <c r="C78" i="30"/>
  <c r="D78" i="30" s="1"/>
  <c r="E78" i="30" s="1"/>
  <c r="F78" i="30" s="1"/>
  <c r="G78" i="30" s="1"/>
  <c r="H78" i="30" s="1"/>
  <c r="I78" i="30" s="1"/>
  <c r="J78" i="30" s="1"/>
  <c r="K78" i="30" s="1"/>
  <c r="L78" i="30" s="1"/>
  <c r="M78" i="30" s="1"/>
  <c r="N78" i="30" s="1"/>
  <c r="O78" i="30" s="1"/>
  <c r="P78" i="30" s="1"/>
  <c r="Q78" i="30" s="1"/>
  <c r="R78" i="30" s="1"/>
  <c r="S78" i="30" s="1"/>
  <c r="T78" i="30" s="1"/>
  <c r="U78" i="30" s="1"/>
  <c r="V78" i="30" s="1"/>
  <c r="X78" i="30" s="1"/>
  <c r="Y78" i="30" s="1"/>
  <c r="Z78" i="30" s="1"/>
  <c r="C74" i="30"/>
  <c r="D74" i="30" s="1"/>
  <c r="E74" i="30" s="1"/>
  <c r="F74" i="30" s="1"/>
  <c r="G74" i="30" s="1"/>
  <c r="H74" i="30" s="1"/>
  <c r="I74" i="30" s="1"/>
  <c r="J74" i="30" s="1"/>
  <c r="K74" i="30" s="1"/>
  <c r="L74" i="30" s="1"/>
  <c r="M74" i="30" s="1"/>
  <c r="N74" i="30" s="1"/>
  <c r="O74" i="30" s="1"/>
  <c r="P74" i="30" s="1"/>
  <c r="Q74" i="30" s="1"/>
  <c r="R74" i="30" s="1"/>
  <c r="S74" i="30" s="1"/>
  <c r="T74" i="30" s="1"/>
  <c r="U74" i="30" s="1"/>
  <c r="V74" i="30" s="1"/>
  <c r="X74" i="30" s="1"/>
  <c r="Y74" i="30" s="1"/>
  <c r="Z74" i="30" s="1"/>
  <c r="B56" i="30"/>
  <c r="B57" i="30"/>
  <c r="A51" i="30"/>
  <c r="A28" i="30"/>
  <c r="A29" i="30"/>
  <c r="A30" i="30"/>
  <c r="A31" i="30"/>
  <c r="A32" i="30"/>
  <c r="A33" i="30"/>
  <c r="A34" i="30"/>
  <c r="A35" i="30"/>
  <c r="A36" i="30"/>
  <c r="A38" i="30"/>
  <c r="A39" i="30"/>
  <c r="A41" i="30"/>
  <c r="A42" i="30"/>
  <c r="A43" i="30"/>
  <c r="A44" i="30"/>
  <c r="A45" i="30"/>
  <c r="A46" i="30"/>
  <c r="A47" i="30"/>
  <c r="A12" i="30"/>
  <c r="A13" i="30"/>
  <c r="A15" i="30"/>
  <c r="A16" i="30"/>
  <c r="A18" i="30"/>
  <c r="A19" i="30"/>
  <c r="A20" i="30"/>
  <c r="A21" i="30"/>
  <c r="A22" i="30"/>
  <c r="A23" i="30"/>
  <c r="A24" i="30"/>
  <c r="A52" i="30"/>
  <c r="A53" i="30"/>
  <c r="A54" i="30"/>
  <c r="A55" i="30"/>
  <c r="A56" i="30"/>
  <c r="A57" i="30"/>
  <c r="A58" i="30"/>
  <c r="A59" i="30"/>
  <c r="A60" i="30"/>
  <c r="A62" i="30"/>
  <c r="A63" i="30"/>
  <c r="A65" i="30"/>
  <c r="A66" i="30"/>
  <c r="A67" i="30"/>
  <c r="A68" i="30"/>
  <c r="A69" i="30"/>
  <c r="A70" i="30"/>
  <c r="A71" i="30"/>
  <c r="A90" i="30"/>
  <c r="A91" i="30"/>
  <c r="A92" i="30"/>
  <c r="A93" i="30"/>
  <c r="A94" i="30"/>
  <c r="A75" i="30"/>
  <c r="A76" i="30"/>
  <c r="A77" i="30"/>
  <c r="A78" i="30"/>
  <c r="A79" i="30"/>
  <c r="A80" i="30"/>
  <c r="A81" i="30"/>
  <c r="A82" i="30"/>
  <c r="A83" i="30"/>
  <c r="A85" i="30"/>
  <c r="A86" i="30"/>
  <c r="A88" i="30"/>
  <c r="A89" i="30"/>
  <c r="A74" i="30"/>
  <c r="C28" i="30" l="1"/>
  <c r="D28" i="30" s="1"/>
  <c r="E28" i="30" s="1"/>
  <c r="F28" i="30" s="1"/>
  <c r="G28" i="30" s="1"/>
  <c r="H28" i="30" s="1"/>
  <c r="I28" i="30" s="1"/>
  <c r="J28" i="30" s="1"/>
  <c r="K28" i="30" s="1"/>
  <c r="L28" i="30" s="1"/>
  <c r="M28" i="30" s="1"/>
  <c r="N28" i="30" s="1"/>
  <c r="O28" i="30" s="1"/>
  <c r="P28" i="30" s="1"/>
  <c r="Q28" i="30" s="1"/>
  <c r="R28" i="30" s="1"/>
  <c r="S28" i="30" s="1"/>
  <c r="T28" i="30" s="1"/>
  <c r="U28" i="30" s="1"/>
  <c r="V28" i="30" s="1"/>
  <c r="X28" i="30" s="1"/>
  <c r="Y28" i="30" s="1"/>
  <c r="Z28" i="30" s="1"/>
  <c r="C29" i="30"/>
  <c r="D29" i="30" s="1"/>
  <c r="E29" i="30" s="1"/>
  <c r="F29" i="30" s="1"/>
  <c r="G29" i="30" s="1"/>
  <c r="H29" i="30" s="1"/>
  <c r="I29" i="30" s="1"/>
  <c r="J29" i="30" s="1"/>
  <c r="K29" i="30" s="1"/>
  <c r="L29" i="30" s="1"/>
  <c r="M29" i="30" s="1"/>
  <c r="N29" i="30" s="1"/>
  <c r="O29" i="30" s="1"/>
  <c r="P29" i="30" s="1"/>
  <c r="Q29" i="30" s="1"/>
  <c r="R29" i="30" s="1"/>
  <c r="S29" i="30" s="1"/>
  <c r="T29" i="30" s="1"/>
  <c r="U29" i="30" s="1"/>
  <c r="V29" i="30" s="1"/>
  <c r="X29" i="30" s="1"/>
  <c r="Y29" i="30" s="1"/>
  <c r="Z29" i="30" s="1"/>
  <c r="C30" i="30"/>
  <c r="D30" i="30" s="1"/>
  <c r="E30" i="30" s="1"/>
  <c r="F30" i="30" s="1"/>
  <c r="G30" i="30" s="1"/>
  <c r="H30" i="30" s="1"/>
  <c r="I30" i="30" s="1"/>
  <c r="J30" i="30" s="1"/>
  <c r="K30" i="30" s="1"/>
  <c r="L30" i="30" s="1"/>
  <c r="M30" i="30" s="1"/>
  <c r="N30" i="30" s="1"/>
  <c r="O30" i="30" s="1"/>
  <c r="P30" i="30" s="1"/>
  <c r="Q30" i="30" s="1"/>
  <c r="R30" i="30" s="1"/>
  <c r="S30" i="30" s="1"/>
  <c r="T30" i="30" s="1"/>
  <c r="U30" i="30" s="1"/>
  <c r="V30" i="30" s="1"/>
  <c r="X30" i="30" s="1"/>
  <c r="Y30" i="30" s="1"/>
  <c r="Z30" i="30" s="1"/>
  <c r="C31" i="30"/>
  <c r="D31" i="30" s="1"/>
  <c r="E31" i="30" s="1"/>
  <c r="F31" i="30" s="1"/>
  <c r="G31" i="30" s="1"/>
  <c r="H31" i="30" s="1"/>
  <c r="I31" i="30" s="1"/>
  <c r="J31" i="30" s="1"/>
  <c r="K31" i="30" s="1"/>
  <c r="L31" i="30" s="1"/>
  <c r="M31" i="30" s="1"/>
  <c r="N31" i="30" s="1"/>
  <c r="O31" i="30" s="1"/>
  <c r="P31" i="30" s="1"/>
  <c r="Q31" i="30" s="1"/>
  <c r="R31" i="30" s="1"/>
  <c r="S31" i="30" s="1"/>
  <c r="T31" i="30" s="1"/>
  <c r="U31" i="30" s="1"/>
  <c r="V31" i="30" s="1"/>
  <c r="X31" i="30" s="1"/>
  <c r="Y31" i="30" s="1"/>
  <c r="Z31" i="30" s="1"/>
  <c r="C32" i="30"/>
  <c r="D32" i="30" s="1"/>
  <c r="E32" i="30" s="1"/>
  <c r="F32" i="30" s="1"/>
  <c r="G32" i="30" s="1"/>
  <c r="H32" i="30" s="1"/>
  <c r="I32" i="30" s="1"/>
  <c r="J32" i="30" s="1"/>
  <c r="K32" i="30" s="1"/>
  <c r="L32" i="30" s="1"/>
  <c r="M32" i="30" s="1"/>
  <c r="N32" i="30" s="1"/>
  <c r="O32" i="30" s="1"/>
  <c r="P32" i="30" s="1"/>
  <c r="Q32" i="30" s="1"/>
  <c r="R32" i="30" s="1"/>
  <c r="S32" i="30" s="1"/>
  <c r="T32" i="30" s="1"/>
  <c r="U32" i="30" s="1"/>
  <c r="V32" i="30" s="1"/>
  <c r="X32" i="30" s="1"/>
  <c r="Y32" i="30" s="1"/>
  <c r="Z32" i="30" s="1"/>
  <c r="C33" i="30"/>
  <c r="D33" i="30" s="1"/>
  <c r="E33" i="30" s="1"/>
  <c r="F33" i="30" s="1"/>
  <c r="G33" i="30" s="1"/>
  <c r="H33" i="30" s="1"/>
  <c r="I33" i="30" s="1"/>
  <c r="J33" i="30" s="1"/>
  <c r="K33" i="30" s="1"/>
  <c r="L33" i="30" s="1"/>
  <c r="M33" i="30" s="1"/>
  <c r="N33" i="30" s="1"/>
  <c r="O33" i="30" s="1"/>
  <c r="P33" i="30" s="1"/>
  <c r="Q33" i="30" s="1"/>
  <c r="R33" i="30" s="1"/>
  <c r="S33" i="30" s="1"/>
  <c r="T33" i="30" s="1"/>
  <c r="U33" i="30" s="1"/>
  <c r="V33" i="30" s="1"/>
  <c r="X33" i="30" s="1"/>
  <c r="Y33" i="30" s="1"/>
  <c r="Z33" i="30" s="1"/>
  <c r="C27" i="30"/>
  <c r="D27" i="30" s="1"/>
  <c r="E27" i="30" s="1"/>
  <c r="F27" i="30" s="1"/>
  <c r="G27" i="30" s="1"/>
  <c r="H27" i="30" s="1"/>
  <c r="I27" i="30" s="1"/>
  <c r="J27" i="30" s="1"/>
  <c r="K27" i="30" s="1"/>
  <c r="L27" i="30" s="1"/>
  <c r="M27" i="30" s="1"/>
  <c r="N27" i="30" s="1"/>
  <c r="O27" i="30" s="1"/>
  <c r="P27" i="30" s="1"/>
  <c r="Q27" i="30" s="1"/>
  <c r="R27" i="30" s="1"/>
  <c r="S27" i="30" s="1"/>
  <c r="T27" i="30" s="1"/>
  <c r="U27" i="30" s="1"/>
  <c r="V27" i="30" s="1"/>
  <c r="X27" i="30" s="1"/>
  <c r="Y27" i="30" s="1"/>
  <c r="Z27" i="30" s="1"/>
  <c r="C5" i="30"/>
  <c r="C6" i="30"/>
  <c r="C7" i="30"/>
  <c r="C8" i="30"/>
  <c r="C9" i="30"/>
  <c r="C56" i="30" s="1"/>
  <c r="C10" i="30"/>
  <c r="C15" i="30"/>
  <c r="C16" i="30"/>
  <c r="C4" i="30"/>
  <c r="D4" i="30" s="1"/>
  <c r="D10" i="30" l="1"/>
  <c r="C57" i="30"/>
  <c r="D15" i="30"/>
  <c r="D8" i="30"/>
  <c r="D7" i="30"/>
  <c r="E4" i="30"/>
  <c r="D6" i="30"/>
  <c r="D16" i="30"/>
  <c r="D9" i="30"/>
  <c r="D56" i="30" s="1"/>
  <c r="D5" i="30"/>
  <c r="E10" i="30" l="1"/>
  <c r="D57" i="30"/>
  <c r="E5" i="30"/>
  <c r="E16" i="30"/>
  <c r="F4" i="30"/>
  <c r="E8" i="30"/>
  <c r="E9" i="30"/>
  <c r="E56" i="30" s="1"/>
  <c r="E6" i="30"/>
  <c r="E7" i="30"/>
  <c r="E15" i="30"/>
  <c r="F10" i="30" l="1"/>
  <c r="E57" i="30"/>
  <c r="F7" i="30"/>
  <c r="F9" i="30"/>
  <c r="F56" i="30" s="1"/>
  <c r="F8" i="30"/>
  <c r="F16" i="30"/>
  <c r="F15" i="30"/>
  <c r="F6" i="30"/>
  <c r="G4" i="30"/>
  <c r="F5" i="30"/>
  <c r="C24" i="30"/>
  <c r="C23" i="30"/>
  <c r="C13" i="30"/>
  <c r="C22" i="30"/>
  <c r="C21" i="30"/>
  <c r="G10" i="30" l="1"/>
  <c r="F57" i="30"/>
  <c r="D22" i="30"/>
  <c r="D24" i="30"/>
  <c r="G5" i="30"/>
  <c r="D13" i="30"/>
  <c r="G15" i="30"/>
  <c r="G16" i="30"/>
  <c r="G9" i="30"/>
  <c r="G56" i="30" s="1"/>
  <c r="D21" i="30"/>
  <c r="H4" i="30"/>
  <c r="G6" i="30"/>
  <c r="D23" i="30"/>
  <c r="G8" i="30"/>
  <c r="G7" i="30"/>
  <c r="C20" i="30"/>
  <c r="C18" i="30"/>
  <c r="C19" i="30"/>
  <c r="A27" i="30"/>
  <c r="A5" i="30"/>
  <c r="A6" i="30"/>
  <c r="A7" i="30"/>
  <c r="A8" i="30"/>
  <c r="A9" i="30"/>
  <c r="A10" i="30"/>
  <c r="A11" i="30"/>
  <c r="A4" i="30"/>
  <c r="H10" i="30" l="1"/>
  <c r="G57" i="30"/>
  <c r="D18" i="30"/>
  <c r="H7" i="30"/>
  <c r="E23" i="30"/>
  <c r="I4" i="30"/>
  <c r="H9" i="30"/>
  <c r="H56" i="30" s="1"/>
  <c r="H15" i="30"/>
  <c r="E24" i="30"/>
  <c r="D19" i="30"/>
  <c r="D20" i="30"/>
  <c r="H8" i="30"/>
  <c r="H6" i="30"/>
  <c r="E21" i="30"/>
  <c r="H16" i="30"/>
  <c r="E13" i="30"/>
  <c r="H5" i="30"/>
  <c r="E22" i="30"/>
  <c r="I10" i="30" l="1"/>
  <c r="H57" i="30"/>
  <c r="F22" i="30"/>
  <c r="F13" i="30"/>
  <c r="F21" i="30"/>
  <c r="I8" i="30"/>
  <c r="E19" i="30"/>
  <c r="I15" i="30"/>
  <c r="J4" i="30"/>
  <c r="I7" i="30"/>
  <c r="I5" i="30"/>
  <c r="I16" i="30"/>
  <c r="I6" i="30"/>
  <c r="E20" i="30"/>
  <c r="F24" i="30"/>
  <c r="I9" i="30"/>
  <c r="I56" i="30" s="1"/>
  <c r="F23" i="30"/>
  <c r="E18" i="30"/>
  <c r="A3" i="15"/>
  <c r="J19" i="4" l="1"/>
  <c r="J17" i="4"/>
  <c r="J18" i="4"/>
  <c r="J10" i="30"/>
  <c r="I57" i="30"/>
  <c r="F18" i="30"/>
  <c r="J9" i="30"/>
  <c r="J56" i="30" s="1"/>
  <c r="F20" i="30"/>
  <c r="J16" i="30"/>
  <c r="J7" i="30"/>
  <c r="J15" i="30"/>
  <c r="J8" i="30"/>
  <c r="G13" i="30"/>
  <c r="G23" i="30"/>
  <c r="G24" i="30"/>
  <c r="J6" i="30"/>
  <c r="J5" i="30"/>
  <c r="K4" i="30"/>
  <c r="F19" i="30"/>
  <c r="G21" i="30"/>
  <c r="G22" i="30"/>
  <c r="E6" i="17"/>
  <c r="E2" i="17"/>
  <c r="E3" i="17" s="1"/>
  <c r="E4" i="17" s="1"/>
  <c r="K10" i="30" l="1"/>
  <c r="J57" i="30"/>
  <c r="H22" i="30"/>
  <c r="G19" i="30"/>
  <c r="K5" i="30"/>
  <c r="H24" i="30"/>
  <c r="H13" i="30"/>
  <c r="K15" i="30"/>
  <c r="K16" i="30"/>
  <c r="K9" i="30"/>
  <c r="K56" i="30" s="1"/>
  <c r="H21" i="30"/>
  <c r="L4" i="30"/>
  <c r="K6" i="30"/>
  <c r="H23" i="30"/>
  <c r="K8" i="30"/>
  <c r="K7" i="30"/>
  <c r="G20" i="30"/>
  <c r="G18" i="30"/>
  <c r="L10" i="30" l="1"/>
  <c r="K57" i="30"/>
  <c r="H18" i="30"/>
  <c r="L7" i="30"/>
  <c r="I23" i="30"/>
  <c r="M4" i="30"/>
  <c r="L9" i="30"/>
  <c r="L56" i="30" s="1"/>
  <c r="L15" i="30"/>
  <c r="I24" i="30"/>
  <c r="H19" i="30"/>
  <c r="H20" i="30"/>
  <c r="L8" i="30"/>
  <c r="L6" i="30"/>
  <c r="I21" i="30"/>
  <c r="L16" i="30"/>
  <c r="I13" i="30"/>
  <c r="L5" i="30"/>
  <c r="I22" i="30"/>
  <c r="M10" i="30" l="1"/>
  <c r="L57" i="30"/>
  <c r="J22" i="30"/>
  <c r="J13" i="30"/>
  <c r="J21" i="30"/>
  <c r="M8" i="30"/>
  <c r="I19" i="30"/>
  <c r="M15" i="30"/>
  <c r="N4" i="30"/>
  <c r="M7" i="30"/>
  <c r="M5" i="30"/>
  <c r="M16" i="30"/>
  <c r="M6" i="30"/>
  <c r="I20" i="30"/>
  <c r="J24" i="30"/>
  <c r="M9" i="30"/>
  <c r="M56" i="30" s="1"/>
  <c r="J23" i="30"/>
  <c r="I18" i="30"/>
  <c r="N10" i="30" l="1"/>
  <c r="M57" i="30"/>
  <c r="J18" i="30"/>
  <c r="N9" i="30"/>
  <c r="N56" i="30" s="1"/>
  <c r="J20" i="30"/>
  <c r="N16" i="30"/>
  <c r="N7" i="30"/>
  <c r="N15" i="30"/>
  <c r="N8" i="30"/>
  <c r="K13" i="30"/>
  <c r="K23" i="30"/>
  <c r="K24" i="30"/>
  <c r="N6" i="30"/>
  <c r="N5" i="30"/>
  <c r="O4" i="30"/>
  <c r="J19" i="30"/>
  <c r="K21" i="30"/>
  <c r="K22" i="30"/>
  <c r="O10" i="30" l="1"/>
  <c r="N57" i="30"/>
  <c r="L22" i="30"/>
  <c r="K19" i="30"/>
  <c r="O5" i="30"/>
  <c r="L24" i="30"/>
  <c r="L13" i="30"/>
  <c r="O15" i="30"/>
  <c r="O16" i="30"/>
  <c r="O9" i="30"/>
  <c r="O56" i="30" s="1"/>
  <c r="L21" i="30"/>
  <c r="P4" i="30"/>
  <c r="O6" i="30"/>
  <c r="L23" i="30"/>
  <c r="O8" i="30"/>
  <c r="O7" i="30"/>
  <c r="K20" i="30"/>
  <c r="K18" i="30"/>
  <c r="P10" i="30" l="1"/>
  <c r="O57" i="30"/>
  <c r="L18" i="30"/>
  <c r="P7" i="30"/>
  <c r="M23" i="30"/>
  <c r="Q4" i="30"/>
  <c r="P9" i="30"/>
  <c r="P56" i="30" s="1"/>
  <c r="P15" i="30"/>
  <c r="M24" i="30"/>
  <c r="L19" i="30"/>
  <c r="L20" i="30"/>
  <c r="P8" i="30"/>
  <c r="P6" i="30"/>
  <c r="M21" i="30"/>
  <c r="P16" i="30"/>
  <c r="M13" i="30"/>
  <c r="P5" i="30"/>
  <c r="M22" i="30"/>
  <c r="Q10" i="30" l="1"/>
  <c r="P57" i="30"/>
  <c r="N22" i="30"/>
  <c r="N13" i="30"/>
  <c r="N21" i="30"/>
  <c r="Q8" i="30"/>
  <c r="M19" i="30"/>
  <c r="Q15" i="30"/>
  <c r="R4" i="30"/>
  <c r="Q7" i="30"/>
  <c r="Q5" i="30"/>
  <c r="Q16" i="30"/>
  <c r="Q6" i="30"/>
  <c r="M20" i="30"/>
  <c r="N24" i="30"/>
  <c r="Q9" i="30"/>
  <c r="Q56" i="30" s="1"/>
  <c r="N23" i="30"/>
  <c r="M18" i="30"/>
  <c r="R10" i="30" l="1"/>
  <c r="Q57" i="30"/>
  <c r="N18" i="30"/>
  <c r="R9" i="30"/>
  <c r="R56" i="30" s="1"/>
  <c r="N20" i="30"/>
  <c r="R16" i="30"/>
  <c r="R7" i="30"/>
  <c r="R15" i="30"/>
  <c r="R8" i="30"/>
  <c r="O13" i="30"/>
  <c r="O23" i="30"/>
  <c r="O24" i="30"/>
  <c r="R6" i="30"/>
  <c r="R5" i="30"/>
  <c r="S4" i="30"/>
  <c r="N19" i="30"/>
  <c r="O21" i="30"/>
  <c r="O22" i="30"/>
  <c r="S10" i="30" l="1"/>
  <c r="R57" i="30"/>
  <c r="P22" i="30"/>
  <c r="O19" i="30"/>
  <c r="S5" i="30"/>
  <c r="P24" i="30"/>
  <c r="P13" i="30"/>
  <c r="S15" i="30"/>
  <c r="S16" i="30"/>
  <c r="S9" i="30"/>
  <c r="S56" i="30" s="1"/>
  <c r="P21" i="30"/>
  <c r="T4" i="30"/>
  <c r="S6" i="30"/>
  <c r="P23" i="30"/>
  <c r="S8" i="30"/>
  <c r="S7" i="30"/>
  <c r="O20" i="30"/>
  <c r="O18" i="30"/>
  <c r="T10" i="30" l="1"/>
  <c r="S57" i="30"/>
  <c r="P18" i="30"/>
  <c r="T7" i="30"/>
  <c r="Q23" i="30"/>
  <c r="U4" i="30"/>
  <c r="V4" i="30" s="1"/>
  <c r="X4" i="30" s="1"/>
  <c r="Y4" i="30" s="1"/>
  <c r="Z4" i="30" s="1"/>
  <c r="T9" i="30"/>
  <c r="T56" i="30" s="1"/>
  <c r="T15" i="30"/>
  <c r="Q24" i="30"/>
  <c r="P19" i="30"/>
  <c r="P20" i="30"/>
  <c r="T8" i="30"/>
  <c r="T6" i="30"/>
  <c r="Q21" i="30"/>
  <c r="T16" i="30"/>
  <c r="Q13" i="30"/>
  <c r="T5" i="30"/>
  <c r="Q22" i="30"/>
  <c r="U10" i="30" l="1"/>
  <c r="T57" i="30"/>
  <c r="R22" i="30"/>
  <c r="R13" i="30"/>
  <c r="R21" i="30"/>
  <c r="U8" i="30"/>
  <c r="V8" i="30" s="1"/>
  <c r="X8" i="30" s="1"/>
  <c r="Y8" i="30" s="1"/>
  <c r="Z8" i="30" s="1"/>
  <c r="Q19" i="30"/>
  <c r="U15" i="30"/>
  <c r="U7" i="30"/>
  <c r="V7" i="30" s="1"/>
  <c r="X7" i="30" s="1"/>
  <c r="Y7" i="30" s="1"/>
  <c r="Z7" i="30" s="1"/>
  <c r="U5" i="30"/>
  <c r="V5" i="30" s="1"/>
  <c r="X5" i="30" s="1"/>
  <c r="Y5" i="30" s="1"/>
  <c r="Z5" i="30" s="1"/>
  <c r="U16" i="30"/>
  <c r="V16" i="30" s="1"/>
  <c r="X16" i="30" s="1"/>
  <c r="Y16" i="30" s="1"/>
  <c r="Z16" i="30" s="1"/>
  <c r="U6" i="30"/>
  <c r="V6" i="30" s="1"/>
  <c r="X6" i="30" s="1"/>
  <c r="Y6" i="30" s="1"/>
  <c r="Z6" i="30" s="1"/>
  <c r="Q20" i="30"/>
  <c r="R24" i="30"/>
  <c r="U9" i="30"/>
  <c r="R23" i="30"/>
  <c r="Q18" i="30"/>
  <c r="V15" i="30" l="1"/>
  <c r="U56" i="30"/>
  <c r="V9" i="30"/>
  <c r="U57" i="30"/>
  <c r="V10" i="30"/>
  <c r="S23" i="30"/>
  <c r="S24" i="30"/>
  <c r="S13" i="30"/>
  <c r="R18" i="30"/>
  <c r="R20" i="30"/>
  <c r="R19" i="30"/>
  <c r="S21" i="30"/>
  <c r="S22" i="30"/>
  <c r="X9" i="30" l="1"/>
  <c r="V56" i="30"/>
  <c r="X10" i="30"/>
  <c r="V57" i="30"/>
  <c r="X15" i="30"/>
  <c r="T21" i="30"/>
  <c r="S20" i="30"/>
  <c r="T13" i="30"/>
  <c r="T24" i="30"/>
  <c r="T22" i="30"/>
  <c r="S19" i="30"/>
  <c r="S18" i="30"/>
  <c r="T23" i="30"/>
  <c r="Y10" i="30" l="1"/>
  <c r="X57" i="30"/>
  <c r="Y15" i="30"/>
  <c r="X58" i="30"/>
  <c r="Y9" i="30"/>
  <c r="X56" i="30"/>
  <c r="U23" i="30"/>
  <c r="V23" i="30" s="1"/>
  <c r="X23" i="30" s="1"/>
  <c r="Y23" i="30" s="1"/>
  <c r="Z23" i="30" s="1"/>
  <c r="T19" i="30"/>
  <c r="U24" i="30"/>
  <c r="V24" i="30" s="1"/>
  <c r="X24" i="30" s="1"/>
  <c r="Y24" i="30" s="1"/>
  <c r="Z24" i="30" s="1"/>
  <c r="T20" i="30"/>
  <c r="T18" i="30"/>
  <c r="U22" i="30"/>
  <c r="V22" i="30" s="1"/>
  <c r="X22" i="30" s="1"/>
  <c r="Y22" i="30" s="1"/>
  <c r="Z22" i="30" s="1"/>
  <c r="U13" i="30"/>
  <c r="V13" i="30" s="1"/>
  <c r="X13" i="30" s="1"/>
  <c r="Y13" i="30" s="1"/>
  <c r="Z13" i="30" s="1"/>
  <c r="U21" i="30"/>
  <c r="V21" i="30" s="1"/>
  <c r="X21" i="30" s="1"/>
  <c r="Y21" i="30" s="1"/>
  <c r="Z21" i="30" s="1"/>
  <c r="Z15" i="30" l="1"/>
  <c r="Z58" i="30" s="1"/>
  <c r="Y58" i="30"/>
  <c r="Z9" i="30"/>
  <c r="Z56" i="30" s="1"/>
  <c r="Y56" i="30"/>
  <c r="Y57" i="30"/>
  <c r="Z10" i="30"/>
  <c r="Z57" i="30" s="1"/>
  <c r="U20" i="30"/>
  <c r="V20" i="30" s="1"/>
  <c r="X20" i="30" s="1"/>
  <c r="Y20" i="30" s="1"/>
  <c r="Z20" i="30" s="1"/>
  <c r="U19" i="30"/>
  <c r="V19" i="30" s="1"/>
  <c r="X19" i="30" s="1"/>
  <c r="Y19" i="30" s="1"/>
  <c r="Z19" i="30" s="1"/>
  <c r="U18" i="30"/>
  <c r="V18" i="30" s="1"/>
  <c r="X18" i="30" s="1"/>
  <c r="Y18" i="30" s="1"/>
  <c r="Z18" i="30" s="1"/>
  <c r="R48" i="37" l="1"/>
  <c r="S48" i="37" s="1"/>
  <c r="T48" i="37" s="1"/>
  <c r="U48" i="37" s="1"/>
  <c r="V48" i="37" s="1"/>
  <c r="W48" i="37" s="1"/>
  <c r="Y48" i="37" s="1"/>
  <c r="P48" i="37"/>
  <c r="N48" i="37"/>
  <c r="L48" i="37"/>
  <c r="J48" i="37"/>
  <c r="H48" i="37"/>
  <c r="F48" i="37"/>
  <c r="D48" i="37"/>
  <c r="B48" i="37"/>
  <c r="R47" i="37"/>
  <c r="S47" i="37" s="1"/>
  <c r="T47" i="37" s="1"/>
  <c r="U47" i="37" s="1"/>
  <c r="V47" i="37" s="1"/>
  <c r="W47" i="37" s="1"/>
  <c r="Y47" i="37" s="1"/>
  <c r="P47" i="37"/>
  <c r="N47" i="37"/>
  <c r="L47" i="37"/>
  <c r="J47" i="37"/>
  <c r="H47" i="37"/>
  <c r="F47" i="37"/>
  <c r="D47" i="37"/>
  <c r="B47" i="37"/>
  <c r="R46" i="37"/>
  <c r="S46" i="37" s="1"/>
  <c r="T46" i="37" s="1"/>
  <c r="U46" i="37" s="1"/>
  <c r="V46" i="37" s="1"/>
  <c r="W46" i="37" s="1"/>
  <c r="Y46" i="37" s="1"/>
  <c r="P46" i="37"/>
  <c r="N46" i="37"/>
  <c r="L46" i="37"/>
  <c r="J46" i="37"/>
  <c r="H46" i="37"/>
  <c r="F46" i="37"/>
  <c r="D46" i="37"/>
  <c r="B46" i="37"/>
  <c r="R45" i="37"/>
  <c r="S45" i="37" s="1"/>
  <c r="T45" i="37" s="1"/>
  <c r="U45" i="37" s="1"/>
  <c r="V45" i="37" s="1"/>
  <c r="W45" i="37" s="1"/>
  <c r="Y45" i="37" s="1"/>
  <c r="P45" i="37"/>
  <c r="N45" i="37"/>
  <c r="L45" i="37"/>
  <c r="J45" i="37"/>
  <c r="H45" i="37"/>
  <c r="F45" i="37"/>
  <c r="D45" i="37"/>
  <c r="B45" i="37"/>
  <c r="G45" i="37" l="1"/>
  <c r="O45" i="37"/>
  <c r="E46" i="37"/>
  <c r="M46" i="37"/>
  <c r="K47" i="37"/>
  <c r="Q48" i="37"/>
  <c r="I48" i="37"/>
  <c r="K45" i="37"/>
  <c r="I46" i="37"/>
  <c r="Q46" i="37"/>
  <c r="G47" i="37"/>
  <c r="O47" i="37"/>
  <c r="E48" i="37"/>
  <c r="M48" i="37"/>
  <c r="C45" i="37"/>
  <c r="E45" i="37"/>
  <c r="M45" i="37"/>
  <c r="C46" i="37"/>
  <c r="K46" i="37"/>
  <c r="I47" i="37"/>
  <c r="Q47" i="37"/>
  <c r="G48" i="37"/>
  <c r="O48" i="37"/>
  <c r="C47" i="37"/>
  <c r="I45" i="37"/>
  <c r="Q45" i="37"/>
  <c r="G46" i="37"/>
  <c r="O46" i="37"/>
  <c r="E47" i="37"/>
  <c r="M47" i="37"/>
  <c r="C48" i="37"/>
  <c r="K48" i="37"/>
  <c r="F42" i="37"/>
  <c r="N42" i="37"/>
  <c r="B43" i="37"/>
  <c r="J43" i="37"/>
  <c r="R43" i="37"/>
  <c r="S43" i="37" s="1"/>
  <c r="T43" i="37" s="1"/>
  <c r="U43" i="37" s="1"/>
  <c r="V43" i="37" s="1"/>
  <c r="W43" i="37" s="1"/>
  <c r="Y43" i="37" s="1"/>
  <c r="D42" i="37"/>
  <c r="L42" i="37"/>
  <c r="H43" i="37"/>
  <c r="I43" i="37" s="1"/>
  <c r="P43" i="37"/>
  <c r="B42" i="37"/>
  <c r="J42" i="37"/>
  <c r="R42" i="37"/>
  <c r="S42" i="37" s="1"/>
  <c r="T42" i="37" s="1"/>
  <c r="U42" i="37" s="1"/>
  <c r="V42" i="37" s="1"/>
  <c r="W42" i="37" s="1"/>
  <c r="Y42" i="37" s="1"/>
  <c r="F43" i="37"/>
  <c r="N43" i="37"/>
  <c r="H42" i="37"/>
  <c r="P42" i="37"/>
  <c r="D43" i="37"/>
  <c r="E43" i="37" s="1"/>
  <c r="L43" i="37"/>
  <c r="D18" i="37"/>
  <c r="F18" i="37"/>
  <c r="H18" i="37"/>
  <c r="J18" i="37"/>
  <c r="L18" i="37"/>
  <c r="N18" i="37"/>
  <c r="P18" i="37"/>
  <c r="R18" i="37"/>
  <c r="S18" i="37" s="1"/>
  <c r="T18" i="37" s="1"/>
  <c r="U18" i="37" s="1"/>
  <c r="V18" i="37" s="1"/>
  <c r="D19" i="37"/>
  <c r="F19" i="37"/>
  <c r="H19" i="37"/>
  <c r="J19" i="37"/>
  <c r="L19" i="37"/>
  <c r="N19" i="37"/>
  <c r="P19" i="37"/>
  <c r="R19" i="37"/>
  <c r="S19" i="37" s="1"/>
  <c r="T19" i="37" s="1"/>
  <c r="U19" i="37" s="1"/>
  <c r="V19" i="37" s="1"/>
  <c r="D21" i="37"/>
  <c r="F21" i="37"/>
  <c r="H21" i="37"/>
  <c r="J21" i="37"/>
  <c r="L21" i="37"/>
  <c r="N21" i="37"/>
  <c r="P21" i="37"/>
  <c r="R21" i="37"/>
  <c r="S21" i="37" s="1"/>
  <c r="T21" i="37" s="1"/>
  <c r="U21" i="37" s="1"/>
  <c r="V21" i="37" s="1"/>
  <c r="D22" i="37"/>
  <c r="F22" i="37"/>
  <c r="H22" i="37"/>
  <c r="J22" i="37"/>
  <c r="L22" i="37"/>
  <c r="N22" i="37"/>
  <c r="P22" i="37"/>
  <c r="R22" i="37"/>
  <c r="S22" i="37" s="1"/>
  <c r="T22" i="37" s="1"/>
  <c r="U22" i="37" s="1"/>
  <c r="V22" i="37" s="1"/>
  <c r="D23" i="37"/>
  <c r="F23" i="37"/>
  <c r="H23" i="37"/>
  <c r="J23" i="37"/>
  <c r="L23" i="37"/>
  <c r="N23" i="37"/>
  <c r="P23" i="37"/>
  <c r="R23" i="37"/>
  <c r="S23" i="37" s="1"/>
  <c r="T23" i="37" s="1"/>
  <c r="U23" i="37" s="1"/>
  <c r="V23" i="37" s="1"/>
  <c r="D24" i="37"/>
  <c r="F24" i="37"/>
  <c r="H24" i="37"/>
  <c r="J24" i="37"/>
  <c r="L24" i="37"/>
  <c r="N24" i="37"/>
  <c r="P24" i="37"/>
  <c r="R24" i="37"/>
  <c r="S24" i="37" s="1"/>
  <c r="T24" i="37" s="1"/>
  <c r="U24" i="37" s="1"/>
  <c r="V24" i="37" s="1"/>
  <c r="Q43" i="37" l="1"/>
  <c r="E42" i="37"/>
  <c r="O43" i="37"/>
  <c r="AA24" i="37"/>
  <c r="AB24" i="37" s="1"/>
  <c r="AC24" i="37" s="1"/>
  <c r="W24" i="37"/>
  <c r="Y24" i="37" s="1"/>
  <c r="AA22" i="37"/>
  <c r="AB22" i="37" s="1"/>
  <c r="AC22" i="37" s="1"/>
  <c r="W22" i="37"/>
  <c r="Y22" i="37" s="1"/>
  <c r="AA19" i="37"/>
  <c r="AB19" i="37" s="1"/>
  <c r="AC19" i="37" s="1"/>
  <c r="W19" i="37"/>
  <c r="Y19" i="37" s="1"/>
  <c r="AA23" i="37"/>
  <c r="AB23" i="37" s="1"/>
  <c r="AC23" i="37" s="1"/>
  <c r="W23" i="37"/>
  <c r="Y23" i="37" s="1"/>
  <c r="AA18" i="37"/>
  <c r="AB18" i="37" s="1"/>
  <c r="AC18" i="37" s="1"/>
  <c r="W18" i="37"/>
  <c r="Y18" i="37" s="1"/>
  <c r="AA21" i="37"/>
  <c r="AB21" i="37" s="1"/>
  <c r="AC21" i="37" s="1"/>
  <c r="W21" i="37"/>
  <c r="Y21" i="37" s="1"/>
  <c r="M43" i="37"/>
  <c r="K42" i="37"/>
  <c r="I42" i="37"/>
  <c r="Q42" i="37"/>
  <c r="M42" i="37"/>
  <c r="Q24" i="37"/>
  <c r="I24" i="37"/>
  <c r="Q23" i="37"/>
  <c r="I23" i="37"/>
  <c r="Q22" i="37"/>
  <c r="I22" i="37"/>
  <c r="Q18" i="37"/>
  <c r="I18" i="37"/>
  <c r="G43" i="37"/>
  <c r="G22" i="37"/>
  <c r="G21" i="37"/>
  <c r="G19" i="37"/>
  <c r="O18" i="37"/>
  <c r="M24" i="37"/>
  <c r="E24" i="37"/>
  <c r="M23" i="37"/>
  <c r="E23" i="37"/>
  <c r="M22" i="37"/>
  <c r="E22" i="37"/>
  <c r="M21" i="37"/>
  <c r="E21" i="37"/>
  <c r="M19" i="37"/>
  <c r="E19" i="37"/>
  <c r="M18" i="37"/>
  <c r="O21" i="37"/>
  <c r="O19" i="37"/>
  <c r="G18" i="37"/>
  <c r="B19" i="37"/>
  <c r="B21" i="37"/>
  <c r="K24" i="37"/>
  <c r="K23" i="37"/>
  <c r="K22" i="37"/>
  <c r="K21" i="37"/>
  <c r="K19" i="37"/>
  <c r="K18" i="37"/>
  <c r="B20" i="37"/>
  <c r="K43" i="37"/>
  <c r="Q21" i="37"/>
  <c r="I21" i="37"/>
  <c r="Q19" i="37"/>
  <c r="I19" i="37"/>
  <c r="B44" i="37"/>
  <c r="C43" i="37"/>
  <c r="B24" i="37"/>
  <c r="B22" i="37"/>
  <c r="B18" i="37"/>
  <c r="B23" i="37"/>
  <c r="O24" i="37"/>
  <c r="G24" i="37"/>
  <c r="O23" i="37"/>
  <c r="G23" i="37"/>
  <c r="O22" i="37"/>
  <c r="C42" i="37"/>
  <c r="O42" i="37"/>
  <c r="E18" i="37"/>
  <c r="G42" i="37"/>
  <c r="C24" i="37" l="1"/>
  <c r="C21" i="37"/>
  <c r="C23" i="37"/>
  <c r="C22" i="37"/>
  <c r="C18" i="37"/>
  <c r="C20" i="37"/>
  <c r="C19" i="37"/>
  <c r="D20" i="37" l="1"/>
  <c r="E20" i="37" l="1"/>
  <c r="F20" i="37" l="1"/>
  <c r="G20" i="37" l="1"/>
  <c r="H20" i="37" l="1"/>
  <c r="I20" i="37" l="1"/>
  <c r="J20" i="37" l="1"/>
  <c r="K20" i="37" l="1"/>
  <c r="L20" i="37" l="1"/>
  <c r="M20" i="37" l="1"/>
  <c r="N20" i="37" l="1"/>
  <c r="O20" i="37" l="1"/>
  <c r="P20" i="37" l="1"/>
  <c r="Q20" i="37" l="1"/>
  <c r="R20" i="37" l="1"/>
  <c r="S20" i="37" l="1"/>
  <c r="T20" i="37" l="1"/>
  <c r="V20" i="37" l="1"/>
  <c r="U20" i="37"/>
  <c r="AA20" i="37" l="1"/>
  <c r="AB20" i="37" s="1"/>
  <c r="AC20" i="37" s="1"/>
  <c r="W20" i="37"/>
  <c r="Y20" i="37" s="1"/>
  <c r="B13" i="37"/>
  <c r="P13" i="37"/>
  <c r="F13" i="37"/>
  <c r="D13" i="37"/>
  <c r="L13" i="37"/>
  <c r="H13" i="37"/>
  <c r="J13" i="37"/>
  <c r="N13" i="37"/>
  <c r="R13" i="37"/>
  <c r="P14" i="37" l="1"/>
  <c r="L14" i="37"/>
  <c r="H14" i="37"/>
  <c r="D14" i="37"/>
  <c r="R14" i="37"/>
  <c r="N14" i="37"/>
  <c r="J14" i="37"/>
  <c r="F14" i="37"/>
  <c r="I13" i="37"/>
  <c r="I14" i="37" s="1"/>
  <c r="E13" i="37"/>
  <c r="E14" i="37" s="1"/>
  <c r="Q13" i="37"/>
  <c r="Q14" i="37" s="1"/>
  <c r="O13" i="37"/>
  <c r="O14" i="37" s="1"/>
  <c r="S13" i="37"/>
  <c r="S14" i="37" s="1"/>
  <c r="C13" i="37"/>
  <c r="C14" i="37" s="1"/>
  <c r="M13" i="37"/>
  <c r="M14" i="37" s="1"/>
  <c r="G13" i="37"/>
  <c r="G14" i="37" s="1"/>
  <c r="K13" i="37"/>
  <c r="K14" i="37" s="1"/>
  <c r="T13" i="37" l="1"/>
  <c r="T14" i="37" s="1"/>
  <c r="U13" i="37" l="1"/>
  <c r="U14" i="37" s="1"/>
  <c r="V13" i="37" l="1"/>
  <c r="W13" i="37" l="1"/>
  <c r="W14" i="37" s="1"/>
  <c r="V14" i="37"/>
  <c r="Y13" i="37"/>
  <c r="AA13" i="37"/>
  <c r="AB13" i="37" s="1"/>
  <c r="AC13" i="37" s="1"/>
  <c r="Y53" i="37" l="1"/>
  <c r="Y54" i="37"/>
  <c r="Y52" i="37"/>
  <c r="Y56" i="37"/>
  <c r="Y55" i="37"/>
  <c r="C44" i="37"/>
  <c r="D44" i="37" l="1"/>
  <c r="E44" i="37" l="1"/>
  <c r="F44" i="37" l="1"/>
  <c r="G44" i="37" l="1"/>
  <c r="H44" i="37" l="1"/>
  <c r="I44" i="37" l="1"/>
  <c r="J44" i="37" l="1"/>
  <c r="K44" i="37" l="1"/>
  <c r="L44" i="37" l="1"/>
  <c r="M44" i="37" l="1"/>
  <c r="N44" i="37" l="1"/>
  <c r="O44" i="37" l="1"/>
  <c r="P44" i="37" l="1"/>
  <c r="Q44" i="37" l="1"/>
  <c r="R44" i="37" l="1"/>
  <c r="S44" i="37" l="1"/>
  <c r="T44" i="37" l="1"/>
  <c r="U44" i="37" l="1"/>
  <c r="V44" i="37" l="1"/>
  <c r="W44" i="37" s="1"/>
  <c r="Y44" i="37" s="1"/>
  <c r="M3" i="40" l="1"/>
  <c r="A8" i="15"/>
  <c r="L3" i="40"/>
  <c r="N3" i="40"/>
  <c r="A9" i="15"/>
  <c r="N18" i="40" l="1"/>
  <c r="F18" i="40" s="1"/>
  <c r="D18" i="40" s="1"/>
  <c r="N15" i="40"/>
  <c r="F15" i="40" s="1"/>
  <c r="D15" i="40" s="1"/>
  <c r="N9" i="40"/>
  <c r="F9" i="40" s="1"/>
  <c r="D9" i="40" s="1"/>
  <c r="N12" i="40"/>
  <c r="F12" i="40" s="1"/>
  <c r="D12" i="40" s="1"/>
  <c r="N6" i="40"/>
  <c r="F6" i="40" s="1"/>
  <c r="D6" i="40" s="1"/>
  <c r="M17" i="40"/>
  <c r="F17" i="40" s="1"/>
  <c r="M8" i="40"/>
  <c r="F8" i="40" s="1"/>
  <c r="M11" i="40"/>
  <c r="F11" i="40" s="1"/>
  <c r="M5" i="40"/>
  <c r="F5" i="40" s="1"/>
  <c r="M14" i="40"/>
  <c r="F14" i="40" s="1"/>
  <c r="L16" i="40"/>
  <c r="F16" i="40" s="1"/>
  <c r="L13" i="40"/>
  <c r="F13" i="40" s="1"/>
  <c r="L10" i="40"/>
  <c r="F10" i="40" s="1"/>
  <c r="L4" i="40"/>
  <c r="F4" i="40" s="1"/>
  <c r="L7" i="40"/>
  <c r="F7" i="40" s="1"/>
  <c r="A10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Ola Eriksson</author>
    <author>Ljusk Ola Eriksson</author>
  </authors>
  <commentList>
    <comment ref="D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If e &gt; 0 then there is a fixed constraint on the output volume of the factor</t>
        </r>
      </text>
    </comment>
    <comment ref="F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How much of factor available on NFI plot that is available at road side and can be used (timber incl. Other uses; residues what can be landed max.)
0 = factor not available at plot which prohibits transport from plot.</t>
        </r>
      </text>
    </comment>
    <comment ref="I1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Ljusk Ola Eriksson:</t>
        </r>
        <r>
          <rPr>
            <sz val="9"/>
            <color indexed="81"/>
            <rFont val="Tahoma"/>
            <family val="2"/>
          </rPr>
          <t xml:space="preserve">
C = coarse if left on site
F = fine 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Ljusk Ola Eriksson</author>
    <author>Ola Eriksson</author>
  </authors>
  <commentList>
    <comment ref="B37" authorId="0" shapeId="0" xr:uid="{99F7E42C-4270-4B93-9F6B-6A8B8987FED2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C37" authorId="0" shapeId="0" xr:uid="{D440C6FC-C432-469B-AA37-E8CE205FB6E8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D37" authorId="0" shapeId="0" xr:uid="{95C979C0-7140-4554-B3B9-63A8C63A7E42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E37" authorId="0" shapeId="0" xr:uid="{34BF3D42-8A42-4FD0-8E63-394B283322B4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F37" authorId="0" shapeId="0" xr:uid="{346907E3-2AC5-4C65-84B3-3D14A1635244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G37" authorId="0" shapeId="0" xr:uid="{5E1028AE-B846-4AA6-BDEB-CB609BEE8866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H37" authorId="0" shapeId="0" xr:uid="{AE9451FE-F218-45B4-A764-D7F6CE1F9ACC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I37" authorId="0" shapeId="0" xr:uid="{C000B576-7989-480D-B462-21425DD1BC82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J37" authorId="0" shapeId="0" xr:uid="{A94D53E3-4A70-4EC6-9AE1-36FDDA41D618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K37" authorId="0" shapeId="0" xr:uid="{05EF464C-2841-4636-8B77-CA09CDE14A1C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L37" authorId="0" shapeId="0" xr:uid="{E27F56CD-24B7-4CC2-9F65-0FE2ABFAD705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M37" authorId="0" shapeId="0" xr:uid="{ACFE489D-08A8-4800-B774-E867368AEE52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N37" authorId="0" shapeId="0" xr:uid="{E841114F-8B08-4568-8AC5-6404C1EBF50F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O37" authorId="0" shapeId="0" xr:uid="{DB4C3A73-A2B0-4329-A5A7-14F325D901AD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P37" authorId="0" shapeId="0" xr:uid="{1F6AC065-2C91-4768-B03F-EA508E44B9A4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Q37" authorId="0" shapeId="0" xr:uid="{71DE4132-8B68-4AC3-93AB-F73E76A46E72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R37" authorId="0" shapeId="0" xr:uid="{A2590FE1-6649-4C3B-9D8B-B2157D875E25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S37" authorId="0" shapeId="0" xr:uid="{4933604A-AEEB-4707-BD93-FEBA987B57E7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T37" authorId="0" shapeId="0" xr:uid="{60AF8C93-2A12-47F8-974F-89FF7091352E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U37" authorId="0" shapeId="0" xr:uid="{CB10FE7F-1004-41A9-B8B8-AC2D06604FD2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V37" authorId="0" shapeId="0" xr:uid="{EFB819A4-7EE6-439E-89CF-4B272DF03F93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W37" authorId="0" shapeId="0" xr:uid="{73E0CD26-D28A-4DC4-8633-934DC3290D0E}">
      <text>
        <r>
          <rPr>
            <b/>
            <sz val="9"/>
            <color indexed="81"/>
            <rFont val="Tahoma"/>
            <charset val="1"/>
          </rPr>
          <t>Ljusk Ola Eriksson:</t>
        </r>
        <r>
          <rPr>
            <sz val="9"/>
            <color indexed="81"/>
            <rFont val="Tahoma"/>
            <charset val="1"/>
          </rPr>
          <t xml:space="preserve">
=1000000*'C:\Users\jola\Dropbox\BioFrame\IIASA scenario results\[RCP_scenarios_Sweden.xlsx]IIASA2SweFor'!$B$25</t>
        </r>
      </text>
    </comment>
    <comment ref="B59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C59" authorId="1" shapeId="0" xr:uid="{00000000-0006-0000-0500-00000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D59" authorId="1" shapeId="0" xr:uid="{00000000-0006-0000-0500-00000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E59" authorId="1" shapeId="0" xr:uid="{00000000-0006-0000-0500-00000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F59" authorId="1" shapeId="0" xr:uid="{00000000-0006-0000-0500-00000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G59" authorId="1" shapeId="0" xr:uid="{00000000-0006-0000-0500-000006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H59" authorId="1" shapeId="0" xr:uid="{00000000-0006-0000-0500-000007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I59" authorId="1" shapeId="0" xr:uid="{00000000-0006-0000-0500-000008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J59" authorId="1" shapeId="0" xr:uid="{00000000-0006-0000-0500-000009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K59" authorId="1" shapeId="0" xr:uid="{00000000-0006-0000-0500-00000A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L59" authorId="1" shapeId="0" xr:uid="{00000000-0006-0000-0500-00000B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M59" authorId="1" shapeId="0" xr:uid="{00000000-0006-0000-0500-00000C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N59" authorId="1" shapeId="0" xr:uid="{00000000-0006-0000-0500-00000D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O59" authorId="1" shapeId="0" xr:uid="{00000000-0006-0000-0500-00000E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P59" authorId="1" shapeId="0" xr:uid="{00000000-0006-0000-0500-00000F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Q59" authorId="1" shapeId="0" xr:uid="{00000000-0006-0000-0500-000010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R59" authorId="1" shapeId="0" xr:uid="{00000000-0006-0000-0500-000011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S59" authorId="1" shapeId="0" xr:uid="{00000000-0006-0000-0500-000012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T59" authorId="1" shapeId="0" xr:uid="{00000000-0006-0000-0500-000013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U59" authorId="1" shapeId="0" xr:uid="{00000000-0006-0000-0500-000014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  <comment ref="V59" authorId="1" shapeId="0" xr:uid="{00000000-0006-0000-0500-000015000000}">
      <text>
        <r>
          <rPr>
            <b/>
            <sz val="9"/>
            <color indexed="81"/>
            <rFont val="Tahoma"/>
            <family val="2"/>
          </rPr>
          <t>Ola Eriksson:</t>
        </r>
        <r>
          <rPr>
            <sz val="9"/>
            <color indexed="81"/>
            <rFont val="Tahoma"/>
            <family val="2"/>
          </rPr>
          <t xml:space="preserve">
Läget på energimarknaderna
Biodrivmedel och fasta biobränslen
Februari, 2020 /flis</t>
        </r>
      </text>
    </comment>
  </commentList>
</comments>
</file>

<file path=xl/sharedStrings.xml><?xml version="1.0" encoding="utf-8"?>
<sst xmlns="http://schemas.openxmlformats.org/spreadsheetml/2006/main" count="808" uniqueCount="222">
  <si>
    <t>MWh</t>
  </si>
  <si>
    <t>ton</t>
  </si>
  <si>
    <t>MWhperTonTS</t>
  </si>
  <si>
    <t>TonTSperM3fub</t>
  </si>
  <si>
    <t>tonTS</t>
  </si>
  <si>
    <t>Decids</t>
  </si>
  <si>
    <t>Sawdst</t>
  </si>
  <si>
    <t>Chips_</t>
  </si>
  <si>
    <t>Heat__</t>
  </si>
  <si>
    <t>Electr</t>
  </si>
  <si>
    <t>PuDiss</t>
  </si>
  <si>
    <t>Sawmpi</t>
  </si>
  <si>
    <t>Sawmsp</t>
  </si>
  <si>
    <t>Sawmal</t>
  </si>
  <si>
    <t>Heatpl</t>
  </si>
  <si>
    <t>MWhperM3fub</t>
  </si>
  <si>
    <t>TonMechanicalPulpPerM3fub</t>
  </si>
  <si>
    <t>TonHalfChemicalPulpPerM3fub</t>
  </si>
  <si>
    <t>CHPpl_</t>
  </si>
  <si>
    <t>PinTim</t>
  </si>
  <si>
    <t>PinPuw</t>
  </si>
  <si>
    <t>SprTim</t>
  </si>
  <si>
    <t>SprPuw</t>
  </si>
  <si>
    <t>Period</t>
  </si>
  <si>
    <t>ResStm</t>
  </si>
  <si>
    <t>ResRot</t>
  </si>
  <si>
    <t>PuMech</t>
  </si>
  <si>
    <t>PuChem</t>
  </si>
  <si>
    <t>NwMech</t>
  </si>
  <si>
    <t>PaChem</t>
  </si>
  <si>
    <t>OtMech</t>
  </si>
  <si>
    <t>OtChem</t>
  </si>
  <si>
    <t>M3fubSawdustPerM3fub</t>
  </si>
  <si>
    <t>M3fubChipsM3fub</t>
  </si>
  <si>
    <t>M3svPerM3fub</t>
  </si>
  <si>
    <t>Length (y)</t>
  </si>
  <si>
    <t>MaxImports</t>
  </si>
  <si>
    <t>ImportPrices</t>
  </si>
  <si>
    <t>PuBCCS</t>
  </si>
  <si>
    <t>TonPaChemPerTonPu</t>
  </si>
  <si>
    <t>TonOtChemPerTonPu</t>
  </si>
  <si>
    <t>TonOtMechPerTonPu</t>
  </si>
  <si>
    <t>TonNwMechPerTonPu</t>
  </si>
  <si>
    <t>PuCTMP</t>
  </si>
  <si>
    <t>Wood input</t>
  </si>
  <si>
    <t>MWhPerTonPuChem</t>
  </si>
  <si>
    <t>MWhPerTonPpChem</t>
  </si>
  <si>
    <t>MWhPerTonPuBCCS</t>
  </si>
  <si>
    <t>MWhPerTonPpBCCS</t>
  </si>
  <si>
    <t>MWhPerTonPuMech</t>
  </si>
  <si>
    <t>PaBCCS</t>
  </si>
  <si>
    <t>OtBCCS</t>
  </si>
  <si>
    <t>HeatPlantEfficiency</t>
  </si>
  <si>
    <t>BioFue</t>
  </si>
  <si>
    <t>Electricity output</t>
  </si>
  <si>
    <t>MWhPerMWhBiofuel</t>
  </si>
  <si>
    <t>TonSulphateSulphitePulpPerM3fub</t>
  </si>
  <si>
    <t>TonDissolvingPulpPerM3fub</t>
  </si>
  <si>
    <t>HTLPlantEfficiency</t>
  </si>
  <si>
    <t>Investment</t>
  </si>
  <si>
    <t>Fixed cost</t>
  </si>
  <si>
    <t>Depreciation period</t>
  </si>
  <si>
    <t>CHPPlantEfficiency</t>
  </si>
  <si>
    <t>Process</t>
  </si>
  <si>
    <t>Output</t>
  </si>
  <si>
    <t>Input</t>
  </si>
  <si>
    <t>DefaultCF</t>
  </si>
  <si>
    <t>MWhPerTonPuCTMP</t>
  </si>
  <si>
    <t>MWhPerTonPuDiss</t>
  </si>
  <si>
    <t>Quantity for demand function (elasticity &lt; 0)</t>
  </si>
  <si>
    <t>Price - SEK</t>
  </si>
  <si>
    <t>CperTS</t>
  </si>
  <si>
    <t>CperCO2</t>
  </si>
  <si>
    <t>Unit</t>
  </si>
  <si>
    <t>Column1</t>
  </si>
  <si>
    <t>Column2</t>
  </si>
  <si>
    <t>Column3</t>
  </si>
  <si>
    <t>Column4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</si>
  <si>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</si>
  <si>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</si>
  <si>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</si>
  <si>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</si>
  <si>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</si>
  <si>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</si>
  <si>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</si>
  <si>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</si>
  <si>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</si>
  <si>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</si>
  <si>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</si>
  <si>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</si>
  <si>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</si>
  <si>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</si>
  <si>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</si>
  <si>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</si>
  <si>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</si>
  <si>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</si>
  <si>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</si>
  <si>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</si>
  <si>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</si>
  <si>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</si>
  <si>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</si>
  <si>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</si>
  <si>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</si>
  <si>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MWhperTonDM</t>
  </si>
  <si>
    <t>TonDMperM3fub</t>
  </si>
  <si>
    <t xml:space="preserve">Output factor for costs </t>
  </si>
  <si>
    <t>DF product</t>
  </si>
  <si>
    <t>DF finish</t>
  </si>
  <si>
    <t>C per Unit</t>
  </si>
  <si>
    <t>IO</t>
  </si>
  <si>
    <t>Factor</t>
  </si>
  <si>
    <t>SweFor name</t>
  </si>
  <si>
    <t>Ela-sticity</t>
  </si>
  <si>
    <t>Extrac-tion Rate</t>
  </si>
  <si>
    <t>Pine saw timber</t>
  </si>
  <si>
    <t>Pine pulpwood</t>
  </si>
  <si>
    <t>Spruce saw timber</t>
  </si>
  <si>
    <t>Spruce pulpwood</t>
  </si>
  <si>
    <t>Sawdust</t>
  </si>
  <si>
    <t>Chips</t>
  </si>
  <si>
    <t>Residues above gr.</t>
  </si>
  <si>
    <t>Stump and roots</t>
  </si>
  <si>
    <t>Heat</t>
  </si>
  <si>
    <t>Electricity</t>
  </si>
  <si>
    <t>Biofuel</t>
  </si>
  <si>
    <t>Pulp chem. process</t>
  </si>
  <si>
    <t>Pulp mech. process</t>
  </si>
  <si>
    <t>Dissolving pulp</t>
  </si>
  <si>
    <t>Packaging</t>
  </si>
  <si>
    <t>Other paper chem.</t>
  </si>
  <si>
    <t>Other paper mech.</t>
  </si>
  <si>
    <t>Newsprint</t>
  </si>
  <si>
    <t>m3sw</t>
  </si>
  <si>
    <t/>
  </si>
  <si>
    <t>DF half-life</t>
  </si>
  <si>
    <t>Initial (tC)</t>
  </si>
  <si>
    <t>Sensitivity analysis coeff.</t>
  </si>
  <si>
    <t>E</t>
  </si>
  <si>
    <t>P</t>
  </si>
  <si>
    <t>F</t>
  </si>
  <si>
    <t>Dermined by elasticity</t>
  </si>
  <si>
    <t>Perfect elasticity</t>
  </si>
  <si>
    <t>D</t>
  </si>
  <si>
    <t xml:space="preserve">The demanded quantity should be met exactly </t>
  </si>
  <si>
    <t>The demanded quantititity should be met exactly and in propotion to initial capacity of each facility</t>
  </si>
  <si>
    <t>FTDpl_</t>
  </si>
  <si>
    <t>FTDPlantEfficiency</t>
  </si>
  <si>
    <t>SoilCtype</t>
  </si>
  <si>
    <t>C</t>
  </si>
  <si>
    <t>ForFue</t>
  </si>
  <si>
    <t>Forest fuel all kinds</t>
  </si>
  <si>
    <t>TerTsp</t>
  </si>
  <si>
    <t>AllTim</t>
  </si>
  <si>
    <t>AllPuw</t>
  </si>
  <si>
    <t>Timber all kinds</t>
  </si>
  <si>
    <t>Pulpwood all kinds</t>
  </si>
  <si>
    <t>m3fub</t>
  </si>
  <si>
    <t>TerTal</t>
  </si>
  <si>
    <t>TerPsp</t>
  </si>
  <si>
    <t>TerPal</t>
  </si>
  <si>
    <t>TerHea</t>
  </si>
  <si>
    <t>Factor --&gt; Process</t>
  </si>
  <si>
    <t>TerFTD</t>
  </si>
  <si>
    <t>Column32</t>
  </si>
  <si>
    <t>ProcessCostPerInputUnit</t>
  </si>
  <si>
    <t>SEK</t>
  </si>
  <si>
    <t>Transports</t>
  </si>
  <si>
    <t>Fixed</t>
  </si>
  <si>
    <t>Variable</t>
  </si>
  <si>
    <t>Options</t>
  </si>
  <si>
    <t>TrpFactors</t>
  </si>
  <si>
    <t>Y</t>
  </si>
  <si>
    <t>Max trp</t>
  </si>
  <si>
    <t>Fixed trp cost</t>
  </si>
  <si>
    <t>Variable trp cost</t>
  </si>
  <si>
    <t>Commodity type</t>
  </si>
  <si>
    <t>L</t>
  </si>
  <si>
    <t>Logs</t>
  </si>
  <si>
    <t>R</t>
  </si>
  <si>
    <t>B</t>
  </si>
  <si>
    <t>Byproducts</t>
  </si>
  <si>
    <t>Residues and input to energy production</t>
  </si>
  <si>
    <t>Birch saw timber</t>
  </si>
  <si>
    <t>BerTim</t>
  </si>
  <si>
    <t>Sawmbe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</si>
  <si>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</si>
  <si>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</si>
  <si>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</si>
  <si>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</si>
  <si>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</si>
  <si>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</si>
  <si>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</si>
  <si>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</si>
  <si>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</si>
  <si>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Sawn coniferous</t>
  </si>
  <si>
    <t>Sawn birch</t>
  </si>
  <si>
    <t>Sawnco</t>
  </si>
  <si>
    <t>Sawnbe</t>
  </si>
  <si>
    <t>MinTrpVol</t>
  </si>
  <si>
    <t>Deciduous pulpwood</t>
  </si>
  <si>
    <t>Particle board</t>
  </si>
  <si>
    <t>ParBoa</t>
  </si>
  <si>
    <t>Parboa</t>
  </si>
  <si>
    <t>252</t>
  </si>
  <si>
    <t>Column5</t>
  </si>
  <si>
    <t>M3fubPaBoaPerM3fubSawdust</t>
  </si>
  <si>
    <t>253</t>
  </si>
  <si>
    <t>254</t>
  </si>
  <si>
    <t>255</t>
  </si>
  <si>
    <t>256</t>
  </si>
  <si>
    <t>M3fubPaBoaPerM3fubSprPuw</t>
  </si>
  <si>
    <t>M3fubPaBoaPerM3fubDecids</t>
  </si>
  <si>
    <t>M3fubPaBoaPerM3fubPinPuw</t>
  </si>
  <si>
    <t>257</t>
  </si>
  <si>
    <t>M3fubParBoaPerM3fub</t>
  </si>
  <si>
    <t>MWhperM3fubParBoa</t>
  </si>
  <si>
    <t>Column33</t>
  </si>
  <si>
    <t>FixedMix</t>
  </si>
  <si>
    <t>share</t>
  </si>
  <si>
    <t>Fibre board</t>
  </si>
  <si>
    <t>FibBoa</t>
  </si>
  <si>
    <t>NewCapacity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</si>
</sst>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"/>
  </numFmts>
  <fonts count="28" x14ac:knownFonts="1">
    <font>
      <sz val="11"/>
      <color theme="1"/>
      <name val="Trebuchet MS"/>
      <family val="2"/>
      <scheme val="minor"/>
    </font>
    <font>
      <b/>
      <sz val="11"/>
      <color theme="1"/>
      <name val="Trebuchet MS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0"/>
      <name val="Trebuchet MS"/>
      <family val="2"/>
      <scheme val="minor"/>
    </font>
    <font>
      <b/>
      <sz val="14"/>
      <color theme="1"/>
      <name val="Trebuchet MS"/>
      <family val="2"/>
      <scheme val="minor"/>
    </font>
    <font>
      <i/>
      <sz val="11"/>
      <color theme="1"/>
      <name val="Trebuchet MS"/>
      <family val="2"/>
      <scheme val="minor"/>
    </font>
    <font>
      <sz val="1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10"/>
      <name val="Trebuchet MS"/>
      <family val="2"/>
      <scheme val="minor"/>
    </font>
    <font>
      <sz val="10"/>
      <color theme="0"/>
      <name val="Trebuchet MS"/>
      <family val="2"/>
      <scheme val="minor"/>
    </font>
    <font>
      <i/>
      <sz val="10"/>
      <color theme="0"/>
      <name val="Trebuchet MS"/>
      <family val="2"/>
      <scheme val="minor"/>
    </font>
    <font>
      <sz val="10"/>
      <color theme="1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b/>
      <sz val="11"/>
      <color theme="0"/>
      <name val="Trebuchet MS"/>
      <family val="2"/>
      <scheme val="minor"/>
    </font>
    <font>
      <sz val="8"/>
      <color theme="1"/>
      <name val="Trebuchet MS"/>
      <family val="2"/>
      <scheme val="minor"/>
    </font>
    <font>
      <i/>
      <sz val="8"/>
      <color theme="1"/>
      <name val="Trebuchet MS"/>
      <family val="2"/>
      <scheme val="minor"/>
    </font>
    <font>
      <sz val="10"/>
      <color theme="1"/>
      <name val="Trebuchet MS"/>
      <family val="2"/>
      <scheme val="minor"/>
    </font>
    <font>
      <i/>
      <sz val="10"/>
      <color theme="1"/>
      <name val="Trebuchet MS"/>
      <family val="2"/>
      <scheme val="minor"/>
    </font>
    <font>
      <sz val="10"/>
      <color theme="1"/>
      <name val="Trebuchet MS"/>
      <scheme val="minor"/>
    </font>
    <font>
      <sz val="10"/>
      <name val="Trebuchet MS"/>
      <scheme val="minor"/>
    </font>
    <font>
      <sz val="10"/>
      <color rgb="FFFF0000"/>
      <name val="Trebuchet MS"/>
      <family val="2"/>
      <scheme val="minor"/>
    </font>
    <font>
      <sz val="10"/>
      <color theme="9"/>
      <name val="Trebuchet MS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8"/>
      <name val="Trebuchet MS"/>
      <family val="2"/>
      <scheme val="minor"/>
    </font>
    <font>
      <i/>
      <sz val="10"/>
      <color theme="1"/>
      <name val="Trebuchet MS"/>
      <scheme val="minor"/>
    </font>
    <font>
      <sz val="11"/>
      <color theme="1"/>
      <name val="Trebuchet MS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Fill="1"/>
    <xf numFmtId="0" fontId="1" fillId="0" borderId="0" xfId="0" applyFont="1"/>
    <xf numFmtId="3" fontId="0" fillId="0" borderId="0" xfId="0" applyNumberFormat="1"/>
    <xf numFmtId="3" fontId="0" fillId="2" borderId="0" xfId="0" applyNumberFormat="1" applyFill="1"/>
    <xf numFmtId="2" fontId="0" fillId="0" borderId="0" xfId="0" applyNumberFormat="1"/>
    <xf numFmtId="0" fontId="0" fillId="0" borderId="0" xfId="0" applyBorder="1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0" borderId="0" xfId="0" applyBorder="1" applyAlignment="1">
      <alignment wrapText="1"/>
    </xf>
    <xf numFmtId="3" fontId="0" fillId="0" borderId="0" xfId="0" applyNumberFormat="1" applyBorder="1" applyAlignment="1">
      <alignment wrapText="1"/>
    </xf>
    <xf numFmtId="4" fontId="0" fillId="0" borderId="0" xfId="0" applyNumberFormat="1"/>
    <xf numFmtId="0" fontId="0" fillId="0" borderId="0" xfId="0" applyFill="1" applyBorder="1"/>
    <xf numFmtId="3" fontId="0" fillId="3" borderId="0" xfId="0" applyNumberFormat="1" applyFill="1"/>
    <xf numFmtId="3" fontId="0" fillId="4" borderId="0" xfId="0" applyNumberFormat="1" applyFill="1"/>
    <xf numFmtId="164" fontId="0" fillId="0" borderId="0" xfId="0" applyNumberFormat="1"/>
    <xf numFmtId="0" fontId="8" fillId="0" borderId="0" xfId="0" applyFont="1" applyFill="1" applyBorder="1" applyAlignment="1">
      <alignment wrapText="1"/>
    </xf>
    <xf numFmtId="0" fontId="0" fillId="0" borderId="0" xfId="0" applyFont="1" applyFill="1" applyBorder="1"/>
    <xf numFmtId="164" fontId="8" fillId="0" borderId="0" xfId="0" applyNumberFormat="1" applyFont="1" applyFill="1" applyBorder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164" fontId="0" fillId="0" borderId="0" xfId="0" quotePrefix="1" applyNumberFormat="1"/>
    <xf numFmtId="164" fontId="14" fillId="0" borderId="0" xfId="0" applyNumberFormat="1" applyFont="1" applyFill="1" applyBorder="1" applyAlignment="1">
      <alignment wrapText="1"/>
    </xf>
    <xf numFmtId="164" fontId="0" fillId="0" borderId="0" xfId="0" applyNumberFormat="1" applyAlignment="1">
      <alignment horizontal="right"/>
    </xf>
    <xf numFmtId="164" fontId="0" fillId="0" borderId="0" xfId="0" quotePrefix="1" applyNumberFormat="1" applyAlignment="1">
      <alignment horizontal="right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2" fontId="0" fillId="0" borderId="0" xfId="0" applyNumberFormat="1" applyAlignment="1">
      <alignment horizontal="right"/>
    </xf>
    <xf numFmtId="0" fontId="0" fillId="0" borderId="0" xfId="0"/>
    <xf numFmtId="0" fontId="1" fillId="0" borderId="0" xfId="0" applyFont="1"/>
    <xf numFmtId="3" fontId="0" fillId="0" borderId="0" xfId="0" applyNumberFormat="1"/>
    <xf numFmtId="0" fontId="0" fillId="2" borderId="0" xfId="0" applyFill="1"/>
    <xf numFmtId="0" fontId="0" fillId="0" borderId="0" xfId="0" applyFill="1" applyBorder="1"/>
    <xf numFmtId="0" fontId="4" fillId="5" borderId="0" xfId="0" applyFont="1" applyFill="1" applyBorder="1"/>
    <xf numFmtId="0" fontId="10" fillId="5" borderId="0" xfId="0" applyFont="1" applyFill="1" applyBorder="1" applyAlignment="1">
      <alignment textRotation="90"/>
    </xf>
    <xf numFmtId="0" fontId="11" fillId="5" borderId="0" xfId="0" applyFont="1" applyFill="1" applyBorder="1" applyAlignment="1">
      <alignment textRotation="90"/>
    </xf>
    <xf numFmtId="0" fontId="12" fillId="0" borderId="0" xfId="0" applyFont="1" applyFill="1" applyBorder="1" applyAlignment="1">
      <alignment textRotation="90"/>
    </xf>
    <xf numFmtId="0" fontId="13" fillId="0" borderId="0" xfId="0" applyFont="1" applyFill="1" applyBorder="1" applyAlignment="1">
      <alignment textRotation="90"/>
    </xf>
    <xf numFmtId="0" fontId="9" fillId="0" borderId="0" xfId="0" applyFont="1" applyFill="1" applyBorder="1" applyAlignment="1"/>
    <xf numFmtId="0" fontId="10" fillId="0" borderId="0" xfId="0" applyFont="1" applyFill="1" applyBorder="1" applyAlignment="1"/>
    <xf numFmtId="0" fontId="11" fillId="0" borderId="0" xfId="0" applyFont="1" applyFill="1" applyBorder="1" applyAlignment="1"/>
    <xf numFmtId="0" fontId="7" fillId="0" borderId="0" xfId="0" applyFont="1" applyFill="1" applyBorder="1" applyAlignment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right"/>
    </xf>
    <xf numFmtId="2" fontId="12" fillId="0" borderId="0" xfId="0" applyNumberFormat="1" applyFont="1" applyFill="1" applyBorder="1" applyAlignment="1"/>
    <xf numFmtId="0" fontId="0" fillId="0" borderId="0" xfId="0" quotePrefix="1" applyAlignment="1">
      <alignment horizontal="right"/>
    </xf>
    <xf numFmtId="2" fontId="15" fillId="0" borderId="0" xfId="0" applyNumberFormat="1" applyFont="1" applyFill="1" applyBorder="1" applyAlignment="1"/>
    <xf numFmtId="2" fontId="16" fillId="0" borderId="0" xfId="0" applyNumberFormat="1" applyFont="1" applyFill="1" applyBorder="1" applyAlignment="1"/>
    <xf numFmtId="0" fontId="0" fillId="3" borderId="0" xfId="0" applyFill="1"/>
    <xf numFmtId="0" fontId="0" fillId="7" borderId="0" xfId="0" applyFill="1"/>
    <xf numFmtId="0" fontId="6" fillId="0" borderId="0" xfId="0" applyFont="1" applyAlignment="1">
      <alignment textRotation="90" wrapText="1"/>
    </xf>
    <xf numFmtId="0" fontId="12" fillId="0" borderId="0" xfId="0" applyFont="1" applyFill="1" applyBorder="1" applyAlignment="1"/>
    <xf numFmtId="2" fontId="12" fillId="0" borderId="0" xfId="0" applyNumberFormat="1" applyFont="1" applyFill="1" applyBorder="1" applyAlignment="1"/>
    <xf numFmtId="2" fontId="15" fillId="0" borderId="0" xfId="0" applyNumberFormat="1" applyFont="1" applyFill="1" applyBorder="1" applyAlignment="1"/>
    <xf numFmtId="2" fontId="16" fillId="0" borderId="0" xfId="0" applyNumberFormat="1" applyFont="1" applyFill="1" applyBorder="1" applyAlignment="1"/>
    <xf numFmtId="0" fontId="0" fillId="0" borderId="0" xfId="0"/>
    <xf numFmtId="0" fontId="0" fillId="0" borderId="0" xfId="0" applyFill="1"/>
    <xf numFmtId="3" fontId="0" fillId="0" borderId="0" xfId="0" applyNumberFormat="1"/>
    <xf numFmtId="3" fontId="0" fillId="2" borderId="0" xfId="0" applyNumberFormat="1" applyFill="1"/>
    <xf numFmtId="0" fontId="0" fillId="2" borderId="0" xfId="0" applyFill="1"/>
    <xf numFmtId="0" fontId="5" fillId="0" borderId="0" xfId="0" applyFont="1"/>
    <xf numFmtId="0" fontId="0" fillId="0" borderId="0" xfId="0" applyFill="1" applyBorder="1"/>
    <xf numFmtId="3" fontId="0" fillId="3" borderId="0" xfId="0" applyNumberFormat="1" applyFill="1"/>
    <xf numFmtId="0" fontId="0" fillId="0" borderId="0" xfId="0" applyAlignment="1">
      <alignment horizontal="center" wrapText="1"/>
    </xf>
    <xf numFmtId="0" fontId="10" fillId="5" borderId="0" xfId="0" applyFont="1" applyFill="1" applyBorder="1" applyAlignment="1">
      <alignment textRotation="90"/>
    </xf>
    <xf numFmtId="0" fontId="12" fillId="0" borderId="0" xfId="0" applyFont="1" applyFill="1" applyBorder="1" applyAlignment="1">
      <alignment textRotation="90"/>
    </xf>
    <xf numFmtId="0" fontId="9" fillId="0" borderId="0" xfId="0" applyFont="1" applyFill="1" applyBorder="1" applyAlignment="1"/>
    <xf numFmtId="0" fontId="12" fillId="0" borderId="0" xfId="0" applyFont="1" applyFill="1" applyBorder="1" applyAlignment="1"/>
    <xf numFmtId="0" fontId="12" fillId="0" borderId="0" xfId="0" applyFont="1" applyFill="1" applyBorder="1" applyAlignment="1">
      <alignment horizontal="right"/>
    </xf>
    <xf numFmtId="2" fontId="12" fillId="0" borderId="0" xfId="0" applyNumberFormat="1" applyFont="1" applyFill="1" applyBorder="1" applyAlignment="1"/>
    <xf numFmtId="2" fontId="15" fillId="0" borderId="0" xfId="0" applyNumberFormat="1" applyFont="1" applyFill="1" applyBorder="1" applyAlignment="1"/>
    <xf numFmtId="2" fontId="16" fillId="0" borderId="0" xfId="0" applyNumberFormat="1" applyFont="1" applyFill="1" applyBorder="1" applyAlignment="1"/>
    <xf numFmtId="0" fontId="17" fillId="0" borderId="0" xfId="0" applyFont="1" applyFill="1" applyBorder="1" applyAlignment="1">
      <alignment textRotation="90"/>
    </xf>
    <xf numFmtId="2" fontId="17" fillId="0" borderId="0" xfId="0" applyNumberFormat="1" applyFont="1" applyFill="1" applyBorder="1" applyAlignment="1">
      <alignment textRotation="90"/>
    </xf>
    <xf numFmtId="2" fontId="18" fillId="0" borderId="0" xfId="0" applyNumberFormat="1" applyFont="1" applyFill="1" applyBorder="1" applyAlignment="1">
      <alignment textRotation="90"/>
    </xf>
    <xf numFmtId="3" fontId="12" fillId="0" borderId="0" xfId="0" applyNumberFormat="1" applyFont="1" applyFill="1" applyBorder="1" applyAlignment="1"/>
    <xf numFmtId="3" fontId="12" fillId="8" borderId="0" xfId="0" applyNumberFormat="1" applyFont="1" applyFill="1" applyBorder="1" applyAlignment="1"/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Fill="1"/>
    <xf numFmtId="0" fontId="0" fillId="2" borderId="0" xfId="0" applyFill="1"/>
    <xf numFmtId="2" fontId="0" fillId="2" borderId="0" xfId="0" applyNumberFormat="1" applyFill="1"/>
    <xf numFmtId="0" fontId="0" fillId="2" borderId="0" xfId="0" applyFill="1"/>
    <xf numFmtId="0" fontId="6" fillId="0" borderId="0" xfId="0" applyFont="1" applyAlignment="1">
      <alignment wrapText="1"/>
    </xf>
    <xf numFmtId="1" fontId="4" fillId="5" borderId="0" xfId="0" applyNumberFormat="1" applyFont="1" applyFill="1"/>
    <xf numFmtId="3" fontId="12" fillId="0" borderId="0" xfId="0" applyNumberFormat="1" applyFont="1" applyFill="1" applyBorder="1" applyAlignment="1"/>
    <xf numFmtId="2" fontId="19" fillId="0" borderId="0" xfId="0" applyNumberFormat="1" applyFont="1" applyFill="1" applyBorder="1" applyAlignment="1">
      <alignment textRotation="90"/>
    </xf>
    <xf numFmtId="0" fontId="20" fillId="0" borderId="0" xfId="0" applyFont="1" applyFill="1" applyBorder="1" applyAlignment="1"/>
    <xf numFmtId="2" fontId="12" fillId="0" borderId="0" xfId="0" applyNumberFormat="1" applyFont="1" applyFill="1" applyBorder="1" applyAlignment="1">
      <alignment textRotation="90"/>
    </xf>
    <xf numFmtId="2" fontId="21" fillId="0" borderId="0" xfId="0" applyNumberFormat="1" applyFont="1" applyFill="1" applyBorder="1" applyAlignment="1"/>
    <xf numFmtId="2" fontId="22" fillId="0" borderId="0" xfId="0" applyNumberFormat="1" applyFont="1" applyFill="1" applyBorder="1" applyAlignment="1"/>
    <xf numFmtId="1" fontId="0" fillId="0" borderId="0" xfId="0" applyNumberFormat="1"/>
    <xf numFmtId="3" fontId="0" fillId="0" borderId="0" xfId="0" applyNumberFormat="1"/>
    <xf numFmtId="3" fontId="0" fillId="2" borderId="0" xfId="0" applyNumberFormat="1" applyFill="1"/>
    <xf numFmtId="3" fontId="0" fillId="6" borderId="0" xfId="0" applyNumberFormat="1" applyFill="1"/>
    <xf numFmtId="0" fontId="0" fillId="0" borderId="0" xfId="0" applyNumberFormat="1" applyBorder="1"/>
    <xf numFmtId="0" fontId="12" fillId="0" borderId="0" xfId="0" applyFont="1"/>
    <xf numFmtId="2" fontId="26" fillId="0" borderId="0" xfId="0" applyNumberFormat="1" applyFont="1" applyFill="1" applyBorder="1" applyAlignment="1">
      <alignment textRotation="90"/>
    </xf>
    <xf numFmtId="4" fontId="12" fillId="0" borderId="0" xfId="0" applyNumberFormat="1" applyFont="1" applyFill="1" applyBorder="1" applyAlignment="1"/>
    <xf numFmtId="2" fontId="13" fillId="0" borderId="0" xfId="0" applyNumberFormat="1" applyFont="1" applyFill="1" applyBorder="1" applyAlignment="1">
      <alignment textRotation="90"/>
    </xf>
    <xf numFmtId="3" fontId="0" fillId="0" borderId="0" xfId="0" applyNumberFormat="1" applyFill="1"/>
    <xf numFmtId="164" fontId="27" fillId="0" borderId="0" xfId="0" applyNumberFormat="1" applyFont="1" applyFill="1" applyBorder="1"/>
    <xf numFmtId="165" fontId="27" fillId="0" borderId="0" xfId="0" applyNumberFormat="1" applyFont="1" applyFill="1" applyBorder="1"/>
    <xf numFmtId="0" fontId="27" fillId="0" borderId="0" xfId="0" applyFont="1" applyFill="1" applyBorder="1"/>
  </cellXfs>
  <cellStyles count="1">
    <cellStyle name="Normal" xfId="0" builtinId="0"/>
  </cellStyles>
  <dxfs count="113"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color auto="1"/>
      </font>
    </dxf>
    <dxf>
      <font>
        <color rgb="FF9C0006"/>
      </font>
      <fill>
        <patternFill>
          <bgColor rgb="FFFFC7CE"/>
        </patternFill>
      </fill>
    </dxf>
    <dxf>
      <font>
        <color auto="1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rebuchet MS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numFmt numFmtId="2" formatCode="0.00"/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Trebuchet MS"/>
        <scheme val="minor"/>
      </font>
      <fill>
        <patternFill patternType="none">
          <fgColor indexed="64"/>
          <bgColor indexed="65"/>
        </patternFill>
      </fill>
      <alignment vertical="bottom" textRotation="9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rebuchet MS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rebuchet MS"/>
        <scheme val="minor"/>
      </font>
      <fill>
        <patternFill patternType="none">
          <fgColor indexed="64"/>
          <bgColor indexed="65"/>
        </patternFill>
      </fill>
    </dxf>
    <dxf>
      <alignment horizontal="right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numFmt numFmtId="1" formatCode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</dxfs>
  <tableStyles count="2" defaultTableStyle="TableStyleMedium2" defaultPivotStyle="PivotStyleLight16">
    <tableStyle name="Table Style 1" pivot="0" count="0" xr9:uid="{00000000-0011-0000-FFFF-FFFF00000000}"/>
    <tableStyle name="Table Style 2" pivot="0" count="0" xr9:uid="{00000000-0011-0000-FFFF-FFFF01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ysisFacilities%23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la\Dropbox\BioFrame\IIASA%20scenario%20results\RCP_scenarios_Swed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rt"/>
      <sheetName val="Heatingpl"/>
      <sheetName val="P&amp;P"/>
      <sheetName val="CostAnalysis"/>
      <sheetName val="FAOSTAT_data_11-21-2020"/>
      <sheetName val="Scenarios"/>
      <sheetName val="ScenAssump"/>
      <sheetName val="LogFunc"/>
      <sheetName val="Elast"/>
      <sheetName val="BCCS"/>
      <sheetName val="Biofuel"/>
      <sheetName val="ElP&amp;P"/>
      <sheetName val="DF"/>
      <sheetName val="Harvest"/>
      <sheetName val="SetAside"/>
      <sheetName val="SawMill"/>
      <sheetName val="Particle 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C2">
            <v>308.78873239436621</v>
          </cell>
        </row>
        <row r="18">
          <cell r="K18">
            <v>0.25456160291260915</v>
          </cell>
          <cell r="Y18">
            <v>0.25456160291260915</v>
          </cell>
        </row>
        <row r="19">
          <cell r="K19">
            <v>0.17797461422516755</v>
          </cell>
          <cell r="Y19">
            <v>0.17797461422516755</v>
          </cell>
        </row>
        <row r="20">
          <cell r="K20">
            <v>0.45861152108304742</v>
          </cell>
          <cell r="Y20">
            <v>0.48049868223590353</v>
          </cell>
        </row>
      </sheetData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"/>
      <sheetName val="IIASA2SweFor"/>
      <sheetName val="Forest_products"/>
      <sheetName val="Semi_finished_products"/>
      <sheetName val="Prices"/>
      <sheetName val="Net_export"/>
    </sheetNames>
    <sheetDataSet>
      <sheetData sheetId="0" refreshError="1"/>
      <sheetData sheetId="1" refreshError="1">
        <row r="8">
          <cell r="J8">
            <v>7543.8622572003678</v>
          </cell>
          <cell r="K8">
            <v>7543.8622572003678</v>
          </cell>
          <cell r="L8">
            <v>7543.8622572003678</v>
          </cell>
          <cell r="M8">
            <v>7543.8622572003678</v>
          </cell>
          <cell r="N8">
            <v>7543.8622572003678</v>
          </cell>
          <cell r="O8">
            <v>7543.8622572003678</v>
          </cell>
          <cell r="P8">
            <v>7543.8622572003678</v>
          </cell>
          <cell r="Q8">
            <v>7543.8622572003678</v>
          </cell>
          <cell r="R8">
            <v>7543.8622572003678</v>
          </cell>
          <cell r="S8">
            <v>7543.8622572003678</v>
          </cell>
          <cell r="T8">
            <v>7543.8622572003678</v>
          </cell>
          <cell r="U8">
            <v>7543.8622572003678</v>
          </cell>
          <cell r="V8">
            <v>7543.8622572003678</v>
          </cell>
          <cell r="W8">
            <v>7543.8622572003678</v>
          </cell>
          <cell r="X8">
            <v>7543.8622572003678</v>
          </cell>
          <cell r="Y8">
            <v>7543.8622572003678</v>
          </cell>
          <cell r="Z8">
            <v>7543.8622572003678</v>
          </cell>
          <cell r="AA8">
            <v>7543.8622572003678</v>
          </cell>
          <cell r="AB8">
            <v>7543.8622572003678</v>
          </cell>
          <cell r="AC8">
            <v>7543.8622572003678</v>
          </cell>
          <cell r="AD8">
            <v>7543.8622572003678</v>
          </cell>
        </row>
        <row r="9">
          <cell r="J9">
            <v>336337</v>
          </cell>
          <cell r="K9">
            <v>367970.02798489406</v>
          </cell>
          <cell r="L9">
            <v>402578.19239394926</v>
          </cell>
          <cell r="M9">
            <v>440441.30952380964</v>
          </cell>
          <cell r="N9">
            <v>481865.51283736137</v>
          </cell>
          <cell r="O9">
            <v>527185.72813493363</v>
          </cell>
          <cell r="P9">
            <v>576768.38151927467</v>
          </cell>
          <cell r="Q9">
            <v>631014.36204892572</v>
          </cell>
          <cell r="R9">
            <v>690362.26303384185</v>
          </cell>
          <cell r="S9">
            <v>755291.92818000272</v>
          </cell>
          <cell r="T9">
            <v>826328.33125454583</v>
          </cell>
          <cell r="U9">
            <v>904045.82063955511</v>
          </cell>
          <cell r="V9">
            <v>989072.76309286105</v>
          </cell>
          <cell r="W9">
            <v>1082096.6242619057</v>
          </cell>
          <cell r="X9">
            <v>1183869.5270279893</v>
          </cell>
          <cell r="Y9">
            <v>1295214.3326216042</v>
          </cell>
          <cell r="Z9">
            <v>1417031.2936763056</v>
          </cell>
          <cell r="AA9">
            <v>1550305.3330128435</v>
          </cell>
          <cell r="AB9">
            <v>1696114.0070044822</v>
          </cell>
          <cell r="AC9">
            <v>1855636.2179094483</v>
          </cell>
          <cell r="AD9">
            <v>2030161.7456120576</v>
          </cell>
        </row>
        <row r="16">
          <cell r="B16">
            <v>2152.3303600805457</v>
          </cell>
          <cell r="C16">
            <v>2013.103068698656</v>
          </cell>
          <cell r="D16">
            <v>1984.0742464913039</v>
          </cell>
          <cell r="E16">
            <v>2033.7818785519844</v>
          </cell>
          <cell r="F16">
            <v>2102.1917055217659</v>
          </cell>
          <cell r="G16">
            <v>2167.6617427725032</v>
          </cell>
          <cell r="H16">
            <v>2196.0999392383533</v>
          </cell>
          <cell r="I16">
            <v>2198.4650328635939</v>
          </cell>
          <cell r="J16">
            <v>2151.594741570791</v>
          </cell>
        </row>
        <row r="17">
          <cell r="B17">
            <v>5671.6872449494349</v>
          </cell>
          <cell r="C17">
            <v>6417.4344101434117</v>
          </cell>
          <cell r="D17">
            <v>6452.0864506530152</v>
          </cell>
          <cell r="E17">
            <v>6248.0619021763114</v>
          </cell>
          <cell r="F17">
            <v>6293.4399836918983</v>
          </cell>
          <cell r="G17">
            <v>6458.4955082737906</v>
          </cell>
          <cell r="H17">
            <v>6429.7401339481075</v>
          </cell>
          <cell r="I17">
            <v>6233.5268063446129</v>
          </cell>
          <cell r="J17">
            <v>6236.0575680640459</v>
          </cell>
        </row>
        <row r="18">
          <cell r="B18">
            <v>4521.8222798989136</v>
          </cell>
          <cell r="C18">
            <v>5245.4568794030683</v>
          </cell>
          <cell r="D18">
            <v>5273.7806257259244</v>
          </cell>
          <cell r="E18">
            <v>5107.0158560412428</v>
          </cell>
          <cell r="F18">
            <v>5144.1068108757418</v>
          </cell>
          <cell r="G18">
            <v>5279.0192356187354</v>
          </cell>
          <cell r="H18">
            <v>5255.5152827247166</v>
          </cell>
          <cell r="I18">
            <v>5095.1352175258289</v>
          </cell>
          <cell r="J18">
            <v>5097.2038014213504</v>
          </cell>
        </row>
        <row r="20">
          <cell r="B20">
            <v>7987.3416225966748</v>
          </cell>
          <cell r="C20">
            <v>7568.1915012945574</v>
          </cell>
          <cell r="D20">
            <v>7573.1145228135574</v>
          </cell>
          <cell r="E20">
            <v>7635.4989281080425</v>
          </cell>
          <cell r="F20">
            <v>7757.540662174446</v>
          </cell>
          <cell r="G20">
            <v>7897.9231115336288</v>
          </cell>
          <cell r="H20">
            <v>7870.0298781889196</v>
          </cell>
          <cell r="I20">
            <v>7710.8164960682825</v>
          </cell>
          <cell r="J20">
            <v>7756.0378456154722</v>
          </cell>
        </row>
        <row r="21">
          <cell r="B21">
            <v>8979.0977576808982</v>
          </cell>
          <cell r="C21">
            <v>7360.9253834616602</v>
          </cell>
          <cell r="D21">
            <v>7420.3664433204667</v>
          </cell>
          <cell r="E21">
            <v>7429.3700087086627</v>
          </cell>
          <cell r="F21">
            <v>7436.8310079743696</v>
          </cell>
          <cell r="G21">
            <v>7495.1869437607802</v>
          </cell>
          <cell r="H21">
            <v>7339.2488343799369</v>
          </cell>
          <cell r="I21">
            <v>7127.6756628088224</v>
          </cell>
          <cell r="J21">
            <v>7129.2766915391094</v>
          </cell>
        </row>
        <row r="22">
          <cell r="B22">
            <v>6194.744892345203</v>
          </cell>
          <cell r="C22">
            <v>5665.2505097079393</v>
          </cell>
          <cell r="D22">
            <v>5699.3956098701801</v>
          </cell>
          <cell r="E22">
            <v>5725.6700028339683</v>
          </cell>
          <cell r="F22">
            <v>5814.6460918760904</v>
          </cell>
          <cell r="G22">
            <v>5905.4298348474758</v>
          </cell>
          <cell r="H22">
            <v>5889.6138207004688</v>
          </cell>
          <cell r="I22">
            <v>5781.6926811576477</v>
          </cell>
          <cell r="J22">
            <v>5783.0846492365163</v>
          </cell>
        </row>
        <row r="23">
          <cell r="B23">
            <v>5203.8884869339317</v>
          </cell>
          <cell r="C23">
            <v>3788.8143566084013</v>
          </cell>
          <cell r="D23">
            <v>3793.7307128922862</v>
          </cell>
          <cell r="E23">
            <v>3850.325683442768</v>
          </cell>
          <cell r="F23">
            <v>3877.8565174857749</v>
          </cell>
          <cell r="G23">
            <v>3839.990636137567</v>
          </cell>
          <cell r="H23">
            <v>3799.364158528248</v>
          </cell>
          <cell r="I23">
            <v>3708.9727172982311</v>
          </cell>
          <cell r="J23">
            <v>3710.1385871299317</v>
          </cell>
        </row>
        <row r="26">
          <cell r="B26">
            <v>3.4045875000000003</v>
          </cell>
          <cell r="C26">
            <v>3.4341808228775599</v>
          </cell>
          <cell r="D26">
            <v>3.5137602338621208</v>
          </cell>
          <cell r="E26">
            <v>3.5469255112813305</v>
          </cell>
          <cell r="F26">
            <v>3.5917609143733196</v>
          </cell>
          <cell r="G26">
            <v>3.6453494299388098</v>
          </cell>
          <cell r="H26">
            <v>3.6992113851023807</v>
          </cell>
          <cell r="I26">
            <v>3.7511237743870405</v>
          </cell>
          <cell r="J26">
            <v>3.8198129727451766</v>
          </cell>
        </row>
        <row r="27">
          <cell r="B27">
            <v>0.53024999999999989</v>
          </cell>
          <cell r="C27">
            <v>0.53024999999999989</v>
          </cell>
          <cell r="D27">
            <v>0.53024999999999989</v>
          </cell>
          <cell r="E27">
            <v>0.48410189498300382</v>
          </cell>
          <cell r="F27">
            <v>0.47172238546316003</v>
          </cell>
          <cell r="G27">
            <v>0.47172238546316003</v>
          </cell>
          <cell r="H27">
            <v>0.49424291232378004</v>
          </cell>
          <cell r="I27">
            <v>0.37887678035027839</v>
          </cell>
          <cell r="J27">
            <v>0.35161308127567947</v>
          </cell>
        </row>
        <row r="29">
          <cell r="B29">
            <v>5.9450000000000003</v>
          </cell>
          <cell r="C29">
            <v>5.9450000000000003</v>
          </cell>
          <cell r="D29">
            <v>5.9450000000000003</v>
          </cell>
          <cell r="E29">
            <v>5.9450000000000003</v>
          </cell>
          <cell r="F29">
            <v>5.9450000000000003</v>
          </cell>
          <cell r="G29">
            <v>5.9450000000000003</v>
          </cell>
          <cell r="H29">
            <v>5.9450000000000003</v>
          </cell>
          <cell r="I29">
            <v>5.9450000000000003</v>
          </cell>
          <cell r="J29">
            <v>5.9450000000000003</v>
          </cell>
        </row>
        <row r="30">
          <cell r="B30">
            <v>0.59125000000000005</v>
          </cell>
          <cell r="C30">
            <v>0.59125000000000005</v>
          </cell>
          <cell r="D30">
            <v>0.59125000000000005</v>
          </cell>
          <cell r="E30">
            <v>0.59125000000000005</v>
          </cell>
          <cell r="F30">
            <v>0.59125000000000005</v>
          </cell>
          <cell r="G30">
            <v>0.59125000000000005</v>
          </cell>
          <cell r="H30">
            <v>0.59125000000000005</v>
          </cell>
          <cell r="I30">
            <v>0.58572137746539998</v>
          </cell>
          <cell r="J30">
            <v>0.54261580540976251</v>
          </cell>
        </row>
        <row r="31">
          <cell r="B31">
            <v>1.7737500000000002</v>
          </cell>
          <cell r="C31">
            <v>1.7737500000000002</v>
          </cell>
          <cell r="D31">
            <v>1.7737500000000002</v>
          </cell>
          <cell r="E31">
            <v>1.7737500000000002</v>
          </cell>
          <cell r="F31">
            <v>1.7737500000000002</v>
          </cell>
          <cell r="G31">
            <v>1.7737500000000002</v>
          </cell>
          <cell r="H31">
            <v>1.7737500000000002</v>
          </cell>
          <cell r="I31">
            <v>1.7571641323962</v>
          </cell>
          <cell r="J31">
            <v>1.6278474162292875</v>
          </cell>
        </row>
        <row r="32">
          <cell r="B32">
            <v>0.88900000000000001</v>
          </cell>
          <cell r="C32">
            <v>0.88900000000000001</v>
          </cell>
          <cell r="D32">
            <v>0.88900000000000001</v>
          </cell>
          <cell r="E32">
            <v>0.88900000000000001</v>
          </cell>
          <cell r="F32">
            <v>0.88900000000000001</v>
          </cell>
          <cell r="G32">
            <v>0.88900000000000001</v>
          </cell>
          <cell r="H32">
            <v>0.86647947313938001</v>
          </cell>
          <cell r="I32">
            <v>0.82157072706599399</v>
          </cell>
          <cell r="J32">
            <v>0.78237411605979901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N29" totalsRowShown="0" headerRowDxfId="112" tableBorderDxfId="111">
  <tableColumns count="14">
    <tableColumn id="1" xr3:uid="{00000000-0010-0000-0000-000001000000}" name="Factor"/>
    <tableColumn id="2" xr3:uid="{00000000-0010-0000-0000-000002000000}" name="SweFor name"/>
    <tableColumn id="3" xr3:uid="{00000000-0010-0000-0000-000003000000}" name="Unit"/>
    <tableColumn id="4" xr3:uid="{00000000-0010-0000-0000-000004000000}" name="Ela-sticity" dataDxfId="110"/>
    <tableColumn id="9" xr3:uid="{00000000-0010-0000-0000-000009000000}" name="Commodity type" dataDxfId="109"/>
    <tableColumn id="6" xr3:uid="{00000000-0010-0000-0000-000006000000}" name="Extrac-tion Rate" dataDxfId="108"/>
    <tableColumn id="7" xr3:uid="{00000000-0010-0000-0000-000007000000}" name="MinTrpVol" dataDxfId="107"/>
    <tableColumn id="5" xr3:uid="{00000000-0010-0000-0000-000005000000}" name="TrpFactors" dataDxfId="106"/>
    <tableColumn id="15" xr3:uid="{00000000-0010-0000-0000-00000F000000}" name="SoilCtype" dataDxfId="105"/>
    <tableColumn id="10" xr3:uid="{00000000-0010-0000-0000-00000A000000}" name="C per Unit" dataDxfId="104"/>
    <tableColumn id="11" xr3:uid="{00000000-0010-0000-0000-00000B000000}" name="DF product" dataDxfId="103"/>
    <tableColumn id="12" xr3:uid="{00000000-0010-0000-0000-00000C000000}" name="DF finish" dataDxfId="102"/>
    <tableColumn id="13" xr3:uid="{00000000-0010-0000-0000-00000D000000}" name="DF half-life" dataDxfId="101"/>
    <tableColumn id="14" xr3:uid="{00000000-0010-0000-0000-00000E000000}" name="Initial (tC)" dataDxfId="100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1000000}" name="Table8" displayName="Table8" ref="A1:F28" totalsRowShown="0" headerRowDxfId="99">
  <autoFilter ref="A1:F28" xr:uid="{00000000-0009-0000-0100-000008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100-000001000000}" name="Process"/>
    <tableColumn id="2" xr3:uid="{00000000-0010-0000-0100-000002000000}" name="Investment" dataDxfId="98"/>
    <tableColumn id="4" xr3:uid="{00000000-0010-0000-0100-000004000000}" name="Fixed cost" dataDxfId="97"/>
    <tableColumn id="5" xr3:uid="{00000000-0010-0000-0100-000005000000}" name="Depreciation period" dataDxfId="96"/>
    <tableColumn id="6" xr3:uid="{00000000-0010-0000-0100-000006000000}" name="Output factor for costs " dataDxfId="95"/>
    <tableColumn id="8" xr3:uid="{5A70AC2D-472D-4615-925A-3CC0407CB762}" name="NewCapacity" dataDxfId="9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73" displayName="Table73" ref="A1:AU91" totalsRowShown="0" headerRowDxfId="93" dataDxfId="92">
  <tableColumns count="47">
    <tableColumn id="1" xr3:uid="{00000000-0010-0000-0200-000001000000}" name="Column1" dataDxfId="91"/>
    <tableColumn id="2" xr3:uid="{00000000-0010-0000-0200-000002000000}" name="Column2" dataDxfId="90"/>
    <tableColumn id="3" xr3:uid="{00000000-0010-0000-0200-000003000000}" name="Column3" dataDxfId="89"/>
    <tableColumn id="7" xr3:uid="{00000000-0010-0000-0200-000007000000}" name="Column32" dataDxfId="88"/>
    <tableColumn id="43" xr3:uid="{5DA2A4F7-E62A-4D14-97BB-0E09BB98BAF5}" name="Column33" dataDxfId="87"/>
    <tableColumn id="4" xr3:uid="{00000000-0010-0000-0200-000004000000}" name="Column4" dataDxfId="86"/>
    <tableColumn id="5" xr3:uid="{00000000-0010-0000-0200-000005000000}" name="1" dataDxfId="85"/>
    <tableColumn id="6" xr3:uid="{00000000-0010-0000-0200-000006000000}" name="2" dataDxfId="84"/>
    <tableColumn id="8" xr3:uid="{00000000-0010-0000-0200-000008000000}" name="3" dataDxfId="83"/>
    <tableColumn id="9" xr3:uid="{00000000-0010-0000-0200-000009000000}" name="4" dataDxfId="82"/>
    <tableColumn id="10" xr3:uid="{00000000-0010-0000-0200-00000A000000}" name="5" dataDxfId="81"/>
    <tableColumn id="11" xr3:uid="{00000000-0010-0000-0200-00000B000000}" name="6" dataDxfId="80"/>
    <tableColumn id="12" xr3:uid="{00000000-0010-0000-0200-00000C000000}" name="7" dataDxfId="79"/>
    <tableColumn id="13" xr3:uid="{00000000-0010-0000-0200-00000D000000}" name="8" dataDxfId="78"/>
    <tableColumn id="14" xr3:uid="{00000000-0010-0000-0200-00000E000000}" name="9" dataDxfId="77"/>
    <tableColumn id="15" xr3:uid="{00000000-0010-0000-0200-00000F000000}" name="10" dataDxfId="76"/>
    <tableColumn id="16" xr3:uid="{00000000-0010-0000-0200-000010000000}" name="11" dataDxfId="75"/>
    <tableColumn id="17" xr3:uid="{00000000-0010-0000-0200-000011000000}" name="12" dataDxfId="74"/>
    <tableColumn id="18" xr3:uid="{00000000-0010-0000-0200-000012000000}" name="13" dataDxfId="73"/>
    <tableColumn id="19" xr3:uid="{00000000-0010-0000-0200-000013000000}" name="14" dataDxfId="72"/>
    <tableColumn id="20" xr3:uid="{00000000-0010-0000-0200-000014000000}" name="15" dataDxfId="71"/>
    <tableColumn id="21" xr3:uid="{00000000-0010-0000-0200-000015000000}" name="16" dataDxfId="70"/>
    <tableColumn id="22" xr3:uid="{00000000-0010-0000-0200-000016000000}" name="17" dataDxfId="69"/>
    <tableColumn id="23" xr3:uid="{00000000-0010-0000-0200-000017000000}" name="18" dataDxfId="68"/>
    <tableColumn id="24" xr3:uid="{00000000-0010-0000-0200-000018000000}" name="19" dataDxfId="67"/>
    <tableColumn id="25" xr3:uid="{00000000-0010-0000-0200-000019000000}" name="20" dataDxfId="66"/>
    <tableColumn id="26" xr3:uid="{00000000-0010-0000-0200-00001A000000}" name="21" dataDxfId="65"/>
    <tableColumn id="27" xr3:uid="{00000000-0010-0000-0200-00001B000000}" name="22" dataDxfId="64"/>
    <tableColumn id="28" xr3:uid="{00000000-0010-0000-0200-00001C000000}" name="23" dataDxfId="63"/>
    <tableColumn id="29" xr3:uid="{00000000-0010-0000-0200-00001D000000}" name="24" dataDxfId="62"/>
    <tableColumn id="30" xr3:uid="{00000000-0010-0000-0200-00001E000000}" name="25" dataDxfId="61"/>
    <tableColumn id="44" xr3:uid="{5230B066-8145-42C8-8025-709BF0BB31F2}" name="252" dataDxfId="60"/>
    <tableColumn id="46" xr3:uid="{AD9F811D-EAAE-4389-850B-2D24A755A795}" name="253" dataDxfId="59"/>
    <tableColumn id="47" xr3:uid="{37A98259-7685-483A-BA80-3F42942DD08D}" name="254" dataDxfId="58"/>
    <tableColumn id="48" xr3:uid="{C062B384-D4D3-4B95-96FA-C1FC9C5B2375}" name="255" dataDxfId="57"/>
    <tableColumn id="49" xr3:uid="{231C95D1-E3D8-43D4-9D30-F22846871DBA}" name="256" dataDxfId="56"/>
    <tableColumn id="52" xr3:uid="{C83FFDD6-54F5-40B0-B7B4-D8AA84050EBF}" name="257" dataDxfId="55"/>
    <tableColumn id="31" xr3:uid="{00000000-0010-0000-0200-00001F000000}" name="Column5" dataDxfId="54"/>
    <tableColumn id="32" xr3:uid="{00000000-0010-0000-0200-000020000000}" name="27" dataDxfId="53"/>
    <tableColumn id="33" xr3:uid="{00000000-0010-0000-0200-000021000000}" name="28" dataDxfId="52"/>
    <tableColumn id="34" xr3:uid="{00000000-0010-0000-0200-000022000000}" name="29" dataDxfId="51"/>
    <tableColumn id="35" xr3:uid="{00000000-0010-0000-0200-000023000000}" name="30" dataDxfId="50"/>
    <tableColumn id="36" xr3:uid="{00000000-0010-0000-0200-000024000000}" name="31" dataDxfId="49"/>
    <tableColumn id="37" xr3:uid="{00000000-0010-0000-0200-000025000000}" name="32" dataDxfId="48"/>
    <tableColumn id="38" xr3:uid="{00000000-0010-0000-0200-000026000000}" name="33" dataDxfId="47"/>
    <tableColumn id="39" xr3:uid="{00000000-0010-0000-0200-000027000000}" name="34" dataDxfId="46"/>
    <tableColumn id="40" xr3:uid="{00000000-0010-0000-0200-000028000000}" name="35" dataDxfId="4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37"/>
  <sheetViews>
    <sheetView zoomScaleNormal="100" workbookViewId="0">
      <pane ySplit="1" topLeftCell="A2" activePane="bottomLeft" state="frozen"/>
      <selection pane="bottomLeft" activeCell="A28" sqref="A28:XFD28"/>
    </sheetView>
  </sheetViews>
  <sheetFormatPr defaultRowHeight="16.5" x14ac:dyDescent="0.3"/>
  <cols>
    <col min="1" max="1" width="21.375" customWidth="1"/>
    <col min="2" max="2" width="8.625" customWidth="1"/>
    <col min="3" max="3" width="7" customWidth="1"/>
    <col min="4" max="7" width="7.625" style="18" customWidth="1"/>
    <col min="8" max="8" width="7.625" style="84" customWidth="1"/>
    <col min="9" max="9" width="6.125" customWidth="1"/>
    <col min="10" max="14" width="10.125" style="15" customWidth="1"/>
    <col min="15" max="15" width="14.125" customWidth="1"/>
  </cols>
  <sheetData>
    <row r="1" spans="1:14" s="2" customFormat="1" ht="51" customHeight="1" x14ac:dyDescent="0.3">
      <c r="A1" s="2" t="s">
        <v>110</v>
      </c>
      <c r="B1" s="2" t="s">
        <v>111</v>
      </c>
      <c r="C1" s="2" t="s">
        <v>73</v>
      </c>
      <c r="D1" s="22" t="s">
        <v>112</v>
      </c>
      <c r="E1" s="22" t="s">
        <v>175</v>
      </c>
      <c r="F1" s="22" t="s">
        <v>113</v>
      </c>
      <c r="G1" s="67" t="s">
        <v>198</v>
      </c>
      <c r="H1" s="67" t="s">
        <v>170</v>
      </c>
      <c r="I1" s="22" t="s">
        <v>147</v>
      </c>
      <c r="J1" s="21" t="s">
        <v>108</v>
      </c>
      <c r="K1" s="21" t="s">
        <v>106</v>
      </c>
      <c r="L1" s="21" t="s">
        <v>107</v>
      </c>
      <c r="M1" s="19" t="s">
        <v>134</v>
      </c>
      <c r="N1" s="26" t="s">
        <v>135</v>
      </c>
    </row>
    <row r="2" spans="1:14" x14ac:dyDescent="0.3">
      <c r="A2" t="s">
        <v>114</v>
      </c>
      <c r="B2" t="s">
        <v>19</v>
      </c>
      <c r="C2" t="s">
        <v>156</v>
      </c>
      <c r="D2">
        <v>0</v>
      </c>
      <c r="E2" s="49" t="s">
        <v>176</v>
      </c>
      <c r="F2" s="7">
        <v>0.98</v>
      </c>
      <c r="G2" s="97">
        <v>20</v>
      </c>
      <c r="H2" s="81" t="s">
        <v>171</v>
      </c>
      <c r="I2" s="31" t="s">
        <v>148</v>
      </c>
      <c r="J2" s="20"/>
      <c r="K2" s="20"/>
      <c r="L2" s="20"/>
      <c r="M2" s="20"/>
      <c r="N2" s="20"/>
    </row>
    <row r="3" spans="1:14" x14ac:dyDescent="0.3">
      <c r="A3" t="s">
        <v>115</v>
      </c>
      <c r="B3" t="s">
        <v>20</v>
      </c>
      <c r="C3" t="s">
        <v>156</v>
      </c>
      <c r="D3">
        <v>0</v>
      </c>
      <c r="E3" s="49" t="s">
        <v>176</v>
      </c>
      <c r="F3" s="7">
        <v>0.92</v>
      </c>
      <c r="G3" s="97">
        <v>0</v>
      </c>
      <c r="H3" s="81" t="s">
        <v>171</v>
      </c>
      <c r="I3" s="31" t="s">
        <v>148</v>
      </c>
      <c r="J3" s="20"/>
      <c r="K3" s="20"/>
      <c r="L3" s="20"/>
      <c r="M3" s="20"/>
      <c r="N3" s="20"/>
    </row>
    <row r="4" spans="1:14" x14ac:dyDescent="0.3">
      <c r="A4" t="s">
        <v>116</v>
      </c>
      <c r="B4" t="s">
        <v>21</v>
      </c>
      <c r="C4" t="s">
        <v>156</v>
      </c>
      <c r="D4">
        <v>0</v>
      </c>
      <c r="E4" s="49" t="s">
        <v>176</v>
      </c>
      <c r="F4" s="7">
        <v>0.98</v>
      </c>
      <c r="G4" s="97">
        <v>20</v>
      </c>
      <c r="H4" s="81" t="s">
        <v>171</v>
      </c>
      <c r="I4" s="31" t="s">
        <v>148</v>
      </c>
      <c r="J4" s="20"/>
      <c r="K4" s="20"/>
      <c r="L4" s="20"/>
      <c r="M4" s="20"/>
      <c r="N4" s="20"/>
    </row>
    <row r="5" spans="1:14" x14ac:dyDescent="0.3">
      <c r="A5" t="s">
        <v>117</v>
      </c>
      <c r="B5" t="s">
        <v>22</v>
      </c>
      <c r="C5" t="s">
        <v>156</v>
      </c>
      <c r="D5">
        <v>0</v>
      </c>
      <c r="E5" s="49" t="s">
        <v>176</v>
      </c>
      <c r="F5" s="7">
        <v>0.92</v>
      </c>
      <c r="G5" s="97">
        <v>0</v>
      </c>
      <c r="H5" s="81" t="s">
        <v>171</v>
      </c>
      <c r="I5" s="31" t="s">
        <v>148</v>
      </c>
      <c r="J5" s="20"/>
      <c r="K5" s="20"/>
      <c r="L5" s="20"/>
      <c r="M5" s="20"/>
      <c r="N5" s="20"/>
    </row>
    <row r="6" spans="1:14" s="59" customFormat="1" x14ac:dyDescent="0.3">
      <c r="A6" s="59" t="s">
        <v>182</v>
      </c>
      <c r="B6" s="59" t="s">
        <v>183</v>
      </c>
      <c r="C6" s="59" t="s">
        <v>156</v>
      </c>
      <c r="D6" s="59">
        <v>0</v>
      </c>
      <c r="E6" s="49" t="s">
        <v>176</v>
      </c>
      <c r="F6" s="7">
        <v>0.98</v>
      </c>
      <c r="G6" s="97">
        <v>20</v>
      </c>
      <c r="H6" s="81" t="s">
        <v>171</v>
      </c>
      <c r="I6" s="31" t="s">
        <v>148</v>
      </c>
      <c r="J6" s="20"/>
      <c r="K6" s="20"/>
      <c r="L6" s="20"/>
      <c r="M6" s="20"/>
      <c r="N6" s="20"/>
    </row>
    <row r="7" spans="1:14" x14ac:dyDescent="0.3">
      <c r="A7" t="s">
        <v>199</v>
      </c>
      <c r="B7" t="s">
        <v>5</v>
      </c>
      <c r="C7" t="s">
        <v>156</v>
      </c>
      <c r="D7">
        <v>0</v>
      </c>
      <c r="E7" s="49" t="s">
        <v>176</v>
      </c>
      <c r="F7" s="7">
        <v>0.88</v>
      </c>
      <c r="G7" s="97">
        <v>0</v>
      </c>
      <c r="H7" s="81" t="s">
        <v>171</v>
      </c>
      <c r="I7" s="31" t="s">
        <v>148</v>
      </c>
      <c r="J7" s="20"/>
      <c r="K7" s="20"/>
      <c r="L7" s="20"/>
      <c r="M7" s="20"/>
      <c r="N7" s="20"/>
    </row>
    <row r="8" spans="1:14" x14ac:dyDescent="0.3">
      <c r="A8" t="s">
        <v>118</v>
      </c>
      <c r="B8" t="s">
        <v>6</v>
      </c>
      <c r="C8" t="s">
        <v>156</v>
      </c>
      <c r="D8">
        <v>0</v>
      </c>
      <c r="E8" s="49" t="s">
        <v>179</v>
      </c>
      <c r="F8">
        <v>0</v>
      </c>
      <c r="G8" s="97">
        <v>0</v>
      </c>
      <c r="H8" s="81" t="s">
        <v>171</v>
      </c>
      <c r="I8" s="23"/>
      <c r="J8" s="20"/>
      <c r="K8" s="20"/>
      <c r="L8" s="20"/>
      <c r="M8" s="20"/>
      <c r="N8" s="20"/>
    </row>
    <row r="9" spans="1:14" x14ac:dyDescent="0.3">
      <c r="A9" t="s">
        <v>119</v>
      </c>
      <c r="B9" t="s">
        <v>7</v>
      </c>
      <c r="C9" t="s">
        <v>156</v>
      </c>
      <c r="D9">
        <v>0</v>
      </c>
      <c r="E9" s="49" t="s">
        <v>179</v>
      </c>
      <c r="F9">
        <v>0</v>
      </c>
      <c r="G9" s="97">
        <v>0</v>
      </c>
      <c r="H9" s="81" t="s">
        <v>171</v>
      </c>
      <c r="I9" s="23"/>
      <c r="J9" s="20"/>
      <c r="K9" s="20"/>
      <c r="L9" s="20"/>
      <c r="M9" s="20"/>
      <c r="N9" s="20"/>
    </row>
    <row r="10" spans="1:14" x14ac:dyDescent="0.3">
      <c r="A10" t="s">
        <v>120</v>
      </c>
      <c r="B10" t="s">
        <v>24</v>
      </c>
      <c r="C10" t="s">
        <v>4</v>
      </c>
      <c r="D10">
        <v>0</v>
      </c>
      <c r="E10" s="49" t="s">
        <v>178</v>
      </c>
      <c r="F10">
        <v>0.65</v>
      </c>
      <c r="G10" s="97">
        <v>0</v>
      </c>
      <c r="H10" s="81" t="s">
        <v>171</v>
      </c>
      <c r="I10" s="23" t="s">
        <v>139</v>
      </c>
      <c r="J10" s="20"/>
      <c r="K10" s="20"/>
      <c r="L10" s="20"/>
      <c r="M10" s="20"/>
      <c r="N10" s="20"/>
    </row>
    <row r="11" spans="1:14" x14ac:dyDescent="0.3">
      <c r="A11" t="s">
        <v>121</v>
      </c>
      <c r="B11" t="s">
        <v>25</v>
      </c>
      <c r="C11" t="s">
        <v>4</v>
      </c>
      <c r="D11">
        <v>0</v>
      </c>
      <c r="E11" s="49" t="s">
        <v>178</v>
      </c>
      <c r="F11">
        <v>0</v>
      </c>
      <c r="G11" s="97">
        <v>0</v>
      </c>
      <c r="H11" s="81" t="s">
        <v>171</v>
      </c>
      <c r="I11" s="23" t="s">
        <v>148</v>
      </c>
      <c r="J11" s="20"/>
      <c r="K11" s="20"/>
      <c r="L11" s="20"/>
      <c r="M11" s="20"/>
      <c r="N11" s="20"/>
    </row>
    <row r="12" spans="1:14" x14ac:dyDescent="0.3">
      <c r="A12" t="s">
        <v>150</v>
      </c>
      <c r="B12" t="s">
        <v>149</v>
      </c>
      <c r="C12" t="s">
        <v>4</v>
      </c>
      <c r="D12">
        <v>0</v>
      </c>
      <c r="E12" s="49" t="s">
        <v>178</v>
      </c>
      <c r="F12">
        <v>0</v>
      </c>
      <c r="G12" s="97">
        <v>0</v>
      </c>
      <c r="H12" s="81" t="s">
        <v>171</v>
      </c>
      <c r="I12" s="23"/>
      <c r="J12" s="20"/>
      <c r="K12" s="20"/>
      <c r="L12" s="20"/>
      <c r="M12" s="20"/>
      <c r="N12" s="20"/>
    </row>
    <row r="13" spans="1:14" x14ac:dyDescent="0.3">
      <c r="A13" t="s">
        <v>154</v>
      </c>
      <c r="B13" t="s">
        <v>152</v>
      </c>
      <c r="C13" t="s">
        <v>156</v>
      </c>
      <c r="D13">
        <v>0</v>
      </c>
      <c r="E13" s="49" t="s">
        <v>176</v>
      </c>
      <c r="F13">
        <v>0</v>
      </c>
      <c r="G13" s="97">
        <v>0</v>
      </c>
      <c r="H13" s="81" t="s">
        <v>171</v>
      </c>
      <c r="I13" s="23"/>
      <c r="J13" s="20"/>
      <c r="K13" s="20"/>
      <c r="L13" s="20"/>
      <c r="M13" s="20"/>
      <c r="N13" s="20"/>
    </row>
    <row r="14" spans="1:14" x14ac:dyDescent="0.3">
      <c r="A14" t="s">
        <v>155</v>
      </c>
      <c r="B14" t="s">
        <v>153</v>
      </c>
      <c r="C14" t="s">
        <v>156</v>
      </c>
      <c r="D14">
        <v>0</v>
      </c>
      <c r="E14" s="49" t="s">
        <v>176</v>
      </c>
      <c r="F14">
        <v>0</v>
      </c>
      <c r="G14" s="97">
        <v>0</v>
      </c>
      <c r="H14" s="81" t="s">
        <v>171</v>
      </c>
      <c r="I14" s="23"/>
      <c r="J14" s="20"/>
      <c r="K14" s="20"/>
      <c r="L14" s="20"/>
      <c r="M14" s="20"/>
      <c r="N14" s="20"/>
    </row>
    <row r="15" spans="1:14" x14ac:dyDescent="0.3">
      <c r="A15" t="s">
        <v>194</v>
      </c>
      <c r="B15" t="s">
        <v>196</v>
      </c>
      <c r="C15" t="s">
        <v>132</v>
      </c>
      <c r="D15">
        <v>-0.1225429648006558</v>
      </c>
      <c r="E15" s="49" t="s">
        <v>137</v>
      </c>
      <c r="F15">
        <v>0</v>
      </c>
      <c r="G15" s="97">
        <v>0</v>
      </c>
      <c r="H15" s="82"/>
      <c r="I15" s="23"/>
      <c r="J15" s="29">
        <f>ConvFact!A2*ConvFact!A4</f>
        <v>0.23</v>
      </c>
      <c r="K15" s="30">
        <v>1.3</v>
      </c>
      <c r="L15" s="8">
        <v>0.4</v>
      </c>
      <c r="M15" s="8">
        <v>35</v>
      </c>
      <c r="N15" s="8">
        <v>115512122</v>
      </c>
    </row>
    <row r="16" spans="1:14" s="59" customFormat="1" x14ac:dyDescent="0.3">
      <c r="A16" s="59" t="s">
        <v>195</v>
      </c>
      <c r="B16" s="59" t="s">
        <v>197</v>
      </c>
      <c r="C16" s="59" t="s">
        <v>132</v>
      </c>
      <c r="D16" s="59">
        <v>0</v>
      </c>
      <c r="E16" s="49" t="s">
        <v>138</v>
      </c>
      <c r="F16" s="59">
        <v>0</v>
      </c>
      <c r="G16" s="97">
        <v>0</v>
      </c>
      <c r="H16" s="82"/>
      <c r="I16" s="23"/>
      <c r="J16" s="29">
        <f>ConvFact!A2*ConvFact!A4</f>
        <v>0.23</v>
      </c>
      <c r="K16" s="30">
        <v>1.3</v>
      </c>
      <c r="L16" s="8">
        <v>0.4</v>
      </c>
      <c r="M16" s="8">
        <v>35</v>
      </c>
      <c r="N16" s="8">
        <v>0</v>
      </c>
    </row>
    <row r="17" spans="1:15" x14ac:dyDescent="0.3">
      <c r="A17" t="s">
        <v>122</v>
      </c>
      <c r="B17" t="s">
        <v>8</v>
      </c>
      <c r="C17" t="s">
        <v>0</v>
      </c>
      <c r="D17">
        <v>0</v>
      </c>
      <c r="E17" s="49" t="s">
        <v>139</v>
      </c>
      <c r="F17">
        <v>0</v>
      </c>
      <c r="G17" s="97">
        <v>0</v>
      </c>
      <c r="H17" s="82"/>
      <c r="I17" s="23"/>
      <c r="J17" s="29">
        <f>ConvFact!A2*ConvFact!A4/ConvFact!A3</f>
        <v>0.1020408163265306</v>
      </c>
      <c r="K17" s="30">
        <v>0.4</v>
      </c>
      <c r="L17" s="8">
        <v>0</v>
      </c>
      <c r="M17" s="8">
        <v>0</v>
      </c>
      <c r="N17" s="8">
        <v>0</v>
      </c>
    </row>
    <row r="18" spans="1:15" x14ac:dyDescent="0.3">
      <c r="A18" t="s">
        <v>123</v>
      </c>
      <c r="B18" t="s">
        <v>9</v>
      </c>
      <c r="C18" t="s">
        <v>0</v>
      </c>
      <c r="D18">
        <v>0</v>
      </c>
      <c r="E18" s="49" t="s">
        <v>138</v>
      </c>
      <c r="F18">
        <v>0</v>
      </c>
      <c r="G18" s="97">
        <v>0</v>
      </c>
      <c r="H18" s="82"/>
      <c r="I18" s="23"/>
      <c r="J18" s="29">
        <f>ConvFact!A2*ConvFact!A4/ConvFact!A3</f>
        <v>0.1020408163265306</v>
      </c>
      <c r="K18" s="30">
        <v>0.4</v>
      </c>
      <c r="L18" s="8">
        <v>0</v>
      </c>
      <c r="M18" s="8">
        <v>0</v>
      </c>
      <c r="N18" s="8">
        <v>0</v>
      </c>
      <c r="O18" s="2"/>
    </row>
    <row r="19" spans="1:15" x14ac:dyDescent="0.3">
      <c r="A19" t="s">
        <v>124</v>
      </c>
      <c r="B19" t="s">
        <v>53</v>
      </c>
      <c r="C19" t="s">
        <v>0</v>
      </c>
      <c r="D19">
        <v>0</v>
      </c>
      <c r="E19" s="49" t="s">
        <v>142</v>
      </c>
      <c r="F19">
        <v>0</v>
      </c>
      <c r="G19" s="97">
        <v>0</v>
      </c>
      <c r="H19" s="82"/>
      <c r="I19" s="23"/>
      <c r="J19" s="29">
        <f>ConvFact!A2*ConvFact!A4/ConvFact!A3</f>
        <v>0.1020408163265306</v>
      </c>
      <c r="K19" s="30">
        <v>0.5</v>
      </c>
      <c r="L19" s="8">
        <v>0</v>
      </c>
      <c r="M19" s="8">
        <v>0</v>
      </c>
      <c r="N19" s="8">
        <v>0</v>
      </c>
      <c r="O19" s="2"/>
    </row>
    <row r="20" spans="1:15" x14ac:dyDescent="0.3">
      <c r="A20" t="s">
        <v>125</v>
      </c>
      <c r="B20" t="s">
        <v>27</v>
      </c>
      <c r="C20" t="s">
        <v>1</v>
      </c>
      <c r="D20">
        <v>-0.5</v>
      </c>
      <c r="E20" s="49" t="s">
        <v>137</v>
      </c>
      <c r="F20">
        <v>0</v>
      </c>
      <c r="G20" s="97">
        <v>0</v>
      </c>
      <c r="H20" s="82"/>
      <c r="I20" s="23"/>
      <c r="J20" s="29">
        <v>0.45</v>
      </c>
      <c r="K20" s="30">
        <v>0</v>
      </c>
      <c r="L20" s="8">
        <v>0.4</v>
      </c>
      <c r="M20" s="8">
        <v>2</v>
      </c>
      <c r="N20" s="8">
        <v>37001679</v>
      </c>
    </row>
    <row r="21" spans="1:15" x14ac:dyDescent="0.3">
      <c r="A21" t="s">
        <v>126</v>
      </c>
      <c r="B21" t="s">
        <v>26</v>
      </c>
      <c r="C21" t="s">
        <v>1</v>
      </c>
      <c r="D21">
        <v>-0.5</v>
      </c>
      <c r="E21" s="49" t="s">
        <v>137</v>
      </c>
      <c r="F21">
        <v>0</v>
      </c>
      <c r="G21" s="97">
        <v>0</v>
      </c>
      <c r="H21" s="82"/>
      <c r="I21" s="23"/>
      <c r="J21" s="29">
        <v>0.38800000000000001</v>
      </c>
      <c r="K21" s="30">
        <v>0</v>
      </c>
      <c r="L21" s="8">
        <v>0.4</v>
      </c>
      <c r="M21" s="8">
        <v>2</v>
      </c>
      <c r="N21" s="8">
        <v>0</v>
      </c>
      <c r="O21" s="2"/>
    </row>
    <row r="22" spans="1:15" x14ac:dyDescent="0.3">
      <c r="A22" t="s">
        <v>127</v>
      </c>
      <c r="B22" t="s">
        <v>10</v>
      </c>
      <c r="C22" t="s">
        <v>1</v>
      </c>
      <c r="D22">
        <v>-1.93</v>
      </c>
      <c r="E22" s="49" t="s">
        <v>137</v>
      </c>
      <c r="F22">
        <v>0</v>
      </c>
      <c r="G22" s="97">
        <v>0</v>
      </c>
      <c r="H22" s="82"/>
      <c r="I22" s="23"/>
      <c r="J22" s="29">
        <v>0.45</v>
      </c>
      <c r="K22" s="30">
        <v>2.8</v>
      </c>
      <c r="L22" s="8">
        <v>0.4</v>
      </c>
      <c r="M22" s="8">
        <v>2</v>
      </c>
      <c r="N22" s="8">
        <v>0</v>
      </c>
    </row>
    <row r="23" spans="1:15" x14ac:dyDescent="0.3">
      <c r="A23" t="s">
        <v>128</v>
      </c>
      <c r="B23" t="s">
        <v>29</v>
      </c>
      <c r="C23" t="s">
        <v>1</v>
      </c>
      <c r="D23">
        <v>-0.31123035623374551</v>
      </c>
      <c r="E23" s="49" t="s">
        <v>137</v>
      </c>
      <c r="F23">
        <v>0</v>
      </c>
      <c r="G23" s="97">
        <v>0</v>
      </c>
      <c r="H23" s="82"/>
      <c r="I23" s="23"/>
      <c r="J23" s="29">
        <f>J20/ConvFact!A15</f>
        <v>0.40909090909090906</v>
      </c>
      <c r="K23" s="30">
        <v>1</v>
      </c>
      <c r="L23" s="8">
        <v>0.4</v>
      </c>
      <c r="M23" s="8">
        <v>2</v>
      </c>
      <c r="N23" s="8">
        <v>0</v>
      </c>
    </row>
    <row r="24" spans="1:15" x14ac:dyDescent="0.3">
      <c r="A24" t="s">
        <v>129</v>
      </c>
      <c r="B24" t="s">
        <v>31</v>
      </c>
      <c r="C24" t="s">
        <v>1</v>
      </c>
      <c r="D24">
        <v>-0.49445162512436425</v>
      </c>
      <c r="E24" s="49" t="s">
        <v>137</v>
      </c>
      <c r="F24">
        <v>0</v>
      </c>
      <c r="G24" s="97">
        <v>0</v>
      </c>
      <c r="H24" s="82"/>
      <c r="I24" s="23"/>
      <c r="J24" s="29">
        <f>J20/ConvFact!A16</f>
        <v>0.34615384615384615</v>
      </c>
      <c r="K24" s="30">
        <v>0</v>
      </c>
      <c r="L24" s="8">
        <v>0.4</v>
      </c>
      <c r="M24" s="8">
        <v>2</v>
      </c>
      <c r="N24" s="8">
        <v>0</v>
      </c>
    </row>
    <row r="25" spans="1:15" x14ac:dyDescent="0.3">
      <c r="A25" t="s">
        <v>130</v>
      </c>
      <c r="B25" t="s">
        <v>30</v>
      </c>
      <c r="C25" t="s">
        <v>1</v>
      </c>
      <c r="D25">
        <v>-0.49445162512436425</v>
      </c>
      <c r="E25" s="49" t="s">
        <v>137</v>
      </c>
      <c r="F25">
        <v>0</v>
      </c>
      <c r="G25" s="97">
        <v>0</v>
      </c>
      <c r="H25" s="82"/>
      <c r="I25" s="23"/>
      <c r="J25" s="29">
        <f>J21/ConvFact!A17</f>
        <v>0.29846153846153844</v>
      </c>
      <c r="K25" s="30">
        <v>0</v>
      </c>
      <c r="L25" s="8">
        <v>0.4</v>
      </c>
      <c r="M25" s="8">
        <v>2</v>
      </c>
      <c r="N25" s="8">
        <v>0</v>
      </c>
    </row>
    <row r="26" spans="1:15" x14ac:dyDescent="0.3">
      <c r="A26" s="8" t="s">
        <v>131</v>
      </c>
      <c r="B26" s="8" t="s">
        <v>28</v>
      </c>
      <c r="C26" s="8" t="s">
        <v>1</v>
      </c>
      <c r="D26" s="8">
        <v>-0.5347389136270293</v>
      </c>
      <c r="E26" s="49" t="s">
        <v>137</v>
      </c>
      <c r="F26" s="8">
        <v>0</v>
      </c>
      <c r="G26" s="97">
        <v>0</v>
      </c>
      <c r="H26" s="83"/>
      <c r="I26" s="24"/>
      <c r="J26" s="29">
        <f>J21/ConvFact!A18</f>
        <v>0.35272727272727272</v>
      </c>
      <c r="K26" s="30">
        <v>0</v>
      </c>
      <c r="L26" s="8">
        <v>0.4</v>
      </c>
      <c r="M26" s="8">
        <v>2</v>
      </c>
      <c r="N26" s="8">
        <v>0</v>
      </c>
    </row>
    <row r="27" spans="1:15" s="59" customFormat="1" x14ac:dyDescent="0.3">
      <c r="A27" s="8" t="s">
        <v>200</v>
      </c>
      <c r="B27" s="8" t="s">
        <v>201</v>
      </c>
      <c r="C27" s="59" t="s">
        <v>156</v>
      </c>
      <c r="D27" s="101">
        <v>-0.32200000000000001</v>
      </c>
      <c r="E27" s="49" t="s">
        <v>137</v>
      </c>
      <c r="F27" s="24">
        <v>0</v>
      </c>
      <c r="G27" s="97">
        <v>0</v>
      </c>
      <c r="H27" s="83"/>
      <c r="I27" s="24"/>
      <c r="J27" s="29">
        <v>0.23</v>
      </c>
      <c r="K27" s="30">
        <v>1.3</v>
      </c>
      <c r="L27" s="8">
        <v>0.4</v>
      </c>
      <c r="M27" s="8">
        <v>35</v>
      </c>
      <c r="N27" s="8">
        <v>0</v>
      </c>
    </row>
    <row r="28" spans="1:15" s="59" customFormat="1" x14ac:dyDescent="0.3">
      <c r="A28" s="8"/>
      <c r="B28" s="8"/>
      <c r="D28" s="101"/>
      <c r="E28" s="49"/>
      <c r="F28" s="24"/>
      <c r="G28" s="97"/>
      <c r="H28" s="83"/>
      <c r="I28" s="24"/>
      <c r="J28" s="107"/>
      <c r="K28" s="108"/>
      <c r="L28" s="109"/>
      <c r="M28" s="109"/>
      <c r="N28" s="109"/>
    </row>
    <row r="29" spans="1:15" s="59" customFormat="1" x14ac:dyDescent="0.3">
      <c r="A29" s="8" t="s">
        <v>219</v>
      </c>
      <c r="B29" s="8" t="s">
        <v>220</v>
      </c>
      <c r="C29" s="59" t="s">
        <v>156</v>
      </c>
      <c r="D29" s="101">
        <v>-0.46400000000000002</v>
      </c>
      <c r="E29" s="49" t="s">
        <v>137</v>
      </c>
      <c r="F29" s="24">
        <v>0</v>
      </c>
      <c r="G29" s="97">
        <v>0</v>
      </c>
      <c r="H29" s="83"/>
      <c r="I29" s="24"/>
      <c r="J29" s="107"/>
      <c r="K29" s="108"/>
      <c r="L29" s="109"/>
      <c r="M29" s="109"/>
      <c r="N29" s="109"/>
    </row>
    <row r="30" spans="1:15" x14ac:dyDescent="0.3">
      <c r="E30" s="27"/>
    </row>
    <row r="31" spans="1:15" x14ac:dyDescent="0.3">
      <c r="A31" t="s">
        <v>136</v>
      </c>
      <c r="D31" s="18">
        <v>1</v>
      </c>
      <c r="E31" s="27" t="s">
        <v>137</v>
      </c>
      <c r="F31" t="s">
        <v>140</v>
      </c>
      <c r="G31" s="59"/>
      <c r="H31" s="82"/>
    </row>
    <row r="32" spans="1:15" x14ac:dyDescent="0.3">
      <c r="E32" s="27" t="s">
        <v>139</v>
      </c>
      <c r="F32" t="s">
        <v>144</v>
      </c>
      <c r="G32" s="59"/>
      <c r="H32" s="82"/>
    </row>
    <row r="33" spans="4:8" x14ac:dyDescent="0.3">
      <c r="E33" s="27" t="s">
        <v>138</v>
      </c>
      <c r="F33" t="s">
        <v>141</v>
      </c>
      <c r="G33" s="59"/>
      <c r="H33" s="82"/>
    </row>
    <row r="34" spans="4:8" x14ac:dyDescent="0.3">
      <c r="D34" s="25" t="s">
        <v>133</v>
      </c>
      <c r="E34" s="28" t="s">
        <v>142</v>
      </c>
      <c r="F34" t="s">
        <v>143</v>
      </c>
      <c r="G34" s="59"/>
      <c r="H34" s="82"/>
    </row>
    <row r="35" spans="4:8" x14ac:dyDescent="0.3">
      <c r="E35" s="28" t="s">
        <v>176</v>
      </c>
      <c r="F35" t="s">
        <v>177</v>
      </c>
      <c r="G35" s="59"/>
      <c r="H35" s="82"/>
    </row>
    <row r="36" spans="4:8" x14ac:dyDescent="0.3">
      <c r="E36" s="27" t="s">
        <v>178</v>
      </c>
      <c r="F36" s="18" t="s">
        <v>181</v>
      </c>
    </row>
    <row r="37" spans="4:8" x14ac:dyDescent="0.3">
      <c r="E37" s="27" t="s">
        <v>179</v>
      </c>
      <c r="F37" s="18" t="s">
        <v>180</v>
      </c>
    </row>
  </sheetData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F28"/>
  <sheetViews>
    <sheetView tabSelected="1" zoomScale="145" zoomScaleNormal="145" workbookViewId="0">
      <selection activeCell="F27" sqref="F27"/>
    </sheetView>
  </sheetViews>
  <sheetFormatPr defaultRowHeight="16.5" x14ac:dyDescent="0.3"/>
  <cols>
    <col min="1" max="1" width="9.25" customWidth="1"/>
    <col min="2" max="2" width="12" customWidth="1"/>
    <col min="3" max="3" width="18.25" customWidth="1"/>
    <col min="4" max="4" width="13.625" customWidth="1"/>
    <col min="5" max="5" width="22.75" customWidth="1"/>
    <col min="6" max="6" width="18.25" style="59" customWidth="1"/>
  </cols>
  <sheetData>
    <row r="1" spans="1:6" ht="36" customHeight="1" x14ac:dyDescent="0.3">
      <c r="A1" s="1" t="s">
        <v>63</v>
      </c>
      <c r="B1" s="12" t="s">
        <v>59</v>
      </c>
      <c r="C1" s="12" t="s">
        <v>60</v>
      </c>
      <c r="D1" s="13" t="s">
        <v>61</v>
      </c>
      <c r="E1" s="2" t="s">
        <v>105</v>
      </c>
      <c r="F1" s="1" t="s">
        <v>221</v>
      </c>
    </row>
    <row r="2" spans="1:6" x14ac:dyDescent="0.3">
      <c r="A2" t="s">
        <v>11</v>
      </c>
      <c r="B2" s="5">
        <v>827.77290597082265</v>
      </c>
      <c r="C2" s="5">
        <v>302.87323943661971</v>
      </c>
      <c r="D2" s="5">
        <v>20</v>
      </c>
      <c r="E2" s="5" t="str">
        <f>Factors!B15</f>
        <v>Sawnco</v>
      </c>
      <c r="F2" s="98">
        <v>0</v>
      </c>
    </row>
    <row r="3" spans="1:6" x14ac:dyDescent="0.3">
      <c r="A3" t="s">
        <v>12</v>
      </c>
      <c r="B3" s="61">
        <v>827.77290597082265</v>
      </c>
      <c r="C3" s="61">
        <v>302.87323943661971</v>
      </c>
      <c r="D3" s="61">
        <v>20</v>
      </c>
      <c r="E3" s="5" t="str">
        <f>E2</f>
        <v>Sawnco</v>
      </c>
      <c r="F3" s="98">
        <v>0</v>
      </c>
    </row>
    <row r="4" spans="1:6" s="59" customFormat="1" x14ac:dyDescent="0.3">
      <c r="A4" s="59" t="s">
        <v>184</v>
      </c>
      <c r="B4" s="61">
        <v>827.77290597082265</v>
      </c>
      <c r="C4" s="61">
        <v>302.87323943661971</v>
      </c>
      <c r="D4" s="61">
        <v>20</v>
      </c>
      <c r="E4" s="61" t="str">
        <f t="shared" ref="E4" si="0">E3</f>
        <v>Sawnco</v>
      </c>
      <c r="F4" s="98">
        <v>0</v>
      </c>
    </row>
    <row r="5" spans="1:6" x14ac:dyDescent="0.3">
      <c r="A5" t="s">
        <v>13</v>
      </c>
      <c r="B5" s="61">
        <v>827.77290597082265</v>
      </c>
      <c r="C5" s="61">
        <v>302.87323943661971</v>
      </c>
      <c r="D5" s="61">
        <v>20</v>
      </c>
      <c r="E5" s="61" t="str">
        <f>Factors!B16</f>
        <v>Sawnbe</v>
      </c>
      <c r="F5" s="98">
        <v>0</v>
      </c>
    </row>
    <row r="6" spans="1:6" x14ac:dyDescent="0.3">
      <c r="A6" t="s">
        <v>14</v>
      </c>
      <c r="B6" s="61">
        <v>1284.6311764793097</v>
      </c>
      <c r="C6" s="61">
        <v>0</v>
      </c>
      <c r="D6" s="61">
        <v>20</v>
      </c>
      <c r="E6" s="5" t="str">
        <f>Factors!B17</f>
        <v>Heat__</v>
      </c>
      <c r="F6" s="98">
        <v>0</v>
      </c>
    </row>
    <row r="7" spans="1:6" x14ac:dyDescent="0.3">
      <c r="A7" t="s">
        <v>18</v>
      </c>
      <c r="B7" s="61">
        <v>128.46311764793086</v>
      </c>
      <c r="C7" s="61">
        <v>0</v>
      </c>
      <c r="D7" s="61">
        <v>20</v>
      </c>
      <c r="E7" s="5" t="s">
        <v>9</v>
      </c>
      <c r="F7" s="98">
        <v>0</v>
      </c>
    </row>
    <row r="8" spans="1:6" x14ac:dyDescent="0.3">
      <c r="A8" t="s">
        <v>145</v>
      </c>
      <c r="B8" s="61">
        <v>5087.1906235354409</v>
      </c>
      <c r="C8" s="61">
        <v>0</v>
      </c>
      <c r="D8" s="61">
        <v>20</v>
      </c>
      <c r="E8" s="5" t="s">
        <v>53</v>
      </c>
      <c r="F8" s="98">
        <v>0</v>
      </c>
    </row>
    <row r="9" spans="1:6" x14ac:dyDescent="0.3">
      <c r="A9" t="s">
        <v>27</v>
      </c>
      <c r="B9" s="61">
        <v>16762.5</v>
      </c>
      <c r="C9" s="61">
        <v>650</v>
      </c>
      <c r="D9" s="61">
        <v>20</v>
      </c>
      <c r="E9" s="5" t="s">
        <v>27</v>
      </c>
      <c r="F9" s="98">
        <v>0</v>
      </c>
    </row>
    <row r="10" spans="1:6" x14ac:dyDescent="0.3">
      <c r="A10" t="s">
        <v>43</v>
      </c>
      <c r="B10" s="61">
        <v>14731.034482758621</v>
      </c>
      <c r="C10" s="61">
        <v>736.55172413793116</v>
      </c>
      <c r="D10" s="61">
        <v>20</v>
      </c>
      <c r="E10" s="5" t="s">
        <v>26</v>
      </c>
      <c r="F10" s="98">
        <v>0</v>
      </c>
    </row>
    <row r="11" spans="1:6" s="11" customFormat="1" x14ac:dyDescent="0.3">
      <c r="A11" t="s">
        <v>26</v>
      </c>
      <c r="B11" s="61">
        <v>6444.8275862068976</v>
      </c>
      <c r="C11" s="61">
        <v>736.55172413793116</v>
      </c>
      <c r="D11" s="61">
        <v>20</v>
      </c>
      <c r="E11" s="5" t="s">
        <v>26</v>
      </c>
      <c r="F11" s="98">
        <v>0</v>
      </c>
    </row>
    <row r="12" spans="1:6" x14ac:dyDescent="0.3">
      <c r="A12" t="s">
        <v>10</v>
      </c>
      <c r="B12" s="61">
        <v>16762.5</v>
      </c>
      <c r="C12" s="61">
        <v>650</v>
      </c>
      <c r="D12" s="61">
        <v>20</v>
      </c>
      <c r="E12" s="5" t="s">
        <v>10</v>
      </c>
      <c r="F12" s="98">
        <v>0</v>
      </c>
    </row>
    <row r="13" spans="1:6" x14ac:dyDescent="0.3">
      <c r="A13" t="s">
        <v>29</v>
      </c>
      <c r="B13" s="61">
        <v>4751.0135135135133</v>
      </c>
      <c r="C13" s="61">
        <v>250</v>
      </c>
      <c r="D13" s="61">
        <v>20</v>
      </c>
      <c r="E13" s="5" t="s">
        <v>29</v>
      </c>
      <c r="F13" s="98">
        <v>0</v>
      </c>
    </row>
    <row r="14" spans="1:6" x14ac:dyDescent="0.3">
      <c r="A14" t="s">
        <v>31</v>
      </c>
      <c r="B14" s="61">
        <v>4751.0135135135133</v>
      </c>
      <c r="C14" s="61">
        <v>250</v>
      </c>
      <c r="D14" s="61">
        <v>20</v>
      </c>
      <c r="E14" s="5" t="s">
        <v>31</v>
      </c>
      <c r="F14" s="98">
        <v>0</v>
      </c>
    </row>
    <row r="15" spans="1:6" x14ac:dyDescent="0.3">
      <c r="A15" t="s">
        <v>30</v>
      </c>
      <c r="B15" s="61">
        <v>3068.9655172413786</v>
      </c>
      <c r="C15" s="61">
        <v>153.44827586206893</v>
      </c>
      <c r="D15" s="61">
        <v>20</v>
      </c>
      <c r="E15" s="5" t="s">
        <v>30</v>
      </c>
      <c r="F15" s="98">
        <v>0</v>
      </c>
    </row>
    <row r="16" spans="1:6" x14ac:dyDescent="0.3">
      <c r="A16" t="s">
        <v>28</v>
      </c>
      <c r="B16" s="61">
        <v>3068.9655172413786</v>
      </c>
      <c r="C16" s="61">
        <v>153.44827586206893</v>
      </c>
      <c r="D16" s="61">
        <v>20</v>
      </c>
      <c r="E16" s="5" t="s">
        <v>28</v>
      </c>
      <c r="F16" s="98">
        <v>0</v>
      </c>
    </row>
    <row r="17" spans="1:6" x14ac:dyDescent="0.3">
      <c r="A17" t="s">
        <v>38</v>
      </c>
      <c r="B17" s="61">
        <v>1</v>
      </c>
      <c r="C17" s="61">
        <v>1</v>
      </c>
      <c r="D17" s="61">
        <v>20</v>
      </c>
      <c r="E17" s="5" t="s">
        <v>27</v>
      </c>
      <c r="F17" s="98">
        <v>0</v>
      </c>
    </row>
    <row r="18" spans="1:6" x14ac:dyDescent="0.3">
      <c r="A18" t="s">
        <v>50</v>
      </c>
      <c r="B18" s="61">
        <v>1</v>
      </c>
      <c r="C18" s="61">
        <v>1</v>
      </c>
      <c r="D18" s="61">
        <v>20</v>
      </c>
      <c r="E18" s="5" t="s">
        <v>29</v>
      </c>
      <c r="F18" s="98">
        <v>0</v>
      </c>
    </row>
    <row r="19" spans="1:6" x14ac:dyDescent="0.3">
      <c r="A19" t="s">
        <v>51</v>
      </c>
      <c r="B19" s="61">
        <v>1</v>
      </c>
      <c r="C19" s="61">
        <v>1</v>
      </c>
      <c r="D19" s="61">
        <v>20</v>
      </c>
      <c r="E19" s="5" t="s">
        <v>31</v>
      </c>
      <c r="F19" s="98">
        <v>0</v>
      </c>
    </row>
    <row r="20" spans="1:6" x14ac:dyDescent="0.3">
      <c r="A20" t="s">
        <v>162</v>
      </c>
      <c r="B20" s="61">
        <v>1</v>
      </c>
      <c r="C20" s="61">
        <v>0</v>
      </c>
      <c r="D20" s="61">
        <v>999</v>
      </c>
      <c r="E20" s="5" t="s">
        <v>149</v>
      </c>
      <c r="F20" s="98">
        <v>0</v>
      </c>
    </row>
    <row r="21" spans="1:6" x14ac:dyDescent="0.3">
      <c r="A21" t="s">
        <v>151</v>
      </c>
      <c r="B21" s="61">
        <v>1</v>
      </c>
      <c r="C21" s="61">
        <v>0</v>
      </c>
      <c r="D21" s="61">
        <v>999</v>
      </c>
      <c r="E21" s="61" t="s">
        <v>21</v>
      </c>
      <c r="F21" s="98">
        <v>0</v>
      </c>
    </row>
    <row r="22" spans="1:6" x14ac:dyDescent="0.3">
      <c r="A22" t="s">
        <v>157</v>
      </c>
      <c r="B22" s="61">
        <v>1</v>
      </c>
      <c r="C22" s="61">
        <v>0</v>
      </c>
      <c r="D22" s="61">
        <v>999</v>
      </c>
      <c r="E22" s="61" t="s">
        <v>152</v>
      </c>
      <c r="F22" s="98">
        <v>0</v>
      </c>
    </row>
    <row r="23" spans="1:6" x14ac:dyDescent="0.3">
      <c r="A23" t="s">
        <v>158</v>
      </c>
      <c r="B23" s="61">
        <v>1</v>
      </c>
      <c r="C23" s="61">
        <v>0</v>
      </c>
      <c r="D23" s="61">
        <v>999</v>
      </c>
      <c r="E23" s="5" t="s">
        <v>22</v>
      </c>
      <c r="F23" s="98">
        <v>0</v>
      </c>
    </row>
    <row r="24" spans="1:6" x14ac:dyDescent="0.3">
      <c r="A24" t="s">
        <v>159</v>
      </c>
      <c r="B24" s="61">
        <v>1</v>
      </c>
      <c r="C24" s="61">
        <v>0</v>
      </c>
      <c r="D24" s="61">
        <v>999</v>
      </c>
      <c r="E24" t="s">
        <v>153</v>
      </c>
      <c r="F24" s="98">
        <v>0</v>
      </c>
    </row>
    <row r="25" spans="1:6" x14ac:dyDescent="0.3">
      <c r="A25" t="s">
        <v>160</v>
      </c>
      <c r="B25" s="61">
        <v>1</v>
      </c>
      <c r="C25" s="61">
        <v>0</v>
      </c>
      <c r="D25" s="61">
        <v>999</v>
      </c>
      <c r="E25" t="s">
        <v>149</v>
      </c>
      <c r="F25" s="98">
        <v>0</v>
      </c>
    </row>
    <row r="26" spans="1:6" x14ac:dyDescent="0.3">
      <c r="A26" t="s">
        <v>201</v>
      </c>
      <c r="B26" s="98">
        <v>791</v>
      </c>
      <c r="C26" s="98">
        <v>264</v>
      </c>
      <c r="D26" s="98">
        <v>20</v>
      </c>
      <c r="E26" s="98" t="s">
        <v>201</v>
      </c>
      <c r="F26" s="98">
        <v>20</v>
      </c>
    </row>
    <row r="27" spans="1:6" s="59" customFormat="1" x14ac:dyDescent="0.3">
      <c r="B27" s="98"/>
      <c r="C27" s="98"/>
      <c r="D27" s="98"/>
      <c r="E27" s="98"/>
      <c r="F27" s="98"/>
    </row>
    <row r="28" spans="1:6" x14ac:dyDescent="0.3">
      <c r="A28" t="s">
        <v>220</v>
      </c>
      <c r="B28" s="98">
        <v>791</v>
      </c>
      <c r="C28" s="98">
        <v>264</v>
      </c>
      <c r="D28" s="98">
        <v>20</v>
      </c>
      <c r="E28" s="98" t="s">
        <v>220</v>
      </c>
      <c r="F28" s="98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16"/>
  <sheetViews>
    <sheetView zoomScaleNormal="100" workbookViewId="0">
      <pane ySplit="3" topLeftCell="A55" activePane="bottomLeft" state="frozen"/>
      <selection pane="bottomLeft" activeCell="F89" sqref="F89"/>
    </sheetView>
  </sheetViews>
  <sheetFormatPr defaultColWidth="9" defaultRowHeight="16.5" x14ac:dyDescent="0.3"/>
  <cols>
    <col min="1" max="3" width="7.625" style="40" bestFit="1" customWidth="1"/>
    <col min="4" max="5" width="5.5" style="69" customWidth="1"/>
    <col min="6" max="6" width="7.625" style="40" bestFit="1" customWidth="1"/>
    <col min="7" max="10" width="4.125" style="40" bestFit="1" customWidth="1"/>
    <col min="11" max="11" width="4.125" style="40" customWidth="1"/>
    <col min="12" max="23" width="4.125" style="40" bestFit="1" customWidth="1"/>
    <col min="24" max="27" width="4.75" style="40" bestFit="1" customWidth="1"/>
    <col min="28" max="28" width="4.625" style="41" bestFit="1" customWidth="1"/>
    <col min="29" max="30" width="5.25" style="41" bestFit="1" customWidth="1"/>
    <col min="31" max="31" width="4.625" style="40" customWidth="1"/>
    <col min="32" max="37" width="4.625" style="69" customWidth="1"/>
    <col min="38" max="16384" width="9" style="36"/>
  </cols>
  <sheetData>
    <row r="1" spans="1:47" s="45" customFormat="1" x14ac:dyDescent="0.3">
      <c r="A1" s="42" t="s">
        <v>74</v>
      </c>
      <c r="B1" s="42" t="s">
        <v>75</v>
      </c>
      <c r="C1" s="42" t="s">
        <v>76</v>
      </c>
      <c r="D1" s="70" t="s">
        <v>163</v>
      </c>
      <c r="E1" s="70" t="s">
        <v>216</v>
      </c>
      <c r="F1" s="42" t="s">
        <v>77</v>
      </c>
      <c r="G1" s="43" t="s">
        <v>78</v>
      </c>
      <c r="H1" s="43" t="s">
        <v>79</v>
      </c>
      <c r="I1" s="43" t="s">
        <v>80</v>
      </c>
      <c r="J1" s="43" t="s">
        <v>81</v>
      </c>
      <c r="K1" s="43" t="s">
        <v>82</v>
      </c>
      <c r="L1" s="43" t="s">
        <v>83</v>
      </c>
      <c r="M1" s="43" t="s">
        <v>84</v>
      </c>
      <c r="N1" s="43" t="s">
        <v>85</v>
      </c>
      <c r="O1" s="43" t="s">
        <v>86</v>
      </c>
      <c r="P1" s="43" t="s">
        <v>87</v>
      </c>
      <c r="Q1" s="43" t="s">
        <v>88</v>
      </c>
      <c r="R1" s="43" t="s">
        <v>89</v>
      </c>
      <c r="S1" s="43" t="s">
        <v>90</v>
      </c>
      <c r="T1" s="43" t="s">
        <v>91</v>
      </c>
      <c r="U1" s="43" t="s">
        <v>92</v>
      </c>
      <c r="V1" s="43" t="s">
        <v>93</v>
      </c>
      <c r="W1" s="43" t="s">
        <v>94</v>
      </c>
      <c r="X1" s="43" t="s">
        <v>95</v>
      </c>
      <c r="Y1" s="43" t="s">
        <v>96</v>
      </c>
      <c r="Z1" s="43" t="s">
        <v>97</v>
      </c>
      <c r="AA1" s="43" t="s">
        <v>98</v>
      </c>
      <c r="AB1" s="44" t="s">
        <v>99</v>
      </c>
      <c r="AC1" s="44" t="s">
        <v>100</v>
      </c>
      <c r="AD1" s="44" t="s">
        <v>101</v>
      </c>
      <c r="AE1" s="43" t="s">
        <v>102</v>
      </c>
      <c r="AF1" s="43" t="s">
        <v>203</v>
      </c>
      <c r="AG1" s="43" t="s">
        <v>206</v>
      </c>
      <c r="AH1" s="43" t="s">
        <v>207</v>
      </c>
      <c r="AI1" s="43" t="s">
        <v>208</v>
      </c>
      <c r="AJ1" s="43" t="s">
        <v>209</v>
      </c>
      <c r="AK1" s="43" t="s">
        <v>213</v>
      </c>
      <c r="AL1" s="93" t="s">
        <v>204</v>
      </c>
      <c r="AM1" s="93" t="s">
        <v>185</v>
      </c>
      <c r="AN1" s="93" t="s">
        <v>186</v>
      </c>
      <c r="AO1" s="93" t="s">
        <v>187</v>
      </c>
      <c r="AP1" s="70" t="s">
        <v>188</v>
      </c>
      <c r="AQ1" s="70" t="s">
        <v>189</v>
      </c>
      <c r="AR1" s="70" t="s">
        <v>190</v>
      </c>
      <c r="AS1" s="70" t="s">
        <v>191</v>
      </c>
      <c r="AT1" s="70" t="s">
        <v>192</v>
      </c>
      <c r="AU1" s="70" t="s">
        <v>193</v>
      </c>
    </row>
    <row r="2" spans="1:47" s="37" customFormat="1" ht="51" customHeight="1" x14ac:dyDescent="0.3">
      <c r="A2" s="38"/>
      <c r="B2" s="38"/>
      <c r="C2" s="38"/>
      <c r="D2" s="68" t="s">
        <v>164</v>
      </c>
      <c r="E2" s="68" t="s">
        <v>217</v>
      </c>
      <c r="F2" s="38"/>
      <c r="G2" s="38" t="s">
        <v>103</v>
      </c>
      <c r="H2" s="38" t="s">
        <v>104</v>
      </c>
      <c r="I2" s="38" t="s">
        <v>52</v>
      </c>
      <c r="J2" s="38" t="s">
        <v>62</v>
      </c>
      <c r="K2" s="38" t="s">
        <v>146</v>
      </c>
      <c r="L2" s="38" t="s">
        <v>32</v>
      </c>
      <c r="M2" s="38" t="s">
        <v>33</v>
      </c>
      <c r="N2" s="38" t="s">
        <v>34</v>
      </c>
      <c r="O2" s="38" t="s">
        <v>56</v>
      </c>
      <c r="P2" s="38" t="s">
        <v>57</v>
      </c>
      <c r="Q2" s="38" t="s">
        <v>16</v>
      </c>
      <c r="R2" s="38" t="s">
        <v>17</v>
      </c>
      <c r="S2" s="38" t="s">
        <v>39</v>
      </c>
      <c r="T2" s="38" t="s">
        <v>40</v>
      </c>
      <c r="U2" s="38" t="s">
        <v>41</v>
      </c>
      <c r="V2" s="38" t="s">
        <v>42</v>
      </c>
      <c r="W2" s="38" t="s">
        <v>45</v>
      </c>
      <c r="X2" s="38" t="s">
        <v>67</v>
      </c>
      <c r="Y2" s="38" t="s">
        <v>49</v>
      </c>
      <c r="Z2" s="38" t="s">
        <v>68</v>
      </c>
      <c r="AA2" s="38" t="s">
        <v>46</v>
      </c>
      <c r="AB2" s="39" t="s">
        <v>47</v>
      </c>
      <c r="AC2" s="39" t="s">
        <v>48</v>
      </c>
      <c r="AD2" s="39" t="s">
        <v>55</v>
      </c>
      <c r="AE2" s="38" t="s">
        <v>66</v>
      </c>
      <c r="AF2" s="68" t="s">
        <v>214</v>
      </c>
      <c r="AG2" s="68" t="s">
        <v>215</v>
      </c>
      <c r="AH2" s="68" t="s">
        <v>210</v>
      </c>
      <c r="AI2" s="68" t="s">
        <v>211</v>
      </c>
      <c r="AJ2" s="68" t="s">
        <v>212</v>
      </c>
      <c r="AK2" s="68" t="s">
        <v>205</v>
      </c>
      <c r="AL2" s="92"/>
      <c r="AM2" s="92"/>
      <c r="AN2" s="92"/>
      <c r="AO2" s="92"/>
      <c r="AP2" s="94"/>
      <c r="AQ2" s="94"/>
      <c r="AR2" s="94"/>
      <c r="AS2" s="94"/>
      <c r="AT2" s="94"/>
      <c r="AU2" s="94"/>
    </row>
    <row r="3" spans="1:47" x14ac:dyDescent="0.3">
      <c r="A3" s="46" t="s">
        <v>63</v>
      </c>
      <c r="B3" s="46" t="s">
        <v>65</v>
      </c>
      <c r="C3" s="46" t="s">
        <v>64</v>
      </c>
      <c r="D3" s="72" t="s">
        <v>165</v>
      </c>
      <c r="E3" s="72" t="s">
        <v>218</v>
      </c>
      <c r="F3" s="47" t="s">
        <v>109</v>
      </c>
      <c r="G3" s="50">
        <v>4.9000000000000004</v>
      </c>
      <c r="H3" s="50">
        <v>0.46</v>
      </c>
      <c r="I3" s="50">
        <v>0.95</v>
      </c>
      <c r="J3" s="50">
        <v>1</v>
      </c>
      <c r="K3" s="50">
        <v>0.53</v>
      </c>
      <c r="L3" s="50">
        <f>[1]SawMill!$K$19</f>
        <v>0.17797461422516755</v>
      </c>
      <c r="M3" s="50">
        <f>[1]SawMill!$K$18</f>
        <v>0.25456160291260915</v>
      </c>
      <c r="N3" s="50">
        <f>[1]SawMill!$K$20</f>
        <v>0.45861152108304742</v>
      </c>
      <c r="O3" s="50">
        <v>0.20833333333333334</v>
      </c>
      <c r="P3" s="50">
        <v>0.20833333333333334</v>
      </c>
      <c r="Q3" s="50">
        <v>0.41666666666666669</v>
      </c>
      <c r="R3" s="50">
        <v>0.43478260869565222</v>
      </c>
      <c r="S3" s="50">
        <v>1.1000000000000001</v>
      </c>
      <c r="T3" s="50">
        <v>1.3</v>
      </c>
      <c r="U3" s="50">
        <v>1.3</v>
      </c>
      <c r="V3" s="50">
        <v>1.1000000000000001</v>
      </c>
      <c r="W3" s="50">
        <v>3.6272878535773712E-2</v>
      </c>
      <c r="X3" s="50">
        <v>-2.3388429752066116</v>
      </c>
      <c r="Y3" s="50">
        <v>-1.7595744680851064</v>
      </c>
      <c r="Z3" s="50">
        <v>-0.69452054794520546</v>
      </c>
      <c r="AA3" s="50">
        <v>-0.56119099642736403</v>
      </c>
      <c r="AB3" s="51">
        <v>0.18372712146422629</v>
      </c>
      <c r="AC3" s="51">
        <v>-0.44000000000000006</v>
      </c>
      <c r="AD3" s="51">
        <v>-2.1000000000000001E-2</v>
      </c>
      <c r="AE3" s="50">
        <v>1</v>
      </c>
      <c r="AF3" s="74">
        <v>0.67</v>
      </c>
      <c r="AG3" s="74">
        <v>-0.16405841400000001</v>
      </c>
      <c r="AH3" s="74"/>
      <c r="AI3" s="74"/>
      <c r="AJ3" s="74"/>
      <c r="AK3" s="74"/>
      <c r="AL3" s="92"/>
      <c r="AM3" s="92"/>
      <c r="AN3" s="92"/>
      <c r="AO3" s="92"/>
      <c r="AP3" s="94"/>
      <c r="AQ3" s="94"/>
      <c r="AR3" s="94"/>
      <c r="AS3" s="94"/>
      <c r="AT3" s="94"/>
      <c r="AU3" s="94"/>
    </row>
    <row r="4" spans="1:47" x14ac:dyDescent="0.3">
      <c r="A4" s="46" t="s">
        <v>11</v>
      </c>
      <c r="B4" s="46" t="s">
        <v>19</v>
      </c>
      <c r="C4" s="46" t="s">
        <v>6</v>
      </c>
      <c r="D4" s="79">
        <v>0</v>
      </c>
      <c r="E4" s="91">
        <v>0</v>
      </c>
      <c r="F4" s="48">
        <f>PRODUCT(Table73[[#This Row],[1]:[25]])</f>
        <v>0.17797461422516755</v>
      </c>
      <c r="G4" s="50"/>
      <c r="H4" s="50"/>
      <c r="I4" s="50"/>
      <c r="J4" s="50"/>
      <c r="K4" s="50"/>
      <c r="L4" s="50">
        <f>L$3</f>
        <v>0.17797461422516755</v>
      </c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1"/>
      <c r="AC4" s="51"/>
      <c r="AD4" s="51"/>
      <c r="AE4" s="50"/>
      <c r="AF4" s="74"/>
      <c r="AG4" s="74"/>
      <c r="AH4" s="74"/>
      <c r="AI4" s="74"/>
      <c r="AJ4" s="74"/>
      <c r="AK4" s="74"/>
      <c r="AL4" s="92"/>
      <c r="AM4" s="92"/>
      <c r="AN4" s="92"/>
      <c r="AO4" s="92"/>
      <c r="AP4" s="94"/>
      <c r="AQ4" s="94"/>
      <c r="AR4" s="94"/>
      <c r="AS4" s="94"/>
      <c r="AT4" s="94"/>
      <c r="AU4" s="94"/>
    </row>
    <row r="5" spans="1:47" x14ac:dyDescent="0.3">
      <c r="A5" s="46" t="s">
        <v>11</v>
      </c>
      <c r="B5" s="46" t="s">
        <v>19</v>
      </c>
      <c r="C5" s="46" t="s">
        <v>7</v>
      </c>
      <c r="D5" s="79">
        <v>0</v>
      </c>
      <c r="E5" s="91">
        <v>0</v>
      </c>
      <c r="F5" s="48">
        <f>PRODUCT(Table73[[#This Row],[1]:[25]])</f>
        <v>0.25456160291260915</v>
      </c>
      <c r="G5" s="50"/>
      <c r="H5" s="50"/>
      <c r="I5" s="50"/>
      <c r="J5" s="50"/>
      <c r="K5" s="50"/>
      <c r="L5" s="50"/>
      <c r="M5" s="50">
        <f>M$3</f>
        <v>0.25456160291260915</v>
      </c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1"/>
      <c r="AC5" s="51"/>
      <c r="AD5" s="51"/>
      <c r="AE5" s="50"/>
      <c r="AF5" s="74"/>
      <c r="AG5" s="74"/>
      <c r="AH5" s="74"/>
      <c r="AI5" s="74"/>
      <c r="AJ5" s="74"/>
      <c r="AK5" s="74"/>
      <c r="AL5" s="92"/>
      <c r="AM5" s="92"/>
      <c r="AN5" s="92"/>
      <c r="AO5" s="92"/>
      <c r="AP5" s="94"/>
      <c r="AQ5" s="94"/>
      <c r="AR5" s="94"/>
      <c r="AS5" s="94"/>
      <c r="AT5" s="94"/>
      <c r="AU5" s="94"/>
    </row>
    <row r="6" spans="1:47" x14ac:dyDescent="0.3">
      <c r="A6" s="46" t="s">
        <v>11</v>
      </c>
      <c r="B6" s="46" t="s">
        <v>19</v>
      </c>
      <c r="C6" s="46" t="s">
        <v>196</v>
      </c>
      <c r="D6" s="91">
        <f>[1]SawMill!$C$2*Table73[[#This Row],[Column4]]</f>
        <v>141.61407025668638</v>
      </c>
      <c r="E6" s="91">
        <v>0</v>
      </c>
      <c r="F6" s="48">
        <f>PRODUCT(Table73[[#This Row],[1]:[25]])</f>
        <v>0.45861152108304742</v>
      </c>
      <c r="G6" s="50"/>
      <c r="H6" s="50"/>
      <c r="I6" s="50"/>
      <c r="J6" s="50"/>
      <c r="K6" s="50"/>
      <c r="L6" s="50"/>
      <c r="M6" s="50"/>
      <c r="N6" s="50">
        <f>N$3</f>
        <v>0.45861152108304742</v>
      </c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1"/>
      <c r="AC6" s="51"/>
      <c r="AD6" s="51"/>
      <c r="AE6" s="50"/>
      <c r="AF6" s="74"/>
      <c r="AG6" s="74"/>
      <c r="AH6" s="74"/>
      <c r="AI6" s="74"/>
      <c r="AJ6" s="74"/>
      <c r="AK6" s="74"/>
      <c r="AL6" s="92"/>
      <c r="AM6" s="92"/>
      <c r="AN6" s="92"/>
      <c r="AO6" s="92"/>
      <c r="AP6" s="94"/>
      <c r="AQ6" s="94"/>
      <c r="AR6" s="94"/>
      <c r="AS6" s="94"/>
      <c r="AT6" s="94"/>
      <c r="AU6" s="94"/>
    </row>
    <row r="7" spans="1:47" x14ac:dyDescent="0.3">
      <c r="A7" s="46" t="s">
        <v>13</v>
      </c>
      <c r="B7" s="46" t="s">
        <v>19</v>
      </c>
      <c r="C7" s="46" t="s">
        <v>6</v>
      </c>
      <c r="D7" s="79">
        <v>0</v>
      </c>
      <c r="E7" s="91">
        <v>0</v>
      </c>
      <c r="F7" s="48">
        <f>PRODUCT(Table73[[#This Row],[1]:[25]])</f>
        <v>0.17797461422516755</v>
      </c>
      <c r="G7" s="50"/>
      <c r="H7" s="50"/>
      <c r="I7" s="50"/>
      <c r="J7" s="50"/>
      <c r="K7" s="50"/>
      <c r="L7" s="50">
        <f>L$3</f>
        <v>0.17797461422516755</v>
      </c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  <c r="AB7" s="51"/>
      <c r="AC7" s="51"/>
      <c r="AD7" s="51"/>
      <c r="AE7" s="50"/>
      <c r="AF7" s="74"/>
      <c r="AG7" s="74"/>
      <c r="AH7" s="74"/>
      <c r="AI7" s="74"/>
      <c r="AJ7" s="74"/>
      <c r="AK7" s="74"/>
      <c r="AL7" s="92"/>
      <c r="AM7" s="92"/>
      <c r="AN7" s="92"/>
      <c r="AO7" s="92"/>
      <c r="AP7" s="94"/>
      <c r="AQ7" s="94"/>
      <c r="AR7" s="94"/>
      <c r="AS7" s="94"/>
      <c r="AT7" s="94"/>
      <c r="AU7" s="94"/>
    </row>
    <row r="8" spans="1:47" x14ac:dyDescent="0.3">
      <c r="A8" s="46" t="s">
        <v>13</v>
      </c>
      <c r="B8" s="46" t="s">
        <v>19</v>
      </c>
      <c r="C8" s="46" t="s">
        <v>7</v>
      </c>
      <c r="D8" s="79">
        <v>0</v>
      </c>
      <c r="E8" s="91">
        <v>0</v>
      </c>
      <c r="F8" s="48">
        <f>PRODUCT(Table73[[#This Row],[1]:[25]])</f>
        <v>0.25456160291260915</v>
      </c>
      <c r="G8" s="50"/>
      <c r="H8" s="50"/>
      <c r="I8" s="50"/>
      <c r="J8" s="50"/>
      <c r="K8" s="50"/>
      <c r="L8" s="50"/>
      <c r="M8" s="50">
        <f>M$3</f>
        <v>0.25456160291260915</v>
      </c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1"/>
      <c r="AC8" s="51"/>
      <c r="AD8" s="51"/>
      <c r="AE8" s="50"/>
      <c r="AF8" s="74"/>
      <c r="AG8" s="74"/>
      <c r="AH8" s="74"/>
      <c r="AI8" s="74"/>
      <c r="AJ8" s="74"/>
      <c r="AK8" s="74"/>
      <c r="AL8" s="92"/>
      <c r="AM8" s="92"/>
      <c r="AN8" s="92"/>
      <c r="AO8" s="92"/>
      <c r="AP8" s="94"/>
      <c r="AQ8" s="94"/>
      <c r="AR8" s="94"/>
      <c r="AS8" s="94"/>
      <c r="AT8" s="94"/>
      <c r="AU8" s="94"/>
    </row>
    <row r="9" spans="1:47" x14ac:dyDescent="0.3">
      <c r="A9" s="46" t="s">
        <v>13</v>
      </c>
      <c r="B9" s="46" t="s">
        <v>19</v>
      </c>
      <c r="C9" s="71" t="s">
        <v>196</v>
      </c>
      <c r="D9" s="91">
        <f>[1]SawMill!$C$2*Table73[[#This Row],[Column4]]</f>
        <v>141.61407025668638</v>
      </c>
      <c r="E9" s="91">
        <v>0</v>
      </c>
      <c r="F9" s="48">
        <f>PRODUCT(Table73[[#This Row],[1]:[25]])</f>
        <v>0.45861152108304742</v>
      </c>
      <c r="G9" s="50"/>
      <c r="H9" s="50"/>
      <c r="I9" s="50"/>
      <c r="J9" s="50"/>
      <c r="K9" s="50"/>
      <c r="L9" s="50"/>
      <c r="M9" s="50"/>
      <c r="N9" s="50">
        <f>N$3</f>
        <v>0.45861152108304742</v>
      </c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0"/>
      <c r="AA9" s="50"/>
      <c r="AB9" s="51"/>
      <c r="AC9" s="51"/>
      <c r="AD9" s="51"/>
      <c r="AE9" s="50"/>
      <c r="AF9" s="74"/>
      <c r="AG9" s="74"/>
      <c r="AH9" s="74"/>
      <c r="AI9" s="74"/>
      <c r="AJ9" s="74"/>
      <c r="AK9" s="74"/>
      <c r="AL9" s="92"/>
      <c r="AM9" s="92"/>
      <c r="AN9" s="92"/>
      <c r="AO9" s="92"/>
      <c r="AP9" s="94"/>
      <c r="AQ9" s="94"/>
      <c r="AR9" s="94"/>
      <c r="AS9" s="94"/>
      <c r="AT9" s="94"/>
      <c r="AU9" s="94"/>
    </row>
    <row r="10" spans="1:47" x14ac:dyDescent="0.3">
      <c r="A10" s="46" t="s">
        <v>12</v>
      </c>
      <c r="B10" s="46" t="s">
        <v>21</v>
      </c>
      <c r="C10" s="46" t="s">
        <v>6</v>
      </c>
      <c r="D10" s="79">
        <v>0</v>
      </c>
      <c r="E10" s="91">
        <v>0</v>
      </c>
      <c r="F10" s="48">
        <f>PRODUCT(Table73[[#This Row],[1]:[25]])</f>
        <v>0.17797461422516755</v>
      </c>
      <c r="G10" s="50"/>
      <c r="H10" s="50"/>
      <c r="I10" s="50"/>
      <c r="J10" s="50"/>
      <c r="K10" s="50"/>
      <c r="L10" s="50">
        <f>L$3</f>
        <v>0.17797461422516755</v>
      </c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1"/>
      <c r="AC10" s="51"/>
      <c r="AD10" s="51"/>
      <c r="AE10" s="50"/>
      <c r="AF10" s="74"/>
      <c r="AG10" s="74"/>
      <c r="AH10" s="74"/>
      <c r="AI10" s="74"/>
      <c r="AJ10" s="74"/>
      <c r="AK10" s="74"/>
      <c r="AL10" s="92"/>
      <c r="AM10" s="92"/>
      <c r="AN10" s="92"/>
      <c r="AO10" s="92"/>
      <c r="AP10" s="94"/>
      <c r="AQ10" s="94"/>
      <c r="AR10" s="94"/>
      <c r="AS10" s="94"/>
      <c r="AT10" s="94"/>
      <c r="AU10" s="94"/>
    </row>
    <row r="11" spans="1:47" x14ac:dyDescent="0.3">
      <c r="A11" s="46" t="s">
        <v>12</v>
      </c>
      <c r="B11" s="46" t="s">
        <v>21</v>
      </c>
      <c r="C11" s="46" t="s">
        <v>7</v>
      </c>
      <c r="D11" s="79">
        <v>0</v>
      </c>
      <c r="E11" s="91">
        <v>0</v>
      </c>
      <c r="F11" s="48">
        <f>PRODUCT(Table73[[#This Row],[1]:[25]])</f>
        <v>0.25456160291260915</v>
      </c>
      <c r="G11" s="50"/>
      <c r="H11" s="50"/>
      <c r="I11" s="50"/>
      <c r="J11" s="50"/>
      <c r="K11" s="50"/>
      <c r="L11" s="50"/>
      <c r="M11" s="50">
        <f>M$3</f>
        <v>0.25456160291260915</v>
      </c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1"/>
      <c r="AC11" s="51"/>
      <c r="AD11" s="51"/>
      <c r="AE11" s="50"/>
      <c r="AF11" s="74"/>
      <c r="AG11" s="74"/>
      <c r="AH11" s="74"/>
      <c r="AI11" s="74"/>
      <c r="AJ11" s="74"/>
      <c r="AK11" s="74"/>
      <c r="AL11" s="92"/>
      <c r="AM11" s="92"/>
      <c r="AN11" s="92"/>
      <c r="AO11" s="92"/>
      <c r="AP11" s="94"/>
      <c r="AQ11" s="94"/>
      <c r="AR11" s="94"/>
      <c r="AS11" s="94"/>
      <c r="AT11" s="94"/>
      <c r="AU11" s="94"/>
    </row>
    <row r="12" spans="1:47" x14ac:dyDescent="0.3">
      <c r="A12" s="46" t="s">
        <v>12</v>
      </c>
      <c r="B12" s="46" t="s">
        <v>21</v>
      </c>
      <c r="C12" s="71" t="s">
        <v>196</v>
      </c>
      <c r="D12" s="91">
        <f>[1]SawMill!$C$2*Table73[[#This Row],[Column4]]</f>
        <v>141.61407025668638</v>
      </c>
      <c r="E12" s="91">
        <v>0</v>
      </c>
      <c r="F12" s="48">
        <f>PRODUCT(Table73[[#This Row],[1]:[25]])</f>
        <v>0.45861152108304742</v>
      </c>
      <c r="G12" s="50"/>
      <c r="H12" s="50"/>
      <c r="I12" s="50"/>
      <c r="J12" s="50"/>
      <c r="K12" s="50"/>
      <c r="L12" s="50"/>
      <c r="M12" s="50"/>
      <c r="N12" s="50">
        <f>N$3</f>
        <v>0.45861152108304742</v>
      </c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1"/>
      <c r="AC12" s="51"/>
      <c r="AD12" s="51"/>
      <c r="AE12" s="50"/>
      <c r="AF12" s="74"/>
      <c r="AG12" s="74"/>
      <c r="AH12" s="74"/>
      <c r="AI12" s="74"/>
      <c r="AJ12" s="74"/>
      <c r="AK12" s="74"/>
      <c r="AL12" s="92"/>
      <c r="AM12" s="92"/>
      <c r="AN12" s="92"/>
      <c r="AO12" s="92"/>
      <c r="AP12" s="94"/>
      <c r="AQ12" s="94"/>
      <c r="AR12" s="94"/>
      <c r="AS12" s="94"/>
      <c r="AT12" s="94"/>
      <c r="AU12" s="94"/>
    </row>
    <row r="13" spans="1:47" s="65" customFormat="1" x14ac:dyDescent="0.3">
      <c r="A13" s="71" t="s">
        <v>13</v>
      </c>
      <c r="B13" s="71" t="s">
        <v>21</v>
      </c>
      <c r="C13" s="71" t="s">
        <v>6</v>
      </c>
      <c r="D13" s="79">
        <v>0</v>
      </c>
      <c r="E13" s="91">
        <v>0</v>
      </c>
      <c r="F13" s="73">
        <f>PRODUCT(Table73[[#This Row],[1]:[25]])</f>
        <v>0.17797461422516755</v>
      </c>
      <c r="G13" s="74"/>
      <c r="H13" s="74"/>
      <c r="I13" s="74"/>
      <c r="J13" s="74"/>
      <c r="K13" s="74"/>
      <c r="L13" s="74">
        <f>L$3</f>
        <v>0.17797461422516755</v>
      </c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5"/>
      <c r="AC13" s="75"/>
      <c r="AD13" s="75"/>
      <c r="AE13" s="74"/>
      <c r="AF13" s="74"/>
      <c r="AG13" s="74"/>
      <c r="AH13" s="74"/>
      <c r="AI13" s="74"/>
      <c r="AJ13" s="74"/>
      <c r="AK13" s="74"/>
      <c r="AL13" s="92"/>
      <c r="AM13" s="92"/>
      <c r="AN13" s="92"/>
      <c r="AO13" s="92"/>
      <c r="AP13" s="94"/>
      <c r="AQ13" s="94"/>
      <c r="AR13" s="94"/>
      <c r="AS13" s="94"/>
      <c r="AT13" s="94"/>
      <c r="AU13" s="94"/>
    </row>
    <row r="14" spans="1:47" s="65" customFormat="1" x14ac:dyDescent="0.3">
      <c r="A14" s="71" t="s">
        <v>13</v>
      </c>
      <c r="B14" s="71" t="s">
        <v>21</v>
      </c>
      <c r="C14" s="71" t="s">
        <v>7</v>
      </c>
      <c r="D14" s="79">
        <v>0</v>
      </c>
      <c r="E14" s="91">
        <v>0</v>
      </c>
      <c r="F14" s="73">
        <f>PRODUCT(Table73[[#This Row],[1]:[25]])</f>
        <v>0.25456160291260915</v>
      </c>
      <c r="G14" s="74"/>
      <c r="H14" s="74"/>
      <c r="I14" s="74"/>
      <c r="J14" s="74"/>
      <c r="K14" s="74"/>
      <c r="L14" s="74"/>
      <c r="M14" s="74">
        <f>M$3</f>
        <v>0.25456160291260915</v>
      </c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5"/>
      <c r="AC14" s="75"/>
      <c r="AD14" s="75"/>
      <c r="AE14" s="74"/>
      <c r="AF14" s="74"/>
      <c r="AG14" s="74"/>
      <c r="AH14" s="74"/>
      <c r="AI14" s="74"/>
      <c r="AJ14" s="74"/>
      <c r="AK14" s="74"/>
      <c r="AL14" s="92"/>
      <c r="AM14" s="92"/>
      <c r="AN14" s="92"/>
      <c r="AO14" s="92"/>
      <c r="AP14" s="94"/>
      <c r="AQ14" s="94"/>
      <c r="AR14" s="94"/>
      <c r="AS14" s="94"/>
      <c r="AT14" s="94"/>
      <c r="AU14" s="94"/>
    </row>
    <row r="15" spans="1:47" s="65" customFormat="1" x14ac:dyDescent="0.3">
      <c r="A15" s="71" t="s">
        <v>13</v>
      </c>
      <c r="B15" s="71" t="s">
        <v>21</v>
      </c>
      <c r="C15" s="71" t="s">
        <v>196</v>
      </c>
      <c r="D15" s="79">
        <f>[1]SawMill!$C$2*Table73[[#This Row],[Column4]]</f>
        <v>141.61407025668638</v>
      </c>
      <c r="E15" s="91">
        <v>0</v>
      </c>
      <c r="F15" s="73">
        <f>PRODUCT(Table73[[#This Row],[1]:[25]])</f>
        <v>0.45861152108304742</v>
      </c>
      <c r="G15" s="74"/>
      <c r="H15" s="74"/>
      <c r="I15" s="74"/>
      <c r="J15" s="74"/>
      <c r="K15" s="74"/>
      <c r="L15" s="74"/>
      <c r="M15" s="74"/>
      <c r="N15" s="74">
        <f>N$3</f>
        <v>0.45861152108304742</v>
      </c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5"/>
      <c r="AC15" s="75"/>
      <c r="AD15" s="75"/>
      <c r="AE15" s="74"/>
      <c r="AF15" s="74"/>
      <c r="AG15" s="74"/>
      <c r="AH15" s="74"/>
      <c r="AI15" s="74"/>
      <c r="AJ15" s="74"/>
      <c r="AK15" s="74"/>
      <c r="AL15" s="92"/>
      <c r="AM15" s="92"/>
      <c r="AN15" s="92"/>
      <c r="AO15" s="92"/>
      <c r="AP15" s="94"/>
      <c r="AQ15" s="94"/>
      <c r="AR15" s="94"/>
      <c r="AS15" s="94"/>
      <c r="AT15" s="94"/>
      <c r="AU15" s="94"/>
    </row>
    <row r="16" spans="1:47" s="65" customFormat="1" x14ac:dyDescent="0.3">
      <c r="A16" s="71" t="s">
        <v>184</v>
      </c>
      <c r="B16" s="71" t="s">
        <v>183</v>
      </c>
      <c r="C16" s="71" t="s">
        <v>6</v>
      </c>
      <c r="D16" s="91">
        <v>0</v>
      </c>
      <c r="E16" s="91">
        <v>0</v>
      </c>
      <c r="F16" s="73">
        <f>PRODUCT(Table73[[#This Row],[1]:[25]])</f>
        <v>0.17797461422516755</v>
      </c>
      <c r="G16" s="74"/>
      <c r="H16" s="74"/>
      <c r="I16" s="74"/>
      <c r="J16" s="74"/>
      <c r="K16" s="74"/>
      <c r="L16" s="74">
        <f>L$3</f>
        <v>0.17797461422516755</v>
      </c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5"/>
      <c r="AC16" s="75"/>
      <c r="AD16" s="75"/>
      <c r="AE16" s="74"/>
      <c r="AF16" s="74"/>
      <c r="AG16" s="74"/>
      <c r="AH16" s="74"/>
      <c r="AI16" s="74"/>
      <c r="AJ16" s="74"/>
      <c r="AK16" s="74"/>
      <c r="AL16" s="92"/>
      <c r="AM16" s="92"/>
      <c r="AN16" s="92"/>
      <c r="AO16" s="92"/>
      <c r="AP16" s="94"/>
      <c r="AQ16" s="94"/>
      <c r="AR16" s="94"/>
      <c r="AS16" s="94"/>
      <c r="AT16" s="94"/>
      <c r="AU16" s="94"/>
    </row>
    <row r="17" spans="1:47" s="65" customFormat="1" x14ac:dyDescent="0.3">
      <c r="A17" s="71" t="s">
        <v>184</v>
      </c>
      <c r="B17" s="71" t="s">
        <v>183</v>
      </c>
      <c r="C17" s="71" t="s">
        <v>7</v>
      </c>
      <c r="D17" s="91">
        <v>0</v>
      </c>
      <c r="E17" s="91">
        <v>0</v>
      </c>
      <c r="F17" s="73">
        <f>PRODUCT(Table73[[#This Row],[1]:[25]])</f>
        <v>0.25456160291260915</v>
      </c>
      <c r="G17" s="74"/>
      <c r="H17" s="74"/>
      <c r="I17" s="74"/>
      <c r="J17" s="74"/>
      <c r="K17" s="74"/>
      <c r="L17" s="74"/>
      <c r="M17" s="74">
        <f>M$3</f>
        <v>0.25456160291260915</v>
      </c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5"/>
      <c r="AC17" s="75"/>
      <c r="AD17" s="75"/>
      <c r="AE17" s="74"/>
      <c r="AF17" s="74"/>
      <c r="AG17" s="74"/>
      <c r="AH17" s="74"/>
      <c r="AI17" s="74"/>
      <c r="AJ17" s="74"/>
      <c r="AK17" s="74"/>
      <c r="AL17" s="92"/>
      <c r="AM17" s="92"/>
      <c r="AN17" s="92"/>
      <c r="AO17" s="92"/>
      <c r="AP17" s="94"/>
      <c r="AQ17" s="94"/>
      <c r="AR17" s="94"/>
      <c r="AS17" s="94"/>
      <c r="AT17" s="94"/>
      <c r="AU17" s="94"/>
    </row>
    <row r="18" spans="1:47" s="65" customFormat="1" x14ac:dyDescent="0.3">
      <c r="A18" s="71" t="s">
        <v>184</v>
      </c>
      <c r="B18" s="71" t="s">
        <v>183</v>
      </c>
      <c r="C18" s="71" t="s">
        <v>197</v>
      </c>
      <c r="D18" s="91">
        <f>[1]SawMill!$C$2*Table73[[#This Row],[Column4]]</f>
        <v>141.61407025668638</v>
      </c>
      <c r="E18" s="91">
        <v>0</v>
      </c>
      <c r="F18" s="73">
        <f>PRODUCT(Table73[[#This Row],[1]:[25]])</f>
        <v>0.45861152108304742</v>
      </c>
      <c r="G18" s="74"/>
      <c r="H18" s="74"/>
      <c r="I18" s="74"/>
      <c r="J18" s="74"/>
      <c r="K18" s="74"/>
      <c r="L18" s="74"/>
      <c r="M18" s="74"/>
      <c r="N18" s="74">
        <f>N$3</f>
        <v>0.45861152108304742</v>
      </c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5"/>
      <c r="AC18" s="75"/>
      <c r="AD18" s="75"/>
      <c r="AE18" s="74"/>
      <c r="AF18" s="74"/>
      <c r="AG18" s="74"/>
      <c r="AH18" s="74"/>
      <c r="AI18" s="74"/>
      <c r="AJ18" s="74"/>
      <c r="AK18" s="74"/>
      <c r="AL18" s="92"/>
      <c r="AM18" s="92"/>
      <c r="AN18" s="92"/>
      <c r="AO18" s="92"/>
      <c r="AP18" s="94"/>
      <c r="AQ18" s="94"/>
      <c r="AR18" s="94"/>
      <c r="AS18" s="94"/>
      <c r="AT18" s="94"/>
      <c r="AU18" s="94"/>
    </row>
    <row r="19" spans="1:47" x14ac:dyDescent="0.3">
      <c r="A19" s="55" t="s">
        <v>162</v>
      </c>
      <c r="B19" s="55" t="s">
        <v>20</v>
      </c>
      <c r="C19" s="55" t="s">
        <v>149</v>
      </c>
      <c r="D19" s="80">
        <v>91</v>
      </c>
      <c r="E19" s="91">
        <v>0</v>
      </c>
      <c r="F19" s="56">
        <f>PRODUCT(Table73[[#This Row],[1]:[25]])</f>
        <v>0.46</v>
      </c>
      <c r="G19" s="57"/>
      <c r="H19" s="57">
        <f t="shared" ref="H19:H25" si="0">H$3</f>
        <v>0.46</v>
      </c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8"/>
      <c r="AC19" s="58"/>
      <c r="AD19" s="58"/>
      <c r="AE19" s="57"/>
      <c r="AF19" s="74"/>
      <c r="AG19" s="74"/>
      <c r="AH19" s="74"/>
      <c r="AI19" s="74"/>
      <c r="AJ19" s="74"/>
      <c r="AK19" s="74"/>
      <c r="AL19" s="95" t="s">
        <v>162</v>
      </c>
      <c r="AM19" s="95" t="s">
        <v>20</v>
      </c>
      <c r="AN19" s="95" t="s">
        <v>149</v>
      </c>
      <c r="AO19" s="95">
        <v>91</v>
      </c>
      <c r="AP19" s="95">
        <v>0.46</v>
      </c>
      <c r="AQ19" s="96" t="s">
        <v>162</v>
      </c>
      <c r="AR19" s="96" t="s">
        <v>20</v>
      </c>
      <c r="AS19" s="96" t="s">
        <v>149</v>
      </c>
      <c r="AT19" s="96">
        <v>91</v>
      </c>
      <c r="AU19" s="96">
        <v>0.46</v>
      </c>
    </row>
    <row r="20" spans="1:47" x14ac:dyDescent="0.3">
      <c r="A20" s="55" t="s">
        <v>162</v>
      </c>
      <c r="B20" s="55" t="s">
        <v>22</v>
      </c>
      <c r="C20" s="55" t="s">
        <v>149</v>
      </c>
      <c r="D20" s="80">
        <v>91</v>
      </c>
      <c r="E20" s="91">
        <v>0</v>
      </c>
      <c r="F20" s="56">
        <f>PRODUCT(Table73[[#This Row],[1]:[25]])</f>
        <v>0.46</v>
      </c>
      <c r="G20" s="57"/>
      <c r="H20" s="57">
        <f t="shared" si="0"/>
        <v>0.46</v>
      </c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8"/>
      <c r="AC20" s="58"/>
      <c r="AD20" s="58"/>
      <c r="AE20" s="57"/>
      <c r="AF20" s="74"/>
      <c r="AG20" s="74"/>
      <c r="AH20" s="74"/>
      <c r="AI20" s="74"/>
      <c r="AJ20" s="74"/>
      <c r="AK20" s="74"/>
      <c r="AL20" s="95" t="s">
        <v>162</v>
      </c>
      <c r="AM20" s="95" t="s">
        <v>22</v>
      </c>
      <c r="AN20" s="95" t="s">
        <v>149</v>
      </c>
      <c r="AO20" s="95">
        <v>91</v>
      </c>
      <c r="AP20" s="95">
        <v>0.46</v>
      </c>
      <c r="AQ20" s="96" t="s">
        <v>162</v>
      </c>
      <c r="AR20" s="96" t="s">
        <v>22</v>
      </c>
      <c r="AS20" s="96" t="s">
        <v>149</v>
      </c>
      <c r="AT20" s="96">
        <v>91</v>
      </c>
      <c r="AU20" s="96">
        <v>0.46</v>
      </c>
    </row>
    <row r="21" spans="1:47" x14ac:dyDescent="0.3">
      <c r="A21" s="55" t="s">
        <v>162</v>
      </c>
      <c r="B21" s="55" t="s">
        <v>5</v>
      </c>
      <c r="C21" s="55" t="s">
        <v>149</v>
      </c>
      <c r="D21" s="80">
        <v>91</v>
      </c>
      <c r="E21" s="91">
        <v>0</v>
      </c>
      <c r="F21" s="56">
        <f>PRODUCT(Table73[[#This Row],[1]:[25]])</f>
        <v>0.46</v>
      </c>
      <c r="G21" s="57"/>
      <c r="H21" s="57">
        <f t="shared" si="0"/>
        <v>0.46</v>
      </c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8"/>
      <c r="AC21" s="58"/>
      <c r="AD21" s="58"/>
      <c r="AE21" s="57"/>
      <c r="AF21" s="74"/>
      <c r="AG21" s="74"/>
      <c r="AH21" s="74"/>
      <c r="AI21" s="74"/>
      <c r="AJ21" s="74"/>
      <c r="AK21" s="74"/>
      <c r="AL21" s="95" t="s">
        <v>162</v>
      </c>
      <c r="AM21" s="95" t="s">
        <v>5</v>
      </c>
      <c r="AN21" s="95" t="s">
        <v>149</v>
      </c>
      <c r="AO21" s="95">
        <v>91</v>
      </c>
      <c r="AP21" s="95">
        <v>0.46</v>
      </c>
      <c r="AQ21" s="96" t="s">
        <v>162</v>
      </c>
      <c r="AR21" s="96" t="s">
        <v>5</v>
      </c>
      <c r="AS21" s="96" t="s">
        <v>149</v>
      </c>
      <c r="AT21" s="96">
        <v>91</v>
      </c>
      <c r="AU21" s="96">
        <v>0.46</v>
      </c>
    </row>
    <row r="22" spans="1:47" x14ac:dyDescent="0.3">
      <c r="A22" s="55" t="s">
        <v>162</v>
      </c>
      <c r="B22" s="55" t="s">
        <v>24</v>
      </c>
      <c r="C22" s="55" t="s">
        <v>149</v>
      </c>
      <c r="D22" s="80">
        <v>149.6</v>
      </c>
      <c r="E22" s="91">
        <v>0</v>
      </c>
      <c r="F22" s="56">
        <f>PRODUCT(Table73[[#This Row],[1]:[25]])</f>
        <v>1</v>
      </c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8"/>
      <c r="AC22" s="58"/>
      <c r="AD22" s="58"/>
      <c r="AE22" s="57">
        <f>AE$3</f>
        <v>1</v>
      </c>
      <c r="AF22" s="74"/>
      <c r="AG22" s="74"/>
      <c r="AH22" s="74"/>
      <c r="AI22" s="74"/>
      <c r="AJ22" s="74"/>
      <c r="AK22" s="74"/>
      <c r="AL22" s="95" t="s">
        <v>162</v>
      </c>
      <c r="AM22" s="95" t="s">
        <v>24</v>
      </c>
      <c r="AN22" s="95" t="s">
        <v>149</v>
      </c>
      <c r="AO22" s="95">
        <v>149.6</v>
      </c>
      <c r="AP22" s="95">
        <v>1</v>
      </c>
      <c r="AQ22" s="96" t="s">
        <v>162</v>
      </c>
      <c r="AR22" s="96" t="s">
        <v>24</v>
      </c>
      <c r="AS22" s="96" t="s">
        <v>149</v>
      </c>
      <c r="AT22" s="96">
        <v>149.6</v>
      </c>
      <c r="AU22" s="96">
        <v>1</v>
      </c>
    </row>
    <row r="23" spans="1:47" s="65" customFormat="1" x14ac:dyDescent="0.3">
      <c r="A23" s="71" t="s">
        <v>162</v>
      </c>
      <c r="B23" s="71" t="s">
        <v>25</v>
      </c>
      <c r="C23" s="71" t="s">
        <v>149</v>
      </c>
      <c r="D23" s="80">
        <v>166.1</v>
      </c>
      <c r="E23" s="91">
        <v>0</v>
      </c>
      <c r="F23" s="73">
        <f>PRODUCT(Table73[[#This Row],[1]:[25]])</f>
        <v>1</v>
      </c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5"/>
      <c r="AC23" s="75"/>
      <c r="AD23" s="75"/>
      <c r="AE23" s="74">
        <f>AE$3</f>
        <v>1</v>
      </c>
      <c r="AF23" s="74"/>
      <c r="AG23" s="74"/>
      <c r="AH23" s="74"/>
      <c r="AI23" s="74"/>
      <c r="AJ23" s="74"/>
      <c r="AK23" s="74"/>
      <c r="AL23" s="95" t="s">
        <v>162</v>
      </c>
      <c r="AM23" s="95" t="s">
        <v>25</v>
      </c>
      <c r="AN23" s="95" t="s">
        <v>149</v>
      </c>
      <c r="AO23" s="95">
        <v>166.1</v>
      </c>
      <c r="AP23" s="95">
        <v>1</v>
      </c>
      <c r="AQ23" s="96" t="s">
        <v>162</v>
      </c>
      <c r="AR23" s="96" t="s">
        <v>25</v>
      </c>
      <c r="AS23" s="96" t="s">
        <v>149</v>
      </c>
      <c r="AT23" s="96">
        <v>166.1</v>
      </c>
      <c r="AU23" s="96">
        <v>1</v>
      </c>
    </row>
    <row r="24" spans="1:47" x14ac:dyDescent="0.3">
      <c r="A24" s="55" t="s">
        <v>162</v>
      </c>
      <c r="B24" s="55" t="s">
        <v>7</v>
      </c>
      <c r="C24" s="55" t="s">
        <v>149</v>
      </c>
      <c r="D24" s="79">
        <v>0</v>
      </c>
      <c r="E24" s="91">
        <v>0</v>
      </c>
      <c r="F24" s="56">
        <f>PRODUCT(Table73[[#This Row],[1]:[25]])</f>
        <v>0.46</v>
      </c>
      <c r="G24" s="57"/>
      <c r="H24" s="57">
        <f t="shared" si="0"/>
        <v>0.46</v>
      </c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8"/>
      <c r="AC24" s="58"/>
      <c r="AD24" s="58"/>
      <c r="AE24" s="57"/>
      <c r="AF24" s="74"/>
      <c r="AG24" s="74"/>
      <c r="AH24" s="74"/>
      <c r="AI24" s="74"/>
      <c r="AJ24" s="74"/>
      <c r="AK24" s="74"/>
      <c r="AL24" s="95" t="s">
        <v>162</v>
      </c>
      <c r="AM24" s="95" t="s">
        <v>7</v>
      </c>
      <c r="AN24" s="95" t="s">
        <v>149</v>
      </c>
      <c r="AO24" s="95">
        <v>0</v>
      </c>
      <c r="AP24" s="95">
        <v>0.46</v>
      </c>
      <c r="AQ24" s="96" t="s">
        <v>162</v>
      </c>
      <c r="AR24" s="96" t="s">
        <v>7</v>
      </c>
      <c r="AS24" s="96" t="s">
        <v>149</v>
      </c>
      <c r="AT24" s="96">
        <v>0</v>
      </c>
      <c r="AU24" s="96">
        <v>0.46</v>
      </c>
    </row>
    <row r="25" spans="1:47" x14ac:dyDescent="0.3">
      <c r="A25" s="55" t="s">
        <v>162</v>
      </c>
      <c r="B25" s="55" t="s">
        <v>6</v>
      </c>
      <c r="C25" s="55" t="s">
        <v>149</v>
      </c>
      <c r="D25" s="79">
        <v>0</v>
      </c>
      <c r="E25" s="91">
        <v>0</v>
      </c>
      <c r="F25" s="56">
        <f>PRODUCT(Table73[[#This Row],[1]:[25]])</f>
        <v>0.46</v>
      </c>
      <c r="G25" s="57"/>
      <c r="H25" s="57">
        <f t="shared" si="0"/>
        <v>0.46</v>
      </c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8"/>
      <c r="AC25" s="58"/>
      <c r="AD25" s="58"/>
      <c r="AE25" s="57"/>
      <c r="AF25" s="74"/>
      <c r="AG25" s="74"/>
      <c r="AH25" s="74"/>
      <c r="AI25" s="74"/>
      <c r="AJ25" s="74"/>
      <c r="AK25" s="74"/>
      <c r="AL25" s="95" t="s">
        <v>162</v>
      </c>
      <c r="AM25" s="95" t="s">
        <v>6</v>
      </c>
      <c r="AN25" s="95" t="s">
        <v>149</v>
      </c>
      <c r="AO25" s="95">
        <v>0</v>
      </c>
      <c r="AP25" s="95">
        <v>0.46</v>
      </c>
      <c r="AQ25" s="96" t="s">
        <v>162</v>
      </c>
      <c r="AR25" s="96" t="s">
        <v>6</v>
      </c>
      <c r="AS25" s="96" t="s">
        <v>149</v>
      </c>
      <c r="AT25" s="96">
        <v>0</v>
      </c>
      <c r="AU25" s="96">
        <v>0.46</v>
      </c>
    </row>
    <row r="26" spans="1:47" x14ac:dyDescent="0.3">
      <c r="A26" s="55" t="s">
        <v>145</v>
      </c>
      <c r="B26" s="55" t="s">
        <v>149</v>
      </c>
      <c r="C26" s="55" t="s">
        <v>53</v>
      </c>
      <c r="D26" s="79">
        <v>1624.8795582996761</v>
      </c>
      <c r="E26" s="91">
        <v>0</v>
      </c>
      <c r="F26" s="56">
        <f>PRODUCT(Table73[[#This Row],[1]:[25]])</f>
        <v>2.5970000000000004</v>
      </c>
      <c r="G26" s="57">
        <f t="shared" ref="G26" si="1">G$3</f>
        <v>4.9000000000000004</v>
      </c>
      <c r="H26" s="57"/>
      <c r="I26" s="57"/>
      <c r="J26" s="57"/>
      <c r="K26" s="57">
        <f t="shared" ref="K26" si="2">K$3</f>
        <v>0.53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8"/>
      <c r="AC26" s="58"/>
      <c r="AD26" s="58"/>
      <c r="AE26" s="57"/>
      <c r="AF26" s="74"/>
      <c r="AG26" s="74"/>
      <c r="AH26" s="74"/>
      <c r="AI26" s="74"/>
      <c r="AJ26" s="74"/>
      <c r="AK26" s="74"/>
      <c r="AL26" s="95" t="s">
        <v>145</v>
      </c>
      <c r="AM26" s="95" t="s">
        <v>149</v>
      </c>
      <c r="AN26" s="95" t="s">
        <v>53</v>
      </c>
      <c r="AO26" s="95">
        <v>1624.8795582996761</v>
      </c>
      <c r="AP26" s="95">
        <v>2.5970000000000004</v>
      </c>
      <c r="AQ26" s="96" t="s">
        <v>145</v>
      </c>
      <c r="AR26" s="96" t="s">
        <v>149</v>
      </c>
      <c r="AS26" s="96" t="s">
        <v>53</v>
      </c>
      <c r="AT26" s="96">
        <v>1624.8795582996761</v>
      </c>
      <c r="AU26" s="96">
        <v>2.5970000000000004</v>
      </c>
    </row>
    <row r="27" spans="1:47" x14ac:dyDescent="0.3">
      <c r="A27" s="71" t="s">
        <v>160</v>
      </c>
      <c r="B27" s="55" t="s">
        <v>20</v>
      </c>
      <c r="C27" s="71" t="s">
        <v>149</v>
      </c>
      <c r="D27" s="80">
        <v>91</v>
      </c>
      <c r="E27" s="91">
        <v>0</v>
      </c>
      <c r="F27" s="56">
        <f>PRODUCT(Table73[[#This Row],[1]:[25]])</f>
        <v>0.46</v>
      </c>
      <c r="G27" s="74"/>
      <c r="H27" s="57">
        <f t="shared" ref="H27:H38" si="3">H$3</f>
        <v>0.46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8"/>
      <c r="AC27" s="58"/>
      <c r="AD27" s="58"/>
      <c r="AE27" s="57"/>
      <c r="AF27" s="74"/>
      <c r="AG27" s="74"/>
      <c r="AH27" s="74"/>
      <c r="AI27" s="74"/>
      <c r="AJ27" s="74"/>
      <c r="AK27" s="74"/>
      <c r="AL27" s="95" t="s">
        <v>160</v>
      </c>
      <c r="AM27" s="95" t="s">
        <v>20</v>
      </c>
      <c r="AN27" s="95" t="s">
        <v>149</v>
      </c>
      <c r="AO27" s="95">
        <v>91</v>
      </c>
      <c r="AP27" s="95">
        <v>0.46</v>
      </c>
      <c r="AQ27" s="96" t="s">
        <v>14</v>
      </c>
      <c r="AR27" s="96" t="s">
        <v>20</v>
      </c>
      <c r="AS27" s="96" t="s">
        <v>8</v>
      </c>
      <c r="AT27" s="96">
        <v>450.73840000000001</v>
      </c>
      <c r="AU27" s="96">
        <v>2.2540000000000004</v>
      </c>
    </row>
    <row r="28" spans="1:47" x14ac:dyDescent="0.3">
      <c r="A28" s="71" t="s">
        <v>160</v>
      </c>
      <c r="B28" s="55" t="s">
        <v>22</v>
      </c>
      <c r="C28" s="71" t="s">
        <v>149</v>
      </c>
      <c r="D28" s="80">
        <v>91</v>
      </c>
      <c r="E28" s="91">
        <v>0</v>
      </c>
      <c r="F28" s="56">
        <f>PRODUCT(Table73[[#This Row],[1]:[25]])</f>
        <v>0.46</v>
      </c>
      <c r="G28" s="74"/>
      <c r="H28" s="57">
        <f t="shared" si="3"/>
        <v>0.46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8"/>
      <c r="AC28" s="58"/>
      <c r="AD28" s="58"/>
      <c r="AE28" s="57"/>
      <c r="AF28" s="74"/>
      <c r="AG28" s="74"/>
      <c r="AH28" s="74"/>
      <c r="AI28" s="74"/>
      <c r="AJ28" s="74"/>
      <c r="AK28" s="74"/>
      <c r="AL28" s="95" t="s">
        <v>160</v>
      </c>
      <c r="AM28" s="95" t="s">
        <v>22</v>
      </c>
      <c r="AN28" s="95" t="s">
        <v>149</v>
      </c>
      <c r="AO28" s="95">
        <v>91</v>
      </c>
      <c r="AP28" s="95">
        <v>0.46</v>
      </c>
      <c r="AQ28" s="96" t="s">
        <v>14</v>
      </c>
      <c r="AR28" s="96" t="s">
        <v>22</v>
      </c>
      <c r="AS28" s="96" t="s">
        <v>8</v>
      </c>
      <c r="AT28" s="96">
        <v>450.73840000000001</v>
      </c>
      <c r="AU28" s="96">
        <v>2.2540000000000004</v>
      </c>
    </row>
    <row r="29" spans="1:47" x14ac:dyDescent="0.3">
      <c r="A29" s="71" t="s">
        <v>160</v>
      </c>
      <c r="B29" s="55" t="s">
        <v>5</v>
      </c>
      <c r="C29" s="71" t="s">
        <v>149</v>
      </c>
      <c r="D29" s="80">
        <v>91</v>
      </c>
      <c r="E29" s="91">
        <v>0</v>
      </c>
      <c r="F29" s="56">
        <f>PRODUCT(Table73[[#This Row],[1]:[25]])</f>
        <v>0.46</v>
      </c>
      <c r="G29" s="74"/>
      <c r="H29" s="74">
        <f t="shared" si="3"/>
        <v>0.46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8"/>
      <c r="AC29" s="58"/>
      <c r="AD29" s="58"/>
      <c r="AE29" s="57"/>
      <c r="AF29" s="74"/>
      <c r="AG29" s="74"/>
      <c r="AH29" s="74"/>
      <c r="AI29" s="74"/>
      <c r="AJ29" s="74"/>
      <c r="AK29" s="74"/>
      <c r="AL29" s="95" t="s">
        <v>160</v>
      </c>
      <c r="AM29" s="95" t="s">
        <v>5</v>
      </c>
      <c r="AN29" s="95" t="s">
        <v>149</v>
      </c>
      <c r="AO29" s="95">
        <v>91</v>
      </c>
      <c r="AP29" s="95">
        <v>0.46</v>
      </c>
      <c r="AQ29" s="96" t="s">
        <v>14</v>
      </c>
      <c r="AR29" s="96" t="s">
        <v>5</v>
      </c>
      <c r="AS29" s="96" t="s">
        <v>8</v>
      </c>
      <c r="AT29" s="96">
        <v>450.73840000000001</v>
      </c>
      <c r="AU29" s="96">
        <v>2.2540000000000004</v>
      </c>
    </row>
    <row r="30" spans="1:47" x14ac:dyDescent="0.3">
      <c r="A30" s="71" t="s">
        <v>160</v>
      </c>
      <c r="B30" s="55" t="s">
        <v>24</v>
      </c>
      <c r="C30" s="71" t="s">
        <v>149</v>
      </c>
      <c r="D30" s="80">
        <v>149.6</v>
      </c>
      <c r="E30" s="91">
        <v>0</v>
      </c>
      <c r="F30" s="56">
        <f>PRODUCT(Table73[[#This Row],[1]:[25]])</f>
        <v>1</v>
      </c>
      <c r="G30" s="74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8"/>
      <c r="AC30" s="58"/>
      <c r="AD30" s="58"/>
      <c r="AE30" s="57">
        <f>AE$3</f>
        <v>1</v>
      </c>
      <c r="AF30" s="74"/>
      <c r="AG30" s="74"/>
      <c r="AH30" s="74"/>
      <c r="AI30" s="74"/>
      <c r="AJ30" s="74"/>
      <c r="AK30" s="74"/>
      <c r="AL30" s="95" t="s">
        <v>160</v>
      </c>
      <c r="AM30" s="95" t="s">
        <v>24</v>
      </c>
      <c r="AN30" s="95" t="s">
        <v>149</v>
      </c>
      <c r="AO30" s="95">
        <v>149.6</v>
      </c>
      <c r="AP30" s="95">
        <v>1</v>
      </c>
      <c r="AQ30" s="96" t="s">
        <v>14</v>
      </c>
      <c r="AR30" s="96" t="s">
        <v>24</v>
      </c>
      <c r="AS30" s="96" t="s">
        <v>8</v>
      </c>
      <c r="AT30" s="96">
        <v>931.6400000000001</v>
      </c>
      <c r="AU30" s="96">
        <v>4.9000000000000004</v>
      </c>
    </row>
    <row r="31" spans="1:47" s="65" customFormat="1" x14ac:dyDescent="0.3">
      <c r="A31" s="71" t="s">
        <v>160</v>
      </c>
      <c r="B31" s="71" t="s">
        <v>25</v>
      </c>
      <c r="C31" s="71" t="s">
        <v>149</v>
      </c>
      <c r="D31" s="80">
        <v>166.1</v>
      </c>
      <c r="E31" s="91">
        <v>0</v>
      </c>
      <c r="F31" s="73">
        <f>PRODUCT(Table73[[#This Row],[1]:[25]])</f>
        <v>1</v>
      </c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5"/>
      <c r="AC31" s="75"/>
      <c r="AD31" s="75"/>
      <c r="AE31" s="74">
        <f>AE$3</f>
        <v>1</v>
      </c>
      <c r="AF31" s="74"/>
      <c r="AG31" s="74"/>
      <c r="AH31" s="74"/>
      <c r="AI31" s="74"/>
      <c r="AJ31" s="74"/>
      <c r="AK31" s="74"/>
      <c r="AL31" s="95" t="s">
        <v>160</v>
      </c>
      <c r="AM31" s="95" t="s">
        <v>25</v>
      </c>
      <c r="AN31" s="95" t="s">
        <v>149</v>
      </c>
      <c r="AO31" s="95">
        <v>166.1</v>
      </c>
      <c r="AP31" s="95">
        <v>1</v>
      </c>
      <c r="AQ31" s="96" t="s">
        <v>14</v>
      </c>
      <c r="AR31" s="96" t="s">
        <v>25</v>
      </c>
      <c r="AS31" s="96" t="s">
        <v>8</v>
      </c>
      <c r="AT31" s="96">
        <v>948.1400000000001</v>
      </c>
      <c r="AU31" s="96">
        <v>4.9000000000000004</v>
      </c>
    </row>
    <row r="32" spans="1:47" x14ac:dyDescent="0.3">
      <c r="A32" s="55" t="s">
        <v>160</v>
      </c>
      <c r="B32" s="55" t="s">
        <v>7</v>
      </c>
      <c r="C32" s="55" t="s">
        <v>149</v>
      </c>
      <c r="D32" s="79">
        <v>0</v>
      </c>
      <c r="E32" s="91">
        <v>0</v>
      </c>
      <c r="F32" s="56">
        <f>PRODUCT(Table73[[#This Row],[1]:[25]])</f>
        <v>0.46</v>
      </c>
      <c r="G32" s="57"/>
      <c r="H32" s="74">
        <f t="shared" si="3"/>
        <v>0.46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8"/>
      <c r="AC32" s="58"/>
      <c r="AD32" s="58"/>
      <c r="AE32" s="57"/>
      <c r="AF32" s="74"/>
      <c r="AG32" s="74"/>
      <c r="AH32" s="74"/>
      <c r="AI32" s="74"/>
      <c r="AJ32" s="74"/>
      <c r="AK32" s="74"/>
      <c r="AL32" s="95" t="s">
        <v>160</v>
      </c>
      <c r="AM32" s="95" t="s">
        <v>7</v>
      </c>
      <c r="AN32" s="95" t="s">
        <v>149</v>
      </c>
      <c r="AO32" s="95">
        <v>0</v>
      </c>
      <c r="AP32" s="95">
        <v>0.46</v>
      </c>
      <c r="AQ32" s="96" t="s">
        <v>14</v>
      </c>
      <c r="AR32" s="96" t="s">
        <v>149</v>
      </c>
      <c r="AS32" s="96" t="s">
        <v>8</v>
      </c>
      <c r="AT32" s="96">
        <v>782.04000000000008</v>
      </c>
      <c r="AU32" s="96">
        <v>4.6550000000000002</v>
      </c>
    </row>
    <row r="33" spans="1:47" s="65" customFormat="1" x14ac:dyDescent="0.3">
      <c r="A33" s="71" t="s">
        <v>160</v>
      </c>
      <c r="B33" s="71" t="s">
        <v>6</v>
      </c>
      <c r="C33" s="71" t="s">
        <v>149</v>
      </c>
      <c r="D33" s="79">
        <v>0</v>
      </c>
      <c r="E33" s="91">
        <v>0</v>
      </c>
      <c r="F33" s="73">
        <f>PRODUCT(Table73[[#This Row],[1]:[25]])</f>
        <v>0.46</v>
      </c>
      <c r="G33" s="74"/>
      <c r="H33" s="74">
        <f t="shared" si="3"/>
        <v>0.46</v>
      </c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4"/>
      <c r="AB33" s="75"/>
      <c r="AC33" s="75"/>
      <c r="AD33" s="75"/>
      <c r="AE33" s="74"/>
      <c r="AF33" s="74"/>
      <c r="AG33" s="74"/>
      <c r="AH33" s="74"/>
      <c r="AI33" s="74"/>
      <c r="AJ33" s="74"/>
      <c r="AK33" s="74"/>
      <c r="AL33" s="95" t="s">
        <v>160</v>
      </c>
      <c r="AM33" s="95" t="s">
        <v>6</v>
      </c>
      <c r="AN33" s="95" t="s">
        <v>149</v>
      </c>
      <c r="AO33" s="95">
        <v>0</v>
      </c>
      <c r="AP33" s="95">
        <v>0.46</v>
      </c>
      <c r="AQ33" s="96" t="s">
        <v>14</v>
      </c>
      <c r="AR33" s="96" t="s">
        <v>7</v>
      </c>
      <c r="AS33" s="96" t="s">
        <v>8</v>
      </c>
      <c r="AT33" s="96">
        <v>359.73840000000001</v>
      </c>
      <c r="AU33" s="96">
        <v>2.1413000000000002</v>
      </c>
    </row>
    <row r="34" spans="1:47" s="65" customFormat="1" x14ac:dyDescent="0.3">
      <c r="A34" s="71" t="s">
        <v>14</v>
      </c>
      <c r="B34" s="71" t="s">
        <v>149</v>
      </c>
      <c r="C34" s="71" t="s">
        <v>8</v>
      </c>
      <c r="D34" s="79">
        <v>782.04000000000019</v>
      </c>
      <c r="E34" s="91">
        <v>0</v>
      </c>
      <c r="F34" s="73">
        <f>PRODUCT(Table73[[#This Row],[1]:[25]])</f>
        <v>4.6550000000000002</v>
      </c>
      <c r="G34" s="74">
        <f t="shared" ref="G34:G38" si="4">G$3</f>
        <v>4.9000000000000004</v>
      </c>
      <c r="H34" s="74"/>
      <c r="I34" s="74">
        <v>0.95</v>
      </c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5"/>
      <c r="AC34" s="75"/>
      <c r="AD34" s="75"/>
      <c r="AE34" s="74"/>
      <c r="AF34" s="74"/>
      <c r="AG34" s="74"/>
      <c r="AH34" s="74"/>
      <c r="AI34" s="74"/>
      <c r="AJ34" s="74"/>
      <c r="AK34" s="74"/>
      <c r="AL34" s="95" t="s">
        <v>14</v>
      </c>
      <c r="AM34" s="95" t="s">
        <v>149</v>
      </c>
      <c r="AN34" s="95" t="s">
        <v>8</v>
      </c>
      <c r="AO34" s="95">
        <v>782.04000000000019</v>
      </c>
      <c r="AP34" s="95">
        <v>4.6550000000000002</v>
      </c>
      <c r="AQ34" s="96" t="s">
        <v>14</v>
      </c>
      <c r="AR34" s="96" t="s">
        <v>6</v>
      </c>
      <c r="AS34" s="96" t="s">
        <v>8</v>
      </c>
      <c r="AT34" s="96">
        <v>359.73840000000007</v>
      </c>
      <c r="AU34" s="96">
        <v>2.1413000000000002</v>
      </c>
    </row>
    <row r="35" spans="1:47" s="65" customFormat="1" x14ac:dyDescent="0.3">
      <c r="A35" s="71" t="s">
        <v>14</v>
      </c>
      <c r="B35" s="71" t="s">
        <v>7</v>
      </c>
      <c r="C35" s="71" t="s">
        <v>8</v>
      </c>
      <c r="D35" s="79">
        <v>359.73840000000007</v>
      </c>
      <c r="E35" s="91">
        <v>0</v>
      </c>
      <c r="F35" s="73">
        <f>PRODUCT(Table73[[#This Row],[1]:[25]])</f>
        <v>2.2540000000000004</v>
      </c>
      <c r="G35" s="74">
        <f t="shared" si="4"/>
        <v>4.9000000000000004</v>
      </c>
      <c r="H35" s="74">
        <f t="shared" si="3"/>
        <v>0.46</v>
      </c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5"/>
      <c r="AC35" s="75"/>
      <c r="AD35" s="75"/>
      <c r="AE35" s="74"/>
      <c r="AF35" s="74"/>
      <c r="AG35" s="74"/>
      <c r="AH35" s="74"/>
      <c r="AI35" s="74"/>
      <c r="AJ35" s="74"/>
      <c r="AK35" s="74"/>
      <c r="AL35" s="95" t="s">
        <v>14</v>
      </c>
      <c r="AM35" s="95" t="s">
        <v>7</v>
      </c>
      <c r="AN35" s="95" t="s">
        <v>8</v>
      </c>
      <c r="AO35" s="95">
        <v>359.73840000000007</v>
      </c>
      <c r="AP35" s="95">
        <v>2.1413000000000002</v>
      </c>
      <c r="AQ35" s="96" t="s">
        <v>145</v>
      </c>
      <c r="AR35" s="96" t="s">
        <v>7</v>
      </c>
      <c r="AS35" s="96" t="s">
        <v>53</v>
      </c>
      <c r="AT35" s="96">
        <v>200.69616000000008</v>
      </c>
      <c r="AU35" s="96">
        <v>1.1946200000000002</v>
      </c>
    </row>
    <row r="36" spans="1:47" s="65" customFormat="1" x14ac:dyDescent="0.3">
      <c r="A36" s="71" t="s">
        <v>14</v>
      </c>
      <c r="B36" s="71" t="s">
        <v>6</v>
      </c>
      <c r="C36" s="71" t="s">
        <v>8</v>
      </c>
      <c r="D36" s="79">
        <v>359.73840000000007</v>
      </c>
      <c r="E36" s="91">
        <v>0</v>
      </c>
      <c r="F36" s="73">
        <f>PRODUCT(Table73[[#This Row],[1]:[25]])</f>
        <v>2.2540000000000004</v>
      </c>
      <c r="G36" s="74">
        <f t="shared" si="4"/>
        <v>4.9000000000000004</v>
      </c>
      <c r="H36" s="74">
        <f t="shared" si="3"/>
        <v>0.46</v>
      </c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5"/>
      <c r="AC36" s="75"/>
      <c r="AD36" s="75"/>
      <c r="AE36" s="74"/>
      <c r="AF36" s="74"/>
      <c r="AG36" s="74"/>
      <c r="AH36" s="74"/>
      <c r="AI36" s="74"/>
      <c r="AJ36" s="74"/>
      <c r="AK36" s="74"/>
      <c r="AL36" s="95" t="s">
        <v>14</v>
      </c>
      <c r="AM36" s="95" t="s">
        <v>6</v>
      </c>
      <c r="AN36" s="95" t="s">
        <v>8</v>
      </c>
      <c r="AO36" s="95">
        <v>359.73840000000007</v>
      </c>
      <c r="AP36" s="95">
        <v>2.1413000000000002</v>
      </c>
      <c r="AQ36" s="96" t="s">
        <v>145</v>
      </c>
      <c r="AR36" s="96" t="s">
        <v>6</v>
      </c>
      <c r="AS36" s="96" t="s">
        <v>53</v>
      </c>
      <c r="AT36" s="96">
        <v>200.69616000000008</v>
      </c>
      <c r="AU36" s="96">
        <v>1.1946200000000002</v>
      </c>
    </row>
    <row r="37" spans="1:47" s="65" customFormat="1" x14ac:dyDescent="0.3">
      <c r="A37" s="71" t="s">
        <v>145</v>
      </c>
      <c r="B37" s="71" t="s">
        <v>7</v>
      </c>
      <c r="C37" s="71" t="s">
        <v>53</v>
      </c>
      <c r="D37" s="91">
        <v>200.69616000000008</v>
      </c>
      <c r="E37" s="91">
        <v>0</v>
      </c>
      <c r="F37" s="73">
        <f>PRODUCT(Table73[[#This Row],[1]:[25]])</f>
        <v>1.1946200000000002</v>
      </c>
      <c r="G37" s="74">
        <f t="shared" si="4"/>
        <v>4.9000000000000004</v>
      </c>
      <c r="H37" s="74">
        <f t="shared" si="3"/>
        <v>0.46</v>
      </c>
      <c r="I37" s="74"/>
      <c r="J37" s="74"/>
      <c r="K37" s="74">
        <f t="shared" ref="K37:K38" si="5">K$3</f>
        <v>0.53</v>
      </c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5"/>
      <c r="AC37" s="75"/>
      <c r="AD37" s="75"/>
      <c r="AE37" s="74"/>
      <c r="AF37" s="74"/>
      <c r="AG37" s="74"/>
      <c r="AH37" s="74"/>
      <c r="AI37" s="74"/>
      <c r="AJ37" s="74"/>
      <c r="AK37" s="74"/>
      <c r="AL37" s="95" t="s">
        <v>145</v>
      </c>
      <c r="AM37" s="95" t="s">
        <v>7</v>
      </c>
      <c r="AN37" s="95" t="s">
        <v>53</v>
      </c>
      <c r="AO37" s="95">
        <v>200.69616000000008</v>
      </c>
      <c r="AP37" s="95">
        <v>1.1946200000000002</v>
      </c>
      <c r="AQ37" s="96"/>
      <c r="AR37" s="96"/>
      <c r="AS37" s="96"/>
      <c r="AT37" s="96"/>
      <c r="AU37" s="96"/>
    </row>
    <row r="38" spans="1:47" s="65" customFormat="1" x14ac:dyDescent="0.3">
      <c r="A38" s="71" t="s">
        <v>145</v>
      </c>
      <c r="B38" s="71" t="s">
        <v>6</v>
      </c>
      <c r="C38" s="71" t="s">
        <v>53</v>
      </c>
      <c r="D38" s="91">
        <v>200.69616000000008</v>
      </c>
      <c r="E38" s="91">
        <v>0</v>
      </c>
      <c r="F38" s="73">
        <f>PRODUCT(Table73[[#This Row],[1]:[25]])</f>
        <v>1.1946200000000002</v>
      </c>
      <c r="G38" s="74">
        <f t="shared" si="4"/>
        <v>4.9000000000000004</v>
      </c>
      <c r="H38" s="74">
        <f t="shared" si="3"/>
        <v>0.46</v>
      </c>
      <c r="I38" s="74"/>
      <c r="J38" s="74"/>
      <c r="K38" s="74">
        <f t="shared" si="5"/>
        <v>0.53</v>
      </c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5"/>
      <c r="AC38" s="75"/>
      <c r="AD38" s="75"/>
      <c r="AE38" s="74"/>
      <c r="AF38" s="74"/>
      <c r="AG38" s="74"/>
      <c r="AH38" s="74"/>
      <c r="AI38" s="74"/>
      <c r="AJ38" s="74"/>
      <c r="AK38" s="74"/>
      <c r="AL38" s="95" t="s">
        <v>145</v>
      </c>
      <c r="AM38" s="95" t="s">
        <v>6</v>
      </c>
      <c r="AN38" s="95" t="s">
        <v>53</v>
      </c>
      <c r="AO38" s="95">
        <v>200.69616000000008</v>
      </c>
      <c r="AP38" s="95">
        <v>1.1946200000000002</v>
      </c>
      <c r="AQ38" s="96"/>
      <c r="AR38" s="96"/>
      <c r="AS38" s="96"/>
      <c r="AT38" s="96"/>
      <c r="AU38" s="96"/>
    </row>
    <row r="39" spans="1:47" s="65" customFormat="1" x14ac:dyDescent="0.3">
      <c r="A39" s="59" t="s">
        <v>27</v>
      </c>
      <c r="B39" s="71" t="s">
        <v>19</v>
      </c>
      <c r="C39" s="59" t="s">
        <v>27</v>
      </c>
      <c r="D39" s="79">
        <v>179.16666666666669</v>
      </c>
      <c r="E39" s="91">
        <v>0</v>
      </c>
      <c r="F39" s="73">
        <f>PRODUCT(Table73[[#This Row],[1]:[25]])</f>
        <v>0.20833333333333334</v>
      </c>
      <c r="G39" s="74"/>
      <c r="H39" s="74"/>
      <c r="I39" s="74"/>
      <c r="J39" s="74"/>
      <c r="K39" s="74"/>
      <c r="L39" s="74"/>
      <c r="M39" s="74"/>
      <c r="N39" s="74"/>
      <c r="O39" s="74">
        <f t="shared" ref="O39:O58" si="6">O$3</f>
        <v>0.20833333333333334</v>
      </c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5"/>
      <c r="AC39" s="75"/>
      <c r="AD39" s="75"/>
      <c r="AE39" s="74"/>
      <c r="AF39" s="74"/>
      <c r="AG39" s="74"/>
      <c r="AH39" s="74"/>
      <c r="AI39" s="74"/>
      <c r="AJ39" s="74"/>
      <c r="AK39" s="74"/>
      <c r="AL39" s="94"/>
      <c r="AM39" s="94"/>
      <c r="AN39" s="94"/>
      <c r="AO39" s="94"/>
      <c r="AP39" s="94"/>
      <c r="AQ39" s="96"/>
      <c r="AR39" s="96"/>
      <c r="AS39" s="96"/>
      <c r="AT39" s="96"/>
      <c r="AU39" s="96"/>
    </row>
    <row r="40" spans="1:47" s="65" customFormat="1" x14ac:dyDescent="0.3">
      <c r="A40" s="59" t="s">
        <v>27</v>
      </c>
      <c r="B40" s="71" t="s">
        <v>21</v>
      </c>
      <c r="C40" s="59" t="s">
        <v>27</v>
      </c>
      <c r="D40" s="79">
        <v>179.16666666666669</v>
      </c>
      <c r="E40" s="91">
        <v>0</v>
      </c>
      <c r="F40" s="73">
        <f>PRODUCT(Table73[[#This Row],[1]:[25]])</f>
        <v>0.20833333333333334</v>
      </c>
      <c r="G40" s="74"/>
      <c r="H40" s="74"/>
      <c r="I40" s="74"/>
      <c r="J40" s="74"/>
      <c r="K40" s="74"/>
      <c r="L40" s="74"/>
      <c r="M40" s="74"/>
      <c r="N40" s="74"/>
      <c r="O40" s="74">
        <f t="shared" si="6"/>
        <v>0.20833333333333334</v>
      </c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5"/>
      <c r="AC40" s="75"/>
      <c r="AD40" s="75"/>
      <c r="AE40" s="74"/>
      <c r="AF40" s="74"/>
      <c r="AG40" s="74"/>
      <c r="AH40" s="74"/>
      <c r="AI40" s="74"/>
      <c r="AJ40" s="74"/>
      <c r="AK40" s="74"/>
      <c r="AL40" s="94"/>
      <c r="AM40" s="94"/>
      <c r="AN40" s="94"/>
      <c r="AO40" s="94"/>
      <c r="AP40" s="94"/>
      <c r="AQ40" s="96"/>
      <c r="AR40" s="96"/>
      <c r="AS40" s="96"/>
      <c r="AT40" s="96"/>
      <c r="AU40" s="96"/>
    </row>
    <row r="41" spans="1:47" s="65" customFormat="1" x14ac:dyDescent="0.3">
      <c r="A41" s="59" t="s">
        <v>27</v>
      </c>
      <c r="B41" s="71" t="s">
        <v>20</v>
      </c>
      <c r="C41" s="59" t="s">
        <v>27</v>
      </c>
      <c r="D41" s="79">
        <v>179.16666666666669</v>
      </c>
      <c r="E41" s="91">
        <v>0</v>
      </c>
      <c r="F41" s="73">
        <f>PRODUCT(Table73[[#This Row],[1]:[25]])</f>
        <v>0.20833333333333334</v>
      </c>
      <c r="G41" s="74"/>
      <c r="H41" s="74"/>
      <c r="I41" s="74"/>
      <c r="J41" s="74"/>
      <c r="K41" s="74"/>
      <c r="L41" s="74"/>
      <c r="M41" s="74"/>
      <c r="N41" s="74"/>
      <c r="O41" s="74">
        <f t="shared" si="6"/>
        <v>0.20833333333333334</v>
      </c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5"/>
      <c r="AC41" s="75"/>
      <c r="AD41" s="75"/>
      <c r="AE41" s="74"/>
      <c r="AF41" s="74"/>
      <c r="AG41" s="74"/>
      <c r="AH41" s="74"/>
      <c r="AI41" s="74"/>
      <c r="AJ41" s="74"/>
      <c r="AK41" s="74"/>
      <c r="AL41" s="92"/>
      <c r="AM41" s="92"/>
      <c r="AN41" s="92"/>
      <c r="AO41" s="92"/>
      <c r="AP41" s="94"/>
      <c r="AQ41" s="96"/>
      <c r="AR41" s="96"/>
      <c r="AS41" s="96"/>
      <c r="AT41" s="96"/>
      <c r="AU41" s="96"/>
    </row>
    <row r="42" spans="1:47" s="65" customFormat="1" x14ac:dyDescent="0.3">
      <c r="A42" s="59" t="s">
        <v>27</v>
      </c>
      <c r="B42" s="71" t="s">
        <v>22</v>
      </c>
      <c r="C42" s="59" t="s">
        <v>27</v>
      </c>
      <c r="D42" s="79">
        <v>179.16666666666669</v>
      </c>
      <c r="E42" s="91">
        <v>0</v>
      </c>
      <c r="F42" s="73">
        <f>PRODUCT(Table73[[#This Row],[1]:[25]])</f>
        <v>0.20833333333333334</v>
      </c>
      <c r="G42" s="74"/>
      <c r="H42" s="74"/>
      <c r="I42" s="74"/>
      <c r="J42" s="74"/>
      <c r="K42" s="74"/>
      <c r="L42" s="74"/>
      <c r="M42" s="74"/>
      <c r="N42" s="74"/>
      <c r="O42" s="74">
        <f t="shared" si="6"/>
        <v>0.20833333333333334</v>
      </c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4"/>
      <c r="AB42" s="75"/>
      <c r="AC42" s="75"/>
      <c r="AD42" s="75"/>
      <c r="AE42" s="74"/>
      <c r="AF42" s="74"/>
      <c r="AG42" s="74"/>
      <c r="AH42" s="74"/>
      <c r="AI42" s="74"/>
      <c r="AJ42" s="74"/>
      <c r="AK42" s="74"/>
      <c r="AL42" s="92"/>
      <c r="AM42" s="92"/>
      <c r="AN42" s="92"/>
      <c r="AO42" s="92"/>
      <c r="AP42" s="94"/>
      <c r="AQ42" s="96"/>
      <c r="AR42" s="96"/>
      <c r="AS42" s="96"/>
      <c r="AT42" s="96"/>
      <c r="AU42" s="96"/>
    </row>
    <row r="43" spans="1:47" s="65" customFormat="1" x14ac:dyDescent="0.3">
      <c r="A43" s="59" t="s">
        <v>27</v>
      </c>
      <c r="B43" s="71" t="s">
        <v>183</v>
      </c>
      <c r="C43" s="59" t="s">
        <v>27</v>
      </c>
      <c r="D43" s="91">
        <v>179.16666666666669</v>
      </c>
      <c r="E43" s="91">
        <v>0</v>
      </c>
      <c r="F43" s="73">
        <f>PRODUCT(Table73[[#This Row],[1]:[25]])</f>
        <v>0.20833333333333334</v>
      </c>
      <c r="G43" s="74"/>
      <c r="H43" s="74"/>
      <c r="I43" s="74"/>
      <c r="J43" s="74"/>
      <c r="K43" s="74"/>
      <c r="L43" s="74"/>
      <c r="M43" s="74"/>
      <c r="N43" s="74"/>
      <c r="O43" s="74">
        <f t="shared" si="6"/>
        <v>0.20833333333333334</v>
      </c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5"/>
      <c r="AC43" s="75"/>
      <c r="AD43" s="75"/>
      <c r="AE43" s="74"/>
      <c r="AF43" s="74"/>
      <c r="AG43" s="74"/>
      <c r="AH43" s="74"/>
      <c r="AI43" s="74"/>
      <c r="AJ43" s="74"/>
      <c r="AK43" s="74"/>
      <c r="AL43" s="92"/>
      <c r="AM43" s="92"/>
      <c r="AN43" s="92"/>
      <c r="AO43" s="92"/>
      <c r="AP43" s="94"/>
      <c r="AQ43" s="96"/>
      <c r="AR43" s="96"/>
      <c r="AS43" s="96"/>
      <c r="AT43" s="96"/>
      <c r="AU43" s="96"/>
    </row>
    <row r="44" spans="1:47" s="65" customFormat="1" x14ac:dyDescent="0.3">
      <c r="A44" s="59" t="s">
        <v>27</v>
      </c>
      <c r="B44" s="71" t="s">
        <v>5</v>
      </c>
      <c r="C44" s="59" t="s">
        <v>27</v>
      </c>
      <c r="D44" s="79">
        <v>179.16666666666669</v>
      </c>
      <c r="E44" s="91">
        <v>0</v>
      </c>
      <c r="F44" s="73">
        <f>PRODUCT(Table73[[#This Row],[1]:[25]])</f>
        <v>0.20833333333333334</v>
      </c>
      <c r="G44" s="74"/>
      <c r="H44" s="74"/>
      <c r="I44" s="74"/>
      <c r="J44" s="74"/>
      <c r="K44" s="74"/>
      <c r="L44" s="74"/>
      <c r="M44" s="74"/>
      <c r="N44" s="74"/>
      <c r="O44" s="74">
        <f t="shared" si="6"/>
        <v>0.20833333333333334</v>
      </c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5"/>
      <c r="AC44" s="75"/>
      <c r="AD44" s="75"/>
      <c r="AE44" s="74"/>
      <c r="AF44" s="74"/>
      <c r="AG44" s="74"/>
      <c r="AH44" s="74"/>
      <c r="AI44" s="74"/>
      <c r="AJ44" s="74"/>
      <c r="AK44" s="74"/>
      <c r="AL44" s="92"/>
      <c r="AM44" s="92"/>
      <c r="AN44" s="92"/>
      <c r="AO44" s="92"/>
      <c r="AP44" s="94"/>
      <c r="AQ44" s="94"/>
      <c r="AR44" s="94"/>
      <c r="AS44" s="94"/>
      <c r="AT44" s="94"/>
      <c r="AU44" s="96"/>
    </row>
    <row r="45" spans="1:47" s="65" customFormat="1" x14ac:dyDescent="0.3">
      <c r="A45" s="59" t="s">
        <v>27</v>
      </c>
      <c r="B45" s="71" t="s">
        <v>7</v>
      </c>
      <c r="C45" s="59" t="s">
        <v>27</v>
      </c>
      <c r="D45" s="79">
        <v>179.16666666666669</v>
      </c>
      <c r="E45" s="91">
        <v>0</v>
      </c>
      <c r="F45" s="73">
        <f>PRODUCT(Table73[[#This Row],[1]:[25]])</f>
        <v>0.20833333333333334</v>
      </c>
      <c r="G45" s="74"/>
      <c r="H45" s="74"/>
      <c r="I45" s="74"/>
      <c r="J45" s="74"/>
      <c r="K45" s="74"/>
      <c r="L45" s="74"/>
      <c r="M45" s="74"/>
      <c r="N45" s="74"/>
      <c r="O45" s="74">
        <f t="shared" si="6"/>
        <v>0.20833333333333334</v>
      </c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5"/>
      <c r="AC45" s="75"/>
      <c r="AD45" s="75"/>
      <c r="AE45" s="74"/>
      <c r="AF45" s="74"/>
      <c r="AG45" s="74"/>
      <c r="AH45" s="74"/>
      <c r="AI45" s="74"/>
      <c r="AJ45" s="74"/>
      <c r="AK45" s="74"/>
      <c r="AL45" s="92"/>
      <c r="AM45" s="92"/>
      <c r="AN45" s="92"/>
      <c r="AO45" s="92"/>
      <c r="AP45" s="94"/>
      <c r="AQ45" s="94"/>
      <c r="AR45" s="94"/>
      <c r="AS45" s="94"/>
      <c r="AT45" s="94"/>
      <c r="AU45" s="96"/>
    </row>
    <row r="46" spans="1:47" s="65" customFormat="1" x14ac:dyDescent="0.3">
      <c r="A46" s="71" t="s">
        <v>10</v>
      </c>
      <c r="B46" s="71" t="s">
        <v>19</v>
      </c>
      <c r="C46" s="59" t="s">
        <v>10</v>
      </c>
      <c r="D46" s="79">
        <v>179.16666666666669</v>
      </c>
      <c r="E46" s="91">
        <v>0</v>
      </c>
      <c r="F46" s="73">
        <f>PRODUCT(Table73[[#This Row],[1]:[25]])</f>
        <v>0.20833333333333334</v>
      </c>
      <c r="G46" s="74"/>
      <c r="H46" s="74"/>
      <c r="I46" s="74"/>
      <c r="J46" s="74"/>
      <c r="K46" s="74"/>
      <c r="L46" s="74"/>
      <c r="M46" s="74"/>
      <c r="N46" s="74"/>
      <c r="O46" s="74">
        <f t="shared" si="6"/>
        <v>0.20833333333333334</v>
      </c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5"/>
      <c r="AC46" s="75"/>
      <c r="AD46" s="75"/>
      <c r="AE46" s="74"/>
      <c r="AF46" s="74"/>
      <c r="AG46" s="74"/>
      <c r="AH46" s="74"/>
      <c r="AI46" s="74"/>
      <c r="AJ46" s="74"/>
      <c r="AK46" s="74"/>
      <c r="AL46" s="92"/>
      <c r="AM46" s="92"/>
      <c r="AN46" s="92"/>
      <c r="AO46" s="92"/>
      <c r="AP46" s="94"/>
      <c r="AQ46" s="94"/>
      <c r="AR46" s="94"/>
      <c r="AS46" s="94"/>
      <c r="AT46" s="94"/>
      <c r="AU46" s="94"/>
    </row>
    <row r="47" spans="1:47" s="65" customFormat="1" x14ac:dyDescent="0.3">
      <c r="A47" s="71" t="s">
        <v>10</v>
      </c>
      <c r="B47" s="71" t="s">
        <v>21</v>
      </c>
      <c r="C47" s="59" t="s">
        <v>10</v>
      </c>
      <c r="D47" s="79">
        <v>179.16666666666669</v>
      </c>
      <c r="E47" s="91">
        <v>0</v>
      </c>
      <c r="F47" s="73">
        <f>PRODUCT(Table73[[#This Row],[1]:[25]])</f>
        <v>0.20833333333333334</v>
      </c>
      <c r="G47" s="74"/>
      <c r="H47" s="74"/>
      <c r="I47" s="74"/>
      <c r="J47" s="74"/>
      <c r="K47" s="74"/>
      <c r="L47" s="74"/>
      <c r="M47" s="74"/>
      <c r="N47" s="74"/>
      <c r="O47" s="74">
        <f t="shared" si="6"/>
        <v>0.20833333333333334</v>
      </c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5"/>
      <c r="AC47" s="75"/>
      <c r="AD47" s="75"/>
      <c r="AE47" s="74"/>
      <c r="AF47" s="74"/>
      <c r="AG47" s="74"/>
      <c r="AH47" s="74"/>
      <c r="AI47" s="74"/>
      <c r="AJ47" s="74"/>
      <c r="AK47" s="74"/>
      <c r="AL47" s="92"/>
      <c r="AM47" s="92"/>
      <c r="AN47" s="92"/>
      <c r="AO47" s="92"/>
      <c r="AP47" s="94"/>
      <c r="AQ47" s="94"/>
      <c r="AR47" s="94"/>
      <c r="AS47" s="94"/>
      <c r="AT47" s="94"/>
      <c r="AU47" s="94"/>
    </row>
    <row r="48" spans="1:47" s="65" customFormat="1" x14ac:dyDescent="0.3">
      <c r="A48" s="71" t="s">
        <v>10</v>
      </c>
      <c r="B48" s="71" t="s">
        <v>20</v>
      </c>
      <c r="C48" s="59" t="s">
        <v>10</v>
      </c>
      <c r="D48" s="79">
        <v>179.16666666666669</v>
      </c>
      <c r="E48" s="91">
        <v>0</v>
      </c>
      <c r="F48" s="73">
        <f>PRODUCT(Table73[[#This Row],[1]:[25]])</f>
        <v>0.20833333333333334</v>
      </c>
      <c r="G48" s="74"/>
      <c r="H48" s="74"/>
      <c r="I48" s="74"/>
      <c r="J48" s="74"/>
      <c r="K48" s="74"/>
      <c r="L48" s="74"/>
      <c r="M48" s="74"/>
      <c r="N48" s="74"/>
      <c r="O48" s="74">
        <f t="shared" si="6"/>
        <v>0.20833333333333334</v>
      </c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5"/>
      <c r="AD48" s="75"/>
      <c r="AE48" s="74"/>
      <c r="AF48" s="74"/>
      <c r="AG48" s="74"/>
      <c r="AH48" s="74"/>
      <c r="AI48" s="74"/>
      <c r="AJ48" s="74"/>
      <c r="AK48" s="74"/>
      <c r="AL48" s="92"/>
      <c r="AM48" s="92"/>
      <c r="AN48" s="92"/>
      <c r="AO48" s="92"/>
      <c r="AP48" s="94"/>
      <c r="AQ48" s="94"/>
      <c r="AR48" s="94"/>
      <c r="AS48" s="94"/>
      <c r="AT48" s="94"/>
      <c r="AU48" s="94"/>
    </row>
    <row r="49" spans="1:47" s="65" customFormat="1" x14ac:dyDescent="0.3">
      <c r="A49" s="71" t="s">
        <v>10</v>
      </c>
      <c r="B49" s="71" t="s">
        <v>22</v>
      </c>
      <c r="C49" s="59" t="s">
        <v>10</v>
      </c>
      <c r="D49" s="79">
        <v>179.16666666666669</v>
      </c>
      <c r="E49" s="91">
        <v>0</v>
      </c>
      <c r="F49" s="73">
        <f>PRODUCT(Table73[[#This Row],[1]:[25]])</f>
        <v>0.20833333333333334</v>
      </c>
      <c r="G49" s="74"/>
      <c r="H49" s="74"/>
      <c r="I49" s="74"/>
      <c r="J49" s="74"/>
      <c r="K49" s="74"/>
      <c r="L49" s="74"/>
      <c r="M49" s="74"/>
      <c r="N49" s="74"/>
      <c r="O49" s="74">
        <f t="shared" si="6"/>
        <v>0.20833333333333334</v>
      </c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5"/>
      <c r="AC49" s="75"/>
      <c r="AD49" s="75"/>
      <c r="AE49" s="74"/>
      <c r="AF49" s="74"/>
      <c r="AG49" s="74"/>
      <c r="AH49" s="74"/>
      <c r="AI49" s="74"/>
      <c r="AJ49" s="74"/>
      <c r="AK49" s="74"/>
      <c r="AL49" s="92"/>
      <c r="AM49" s="92"/>
      <c r="AN49" s="92"/>
      <c r="AO49" s="92"/>
      <c r="AP49" s="94"/>
      <c r="AQ49" s="94"/>
      <c r="AR49" s="94"/>
      <c r="AS49" s="94"/>
      <c r="AT49" s="94"/>
      <c r="AU49" s="94"/>
    </row>
    <row r="50" spans="1:47" s="65" customFormat="1" x14ac:dyDescent="0.3">
      <c r="A50" s="71" t="s">
        <v>10</v>
      </c>
      <c r="B50" s="71" t="s">
        <v>183</v>
      </c>
      <c r="C50" s="59" t="s">
        <v>10</v>
      </c>
      <c r="D50" s="91">
        <v>179.16666666666669</v>
      </c>
      <c r="E50" s="91">
        <v>0</v>
      </c>
      <c r="F50" s="73">
        <f>PRODUCT(Table73[[#This Row],[1]:[25]])</f>
        <v>0.20833333333333334</v>
      </c>
      <c r="G50" s="74"/>
      <c r="H50" s="74"/>
      <c r="I50" s="74"/>
      <c r="J50" s="74"/>
      <c r="K50" s="74"/>
      <c r="L50" s="74"/>
      <c r="M50" s="74"/>
      <c r="N50" s="74"/>
      <c r="O50" s="74">
        <f t="shared" si="6"/>
        <v>0.20833333333333334</v>
      </c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5"/>
      <c r="AD50" s="75"/>
      <c r="AE50" s="74"/>
      <c r="AF50" s="74"/>
      <c r="AG50" s="74"/>
      <c r="AH50" s="74"/>
      <c r="AI50" s="74"/>
      <c r="AJ50" s="74"/>
      <c r="AK50" s="74"/>
      <c r="AL50" s="92"/>
      <c r="AM50" s="92"/>
      <c r="AN50" s="92"/>
      <c r="AO50" s="92"/>
      <c r="AP50" s="94"/>
      <c r="AQ50" s="94"/>
      <c r="AR50" s="94"/>
      <c r="AS50" s="94"/>
      <c r="AT50" s="94"/>
      <c r="AU50" s="94"/>
    </row>
    <row r="51" spans="1:47" s="65" customFormat="1" x14ac:dyDescent="0.3">
      <c r="A51" s="71" t="s">
        <v>10</v>
      </c>
      <c r="B51" s="71" t="s">
        <v>5</v>
      </c>
      <c r="C51" s="59" t="s">
        <v>10</v>
      </c>
      <c r="D51" s="79">
        <v>179.16666666666669</v>
      </c>
      <c r="E51" s="91">
        <v>0</v>
      </c>
      <c r="F51" s="73">
        <f>PRODUCT(Table73[[#This Row],[1]:[25]])</f>
        <v>0.20833333333333334</v>
      </c>
      <c r="G51" s="74"/>
      <c r="H51" s="74"/>
      <c r="I51" s="74"/>
      <c r="J51" s="74"/>
      <c r="K51" s="74"/>
      <c r="L51" s="74"/>
      <c r="M51" s="74"/>
      <c r="N51" s="74"/>
      <c r="O51" s="74">
        <f t="shared" si="6"/>
        <v>0.20833333333333334</v>
      </c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5"/>
      <c r="AC51" s="75"/>
      <c r="AD51" s="75"/>
      <c r="AE51" s="74"/>
      <c r="AF51" s="74"/>
      <c r="AG51" s="74"/>
      <c r="AH51" s="74"/>
      <c r="AI51" s="74"/>
      <c r="AJ51" s="74"/>
      <c r="AK51" s="74"/>
      <c r="AL51" s="92"/>
      <c r="AM51" s="92"/>
      <c r="AN51" s="92"/>
      <c r="AO51" s="92"/>
      <c r="AP51" s="94"/>
      <c r="AQ51" s="94"/>
      <c r="AR51" s="94"/>
      <c r="AS51" s="94"/>
      <c r="AT51" s="94"/>
      <c r="AU51" s="94"/>
    </row>
    <row r="52" spans="1:47" s="65" customFormat="1" x14ac:dyDescent="0.3">
      <c r="A52" s="71" t="s">
        <v>10</v>
      </c>
      <c r="B52" s="71" t="s">
        <v>7</v>
      </c>
      <c r="C52" s="59" t="s">
        <v>10</v>
      </c>
      <c r="D52" s="79">
        <v>179.16666666666669</v>
      </c>
      <c r="E52" s="91">
        <v>0</v>
      </c>
      <c r="F52" s="73">
        <f>PRODUCT(Table73[[#This Row],[1]:[25]])</f>
        <v>0.20833333333333334</v>
      </c>
      <c r="G52" s="74"/>
      <c r="H52" s="74"/>
      <c r="I52" s="74"/>
      <c r="J52" s="74"/>
      <c r="K52" s="74"/>
      <c r="L52" s="74"/>
      <c r="M52" s="74"/>
      <c r="N52" s="74"/>
      <c r="O52" s="74">
        <f t="shared" si="6"/>
        <v>0.20833333333333334</v>
      </c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5"/>
      <c r="AC52" s="75"/>
      <c r="AD52" s="75"/>
      <c r="AE52" s="74"/>
      <c r="AF52" s="74"/>
      <c r="AG52" s="74"/>
      <c r="AH52" s="74"/>
      <c r="AI52" s="74"/>
      <c r="AJ52" s="74"/>
      <c r="AK52" s="74"/>
      <c r="AL52" s="92"/>
      <c r="AM52" s="92"/>
      <c r="AN52" s="92"/>
      <c r="AO52" s="92"/>
      <c r="AP52" s="94"/>
      <c r="AQ52" s="94"/>
      <c r="AR52" s="94"/>
      <c r="AS52" s="94"/>
      <c r="AT52" s="94"/>
      <c r="AU52" s="94"/>
    </row>
    <row r="53" spans="1:47" s="65" customFormat="1" x14ac:dyDescent="0.3">
      <c r="A53" s="59" t="s">
        <v>27</v>
      </c>
      <c r="B53" s="71" t="s">
        <v>19</v>
      </c>
      <c r="C53" s="71" t="s">
        <v>9</v>
      </c>
      <c r="D53" s="79">
        <v>0</v>
      </c>
      <c r="E53" s="91">
        <v>0</v>
      </c>
      <c r="F53" s="73">
        <f>PRODUCT(Table73[[#This Row],[1]:[25]])</f>
        <v>7.5568496949528566E-3</v>
      </c>
      <c r="G53" s="74"/>
      <c r="H53" s="74"/>
      <c r="I53" s="74"/>
      <c r="J53" s="74"/>
      <c r="K53" s="74"/>
      <c r="L53" s="74"/>
      <c r="M53" s="74"/>
      <c r="N53" s="74"/>
      <c r="O53" s="74">
        <f t="shared" si="6"/>
        <v>0.20833333333333334</v>
      </c>
      <c r="P53" s="74"/>
      <c r="Q53" s="74"/>
      <c r="R53" s="74"/>
      <c r="S53" s="74"/>
      <c r="T53" s="74"/>
      <c r="U53" s="74"/>
      <c r="V53" s="74"/>
      <c r="W53" s="74">
        <f t="shared" ref="W53:W58" si="7">W$3</f>
        <v>3.6272878535773712E-2</v>
      </c>
      <c r="X53" s="74"/>
      <c r="Y53" s="74"/>
      <c r="Z53" s="74"/>
      <c r="AA53" s="74"/>
      <c r="AB53" s="75"/>
      <c r="AC53" s="75"/>
      <c r="AD53" s="75"/>
      <c r="AE53" s="74"/>
      <c r="AF53" s="74"/>
      <c r="AG53" s="74"/>
      <c r="AH53" s="74"/>
      <c r="AI53" s="74"/>
      <c r="AJ53" s="74"/>
      <c r="AK53" s="74"/>
      <c r="AL53" s="92"/>
      <c r="AM53" s="92"/>
      <c r="AN53" s="92"/>
      <c r="AO53" s="92"/>
      <c r="AP53" s="94"/>
      <c r="AQ53" s="94"/>
      <c r="AR53" s="94"/>
      <c r="AS53" s="94"/>
      <c r="AT53" s="94"/>
      <c r="AU53" s="94"/>
    </row>
    <row r="54" spans="1:47" s="65" customFormat="1" x14ac:dyDescent="0.3">
      <c r="A54" s="59" t="s">
        <v>27</v>
      </c>
      <c r="B54" s="71" t="s">
        <v>21</v>
      </c>
      <c r="C54" s="71" t="s">
        <v>9</v>
      </c>
      <c r="D54" s="79">
        <v>0</v>
      </c>
      <c r="E54" s="91">
        <v>0</v>
      </c>
      <c r="F54" s="73">
        <f>PRODUCT(Table73[[#This Row],[1]:[25]])</f>
        <v>7.5568496949528566E-3</v>
      </c>
      <c r="G54" s="74"/>
      <c r="H54" s="74"/>
      <c r="I54" s="74"/>
      <c r="J54" s="74"/>
      <c r="K54" s="74"/>
      <c r="L54" s="74"/>
      <c r="M54" s="74"/>
      <c r="N54" s="74"/>
      <c r="O54" s="74">
        <f t="shared" si="6"/>
        <v>0.20833333333333334</v>
      </c>
      <c r="P54" s="74"/>
      <c r="Q54" s="74"/>
      <c r="R54" s="74"/>
      <c r="S54" s="74"/>
      <c r="T54" s="74"/>
      <c r="U54" s="74"/>
      <c r="V54" s="74"/>
      <c r="W54" s="74">
        <f t="shared" si="7"/>
        <v>3.6272878535773712E-2</v>
      </c>
      <c r="X54" s="74"/>
      <c r="Y54" s="74"/>
      <c r="Z54" s="74"/>
      <c r="AA54" s="74"/>
      <c r="AB54" s="75"/>
      <c r="AC54" s="75"/>
      <c r="AD54" s="75"/>
      <c r="AE54" s="74"/>
      <c r="AF54" s="74"/>
      <c r="AG54" s="74"/>
      <c r="AH54" s="74"/>
      <c r="AI54" s="74"/>
      <c r="AJ54" s="74"/>
      <c r="AK54" s="74"/>
      <c r="AL54" s="92"/>
      <c r="AM54" s="92"/>
      <c r="AN54" s="92"/>
      <c r="AO54" s="92"/>
      <c r="AP54" s="94"/>
      <c r="AQ54" s="94"/>
      <c r="AR54" s="94"/>
      <c r="AS54" s="94"/>
      <c r="AT54" s="94"/>
      <c r="AU54" s="94"/>
    </row>
    <row r="55" spans="1:47" s="65" customFormat="1" x14ac:dyDescent="0.3">
      <c r="A55" s="59" t="s">
        <v>27</v>
      </c>
      <c r="B55" s="71" t="s">
        <v>20</v>
      </c>
      <c r="C55" s="71" t="s">
        <v>9</v>
      </c>
      <c r="D55" s="79">
        <v>0</v>
      </c>
      <c r="E55" s="91">
        <v>0</v>
      </c>
      <c r="F55" s="73">
        <f>PRODUCT(Table73[[#This Row],[1]:[25]])</f>
        <v>7.5568496949528566E-3</v>
      </c>
      <c r="G55" s="74"/>
      <c r="H55" s="74"/>
      <c r="I55" s="74"/>
      <c r="J55" s="74"/>
      <c r="K55" s="74"/>
      <c r="L55" s="74"/>
      <c r="M55" s="74"/>
      <c r="N55" s="74"/>
      <c r="O55" s="74">
        <f t="shared" si="6"/>
        <v>0.20833333333333334</v>
      </c>
      <c r="P55" s="74"/>
      <c r="Q55" s="74"/>
      <c r="R55" s="74"/>
      <c r="S55" s="74"/>
      <c r="T55" s="74"/>
      <c r="U55" s="74"/>
      <c r="V55" s="74"/>
      <c r="W55" s="74">
        <f t="shared" si="7"/>
        <v>3.6272878535773712E-2</v>
      </c>
      <c r="X55" s="74"/>
      <c r="Y55" s="74"/>
      <c r="Z55" s="74"/>
      <c r="AA55" s="74"/>
      <c r="AB55" s="75"/>
      <c r="AC55" s="75"/>
      <c r="AD55" s="75"/>
      <c r="AE55" s="74"/>
      <c r="AF55" s="74"/>
      <c r="AG55" s="74"/>
      <c r="AH55" s="74"/>
      <c r="AI55" s="74"/>
      <c r="AJ55" s="74"/>
      <c r="AK55" s="74"/>
      <c r="AL55" s="92"/>
      <c r="AM55" s="92"/>
      <c r="AN55" s="92"/>
      <c r="AO55" s="92"/>
      <c r="AP55" s="94"/>
      <c r="AQ55" s="94"/>
      <c r="AR55" s="94"/>
      <c r="AS55" s="94"/>
      <c r="AT55" s="94"/>
      <c r="AU55" s="94"/>
    </row>
    <row r="56" spans="1:47" s="65" customFormat="1" x14ac:dyDescent="0.3">
      <c r="A56" s="59" t="s">
        <v>27</v>
      </c>
      <c r="B56" s="71" t="s">
        <v>22</v>
      </c>
      <c r="C56" s="71" t="s">
        <v>9</v>
      </c>
      <c r="D56" s="79">
        <v>0</v>
      </c>
      <c r="E56" s="91">
        <v>0</v>
      </c>
      <c r="F56" s="73">
        <f>PRODUCT(Table73[[#This Row],[1]:[25]])</f>
        <v>7.5568496949528566E-3</v>
      </c>
      <c r="G56" s="74"/>
      <c r="H56" s="74"/>
      <c r="I56" s="74"/>
      <c r="J56" s="74"/>
      <c r="K56" s="74"/>
      <c r="L56" s="74"/>
      <c r="M56" s="74"/>
      <c r="N56" s="74"/>
      <c r="O56" s="74">
        <f t="shared" si="6"/>
        <v>0.20833333333333334</v>
      </c>
      <c r="P56" s="74"/>
      <c r="Q56" s="74"/>
      <c r="R56" s="74"/>
      <c r="S56" s="74"/>
      <c r="T56" s="74"/>
      <c r="U56" s="74"/>
      <c r="V56" s="74"/>
      <c r="W56" s="74">
        <f t="shared" si="7"/>
        <v>3.6272878535773712E-2</v>
      </c>
      <c r="X56" s="74"/>
      <c r="Y56" s="74"/>
      <c r="Z56" s="74"/>
      <c r="AA56" s="74"/>
      <c r="AB56" s="75"/>
      <c r="AC56" s="75"/>
      <c r="AD56" s="75"/>
      <c r="AE56" s="74"/>
      <c r="AF56" s="74"/>
      <c r="AG56" s="74"/>
      <c r="AH56" s="74"/>
      <c r="AI56" s="74"/>
      <c r="AJ56" s="74"/>
      <c r="AK56" s="74"/>
      <c r="AL56" s="92"/>
      <c r="AM56" s="92"/>
      <c r="AN56" s="92"/>
      <c r="AO56" s="92"/>
      <c r="AP56" s="94"/>
      <c r="AQ56" s="94"/>
      <c r="AR56" s="94"/>
      <c r="AS56" s="94"/>
      <c r="AT56" s="94"/>
      <c r="AU56" s="94"/>
    </row>
    <row r="57" spans="1:47" s="65" customFormat="1" x14ac:dyDescent="0.3">
      <c r="A57" s="59" t="s">
        <v>27</v>
      </c>
      <c r="B57" s="71" t="s">
        <v>5</v>
      </c>
      <c r="C57" s="71" t="s">
        <v>9</v>
      </c>
      <c r="D57" s="79">
        <v>0</v>
      </c>
      <c r="E57" s="91">
        <v>0</v>
      </c>
      <c r="F57" s="73">
        <f>PRODUCT(Table73[[#This Row],[1]:[25]])</f>
        <v>7.5568496949528566E-3</v>
      </c>
      <c r="G57" s="74"/>
      <c r="H57" s="74"/>
      <c r="I57" s="74"/>
      <c r="J57" s="74"/>
      <c r="K57" s="74"/>
      <c r="L57" s="74"/>
      <c r="M57" s="74"/>
      <c r="N57" s="74"/>
      <c r="O57" s="74">
        <f t="shared" si="6"/>
        <v>0.20833333333333334</v>
      </c>
      <c r="P57" s="74"/>
      <c r="Q57" s="74"/>
      <c r="R57" s="74"/>
      <c r="S57" s="74"/>
      <c r="T57" s="74"/>
      <c r="U57" s="74"/>
      <c r="V57" s="74"/>
      <c r="W57" s="74">
        <f t="shared" si="7"/>
        <v>3.6272878535773712E-2</v>
      </c>
      <c r="X57" s="74"/>
      <c r="Y57" s="74"/>
      <c r="Z57" s="74"/>
      <c r="AA57" s="74"/>
      <c r="AB57" s="75"/>
      <c r="AC57" s="75"/>
      <c r="AD57" s="75"/>
      <c r="AE57" s="74"/>
      <c r="AF57" s="74"/>
      <c r="AG57" s="74"/>
      <c r="AH57" s="74"/>
      <c r="AI57" s="74"/>
      <c r="AJ57" s="74"/>
      <c r="AK57" s="74"/>
      <c r="AL57" s="92"/>
      <c r="AM57" s="92"/>
      <c r="AN57" s="92"/>
      <c r="AO57" s="92"/>
      <c r="AP57" s="94"/>
      <c r="AQ57" s="94"/>
      <c r="AR57" s="94"/>
      <c r="AS57" s="94"/>
      <c r="AT57" s="94"/>
      <c r="AU57" s="94"/>
    </row>
    <row r="58" spans="1:47" s="65" customFormat="1" x14ac:dyDescent="0.3">
      <c r="A58" s="59" t="s">
        <v>27</v>
      </c>
      <c r="B58" s="71" t="s">
        <v>7</v>
      </c>
      <c r="C58" s="71" t="s">
        <v>9</v>
      </c>
      <c r="D58" s="79">
        <v>0</v>
      </c>
      <c r="E58" s="91">
        <v>0</v>
      </c>
      <c r="F58" s="73">
        <f>PRODUCT(Table73[[#This Row],[1]:[25]])</f>
        <v>7.5568496949528566E-3</v>
      </c>
      <c r="G58" s="74"/>
      <c r="H58" s="74"/>
      <c r="I58" s="74"/>
      <c r="J58" s="74"/>
      <c r="K58" s="74"/>
      <c r="L58" s="74"/>
      <c r="M58" s="74"/>
      <c r="N58" s="74"/>
      <c r="O58" s="74">
        <f t="shared" si="6"/>
        <v>0.20833333333333334</v>
      </c>
      <c r="P58" s="74"/>
      <c r="Q58" s="74"/>
      <c r="R58" s="74"/>
      <c r="S58" s="74"/>
      <c r="T58" s="74"/>
      <c r="U58" s="74"/>
      <c r="V58" s="74"/>
      <c r="W58" s="74">
        <f t="shared" si="7"/>
        <v>3.6272878535773712E-2</v>
      </c>
      <c r="X58" s="74"/>
      <c r="Y58" s="74"/>
      <c r="Z58" s="74"/>
      <c r="AA58" s="74"/>
      <c r="AB58" s="75"/>
      <c r="AC58" s="75"/>
      <c r="AD58" s="75"/>
      <c r="AE58" s="74"/>
      <c r="AF58" s="74"/>
      <c r="AG58" s="74"/>
      <c r="AH58" s="74"/>
      <c r="AI58" s="74"/>
      <c r="AJ58" s="74"/>
      <c r="AK58" s="74"/>
      <c r="AL58" s="92"/>
      <c r="AM58" s="92"/>
      <c r="AN58" s="92"/>
      <c r="AO58" s="92"/>
      <c r="AP58" s="94"/>
      <c r="AQ58" s="94"/>
      <c r="AR58" s="94"/>
      <c r="AS58" s="94"/>
      <c r="AT58" s="94"/>
      <c r="AU58" s="94"/>
    </row>
    <row r="59" spans="1:47" s="65" customFormat="1" x14ac:dyDescent="0.3">
      <c r="A59" s="71" t="s">
        <v>10</v>
      </c>
      <c r="B59" s="71" t="s">
        <v>19</v>
      </c>
      <c r="C59" s="71" t="s">
        <v>9</v>
      </c>
      <c r="D59" s="79">
        <v>0</v>
      </c>
      <c r="E59" s="91">
        <v>0</v>
      </c>
      <c r="F59" s="73">
        <f>PRODUCT(Table73[[#This Row],[1]:[25]])</f>
        <v>-0.1446917808219178</v>
      </c>
      <c r="G59" s="74"/>
      <c r="H59" s="74"/>
      <c r="I59" s="74"/>
      <c r="J59" s="74"/>
      <c r="K59" s="74"/>
      <c r="L59" s="74"/>
      <c r="M59" s="74"/>
      <c r="N59" s="74"/>
      <c r="O59" s="74"/>
      <c r="P59" s="74">
        <f t="shared" ref="P59:P64" si="8">P$3</f>
        <v>0.20833333333333334</v>
      </c>
      <c r="Q59" s="74"/>
      <c r="R59" s="74"/>
      <c r="S59" s="74"/>
      <c r="T59" s="74"/>
      <c r="U59" s="74"/>
      <c r="V59" s="74"/>
      <c r="W59" s="74"/>
      <c r="X59" s="74"/>
      <c r="Y59" s="74"/>
      <c r="Z59" s="74">
        <f t="shared" ref="Z59:Z64" si="9">Z$3</f>
        <v>-0.69452054794520546</v>
      </c>
      <c r="AA59" s="74"/>
      <c r="AB59" s="75"/>
      <c r="AC59" s="75"/>
      <c r="AD59" s="75"/>
      <c r="AE59" s="74"/>
      <c r="AF59" s="74"/>
      <c r="AG59" s="74"/>
      <c r="AH59" s="74"/>
      <c r="AI59" s="74"/>
      <c r="AJ59" s="74"/>
      <c r="AK59" s="74"/>
      <c r="AL59" s="92"/>
      <c r="AM59" s="92"/>
      <c r="AN59" s="92"/>
      <c r="AO59" s="92"/>
      <c r="AP59" s="94"/>
      <c r="AQ59" s="94"/>
      <c r="AR59" s="94"/>
      <c r="AS59" s="94"/>
      <c r="AT59" s="94"/>
      <c r="AU59" s="94"/>
    </row>
    <row r="60" spans="1:47" s="65" customFormat="1" x14ac:dyDescent="0.3">
      <c r="A60" s="71" t="s">
        <v>10</v>
      </c>
      <c r="B60" s="71" t="s">
        <v>21</v>
      </c>
      <c r="C60" s="71" t="s">
        <v>9</v>
      </c>
      <c r="D60" s="79">
        <v>0</v>
      </c>
      <c r="E60" s="91">
        <v>0</v>
      </c>
      <c r="F60" s="73">
        <f>PRODUCT(Table73[[#This Row],[1]:[25]])</f>
        <v>-0.1446917808219178</v>
      </c>
      <c r="G60" s="74"/>
      <c r="H60" s="74"/>
      <c r="I60" s="74"/>
      <c r="J60" s="74"/>
      <c r="K60" s="74"/>
      <c r="L60" s="74"/>
      <c r="M60" s="74"/>
      <c r="N60" s="74"/>
      <c r="O60" s="74"/>
      <c r="P60" s="74">
        <f t="shared" si="8"/>
        <v>0.20833333333333334</v>
      </c>
      <c r="Q60" s="74"/>
      <c r="R60" s="74"/>
      <c r="S60" s="74"/>
      <c r="T60" s="74"/>
      <c r="U60" s="74"/>
      <c r="V60" s="74"/>
      <c r="W60" s="74"/>
      <c r="X60" s="74"/>
      <c r="Y60" s="74"/>
      <c r="Z60" s="74">
        <f t="shared" si="9"/>
        <v>-0.69452054794520546</v>
      </c>
      <c r="AA60" s="74"/>
      <c r="AB60" s="75"/>
      <c r="AC60" s="75"/>
      <c r="AD60" s="75"/>
      <c r="AE60" s="74"/>
      <c r="AF60" s="74"/>
      <c r="AG60" s="74"/>
      <c r="AH60" s="74"/>
      <c r="AI60" s="74"/>
      <c r="AJ60" s="74"/>
      <c r="AK60" s="74"/>
      <c r="AL60" s="92"/>
      <c r="AM60" s="92"/>
      <c r="AN60" s="92"/>
      <c r="AO60" s="92"/>
      <c r="AP60" s="94"/>
      <c r="AQ60" s="94"/>
      <c r="AR60" s="94"/>
      <c r="AS60" s="94"/>
      <c r="AT60" s="94"/>
      <c r="AU60" s="94"/>
    </row>
    <row r="61" spans="1:47" s="65" customFormat="1" x14ac:dyDescent="0.3">
      <c r="A61" s="71" t="s">
        <v>10</v>
      </c>
      <c r="B61" s="71" t="s">
        <v>20</v>
      </c>
      <c r="C61" s="71" t="s">
        <v>9</v>
      </c>
      <c r="D61" s="79">
        <v>0</v>
      </c>
      <c r="E61" s="91">
        <v>0</v>
      </c>
      <c r="F61" s="73">
        <f>PRODUCT(Table73[[#This Row],[1]:[25]])</f>
        <v>-0.1446917808219178</v>
      </c>
      <c r="G61" s="74"/>
      <c r="H61" s="74"/>
      <c r="I61" s="74"/>
      <c r="J61" s="74"/>
      <c r="K61" s="74"/>
      <c r="L61" s="74"/>
      <c r="M61" s="74"/>
      <c r="N61" s="74"/>
      <c r="O61" s="74"/>
      <c r="P61" s="74">
        <f t="shared" si="8"/>
        <v>0.20833333333333334</v>
      </c>
      <c r="Q61" s="74"/>
      <c r="R61" s="74"/>
      <c r="S61" s="74"/>
      <c r="T61" s="74"/>
      <c r="U61" s="74"/>
      <c r="V61" s="74"/>
      <c r="W61" s="74"/>
      <c r="X61" s="74"/>
      <c r="Y61" s="74"/>
      <c r="Z61" s="74">
        <f t="shared" si="9"/>
        <v>-0.69452054794520546</v>
      </c>
      <c r="AA61" s="74"/>
      <c r="AB61" s="75"/>
      <c r="AC61" s="75"/>
      <c r="AD61" s="75"/>
      <c r="AE61" s="74"/>
      <c r="AF61" s="74"/>
      <c r="AG61" s="74"/>
      <c r="AH61" s="74"/>
      <c r="AI61" s="74"/>
      <c r="AJ61" s="74"/>
      <c r="AK61" s="74"/>
      <c r="AL61" s="92"/>
      <c r="AM61" s="92"/>
      <c r="AN61" s="92"/>
      <c r="AO61" s="92"/>
      <c r="AP61" s="94"/>
      <c r="AQ61" s="94"/>
      <c r="AR61" s="94"/>
      <c r="AS61" s="94"/>
      <c r="AT61" s="94"/>
      <c r="AU61" s="94"/>
    </row>
    <row r="62" spans="1:47" s="65" customFormat="1" x14ac:dyDescent="0.3">
      <c r="A62" s="71" t="s">
        <v>10</v>
      </c>
      <c r="B62" s="71" t="s">
        <v>22</v>
      </c>
      <c r="C62" s="71" t="s">
        <v>9</v>
      </c>
      <c r="D62" s="79">
        <v>0</v>
      </c>
      <c r="E62" s="91">
        <v>0</v>
      </c>
      <c r="F62" s="73">
        <f>PRODUCT(Table73[[#This Row],[1]:[25]])</f>
        <v>-0.1446917808219178</v>
      </c>
      <c r="G62" s="74"/>
      <c r="H62" s="74"/>
      <c r="I62" s="74"/>
      <c r="J62" s="74"/>
      <c r="K62" s="74"/>
      <c r="L62" s="74"/>
      <c r="M62" s="74"/>
      <c r="N62" s="74"/>
      <c r="O62" s="74"/>
      <c r="P62" s="74">
        <f t="shared" si="8"/>
        <v>0.20833333333333334</v>
      </c>
      <c r="Q62" s="74"/>
      <c r="R62" s="74"/>
      <c r="S62" s="74"/>
      <c r="T62" s="74"/>
      <c r="U62" s="74"/>
      <c r="V62" s="74"/>
      <c r="W62" s="74"/>
      <c r="X62" s="74"/>
      <c r="Y62" s="74"/>
      <c r="Z62" s="74">
        <f t="shared" si="9"/>
        <v>-0.69452054794520546</v>
      </c>
      <c r="AA62" s="74"/>
      <c r="AB62" s="75"/>
      <c r="AC62" s="75"/>
      <c r="AD62" s="75"/>
      <c r="AE62" s="74"/>
      <c r="AF62" s="74"/>
      <c r="AG62" s="74"/>
      <c r="AH62" s="74"/>
      <c r="AI62" s="74"/>
      <c r="AJ62" s="74"/>
      <c r="AK62" s="74"/>
      <c r="AL62" s="92"/>
      <c r="AM62" s="92"/>
      <c r="AN62" s="92"/>
      <c r="AO62" s="92"/>
      <c r="AP62" s="94"/>
      <c r="AQ62" s="94"/>
      <c r="AR62" s="94"/>
      <c r="AS62" s="94"/>
      <c r="AT62" s="94"/>
      <c r="AU62" s="94"/>
    </row>
    <row r="63" spans="1:47" s="65" customFormat="1" x14ac:dyDescent="0.3">
      <c r="A63" s="71" t="s">
        <v>10</v>
      </c>
      <c r="B63" s="71" t="s">
        <v>5</v>
      </c>
      <c r="C63" s="71" t="s">
        <v>9</v>
      </c>
      <c r="D63" s="79">
        <v>0</v>
      </c>
      <c r="E63" s="91">
        <v>0</v>
      </c>
      <c r="F63" s="73">
        <f>PRODUCT(Table73[[#This Row],[1]:[25]])</f>
        <v>-0.1446917808219178</v>
      </c>
      <c r="G63" s="74"/>
      <c r="H63" s="74"/>
      <c r="I63" s="74"/>
      <c r="J63" s="74"/>
      <c r="K63" s="74"/>
      <c r="L63" s="74"/>
      <c r="M63" s="74"/>
      <c r="N63" s="74"/>
      <c r="O63" s="74"/>
      <c r="P63" s="74">
        <f t="shared" si="8"/>
        <v>0.20833333333333334</v>
      </c>
      <c r="Q63" s="74"/>
      <c r="R63" s="74"/>
      <c r="S63" s="74"/>
      <c r="T63" s="74"/>
      <c r="U63" s="74"/>
      <c r="V63" s="74"/>
      <c r="W63" s="74"/>
      <c r="X63" s="74"/>
      <c r="Y63" s="74"/>
      <c r="Z63" s="74">
        <f t="shared" si="9"/>
        <v>-0.69452054794520546</v>
      </c>
      <c r="AA63" s="74"/>
      <c r="AB63" s="75"/>
      <c r="AC63" s="75"/>
      <c r="AD63" s="75"/>
      <c r="AE63" s="74"/>
      <c r="AF63" s="74"/>
      <c r="AG63" s="74"/>
      <c r="AH63" s="74"/>
      <c r="AI63" s="74"/>
      <c r="AJ63" s="74"/>
      <c r="AK63" s="74"/>
      <c r="AL63" s="92"/>
      <c r="AM63" s="92"/>
      <c r="AN63" s="92"/>
      <c r="AO63" s="92"/>
      <c r="AP63" s="94"/>
      <c r="AQ63" s="94"/>
      <c r="AR63" s="94"/>
      <c r="AS63" s="94"/>
      <c r="AT63" s="94"/>
      <c r="AU63" s="94"/>
    </row>
    <row r="64" spans="1:47" s="65" customFormat="1" x14ac:dyDescent="0.3">
      <c r="A64" s="71" t="s">
        <v>10</v>
      </c>
      <c r="B64" s="71" t="s">
        <v>7</v>
      </c>
      <c r="C64" s="71" t="s">
        <v>9</v>
      </c>
      <c r="D64" s="79">
        <v>0</v>
      </c>
      <c r="E64" s="91">
        <v>0</v>
      </c>
      <c r="F64" s="73">
        <f>PRODUCT(Table73[[#This Row],[1]:[25]])</f>
        <v>-0.1446917808219178</v>
      </c>
      <c r="G64" s="74"/>
      <c r="H64" s="74"/>
      <c r="I64" s="74"/>
      <c r="J64" s="74"/>
      <c r="K64" s="74"/>
      <c r="L64" s="74"/>
      <c r="M64" s="74"/>
      <c r="N64" s="74"/>
      <c r="O64" s="74"/>
      <c r="P64" s="74">
        <f t="shared" si="8"/>
        <v>0.20833333333333334</v>
      </c>
      <c r="Q64" s="74"/>
      <c r="R64" s="74"/>
      <c r="S64" s="74"/>
      <c r="T64" s="74"/>
      <c r="U64" s="74"/>
      <c r="V64" s="74"/>
      <c r="W64" s="74"/>
      <c r="X64" s="74"/>
      <c r="Y64" s="74"/>
      <c r="Z64" s="74">
        <f t="shared" si="9"/>
        <v>-0.69452054794520546</v>
      </c>
      <c r="AA64" s="74"/>
      <c r="AB64" s="75"/>
      <c r="AC64" s="75"/>
      <c r="AD64" s="75"/>
      <c r="AE64" s="74"/>
      <c r="AF64" s="74"/>
      <c r="AG64" s="74"/>
      <c r="AH64" s="74"/>
      <c r="AI64" s="74"/>
      <c r="AJ64" s="74"/>
      <c r="AK64" s="74"/>
      <c r="AL64" s="92"/>
      <c r="AM64" s="92"/>
      <c r="AN64" s="92"/>
      <c r="AO64" s="92"/>
      <c r="AP64" s="94"/>
      <c r="AQ64" s="94"/>
      <c r="AR64" s="94"/>
      <c r="AS64" s="94"/>
      <c r="AT64" s="94"/>
      <c r="AU64" s="94"/>
    </row>
    <row r="65" spans="1:47" x14ac:dyDescent="0.3">
      <c r="A65" s="46" t="s">
        <v>43</v>
      </c>
      <c r="B65" s="46" t="s">
        <v>21</v>
      </c>
      <c r="C65" s="46" t="s">
        <v>9</v>
      </c>
      <c r="D65" s="79">
        <v>0</v>
      </c>
      <c r="E65" s="91">
        <v>0</v>
      </c>
      <c r="F65" s="48">
        <f>PRODUCT(Table73[[#This Row],[1]:[25]])</f>
        <v>-1.0168882500898313</v>
      </c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>
        <f>R$3</f>
        <v>0.43478260869565222</v>
      </c>
      <c r="S65" s="50"/>
      <c r="T65" s="50"/>
      <c r="U65" s="50"/>
      <c r="V65" s="50"/>
      <c r="W65" s="50"/>
      <c r="X65" s="50">
        <f>X$3</f>
        <v>-2.3388429752066116</v>
      </c>
      <c r="Y65" s="50"/>
      <c r="Z65" s="50"/>
      <c r="AA65" s="50"/>
      <c r="AB65" s="51"/>
      <c r="AC65" s="51"/>
      <c r="AD65" s="51"/>
      <c r="AE65" s="50"/>
      <c r="AF65" s="74"/>
      <c r="AG65" s="74"/>
      <c r="AH65" s="74"/>
      <c r="AI65" s="74"/>
      <c r="AJ65" s="74"/>
      <c r="AK65" s="74"/>
      <c r="AL65" s="92"/>
      <c r="AM65" s="92"/>
      <c r="AN65" s="92"/>
      <c r="AO65" s="92"/>
      <c r="AP65" s="94"/>
      <c r="AQ65" s="94"/>
      <c r="AR65" s="94"/>
      <c r="AS65" s="94"/>
      <c r="AT65" s="94"/>
      <c r="AU65" s="94"/>
    </row>
    <row r="66" spans="1:47" x14ac:dyDescent="0.3">
      <c r="A66" s="46" t="s">
        <v>43</v>
      </c>
      <c r="B66" s="46" t="s">
        <v>22</v>
      </c>
      <c r="C66" s="46" t="s">
        <v>9</v>
      </c>
      <c r="D66" s="79">
        <v>0</v>
      </c>
      <c r="E66" s="91">
        <v>0</v>
      </c>
      <c r="F66" s="48">
        <f>PRODUCT(Table73[[#This Row],[1]:[25]])</f>
        <v>-1.0168882500898313</v>
      </c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>
        <f>R$3</f>
        <v>0.43478260869565222</v>
      </c>
      <c r="S66" s="50"/>
      <c r="T66" s="50"/>
      <c r="U66" s="50"/>
      <c r="V66" s="50"/>
      <c r="W66" s="50"/>
      <c r="X66" s="50">
        <f>X$3</f>
        <v>-2.3388429752066116</v>
      </c>
      <c r="Y66" s="50"/>
      <c r="Z66" s="50"/>
      <c r="AA66" s="50"/>
      <c r="AB66" s="51"/>
      <c r="AC66" s="51"/>
      <c r="AD66" s="51"/>
      <c r="AE66" s="50"/>
      <c r="AF66" s="74"/>
      <c r="AG66" s="74"/>
      <c r="AH66" s="74"/>
      <c r="AI66" s="74"/>
      <c r="AJ66" s="74"/>
      <c r="AK66" s="74"/>
      <c r="AL66" s="92"/>
      <c r="AM66" s="92"/>
      <c r="AN66" s="92"/>
      <c r="AO66" s="92"/>
      <c r="AP66" s="94"/>
      <c r="AQ66" s="94"/>
      <c r="AR66" s="94"/>
      <c r="AS66" s="94"/>
      <c r="AT66" s="94"/>
      <c r="AU66" s="94"/>
    </row>
    <row r="67" spans="1:47" x14ac:dyDescent="0.3">
      <c r="A67" s="46" t="s">
        <v>43</v>
      </c>
      <c r="B67" s="46" t="s">
        <v>21</v>
      </c>
      <c r="C67" s="46" t="s">
        <v>26</v>
      </c>
      <c r="D67" s="79">
        <v>373.91304347826093</v>
      </c>
      <c r="E67" s="91">
        <v>0</v>
      </c>
      <c r="F67" s="48">
        <f>PRODUCT(Table73[[#This Row],[1]:[25]])</f>
        <v>0.43478260869565222</v>
      </c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>
        <f>R$3</f>
        <v>0.43478260869565222</v>
      </c>
      <c r="S67" s="50"/>
      <c r="T67" s="50"/>
      <c r="U67" s="50"/>
      <c r="V67" s="50"/>
      <c r="W67" s="50"/>
      <c r="X67" s="50"/>
      <c r="Y67" s="50"/>
      <c r="Z67" s="50"/>
      <c r="AA67" s="50"/>
      <c r="AB67" s="51"/>
      <c r="AC67" s="51"/>
      <c r="AD67" s="51"/>
      <c r="AE67" s="50"/>
      <c r="AF67" s="74"/>
      <c r="AG67" s="74"/>
      <c r="AH67" s="74"/>
      <c r="AI67" s="74"/>
      <c r="AJ67" s="74"/>
      <c r="AK67" s="74"/>
      <c r="AL67" s="92"/>
      <c r="AM67" s="92"/>
      <c r="AN67" s="92"/>
      <c r="AO67" s="92"/>
      <c r="AP67" s="94"/>
      <c r="AQ67" s="94"/>
      <c r="AR67" s="94"/>
      <c r="AS67" s="94"/>
      <c r="AT67" s="94"/>
      <c r="AU67" s="94"/>
    </row>
    <row r="68" spans="1:47" x14ac:dyDescent="0.3">
      <c r="A68" s="46" t="s">
        <v>43</v>
      </c>
      <c r="B68" s="46" t="s">
        <v>22</v>
      </c>
      <c r="C68" s="46" t="s">
        <v>26</v>
      </c>
      <c r="D68" s="79">
        <v>373.91304347826093</v>
      </c>
      <c r="E68" s="91">
        <v>0</v>
      </c>
      <c r="F68" s="48">
        <f>PRODUCT(Table73[[#This Row],[1]:[25]])</f>
        <v>0.43478260869565222</v>
      </c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>
        <f>R$3</f>
        <v>0.43478260869565222</v>
      </c>
      <c r="S68" s="50"/>
      <c r="T68" s="50"/>
      <c r="U68" s="50"/>
      <c r="V68" s="50"/>
      <c r="W68" s="50"/>
      <c r="X68" s="50"/>
      <c r="Y68" s="50"/>
      <c r="Z68" s="50"/>
      <c r="AA68" s="50"/>
      <c r="AB68" s="51"/>
      <c r="AC68" s="51"/>
      <c r="AD68" s="51"/>
      <c r="AE68" s="50"/>
      <c r="AF68" s="74"/>
      <c r="AG68" s="74"/>
      <c r="AH68" s="74"/>
      <c r="AI68" s="74"/>
      <c r="AJ68" s="74"/>
      <c r="AK68" s="74"/>
      <c r="AL68" s="92"/>
      <c r="AM68" s="92"/>
      <c r="AN68" s="92"/>
      <c r="AO68" s="92"/>
      <c r="AP68" s="94"/>
      <c r="AQ68" s="94"/>
      <c r="AR68" s="94"/>
      <c r="AS68" s="94"/>
      <c r="AT68" s="94"/>
      <c r="AU68" s="94"/>
    </row>
    <row r="69" spans="1:47" x14ac:dyDescent="0.3">
      <c r="A69" s="46" t="s">
        <v>26</v>
      </c>
      <c r="B69" s="46" t="s">
        <v>21</v>
      </c>
      <c r="C69" s="46" t="s">
        <v>9</v>
      </c>
      <c r="D69" s="79">
        <v>0</v>
      </c>
      <c r="E69" s="91">
        <v>0</v>
      </c>
      <c r="F69" s="48">
        <f>PRODUCT(Table73[[#This Row],[1]:[25]])</f>
        <v>-0.73315602836879434</v>
      </c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>
        <f>Q$3</f>
        <v>0.41666666666666669</v>
      </c>
      <c r="R69" s="50"/>
      <c r="S69" s="50"/>
      <c r="T69" s="50"/>
      <c r="U69" s="50"/>
      <c r="V69" s="50"/>
      <c r="W69" s="50"/>
      <c r="X69" s="50"/>
      <c r="Y69" s="50">
        <f>Y$3</f>
        <v>-1.7595744680851064</v>
      </c>
      <c r="Z69" s="50"/>
      <c r="AA69" s="50"/>
      <c r="AB69" s="51"/>
      <c r="AC69" s="51"/>
      <c r="AD69" s="51"/>
      <c r="AE69" s="50"/>
      <c r="AF69" s="74"/>
      <c r="AG69" s="74"/>
      <c r="AH69" s="74"/>
      <c r="AI69" s="74"/>
      <c r="AJ69" s="74"/>
      <c r="AK69" s="74"/>
      <c r="AL69" s="92"/>
      <c r="AM69" s="92"/>
      <c r="AN69" s="92"/>
      <c r="AO69" s="92"/>
      <c r="AP69" s="94"/>
      <c r="AQ69" s="94"/>
      <c r="AR69" s="94"/>
      <c r="AS69" s="94"/>
      <c r="AT69" s="94"/>
      <c r="AU69" s="94"/>
    </row>
    <row r="70" spans="1:47" x14ac:dyDescent="0.3">
      <c r="A70" s="46" t="s">
        <v>26</v>
      </c>
      <c r="B70" s="46" t="s">
        <v>22</v>
      </c>
      <c r="C70" s="46" t="s">
        <v>9</v>
      </c>
      <c r="D70" s="79">
        <v>0</v>
      </c>
      <c r="E70" s="91">
        <v>0</v>
      </c>
      <c r="F70" s="48">
        <f>PRODUCT(Table73[[#This Row],[1]:[25]])</f>
        <v>-0.73315602836879434</v>
      </c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>
        <f>Q$3</f>
        <v>0.41666666666666669</v>
      </c>
      <c r="R70" s="50"/>
      <c r="S70" s="50"/>
      <c r="T70" s="50"/>
      <c r="U70" s="50"/>
      <c r="V70" s="50"/>
      <c r="W70" s="50"/>
      <c r="X70" s="50"/>
      <c r="Y70" s="50">
        <f>Y$3</f>
        <v>-1.7595744680851064</v>
      </c>
      <c r="Z70" s="50"/>
      <c r="AA70" s="50"/>
      <c r="AB70" s="51"/>
      <c r="AC70" s="51"/>
      <c r="AD70" s="51"/>
      <c r="AE70" s="50"/>
      <c r="AF70" s="74"/>
      <c r="AG70" s="74"/>
      <c r="AH70" s="74"/>
      <c r="AI70" s="74"/>
      <c r="AJ70" s="74"/>
      <c r="AK70" s="74"/>
      <c r="AL70" s="92"/>
      <c r="AM70" s="92"/>
      <c r="AN70" s="92"/>
      <c r="AO70" s="92"/>
      <c r="AP70" s="94"/>
      <c r="AQ70" s="94"/>
      <c r="AR70" s="94"/>
      <c r="AS70" s="94"/>
      <c r="AT70" s="94"/>
      <c r="AU70" s="94"/>
    </row>
    <row r="71" spans="1:47" x14ac:dyDescent="0.3">
      <c r="A71" s="46" t="s">
        <v>26</v>
      </c>
      <c r="B71" s="46" t="s">
        <v>21</v>
      </c>
      <c r="C71" s="46" t="s">
        <v>26</v>
      </c>
      <c r="D71" s="79">
        <v>358.33333333333337</v>
      </c>
      <c r="E71" s="91">
        <v>0</v>
      </c>
      <c r="F71" s="48">
        <f>PRODUCT(Table73[[#This Row],[1]:[25]])</f>
        <v>0.41666666666666669</v>
      </c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>
        <f>Q$3</f>
        <v>0.41666666666666669</v>
      </c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1"/>
      <c r="AC71" s="51"/>
      <c r="AD71" s="51"/>
      <c r="AE71" s="50"/>
      <c r="AF71" s="74"/>
      <c r="AG71" s="74"/>
      <c r="AH71" s="74"/>
      <c r="AI71" s="74"/>
      <c r="AJ71" s="74"/>
      <c r="AK71" s="74"/>
      <c r="AL71" s="92"/>
      <c r="AM71" s="92"/>
      <c r="AN71" s="92"/>
      <c r="AO71" s="92"/>
      <c r="AP71" s="94"/>
      <c r="AQ71" s="94"/>
      <c r="AR71" s="94"/>
      <c r="AS71" s="94"/>
      <c r="AT71" s="94"/>
      <c r="AU71" s="94"/>
    </row>
    <row r="72" spans="1:47" x14ac:dyDescent="0.3">
      <c r="A72" s="46" t="s">
        <v>26</v>
      </c>
      <c r="B72" s="46" t="s">
        <v>22</v>
      </c>
      <c r="C72" s="46" t="s">
        <v>26</v>
      </c>
      <c r="D72" s="79">
        <v>358.33333333333337</v>
      </c>
      <c r="E72" s="91">
        <v>0</v>
      </c>
      <c r="F72" s="48">
        <f>PRODUCT(Table73[[#This Row],[1]:[25]])</f>
        <v>0.41666666666666669</v>
      </c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>
        <f>Q$3</f>
        <v>0.41666666666666669</v>
      </c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1"/>
      <c r="AC72" s="51"/>
      <c r="AD72" s="51"/>
      <c r="AE72" s="50"/>
      <c r="AF72" s="74"/>
      <c r="AG72" s="74"/>
      <c r="AH72" s="74"/>
      <c r="AI72" s="74"/>
      <c r="AJ72" s="74"/>
      <c r="AK72" s="74"/>
      <c r="AL72" s="92"/>
      <c r="AM72" s="92"/>
      <c r="AN72" s="92"/>
      <c r="AO72" s="92"/>
      <c r="AP72" s="94"/>
      <c r="AQ72" s="94"/>
      <c r="AR72" s="94"/>
      <c r="AS72" s="94"/>
      <c r="AT72" s="94"/>
      <c r="AU72" s="94"/>
    </row>
    <row r="73" spans="1:47" x14ac:dyDescent="0.3">
      <c r="A73" s="46" t="s">
        <v>29</v>
      </c>
      <c r="B73" s="46" t="s">
        <v>27</v>
      </c>
      <c r="C73" s="46" t="s">
        <v>9</v>
      </c>
      <c r="D73" s="79">
        <v>0</v>
      </c>
      <c r="E73" s="91">
        <v>0</v>
      </c>
      <c r="F73" s="48">
        <f>PRODUCT(Table73[[#This Row],[1]:[25]])</f>
        <v>-0.61731009607010046</v>
      </c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>
        <f>S$3</f>
        <v>1.1000000000000001</v>
      </c>
      <c r="T73" s="50"/>
      <c r="U73" s="50"/>
      <c r="V73" s="50"/>
      <c r="W73" s="50"/>
      <c r="X73" s="50"/>
      <c r="Y73" s="50"/>
      <c r="Z73" s="50"/>
      <c r="AA73" s="50">
        <f>AA$3</f>
        <v>-0.56119099642736403</v>
      </c>
      <c r="AB73" s="51"/>
      <c r="AC73" s="51"/>
      <c r="AD73" s="51"/>
      <c r="AE73" s="50"/>
      <c r="AF73" s="74"/>
      <c r="AG73" s="74"/>
      <c r="AH73" s="74"/>
      <c r="AI73" s="74"/>
      <c r="AJ73" s="74"/>
      <c r="AK73" s="74"/>
      <c r="AL73" s="92"/>
      <c r="AM73" s="92"/>
      <c r="AN73" s="92"/>
      <c r="AO73" s="92"/>
      <c r="AP73" s="94"/>
      <c r="AQ73" s="94"/>
      <c r="AR73" s="94"/>
      <c r="AS73" s="94"/>
      <c r="AT73" s="94"/>
      <c r="AU73" s="94"/>
    </row>
    <row r="74" spans="1:47" x14ac:dyDescent="0.3">
      <c r="A74" s="46" t="s">
        <v>29</v>
      </c>
      <c r="B74" s="46" t="s">
        <v>27</v>
      </c>
      <c r="C74" s="46" t="s">
        <v>29</v>
      </c>
      <c r="D74" s="79">
        <v>198.00000000000003</v>
      </c>
      <c r="E74" s="91">
        <v>0</v>
      </c>
      <c r="F74" s="48">
        <f>PRODUCT(Table73[[#This Row],[1]:[25]])</f>
        <v>1.1000000000000001</v>
      </c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>
        <f>S$3</f>
        <v>1.1000000000000001</v>
      </c>
      <c r="T74" s="50"/>
      <c r="U74" s="50"/>
      <c r="V74" s="50"/>
      <c r="W74" s="50"/>
      <c r="X74" s="50"/>
      <c r="Y74" s="50"/>
      <c r="Z74" s="50"/>
      <c r="AA74" s="50"/>
      <c r="AB74" s="51"/>
      <c r="AC74" s="51"/>
      <c r="AD74" s="51"/>
      <c r="AE74" s="50"/>
      <c r="AF74" s="74"/>
      <c r="AG74" s="74"/>
      <c r="AH74" s="74"/>
      <c r="AI74" s="74"/>
      <c r="AJ74" s="74"/>
      <c r="AK74" s="74"/>
      <c r="AL74" s="92"/>
      <c r="AM74" s="92"/>
      <c r="AN74" s="92"/>
      <c r="AO74" s="92"/>
      <c r="AP74" s="94"/>
      <c r="AQ74" s="94"/>
      <c r="AR74" s="94"/>
      <c r="AS74" s="94"/>
      <c r="AT74" s="94"/>
      <c r="AU74" s="94"/>
    </row>
    <row r="75" spans="1:47" x14ac:dyDescent="0.3">
      <c r="A75" s="46" t="s">
        <v>31</v>
      </c>
      <c r="B75" s="46" t="s">
        <v>27</v>
      </c>
      <c r="C75" s="46" t="s">
        <v>9</v>
      </c>
      <c r="D75" s="79">
        <v>0</v>
      </c>
      <c r="E75" s="91">
        <v>0</v>
      </c>
      <c r="F75" s="48">
        <f>PRODUCT(Table73[[#This Row],[1]:[25]])</f>
        <v>-0.72954829535557331</v>
      </c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>
        <f>T$3</f>
        <v>1.3</v>
      </c>
      <c r="U75" s="50"/>
      <c r="V75" s="50"/>
      <c r="W75" s="50"/>
      <c r="X75" s="50"/>
      <c r="Y75" s="50"/>
      <c r="Z75" s="50"/>
      <c r="AA75" s="50">
        <f>AA$3</f>
        <v>-0.56119099642736403</v>
      </c>
      <c r="AB75" s="51"/>
      <c r="AC75" s="51"/>
      <c r="AD75" s="51"/>
      <c r="AE75" s="50"/>
      <c r="AF75" s="74"/>
      <c r="AG75" s="74"/>
      <c r="AH75" s="74"/>
      <c r="AI75" s="74"/>
      <c r="AJ75" s="74"/>
      <c r="AK75" s="74"/>
      <c r="AL75" s="92"/>
      <c r="AM75" s="92"/>
      <c r="AN75" s="92"/>
      <c r="AO75" s="92"/>
      <c r="AP75" s="94"/>
      <c r="AQ75" s="94"/>
      <c r="AR75" s="94"/>
      <c r="AS75" s="94"/>
      <c r="AT75" s="94"/>
      <c r="AU75" s="94"/>
    </row>
    <row r="76" spans="1:47" x14ac:dyDescent="0.3">
      <c r="A76" s="46" t="s">
        <v>31</v>
      </c>
      <c r="B76" s="46" t="s">
        <v>27</v>
      </c>
      <c r="C76" s="46" t="s">
        <v>31</v>
      </c>
      <c r="D76" s="79">
        <v>234</v>
      </c>
      <c r="E76" s="91">
        <v>0</v>
      </c>
      <c r="F76" s="48">
        <f>PRODUCT(Table73[[#This Row],[1]:[25]])</f>
        <v>1.3</v>
      </c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>
        <f>T$3</f>
        <v>1.3</v>
      </c>
      <c r="U76" s="50"/>
      <c r="V76" s="50"/>
      <c r="W76" s="50"/>
      <c r="X76" s="50"/>
      <c r="Y76" s="50"/>
      <c r="Z76" s="50"/>
      <c r="AA76" s="50"/>
      <c r="AB76" s="51"/>
      <c r="AC76" s="51"/>
      <c r="AD76" s="51"/>
      <c r="AE76" s="50"/>
      <c r="AF76" s="74"/>
      <c r="AG76" s="74"/>
      <c r="AH76" s="74"/>
      <c r="AI76" s="74"/>
      <c r="AJ76" s="74"/>
      <c r="AK76" s="74"/>
      <c r="AL76" s="92"/>
      <c r="AM76" s="92"/>
      <c r="AN76" s="92"/>
      <c r="AO76" s="92"/>
      <c r="AP76" s="94"/>
      <c r="AQ76" s="94"/>
      <c r="AR76" s="94"/>
      <c r="AS76" s="94"/>
      <c r="AT76" s="94"/>
      <c r="AU76" s="94"/>
    </row>
    <row r="77" spans="1:47" x14ac:dyDescent="0.3">
      <c r="A77" s="46" t="s">
        <v>30</v>
      </c>
      <c r="B77" s="46" t="s">
        <v>26</v>
      </c>
      <c r="C77" s="46" t="s">
        <v>30</v>
      </c>
      <c r="D77" s="79">
        <v>234</v>
      </c>
      <c r="E77" s="91">
        <v>0</v>
      </c>
      <c r="F77" s="48">
        <f>PRODUCT(Table73[[#This Row],[1]:[25]])</f>
        <v>1.3</v>
      </c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>
        <f>U$3</f>
        <v>1.3</v>
      </c>
      <c r="V77" s="50"/>
      <c r="W77" s="50"/>
      <c r="X77" s="50"/>
      <c r="Y77" s="50"/>
      <c r="Z77" s="50"/>
      <c r="AA77" s="50"/>
      <c r="AB77" s="51"/>
      <c r="AC77" s="51"/>
      <c r="AD77" s="51"/>
      <c r="AE77" s="50"/>
      <c r="AF77" s="74"/>
      <c r="AG77" s="74"/>
      <c r="AH77" s="74"/>
      <c r="AI77" s="74"/>
      <c r="AJ77" s="74"/>
      <c r="AK77" s="74"/>
      <c r="AL77" s="92"/>
      <c r="AM77" s="92"/>
      <c r="AN77" s="92"/>
      <c r="AO77" s="92"/>
      <c r="AP77" s="94"/>
      <c r="AQ77" s="94"/>
      <c r="AR77" s="94"/>
      <c r="AS77" s="94"/>
      <c r="AT77" s="94"/>
      <c r="AU77" s="94"/>
    </row>
    <row r="78" spans="1:47" x14ac:dyDescent="0.3">
      <c r="A78" s="46" t="s">
        <v>28</v>
      </c>
      <c r="B78" s="46" t="s">
        <v>26</v>
      </c>
      <c r="C78" s="46" t="s">
        <v>28</v>
      </c>
      <c r="D78" s="79">
        <v>198.00000000000003</v>
      </c>
      <c r="E78" s="91">
        <v>0</v>
      </c>
      <c r="F78" s="48">
        <f>PRODUCT(Table73[[#This Row],[1]:[25]])</f>
        <v>1.1000000000000001</v>
      </c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>
        <f>V$3</f>
        <v>1.1000000000000001</v>
      </c>
      <c r="W78" s="50"/>
      <c r="X78" s="50"/>
      <c r="Y78" s="50"/>
      <c r="Z78" s="50"/>
      <c r="AA78" s="50"/>
      <c r="AB78" s="51"/>
      <c r="AC78" s="51"/>
      <c r="AD78" s="51"/>
      <c r="AE78" s="50"/>
      <c r="AF78" s="74"/>
      <c r="AG78" s="74"/>
      <c r="AH78" s="74"/>
      <c r="AI78" s="74"/>
      <c r="AJ78" s="74"/>
      <c r="AK78" s="74"/>
      <c r="AL78" s="92"/>
      <c r="AM78" s="92"/>
      <c r="AN78" s="92"/>
      <c r="AO78" s="92"/>
      <c r="AP78" s="94"/>
      <c r="AQ78" s="94"/>
      <c r="AR78" s="94"/>
      <c r="AS78" s="94"/>
      <c r="AT78" s="94"/>
      <c r="AU78" s="94"/>
    </row>
    <row r="79" spans="1:47" x14ac:dyDescent="0.3">
      <c r="A79" s="46" t="s">
        <v>38</v>
      </c>
      <c r="B79" s="46" t="s">
        <v>27</v>
      </c>
      <c r="C79" s="46" t="s">
        <v>9</v>
      </c>
      <c r="D79" s="79">
        <v>0</v>
      </c>
      <c r="E79" s="91">
        <v>0</v>
      </c>
      <c r="F79" s="48">
        <f>PRODUCT(Table73[[#This Row],[1]:[25]])</f>
        <v>0</v>
      </c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1"/>
      <c r="AC79" s="51"/>
      <c r="AD79" s="51"/>
      <c r="AE79" s="50"/>
      <c r="AF79" s="74"/>
      <c r="AG79" s="74"/>
      <c r="AH79" s="74"/>
      <c r="AI79" s="74"/>
      <c r="AJ79" s="74"/>
      <c r="AK79" s="74"/>
      <c r="AL79" s="92"/>
      <c r="AM79" s="92"/>
      <c r="AN79" s="92"/>
      <c r="AO79" s="92"/>
      <c r="AP79" s="94"/>
      <c r="AQ79" s="94"/>
      <c r="AR79" s="94"/>
      <c r="AS79" s="94"/>
      <c r="AT79" s="94"/>
      <c r="AU79" s="94"/>
    </row>
    <row r="80" spans="1:47" x14ac:dyDescent="0.3">
      <c r="A80" s="46" t="s">
        <v>38</v>
      </c>
      <c r="B80" s="46" t="s">
        <v>27</v>
      </c>
      <c r="C80" s="46" t="s">
        <v>27</v>
      </c>
      <c r="D80" s="79">
        <v>0</v>
      </c>
      <c r="E80" s="91">
        <v>0</v>
      </c>
      <c r="F80" s="48">
        <f>PRODUCT(Table73[[#This Row],[1]:[25]])</f>
        <v>0</v>
      </c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1"/>
      <c r="AC80" s="51"/>
      <c r="AD80" s="51"/>
      <c r="AE80" s="50"/>
      <c r="AF80" s="74"/>
      <c r="AG80" s="74"/>
      <c r="AH80" s="74"/>
      <c r="AI80" s="74"/>
      <c r="AJ80" s="74"/>
      <c r="AK80" s="74"/>
      <c r="AL80" s="92"/>
      <c r="AM80" s="92"/>
      <c r="AN80" s="92"/>
      <c r="AO80" s="92"/>
      <c r="AP80" s="94"/>
      <c r="AQ80" s="94"/>
      <c r="AR80" s="94"/>
      <c r="AS80" s="94"/>
      <c r="AT80" s="94"/>
      <c r="AU80" s="94"/>
    </row>
    <row r="81" spans="1:47" x14ac:dyDescent="0.3">
      <c r="A81" s="46" t="s">
        <v>50</v>
      </c>
      <c r="B81" s="46" t="s">
        <v>29</v>
      </c>
      <c r="C81" s="46" t="s">
        <v>9</v>
      </c>
      <c r="D81" s="79">
        <v>0</v>
      </c>
      <c r="E81" s="91">
        <v>0</v>
      </c>
      <c r="F81" s="48">
        <f>PRODUCT(Table73[[#This Row],[1]:[25]])</f>
        <v>0</v>
      </c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1"/>
      <c r="AC81" s="51"/>
      <c r="AD81" s="51"/>
      <c r="AE81" s="50"/>
      <c r="AF81" s="74"/>
      <c r="AG81" s="74"/>
      <c r="AH81" s="74"/>
      <c r="AI81" s="74"/>
      <c r="AJ81" s="74"/>
      <c r="AK81" s="74"/>
      <c r="AL81" s="92"/>
      <c r="AM81" s="92"/>
      <c r="AN81" s="92"/>
      <c r="AO81" s="92"/>
      <c r="AP81" s="94"/>
      <c r="AQ81" s="94"/>
      <c r="AR81" s="94"/>
      <c r="AS81" s="94"/>
      <c r="AT81" s="94"/>
      <c r="AU81" s="94"/>
    </row>
    <row r="82" spans="1:47" x14ac:dyDescent="0.3">
      <c r="A82" s="46" t="s">
        <v>50</v>
      </c>
      <c r="B82" s="46" t="s">
        <v>29</v>
      </c>
      <c r="C82" s="46" t="s">
        <v>29</v>
      </c>
      <c r="D82" s="79">
        <v>0</v>
      </c>
      <c r="E82" s="91">
        <v>0</v>
      </c>
      <c r="F82" s="48">
        <f>PRODUCT(Table73[[#This Row],[1]:[25]])</f>
        <v>0</v>
      </c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1"/>
      <c r="AC82" s="51"/>
      <c r="AD82" s="51"/>
      <c r="AE82" s="50"/>
      <c r="AF82" s="74"/>
      <c r="AG82" s="74"/>
      <c r="AH82" s="74"/>
      <c r="AI82" s="74"/>
      <c r="AJ82" s="74"/>
      <c r="AK82" s="74"/>
      <c r="AL82" s="92"/>
      <c r="AM82" s="92"/>
      <c r="AN82" s="92"/>
      <c r="AO82" s="92"/>
      <c r="AP82" s="94"/>
      <c r="AQ82" s="94"/>
      <c r="AR82" s="94"/>
      <c r="AS82" s="94"/>
      <c r="AT82" s="94"/>
      <c r="AU82" s="94"/>
    </row>
    <row r="83" spans="1:47" x14ac:dyDescent="0.3">
      <c r="A83" s="46" t="s">
        <v>51</v>
      </c>
      <c r="B83" s="46" t="s">
        <v>31</v>
      </c>
      <c r="C83" s="46" t="s">
        <v>9</v>
      </c>
      <c r="D83" s="79">
        <v>0</v>
      </c>
      <c r="E83" s="91">
        <v>0</v>
      </c>
      <c r="F83" s="48">
        <f>PRODUCT(Table73[[#This Row],[1]:[25]])</f>
        <v>0</v>
      </c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1"/>
      <c r="AC83" s="51"/>
      <c r="AD83" s="51"/>
      <c r="AE83" s="50"/>
      <c r="AF83" s="74"/>
      <c r="AG83" s="74"/>
      <c r="AH83" s="74"/>
      <c r="AI83" s="74"/>
      <c r="AJ83" s="74"/>
      <c r="AK83" s="74"/>
      <c r="AL83" s="92"/>
      <c r="AM83" s="92"/>
      <c r="AN83" s="92"/>
      <c r="AO83" s="92"/>
      <c r="AP83" s="94"/>
      <c r="AQ83" s="94"/>
      <c r="AR83" s="94"/>
      <c r="AS83" s="94"/>
      <c r="AT83" s="94"/>
      <c r="AU83" s="94"/>
    </row>
    <row r="84" spans="1:47" x14ac:dyDescent="0.3">
      <c r="A84" s="46" t="s">
        <v>51</v>
      </c>
      <c r="B84" s="46" t="s">
        <v>31</v>
      </c>
      <c r="C84" s="46" t="s">
        <v>31</v>
      </c>
      <c r="D84" s="79">
        <v>0</v>
      </c>
      <c r="E84" s="91">
        <v>0</v>
      </c>
      <c r="F84" s="48">
        <f>PRODUCT(Table73[[#This Row],[1]:[25]])</f>
        <v>0</v>
      </c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1"/>
      <c r="AC84" s="51"/>
      <c r="AD84" s="51"/>
      <c r="AE84" s="50"/>
      <c r="AF84" s="74"/>
      <c r="AG84" s="74"/>
      <c r="AH84" s="74"/>
      <c r="AI84" s="74"/>
      <c r="AJ84" s="74"/>
      <c r="AK84" s="74"/>
      <c r="AL84" s="92"/>
      <c r="AM84" s="92"/>
      <c r="AN84" s="92"/>
      <c r="AO84" s="92"/>
      <c r="AP84" s="94"/>
      <c r="AQ84" s="94"/>
      <c r="AR84" s="94"/>
      <c r="AS84" s="94"/>
      <c r="AT84" s="94"/>
      <c r="AU84" s="94"/>
    </row>
    <row r="85" spans="1:47" s="65" customFormat="1" x14ac:dyDescent="0.3">
      <c r="A85" s="71" t="s">
        <v>201</v>
      </c>
      <c r="B85" s="71" t="s">
        <v>6</v>
      </c>
      <c r="C85" s="71" t="s">
        <v>201</v>
      </c>
      <c r="D85" s="91">
        <f>529*Table73[[#This Row],[Column4]]</f>
        <v>354.43</v>
      </c>
      <c r="E85" s="104">
        <v>0.75</v>
      </c>
      <c r="F85" s="73">
        <f>PRODUCT(Table73[[#This Row],[1]:[252]])</f>
        <v>0.67</v>
      </c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  <c r="V85" s="74"/>
      <c r="W85" s="74"/>
      <c r="X85" s="74"/>
      <c r="Y85" s="74"/>
      <c r="Z85" s="74"/>
      <c r="AA85" s="74"/>
      <c r="AB85" s="75"/>
      <c r="AC85" s="75"/>
      <c r="AD85" s="75"/>
      <c r="AE85" s="74"/>
      <c r="AF85" s="74">
        <f>AF$3</f>
        <v>0.67</v>
      </c>
      <c r="AG85" s="74"/>
      <c r="AH85" s="74"/>
      <c r="AI85" s="74"/>
      <c r="AJ85" s="74"/>
      <c r="AK85" s="74"/>
      <c r="AL85" s="92"/>
      <c r="AM85" s="92"/>
      <c r="AN85" s="92"/>
      <c r="AO85" s="92"/>
      <c r="AP85" s="94"/>
      <c r="AQ85" s="94"/>
      <c r="AR85" s="94"/>
      <c r="AS85" s="94"/>
      <c r="AT85" s="94"/>
      <c r="AU85" s="94"/>
    </row>
    <row r="86" spans="1:47" s="65" customFormat="1" x14ac:dyDescent="0.3">
      <c r="A86" s="71" t="s">
        <v>159</v>
      </c>
      <c r="B86" s="102" t="s">
        <v>22</v>
      </c>
      <c r="C86" s="71" t="s">
        <v>153</v>
      </c>
      <c r="D86" s="91">
        <v>0</v>
      </c>
      <c r="E86" s="91">
        <v>0</v>
      </c>
      <c r="F86" s="73">
        <f>PRODUCT(Table73[[#This Row],[1]:[252]])</f>
        <v>0.67</v>
      </c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5"/>
      <c r="AC86" s="75"/>
      <c r="AD86" s="75"/>
      <c r="AE86" s="74"/>
      <c r="AF86" s="74">
        <f t="shared" ref="AF86:AG91" si="10">AF$3</f>
        <v>0.67</v>
      </c>
      <c r="AG86" s="74"/>
      <c r="AH86" s="74"/>
      <c r="AI86" s="74"/>
      <c r="AJ86" s="74"/>
      <c r="AK86" s="74"/>
      <c r="AL86" s="92"/>
      <c r="AM86" s="92"/>
      <c r="AN86" s="92"/>
      <c r="AO86" s="92"/>
      <c r="AP86" s="94"/>
      <c r="AQ86" s="94"/>
      <c r="AR86" s="94"/>
      <c r="AS86" s="94"/>
      <c r="AT86" s="94"/>
      <c r="AU86" s="94"/>
    </row>
    <row r="87" spans="1:47" s="65" customFormat="1" x14ac:dyDescent="0.3">
      <c r="A87" s="71" t="s">
        <v>159</v>
      </c>
      <c r="B87" s="102" t="s">
        <v>5</v>
      </c>
      <c r="C87" s="71" t="s">
        <v>153</v>
      </c>
      <c r="D87" s="91">
        <v>0</v>
      </c>
      <c r="E87" s="91">
        <v>0</v>
      </c>
      <c r="F87" s="73">
        <f>PRODUCT(Table73[[#This Row],[1]:[252]])</f>
        <v>0.67</v>
      </c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5"/>
      <c r="AC87" s="75"/>
      <c r="AD87" s="75"/>
      <c r="AE87" s="74"/>
      <c r="AF87" s="74">
        <f t="shared" si="10"/>
        <v>0.67</v>
      </c>
      <c r="AG87" s="74"/>
      <c r="AH87" s="74"/>
      <c r="AI87" s="74"/>
      <c r="AJ87" s="74"/>
      <c r="AK87" s="74"/>
      <c r="AL87" s="92"/>
      <c r="AM87" s="92"/>
      <c r="AN87" s="92"/>
      <c r="AO87" s="92"/>
      <c r="AP87" s="94"/>
      <c r="AQ87" s="94"/>
      <c r="AR87" s="94"/>
      <c r="AS87" s="94"/>
      <c r="AT87" s="94"/>
      <c r="AU87" s="94"/>
    </row>
    <row r="88" spans="1:47" s="65" customFormat="1" x14ac:dyDescent="0.3">
      <c r="A88" s="71" t="s">
        <v>159</v>
      </c>
      <c r="B88" s="102" t="s">
        <v>20</v>
      </c>
      <c r="C88" s="71" t="s">
        <v>153</v>
      </c>
      <c r="D88" s="91">
        <v>0</v>
      </c>
      <c r="E88" s="91">
        <v>0</v>
      </c>
      <c r="F88" s="73">
        <f>PRODUCT(Table73[[#This Row],[1]:[252]])</f>
        <v>0.67</v>
      </c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4"/>
      <c r="AB88" s="75"/>
      <c r="AC88" s="75"/>
      <c r="AD88" s="75"/>
      <c r="AE88" s="74"/>
      <c r="AF88" s="74">
        <f t="shared" si="10"/>
        <v>0.67</v>
      </c>
      <c r="AG88" s="74"/>
      <c r="AH88" s="74"/>
      <c r="AI88" s="74"/>
      <c r="AJ88" s="74"/>
      <c r="AK88" s="74"/>
      <c r="AL88" s="92"/>
      <c r="AM88" s="92"/>
      <c r="AN88" s="92"/>
      <c r="AO88" s="92"/>
      <c r="AP88" s="94"/>
      <c r="AQ88" s="94"/>
      <c r="AR88" s="94"/>
      <c r="AS88" s="94"/>
      <c r="AT88" s="94"/>
      <c r="AU88" s="94"/>
    </row>
    <row r="89" spans="1:47" s="65" customFormat="1" x14ac:dyDescent="0.3">
      <c r="A89" s="71" t="s">
        <v>201</v>
      </c>
      <c r="B89" s="71" t="s">
        <v>153</v>
      </c>
      <c r="C89" s="71" t="s">
        <v>202</v>
      </c>
      <c r="D89" s="91">
        <f>529*Table73[[#This Row],[Column4]]</f>
        <v>354.43</v>
      </c>
      <c r="E89" s="104">
        <v>0.25</v>
      </c>
      <c r="F89" s="73">
        <f>PRODUCT(Table73[[#This Row],[1]:[252]])</f>
        <v>0.67</v>
      </c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94"/>
      <c r="T89" s="94"/>
      <c r="U89" s="94"/>
      <c r="V89" s="94"/>
      <c r="W89" s="94"/>
      <c r="X89" s="94"/>
      <c r="Y89" s="94"/>
      <c r="Z89" s="94"/>
      <c r="AA89" s="94"/>
      <c r="AB89" s="105"/>
      <c r="AC89" s="105"/>
      <c r="AD89" s="105"/>
      <c r="AE89" s="94"/>
      <c r="AF89" s="74">
        <f t="shared" si="10"/>
        <v>0.67</v>
      </c>
      <c r="AG89" s="74"/>
      <c r="AH89" s="74"/>
      <c r="AI89" s="74"/>
      <c r="AJ89" s="74"/>
      <c r="AK89" s="74"/>
      <c r="AL89" s="94"/>
      <c r="AM89" s="94"/>
      <c r="AN89" s="94"/>
      <c r="AO89" s="94"/>
      <c r="AP89" s="94"/>
      <c r="AQ89" s="94"/>
      <c r="AR89" s="94"/>
      <c r="AS89" s="94"/>
      <c r="AT89" s="94"/>
      <c r="AU89" s="94"/>
    </row>
    <row r="90" spans="1:47" s="65" customFormat="1" x14ac:dyDescent="0.3">
      <c r="A90" s="71" t="s">
        <v>201</v>
      </c>
      <c r="B90" s="71" t="s">
        <v>6</v>
      </c>
      <c r="C90" s="71" t="s">
        <v>9</v>
      </c>
      <c r="D90" s="91">
        <v>0</v>
      </c>
      <c r="E90" s="91">
        <v>0</v>
      </c>
      <c r="F90" s="73">
        <f>PRODUCT(Table73[[#This Row],[1]:[253]])</f>
        <v>-0.10991913738000002</v>
      </c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103"/>
      <c r="AC90" s="103"/>
      <c r="AD90" s="103"/>
      <c r="AE90" s="92"/>
      <c r="AF90" s="74">
        <f t="shared" si="10"/>
        <v>0.67</v>
      </c>
      <c r="AG90" s="74">
        <f t="shared" si="10"/>
        <v>-0.16405841400000001</v>
      </c>
      <c r="AH90" s="74"/>
      <c r="AI90" s="74"/>
      <c r="AJ90" s="74"/>
      <c r="AK90" s="74"/>
      <c r="AL90" s="92"/>
      <c r="AM90" s="92"/>
      <c r="AN90" s="92"/>
      <c r="AO90" s="92"/>
      <c r="AP90" s="92"/>
      <c r="AQ90" s="92"/>
      <c r="AR90" s="92"/>
      <c r="AS90" s="92"/>
      <c r="AT90" s="92"/>
      <c r="AU90" s="92"/>
    </row>
    <row r="91" spans="1:47" s="65" customFormat="1" x14ac:dyDescent="0.3">
      <c r="A91" s="71" t="s">
        <v>201</v>
      </c>
      <c r="B91" s="102" t="s">
        <v>153</v>
      </c>
      <c r="C91" s="71" t="s">
        <v>9</v>
      </c>
      <c r="D91" s="91">
        <v>0</v>
      </c>
      <c r="E91" s="91">
        <v>0</v>
      </c>
      <c r="F91" s="73">
        <f>PRODUCT(Table73[[#This Row],[1]:[253]])</f>
        <v>-0.10991913738000002</v>
      </c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5"/>
      <c r="AC91" s="75"/>
      <c r="AD91" s="75"/>
      <c r="AE91" s="74"/>
      <c r="AF91" s="74">
        <f t="shared" si="10"/>
        <v>0.67</v>
      </c>
      <c r="AG91" s="74">
        <f t="shared" si="10"/>
        <v>-0.16405841400000001</v>
      </c>
      <c r="AH91" s="74"/>
      <c r="AI91" s="74"/>
      <c r="AJ91" s="74"/>
      <c r="AK91" s="74"/>
      <c r="AL91" s="92"/>
      <c r="AM91" s="92"/>
      <c r="AN91" s="92"/>
      <c r="AO91" s="92"/>
      <c r="AP91" s="94"/>
      <c r="AQ91" s="94"/>
      <c r="AR91" s="94"/>
      <c r="AS91" s="94"/>
      <c r="AT91" s="94"/>
      <c r="AU91" s="94"/>
    </row>
    <row r="92" spans="1:47" s="65" customFormat="1" x14ac:dyDescent="0.3">
      <c r="A92" s="76"/>
      <c r="B92" s="76"/>
      <c r="C92" s="76"/>
      <c r="D92" s="76"/>
      <c r="E92" s="76"/>
      <c r="F92" s="77"/>
      <c r="G92" s="77"/>
      <c r="H92" s="77"/>
      <c r="I92" s="77"/>
      <c r="J92" s="77"/>
      <c r="K92" s="77"/>
      <c r="L92" s="77"/>
      <c r="M92" s="77"/>
      <c r="N92" s="77"/>
      <c r="O92" s="77"/>
      <c r="P92" s="77"/>
      <c r="Q92" s="77"/>
      <c r="R92" s="77"/>
      <c r="S92" s="77"/>
      <c r="T92" s="77"/>
      <c r="U92" s="77"/>
      <c r="V92" s="77"/>
      <c r="W92" s="77"/>
      <c r="X92" s="77"/>
      <c r="Y92" s="77"/>
      <c r="Z92" s="77"/>
      <c r="AA92" s="77"/>
      <c r="AB92" s="78"/>
      <c r="AC92" s="78"/>
      <c r="AD92" s="78"/>
      <c r="AE92" s="77"/>
      <c r="AF92" s="77"/>
      <c r="AG92" s="77"/>
      <c r="AH92" s="77"/>
      <c r="AI92" s="77"/>
      <c r="AJ92" s="77"/>
      <c r="AK92" s="77"/>
    </row>
    <row r="93" spans="1:47" x14ac:dyDescent="0.3">
      <c r="A93" s="46" t="s">
        <v>27</v>
      </c>
      <c r="B93" s="46" t="s">
        <v>19</v>
      </c>
      <c r="C93" s="46" t="s">
        <v>9</v>
      </c>
      <c r="D93" s="71"/>
      <c r="E93" s="71"/>
      <c r="F93" s="48" t="e">
        <f>PRODUCT(Table73[[#This Row],[1]:[25]])</f>
        <v>#VALUE!</v>
      </c>
      <c r="G93" s="50"/>
      <c r="H93" s="50"/>
      <c r="I93" s="50"/>
      <c r="J93" s="50"/>
      <c r="K93" s="50"/>
      <c r="L93" s="50"/>
      <c r="M93" s="50"/>
      <c r="N93" s="50"/>
      <c r="O93" s="50">
        <f>O$3</f>
        <v>0.20833333333333334</v>
      </c>
      <c r="P93" s="50"/>
      <c r="Q93" s="50"/>
      <c r="R93" s="50"/>
      <c r="S93" s="50"/>
      <c r="T93" s="50"/>
      <c r="U93" s="50"/>
      <c r="V93" s="50"/>
      <c r="W93" s="50">
        <f t="shared" ref="W93:W98" si="11">W$3</f>
        <v>3.6272878535773712E-2</v>
      </c>
      <c r="X93" s="50"/>
      <c r="Y93" s="50"/>
      <c r="Z93" s="50"/>
      <c r="AA93" s="50"/>
      <c r="AB93" s="51"/>
      <c r="AC93" s="51"/>
      <c r="AD93" s="51"/>
      <c r="AE93" s="50"/>
      <c r="AF93" s="74"/>
      <c r="AG93" s="74"/>
      <c r="AH93" s="74"/>
      <c r="AI93" s="74"/>
      <c r="AJ93" s="74"/>
      <c r="AK93" s="74"/>
    </row>
    <row r="94" spans="1:47" x14ac:dyDescent="0.3">
      <c r="A94" s="46" t="s">
        <v>27</v>
      </c>
      <c r="B94" s="46" t="s">
        <v>21</v>
      </c>
      <c r="C94" s="46" t="s">
        <v>9</v>
      </c>
      <c r="D94" s="71"/>
      <c r="E94" s="71"/>
      <c r="F94" s="48" t="e">
        <f>PRODUCT(Table73[[#This Row],[1]:[25]])</f>
        <v>#VALUE!</v>
      </c>
      <c r="G94" s="50"/>
      <c r="H94" s="50"/>
      <c r="I94" s="50"/>
      <c r="J94" s="50"/>
      <c r="K94" s="50"/>
      <c r="L94" s="50"/>
      <c r="M94" s="50"/>
      <c r="N94" s="50"/>
      <c r="O94" s="50">
        <f>O$3</f>
        <v>0.20833333333333334</v>
      </c>
      <c r="P94" s="50"/>
      <c r="Q94" s="50"/>
      <c r="R94" s="50"/>
      <c r="S94" s="50"/>
      <c r="T94" s="50"/>
      <c r="U94" s="50"/>
      <c r="V94" s="50"/>
      <c r="W94" s="50">
        <f t="shared" si="11"/>
        <v>3.6272878535773712E-2</v>
      </c>
      <c r="X94" s="50"/>
      <c r="Y94" s="50"/>
      <c r="Z94" s="50"/>
      <c r="AA94" s="50"/>
      <c r="AB94" s="51"/>
      <c r="AC94" s="51"/>
      <c r="AD94" s="51"/>
      <c r="AE94" s="50"/>
      <c r="AF94" s="74"/>
      <c r="AG94" s="74"/>
      <c r="AH94" s="74"/>
      <c r="AI94" s="74"/>
      <c r="AJ94" s="74"/>
      <c r="AK94" s="74"/>
    </row>
    <row r="95" spans="1:47" x14ac:dyDescent="0.3">
      <c r="A95" s="46" t="s">
        <v>27</v>
      </c>
      <c r="B95" s="46" t="s">
        <v>20</v>
      </c>
      <c r="C95" s="46" t="s">
        <v>9</v>
      </c>
      <c r="D95" s="71"/>
      <c r="E95" s="71"/>
      <c r="F95" s="48" t="e">
        <f>PRODUCT(Table73[[#This Row],[1]:[25]])</f>
        <v>#VALUE!</v>
      </c>
      <c r="G95" s="50"/>
      <c r="H95" s="50"/>
      <c r="I95" s="50"/>
      <c r="J95" s="50"/>
      <c r="K95" s="50"/>
      <c r="L95" s="50"/>
      <c r="M95" s="50"/>
      <c r="N95" s="50"/>
      <c r="O95" s="50">
        <f>O$3</f>
        <v>0.20833333333333334</v>
      </c>
      <c r="P95" s="50"/>
      <c r="Q95" s="50"/>
      <c r="R95" s="50"/>
      <c r="S95" s="50"/>
      <c r="T95" s="50"/>
      <c r="U95" s="50"/>
      <c r="V95" s="50"/>
      <c r="W95" s="50">
        <f t="shared" si="11"/>
        <v>3.6272878535773712E-2</v>
      </c>
      <c r="X95" s="50"/>
      <c r="Y95" s="50"/>
      <c r="Z95" s="50"/>
      <c r="AA95" s="50"/>
      <c r="AB95" s="51"/>
      <c r="AC95" s="51"/>
      <c r="AD95" s="51"/>
      <c r="AE95" s="50"/>
      <c r="AF95" s="74"/>
      <c r="AG95" s="74"/>
      <c r="AH95" s="74"/>
      <c r="AI95" s="74"/>
      <c r="AJ95" s="74"/>
      <c r="AK95" s="74"/>
    </row>
    <row r="96" spans="1:47" x14ac:dyDescent="0.3">
      <c r="A96" s="46" t="s">
        <v>27</v>
      </c>
      <c r="B96" s="46" t="s">
        <v>22</v>
      </c>
      <c r="C96" s="46" t="s">
        <v>9</v>
      </c>
      <c r="D96" s="71"/>
      <c r="E96" s="71"/>
      <c r="F96" s="48" t="e">
        <f>PRODUCT(Table73[[#This Row],[1]:[25]])</f>
        <v>#VALUE!</v>
      </c>
      <c r="G96" s="50"/>
      <c r="H96" s="50"/>
      <c r="I96" s="50"/>
      <c r="J96" s="50"/>
      <c r="K96" s="50"/>
      <c r="L96" s="50"/>
      <c r="M96" s="50"/>
      <c r="N96" s="50"/>
      <c r="O96" s="50">
        <f>O$3</f>
        <v>0.20833333333333334</v>
      </c>
      <c r="P96" s="50"/>
      <c r="Q96" s="50"/>
      <c r="R96" s="50"/>
      <c r="S96" s="50"/>
      <c r="T96" s="50"/>
      <c r="U96" s="50"/>
      <c r="V96" s="50"/>
      <c r="W96" s="50">
        <f t="shared" si="11"/>
        <v>3.6272878535773712E-2</v>
      </c>
      <c r="X96" s="50"/>
      <c r="Y96" s="50"/>
      <c r="Z96" s="50"/>
      <c r="AA96" s="50"/>
      <c r="AB96" s="51"/>
      <c r="AC96" s="51"/>
      <c r="AD96" s="51"/>
      <c r="AE96" s="50"/>
      <c r="AF96" s="74"/>
      <c r="AG96" s="74"/>
      <c r="AH96" s="74"/>
      <c r="AI96" s="74"/>
      <c r="AJ96" s="74"/>
      <c r="AK96" s="74"/>
    </row>
    <row r="97" spans="1:37" x14ac:dyDescent="0.3">
      <c r="A97" s="46" t="s">
        <v>27</v>
      </c>
      <c r="B97" s="46" t="s">
        <v>5</v>
      </c>
      <c r="C97" s="46" t="s">
        <v>9</v>
      </c>
      <c r="D97" s="71"/>
      <c r="E97" s="71"/>
      <c r="F97" s="48" t="e">
        <f>PRODUCT(Table73[[#This Row],[1]:[25]])</f>
        <v>#VALUE!</v>
      </c>
      <c r="G97" s="50"/>
      <c r="H97" s="50"/>
      <c r="I97" s="50"/>
      <c r="J97" s="50"/>
      <c r="K97" s="50"/>
      <c r="L97" s="50"/>
      <c r="M97" s="50"/>
      <c r="N97" s="50"/>
      <c r="O97" s="50">
        <f>O$3</f>
        <v>0.20833333333333334</v>
      </c>
      <c r="P97" s="50"/>
      <c r="Q97" s="50"/>
      <c r="R97" s="50"/>
      <c r="S97" s="50"/>
      <c r="T97" s="50"/>
      <c r="U97" s="50"/>
      <c r="V97" s="50"/>
      <c r="W97" s="50">
        <f t="shared" si="11"/>
        <v>3.6272878535773712E-2</v>
      </c>
      <c r="X97" s="50"/>
      <c r="Y97" s="50"/>
      <c r="Z97" s="50"/>
      <c r="AA97" s="50"/>
      <c r="AB97" s="51"/>
      <c r="AC97" s="51"/>
      <c r="AD97" s="51"/>
      <c r="AE97" s="50"/>
      <c r="AF97" s="74"/>
      <c r="AG97" s="74"/>
      <c r="AH97" s="74"/>
      <c r="AI97" s="74"/>
      <c r="AJ97" s="74"/>
      <c r="AK97" s="74"/>
    </row>
    <row r="98" spans="1:37" x14ac:dyDescent="0.3">
      <c r="A98" s="46" t="s">
        <v>27</v>
      </c>
      <c r="B98" s="46" t="s">
        <v>7</v>
      </c>
      <c r="C98" s="46" t="s">
        <v>9</v>
      </c>
      <c r="D98" s="71"/>
      <c r="E98" s="71"/>
      <c r="F98" s="48" t="e">
        <f>PRODUCT(Table73[[#This Row],[1]:[25]])</f>
        <v>#VALUE!</v>
      </c>
      <c r="G98" s="50"/>
      <c r="H98" s="50"/>
      <c r="I98" s="50"/>
      <c r="J98" s="50"/>
      <c r="K98" s="50"/>
      <c r="L98" s="50"/>
      <c r="M98" s="50"/>
      <c r="N98" s="50"/>
      <c r="O98" s="50">
        <f t="shared" ref="O98:O116" si="12">O$3</f>
        <v>0.20833333333333334</v>
      </c>
      <c r="P98" s="50"/>
      <c r="Q98" s="50"/>
      <c r="R98" s="50"/>
      <c r="S98" s="50"/>
      <c r="T98" s="50"/>
      <c r="U98" s="50"/>
      <c r="V98" s="50"/>
      <c r="W98" s="50">
        <f t="shared" si="11"/>
        <v>3.6272878535773712E-2</v>
      </c>
      <c r="X98" s="50"/>
      <c r="Y98" s="50"/>
      <c r="Z98" s="50"/>
      <c r="AA98" s="50"/>
      <c r="AB98" s="51"/>
      <c r="AC98" s="51"/>
      <c r="AD98" s="51"/>
      <c r="AE98" s="50"/>
      <c r="AF98" s="74"/>
      <c r="AG98" s="74"/>
      <c r="AH98" s="74"/>
      <c r="AI98" s="74"/>
      <c r="AJ98" s="74"/>
      <c r="AK98" s="74"/>
    </row>
    <row r="99" spans="1:37" x14ac:dyDescent="0.3">
      <c r="A99" s="46" t="s">
        <v>27</v>
      </c>
      <c r="B99" s="46" t="s">
        <v>19</v>
      </c>
      <c r="C99" s="46" t="s">
        <v>27</v>
      </c>
      <c r="D99" s="71"/>
      <c r="E99" s="71"/>
      <c r="F99" s="48" t="e">
        <f>PRODUCT(Table73[[#This Row],[1]:[25]])</f>
        <v>#VALUE!</v>
      </c>
      <c r="G99" s="50"/>
      <c r="H99" s="50"/>
      <c r="I99" s="50"/>
      <c r="J99" s="50"/>
      <c r="K99" s="50"/>
      <c r="L99" s="50"/>
      <c r="M99" s="50"/>
      <c r="N99" s="50"/>
      <c r="O99" s="50">
        <f t="shared" si="12"/>
        <v>0.20833333333333334</v>
      </c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1"/>
      <c r="AC99" s="51"/>
      <c r="AD99" s="51"/>
      <c r="AE99" s="50"/>
      <c r="AF99" s="74"/>
      <c r="AG99" s="74"/>
      <c r="AH99" s="74"/>
      <c r="AI99" s="74"/>
      <c r="AJ99" s="74"/>
      <c r="AK99" s="74"/>
    </row>
    <row r="100" spans="1:37" x14ac:dyDescent="0.3">
      <c r="A100" s="46" t="s">
        <v>27</v>
      </c>
      <c r="B100" s="46" t="s">
        <v>21</v>
      </c>
      <c r="C100" s="46" t="s">
        <v>27</v>
      </c>
      <c r="D100" s="71"/>
      <c r="E100" s="71"/>
      <c r="F100" s="48" t="e">
        <f>PRODUCT(Table73[[#This Row],[1]:[25]])</f>
        <v>#VALUE!</v>
      </c>
      <c r="G100" s="50"/>
      <c r="H100" s="50"/>
      <c r="I100" s="50"/>
      <c r="J100" s="50"/>
      <c r="K100" s="50"/>
      <c r="L100" s="50"/>
      <c r="M100" s="50"/>
      <c r="N100" s="50"/>
      <c r="O100" s="50">
        <f t="shared" si="12"/>
        <v>0.20833333333333334</v>
      </c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1"/>
      <c r="AC100" s="51"/>
      <c r="AD100" s="51"/>
      <c r="AE100" s="50"/>
      <c r="AF100" s="74"/>
      <c r="AG100" s="74"/>
      <c r="AH100" s="74"/>
      <c r="AI100" s="74"/>
      <c r="AJ100" s="74"/>
      <c r="AK100" s="74"/>
    </row>
    <row r="101" spans="1:37" x14ac:dyDescent="0.3">
      <c r="A101" s="46" t="s">
        <v>27</v>
      </c>
      <c r="B101" s="46" t="s">
        <v>20</v>
      </c>
      <c r="C101" s="46" t="s">
        <v>27</v>
      </c>
      <c r="D101" s="71"/>
      <c r="E101" s="71"/>
      <c r="F101" s="48" t="e">
        <f>PRODUCT(Table73[[#This Row],[1]:[25]])</f>
        <v>#VALUE!</v>
      </c>
      <c r="G101" s="50"/>
      <c r="H101" s="50"/>
      <c r="I101" s="50"/>
      <c r="J101" s="50"/>
      <c r="K101" s="50"/>
      <c r="L101" s="50"/>
      <c r="M101" s="50"/>
      <c r="N101" s="50"/>
      <c r="O101" s="50">
        <f t="shared" si="12"/>
        <v>0.20833333333333334</v>
      </c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1"/>
      <c r="AC101" s="51"/>
      <c r="AD101" s="51"/>
      <c r="AE101" s="50"/>
      <c r="AF101" s="74"/>
      <c r="AG101" s="74"/>
      <c r="AH101" s="74"/>
      <c r="AI101" s="74"/>
      <c r="AJ101" s="74"/>
      <c r="AK101" s="74"/>
    </row>
    <row r="102" spans="1:37" x14ac:dyDescent="0.3">
      <c r="A102" s="46" t="s">
        <v>27</v>
      </c>
      <c r="B102" s="46" t="s">
        <v>22</v>
      </c>
      <c r="C102" s="46" t="s">
        <v>27</v>
      </c>
      <c r="D102" s="71"/>
      <c r="E102" s="71"/>
      <c r="F102" s="48" t="e">
        <f>PRODUCT(Table73[[#This Row],[1]:[25]])</f>
        <v>#VALUE!</v>
      </c>
      <c r="G102" s="50"/>
      <c r="H102" s="50"/>
      <c r="I102" s="50"/>
      <c r="J102" s="50"/>
      <c r="K102" s="50"/>
      <c r="L102" s="50"/>
      <c r="M102" s="50"/>
      <c r="N102" s="50"/>
      <c r="O102" s="50">
        <f t="shared" si="12"/>
        <v>0.20833333333333334</v>
      </c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1"/>
      <c r="AC102" s="51"/>
      <c r="AD102" s="51"/>
      <c r="AE102" s="50"/>
      <c r="AF102" s="74"/>
      <c r="AG102" s="74"/>
      <c r="AH102" s="74"/>
      <c r="AI102" s="74"/>
      <c r="AJ102" s="74"/>
      <c r="AK102" s="74"/>
    </row>
    <row r="103" spans="1:37" x14ac:dyDescent="0.3">
      <c r="A103" s="46" t="s">
        <v>27</v>
      </c>
      <c r="B103" s="46" t="s">
        <v>5</v>
      </c>
      <c r="C103" s="46" t="s">
        <v>27</v>
      </c>
      <c r="D103" s="71"/>
      <c r="E103" s="71"/>
      <c r="F103" s="48" t="e">
        <f>PRODUCT(Table73[[#This Row],[1]:[25]])</f>
        <v>#VALUE!</v>
      </c>
      <c r="G103" s="50"/>
      <c r="H103" s="50"/>
      <c r="I103" s="50"/>
      <c r="J103" s="50"/>
      <c r="K103" s="50"/>
      <c r="L103" s="50"/>
      <c r="M103" s="50"/>
      <c r="N103" s="50"/>
      <c r="O103" s="50">
        <f t="shared" si="12"/>
        <v>0.20833333333333334</v>
      </c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1"/>
      <c r="AC103" s="51"/>
      <c r="AD103" s="51"/>
      <c r="AE103" s="50"/>
      <c r="AF103" s="74"/>
      <c r="AG103" s="74"/>
      <c r="AH103" s="74"/>
      <c r="AI103" s="74"/>
      <c r="AJ103" s="74"/>
      <c r="AK103" s="74"/>
    </row>
    <row r="104" spans="1:37" x14ac:dyDescent="0.3">
      <c r="A104" s="46" t="s">
        <v>27</v>
      </c>
      <c r="B104" s="46" t="s">
        <v>7</v>
      </c>
      <c r="C104" s="46" t="s">
        <v>27</v>
      </c>
      <c r="D104" s="71"/>
      <c r="E104" s="71"/>
      <c r="F104" s="48" t="e">
        <f>PRODUCT(Table73[[#This Row],[1]:[25]])</f>
        <v>#VALUE!</v>
      </c>
      <c r="G104" s="50"/>
      <c r="H104" s="50"/>
      <c r="I104" s="50"/>
      <c r="J104" s="50"/>
      <c r="K104" s="50"/>
      <c r="L104" s="50"/>
      <c r="M104" s="50"/>
      <c r="N104" s="50"/>
      <c r="O104" s="50">
        <f t="shared" si="12"/>
        <v>0.20833333333333334</v>
      </c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1"/>
      <c r="AC104" s="51"/>
      <c r="AD104" s="51"/>
      <c r="AE104" s="50"/>
      <c r="AF104" s="74"/>
      <c r="AG104" s="74"/>
      <c r="AH104" s="74"/>
      <c r="AI104" s="74"/>
      <c r="AJ104" s="74"/>
      <c r="AK104" s="74"/>
    </row>
    <row r="105" spans="1:37" x14ac:dyDescent="0.3">
      <c r="A105" s="46" t="s">
        <v>10</v>
      </c>
      <c r="B105" s="46" t="s">
        <v>19</v>
      </c>
      <c r="C105" s="46" t="s">
        <v>9</v>
      </c>
      <c r="D105" s="71"/>
      <c r="E105" s="71"/>
      <c r="F105" s="48" t="e">
        <f>PRODUCT(Table73[[#This Row],[1]:[25]])</f>
        <v>#VALUE!</v>
      </c>
      <c r="G105" s="50"/>
      <c r="H105" s="50"/>
      <c r="I105" s="50"/>
      <c r="J105" s="50"/>
      <c r="K105" s="50"/>
      <c r="L105" s="50"/>
      <c r="M105" s="50"/>
      <c r="N105" s="50"/>
      <c r="O105" s="50"/>
      <c r="P105" s="50">
        <f t="shared" ref="P105:P110" si="13">P$3</f>
        <v>0.20833333333333334</v>
      </c>
      <c r="Q105" s="50"/>
      <c r="R105" s="50"/>
      <c r="S105" s="50"/>
      <c r="T105" s="50"/>
      <c r="U105" s="50"/>
      <c r="V105" s="50"/>
      <c r="W105" s="50"/>
      <c r="X105" s="50"/>
      <c r="Y105" s="50"/>
      <c r="Z105" s="50">
        <f t="shared" ref="Z105:Z110" si="14">Z$3</f>
        <v>-0.69452054794520546</v>
      </c>
      <c r="AA105" s="50"/>
      <c r="AB105" s="51"/>
      <c r="AC105" s="51"/>
      <c r="AD105" s="51"/>
      <c r="AE105" s="50"/>
      <c r="AF105" s="74"/>
      <c r="AG105" s="74"/>
      <c r="AH105" s="74"/>
      <c r="AI105" s="74"/>
      <c r="AJ105" s="74"/>
      <c r="AK105" s="74"/>
    </row>
    <row r="106" spans="1:37" x14ac:dyDescent="0.3">
      <c r="A106" s="46" t="s">
        <v>10</v>
      </c>
      <c r="B106" s="46" t="s">
        <v>21</v>
      </c>
      <c r="C106" s="46" t="s">
        <v>9</v>
      </c>
      <c r="D106" s="71"/>
      <c r="E106" s="71"/>
      <c r="F106" s="48" t="e">
        <f>PRODUCT(Table73[[#This Row],[1]:[25]])</f>
        <v>#VALUE!</v>
      </c>
      <c r="G106" s="50"/>
      <c r="H106" s="50"/>
      <c r="I106" s="50"/>
      <c r="J106" s="50"/>
      <c r="K106" s="50"/>
      <c r="L106" s="50"/>
      <c r="M106" s="50"/>
      <c r="N106" s="50"/>
      <c r="O106" s="50"/>
      <c r="P106" s="50">
        <f t="shared" si="13"/>
        <v>0.20833333333333334</v>
      </c>
      <c r="Q106" s="50"/>
      <c r="R106" s="50"/>
      <c r="S106" s="50"/>
      <c r="T106" s="50"/>
      <c r="U106" s="50"/>
      <c r="V106" s="50"/>
      <c r="W106" s="50"/>
      <c r="X106" s="50"/>
      <c r="Y106" s="50"/>
      <c r="Z106" s="50">
        <f t="shared" si="14"/>
        <v>-0.69452054794520546</v>
      </c>
      <c r="AA106" s="50"/>
      <c r="AB106" s="51"/>
      <c r="AC106" s="51"/>
      <c r="AD106" s="51"/>
      <c r="AE106" s="50"/>
      <c r="AF106" s="74"/>
      <c r="AG106" s="74"/>
      <c r="AH106" s="74"/>
      <c r="AI106" s="74"/>
      <c r="AJ106" s="74"/>
      <c r="AK106" s="74"/>
    </row>
    <row r="107" spans="1:37" x14ac:dyDescent="0.3">
      <c r="A107" s="46" t="s">
        <v>10</v>
      </c>
      <c r="B107" s="46" t="s">
        <v>20</v>
      </c>
      <c r="C107" s="46" t="s">
        <v>9</v>
      </c>
      <c r="D107" s="71"/>
      <c r="E107" s="71"/>
      <c r="F107" s="48" t="e">
        <f>PRODUCT(Table73[[#This Row],[1]:[25]])</f>
        <v>#VALUE!</v>
      </c>
      <c r="G107" s="50"/>
      <c r="H107" s="50"/>
      <c r="I107" s="50"/>
      <c r="J107" s="50"/>
      <c r="K107" s="50"/>
      <c r="L107" s="50"/>
      <c r="M107" s="50"/>
      <c r="N107" s="50"/>
      <c r="O107" s="50"/>
      <c r="P107" s="50">
        <f t="shared" si="13"/>
        <v>0.20833333333333334</v>
      </c>
      <c r="Q107" s="50"/>
      <c r="R107" s="50"/>
      <c r="S107" s="50"/>
      <c r="T107" s="50"/>
      <c r="U107" s="50"/>
      <c r="V107" s="50"/>
      <c r="W107" s="50"/>
      <c r="X107" s="50"/>
      <c r="Y107" s="50"/>
      <c r="Z107" s="50">
        <f t="shared" si="14"/>
        <v>-0.69452054794520546</v>
      </c>
      <c r="AA107" s="50"/>
      <c r="AB107" s="51"/>
      <c r="AC107" s="51"/>
      <c r="AD107" s="51"/>
      <c r="AE107" s="50"/>
      <c r="AF107" s="74"/>
      <c r="AG107" s="74"/>
      <c r="AH107" s="74"/>
      <c r="AI107" s="74"/>
      <c r="AJ107" s="74"/>
      <c r="AK107" s="74"/>
    </row>
    <row r="108" spans="1:37" x14ac:dyDescent="0.3">
      <c r="A108" s="46" t="s">
        <v>10</v>
      </c>
      <c r="B108" s="46" t="s">
        <v>22</v>
      </c>
      <c r="C108" s="46" t="s">
        <v>9</v>
      </c>
      <c r="D108" s="71"/>
      <c r="E108" s="71"/>
      <c r="F108" s="48" t="e">
        <f>PRODUCT(Table73[[#This Row],[1]:[25]])</f>
        <v>#VALUE!</v>
      </c>
      <c r="G108" s="50"/>
      <c r="H108" s="50"/>
      <c r="I108" s="50"/>
      <c r="J108" s="50"/>
      <c r="K108" s="50"/>
      <c r="L108" s="50"/>
      <c r="M108" s="50"/>
      <c r="N108" s="50"/>
      <c r="O108" s="50"/>
      <c r="P108" s="50">
        <f t="shared" si="13"/>
        <v>0.20833333333333334</v>
      </c>
      <c r="Q108" s="50"/>
      <c r="R108" s="50"/>
      <c r="S108" s="50"/>
      <c r="T108" s="50"/>
      <c r="U108" s="50"/>
      <c r="V108" s="50"/>
      <c r="W108" s="50"/>
      <c r="X108" s="50"/>
      <c r="Y108" s="50"/>
      <c r="Z108" s="50">
        <f t="shared" si="14"/>
        <v>-0.69452054794520546</v>
      </c>
      <c r="AA108" s="50"/>
      <c r="AB108" s="51"/>
      <c r="AC108" s="51"/>
      <c r="AD108" s="51"/>
      <c r="AE108" s="50"/>
      <c r="AF108" s="74"/>
      <c r="AG108" s="74"/>
      <c r="AH108" s="74"/>
      <c r="AI108" s="74"/>
      <c r="AJ108" s="74"/>
      <c r="AK108" s="74"/>
    </row>
    <row r="109" spans="1:37" x14ac:dyDescent="0.3">
      <c r="A109" s="46" t="s">
        <v>10</v>
      </c>
      <c r="B109" s="46" t="s">
        <v>5</v>
      </c>
      <c r="C109" s="46" t="s">
        <v>9</v>
      </c>
      <c r="D109" s="71"/>
      <c r="E109" s="71"/>
      <c r="F109" s="48" t="e">
        <f>PRODUCT(Table73[[#This Row],[1]:[25]])</f>
        <v>#VALUE!</v>
      </c>
      <c r="G109" s="50"/>
      <c r="H109" s="50"/>
      <c r="I109" s="50"/>
      <c r="J109" s="50"/>
      <c r="K109" s="50"/>
      <c r="L109" s="50"/>
      <c r="M109" s="50"/>
      <c r="N109" s="50"/>
      <c r="O109" s="50"/>
      <c r="P109" s="50">
        <f t="shared" si="13"/>
        <v>0.20833333333333334</v>
      </c>
      <c r="Q109" s="50"/>
      <c r="R109" s="50"/>
      <c r="S109" s="50"/>
      <c r="T109" s="50"/>
      <c r="U109" s="50"/>
      <c r="V109" s="50"/>
      <c r="W109" s="50"/>
      <c r="X109" s="50"/>
      <c r="Y109" s="50"/>
      <c r="Z109" s="50">
        <f t="shared" si="14"/>
        <v>-0.69452054794520546</v>
      </c>
      <c r="AA109" s="50"/>
      <c r="AB109" s="51"/>
      <c r="AC109" s="51"/>
      <c r="AD109" s="51"/>
      <c r="AE109" s="50"/>
      <c r="AF109" s="74"/>
      <c r="AG109" s="74"/>
      <c r="AH109" s="74"/>
      <c r="AI109" s="74"/>
      <c r="AJ109" s="74"/>
      <c r="AK109" s="74"/>
    </row>
    <row r="110" spans="1:37" x14ac:dyDescent="0.3">
      <c r="A110" s="46" t="s">
        <v>10</v>
      </c>
      <c r="B110" s="46" t="s">
        <v>7</v>
      </c>
      <c r="C110" s="46" t="s">
        <v>9</v>
      </c>
      <c r="D110" s="71"/>
      <c r="E110" s="71"/>
      <c r="F110" s="48" t="e">
        <f>PRODUCT(Table73[[#This Row],[1]:[25]])</f>
        <v>#VALUE!</v>
      </c>
      <c r="G110" s="50"/>
      <c r="H110" s="50"/>
      <c r="I110" s="50"/>
      <c r="J110" s="50"/>
      <c r="K110" s="50"/>
      <c r="L110" s="50"/>
      <c r="M110" s="50"/>
      <c r="N110" s="50"/>
      <c r="O110" s="50"/>
      <c r="P110" s="50">
        <f t="shared" si="13"/>
        <v>0.20833333333333334</v>
      </c>
      <c r="Q110" s="50"/>
      <c r="R110" s="50"/>
      <c r="S110" s="50"/>
      <c r="T110" s="50"/>
      <c r="U110" s="50"/>
      <c r="V110" s="50"/>
      <c r="W110" s="50"/>
      <c r="X110" s="50"/>
      <c r="Y110" s="50"/>
      <c r="Z110" s="50">
        <f t="shared" si="14"/>
        <v>-0.69452054794520546</v>
      </c>
      <c r="AA110" s="50"/>
      <c r="AB110" s="51"/>
      <c r="AC110" s="51"/>
      <c r="AD110" s="51"/>
      <c r="AE110" s="50"/>
      <c r="AF110" s="74"/>
      <c r="AG110" s="74"/>
      <c r="AH110" s="74"/>
      <c r="AI110" s="74"/>
      <c r="AJ110" s="74"/>
      <c r="AK110" s="74"/>
    </row>
    <row r="111" spans="1:37" x14ac:dyDescent="0.3">
      <c r="A111" s="46" t="s">
        <v>10</v>
      </c>
      <c r="B111" s="46" t="s">
        <v>19</v>
      </c>
      <c r="C111" s="46" t="s">
        <v>27</v>
      </c>
      <c r="D111" s="71"/>
      <c r="E111" s="71"/>
      <c r="F111" s="48" t="e">
        <f>PRODUCT(Table73[[#This Row],[1]:[25]])</f>
        <v>#VALUE!</v>
      </c>
      <c r="G111" s="50"/>
      <c r="H111" s="50"/>
      <c r="I111" s="50"/>
      <c r="J111" s="50"/>
      <c r="K111" s="50"/>
      <c r="L111" s="50"/>
      <c r="M111" s="50"/>
      <c r="N111" s="50"/>
      <c r="O111" s="50">
        <f t="shared" si="12"/>
        <v>0.20833333333333334</v>
      </c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1"/>
      <c r="AC111" s="51"/>
      <c r="AD111" s="51"/>
      <c r="AE111" s="50"/>
      <c r="AF111" s="74"/>
      <c r="AG111" s="74"/>
      <c r="AH111" s="74"/>
      <c r="AI111" s="74"/>
      <c r="AJ111" s="74"/>
      <c r="AK111" s="74"/>
    </row>
    <row r="112" spans="1:37" x14ac:dyDescent="0.3">
      <c r="A112" s="46" t="s">
        <v>10</v>
      </c>
      <c r="B112" s="46" t="s">
        <v>21</v>
      </c>
      <c r="C112" s="46" t="s">
        <v>27</v>
      </c>
      <c r="D112" s="71"/>
      <c r="E112" s="71"/>
      <c r="F112" s="48" t="e">
        <f>PRODUCT(Table73[[#This Row],[1]:[25]])</f>
        <v>#VALUE!</v>
      </c>
      <c r="G112" s="50"/>
      <c r="H112" s="50"/>
      <c r="I112" s="50"/>
      <c r="J112" s="50"/>
      <c r="K112" s="50"/>
      <c r="L112" s="50"/>
      <c r="M112" s="50"/>
      <c r="N112" s="50"/>
      <c r="O112" s="50">
        <f t="shared" si="12"/>
        <v>0.20833333333333334</v>
      </c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1"/>
      <c r="AC112" s="51"/>
      <c r="AD112" s="51"/>
      <c r="AE112" s="50"/>
      <c r="AF112" s="74"/>
      <c r="AG112" s="74"/>
      <c r="AH112" s="74"/>
      <c r="AI112" s="74"/>
      <c r="AJ112" s="74"/>
      <c r="AK112" s="74"/>
    </row>
    <row r="113" spans="1:37" x14ac:dyDescent="0.3">
      <c r="A113" s="46" t="s">
        <v>10</v>
      </c>
      <c r="B113" s="46" t="s">
        <v>20</v>
      </c>
      <c r="C113" s="46" t="s">
        <v>27</v>
      </c>
      <c r="D113" s="71"/>
      <c r="E113" s="71"/>
      <c r="F113" s="48" t="e">
        <f>PRODUCT(Table73[[#This Row],[1]:[25]])</f>
        <v>#VALUE!</v>
      </c>
      <c r="G113" s="50"/>
      <c r="H113" s="50"/>
      <c r="I113" s="50"/>
      <c r="J113" s="50"/>
      <c r="K113" s="50"/>
      <c r="L113" s="50"/>
      <c r="M113" s="50"/>
      <c r="N113" s="50"/>
      <c r="O113" s="50">
        <f t="shared" si="12"/>
        <v>0.20833333333333334</v>
      </c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1"/>
      <c r="AC113" s="51"/>
      <c r="AD113" s="51"/>
      <c r="AE113" s="50"/>
      <c r="AF113" s="74"/>
      <c r="AG113" s="74"/>
      <c r="AH113" s="74"/>
      <c r="AI113" s="74"/>
      <c r="AJ113" s="74"/>
      <c r="AK113" s="74"/>
    </row>
    <row r="114" spans="1:37" x14ac:dyDescent="0.3">
      <c r="A114" s="46" t="s">
        <v>10</v>
      </c>
      <c r="B114" s="46" t="s">
        <v>22</v>
      </c>
      <c r="C114" s="46" t="s">
        <v>27</v>
      </c>
      <c r="D114" s="71"/>
      <c r="E114" s="71"/>
      <c r="F114" s="48" t="e">
        <f>PRODUCT(Table73[[#This Row],[1]:[25]])</f>
        <v>#VALUE!</v>
      </c>
      <c r="G114" s="50"/>
      <c r="H114" s="50"/>
      <c r="I114" s="50"/>
      <c r="J114" s="50"/>
      <c r="K114" s="50"/>
      <c r="L114" s="50"/>
      <c r="M114" s="50"/>
      <c r="N114" s="50"/>
      <c r="O114" s="50">
        <f t="shared" si="12"/>
        <v>0.20833333333333334</v>
      </c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1"/>
      <c r="AC114" s="51"/>
      <c r="AD114" s="51"/>
      <c r="AE114" s="50"/>
      <c r="AF114" s="74"/>
      <c r="AG114" s="74"/>
      <c r="AH114" s="74"/>
      <c r="AI114" s="74"/>
      <c r="AJ114" s="74"/>
      <c r="AK114" s="74"/>
    </row>
    <row r="115" spans="1:37" x14ac:dyDescent="0.3">
      <c r="A115" s="46" t="s">
        <v>10</v>
      </c>
      <c r="B115" s="46" t="s">
        <v>5</v>
      </c>
      <c r="C115" s="46" t="s">
        <v>27</v>
      </c>
      <c r="D115" s="71"/>
      <c r="E115" s="71"/>
      <c r="F115" s="48" t="e">
        <f>PRODUCT(Table73[[#This Row],[1]:[25]])</f>
        <v>#VALUE!</v>
      </c>
      <c r="G115" s="50"/>
      <c r="H115" s="50"/>
      <c r="I115" s="50"/>
      <c r="J115" s="50"/>
      <c r="K115" s="50"/>
      <c r="L115" s="50"/>
      <c r="M115" s="50"/>
      <c r="N115" s="50"/>
      <c r="O115" s="50">
        <f t="shared" si="12"/>
        <v>0.20833333333333334</v>
      </c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1"/>
      <c r="AC115" s="51"/>
      <c r="AD115" s="51"/>
      <c r="AE115" s="50"/>
      <c r="AF115" s="74"/>
      <c r="AG115" s="74"/>
      <c r="AH115" s="74"/>
      <c r="AI115" s="74"/>
      <c r="AJ115" s="74"/>
      <c r="AK115" s="74"/>
    </row>
    <row r="116" spans="1:37" x14ac:dyDescent="0.3">
      <c r="A116" s="46" t="s">
        <v>10</v>
      </c>
      <c r="B116" s="46" t="s">
        <v>7</v>
      </c>
      <c r="C116" s="46" t="s">
        <v>27</v>
      </c>
      <c r="D116" s="71"/>
      <c r="E116" s="71"/>
      <c r="F116" s="48" t="e">
        <f>PRODUCT(Table73[[#This Row],[1]:[25]])</f>
        <v>#VALUE!</v>
      </c>
      <c r="G116" s="50"/>
      <c r="H116" s="50"/>
      <c r="I116" s="50"/>
      <c r="J116" s="50"/>
      <c r="K116" s="50"/>
      <c r="L116" s="50"/>
      <c r="M116" s="50"/>
      <c r="N116" s="50"/>
      <c r="O116" s="50">
        <f t="shared" si="12"/>
        <v>0.20833333333333334</v>
      </c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1"/>
      <c r="AC116" s="51"/>
      <c r="AD116" s="51"/>
      <c r="AE116" s="50"/>
      <c r="AF116" s="74"/>
      <c r="AG116" s="74"/>
      <c r="AH116" s="74"/>
      <c r="AI116" s="74"/>
      <c r="AJ116" s="74"/>
      <c r="AK116" s="74"/>
    </row>
  </sheetData>
  <phoneticPr fontId="2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43"/>
  <sheetViews>
    <sheetView topLeftCell="B1" zoomScaleNormal="100" workbookViewId="0">
      <selection activeCell="S9" sqref="S9"/>
    </sheetView>
  </sheetViews>
  <sheetFormatPr defaultColWidth="8.875" defaultRowHeight="16.5" x14ac:dyDescent="0.3"/>
  <cols>
    <col min="1" max="1" width="17.5" style="32" customWidth="1"/>
    <col min="2" max="2" width="8.625" style="32" customWidth="1"/>
    <col min="3" max="3" width="7" style="32" customWidth="1"/>
    <col min="4" max="4" width="8.125" style="32" customWidth="1"/>
    <col min="5" max="6" width="8.125" style="59" customWidth="1"/>
    <col min="7" max="29" width="6.625" style="32" customWidth="1"/>
    <col min="30" max="30" width="8.875" style="32"/>
    <col min="31" max="31" width="8.875" style="59"/>
    <col min="32" max="16384" width="8.875" style="32"/>
  </cols>
  <sheetData>
    <row r="1" spans="1:31" s="33" customFormat="1" ht="18.75" x14ac:dyDescent="0.3">
      <c r="A1" s="64" t="s">
        <v>166</v>
      </c>
      <c r="B1" s="64"/>
      <c r="C1" s="64"/>
      <c r="D1" s="64"/>
      <c r="E1" s="64" t="s">
        <v>167</v>
      </c>
      <c r="F1" s="64" t="s">
        <v>168</v>
      </c>
      <c r="G1" s="64" t="s">
        <v>169</v>
      </c>
      <c r="H1" s="64"/>
    </row>
    <row r="2" spans="1:31" s="54" customFormat="1" ht="61.15" customHeight="1" x14ac:dyDescent="0.3">
      <c r="A2" s="89" t="s">
        <v>161</v>
      </c>
      <c r="B2" s="89" t="str">
        <f>Factors!B1</f>
        <v>SweFor name</v>
      </c>
      <c r="C2" s="89" t="str">
        <f>Factors!C1</f>
        <v>Unit</v>
      </c>
      <c r="D2" s="89" t="s">
        <v>172</v>
      </c>
      <c r="E2" s="89" t="s">
        <v>173</v>
      </c>
      <c r="F2" s="89" t="s">
        <v>174</v>
      </c>
      <c r="G2" s="54" t="str">
        <f t="array" ref="G2:AD2">TRANSPOSE(Processes!A2:A28)</f>
        <v>Sawmpi</v>
      </c>
      <c r="H2" s="54" t="str">
        <v>Sawmsp</v>
      </c>
      <c r="I2" s="54" t="str">
        <v>Sawmbe</v>
      </c>
      <c r="J2" s="54" t="str">
        <v>Sawmal</v>
      </c>
      <c r="K2" s="54" t="str">
        <v>Heatpl</v>
      </c>
      <c r="L2" s="54" t="str">
        <v>CHPpl_</v>
      </c>
      <c r="M2" s="54" t="str">
        <v>FTDpl_</v>
      </c>
      <c r="N2" s="54" t="str">
        <v>PuChem</v>
      </c>
      <c r="O2" s="54" t="str">
        <v>PuCTMP</v>
      </c>
      <c r="P2" s="54" t="str">
        <v>PuMech</v>
      </c>
      <c r="Q2" s="54" t="str">
        <v>PuDiss</v>
      </c>
      <c r="R2" s="54" t="str">
        <v>PaChem</v>
      </c>
      <c r="S2" s="54" t="str">
        <v>OtChem</v>
      </c>
      <c r="T2" s="54" t="str">
        <v>OtMech</v>
      </c>
      <c r="U2" s="54" t="str">
        <v>NwMech</v>
      </c>
      <c r="V2" s="54" t="str">
        <v>PuBCCS</v>
      </c>
      <c r="W2" s="54" t="str">
        <v>PaBCCS</v>
      </c>
      <c r="X2" s="54" t="str">
        <v>OtBCCS</v>
      </c>
      <c r="Y2" s="54" t="str">
        <v>TerFTD</v>
      </c>
      <c r="Z2" s="54" t="str">
        <v>TerTsp</v>
      </c>
      <c r="AA2" s="54" t="str">
        <v>TerTal</v>
      </c>
      <c r="AB2" s="54" t="str">
        <v>TerPsp</v>
      </c>
      <c r="AC2" s="54" t="str">
        <v>TerPal</v>
      </c>
      <c r="AD2" s="54" t="str">
        <v>TerHea</v>
      </c>
      <c r="AE2" s="54" t="s">
        <v>201</v>
      </c>
    </row>
    <row r="3" spans="1:31" s="35" customFormat="1" x14ac:dyDescent="0.3">
      <c r="A3" s="88" t="str">
        <f>Factors!A2</f>
        <v>Pine saw timber</v>
      </c>
      <c r="B3" s="86" t="str">
        <f>Factors!B2</f>
        <v>PinTim</v>
      </c>
      <c r="C3" s="86" t="str">
        <f>Factors!C2</f>
        <v>m3fub</v>
      </c>
      <c r="D3" s="86">
        <v>300</v>
      </c>
      <c r="E3" s="87">
        <f>36*ConvFact!$A$2</f>
        <v>16.560000000000002</v>
      </c>
      <c r="F3" s="87">
        <f>1.62*ConvFact!$A$2</f>
        <v>0.74520000000000008</v>
      </c>
      <c r="G3" s="90">
        <v>2</v>
      </c>
      <c r="H3" s="90">
        <v>0</v>
      </c>
      <c r="I3" s="90">
        <v>0</v>
      </c>
      <c r="J3" s="90">
        <v>2</v>
      </c>
      <c r="K3" s="90">
        <v>0</v>
      </c>
      <c r="L3" s="90">
        <v>0</v>
      </c>
      <c r="M3" s="90">
        <v>0</v>
      </c>
      <c r="N3" s="90">
        <v>2</v>
      </c>
      <c r="O3" s="90">
        <v>0</v>
      </c>
      <c r="P3" s="90">
        <v>0</v>
      </c>
      <c r="Q3" s="90">
        <v>2</v>
      </c>
      <c r="R3" s="90">
        <v>0</v>
      </c>
      <c r="S3" s="90">
        <v>0</v>
      </c>
      <c r="T3" s="90">
        <v>0</v>
      </c>
      <c r="U3" s="90">
        <v>0</v>
      </c>
      <c r="V3" s="90">
        <v>0</v>
      </c>
      <c r="W3" s="90">
        <v>0</v>
      </c>
      <c r="X3" s="90">
        <v>0</v>
      </c>
      <c r="Y3" s="90">
        <v>0</v>
      </c>
      <c r="Z3" s="90">
        <v>0</v>
      </c>
      <c r="AA3" s="90">
        <v>0</v>
      </c>
      <c r="AB3" s="90">
        <v>0</v>
      </c>
      <c r="AC3" s="90">
        <v>0</v>
      </c>
      <c r="AD3" s="90">
        <v>0</v>
      </c>
      <c r="AE3" s="90">
        <v>0</v>
      </c>
    </row>
    <row r="4" spans="1:31" s="35" customFormat="1" x14ac:dyDescent="0.3">
      <c r="A4" s="88" t="str">
        <f>Factors!A3</f>
        <v>Pine pulpwood</v>
      </c>
      <c r="B4" s="35" t="str">
        <f>Factors!B3</f>
        <v>PinPuw</v>
      </c>
      <c r="C4" s="63" t="str">
        <f>Factors!C3</f>
        <v>m3fub</v>
      </c>
      <c r="D4" s="63">
        <v>300</v>
      </c>
      <c r="E4" s="63">
        <f>36*ConvFact!$A$2</f>
        <v>16.560000000000002</v>
      </c>
      <c r="F4" s="87">
        <f>1.62*ConvFact!$A$2</f>
        <v>0.74520000000000008</v>
      </c>
      <c r="G4" s="90">
        <v>0</v>
      </c>
      <c r="H4" s="90">
        <v>0</v>
      </c>
      <c r="I4" s="90">
        <v>0</v>
      </c>
      <c r="J4" s="90">
        <v>0</v>
      </c>
      <c r="K4" s="90">
        <v>0</v>
      </c>
      <c r="L4" s="90">
        <v>0</v>
      </c>
      <c r="M4" s="90">
        <v>0</v>
      </c>
      <c r="N4" s="90">
        <v>2</v>
      </c>
      <c r="O4" s="90">
        <v>0</v>
      </c>
      <c r="P4" s="90">
        <v>0</v>
      </c>
      <c r="Q4" s="90">
        <v>2</v>
      </c>
      <c r="R4" s="90">
        <v>0</v>
      </c>
      <c r="S4" s="90">
        <v>0</v>
      </c>
      <c r="T4" s="90">
        <v>0</v>
      </c>
      <c r="U4" s="90">
        <v>0</v>
      </c>
      <c r="V4" s="90">
        <v>0</v>
      </c>
      <c r="W4" s="90">
        <v>0</v>
      </c>
      <c r="X4" s="90">
        <v>0</v>
      </c>
      <c r="Y4" s="90">
        <v>0</v>
      </c>
      <c r="Z4" s="90">
        <v>0</v>
      </c>
      <c r="AA4" s="90">
        <v>0</v>
      </c>
      <c r="AB4" s="90">
        <v>0</v>
      </c>
      <c r="AC4" s="90">
        <v>2</v>
      </c>
      <c r="AD4" s="90">
        <v>2</v>
      </c>
      <c r="AE4" s="90">
        <v>0</v>
      </c>
    </row>
    <row r="5" spans="1:31" s="35" customFormat="1" x14ac:dyDescent="0.3">
      <c r="A5" s="88" t="str">
        <f>Factors!A4</f>
        <v>Spruce saw timber</v>
      </c>
      <c r="B5" s="35" t="str">
        <f>Factors!B4</f>
        <v>SprTim</v>
      </c>
      <c r="C5" s="63" t="str">
        <f>Factors!C4</f>
        <v>m3fub</v>
      </c>
      <c r="D5" s="63">
        <v>300</v>
      </c>
      <c r="E5" s="63">
        <f>36*ConvFact!$A$2</f>
        <v>16.560000000000002</v>
      </c>
      <c r="F5" s="87">
        <f>1.62*ConvFact!$A$2</f>
        <v>0.74520000000000008</v>
      </c>
      <c r="G5" s="90">
        <v>0</v>
      </c>
      <c r="H5" s="90">
        <v>2</v>
      </c>
      <c r="I5" s="90">
        <v>0</v>
      </c>
      <c r="J5" s="90">
        <v>2</v>
      </c>
      <c r="K5" s="90">
        <v>0</v>
      </c>
      <c r="L5" s="90">
        <v>0</v>
      </c>
      <c r="M5" s="90">
        <v>0</v>
      </c>
      <c r="N5" s="90">
        <v>2</v>
      </c>
      <c r="O5" s="90">
        <v>2</v>
      </c>
      <c r="P5" s="90">
        <v>2</v>
      </c>
      <c r="Q5" s="90">
        <v>2</v>
      </c>
      <c r="R5" s="90">
        <v>0</v>
      </c>
      <c r="S5" s="90">
        <v>0</v>
      </c>
      <c r="T5" s="90">
        <v>0</v>
      </c>
      <c r="U5" s="90">
        <v>0</v>
      </c>
      <c r="V5" s="90">
        <v>0</v>
      </c>
      <c r="W5" s="90">
        <v>0</v>
      </c>
      <c r="X5" s="90">
        <v>0</v>
      </c>
      <c r="Y5" s="90">
        <v>0</v>
      </c>
      <c r="Z5" s="90">
        <v>0</v>
      </c>
      <c r="AA5" s="90">
        <v>0</v>
      </c>
      <c r="AB5" s="90">
        <v>0</v>
      </c>
      <c r="AC5" s="90">
        <v>0</v>
      </c>
      <c r="AD5" s="90">
        <v>0</v>
      </c>
      <c r="AE5" s="90">
        <v>0</v>
      </c>
    </row>
    <row r="6" spans="1:31" s="35" customFormat="1" x14ac:dyDescent="0.3">
      <c r="A6" s="88" t="str">
        <f>Factors!A5</f>
        <v>Spruce pulpwood</v>
      </c>
      <c r="B6" s="35" t="str">
        <f>Factors!B5</f>
        <v>SprPuw</v>
      </c>
      <c r="C6" s="63" t="str">
        <f>Factors!C5</f>
        <v>m3fub</v>
      </c>
      <c r="D6" s="63">
        <v>300</v>
      </c>
      <c r="E6" s="63">
        <f>36*ConvFact!$A$2</f>
        <v>16.560000000000002</v>
      </c>
      <c r="F6" s="87">
        <f>1.62*ConvFact!$A$2</f>
        <v>0.74520000000000008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2</v>
      </c>
      <c r="O6" s="90">
        <v>2</v>
      </c>
      <c r="P6" s="90">
        <v>2</v>
      </c>
      <c r="Q6" s="90">
        <v>2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X6" s="90">
        <v>0</v>
      </c>
      <c r="Y6" s="90">
        <v>0</v>
      </c>
      <c r="Z6" s="90">
        <v>0</v>
      </c>
      <c r="AA6" s="90">
        <v>0</v>
      </c>
      <c r="AB6" s="90">
        <v>0</v>
      </c>
      <c r="AC6" s="90">
        <v>2</v>
      </c>
      <c r="AD6" s="90">
        <v>2</v>
      </c>
      <c r="AE6" s="90">
        <v>0</v>
      </c>
    </row>
    <row r="7" spans="1:31" s="88" customFormat="1" x14ac:dyDescent="0.3">
      <c r="A7" s="88" t="str">
        <f>Factors!A6</f>
        <v>Birch saw timber</v>
      </c>
      <c r="B7" s="88" t="str">
        <f>Factors!B6</f>
        <v>BerTim</v>
      </c>
      <c r="C7" s="88" t="str">
        <f>Factors!C6</f>
        <v>m3fub</v>
      </c>
      <c r="D7" s="88">
        <v>301</v>
      </c>
      <c r="E7" s="88">
        <f>36*ConvFact!$A$2</f>
        <v>16.560000000000002</v>
      </c>
      <c r="F7" s="87">
        <f>1.62*ConvFact!$A$2</f>
        <v>0.74520000000000008</v>
      </c>
      <c r="G7" s="90">
        <v>0</v>
      </c>
      <c r="H7" s="90">
        <v>0</v>
      </c>
      <c r="I7" s="90">
        <v>0</v>
      </c>
      <c r="J7" s="90">
        <v>0</v>
      </c>
      <c r="K7" s="90">
        <v>0</v>
      </c>
      <c r="L7" s="90">
        <v>0</v>
      </c>
      <c r="M7" s="90">
        <v>0</v>
      </c>
      <c r="N7" s="90">
        <v>2</v>
      </c>
      <c r="O7" s="90">
        <v>0</v>
      </c>
      <c r="P7" s="90">
        <v>0</v>
      </c>
      <c r="Q7" s="90">
        <v>2</v>
      </c>
      <c r="R7" s="90">
        <v>0</v>
      </c>
      <c r="S7" s="90">
        <v>0</v>
      </c>
      <c r="T7" s="90">
        <v>0</v>
      </c>
      <c r="U7" s="90">
        <v>0</v>
      </c>
      <c r="V7" s="90">
        <v>0</v>
      </c>
      <c r="W7" s="90">
        <v>0</v>
      </c>
      <c r="X7" s="90">
        <v>0</v>
      </c>
      <c r="Y7" s="90">
        <v>0</v>
      </c>
      <c r="Z7" s="90">
        <v>0</v>
      </c>
      <c r="AA7" s="90">
        <v>0</v>
      </c>
      <c r="AB7" s="90">
        <v>0</v>
      </c>
      <c r="AC7" s="90">
        <v>0</v>
      </c>
      <c r="AD7" s="90">
        <v>0</v>
      </c>
      <c r="AE7" s="90">
        <v>0</v>
      </c>
    </row>
    <row r="8" spans="1:31" s="35" customFormat="1" x14ac:dyDescent="0.3">
      <c r="A8" s="88" t="str">
        <f>Factors!A7</f>
        <v>Deciduous pulpwood</v>
      </c>
      <c r="B8" s="35" t="str">
        <f>Factors!B7</f>
        <v>Decids</v>
      </c>
      <c r="C8" s="63" t="str">
        <f>Factors!C7</f>
        <v>m3fub</v>
      </c>
      <c r="D8" s="63">
        <v>300</v>
      </c>
      <c r="E8" s="63">
        <f>36*ConvFact!$A$2</f>
        <v>16.560000000000002</v>
      </c>
      <c r="F8" s="87">
        <f>1.62*ConvFact!$A$2</f>
        <v>0.74520000000000008</v>
      </c>
      <c r="G8" s="90">
        <v>0</v>
      </c>
      <c r="H8" s="90">
        <v>0</v>
      </c>
      <c r="I8" s="90">
        <v>0</v>
      </c>
      <c r="J8" s="90">
        <v>0</v>
      </c>
      <c r="K8" s="90">
        <v>0</v>
      </c>
      <c r="L8" s="90">
        <v>0</v>
      </c>
      <c r="M8" s="90">
        <v>0</v>
      </c>
      <c r="N8" s="90">
        <v>2</v>
      </c>
      <c r="O8" s="90">
        <v>0</v>
      </c>
      <c r="P8" s="90">
        <v>0</v>
      </c>
      <c r="Q8" s="90">
        <v>2</v>
      </c>
      <c r="R8" s="90">
        <v>0</v>
      </c>
      <c r="S8" s="90">
        <v>0</v>
      </c>
      <c r="T8" s="90">
        <v>0</v>
      </c>
      <c r="U8" s="90">
        <v>0</v>
      </c>
      <c r="V8" s="90">
        <v>0</v>
      </c>
      <c r="W8" s="90">
        <v>0</v>
      </c>
      <c r="X8" s="90">
        <v>0</v>
      </c>
      <c r="Y8" s="90">
        <v>0</v>
      </c>
      <c r="Z8" s="90">
        <v>0</v>
      </c>
      <c r="AA8" s="90">
        <v>0</v>
      </c>
      <c r="AB8" s="90">
        <v>0</v>
      </c>
      <c r="AC8" s="90">
        <v>2</v>
      </c>
      <c r="AD8" s="90">
        <v>2</v>
      </c>
      <c r="AE8" s="90">
        <v>0</v>
      </c>
    </row>
    <row r="9" spans="1:31" s="53" customFormat="1" x14ac:dyDescent="0.3">
      <c r="A9" s="88" t="str">
        <f>Factors!A8</f>
        <v>Sawdust</v>
      </c>
      <c r="B9" s="35" t="str">
        <f>Factors!B8</f>
        <v>Sawdst</v>
      </c>
      <c r="C9" s="63" t="str">
        <f>Factors!C8</f>
        <v>m3fub</v>
      </c>
      <c r="D9" s="63">
        <v>300</v>
      </c>
      <c r="E9" s="63">
        <f>36*ConvFact!$A$2</f>
        <v>16.560000000000002</v>
      </c>
      <c r="F9" s="87">
        <f>1.62*ConvFact!$A$2</f>
        <v>0.74520000000000008</v>
      </c>
      <c r="G9" s="90">
        <v>0</v>
      </c>
      <c r="H9" s="90">
        <v>0</v>
      </c>
      <c r="I9" s="90">
        <v>0</v>
      </c>
      <c r="J9" s="90">
        <v>0</v>
      </c>
      <c r="K9" s="90">
        <v>0</v>
      </c>
      <c r="L9" s="90">
        <v>0</v>
      </c>
      <c r="M9" s="90">
        <v>0</v>
      </c>
      <c r="N9" s="90">
        <v>0</v>
      </c>
      <c r="O9" s="90">
        <v>0</v>
      </c>
      <c r="P9" s="90">
        <v>0</v>
      </c>
      <c r="Q9" s="90">
        <v>0</v>
      </c>
      <c r="R9" s="90">
        <v>0</v>
      </c>
      <c r="S9" s="90">
        <v>0</v>
      </c>
      <c r="T9" s="90">
        <v>0</v>
      </c>
      <c r="U9" s="90">
        <v>0</v>
      </c>
      <c r="V9" s="90">
        <v>0</v>
      </c>
      <c r="W9" s="90">
        <v>0</v>
      </c>
      <c r="X9" s="90">
        <v>0</v>
      </c>
      <c r="Y9" s="90">
        <v>0</v>
      </c>
      <c r="Z9" s="90">
        <v>0</v>
      </c>
      <c r="AA9" s="90">
        <v>0</v>
      </c>
      <c r="AB9" s="90">
        <v>0</v>
      </c>
      <c r="AC9" s="90">
        <v>0</v>
      </c>
      <c r="AD9" s="90">
        <v>30</v>
      </c>
      <c r="AE9" s="90">
        <v>2</v>
      </c>
    </row>
    <row r="10" spans="1:31" s="53" customFormat="1" x14ac:dyDescent="0.3">
      <c r="A10" s="88" t="str">
        <f>Factors!A9</f>
        <v>Chips</v>
      </c>
      <c r="B10" s="35" t="str">
        <f>Factors!B9</f>
        <v>Chips_</v>
      </c>
      <c r="C10" s="63" t="str">
        <f>Factors!C9</f>
        <v>m3fub</v>
      </c>
      <c r="D10" s="63">
        <v>300</v>
      </c>
      <c r="E10" s="63">
        <f>36*ConvFact!$A$2</f>
        <v>16.560000000000002</v>
      </c>
      <c r="F10" s="87">
        <f>1.62*ConvFact!$A$2</f>
        <v>0.74520000000000008</v>
      </c>
      <c r="G10" s="90">
        <v>0</v>
      </c>
      <c r="H10" s="90">
        <v>0</v>
      </c>
      <c r="I10" s="90">
        <v>0</v>
      </c>
      <c r="J10" s="90">
        <v>0</v>
      </c>
      <c r="K10" s="90">
        <v>0</v>
      </c>
      <c r="L10" s="90">
        <v>0</v>
      </c>
      <c r="M10" s="90">
        <v>0</v>
      </c>
      <c r="N10" s="90">
        <v>2</v>
      </c>
      <c r="O10" s="90">
        <v>0</v>
      </c>
      <c r="P10" s="90">
        <v>0</v>
      </c>
      <c r="Q10" s="90">
        <v>2</v>
      </c>
      <c r="R10" s="90">
        <v>0</v>
      </c>
      <c r="S10" s="90">
        <v>0</v>
      </c>
      <c r="T10" s="90">
        <v>0</v>
      </c>
      <c r="U10" s="90">
        <v>0</v>
      </c>
      <c r="V10" s="90">
        <v>0</v>
      </c>
      <c r="W10" s="90">
        <v>0</v>
      </c>
      <c r="X10" s="90">
        <v>0</v>
      </c>
      <c r="Y10" s="90">
        <v>0</v>
      </c>
      <c r="Z10" s="90">
        <v>0</v>
      </c>
      <c r="AA10" s="90">
        <v>0</v>
      </c>
      <c r="AB10" s="90">
        <v>0</v>
      </c>
      <c r="AC10" s="90">
        <v>0</v>
      </c>
      <c r="AD10" s="90">
        <v>30</v>
      </c>
      <c r="AE10" s="90">
        <v>0</v>
      </c>
    </row>
    <row r="11" spans="1:31" s="35" customFormat="1" x14ac:dyDescent="0.3">
      <c r="A11" s="88" t="str">
        <f>Factors!A10</f>
        <v>Residues above gr.</v>
      </c>
      <c r="B11" s="35" t="str">
        <f>Factors!B10</f>
        <v>ResStm</v>
      </c>
      <c r="C11" s="63" t="str">
        <f>Factors!C10</f>
        <v>tonTS</v>
      </c>
      <c r="D11" s="63">
        <v>300</v>
      </c>
      <c r="E11" s="63">
        <v>54</v>
      </c>
      <c r="F11" s="87">
        <v>1.9</v>
      </c>
      <c r="G11" s="90">
        <v>0</v>
      </c>
      <c r="H11" s="90">
        <v>0</v>
      </c>
      <c r="I11" s="90">
        <v>0</v>
      </c>
      <c r="J11" s="90">
        <v>0</v>
      </c>
      <c r="K11" s="90">
        <v>0</v>
      </c>
      <c r="L11" s="90">
        <v>0</v>
      </c>
      <c r="M11" s="90">
        <v>0</v>
      </c>
      <c r="N11" s="90">
        <v>0</v>
      </c>
      <c r="O11" s="90">
        <v>0</v>
      </c>
      <c r="P11" s="90">
        <v>0</v>
      </c>
      <c r="Q11" s="90">
        <v>0</v>
      </c>
      <c r="R11" s="90">
        <v>0</v>
      </c>
      <c r="S11" s="90">
        <v>0</v>
      </c>
      <c r="T11" s="90">
        <v>0</v>
      </c>
      <c r="U11" s="90">
        <v>0</v>
      </c>
      <c r="V11" s="90">
        <v>0</v>
      </c>
      <c r="W11" s="90">
        <v>0</v>
      </c>
      <c r="X11" s="90">
        <v>0</v>
      </c>
      <c r="Y11" s="90">
        <v>0</v>
      </c>
      <c r="Z11" s="90">
        <v>0</v>
      </c>
      <c r="AA11" s="90">
        <v>0</v>
      </c>
      <c r="AB11" s="90">
        <v>0</v>
      </c>
      <c r="AC11" s="90">
        <v>0</v>
      </c>
      <c r="AD11" s="90">
        <v>30</v>
      </c>
      <c r="AE11" s="90">
        <v>0</v>
      </c>
    </row>
    <row r="12" spans="1:31" s="35" customFormat="1" x14ac:dyDescent="0.3">
      <c r="A12" s="88" t="str">
        <f>Factors!A11</f>
        <v>Stump and roots</v>
      </c>
      <c r="B12" s="35" t="str">
        <f>Factors!B11</f>
        <v>ResRot</v>
      </c>
      <c r="C12" s="63" t="str">
        <f>Factors!C11</f>
        <v>tonTS</v>
      </c>
      <c r="D12" s="63">
        <v>300</v>
      </c>
      <c r="E12" s="63">
        <v>54</v>
      </c>
      <c r="F12" s="87">
        <v>1.9</v>
      </c>
      <c r="G12" s="90">
        <v>0</v>
      </c>
      <c r="H12" s="90">
        <v>0</v>
      </c>
      <c r="I12" s="90">
        <v>0</v>
      </c>
      <c r="J12" s="90">
        <v>0</v>
      </c>
      <c r="K12" s="90">
        <v>0</v>
      </c>
      <c r="L12" s="90">
        <v>0</v>
      </c>
      <c r="M12" s="90">
        <v>0</v>
      </c>
      <c r="N12" s="90">
        <v>0</v>
      </c>
      <c r="O12" s="90">
        <v>0</v>
      </c>
      <c r="P12" s="90">
        <v>0</v>
      </c>
      <c r="Q12" s="90">
        <v>0</v>
      </c>
      <c r="R12" s="90">
        <v>0</v>
      </c>
      <c r="S12" s="90">
        <v>0</v>
      </c>
      <c r="T12" s="90">
        <v>0</v>
      </c>
      <c r="U12" s="90">
        <v>0</v>
      </c>
      <c r="V12" s="90">
        <v>0</v>
      </c>
      <c r="W12" s="90">
        <v>0</v>
      </c>
      <c r="X12" s="90">
        <v>0</v>
      </c>
      <c r="Y12" s="90">
        <v>0</v>
      </c>
      <c r="Z12" s="90">
        <v>0</v>
      </c>
      <c r="AA12" s="90">
        <v>0</v>
      </c>
      <c r="AB12" s="90">
        <v>0</v>
      </c>
      <c r="AC12" s="90">
        <v>0</v>
      </c>
      <c r="AD12" s="90">
        <v>0</v>
      </c>
      <c r="AE12" s="90">
        <v>0</v>
      </c>
    </row>
    <row r="13" spans="1:31" s="52" customFormat="1" x14ac:dyDescent="0.3">
      <c r="A13" s="88" t="str">
        <f>Factors!A12</f>
        <v>Forest fuel all kinds</v>
      </c>
      <c r="B13" s="35" t="str">
        <f>Factors!B12</f>
        <v>ForFue</v>
      </c>
      <c r="C13" s="63" t="str">
        <f>Factors!C12</f>
        <v>tonTS</v>
      </c>
      <c r="D13" s="63">
        <v>300</v>
      </c>
      <c r="E13" s="63">
        <f>E11/10</f>
        <v>5.4</v>
      </c>
      <c r="F13" s="87">
        <f>F11</f>
        <v>1.9</v>
      </c>
      <c r="G13" s="90">
        <v>0</v>
      </c>
      <c r="H13" s="90">
        <v>0</v>
      </c>
      <c r="I13" s="90">
        <v>0</v>
      </c>
      <c r="J13" s="90">
        <v>0</v>
      </c>
      <c r="K13" s="90">
        <v>0</v>
      </c>
      <c r="L13" s="90">
        <v>0</v>
      </c>
      <c r="M13" s="90">
        <v>0</v>
      </c>
      <c r="N13" s="90">
        <v>0</v>
      </c>
      <c r="O13" s="90">
        <v>0</v>
      </c>
      <c r="P13" s="90">
        <v>0</v>
      </c>
      <c r="Q13" s="90">
        <v>0</v>
      </c>
      <c r="R13" s="90">
        <v>0</v>
      </c>
      <c r="S13" s="90">
        <v>0</v>
      </c>
      <c r="T13" s="90">
        <v>0</v>
      </c>
      <c r="U13" s="90">
        <v>0</v>
      </c>
      <c r="V13" s="90">
        <v>0</v>
      </c>
      <c r="W13" s="90">
        <v>0</v>
      </c>
      <c r="X13" s="90">
        <v>0</v>
      </c>
      <c r="Y13" s="90">
        <v>0</v>
      </c>
      <c r="Z13" s="90">
        <v>0</v>
      </c>
      <c r="AA13" s="90">
        <v>0</v>
      </c>
      <c r="AB13" s="90">
        <v>0</v>
      </c>
      <c r="AC13" s="90">
        <v>0</v>
      </c>
      <c r="AD13" s="90">
        <v>0</v>
      </c>
      <c r="AE13" s="90">
        <v>0</v>
      </c>
    </row>
    <row r="14" spans="1:31" s="52" customFormat="1" x14ac:dyDescent="0.3">
      <c r="A14" s="88" t="str">
        <f>Factors!A13</f>
        <v>Timber all kinds</v>
      </c>
      <c r="B14" s="35" t="str">
        <f>Factors!B13</f>
        <v>AllTim</v>
      </c>
      <c r="C14" s="63" t="str">
        <f>Factors!C13</f>
        <v>m3fub</v>
      </c>
      <c r="D14" s="63">
        <v>300</v>
      </c>
      <c r="E14" s="63">
        <f>E3/10</f>
        <v>1.6560000000000001</v>
      </c>
      <c r="F14" s="87">
        <f>1.62*ConvFact!$A$2</f>
        <v>0.74520000000000008</v>
      </c>
      <c r="G14" s="90">
        <v>0</v>
      </c>
      <c r="H14" s="90">
        <v>0</v>
      </c>
      <c r="I14" s="90">
        <v>0</v>
      </c>
      <c r="J14" s="90">
        <v>0</v>
      </c>
      <c r="K14" s="90">
        <v>0</v>
      </c>
      <c r="L14" s="90">
        <v>0</v>
      </c>
      <c r="M14" s="90">
        <v>0</v>
      </c>
      <c r="N14" s="90">
        <v>0</v>
      </c>
      <c r="O14" s="90">
        <v>0</v>
      </c>
      <c r="P14" s="90">
        <v>0</v>
      </c>
      <c r="Q14" s="90">
        <v>0</v>
      </c>
      <c r="R14" s="90">
        <v>0</v>
      </c>
      <c r="S14" s="90">
        <v>0</v>
      </c>
      <c r="T14" s="90">
        <v>0</v>
      </c>
      <c r="U14" s="90">
        <v>0</v>
      </c>
      <c r="V14" s="90">
        <v>0</v>
      </c>
      <c r="W14" s="90">
        <v>0</v>
      </c>
      <c r="X14" s="90">
        <v>0</v>
      </c>
      <c r="Y14" s="90">
        <v>0</v>
      </c>
      <c r="Z14" s="90">
        <v>0</v>
      </c>
      <c r="AA14" s="90">
        <v>0</v>
      </c>
      <c r="AB14" s="90">
        <v>0</v>
      </c>
      <c r="AC14" s="90">
        <v>0</v>
      </c>
      <c r="AD14" s="90">
        <v>0</v>
      </c>
      <c r="AE14" s="90">
        <v>0</v>
      </c>
    </row>
    <row r="15" spans="1:31" s="52" customFormat="1" x14ac:dyDescent="0.3">
      <c r="A15" s="88" t="str">
        <f>Factors!A14</f>
        <v>Pulpwood all kinds</v>
      </c>
      <c r="B15" s="35" t="str">
        <f>Factors!B14</f>
        <v>AllPuw</v>
      </c>
      <c r="C15" s="63" t="str">
        <f>Factors!C14</f>
        <v>m3fub</v>
      </c>
      <c r="D15" s="63">
        <v>300</v>
      </c>
      <c r="E15" s="63">
        <f>E3/10</f>
        <v>1.6560000000000001</v>
      </c>
      <c r="F15" s="87">
        <f>1.62*ConvFact!$A$2</f>
        <v>0.74520000000000008</v>
      </c>
      <c r="G15" s="90">
        <v>0</v>
      </c>
      <c r="H15" s="90">
        <v>0</v>
      </c>
      <c r="I15" s="90">
        <v>0</v>
      </c>
      <c r="J15" s="90">
        <v>0</v>
      </c>
      <c r="K15" s="90">
        <v>0</v>
      </c>
      <c r="L15" s="90">
        <v>0</v>
      </c>
      <c r="M15" s="90">
        <v>0</v>
      </c>
      <c r="N15" s="90">
        <v>0</v>
      </c>
      <c r="O15" s="90">
        <v>0</v>
      </c>
      <c r="P15" s="90">
        <v>0</v>
      </c>
      <c r="Q15" s="90">
        <v>0</v>
      </c>
      <c r="R15" s="90">
        <v>0</v>
      </c>
      <c r="S15" s="90">
        <v>0</v>
      </c>
      <c r="T15" s="90">
        <v>0</v>
      </c>
      <c r="U15" s="90">
        <v>0</v>
      </c>
      <c r="V15" s="90">
        <v>0</v>
      </c>
      <c r="W15" s="90">
        <v>0</v>
      </c>
      <c r="X15" s="90">
        <v>0</v>
      </c>
      <c r="Y15" s="90">
        <v>0</v>
      </c>
      <c r="Z15" s="90">
        <v>0</v>
      </c>
      <c r="AA15" s="90">
        <v>0</v>
      </c>
      <c r="AB15" s="90">
        <v>0</v>
      </c>
      <c r="AC15" s="90">
        <v>0</v>
      </c>
      <c r="AD15" s="90">
        <v>0</v>
      </c>
      <c r="AE15" s="90">
        <v>0</v>
      </c>
    </row>
    <row r="17" spans="3:31" x14ac:dyDescent="0.3">
      <c r="C17" s="60"/>
      <c r="D17" s="60"/>
      <c r="E17" s="85"/>
      <c r="F17" s="85"/>
      <c r="G17" s="90">
        <v>2</v>
      </c>
      <c r="H17" s="90">
        <v>0</v>
      </c>
      <c r="I17" s="90">
        <v>0</v>
      </c>
      <c r="J17" s="90">
        <v>2</v>
      </c>
      <c r="K17" s="90">
        <v>0</v>
      </c>
      <c r="L17" s="90">
        <v>0</v>
      </c>
      <c r="M17" s="90">
        <v>0</v>
      </c>
      <c r="N17" s="90">
        <v>2</v>
      </c>
      <c r="O17" s="90">
        <v>0</v>
      </c>
      <c r="P17" s="90">
        <v>0</v>
      </c>
      <c r="Q17" s="90">
        <v>2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X17" s="90">
        <v>0</v>
      </c>
      <c r="Y17" s="90">
        <v>0</v>
      </c>
      <c r="Z17" s="90">
        <v>0</v>
      </c>
      <c r="AA17" s="90">
        <v>0</v>
      </c>
      <c r="AB17" s="90">
        <v>0</v>
      </c>
      <c r="AC17" s="90">
        <v>0</v>
      </c>
      <c r="AD17" s="90">
        <v>0</v>
      </c>
      <c r="AE17" s="90"/>
    </row>
    <row r="18" spans="3:31" x14ac:dyDescent="0.3">
      <c r="C18" s="60"/>
      <c r="D18" s="60"/>
      <c r="E18" s="85"/>
      <c r="F18" s="85"/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2</v>
      </c>
      <c r="O18" s="90">
        <v>0</v>
      </c>
      <c r="P18" s="90">
        <v>0</v>
      </c>
      <c r="Q18" s="90">
        <v>2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2</v>
      </c>
      <c r="AE18" s="90"/>
    </row>
    <row r="19" spans="3:31" x14ac:dyDescent="0.3">
      <c r="C19" s="60"/>
      <c r="D19" s="60"/>
      <c r="E19" s="85"/>
      <c r="F19" s="85"/>
      <c r="G19" s="90">
        <v>0</v>
      </c>
      <c r="H19" s="90">
        <v>2</v>
      </c>
      <c r="I19" s="90">
        <v>0</v>
      </c>
      <c r="J19" s="90">
        <v>2</v>
      </c>
      <c r="K19" s="90">
        <v>0</v>
      </c>
      <c r="L19" s="90">
        <v>0</v>
      </c>
      <c r="M19" s="90">
        <v>0</v>
      </c>
      <c r="N19" s="90">
        <v>2</v>
      </c>
      <c r="O19" s="90">
        <v>2</v>
      </c>
      <c r="P19" s="90">
        <v>2</v>
      </c>
      <c r="Q19" s="90">
        <v>2</v>
      </c>
      <c r="R19" s="90">
        <v>0</v>
      </c>
      <c r="S19" s="90">
        <v>0</v>
      </c>
      <c r="T19" s="90">
        <v>0</v>
      </c>
      <c r="U19" s="90">
        <v>0</v>
      </c>
      <c r="V19" s="90">
        <v>0</v>
      </c>
      <c r="W19" s="90">
        <v>0</v>
      </c>
      <c r="X19" s="90">
        <v>0</v>
      </c>
      <c r="Y19" s="90">
        <v>0</v>
      </c>
      <c r="Z19" s="90">
        <v>0</v>
      </c>
      <c r="AA19" s="90">
        <v>0</v>
      </c>
      <c r="AB19" s="90">
        <v>0</v>
      </c>
      <c r="AC19" s="90">
        <v>0</v>
      </c>
      <c r="AD19" s="90">
        <v>0</v>
      </c>
      <c r="AE19" s="90"/>
    </row>
    <row r="20" spans="3:31" x14ac:dyDescent="0.3">
      <c r="C20" s="60"/>
      <c r="D20" s="60"/>
      <c r="E20" s="85"/>
      <c r="F20" s="85"/>
      <c r="G20" s="90">
        <v>0</v>
      </c>
      <c r="H20" s="90">
        <v>0</v>
      </c>
      <c r="I20" s="90">
        <v>0</v>
      </c>
      <c r="J20" s="90">
        <v>0</v>
      </c>
      <c r="K20" s="90">
        <v>0</v>
      </c>
      <c r="L20" s="90">
        <v>0</v>
      </c>
      <c r="M20" s="90">
        <v>0</v>
      </c>
      <c r="N20" s="90">
        <v>2</v>
      </c>
      <c r="O20" s="90">
        <v>2</v>
      </c>
      <c r="P20" s="90">
        <v>2</v>
      </c>
      <c r="Q20" s="90">
        <v>2</v>
      </c>
      <c r="R20" s="90">
        <v>0</v>
      </c>
      <c r="S20" s="90">
        <v>0</v>
      </c>
      <c r="T20" s="90">
        <v>0</v>
      </c>
      <c r="U20" s="90">
        <v>0</v>
      </c>
      <c r="V20" s="90">
        <v>0</v>
      </c>
      <c r="W20" s="90">
        <v>0</v>
      </c>
      <c r="X20" s="90">
        <v>0</v>
      </c>
      <c r="Y20" s="90">
        <v>0</v>
      </c>
      <c r="Z20" s="90">
        <v>0</v>
      </c>
      <c r="AA20" s="90">
        <v>0</v>
      </c>
      <c r="AB20" s="90">
        <v>0</v>
      </c>
      <c r="AC20" s="90">
        <v>0</v>
      </c>
      <c r="AD20" s="90">
        <v>2</v>
      </c>
      <c r="AE20" s="90"/>
    </row>
    <row r="21" spans="3:31" s="59" customFormat="1" x14ac:dyDescent="0.3">
      <c r="C21" s="60"/>
      <c r="D21" s="60"/>
      <c r="E21" s="85"/>
      <c r="F21" s="85"/>
      <c r="G21" s="90">
        <v>0</v>
      </c>
      <c r="H21" s="90">
        <v>0</v>
      </c>
      <c r="I21" s="90">
        <v>0</v>
      </c>
      <c r="J21" s="90">
        <v>0</v>
      </c>
      <c r="K21" s="90">
        <v>0</v>
      </c>
      <c r="L21" s="90">
        <v>0</v>
      </c>
      <c r="M21" s="90">
        <v>0</v>
      </c>
      <c r="N21" s="90">
        <v>2</v>
      </c>
      <c r="O21" s="90">
        <v>0</v>
      </c>
      <c r="P21" s="90">
        <v>0</v>
      </c>
      <c r="Q21" s="90">
        <v>2</v>
      </c>
      <c r="R21" s="90">
        <v>0</v>
      </c>
      <c r="S21" s="90">
        <v>0</v>
      </c>
      <c r="T21" s="90">
        <v>0</v>
      </c>
      <c r="U21" s="90">
        <v>0</v>
      </c>
      <c r="V21" s="90">
        <v>0</v>
      </c>
      <c r="W21" s="90">
        <v>0</v>
      </c>
      <c r="X21" s="90">
        <v>0</v>
      </c>
      <c r="Y21" s="90">
        <v>0</v>
      </c>
      <c r="Z21" s="90">
        <v>0</v>
      </c>
      <c r="AA21" s="90">
        <v>0</v>
      </c>
      <c r="AB21" s="90">
        <v>0</v>
      </c>
      <c r="AC21" s="90">
        <v>0</v>
      </c>
      <c r="AD21" s="90">
        <v>0</v>
      </c>
      <c r="AE21" s="90"/>
    </row>
    <row r="22" spans="3:31" x14ac:dyDescent="0.3">
      <c r="C22" s="60"/>
      <c r="D22" s="60"/>
      <c r="E22" s="85"/>
      <c r="F22" s="85"/>
      <c r="G22" s="90">
        <v>0</v>
      </c>
      <c r="H22" s="90">
        <v>0</v>
      </c>
      <c r="I22" s="90">
        <v>0</v>
      </c>
      <c r="J22" s="90">
        <v>0</v>
      </c>
      <c r="K22" s="90">
        <v>0</v>
      </c>
      <c r="L22" s="90">
        <v>0</v>
      </c>
      <c r="M22" s="90">
        <v>0</v>
      </c>
      <c r="N22" s="90">
        <v>2</v>
      </c>
      <c r="O22" s="90">
        <v>0</v>
      </c>
      <c r="P22" s="90">
        <v>0</v>
      </c>
      <c r="Q22" s="90">
        <v>2</v>
      </c>
      <c r="R22" s="90">
        <v>0</v>
      </c>
      <c r="S22" s="90">
        <v>0</v>
      </c>
      <c r="T22" s="90">
        <v>0</v>
      </c>
      <c r="U22" s="90">
        <v>0</v>
      </c>
      <c r="V22" s="90">
        <v>0</v>
      </c>
      <c r="W22" s="90">
        <v>0</v>
      </c>
      <c r="X22" s="90">
        <v>0</v>
      </c>
      <c r="Y22" s="90">
        <v>0</v>
      </c>
      <c r="Z22" s="90">
        <v>0</v>
      </c>
      <c r="AA22" s="90">
        <v>0</v>
      </c>
      <c r="AB22" s="90">
        <v>0</v>
      </c>
      <c r="AC22" s="90">
        <v>0</v>
      </c>
      <c r="AD22" s="90">
        <v>2</v>
      </c>
      <c r="AE22" s="90"/>
    </row>
    <row r="23" spans="3:31" x14ac:dyDescent="0.3">
      <c r="C23" s="60"/>
      <c r="D23" s="60"/>
      <c r="E23" s="85"/>
      <c r="F23" s="85"/>
      <c r="G23" s="90">
        <v>0</v>
      </c>
      <c r="H23" s="90">
        <v>0</v>
      </c>
      <c r="I23" s="90">
        <v>0</v>
      </c>
      <c r="J23" s="90">
        <v>0</v>
      </c>
      <c r="K23" s="90">
        <v>0</v>
      </c>
      <c r="L23" s="90">
        <v>0</v>
      </c>
      <c r="M23" s="90">
        <v>0</v>
      </c>
      <c r="N23" s="90">
        <v>0</v>
      </c>
      <c r="O23" s="90">
        <v>0</v>
      </c>
      <c r="P23" s="90">
        <v>0</v>
      </c>
      <c r="Q23" s="90">
        <v>0</v>
      </c>
      <c r="R23" s="90">
        <v>0</v>
      </c>
      <c r="S23" s="90">
        <v>0</v>
      </c>
      <c r="T23" s="90">
        <v>0</v>
      </c>
      <c r="U23" s="90">
        <v>0</v>
      </c>
      <c r="V23" s="90">
        <v>0</v>
      </c>
      <c r="W23" s="90">
        <v>0</v>
      </c>
      <c r="X23" s="90">
        <v>0</v>
      </c>
      <c r="Y23" s="90">
        <v>0</v>
      </c>
      <c r="Z23" s="90">
        <v>0</v>
      </c>
      <c r="AA23" s="90">
        <v>0</v>
      </c>
      <c r="AB23" s="90">
        <v>0</v>
      </c>
      <c r="AC23" s="90">
        <v>0</v>
      </c>
      <c r="AD23" s="90">
        <v>30</v>
      </c>
      <c r="AE23" s="90"/>
    </row>
    <row r="24" spans="3:31" x14ac:dyDescent="0.3">
      <c r="C24" s="60"/>
      <c r="D24" s="60"/>
      <c r="E24" s="85"/>
      <c r="F24" s="85"/>
      <c r="G24" s="90">
        <v>0</v>
      </c>
      <c r="H24" s="90">
        <v>0</v>
      </c>
      <c r="I24" s="90">
        <v>0</v>
      </c>
      <c r="J24" s="90">
        <v>0</v>
      </c>
      <c r="K24" s="90">
        <v>0</v>
      </c>
      <c r="L24" s="90">
        <v>0</v>
      </c>
      <c r="M24" s="90">
        <v>0</v>
      </c>
      <c r="N24" s="90">
        <v>2</v>
      </c>
      <c r="O24" s="90">
        <v>0</v>
      </c>
      <c r="P24" s="90">
        <v>0</v>
      </c>
      <c r="Q24" s="90">
        <v>2</v>
      </c>
      <c r="R24" s="90">
        <v>0</v>
      </c>
      <c r="S24" s="90">
        <v>0</v>
      </c>
      <c r="T24" s="90">
        <v>0</v>
      </c>
      <c r="U24" s="90">
        <v>0</v>
      </c>
      <c r="V24" s="90">
        <v>0</v>
      </c>
      <c r="W24" s="90">
        <v>0</v>
      </c>
      <c r="X24" s="90">
        <v>0</v>
      </c>
      <c r="Y24" s="90">
        <v>0</v>
      </c>
      <c r="Z24" s="90">
        <v>0</v>
      </c>
      <c r="AA24" s="90">
        <v>0</v>
      </c>
      <c r="AB24" s="90">
        <v>0</v>
      </c>
      <c r="AC24" s="90">
        <v>0</v>
      </c>
      <c r="AD24" s="90">
        <v>30</v>
      </c>
      <c r="AE24" s="90"/>
    </row>
    <row r="25" spans="3:31" x14ac:dyDescent="0.3">
      <c r="C25" s="60"/>
      <c r="D25" s="60"/>
      <c r="E25" s="85"/>
      <c r="F25" s="85"/>
      <c r="G25" s="90">
        <v>0</v>
      </c>
      <c r="H25" s="90">
        <v>0</v>
      </c>
      <c r="I25" s="90">
        <v>0</v>
      </c>
      <c r="J25" s="90">
        <v>0</v>
      </c>
      <c r="K25" s="90">
        <v>0</v>
      </c>
      <c r="L25" s="90">
        <v>0</v>
      </c>
      <c r="M25" s="90">
        <v>0</v>
      </c>
      <c r="N25" s="90">
        <v>0</v>
      </c>
      <c r="O25" s="90">
        <v>0</v>
      </c>
      <c r="P25" s="90">
        <v>0</v>
      </c>
      <c r="Q25" s="90">
        <v>0</v>
      </c>
      <c r="R25" s="90">
        <v>0</v>
      </c>
      <c r="S25" s="90">
        <v>0</v>
      </c>
      <c r="T25" s="90">
        <v>0</v>
      </c>
      <c r="U25" s="90">
        <v>0</v>
      </c>
      <c r="V25" s="90">
        <v>0</v>
      </c>
      <c r="W25" s="90">
        <v>0</v>
      </c>
      <c r="X25" s="90">
        <v>0</v>
      </c>
      <c r="Y25" s="90">
        <v>0</v>
      </c>
      <c r="Z25" s="90">
        <v>0</v>
      </c>
      <c r="AA25" s="90">
        <v>0</v>
      </c>
      <c r="AB25" s="90">
        <v>0</v>
      </c>
      <c r="AC25" s="90">
        <v>0</v>
      </c>
      <c r="AD25" s="90">
        <v>30</v>
      </c>
      <c r="AE25" s="90"/>
    </row>
    <row r="26" spans="3:31" x14ac:dyDescent="0.3">
      <c r="C26" s="60"/>
      <c r="D26" s="60"/>
      <c r="E26" s="85"/>
      <c r="F26" s="85"/>
      <c r="G26" s="90">
        <v>0</v>
      </c>
      <c r="H26" s="90">
        <v>0</v>
      </c>
      <c r="I26" s="90">
        <v>0</v>
      </c>
      <c r="J26" s="90">
        <v>0</v>
      </c>
      <c r="K26" s="90">
        <v>0</v>
      </c>
      <c r="L26" s="90">
        <v>0</v>
      </c>
      <c r="M26" s="90">
        <v>0</v>
      </c>
      <c r="N26" s="90">
        <v>0</v>
      </c>
      <c r="O26" s="90">
        <v>0</v>
      </c>
      <c r="P26" s="90">
        <v>0</v>
      </c>
      <c r="Q26" s="90">
        <v>0</v>
      </c>
      <c r="R26" s="90">
        <v>0</v>
      </c>
      <c r="S26" s="90">
        <v>0</v>
      </c>
      <c r="T26" s="90">
        <v>0</v>
      </c>
      <c r="U26" s="90">
        <v>0</v>
      </c>
      <c r="V26" s="90">
        <v>0</v>
      </c>
      <c r="W26" s="90">
        <v>0</v>
      </c>
      <c r="X26" s="90">
        <v>0</v>
      </c>
      <c r="Y26" s="90">
        <v>0</v>
      </c>
      <c r="Z26" s="90">
        <v>0</v>
      </c>
      <c r="AA26" s="90">
        <v>0</v>
      </c>
      <c r="AB26" s="90">
        <v>0</v>
      </c>
      <c r="AC26" s="90">
        <v>0</v>
      </c>
      <c r="AD26" s="90">
        <v>0</v>
      </c>
      <c r="AE26" s="90"/>
    </row>
    <row r="27" spans="3:31" x14ac:dyDescent="0.3">
      <c r="C27" s="60"/>
      <c r="D27" s="60"/>
      <c r="E27" s="85"/>
      <c r="F27" s="85"/>
      <c r="G27" s="90">
        <v>0</v>
      </c>
      <c r="H27" s="90">
        <v>0</v>
      </c>
      <c r="I27" s="90">
        <v>0</v>
      </c>
      <c r="J27" s="90">
        <v>0</v>
      </c>
      <c r="K27" s="90">
        <v>0</v>
      </c>
      <c r="L27" s="90">
        <v>0</v>
      </c>
      <c r="M27" s="90">
        <v>0</v>
      </c>
      <c r="N27" s="90">
        <v>0</v>
      </c>
      <c r="O27" s="90">
        <v>0</v>
      </c>
      <c r="P27" s="90">
        <v>0</v>
      </c>
      <c r="Q27" s="90">
        <v>0</v>
      </c>
      <c r="R27" s="90">
        <v>0</v>
      </c>
      <c r="S27" s="90">
        <v>0</v>
      </c>
      <c r="T27" s="90">
        <v>0</v>
      </c>
      <c r="U27" s="90">
        <v>0</v>
      </c>
      <c r="V27" s="90">
        <v>0</v>
      </c>
      <c r="W27" s="90">
        <v>0</v>
      </c>
      <c r="X27" s="90">
        <v>0</v>
      </c>
      <c r="Y27" s="90">
        <v>0</v>
      </c>
      <c r="Z27" s="90">
        <v>0</v>
      </c>
      <c r="AA27" s="90">
        <v>0</v>
      </c>
      <c r="AB27" s="90">
        <v>0</v>
      </c>
      <c r="AC27" s="90">
        <v>0</v>
      </c>
      <c r="AD27" s="90">
        <v>0</v>
      </c>
      <c r="AE27" s="90"/>
    </row>
    <row r="28" spans="3:31" x14ac:dyDescent="0.3">
      <c r="C28" s="60"/>
      <c r="D28" s="60"/>
      <c r="E28" s="85"/>
      <c r="F28" s="85"/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/>
    </row>
    <row r="29" spans="3:31" x14ac:dyDescent="0.3">
      <c r="C29" s="60"/>
      <c r="D29" s="60"/>
      <c r="E29" s="85"/>
      <c r="F29" s="85"/>
      <c r="G29" s="90">
        <v>0</v>
      </c>
      <c r="H29" s="90">
        <v>0</v>
      </c>
      <c r="I29" s="90">
        <v>0</v>
      </c>
      <c r="J29" s="90">
        <v>0</v>
      </c>
      <c r="K29" s="90">
        <v>0</v>
      </c>
      <c r="L29" s="90">
        <v>0</v>
      </c>
      <c r="M29" s="90">
        <v>0</v>
      </c>
      <c r="N29" s="90">
        <v>0</v>
      </c>
      <c r="O29" s="90">
        <v>0</v>
      </c>
      <c r="P29" s="90">
        <v>0</v>
      </c>
      <c r="Q29" s="90">
        <v>0</v>
      </c>
      <c r="R29" s="90">
        <v>0</v>
      </c>
      <c r="S29" s="90">
        <v>0</v>
      </c>
      <c r="T29" s="90">
        <v>0</v>
      </c>
      <c r="U29" s="90">
        <v>0</v>
      </c>
      <c r="V29" s="90">
        <v>0</v>
      </c>
      <c r="W29" s="90">
        <v>0</v>
      </c>
      <c r="X29" s="90">
        <v>0</v>
      </c>
      <c r="Y29" s="90">
        <v>0</v>
      </c>
      <c r="Z29" s="90">
        <v>0</v>
      </c>
      <c r="AA29" s="90">
        <v>0</v>
      </c>
      <c r="AB29" s="90">
        <v>0</v>
      </c>
      <c r="AC29" s="90">
        <v>0</v>
      </c>
      <c r="AD29" s="90">
        <v>0</v>
      </c>
      <c r="AE29" s="90"/>
    </row>
    <row r="30" spans="3:31" s="59" customFormat="1" x14ac:dyDescent="0.3"/>
    <row r="31" spans="3:31" x14ac:dyDescent="0.3">
      <c r="G31" s="90">
        <v>2</v>
      </c>
      <c r="H31" s="90">
        <v>0</v>
      </c>
      <c r="I31" s="90">
        <v>0</v>
      </c>
      <c r="J31" s="90">
        <v>2</v>
      </c>
      <c r="K31" s="90">
        <v>0</v>
      </c>
      <c r="L31" s="90">
        <v>0</v>
      </c>
      <c r="M31" s="90">
        <v>0</v>
      </c>
      <c r="N31" s="90">
        <v>2</v>
      </c>
      <c r="O31" s="90">
        <v>0</v>
      </c>
      <c r="P31" s="90">
        <v>0</v>
      </c>
      <c r="Q31" s="90">
        <v>2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/>
    </row>
    <row r="32" spans="3:31" x14ac:dyDescent="0.3">
      <c r="G32" s="90">
        <v>0</v>
      </c>
      <c r="H32" s="90">
        <v>0</v>
      </c>
      <c r="I32" s="90">
        <v>0</v>
      </c>
      <c r="J32" s="90">
        <v>0</v>
      </c>
      <c r="K32" s="90">
        <v>2</v>
      </c>
      <c r="L32" s="90">
        <v>0</v>
      </c>
      <c r="M32" s="90">
        <v>0</v>
      </c>
      <c r="N32" s="90">
        <v>2</v>
      </c>
      <c r="O32" s="90">
        <v>0</v>
      </c>
      <c r="P32" s="90">
        <v>0</v>
      </c>
      <c r="Q32" s="90">
        <v>2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/>
    </row>
    <row r="33" spans="7:31" x14ac:dyDescent="0.3">
      <c r="G33" s="90">
        <v>0</v>
      </c>
      <c r="H33" s="90">
        <v>2</v>
      </c>
      <c r="I33" s="90">
        <v>0</v>
      </c>
      <c r="J33" s="90">
        <v>2</v>
      </c>
      <c r="K33" s="90">
        <v>0</v>
      </c>
      <c r="L33" s="90">
        <v>0</v>
      </c>
      <c r="M33" s="90">
        <v>0</v>
      </c>
      <c r="N33" s="90">
        <v>2</v>
      </c>
      <c r="O33" s="90">
        <v>2</v>
      </c>
      <c r="P33" s="90">
        <v>2</v>
      </c>
      <c r="Q33" s="90">
        <v>2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/>
    </row>
    <row r="34" spans="7:31" x14ac:dyDescent="0.3">
      <c r="G34" s="90">
        <v>0</v>
      </c>
      <c r="H34" s="90">
        <v>0</v>
      </c>
      <c r="I34" s="90">
        <v>0</v>
      </c>
      <c r="J34" s="90">
        <v>0</v>
      </c>
      <c r="K34" s="90">
        <v>2</v>
      </c>
      <c r="L34" s="90">
        <v>0</v>
      </c>
      <c r="M34" s="90">
        <v>0</v>
      </c>
      <c r="N34" s="90">
        <v>2</v>
      </c>
      <c r="O34" s="90">
        <v>2</v>
      </c>
      <c r="P34" s="90">
        <v>2</v>
      </c>
      <c r="Q34" s="90">
        <v>2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/>
    </row>
    <row r="35" spans="7:31" x14ac:dyDescent="0.3">
      <c r="G35" s="90">
        <v>0</v>
      </c>
      <c r="H35" s="90">
        <v>0</v>
      </c>
      <c r="I35" s="90">
        <v>0</v>
      </c>
      <c r="J35" s="90">
        <v>0</v>
      </c>
      <c r="K35" s="90">
        <v>0</v>
      </c>
      <c r="L35" s="90">
        <v>0</v>
      </c>
      <c r="M35" s="90">
        <v>0</v>
      </c>
      <c r="N35" s="90">
        <v>2</v>
      </c>
      <c r="O35" s="90">
        <v>0</v>
      </c>
      <c r="P35" s="90">
        <v>0</v>
      </c>
      <c r="Q35" s="90">
        <v>2</v>
      </c>
      <c r="R35" s="90">
        <v>0</v>
      </c>
      <c r="S35" s="90">
        <v>0</v>
      </c>
      <c r="T35" s="90">
        <v>0</v>
      </c>
      <c r="U35" s="90">
        <v>0</v>
      </c>
      <c r="V35" s="90">
        <v>0</v>
      </c>
      <c r="W35" s="90">
        <v>0</v>
      </c>
      <c r="X35" s="90">
        <v>0</v>
      </c>
      <c r="Y35" s="90">
        <v>0</v>
      </c>
      <c r="Z35" s="90">
        <v>0</v>
      </c>
      <c r="AA35" s="90">
        <v>0</v>
      </c>
      <c r="AB35" s="90">
        <v>0</v>
      </c>
      <c r="AC35" s="90">
        <v>0</v>
      </c>
      <c r="AD35" s="90">
        <v>0</v>
      </c>
      <c r="AE35" s="90"/>
    </row>
    <row r="36" spans="7:31" x14ac:dyDescent="0.3">
      <c r="G36" s="90">
        <v>0</v>
      </c>
      <c r="H36" s="90">
        <v>0</v>
      </c>
      <c r="I36" s="90">
        <v>0</v>
      </c>
      <c r="J36" s="90">
        <v>0</v>
      </c>
      <c r="K36" s="90">
        <v>2</v>
      </c>
      <c r="L36" s="90">
        <v>0</v>
      </c>
      <c r="M36" s="90">
        <v>0</v>
      </c>
      <c r="N36" s="90">
        <v>2</v>
      </c>
      <c r="O36" s="90">
        <v>0</v>
      </c>
      <c r="P36" s="90">
        <v>0</v>
      </c>
      <c r="Q36" s="90">
        <v>2</v>
      </c>
      <c r="R36" s="90">
        <v>0</v>
      </c>
      <c r="S36" s="90">
        <v>0</v>
      </c>
      <c r="T36" s="90">
        <v>0</v>
      </c>
      <c r="U36" s="90">
        <v>0</v>
      </c>
      <c r="V36" s="90">
        <v>0</v>
      </c>
      <c r="W36" s="90">
        <v>0</v>
      </c>
      <c r="X36" s="90">
        <v>0</v>
      </c>
      <c r="Y36" s="90">
        <v>0</v>
      </c>
      <c r="Z36" s="90">
        <v>0</v>
      </c>
      <c r="AA36" s="90">
        <v>0</v>
      </c>
      <c r="AB36" s="90">
        <v>0</v>
      </c>
      <c r="AC36" s="90">
        <v>0</v>
      </c>
      <c r="AD36" s="90">
        <v>0</v>
      </c>
      <c r="AE36" s="90"/>
    </row>
    <row r="37" spans="7:31" x14ac:dyDescent="0.3">
      <c r="G37" s="90">
        <v>0</v>
      </c>
      <c r="H37" s="90">
        <v>0</v>
      </c>
      <c r="I37" s="90">
        <v>0</v>
      </c>
      <c r="J37" s="90">
        <v>0</v>
      </c>
      <c r="K37" s="90">
        <v>30</v>
      </c>
      <c r="L37" s="90">
        <v>0</v>
      </c>
      <c r="M37" s="90">
        <v>0</v>
      </c>
      <c r="N37" s="90">
        <v>2</v>
      </c>
      <c r="O37" s="90">
        <v>0</v>
      </c>
      <c r="P37" s="90">
        <v>0</v>
      </c>
      <c r="Q37" s="90">
        <v>2</v>
      </c>
      <c r="R37" s="90">
        <v>0</v>
      </c>
      <c r="S37" s="90">
        <v>0</v>
      </c>
      <c r="T37" s="90">
        <v>0</v>
      </c>
      <c r="U37" s="90">
        <v>0</v>
      </c>
      <c r="V37" s="90">
        <v>0</v>
      </c>
      <c r="W37" s="90">
        <v>0</v>
      </c>
      <c r="X37" s="90">
        <v>0</v>
      </c>
      <c r="Y37" s="90">
        <v>0</v>
      </c>
      <c r="Z37" s="90">
        <v>0</v>
      </c>
      <c r="AA37" s="90">
        <v>0</v>
      </c>
      <c r="AB37" s="90">
        <v>0</v>
      </c>
      <c r="AC37" s="90">
        <v>0</v>
      </c>
      <c r="AD37" s="90">
        <v>0</v>
      </c>
      <c r="AE37" s="90"/>
    </row>
    <row r="38" spans="7:31" x14ac:dyDescent="0.3">
      <c r="G38" s="90">
        <v>0</v>
      </c>
      <c r="H38" s="90">
        <v>0</v>
      </c>
      <c r="I38" s="90">
        <v>0</v>
      </c>
      <c r="J38" s="90">
        <v>0</v>
      </c>
      <c r="K38" s="90">
        <v>30</v>
      </c>
      <c r="L38" s="90">
        <v>0</v>
      </c>
      <c r="M38" s="90">
        <v>0</v>
      </c>
      <c r="N38" s="90">
        <v>2</v>
      </c>
      <c r="O38" s="90">
        <v>0</v>
      </c>
      <c r="P38" s="90">
        <v>0</v>
      </c>
      <c r="Q38" s="90">
        <v>2</v>
      </c>
      <c r="R38" s="90">
        <v>0</v>
      </c>
      <c r="S38" s="90">
        <v>0</v>
      </c>
      <c r="T38" s="90">
        <v>0</v>
      </c>
      <c r="U38" s="90">
        <v>0</v>
      </c>
      <c r="V38" s="90">
        <v>0</v>
      </c>
      <c r="W38" s="90">
        <v>0</v>
      </c>
      <c r="X38" s="90">
        <v>0</v>
      </c>
      <c r="Y38" s="90">
        <v>0</v>
      </c>
      <c r="Z38" s="90">
        <v>0</v>
      </c>
      <c r="AA38" s="90">
        <v>0</v>
      </c>
      <c r="AB38" s="90">
        <v>0</v>
      </c>
      <c r="AC38" s="90">
        <v>0</v>
      </c>
      <c r="AD38" s="90">
        <v>0</v>
      </c>
      <c r="AE38" s="90"/>
    </row>
    <row r="39" spans="7:31" x14ac:dyDescent="0.3">
      <c r="G39" s="90">
        <v>0</v>
      </c>
      <c r="H39" s="90">
        <v>0</v>
      </c>
      <c r="I39" s="90">
        <v>0</v>
      </c>
      <c r="J39" s="90">
        <v>0</v>
      </c>
      <c r="K39" s="90">
        <v>30</v>
      </c>
      <c r="L39" s="90">
        <v>0</v>
      </c>
      <c r="M39" s="90">
        <v>0</v>
      </c>
      <c r="N39" s="90">
        <v>0</v>
      </c>
      <c r="O39" s="90">
        <v>0</v>
      </c>
      <c r="P39" s="90">
        <v>0</v>
      </c>
      <c r="Q39" s="90">
        <v>0</v>
      </c>
      <c r="R39" s="90">
        <v>0</v>
      </c>
      <c r="S39" s="90">
        <v>0</v>
      </c>
      <c r="T39" s="90">
        <v>0</v>
      </c>
      <c r="U39" s="90">
        <v>0</v>
      </c>
      <c r="V39" s="90">
        <v>0</v>
      </c>
      <c r="W39" s="90">
        <v>0</v>
      </c>
      <c r="X39" s="90">
        <v>0</v>
      </c>
      <c r="Y39" s="90">
        <v>0</v>
      </c>
      <c r="Z39" s="90">
        <v>0</v>
      </c>
      <c r="AA39" s="90">
        <v>0</v>
      </c>
      <c r="AB39" s="90">
        <v>0</v>
      </c>
      <c r="AC39" s="90">
        <v>0</v>
      </c>
      <c r="AD39" s="90">
        <v>0</v>
      </c>
      <c r="AE39" s="90"/>
    </row>
    <row r="40" spans="7:31" x14ac:dyDescent="0.3">
      <c r="G40" s="90">
        <v>0</v>
      </c>
      <c r="H40" s="90">
        <v>0</v>
      </c>
      <c r="I40" s="90">
        <v>0</v>
      </c>
      <c r="J40" s="90">
        <v>0</v>
      </c>
      <c r="K40" s="90">
        <v>0</v>
      </c>
      <c r="L40" s="90">
        <v>0</v>
      </c>
      <c r="M40" s="90">
        <v>0</v>
      </c>
      <c r="N40" s="90">
        <v>0</v>
      </c>
      <c r="O40" s="90">
        <v>0</v>
      </c>
      <c r="P40" s="90">
        <v>0</v>
      </c>
      <c r="Q40" s="90">
        <v>0</v>
      </c>
      <c r="R40" s="90">
        <v>0</v>
      </c>
      <c r="S40" s="90">
        <v>0</v>
      </c>
      <c r="T40" s="90">
        <v>0</v>
      </c>
      <c r="U40" s="90">
        <v>0</v>
      </c>
      <c r="V40" s="90">
        <v>0</v>
      </c>
      <c r="W40" s="90">
        <v>0</v>
      </c>
      <c r="X40" s="90">
        <v>0</v>
      </c>
      <c r="Y40" s="90">
        <v>0</v>
      </c>
      <c r="Z40" s="90">
        <v>0</v>
      </c>
      <c r="AA40" s="90">
        <v>0</v>
      </c>
      <c r="AB40" s="90">
        <v>0</v>
      </c>
      <c r="AC40" s="90">
        <v>0</v>
      </c>
      <c r="AD40" s="90">
        <v>0</v>
      </c>
      <c r="AE40" s="90"/>
    </row>
    <row r="41" spans="7:31" x14ac:dyDescent="0.3">
      <c r="G41" s="90">
        <v>0</v>
      </c>
      <c r="H41" s="90">
        <v>0</v>
      </c>
      <c r="I41" s="90">
        <v>0</v>
      </c>
      <c r="J41" s="90">
        <v>0</v>
      </c>
      <c r="K41" s="90">
        <v>0</v>
      </c>
      <c r="L41" s="90">
        <v>0</v>
      </c>
      <c r="M41" s="90">
        <v>0</v>
      </c>
      <c r="N41" s="90">
        <v>0</v>
      </c>
      <c r="O41" s="90">
        <v>0</v>
      </c>
      <c r="P41" s="90">
        <v>0</v>
      </c>
      <c r="Q41" s="90">
        <v>0</v>
      </c>
      <c r="R41" s="90">
        <v>0</v>
      </c>
      <c r="S41" s="90">
        <v>0</v>
      </c>
      <c r="T41" s="90">
        <v>0</v>
      </c>
      <c r="U41" s="90">
        <v>0</v>
      </c>
      <c r="V41" s="90">
        <v>0</v>
      </c>
      <c r="W41" s="90">
        <v>0</v>
      </c>
      <c r="X41" s="90">
        <v>0</v>
      </c>
      <c r="Y41" s="90">
        <v>0</v>
      </c>
      <c r="Z41" s="90">
        <v>0</v>
      </c>
      <c r="AA41" s="90">
        <v>0</v>
      </c>
      <c r="AB41" s="90">
        <v>0</v>
      </c>
      <c r="AC41" s="90">
        <v>0</v>
      </c>
      <c r="AD41" s="90">
        <v>0</v>
      </c>
      <c r="AE41" s="90"/>
    </row>
    <row r="42" spans="7:31" x14ac:dyDescent="0.3">
      <c r="G42" s="90">
        <v>0</v>
      </c>
      <c r="H42" s="90">
        <v>0</v>
      </c>
      <c r="I42" s="90">
        <v>0</v>
      </c>
      <c r="J42" s="90">
        <v>0</v>
      </c>
      <c r="K42" s="90">
        <v>0</v>
      </c>
      <c r="L42" s="90">
        <v>0</v>
      </c>
      <c r="M42" s="90">
        <v>0</v>
      </c>
      <c r="N42" s="90">
        <v>0</v>
      </c>
      <c r="O42" s="90">
        <v>0</v>
      </c>
      <c r="P42" s="90">
        <v>0</v>
      </c>
      <c r="Q42" s="90">
        <v>0</v>
      </c>
      <c r="R42" s="90">
        <v>0</v>
      </c>
      <c r="S42" s="90">
        <v>0</v>
      </c>
      <c r="T42" s="90">
        <v>0</v>
      </c>
      <c r="U42" s="90">
        <v>0</v>
      </c>
      <c r="V42" s="90">
        <v>0</v>
      </c>
      <c r="W42" s="90">
        <v>0</v>
      </c>
      <c r="X42" s="90">
        <v>0</v>
      </c>
      <c r="Y42" s="90">
        <v>0</v>
      </c>
      <c r="Z42" s="90">
        <v>0</v>
      </c>
      <c r="AA42" s="90">
        <v>0</v>
      </c>
      <c r="AB42" s="90">
        <v>0</v>
      </c>
      <c r="AC42" s="90">
        <v>0</v>
      </c>
      <c r="AD42" s="90">
        <v>0</v>
      </c>
      <c r="AE42" s="90"/>
    </row>
    <row r="43" spans="7:31" x14ac:dyDescent="0.3">
      <c r="G43" s="90">
        <v>0</v>
      </c>
      <c r="H43" s="90">
        <v>0</v>
      </c>
      <c r="I43" s="90">
        <v>0</v>
      </c>
      <c r="J43" s="90">
        <v>0</v>
      </c>
      <c r="K43" s="90">
        <v>0</v>
      </c>
      <c r="L43" s="90">
        <v>0</v>
      </c>
      <c r="M43" s="90">
        <v>0</v>
      </c>
      <c r="N43" s="90">
        <v>0</v>
      </c>
      <c r="O43" s="90">
        <v>0</v>
      </c>
      <c r="P43" s="90">
        <v>0</v>
      </c>
      <c r="Q43" s="90">
        <v>0</v>
      </c>
      <c r="R43" s="90">
        <v>0</v>
      </c>
      <c r="S43" s="90">
        <v>0</v>
      </c>
      <c r="T43" s="90">
        <v>0</v>
      </c>
      <c r="U43" s="90">
        <v>0</v>
      </c>
      <c r="V43" s="90">
        <v>0</v>
      </c>
      <c r="W43" s="90">
        <v>0</v>
      </c>
      <c r="X43" s="90">
        <v>0</v>
      </c>
      <c r="Y43" s="90">
        <v>0</v>
      </c>
      <c r="Z43" s="90">
        <v>0</v>
      </c>
      <c r="AA43" s="90">
        <v>0</v>
      </c>
      <c r="AB43" s="90">
        <v>0</v>
      </c>
      <c r="AC43" s="90">
        <v>0</v>
      </c>
      <c r="AD43" s="90">
        <v>0</v>
      </c>
      <c r="AE43" s="90"/>
    </row>
  </sheetData>
  <conditionalFormatting sqref="G3:AD11">
    <cfRule type="cellIs" dxfId="44" priority="60" operator="lessThan">
      <formula>1</formula>
    </cfRule>
  </conditionalFormatting>
  <conditionalFormatting sqref="G3:AD11">
    <cfRule type="cellIs" dxfId="43" priority="58" operator="lessThan">
      <formula>1</formula>
    </cfRule>
    <cfRule type="cellIs" dxfId="42" priority="59" operator="lessThan">
      <formula>1</formula>
    </cfRule>
  </conditionalFormatting>
  <conditionalFormatting sqref="G31:H43 J31:AE43">
    <cfRule type="cellIs" dxfId="41" priority="51" operator="lessThan">
      <formula>1</formula>
    </cfRule>
  </conditionalFormatting>
  <conditionalFormatting sqref="G31:H43 J31:AE43">
    <cfRule type="cellIs" dxfId="40" priority="49" operator="lessThan">
      <formula>1</formula>
    </cfRule>
    <cfRule type="cellIs" dxfId="39" priority="50" operator="lessThan">
      <formula>1</formula>
    </cfRule>
  </conditionalFormatting>
  <conditionalFormatting sqref="I31:I43">
    <cfRule type="cellIs" dxfId="38" priority="48" operator="lessThan">
      <formula>1</formula>
    </cfRule>
  </conditionalFormatting>
  <conditionalFormatting sqref="I31:I43">
    <cfRule type="cellIs" dxfId="37" priority="46" operator="lessThan">
      <formula>1</formula>
    </cfRule>
    <cfRule type="cellIs" dxfId="36" priority="47" operator="lessThan">
      <formula>1</formula>
    </cfRule>
  </conditionalFormatting>
  <conditionalFormatting sqref="AD12:AD15">
    <cfRule type="cellIs" dxfId="35" priority="45" operator="lessThan">
      <formula>1</formula>
    </cfRule>
  </conditionalFormatting>
  <conditionalFormatting sqref="AD12:AD15">
    <cfRule type="cellIs" dxfId="34" priority="43" operator="lessThan">
      <formula>1</formula>
    </cfRule>
    <cfRule type="cellIs" dxfId="33" priority="44" operator="lessThan">
      <formula>1</formula>
    </cfRule>
  </conditionalFormatting>
  <conditionalFormatting sqref="G12:AC15">
    <cfRule type="cellIs" dxfId="32" priority="39" operator="lessThan">
      <formula>1</formula>
    </cfRule>
  </conditionalFormatting>
  <conditionalFormatting sqref="G12:AC15">
    <cfRule type="cellIs" dxfId="31" priority="37" operator="lessThan">
      <formula>1</formula>
    </cfRule>
    <cfRule type="cellIs" dxfId="30" priority="38" operator="lessThan">
      <formula>1</formula>
    </cfRule>
  </conditionalFormatting>
  <conditionalFormatting sqref="G17:AE25">
    <cfRule type="cellIs" dxfId="29" priority="33" operator="lessThan">
      <formula>1</formula>
    </cfRule>
  </conditionalFormatting>
  <conditionalFormatting sqref="G17:AE25">
    <cfRule type="cellIs" dxfId="28" priority="31" operator="lessThan">
      <formula>1</formula>
    </cfRule>
    <cfRule type="cellIs" dxfId="27" priority="32" operator="lessThan">
      <formula>1</formula>
    </cfRule>
  </conditionalFormatting>
  <conditionalFormatting sqref="AD26:AE29">
    <cfRule type="cellIs" dxfId="26" priority="30" operator="lessThan">
      <formula>1</formula>
    </cfRule>
  </conditionalFormatting>
  <conditionalFormatting sqref="AD26:AE29">
    <cfRule type="cellIs" dxfId="25" priority="28" operator="lessThan">
      <formula>1</formula>
    </cfRule>
    <cfRule type="cellIs" dxfId="24" priority="29" operator="lessThan">
      <formula>1</formula>
    </cfRule>
  </conditionalFormatting>
  <conditionalFormatting sqref="G26:AC29">
    <cfRule type="cellIs" dxfId="23" priority="27" operator="lessThan">
      <formula>1</formula>
    </cfRule>
  </conditionalFormatting>
  <conditionalFormatting sqref="G26:AC29">
    <cfRule type="cellIs" dxfId="22" priority="25" operator="lessThan">
      <formula>1</formula>
    </cfRule>
    <cfRule type="cellIs" dxfId="21" priority="26" operator="lessThan">
      <formula>1</formula>
    </cfRule>
  </conditionalFormatting>
  <conditionalFormatting sqref="AE3 AE5 AE7 AE11">
    <cfRule type="cellIs" dxfId="20" priority="24" operator="lessThan">
      <formula>1</formula>
    </cfRule>
  </conditionalFormatting>
  <conditionalFormatting sqref="AE3 AE5 AE7 AE11">
    <cfRule type="cellIs" dxfId="19" priority="22" operator="lessThan">
      <formula>1</formula>
    </cfRule>
    <cfRule type="cellIs" dxfId="18" priority="23" operator="lessThan">
      <formula>1</formula>
    </cfRule>
  </conditionalFormatting>
  <conditionalFormatting sqref="AE12:AE15">
    <cfRule type="cellIs" dxfId="17" priority="21" operator="lessThan">
      <formula>1</formula>
    </cfRule>
  </conditionalFormatting>
  <conditionalFormatting sqref="AE12:AE15">
    <cfRule type="cellIs" dxfId="16" priority="19" operator="lessThan">
      <formula>1</formula>
    </cfRule>
    <cfRule type="cellIs" dxfId="15" priority="20" operator="lessThan">
      <formula>1</formula>
    </cfRule>
  </conditionalFormatting>
  <conditionalFormatting sqref="AE4">
    <cfRule type="cellIs" dxfId="14" priority="18" operator="lessThan">
      <formula>1</formula>
    </cfRule>
  </conditionalFormatting>
  <conditionalFormatting sqref="AE4">
    <cfRule type="cellIs" dxfId="13" priority="16" operator="lessThan">
      <formula>1</formula>
    </cfRule>
    <cfRule type="cellIs" dxfId="12" priority="17" operator="lessThan">
      <formula>1</formula>
    </cfRule>
  </conditionalFormatting>
  <conditionalFormatting sqref="AE6">
    <cfRule type="cellIs" dxfId="11" priority="15" operator="lessThan">
      <formula>1</formula>
    </cfRule>
  </conditionalFormatting>
  <conditionalFormatting sqref="AE6">
    <cfRule type="cellIs" dxfId="10" priority="13" operator="lessThan">
      <formula>1</formula>
    </cfRule>
    <cfRule type="cellIs" dxfId="9" priority="14" operator="lessThan">
      <formula>1</formula>
    </cfRule>
  </conditionalFormatting>
  <conditionalFormatting sqref="AE8">
    <cfRule type="cellIs" dxfId="8" priority="12" operator="lessThan">
      <formula>1</formula>
    </cfRule>
  </conditionalFormatting>
  <conditionalFormatting sqref="AE8">
    <cfRule type="cellIs" dxfId="7" priority="10" operator="lessThan">
      <formula>1</formula>
    </cfRule>
    <cfRule type="cellIs" dxfId="6" priority="11" operator="lessThan">
      <formula>1</formula>
    </cfRule>
  </conditionalFormatting>
  <conditionalFormatting sqref="AE9">
    <cfRule type="cellIs" dxfId="5" priority="9" operator="lessThan">
      <formula>1</formula>
    </cfRule>
  </conditionalFormatting>
  <conditionalFormatting sqref="AE9">
    <cfRule type="cellIs" dxfId="4" priority="7" operator="lessThan">
      <formula>1</formula>
    </cfRule>
    <cfRule type="cellIs" dxfId="3" priority="8" operator="lessThan">
      <formula>1</formula>
    </cfRule>
  </conditionalFormatting>
  <conditionalFormatting sqref="AE10">
    <cfRule type="cellIs" dxfId="2" priority="6" operator="lessThan">
      <formula>1</formula>
    </cfRule>
  </conditionalFormatting>
  <conditionalFormatting sqref="AE10">
    <cfRule type="cellIs" dxfId="1" priority="4" operator="lessThan">
      <formula>1</formula>
    </cfRule>
    <cfRule type="cellIs" dxfId="0" priority="5" operator="lessThan">
      <formula>1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Z95"/>
  <sheetViews>
    <sheetView zoomScale="55" zoomScaleNormal="55" workbookViewId="0">
      <selection activeCell="B45" sqref="B45"/>
    </sheetView>
  </sheetViews>
  <sheetFormatPr defaultRowHeight="16.5" x14ac:dyDescent="0.3"/>
  <cols>
    <col min="2" max="26" width="14.5" customWidth="1"/>
  </cols>
  <sheetData>
    <row r="1" spans="1:26" x14ac:dyDescent="0.3">
      <c r="A1" s="4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X1">
        <v>22</v>
      </c>
      <c r="Y1">
        <v>23</v>
      </c>
      <c r="Z1">
        <v>24</v>
      </c>
    </row>
    <row r="2" spans="1:26" x14ac:dyDescent="0.3">
      <c r="A2" s="4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X2">
        <v>5</v>
      </c>
      <c r="Y2">
        <v>5</v>
      </c>
      <c r="Z2">
        <v>5</v>
      </c>
    </row>
    <row r="3" spans="1:26" ht="18.75" x14ac:dyDescent="0.3">
      <c r="A3" s="10" t="s">
        <v>70</v>
      </c>
    </row>
    <row r="4" spans="1:26" x14ac:dyDescent="0.3">
      <c r="A4" t="str">
        <f>Factors!B2</f>
        <v>PinTim</v>
      </c>
      <c r="B4" s="5">
        <v>0</v>
      </c>
      <c r="C4" s="5">
        <f t="shared" ref="C4:C10" si="0">B4</f>
        <v>0</v>
      </c>
      <c r="D4" s="5">
        <f t="shared" ref="D4:U21" si="1">C4</f>
        <v>0</v>
      </c>
      <c r="E4" s="5">
        <f t="shared" si="1"/>
        <v>0</v>
      </c>
      <c r="F4" s="5">
        <f t="shared" si="1"/>
        <v>0</v>
      </c>
      <c r="G4" s="5">
        <f t="shared" si="1"/>
        <v>0</v>
      </c>
      <c r="H4" s="5">
        <f t="shared" si="1"/>
        <v>0</v>
      </c>
      <c r="I4" s="5">
        <f t="shared" si="1"/>
        <v>0</v>
      </c>
      <c r="J4" s="5">
        <f t="shared" si="1"/>
        <v>0</v>
      </c>
      <c r="K4" s="5">
        <f t="shared" si="1"/>
        <v>0</v>
      </c>
      <c r="L4" s="5">
        <f t="shared" ref="L4:L24" si="2">K4</f>
        <v>0</v>
      </c>
      <c r="M4" s="5">
        <f t="shared" si="1"/>
        <v>0</v>
      </c>
      <c r="N4" s="5">
        <f t="shared" ref="N4:N24" si="3">M4</f>
        <v>0</v>
      </c>
      <c r="O4" s="5">
        <f t="shared" si="1"/>
        <v>0</v>
      </c>
      <c r="P4" s="5">
        <f t="shared" si="1"/>
        <v>0</v>
      </c>
      <c r="Q4" s="5">
        <f t="shared" si="1"/>
        <v>0</v>
      </c>
      <c r="R4" s="5">
        <f t="shared" si="1"/>
        <v>0</v>
      </c>
      <c r="S4" s="5">
        <f t="shared" si="1"/>
        <v>0</v>
      </c>
      <c r="T4" s="5">
        <f t="shared" si="1"/>
        <v>0</v>
      </c>
      <c r="U4" s="5">
        <f t="shared" si="1"/>
        <v>0</v>
      </c>
      <c r="V4" s="5">
        <f t="shared" ref="V4:V10" si="4">U4</f>
        <v>0</v>
      </c>
      <c r="W4" s="5"/>
      <c r="X4" s="5">
        <f t="shared" ref="X4:X10" si="5">V4</f>
        <v>0</v>
      </c>
      <c r="Y4" s="5">
        <f t="shared" ref="Y4:Y10" si="6">X4</f>
        <v>0</v>
      </c>
      <c r="Z4" s="5">
        <f t="shared" ref="Z4:Z10" si="7">Y4</f>
        <v>0</v>
      </c>
    </row>
    <row r="5" spans="1:26" x14ac:dyDescent="0.3">
      <c r="A5" t="str">
        <f>Factors!B3</f>
        <v>PinPuw</v>
      </c>
      <c r="B5" s="5">
        <v>0</v>
      </c>
      <c r="C5" s="5">
        <f t="shared" si="0"/>
        <v>0</v>
      </c>
      <c r="D5" s="5">
        <f t="shared" ref="D5:K5" si="8">C5</f>
        <v>0</v>
      </c>
      <c r="E5" s="5">
        <f t="shared" si="8"/>
        <v>0</v>
      </c>
      <c r="F5" s="5">
        <f t="shared" si="8"/>
        <v>0</v>
      </c>
      <c r="G5" s="5">
        <f t="shared" si="8"/>
        <v>0</v>
      </c>
      <c r="H5" s="5">
        <f t="shared" si="8"/>
        <v>0</v>
      </c>
      <c r="I5" s="5">
        <f t="shared" si="8"/>
        <v>0</v>
      </c>
      <c r="J5" s="5">
        <f t="shared" si="8"/>
        <v>0</v>
      </c>
      <c r="K5" s="5">
        <f t="shared" si="8"/>
        <v>0</v>
      </c>
      <c r="L5" s="5">
        <f t="shared" si="2"/>
        <v>0</v>
      </c>
      <c r="M5" s="5">
        <f>L5</f>
        <v>0</v>
      </c>
      <c r="N5" s="5">
        <f t="shared" si="3"/>
        <v>0</v>
      </c>
      <c r="O5" s="5">
        <f>N5</f>
        <v>0</v>
      </c>
      <c r="P5" s="5">
        <f>O5</f>
        <v>0</v>
      </c>
      <c r="Q5" s="5">
        <f>P5</f>
        <v>0</v>
      </c>
      <c r="R5" s="5">
        <f>Q5</f>
        <v>0</v>
      </c>
      <c r="S5" s="5">
        <f t="shared" si="1"/>
        <v>0</v>
      </c>
      <c r="T5" s="5">
        <f t="shared" si="1"/>
        <v>0</v>
      </c>
      <c r="U5" s="5">
        <f t="shared" si="1"/>
        <v>0</v>
      </c>
      <c r="V5" s="5">
        <f t="shared" si="4"/>
        <v>0</v>
      </c>
      <c r="W5" s="5"/>
      <c r="X5" s="5">
        <f t="shared" si="5"/>
        <v>0</v>
      </c>
      <c r="Y5" s="5">
        <f t="shared" si="6"/>
        <v>0</v>
      </c>
      <c r="Z5" s="5">
        <f t="shared" si="7"/>
        <v>0</v>
      </c>
    </row>
    <row r="6" spans="1:26" x14ac:dyDescent="0.3">
      <c r="A6" t="str">
        <f>Factors!B4</f>
        <v>SprTim</v>
      </c>
      <c r="B6" s="5">
        <v>0</v>
      </c>
      <c r="C6" s="5">
        <f t="shared" si="0"/>
        <v>0</v>
      </c>
      <c r="D6" s="5">
        <f t="shared" si="1"/>
        <v>0</v>
      </c>
      <c r="E6" s="5">
        <f t="shared" si="1"/>
        <v>0</v>
      </c>
      <c r="F6" s="5">
        <f t="shared" si="1"/>
        <v>0</v>
      </c>
      <c r="G6" s="5">
        <f t="shared" si="1"/>
        <v>0</v>
      </c>
      <c r="H6" s="5">
        <f t="shared" si="1"/>
        <v>0</v>
      </c>
      <c r="I6" s="5">
        <f t="shared" si="1"/>
        <v>0</v>
      </c>
      <c r="J6" s="5">
        <f t="shared" si="1"/>
        <v>0</v>
      </c>
      <c r="K6" s="5">
        <f t="shared" si="1"/>
        <v>0</v>
      </c>
      <c r="L6" s="5">
        <f t="shared" si="2"/>
        <v>0</v>
      </c>
      <c r="M6" s="5">
        <f t="shared" si="1"/>
        <v>0</v>
      </c>
      <c r="N6" s="5">
        <f t="shared" si="3"/>
        <v>0</v>
      </c>
      <c r="O6" s="5">
        <f t="shared" si="1"/>
        <v>0</v>
      </c>
      <c r="P6" s="5">
        <f t="shared" si="1"/>
        <v>0</v>
      </c>
      <c r="Q6" s="5">
        <f t="shared" si="1"/>
        <v>0</v>
      </c>
      <c r="R6" s="5">
        <f t="shared" si="1"/>
        <v>0</v>
      </c>
      <c r="S6" s="5">
        <f t="shared" si="1"/>
        <v>0</v>
      </c>
      <c r="T6" s="5">
        <f t="shared" si="1"/>
        <v>0</v>
      </c>
      <c r="U6" s="5">
        <f t="shared" si="1"/>
        <v>0</v>
      </c>
      <c r="V6" s="5">
        <f t="shared" si="4"/>
        <v>0</v>
      </c>
      <c r="W6" s="5"/>
      <c r="X6" s="5">
        <f t="shared" si="5"/>
        <v>0</v>
      </c>
      <c r="Y6" s="5">
        <f t="shared" si="6"/>
        <v>0</v>
      </c>
      <c r="Z6" s="5">
        <f t="shared" si="7"/>
        <v>0</v>
      </c>
    </row>
    <row r="7" spans="1:26" x14ac:dyDescent="0.3">
      <c r="A7" t="str">
        <f>Factors!B5</f>
        <v>SprPuw</v>
      </c>
      <c r="B7" s="5">
        <v>0</v>
      </c>
      <c r="C7" s="5">
        <f t="shared" si="0"/>
        <v>0</v>
      </c>
      <c r="D7" s="5">
        <f t="shared" si="1"/>
        <v>0</v>
      </c>
      <c r="E7" s="5">
        <f t="shared" si="1"/>
        <v>0</v>
      </c>
      <c r="F7" s="5">
        <f t="shared" si="1"/>
        <v>0</v>
      </c>
      <c r="G7" s="5">
        <f t="shared" si="1"/>
        <v>0</v>
      </c>
      <c r="H7" s="5">
        <f t="shared" si="1"/>
        <v>0</v>
      </c>
      <c r="I7" s="5">
        <f t="shared" si="1"/>
        <v>0</v>
      </c>
      <c r="J7" s="5">
        <f t="shared" si="1"/>
        <v>0</v>
      </c>
      <c r="K7" s="5">
        <f t="shared" si="1"/>
        <v>0</v>
      </c>
      <c r="L7" s="5">
        <f t="shared" si="2"/>
        <v>0</v>
      </c>
      <c r="M7" s="5">
        <f t="shared" si="1"/>
        <v>0</v>
      </c>
      <c r="N7" s="5">
        <f t="shared" si="3"/>
        <v>0</v>
      </c>
      <c r="O7" s="5">
        <f t="shared" si="1"/>
        <v>0</v>
      </c>
      <c r="P7" s="5">
        <f t="shared" si="1"/>
        <v>0</v>
      </c>
      <c r="Q7" s="5">
        <f t="shared" si="1"/>
        <v>0</v>
      </c>
      <c r="R7" s="5">
        <f t="shared" si="1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4"/>
        <v>0</v>
      </c>
      <c r="W7" s="5"/>
      <c r="X7" s="5">
        <f t="shared" si="5"/>
        <v>0</v>
      </c>
      <c r="Y7" s="5">
        <f t="shared" si="6"/>
        <v>0</v>
      </c>
      <c r="Z7" s="5">
        <f t="shared" si="7"/>
        <v>0</v>
      </c>
    </row>
    <row r="8" spans="1:26" x14ac:dyDescent="0.3">
      <c r="A8" t="str">
        <f>Factors!B7</f>
        <v>Decids</v>
      </c>
      <c r="B8" s="5">
        <v>0</v>
      </c>
      <c r="C8" s="5">
        <f t="shared" si="0"/>
        <v>0</v>
      </c>
      <c r="D8" s="5">
        <f t="shared" si="1"/>
        <v>0</v>
      </c>
      <c r="E8" s="5">
        <f t="shared" si="1"/>
        <v>0</v>
      </c>
      <c r="F8" s="5">
        <f t="shared" si="1"/>
        <v>0</v>
      </c>
      <c r="G8" s="5">
        <f t="shared" si="1"/>
        <v>0</v>
      </c>
      <c r="H8" s="5">
        <f t="shared" si="1"/>
        <v>0</v>
      </c>
      <c r="I8" s="5">
        <f t="shared" si="1"/>
        <v>0</v>
      </c>
      <c r="J8" s="5">
        <f t="shared" si="1"/>
        <v>0</v>
      </c>
      <c r="K8" s="5">
        <f t="shared" si="1"/>
        <v>0</v>
      </c>
      <c r="L8" s="5">
        <f t="shared" si="2"/>
        <v>0</v>
      </c>
      <c r="M8" s="5">
        <f t="shared" si="1"/>
        <v>0</v>
      </c>
      <c r="N8" s="5">
        <f t="shared" si="3"/>
        <v>0</v>
      </c>
      <c r="O8" s="5">
        <f t="shared" si="1"/>
        <v>0</v>
      </c>
      <c r="P8" s="5">
        <f t="shared" si="1"/>
        <v>0</v>
      </c>
      <c r="Q8" s="5">
        <f t="shared" si="1"/>
        <v>0</v>
      </c>
      <c r="R8" s="5">
        <f t="shared" si="1"/>
        <v>0</v>
      </c>
      <c r="S8" s="5">
        <f t="shared" si="1"/>
        <v>0</v>
      </c>
      <c r="T8" s="5">
        <f t="shared" si="1"/>
        <v>0</v>
      </c>
      <c r="U8" s="5">
        <f t="shared" si="1"/>
        <v>0</v>
      </c>
      <c r="V8" s="5">
        <f t="shared" si="4"/>
        <v>0</v>
      </c>
      <c r="W8" s="5"/>
      <c r="X8" s="5">
        <f t="shared" si="5"/>
        <v>0</v>
      </c>
      <c r="Y8" s="5">
        <f t="shared" si="6"/>
        <v>0</v>
      </c>
      <c r="Z8" s="5">
        <f t="shared" si="7"/>
        <v>0</v>
      </c>
    </row>
    <row r="9" spans="1:26" x14ac:dyDescent="0.3">
      <c r="A9" t="str">
        <f>Factors!B8</f>
        <v>Sawdst</v>
      </c>
      <c r="B9" s="5">
        <v>0</v>
      </c>
      <c r="C9" s="5">
        <f t="shared" si="0"/>
        <v>0</v>
      </c>
      <c r="D9" s="5">
        <f t="shared" si="1"/>
        <v>0</v>
      </c>
      <c r="E9" s="5">
        <f t="shared" si="1"/>
        <v>0</v>
      </c>
      <c r="F9" s="5">
        <f t="shared" si="1"/>
        <v>0</v>
      </c>
      <c r="G9" s="5">
        <f t="shared" si="1"/>
        <v>0</v>
      </c>
      <c r="H9" s="5">
        <f t="shared" si="1"/>
        <v>0</v>
      </c>
      <c r="I9" s="5">
        <f t="shared" si="1"/>
        <v>0</v>
      </c>
      <c r="J9" s="5">
        <f t="shared" si="1"/>
        <v>0</v>
      </c>
      <c r="K9" s="5">
        <f t="shared" si="1"/>
        <v>0</v>
      </c>
      <c r="L9" s="5">
        <f t="shared" si="2"/>
        <v>0</v>
      </c>
      <c r="M9" s="5">
        <f t="shared" si="1"/>
        <v>0</v>
      </c>
      <c r="N9" s="5">
        <f t="shared" si="3"/>
        <v>0</v>
      </c>
      <c r="O9" s="5">
        <f t="shared" si="1"/>
        <v>0</v>
      </c>
      <c r="P9" s="5">
        <f t="shared" si="1"/>
        <v>0</v>
      </c>
      <c r="Q9" s="5">
        <f t="shared" si="1"/>
        <v>0</v>
      </c>
      <c r="R9" s="5">
        <f t="shared" si="1"/>
        <v>0</v>
      </c>
      <c r="S9" s="5">
        <f t="shared" si="1"/>
        <v>0</v>
      </c>
      <c r="T9" s="5">
        <f t="shared" si="1"/>
        <v>0</v>
      </c>
      <c r="U9" s="5">
        <f t="shared" si="1"/>
        <v>0</v>
      </c>
      <c r="V9" s="5">
        <f t="shared" si="4"/>
        <v>0</v>
      </c>
      <c r="W9" s="5"/>
      <c r="X9" s="5">
        <f t="shared" si="5"/>
        <v>0</v>
      </c>
      <c r="Y9" s="5">
        <f t="shared" si="6"/>
        <v>0</v>
      </c>
      <c r="Z9" s="5">
        <f t="shared" si="7"/>
        <v>0</v>
      </c>
    </row>
    <row r="10" spans="1:26" x14ac:dyDescent="0.3">
      <c r="A10" t="str">
        <f>Factors!B9</f>
        <v>Chips_</v>
      </c>
      <c r="B10" s="5">
        <v>0</v>
      </c>
      <c r="C10" s="5">
        <f t="shared" si="0"/>
        <v>0</v>
      </c>
      <c r="D10" s="5">
        <f t="shared" si="1"/>
        <v>0</v>
      </c>
      <c r="E10" s="5">
        <f t="shared" si="1"/>
        <v>0</v>
      </c>
      <c r="F10" s="5">
        <f t="shared" si="1"/>
        <v>0</v>
      </c>
      <c r="G10" s="5">
        <f t="shared" si="1"/>
        <v>0</v>
      </c>
      <c r="H10" s="5">
        <f t="shared" si="1"/>
        <v>0</v>
      </c>
      <c r="I10" s="5">
        <f t="shared" si="1"/>
        <v>0</v>
      </c>
      <c r="J10" s="5">
        <f t="shared" si="1"/>
        <v>0</v>
      </c>
      <c r="K10" s="5">
        <f t="shared" si="1"/>
        <v>0</v>
      </c>
      <c r="L10" s="5">
        <f t="shared" si="2"/>
        <v>0</v>
      </c>
      <c r="M10" s="5">
        <f t="shared" si="1"/>
        <v>0</v>
      </c>
      <c r="N10" s="5">
        <f t="shared" si="3"/>
        <v>0</v>
      </c>
      <c r="O10" s="5">
        <f t="shared" si="1"/>
        <v>0</v>
      </c>
      <c r="P10" s="5">
        <f t="shared" si="1"/>
        <v>0</v>
      </c>
      <c r="Q10" s="5">
        <f t="shared" si="1"/>
        <v>0</v>
      </c>
      <c r="R10" s="5">
        <f t="shared" si="1"/>
        <v>0</v>
      </c>
      <c r="S10" s="5">
        <f t="shared" si="1"/>
        <v>0</v>
      </c>
      <c r="T10" s="5">
        <f t="shared" si="1"/>
        <v>0</v>
      </c>
      <c r="U10" s="5">
        <f t="shared" si="1"/>
        <v>0</v>
      </c>
      <c r="V10" s="5">
        <f t="shared" si="4"/>
        <v>0</v>
      </c>
      <c r="W10" s="5"/>
      <c r="X10" s="5">
        <f t="shared" si="5"/>
        <v>0</v>
      </c>
      <c r="Y10" s="5">
        <f t="shared" si="6"/>
        <v>0</v>
      </c>
      <c r="Z10" s="5">
        <f t="shared" si="7"/>
        <v>0</v>
      </c>
    </row>
    <row r="11" spans="1:26" x14ac:dyDescent="0.3">
      <c r="A11" t="str">
        <f>Factors!B10</f>
        <v>ResStm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/>
      <c r="X11" s="5">
        <v>0</v>
      </c>
      <c r="Y11" s="5">
        <v>0</v>
      </c>
      <c r="Z11" s="5">
        <v>0</v>
      </c>
    </row>
    <row r="12" spans="1:26" x14ac:dyDescent="0.3">
      <c r="A12" t="str">
        <f>Factors!B11</f>
        <v>ResRot</v>
      </c>
      <c r="B12" s="62">
        <v>2152.3303600805457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/>
      <c r="X12" s="5">
        <v>0</v>
      </c>
      <c r="Y12" s="5">
        <v>0</v>
      </c>
      <c r="Z12" s="5">
        <v>0</v>
      </c>
    </row>
    <row r="13" spans="1:26" x14ac:dyDescent="0.3">
      <c r="A13" t="str">
        <f>Factors!B15</f>
        <v>Sawnco</v>
      </c>
      <c r="B13" s="6">
        <v>111</v>
      </c>
      <c r="C13" s="5">
        <f t="shared" ref="C13:C24" si="9">B13</f>
        <v>111</v>
      </c>
      <c r="D13" s="5">
        <f t="shared" si="1"/>
        <v>111</v>
      </c>
      <c r="E13" s="5">
        <f t="shared" si="1"/>
        <v>111</v>
      </c>
      <c r="F13" s="5">
        <f t="shared" si="1"/>
        <v>111</v>
      </c>
      <c r="G13" s="5">
        <f t="shared" si="1"/>
        <v>111</v>
      </c>
      <c r="H13" s="5">
        <f t="shared" si="1"/>
        <v>111</v>
      </c>
      <c r="I13" s="5">
        <f t="shared" si="1"/>
        <v>111</v>
      </c>
      <c r="J13" s="5">
        <f t="shared" si="1"/>
        <v>111</v>
      </c>
      <c r="K13" s="5">
        <f t="shared" si="1"/>
        <v>111</v>
      </c>
      <c r="L13" s="5">
        <f t="shared" si="2"/>
        <v>111</v>
      </c>
      <c r="M13" s="5">
        <f t="shared" si="1"/>
        <v>111</v>
      </c>
      <c r="N13" s="5">
        <f t="shared" si="3"/>
        <v>111</v>
      </c>
      <c r="O13" s="5">
        <f t="shared" si="1"/>
        <v>111</v>
      </c>
      <c r="P13" s="5">
        <f t="shared" si="1"/>
        <v>111</v>
      </c>
      <c r="Q13" s="5">
        <f t="shared" si="1"/>
        <v>111</v>
      </c>
      <c r="R13" s="5">
        <f t="shared" si="1"/>
        <v>111</v>
      </c>
      <c r="S13" s="5">
        <f t="shared" si="1"/>
        <v>111</v>
      </c>
      <c r="T13" s="5">
        <f t="shared" si="1"/>
        <v>111</v>
      </c>
      <c r="U13" s="5">
        <f t="shared" si="1"/>
        <v>111</v>
      </c>
      <c r="V13" s="5">
        <f t="shared" ref="V13:V24" si="10">U13</f>
        <v>111</v>
      </c>
      <c r="W13" s="5"/>
      <c r="X13" s="5">
        <f t="shared" ref="X13:X24" si="11">V13</f>
        <v>111</v>
      </c>
      <c r="Y13" s="5">
        <f t="shared" ref="Y13:Y24" si="12">X13</f>
        <v>111</v>
      </c>
      <c r="Z13" s="5">
        <f t="shared" ref="Z13:Z24" si="13">Y13</f>
        <v>111</v>
      </c>
    </row>
    <row r="14" spans="1:26" s="59" customFormat="1" x14ac:dyDescent="0.3">
      <c r="A14" s="59" t="str">
        <f>Factors!B16</f>
        <v>Sawnbe</v>
      </c>
      <c r="B14" s="61">
        <v>3000</v>
      </c>
      <c r="C14" s="61">
        <v>3000</v>
      </c>
      <c r="D14" s="61">
        <v>3000</v>
      </c>
      <c r="E14" s="61">
        <v>3000</v>
      </c>
      <c r="F14" s="61">
        <v>3000</v>
      </c>
      <c r="G14" s="61">
        <v>3000</v>
      </c>
      <c r="H14" s="61">
        <v>3000</v>
      </c>
      <c r="I14" s="61">
        <v>3000</v>
      </c>
      <c r="J14" s="61">
        <v>3000</v>
      </c>
      <c r="K14" s="61">
        <v>3000</v>
      </c>
      <c r="L14" s="61">
        <v>3000</v>
      </c>
      <c r="M14" s="61">
        <v>3000</v>
      </c>
      <c r="N14" s="61">
        <v>3000</v>
      </c>
      <c r="O14" s="61">
        <v>3000</v>
      </c>
      <c r="P14" s="61">
        <v>3000</v>
      </c>
      <c r="Q14" s="61">
        <v>3000</v>
      </c>
      <c r="R14" s="61">
        <v>3000</v>
      </c>
      <c r="S14" s="61">
        <v>3000</v>
      </c>
      <c r="T14" s="61">
        <v>3000</v>
      </c>
      <c r="U14" s="61">
        <v>3000</v>
      </c>
      <c r="V14" s="61">
        <v>3000</v>
      </c>
      <c r="W14" s="61"/>
      <c r="X14" s="61">
        <v>3000</v>
      </c>
      <c r="Y14" s="61">
        <v>3000</v>
      </c>
      <c r="Z14" s="61">
        <v>3000</v>
      </c>
    </row>
    <row r="15" spans="1:26" x14ac:dyDescent="0.3">
      <c r="A15" t="str">
        <f>Factors!B17</f>
        <v>Heat__</v>
      </c>
      <c r="B15" s="5">
        <v>600</v>
      </c>
      <c r="C15" s="5">
        <f t="shared" si="9"/>
        <v>600</v>
      </c>
      <c r="D15" s="5">
        <f t="shared" si="1"/>
        <v>600</v>
      </c>
      <c r="E15" s="5">
        <f t="shared" si="1"/>
        <v>600</v>
      </c>
      <c r="F15" s="5">
        <f t="shared" si="1"/>
        <v>600</v>
      </c>
      <c r="G15" s="5">
        <f t="shared" si="1"/>
        <v>600</v>
      </c>
      <c r="H15" s="5">
        <f t="shared" si="1"/>
        <v>600</v>
      </c>
      <c r="I15" s="5">
        <f t="shared" si="1"/>
        <v>600</v>
      </c>
      <c r="J15" s="5">
        <f t="shared" si="1"/>
        <v>600</v>
      </c>
      <c r="K15" s="5">
        <f t="shared" si="1"/>
        <v>600</v>
      </c>
      <c r="L15" s="5">
        <f t="shared" si="2"/>
        <v>600</v>
      </c>
      <c r="M15" s="5">
        <f t="shared" si="1"/>
        <v>600</v>
      </c>
      <c r="N15" s="5">
        <f t="shared" si="3"/>
        <v>600</v>
      </c>
      <c r="O15" s="5">
        <f t="shared" si="1"/>
        <v>600</v>
      </c>
      <c r="P15" s="5">
        <f t="shared" si="1"/>
        <v>600</v>
      </c>
      <c r="Q15" s="5">
        <f t="shared" si="1"/>
        <v>600</v>
      </c>
      <c r="R15" s="5">
        <f t="shared" si="1"/>
        <v>600</v>
      </c>
      <c r="S15" s="5">
        <f t="shared" si="1"/>
        <v>600</v>
      </c>
      <c r="T15" s="5">
        <f t="shared" si="1"/>
        <v>600</v>
      </c>
      <c r="U15" s="5">
        <f t="shared" si="1"/>
        <v>600</v>
      </c>
      <c r="V15" s="5">
        <f t="shared" si="10"/>
        <v>600</v>
      </c>
      <c r="W15" s="5"/>
      <c r="X15" s="5">
        <f t="shared" si="11"/>
        <v>600</v>
      </c>
      <c r="Y15" s="5">
        <f t="shared" si="12"/>
        <v>600</v>
      </c>
      <c r="Z15" s="5">
        <f t="shared" si="13"/>
        <v>600</v>
      </c>
    </row>
    <row r="16" spans="1:26" x14ac:dyDescent="0.3">
      <c r="A16" t="str">
        <f>Factors!B18</f>
        <v>Electr</v>
      </c>
      <c r="B16" s="5">
        <v>651</v>
      </c>
      <c r="C16" s="5">
        <f t="shared" si="9"/>
        <v>651</v>
      </c>
      <c r="D16" s="5">
        <f t="shared" si="1"/>
        <v>651</v>
      </c>
      <c r="E16" s="5">
        <f t="shared" si="1"/>
        <v>651</v>
      </c>
      <c r="F16" s="5">
        <f t="shared" si="1"/>
        <v>651</v>
      </c>
      <c r="G16" s="5">
        <f t="shared" si="1"/>
        <v>651</v>
      </c>
      <c r="H16" s="5">
        <f t="shared" si="1"/>
        <v>651</v>
      </c>
      <c r="I16" s="5">
        <f t="shared" si="1"/>
        <v>651</v>
      </c>
      <c r="J16" s="5">
        <f t="shared" si="1"/>
        <v>651</v>
      </c>
      <c r="K16" s="5">
        <f t="shared" si="1"/>
        <v>651</v>
      </c>
      <c r="L16" s="5">
        <f t="shared" si="2"/>
        <v>651</v>
      </c>
      <c r="M16" s="5">
        <f t="shared" si="1"/>
        <v>651</v>
      </c>
      <c r="N16" s="5">
        <f t="shared" si="3"/>
        <v>651</v>
      </c>
      <c r="O16" s="5">
        <f t="shared" si="1"/>
        <v>651</v>
      </c>
      <c r="P16" s="5">
        <f t="shared" si="1"/>
        <v>651</v>
      </c>
      <c r="Q16" s="5">
        <f t="shared" si="1"/>
        <v>651</v>
      </c>
      <c r="R16" s="5">
        <f t="shared" si="1"/>
        <v>651</v>
      </c>
      <c r="S16" s="5">
        <f t="shared" si="1"/>
        <v>651</v>
      </c>
      <c r="T16" s="5">
        <f t="shared" si="1"/>
        <v>651</v>
      </c>
      <c r="U16" s="5">
        <f t="shared" si="1"/>
        <v>651</v>
      </c>
      <c r="V16" s="5">
        <f t="shared" si="10"/>
        <v>651</v>
      </c>
      <c r="W16" s="5"/>
      <c r="X16" s="5">
        <f t="shared" si="11"/>
        <v>651</v>
      </c>
      <c r="Y16" s="5">
        <f t="shared" si="12"/>
        <v>651</v>
      </c>
      <c r="Z16" s="5">
        <f t="shared" si="13"/>
        <v>651</v>
      </c>
    </row>
    <row r="17" spans="1:26" x14ac:dyDescent="0.3">
      <c r="A17" t="str">
        <f>Factors!B19</f>
        <v>BioFue</v>
      </c>
      <c r="B17" s="5">
        <v>650</v>
      </c>
      <c r="C17" s="5">
        <f t="shared" ref="C17:U17" si="14">B17</f>
        <v>650</v>
      </c>
      <c r="D17" s="5">
        <f t="shared" si="14"/>
        <v>650</v>
      </c>
      <c r="E17" s="5">
        <f t="shared" si="14"/>
        <v>650</v>
      </c>
      <c r="F17" s="5">
        <f t="shared" si="14"/>
        <v>650</v>
      </c>
      <c r="G17" s="5">
        <f t="shared" si="14"/>
        <v>650</v>
      </c>
      <c r="H17" s="5">
        <f t="shared" si="14"/>
        <v>650</v>
      </c>
      <c r="I17" s="5">
        <f t="shared" si="14"/>
        <v>650</v>
      </c>
      <c r="J17" s="5">
        <f t="shared" si="14"/>
        <v>650</v>
      </c>
      <c r="K17" s="5">
        <f t="shared" si="14"/>
        <v>650</v>
      </c>
      <c r="L17" s="5">
        <f t="shared" si="14"/>
        <v>650</v>
      </c>
      <c r="M17" s="5">
        <f t="shared" si="14"/>
        <v>650</v>
      </c>
      <c r="N17" s="5">
        <f t="shared" si="14"/>
        <v>650</v>
      </c>
      <c r="O17" s="5">
        <f t="shared" si="14"/>
        <v>650</v>
      </c>
      <c r="P17" s="5">
        <f t="shared" si="14"/>
        <v>650</v>
      </c>
      <c r="Q17" s="5">
        <f t="shared" si="14"/>
        <v>650</v>
      </c>
      <c r="R17" s="5">
        <f t="shared" si="14"/>
        <v>650</v>
      </c>
      <c r="S17" s="5">
        <f t="shared" si="14"/>
        <v>650</v>
      </c>
      <c r="T17" s="5">
        <f t="shared" si="14"/>
        <v>650</v>
      </c>
      <c r="U17" s="5">
        <f t="shared" si="14"/>
        <v>650</v>
      </c>
      <c r="V17" s="5">
        <f t="shared" si="10"/>
        <v>650</v>
      </c>
      <c r="W17" s="5"/>
      <c r="X17" s="5">
        <f t="shared" si="11"/>
        <v>650</v>
      </c>
      <c r="Y17" s="5">
        <f t="shared" si="12"/>
        <v>650</v>
      </c>
      <c r="Z17" s="5">
        <f t="shared" si="13"/>
        <v>650</v>
      </c>
    </row>
    <row r="18" spans="1:26" x14ac:dyDescent="0.3">
      <c r="A18" t="str">
        <f>Factors!B20</f>
        <v>PuChem</v>
      </c>
      <c r="B18" s="6">
        <v>5671.6872449494358</v>
      </c>
      <c r="C18" s="5">
        <f t="shared" si="9"/>
        <v>5671.6872449494358</v>
      </c>
      <c r="D18" s="5">
        <f t="shared" si="1"/>
        <v>5671.6872449494358</v>
      </c>
      <c r="E18" s="5">
        <f t="shared" si="1"/>
        <v>5671.6872449494358</v>
      </c>
      <c r="F18" s="5">
        <f t="shared" si="1"/>
        <v>5671.6872449494358</v>
      </c>
      <c r="G18" s="5">
        <f t="shared" si="1"/>
        <v>5671.6872449494358</v>
      </c>
      <c r="H18" s="5">
        <f t="shared" si="1"/>
        <v>5671.6872449494358</v>
      </c>
      <c r="I18" s="5">
        <f t="shared" si="1"/>
        <v>5671.6872449494358</v>
      </c>
      <c r="J18" s="5">
        <f t="shared" si="1"/>
        <v>5671.6872449494358</v>
      </c>
      <c r="K18" s="5">
        <f t="shared" si="1"/>
        <v>5671.6872449494358</v>
      </c>
      <c r="L18" s="5">
        <f t="shared" si="2"/>
        <v>5671.6872449494358</v>
      </c>
      <c r="M18" s="5">
        <f t="shared" si="1"/>
        <v>5671.6872449494358</v>
      </c>
      <c r="N18" s="5">
        <f t="shared" si="3"/>
        <v>5671.6872449494358</v>
      </c>
      <c r="O18" s="5">
        <f t="shared" si="1"/>
        <v>5671.6872449494358</v>
      </c>
      <c r="P18" s="5">
        <f t="shared" si="1"/>
        <v>5671.6872449494358</v>
      </c>
      <c r="Q18" s="5">
        <f t="shared" si="1"/>
        <v>5671.6872449494358</v>
      </c>
      <c r="R18" s="5">
        <f t="shared" si="1"/>
        <v>5671.6872449494358</v>
      </c>
      <c r="S18" s="5">
        <f t="shared" si="1"/>
        <v>5671.6872449494358</v>
      </c>
      <c r="T18" s="5">
        <f t="shared" si="1"/>
        <v>5671.6872449494358</v>
      </c>
      <c r="U18" s="5">
        <f t="shared" si="1"/>
        <v>5671.6872449494358</v>
      </c>
      <c r="V18" s="5">
        <f t="shared" si="10"/>
        <v>5671.6872449494358</v>
      </c>
      <c r="W18" s="5"/>
      <c r="X18" s="5">
        <f t="shared" si="11"/>
        <v>5671.6872449494358</v>
      </c>
      <c r="Y18" s="5">
        <f t="shared" si="12"/>
        <v>5671.6872449494358</v>
      </c>
      <c r="Z18" s="5">
        <f t="shared" si="13"/>
        <v>5671.6872449494358</v>
      </c>
    </row>
    <row r="19" spans="1:26" x14ac:dyDescent="0.3">
      <c r="A19" t="str">
        <f>Factors!B21</f>
        <v>PuMech</v>
      </c>
      <c r="B19" s="6">
        <v>4521.8222798989136</v>
      </c>
      <c r="C19" s="5">
        <f t="shared" si="9"/>
        <v>4521.8222798989136</v>
      </c>
      <c r="D19" s="5">
        <f t="shared" si="1"/>
        <v>4521.8222798989136</v>
      </c>
      <c r="E19" s="5">
        <f t="shared" si="1"/>
        <v>4521.8222798989136</v>
      </c>
      <c r="F19" s="5">
        <f t="shared" si="1"/>
        <v>4521.8222798989136</v>
      </c>
      <c r="G19" s="5">
        <f t="shared" si="1"/>
        <v>4521.8222798989136</v>
      </c>
      <c r="H19" s="5">
        <f t="shared" si="1"/>
        <v>4521.8222798989136</v>
      </c>
      <c r="I19" s="5">
        <f t="shared" si="1"/>
        <v>4521.8222798989136</v>
      </c>
      <c r="J19" s="5">
        <f t="shared" si="1"/>
        <v>4521.8222798989136</v>
      </c>
      <c r="K19" s="5">
        <f t="shared" si="1"/>
        <v>4521.8222798989136</v>
      </c>
      <c r="L19" s="5">
        <f t="shared" si="2"/>
        <v>4521.8222798989136</v>
      </c>
      <c r="M19" s="5">
        <f t="shared" si="1"/>
        <v>4521.8222798989136</v>
      </c>
      <c r="N19" s="5">
        <f t="shared" si="3"/>
        <v>4521.8222798989136</v>
      </c>
      <c r="O19" s="5">
        <f t="shared" si="1"/>
        <v>4521.8222798989136</v>
      </c>
      <c r="P19" s="5">
        <f t="shared" si="1"/>
        <v>4521.8222798989136</v>
      </c>
      <c r="Q19" s="5">
        <f t="shared" si="1"/>
        <v>4521.8222798989136</v>
      </c>
      <c r="R19" s="5">
        <f t="shared" si="1"/>
        <v>4521.8222798989136</v>
      </c>
      <c r="S19" s="5">
        <f t="shared" si="1"/>
        <v>4521.8222798989136</v>
      </c>
      <c r="T19" s="5">
        <f t="shared" si="1"/>
        <v>4521.8222798989136</v>
      </c>
      <c r="U19" s="5">
        <f t="shared" si="1"/>
        <v>4521.8222798989136</v>
      </c>
      <c r="V19" s="5">
        <f t="shared" si="10"/>
        <v>4521.8222798989136</v>
      </c>
      <c r="W19" s="5"/>
      <c r="X19" s="5">
        <f t="shared" si="11"/>
        <v>4521.8222798989136</v>
      </c>
      <c r="Y19" s="5">
        <f t="shared" si="12"/>
        <v>4521.8222798989136</v>
      </c>
      <c r="Z19" s="5">
        <f t="shared" si="13"/>
        <v>4521.8222798989136</v>
      </c>
    </row>
    <row r="20" spans="1:26" x14ac:dyDescent="0.3">
      <c r="A20" t="str">
        <f>Factors!B22</f>
        <v>PuDiss</v>
      </c>
      <c r="B20" s="6">
        <v>7543.8622572003678</v>
      </c>
      <c r="C20" s="5">
        <f t="shared" si="9"/>
        <v>7543.8622572003678</v>
      </c>
      <c r="D20" s="5">
        <f t="shared" si="1"/>
        <v>7543.8622572003678</v>
      </c>
      <c r="E20" s="5">
        <f t="shared" si="1"/>
        <v>7543.8622572003678</v>
      </c>
      <c r="F20" s="5">
        <f t="shared" si="1"/>
        <v>7543.8622572003678</v>
      </c>
      <c r="G20" s="5">
        <f t="shared" si="1"/>
        <v>7543.8622572003678</v>
      </c>
      <c r="H20" s="5">
        <f t="shared" si="1"/>
        <v>7543.8622572003678</v>
      </c>
      <c r="I20" s="5">
        <f t="shared" si="1"/>
        <v>7543.8622572003678</v>
      </c>
      <c r="J20" s="5">
        <f t="shared" si="1"/>
        <v>7543.8622572003678</v>
      </c>
      <c r="K20" s="5">
        <f t="shared" si="1"/>
        <v>7543.8622572003678</v>
      </c>
      <c r="L20" s="5">
        <f t="shared" si="2"/>
        <v>7543.8622572003678</v>
      </c>
      <c r="M20" s="5">
        <f t="shared" si="1"/>
        <v>7543.8622572003678</v>
      </c>
      <c r="N20" s="5">
        <f t="shared" si="3"/>
        <v>7543.8622572003678</v>
      </c>
      <c r="O20" s="5">
        <f t="shared" si="1"/>
        <v>7543.8622572003678</v>
      </c>
      <c r="P20" s="5">
        <f t="shared" si="1"/>
        <v>7543.8622572003678</v>
      </c>
      <c r="Q20" s="5">
        <f t="shared" si="1"/>
        <v>7543.8622572003678</v>
      </c>
      <c r="R20" s="5">
        <f t="shared" si="1"/>
        <v>7543.8622572003678</v>
      </c>
      <c r="S20" s="5">
        <f t="shared" si="1"/>
        <v>7543.8622572003678</v>
      </c>
      <c r="T20" s="5">
        <f t="shared" si="1"/>
        <v>7543.8622572003678</v>
      </c>
      <c r="U20" s="5">
        <f t="shared" si="1"/>
        <v>7543.8622572003678</v>
      </c>
      <c r="V20" s="5">
        <f t="shared" si="10"/>
        <v>7543.8622572003678</v>
      </c>
      <c r="W20" s="5"/>
      <c r="X20" s="5">
        <f t="shared" si="11"/>
        <v>7543.8622572003678</v>
      </c>
      <c r="Y20" s="5">
        <f t="shared" si="12"/>
        <v>7543.8622572003678</v>
      </c>
      <c r="Z20" s="5">
        <f t="shared" si="13"/>
        <v>7543.8622572003678</v>
      </c>
    </row>
    <row r="21" spans="1:26" x14ac:dyDescent="0.3">
      <c r="A21" t="str">
        <f>Factors!B23</f>
        <v>PaChem</v>
      </c>
      <c r="B21" s="6">
        <v>7987.3416225966739</v>
      </c>
      <c r="C21" s="5">
        <f t="shared" si="9"/>
        <v>7987.3416225966739</v>
      </c>
      <c r="D21" s="5">
        <f t="shared" si="1"/>
        <v>7987.3416225966739</v>
      </c>
      <c r="E21" s="5">
        <f t="shared" si="1"/>
        <v>7987.3416225966739</v>
      </c>
      <c r="F21" s="5">
        <f t="shared" si="1"/>
        <v>7987.3416225966739</v>
      </c>
      <c r="G21" s="5">
        <f t="shared" si="1"/>
        <v>7987.3416225966739</v>
      </c>
      <c r="H21" s="5">
        <f t="shared" si="1"/>
        <v>7987.3416225966739</v>
      </c>
      <c r="I21" s="5">
        <f t="shared" si="1"/>
        <v>7987.3416225966739</v>
      </c>
      <c r="J21" s="5">
        <f t="shared" si="1"/>
        <v>7987.3416225966739</v>
      </c>
      <c r="K21" s="5">
        <f t="shared" si="1"/>
        <v>7987.3416225966739</v>
      </c>
      <c r="L21" s="5">
        <f t="shared" si="2"/>
        <v>7987.3416225966739</v>
      </c>
      <c r="M21" s="5">
        <f t="shared" si="1"/>
        <v>7987.3416225966739</v>
      </c>
      <c r="N21" s="5">
        <f t="shared" si="3"/>
        <v>7987.3416225966739</v>
      </c>
      <c r="O21" s="5">
        <f t="shared" si="1"/>
        <v>7987.3416225966739</v>
      </c>
      <c r="P21" s="5">
        <f t="shared" si="1"/>
        <v>7987.3416225966739</v>
      </c>
      <c r="Q21" s="5">
        <f t="shared" si="1"/>
        <v>7987.3416225966739</v>
      </c>
      <c r="R21" s="5">
        <f t="shared" si="1"/>
        <v>7987.3416225966739</v>
      </c>
      <c r="S21" s="5">
        <f t="shared" si="1"/>
        <v>7987.3416225966739</v>
      </c>
      <c r="T21" s="5">
        <f t="shared" si="1"/>
        <v>7987.3416225966739</v>
      </c>
      <c r="U21" s="5">
        <f t="shared" si="1"/>
        <v>7987.3416225966739</v>
      </c>
      <c r="V21" s="5">
        <f t="shared" si="10"/>
        <v>7987.3416225966739</v>
      </c>
      <c r="W21" s="5"/>
      <c r="X21" s="5">
        <f t="shared" si="11"/>
        <v>7987.3416225966739</v>
      </c>
      <c r="Y21" s="5">
        <f t="shared" si="12"/>
        <v>7987.3416225966739</v>
      </c>
      <c r="Z21" s="5">
        <f t="shared" si="13"/>
        <v>7987.3416225966739</v>
      </c>
    </row>
    <row r="22" spans="1:26" x14ac:dyDescent="0.3">
      <c r="A22" t="str">
        <f>Factors!B24</f>
        <v>OtChem</v>
      </c>
      <c r="B22" s="6">
        <v>8979.0977576808982</v>
      </c>
      <c r="C22" s="5">
        <f t="shared" si="9"/>
        <v>8979.0977576808982</v>
      </c>
      <c r="D22" s="5">
        <f t="shared" ref="D22:U24" si="15">C22</f>
        <v>8979.0977576808982</v>
      </c>
      <c r="E22" s="5">
        <f t="shared" si="15"/>
        <v>8979.0977576808982</v>
      </c>
      <c r="F22" s="5">
        <f t="shared" si="15"/>
        <v>8979.0977576808982</v>
      </c>
      <c r="G22" s="5">
        <f t="shared" si="15"/>
        <v>8979.0977576808982</v>
      </c>
      <c r="H22" s="5">
        <f t="shared" si="15"/>
        <v>8979.0977576808982</v>
      </c>
      <c r="I22" s="5">
        <f t="shared" si="15"/>
        <v>8979.0977576808982</v>
      </c>
      <c r="J22" s="5">
        <f t="shared" si="15"/>
        <v>8979.0977576808982</v>
      </c>
      <c r="K22" s="5">
        <f t="shared" si="15"/>
        <v>8979.0977576808982</v>
      </c>
      <c r="L22" s="5">
        <f t="shared" si="2"/>
        <v>8979.0977576808982</v>
      </c>
      <c r="M22" s="5">
        <f t="shared" si="15"/>
        <v>8979.0977576808982</v>
      </c>
      <c r="N22" s="5">
        <f t="shared" si="3"/>
        <v>8979.0977576808982</v>
      </c>
      <c r="O22" s="5">
        <f t="shared" si="15"/>
        <v>8979.0977576808982</v>
      </c>
      <c r="P22" s="5">
        <f t="shared" si="15"/>
        <v>8979.0977576808982</v>
      </c>
      <c r="Q22" s="5">
        <f t="shared" si="15"/>
        <v>8979.0977576808982</v>
      </c>
      <c r="R22" s="5">
        <f t="shared" si="15"/>
        <v>8979.0977576808982</v>
      </c>
      <c r="S22" s="5">
        <f t="shared" si="15"/>
        <v>8979.0977576808982</v>
      </c>
      <c r="T22" s="5">
        <f t="shared" si="15"/>
        <v>8979.0977576808982</v>
      </c>
      <c r="U22" s="5">
        <f t="shared" si="15"/>
        <v>8979.0977576808982</v>
      </c>
      <c r="V22" s="5">
        <f t="shared" si="10"/>
        <v>8979.0977576808982</v>
      </c>
      <c r="W22" s="5"/>
      <c r="X22" s="5">
        <f t="shared" si="11"/>
        <v>8979.0977576808982</v>
      </c>
      <c r="Y22" s="5">
        <f t="shared" si="12"/>
        <v>8979.0977576808982</v>
      </c>
      <c r="Z22" s="5">
        <f t="shared" si="13"/>
        <v>8979.0977576808982</v>
      </c>
    </row>
    <row r="23" spans="1:26" x14ac:dyDescent="0.3">
      <c r="A23" t="str">
        <f>Factors!B25</f>
        <v>OtMech</v>
      </c>
      <c r="B23" s="6">
        <v>6194.744892345203</v>
      </c>
      <c r="C23" s="5">
        <f t="shared" si="9"/>
        <v>6194.744892345203</v>
      </c>
      <c r="D23" s="5">
        <f t="shared" si="15"/>
        <v>6194.744892345203</v>
      </c>
      <c r="E23" s="5">
        <f t="shared" si="15"/>
        <v>6194.744892345203</v>
      </c>
      <c r="F23" s="5">
        <f t="shared" si="15"/>
        <v>6194.744892345203</v>
      </c>
      <c r="G23" s="5">
        <f t="shared" si="15"/>
        <v>6194.744892345203</v>
      </c>
      <c r="H23" s="5">
        <f t="shared" si="15"/>
        <v>6194.744892345203</v>
      </c>
      <c r="I23" s="5">
        <f t="shared" si="15"/>
        <v>6194.744892345203</v>
      </c>
      <c r="J23" s="5">
        <f t="shared" si="15"/>
        <v>6194.744892345203</v>
      </c>
      <c r="K23" s="5">
        <f t="shared" si="15"/>
        <v>6194.744892345203</v>
      </c>
      <c r="L23" s="5">
        <f t="shared" si="2"/>
        <v>6194.744892345203</v>
      </c>
      <c r="M23" s="5">
        <f t="shared" si="15"/>
        <v>6194.744892345203</v>
      </c>
      <c r="N23" s="5">
        <f t="shared" si="3"/>
        <v>6194.744892345203</v>
      </c>
      <c r="O23" s="5">
        <f t="shared" si="15"/>
        <v>6194.744892345203</v>
      </c>
      <c r="P23" s="5">
        <f t="shared" si="15"/>
        <v>6194.744892345203</v>
      </c>
      <c r="Q23" s="5">
        <f t="shared" si="15"/>
        <v>6194.744892345203</v>
      </c>
      <c r="R23" s="5">
        <f t="shared" si="15"/>
        <v>6194.744892345203</v>
      </c>
      <c r="S23" s="5">
        <f t="shared" si="15"/>
        <v>6194.744892345203</v>
      </c>
      <c r="T23" s="5">
        <f t="shared" si="15"/>
        <v>6194.744892345203</v>
      </c>
      <c r="U23" s="5">
        <f t="shared" si="15"/>
        <v>6194.744892345203</v>
      </c>
      <c r="V23" s="5">
        <f t="shared" si="10"/>
        <v>6194.744892345203</v>
      </c>
      <c r="W23" s="5"/>
      <c r="X23" s="5">
        <f t="shared" si="11"/>
        <v>6194.744892345203</v>
      </c>
      <c r="Y23" s="5">
        <f t="shared" si="12"/>
        <v>6194.744892345203</v>
      </c>
      <c r="Z23" s="5">
        <f t="shared" si="13"/>
        <v>6194.744892345203</v>
      </c>
    </row>
    <row r="24" spans="1:26" x14ac:dyDescent="0.3">
      <c r="A24" t="str">
        <f>Factors!B26</f>
        <v>NwMech</v>
      </c>
      <c r="B24" s="6">
        <v>5203.8884869339317</v>
      </c>
      <c r="C24" s="5">
        <f t="shared" si="9"/>
        <v>5203.8884869339317</v>
      </c>
      <c r="D24" s="5">
        <f t="shared" si="15"/>
        <v>5203.8884869339317</v>
      </c>
      <c r="E24" s="5">
        <f t="shared" si="15"/>
        <v>5203.8884869339317</v>
      </c>
      <c r="F24" s="5">
        <f t="shared" si="15"/>
        <v>5203.8884869339317</v>
      </c>
      <c r="G24" s="5">
        <f t="shared" si="15"/>
        <v>5203.8884869339317</v>
      </c>
      <c r="H24" s="5">
        <f t="shared" si="15"/>
        <v>5203.8884869339317</v>
      </c>
      <c r="I24" s="5">
        <f t="shared" si="15"/>
        <v>5203.8884869339317</v>
      </c>
      <c r="J24" s="5">
        <f t="shared" si="15"/>
        <v>5203.8884869339317</v>
      </c>
      <c r="K24" s="5">
        <f t="shared" si="15"/>
        <v>5203.8884869339317</v>
      </c>
      <c r="L24" s="5">
        <f t="shared" si="2"/>
        <v>5203.8884869339317</v>
      </c>
      <c r="M24" s="5">
        <f t="shared" si="15"/>
        <v>5203.8884869339317</v>
      </c>
      <c r="N24" s="5">
        <f t="shared" si="3"/>
        <v>5203.8884869339317</v>
      </c>
      <c r="O24" s="5">
        <f t="shared" si="15"/>
        <v>5203.8884869339317</v>
      </c>
      <c r="P24" s="5">
        <f t="shared" si="15"/>
        <v>5203.8884869339317</v>
      </c>
      <c r="Q24" s="5">
        <f t="shared" si="15"/>
        <v>5203.8884869339317</v>
      </c>
      <c r="R24" s="5">
        <f t="shared" si="15"/>
        <v>5203.8884869339317</v>
      </c>
      <c r="S24" s="5">
        <f t="shared" si="15"/>
        <v>5203.8884869339317</v>
      </c>
      <c r="T24" s="5">
        <f t="shared" si="15"/>
        <v>5203.8884869339317</v>
      </c>
      <c r="U24" s="5">
        <f t="shared" si="15"/>
        <v>5203.8884869339317</v>
      </c>
      <c r="V24" s="5">
        <f t="shared" si="10"/>
        <v>5203.8884869339317</v>
      </c>
      <c r="W24" s="5"/>
      <c r="X24" s="5">
        <f t="shared" si="11"/>
        <v>5203.8884869339317</v>
      </c>
      <c r="Y24" s="5">
        <f t="shared" si="12"/>
        <v>5203.8884869339317</v>
      </c>
      <c r="Z24" s="5">
        <f t="shared" si="13"/>
        <v>5203.8884869339317</v>
      </c>
    </row>
    <row r="25" spans="1:26" x14ac:dyDescent="0.3">
      <c r="B25" s="6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8.75" x14ac:dyDescent="0.3">
      <c r="A26" s="10" t="s">
        <v>69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 t="str">
        <f>Factors!B2</f>
        <v>PinTim</v>
      </c>
      <c r="B27" s="5">
        <v>0</v>
      </c>
      <c r="C27" s="5">
        <f t="shared" ref="C27:U27" si="16">B27</f>
        <v>0</v>
      </c>
      <c r="D27" s="5">
        <f t="shared" si="16"/>
        <v>0</v>
      </c>
      <c r="E27" s="5">
        <f t="shared" si="16"/>
        <v>0</v>
      </c>
      <c r="F27" s="5">
        <f t="shared" si="16"/>
        <v>0</v>
      </c>
      <c r="G27" s="5">
        <f t="shared" si="16"/>
        <v>0</v>
      </c>
      <c r="H27" s="5">
        <f t="shared" si="16"/>
        <v>0</v>
      </c>
      <c r="I27" s="5">
        <f t="shared" si="16"/>
        <v>0</v>
      </c>
      <c r="J27" s="5">
        <f t="shared" si="16"/>
        <v>0</v>
      </c>
      <c r="K27" s="5">
        <f t="shared" si="16"/>
        <v>0</v>
      </c>
      <c r="L27" s="5">
        <f t="shared" si="16"/>
        <v>0</v>
      </c>
      <c r="M27" s="5">
        <f t="shared" si="16"/>
        <v>0</v>
      </c>
      <c r="N27" s="5">
        <f t="shared" si="16"/>
        <v>0</v>
      </c>
      <c r="O27" s="5">
        <f t="shared" si="16"/>
        <v>0</v>
      </c>
      <c r="P27" s="5">
        <f t="shared" si="16"/>
        <v>0</v>
      </c>
      <c r="Q27" s="5">
        <f t="shared" si="16"/>
        <v>0</v>
      </c>
      <c r="R27" s="5">
        <f t="shared" si="16"/>
        <v>0</v>
      </c>
      <c r="S27" s="5">
        <f t="shared" si="16"/>
        <v>0</v>
      </c>
      <c r="T27" s="5">
        <f t="shared" si="16"/>
        <v>0</v>
      </c>
      <c r="U27" s="5">
        <f t="shared" si="16"/>
        <v>0</v>
      </c>
      <c r="V27" s="5">
        <f t="shared" ref="V27:V33" si="17">U27</f>
        <v>0</v>
      </c>
      <c r="W27" s="5"/>
      <c r="X27" s="5">
        <f t="shared" ref="X27:X33" si="18">V27</f>
        <v>0</v>
      </c>
      <c r="Y27" s="5">
        <f t="shared" ref="Y27:Y33" si="19">X27</f>
        <v>0</v>
      </c>
      <c r="Z27" s="5">
        <f t="shared" ref="Z27:Z33" si="20">Y27</f>
        <v>0</v>
      </c>
    </row>
    <row r="28" spans="1:26" x14ac:dyDescent="0.3">
      <c r="A28" t="str">
        <f>Factors!B3</f>
        <v>PinPuw</v>
      </c>
      <c r="B28" s="5">
        <v>0</v>
      </c>
      <c r="C28" s="5">
        <f t="shared" ref="C28:U28" si="21">B28</f>
        <v>0</v>
      </c>
      <c r="D28" s="5">
        <f t="shared" si="21"/>
        <v>0</v>
      </c>
      <c r="E28" s="5">
        <f t="shared" si="21"/>
        <v>0</v>
      </c>
      <c r="F28" s="5">
        <f t="shared" si="21"/>
        <v>0</v>
      </c>
      <c r="G28" s="5">
        <f t="shared" si="21"/>
        <v>0</v>
      </c>
      <c r="H28" s="5">
        <f t="shared" si="21"/>
        <v>0</v>
      </c>
      <c r="I28" s="5">
        <f t="shared" si="21"/>
        <v>0</v>
      </c>
      <c r="J28" s="5">
        <f t="shared" si="21"/>
        <v>0</v>
      </c>
      <c r="K28" s="5">
        <f t="shared" si="21"/>
        <v>0</v>
      </c>
      <c r="L28" s="5">
        <f t="shared" si="21"/>
        <v>0</v>
      </c>
      <c r="M28" s="5">
        <f t="shared" si="21"/>
        <v>0</v>
      </c>
      <c r="N28" s="5">
        <f t="shared" si="21"/>
        <v>0</v>
      </c>
      <c r="O28" s="5">
        <f t="shared" si="21"/>
        <v>0</v>
      </c>
      <c r="P28" s="5">
        <f t="shared" si="21"/>
        <v>0</v>
      </c>
      <c r="Q28" s="5">
        <f t="shared" si="21"/>
        <v>0</v>
      </c>
      <c r="R28" s="5">
        <f t="shared" si="21"/>
        <v>0</v>
      </c>
      <c r="S28" s="5">
        <f t="shared" si="21"/>
        <v>0</v>
      </c>
      <c r="T28" s="5">
        <f t="shared" si="21"/>
        <v>0</v>
      </c>
      <c r="U28" s="5">
        <f t="shared" si="21"/>
        <v>0</v>
      </c>
      <c r="V28" s="5">
        <f t="shared" si="17"/>
        <v>0</v>
      </c>
      <c r="W28" s="5"/>
      <c r="X28" s="5">
        <f t="shared" si="18"/>
        <v>0</v>
      </c>
      <c r="Y28" s="5">
        <f t="shared" si="19"/>
        <v>0</v>
      </c>
      <c r="Z28" s="5">
        <f t="shared" si="20"/>
        <v>0</v>
      </c>
    </row>
    <row r="29" spans="1:26" x14ac:dyDescent="0.3">
      <c r="A29" t="str">
        <f>Factors!B4</f>
        <v>SprTim</v>
      </c>
      <c r="B29" s="5">
        <v>0</v>
      </c>
      <c r="C29" s="5">
        <f t="shared" ref="C29:U29" si="22">B29</f>
        <v>0</v>
      </c>
      <c r="D29" s="5">
        <f t="shared" si="22"/>
        <v>0</v>
      </c>
      <c r="E29" s="5">
        <f t="shared" si="22"/>
        <v>0</v>
      </c>
      <c r="F29" s="5">
        <f t="shared" si="22"/>
        <v>0</v>
      </c>
      <c r="G29" s="5">
        <f t="shared" si="22"/>
        <v>0</v>
      </c>
      <c r="H29" s="5">
        <f t="shared" si="22"/>
        <v>0</v>
      </c>
      <c r="I29" s="5">
        <f t="shared" si="22"/>
        <v>0</v>
      </c>
      <c r="J29" s="5">
        <f t="shared" si="22"/>
        <v>0</v>
      </c>
      <c r="K29" s="5">
        <f t="shared" si="22"/>
        <v>0</v>
      </c>
      <c r="L29" s="5">
        <f t="shared" si="22"/>
        <v>0</v>
      </c>
      <c r="M29" s="5">
        <f t="shared" si="22"/>
        <v>0</v>
      </c>
      <c r="N29" s="5">
        <f t="shared" si="22"/>
        <v>0</v>
      </c>
      <c r="O29" s="5">
        <f t="shared" si="22"/>
        <v>0</v>
      </c>
      <c r="P29" s="5">
        <f t="shared" si="22"/>
        <v>0</v>
      </c>
      <c r="Q29" s="5">
        <f t="shared" si="22"/>
        <v>0</v>
      </c>
      <c r="R29" s="5">
        <f t="shared" si="22"/>
        <v>0</v>
      </c>
      <c r="S29" s="5">
        <f t="shared" si="22"/>
        <v>0</v>
      </c>
      <c r="T29" s="5">
        <f t="shared" si="22"/>
        <v>0</v>
      </c>
      <c r="U29" s="5">
        <f t="shared" si="22"/>
        <v>0</v>
      </c>
      <c r="V29" s="5">
        <f t="shared" si="17"/>
        <v>0</v>
      </c>
      <c r="W29" s="5"/>
      <c r="X29" s="5">
        <f t="shared" si="18"/>
        <v>0</v>
      </c>
      <c r="Y29" s="5">
        <f t="shared" si="19"/>
        <v>0</v>
      </c>
      <c r="Z29" s="5">
        <f t="shared" si="20"/>
        <v>0</v>
      </c>
    </row>
    <row r="30" spans="1:26" x14ac:dyDescent="0.3">
      <c r="A30" t="str">
        <f>Factors!B5</f>
        <v>SprPuw</v>
      </c>
      <c r="B30" s="5">
        <v>0</v>
      </c>
      <c r="C30" s="5">
        <f t="shared" ref="C30:U30" si="23">B30</f>
        <v>0</v>
      </c>
      <c r="D30" s="5">
        <f t="shared" si="23"/>
        <v>0</v>
      </c>
      <c r="E30" s="5">
        <f t="shared" si="23"/>
        <v>0</v>
      </c>
      <c r="F30" s="5">
        <f t="shared" si="23"/>
        <v>0</v>
      </c>
      <c r="G30" s="5">
        <f t="shared" si="23"/>
        <v>0</v>
      </c>
      <c r="H30" s="5">
        <f t="shared" si="23"/>
        <v>0</v>
      </c>
      <c r="I30" s="5">
        <f t="shared" si="23"/>
        <v>0</v>
      </c>
      <c r="J30" s="5">
        <f t="shared" si="23"/>
        <v>0</v>
      </c>
      <c r="K30" s="5">
        <f t="shared" si="23"/>
        <v>0</v>
      </c>
      <c r="L30" s="5">
        <f t="shared" si="23"/>
        <v>0</v>
      </c>
      <c r="M30" s="5">
        <f t="shared" si="23"/>
        <v>0</v>
      </c>
      <c r="N30" s="5">
        <f t="shared" si="23"/>
        <v>0</v>
      </c>
      <c r="O30" s="5">
        <f t="shared" si="23"/>
        <v>0</v>
      </c>
      <c r="P30" s="5">
        <f t="shared" si="23"/>
        <v>0</v>
      </c>
      <c r="Q30" s="5">
        <f t="shared" si="23"/>
        <v>0</v>
      </c>
      <c r="R30" s="5">
        <f t="shared" si="23"/>
        <v>0</v>
      </c>
      <c r="S30" s="5">
        <f t="shared" si="23"/>
        <v>0</v>
      </c>
      <c r="T30" s="5">
        <f t="shared" si="23"/>
        <v>0</v>
      </c>
      <c r="U30" s="5">
        <f t="shared" si="23"/>
        <v>0</v>
      </c>
      <c r="V30" s="5">
        <f t="shared" si="17"/>
        <v>0</v>
      </c>
      <c r="W30" s="5"/>
      <c r="X30" s="5">
        <f t="shared" si="18"/>
        <v>0</v>
      </c>
      <c r="Y30" s="5">
        <f t="shared" si="19"/>
        <v>0</v>
      </c>
      <c r="Z30" s="5">
        <f t="shared" si="20"/>
        <v>0</v>
      </c>
    </row>
    <row r="31" spans="1:26" x14ac:dyDescent="0.3">
      <c r="A31" t="str">
        <f>Factors!B7</f>
        <v>Decids</v>
      </c>
      <c r="B31" s="5">
        <v>0</v>
      </c>
      <c r="C31" s="5">
        <f t="shared" ref="C31:U31" si="24">B31</f>
        <v>0</v>
      </c>
      <c r="D31" s="5">
        <f t="shared" si="24"/>
        <v>0</v>
      </c>
      <c r="E31" s="5">
        <f t="shared" si="24"/>
        <v>0</v>
      </c>
      <c r="F31" s="5">
        <f t="shared" si="24"/>
        <v>0</v>
      </c>
      <c r="G31" s="5">
        <f t="shared" si="24"/>
        <v>0</v>
      </c>
      <c r="H31" s="5">
        <f t="shared" si="24"/>
        <v>0</v>
      </c>
      <c r="I31" s="5">
        <f t="shared" si="24"/>
        <v>0</v>
      </c>
      <c r="J31" s="5">
        <f t="shared" si="24"/>
        <v>0</v>
      </c>
      <c r="K31" s="5">
        <f t="shared" si="24"/>
        <v>0</v>
      </c>
      <c r="L31" s="5">
        <f t="shared" si="24"/>
        <v>0</v>
      </c>
      <c r="M31" s="5">
        <f t="shared" si="24"/>
        <v>0</v>
      </c>
      <c r="N31" s="5">
        <f t="shared" si="24"/>
        <v>0</v>
      </c>
      <c r="O31" s="5">
        <f t="shared" si="24"/>
        <v>0</v>
      </c>
      <c r="P31" s="5">
        <f t="shared" si="24"/>
        <v>0</v>
      </c>
      <c r="Q31" s="5">
        <f t="shared" si="24"/>
        <v>0</v>
      </c>
      <c r="R31" s="5">
        <f t="shared" si="24"/>
        <v>0</v>
      </c>
      <c r="S31" s="5">
        <f t="shared" si="24"/>
        <v>0</v>
      </c>
      <c r="T31" s="5">
        <f t="shared" si="24"/>
        <v>0</v>
      </c>
      <c r="U31" s="5">
        <f t="shared" si="24"/>
        <v>0</v>
      </c>
      <c r="V31" s="5">
        <f t="shared" si="17"/>
        <v>0</v>
      </c>
      <c r="W31" s="5"/>
      <c r="X31" s="5">
        <f t="shared" si="18"/>
        <v>0</v>
      </c>
      <c r="Y31" s="5">
        <f t="shared" si="19"/>
        <v>0</v>
      </c>
      <c r="Z31" s="5">
        <f t="shared" si="20"/>
        <v>0</v>
      </c>
    </row>
    <row r="32" spans="1:26" x14ac:dyDescent="0.3">
      <c r="A32" t="str">
        <f>Factors!B8</f>
        <v>Sawdst</v>
      </c>
      <c r="B32" s="5">
        <v>0</v>
      </c>
      <c r="C32" s="5">
        <f t="shared" ref="C32:U32" si="25">B32</f>
        <v>0</v>
      </c>
      <c r="D32" s="5">
        <f t="shared" si="25"/>
        <v>0</v>
      </c>
      <c r="E32" s="5">
        <f t="shared" si="25"/>
        <v>0</v>
      </c>
      <c r="F32" s="5">
        <f t="shared" si="25"/>
        <v>0</v>
      </c>
      <c r="G32" s="5">
        <f t="shared" si="25"/>
        <v>0</v>
      </c>
      <c r="H32" s="5">
        <f t="shared" si="25"/>
        <v>0</v>
      </c>
      <c r="I32" s="5">
        <f t="shared" si="25"/>
        <v>0</v>
      </c>
      <c r="J32" s="5">
        <f t="shared" si="25"/>
        <v>0</v>
      </c>
      <c r="K32" s="5">
        <f t="shared" si="25"/>
        <v>0</v>
      </c>
      <c r="L32" s="5">
        <f t="shared" si="25"/>
        <v>0</v>
      </c>
      <c r="M32" s="5">
        <f t="shared" si="25"/>
        <v>0</v>
      </c>
      <c r="N32" s="5">
        <f t="shared" si="25"/>
        <v>0</v>
      </c>
      <c r="O32" s="5">
        <f t="shared" si="25"/>
        <v>0</v>
      </c>
      <c r="P32" s="5">
        <f t="shared" si="25"/>
        <v>0</v>
      </c>
      <c r="Q32" s="5">
        <f t="shared" si="25"/>
        <v>0</v>
      </c>
      <c r="R32" s="5">
        <f t="shared" si="25"/>
        <v>0</v>
      </c>
      <c r="S32" s="5">
        <f t="shared" si="25"/>
        <v>0</v>
      </c>
      <c r="T32" s="5">
        <f t="shared" si="25"/>
        <v>0</v>
      </c>
      <c r="U32" s="5">
        <f t="shared" si="25"/>
        <v>0</v>
      </c>
      <c r="V32" s="5">
        <f t="shared" si="17"/>
        <v>0</v>
      </c>
      <c r="W32" s="5"/>
      <c r="X32" s="5">
        <f t="shared" si="18"/>
        <v>0</v>
      </c>
      <c r="Y32" s="5">
        <f t="shared" si="19"/>
        <v>0</v>
      </c>
      <c r="Z32" s="5">
        <f t="shared" si="20"/>
        <v>0</v>
      </c>
    </row>
    <row r="33" spans="1:26" x14ac:dyDescent="0.3">
      <c r="A33" t="str">
        <f>Factors!B9</f>
        <v>Chips_</v>
      </c>
      <c r="B33" s="5">
        <v>0</v>
      </c>
      <c r="C33" s="5">
        <f t="shared" ref="C33:U33" si="26">B33</f>
        <v>0</v>
      </c>
      <c r="D33" s="5">
        <f t="shared" si="26"/>
        <v>0</v>
      </c>
      <c r="E33" s="5">
        <f t="shared" si="26"/>
        <v>0</v>
      </c>
      <c r="F33" s="5">
        <f t="shared" si="26"/>
        <v>0</v>
      </c>
      <c r="G33" s="5">
        <f t="shared" si="26"/>
        <v>0</v>
      </c>
      <c r="H33" s="5">
        <f t="shared" si="26"/>
        <v>0</v>
      </c>
      <c r="I33" s="5">
        <f t="shared" si="26"/>
        <v>0</v>
      </c>
      <c r="J33" s="5">
        <f t="shared" si="26"/>
        <v>0</v>
      </c>
      <c r="K33" s="5">
        <f t="shared" si="26"/>
        <v>0</v>
      </c>
      <c r="L33" s="5">
        <f t="shared" si="26"/>
        <v>0</v>
      </c>
      <c r="M33" s="5">
        <f t="shared" si="26"/>
        <v>0</v>
      </c>
      <c r="N33" s="5">
        <f t="shared" si="26"/>
        <v>0</v>
      </c>
      <c r="O33" s="5">
        <f t="shared" si="26"/>
        <v>0</v>
      </c>
      <c r="P33" s="5">
        <f t="shared" si="26"/>
        <v>0</v>
      </c>
      <c r="Q33" s="5">
        <f t="shared" si="26"/>
        <v>0</v>
      </c>
      <c r="R33" s="5">
        <f t="shared" si="26"/>
        <v>0</v>
      </c>
      <c r="S33" s="5">
        <f t="shared" si="26"/>
        <v>0</v>
      </c>
      <c r="T33" s="5">
        <f t="shared" si="26"/>
        <v>0</v>
      </c>
      <c r="U33" s="5">
        <f t="shared" si="26"/>
        <v>0</v>
      </c>
      <c r="V33" s="5">
        <f t="shared" si="17"/>
        <v>0</v>
      </c>
      <c r="W33" s="5"/>
      <c r="X33" s="5">
        <f t="shared" si="18"/>
        <v>0</v>
      </c>
      <c r="Y33" s="5">
        <f t="shared" si="19"/>
        <v>0</v>
      </c>
      <c r="Z33" s="5">
        <f t="shared" si="20"/>
        <v>0</v>
      </c>
    </row>
    <row r="34" spans="1:26" x14ac:dyDescent="0.3">
      <c r="A34" t="str">
        <f>Factors!B10</f>
        <v>ResStm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/>
      <c r="X34" s="5">
        <v>0</v>
      </c>
      <c r="Y34" s="5">
        <v>0</v>
      </c>
      <c r="Z34" s="5">
        <v>0</v>
      </c>
    </row>
    <row r="35" spans="1:26" x14ac:dyDescent="0.3">
      <c r="A35" t="str">
        <f>Factors!B11</f>
        <v>ResRot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/>
      <c r="X35" s="5">
        <v>0</v>
      </c>
      <c r="Y35" s="5">
        <v>0</v>
      </c>
      <c r="Z35" s="5">
        <v>0</v>
      </c>
    </row>
    <row r="36" spans="1:26" x14ac:dyDescent="0.3">
      <c r="A36" t="str">
        <f>Factors!B15</f>
        <v>Sawnco</v>
      </c>
      <c r="B36" s="6">
        <v>18630000</v>
      </c>
      <c r="C36" s="5">
        <v>18816300</v>
      </c>
      <c r="D36" s="5">
        <v>19004463</v>
      </c>
      <c r="E36" s="5">
        <v>19194507.629999999</v>
      </c>
      <c r="F36" s="5">
        <v>19386452.706299998</v>
      </c>
      <c r="G36" s="5">
        <v>19580317.233362999</v>
      </c>
      <c r="H36" s="5">
        <v>19580317.233362999</v>
      </c>
      <c r="I36" s="5">
        <v>19580317.233362999</v>
      </c>
      <c r="J36" s="5">
        <v>19580317.233362999</v>
      </c>
      <c r="K36" s="5">
        <v>19580317.233362999</v>
      </c>
      <c r="L36" s="5">
        <v>19580317.233362999</v>
      </c>
      <c r="M36" s="5">
        <v>19580317.233362999</v>
      </c>
      <c r="N36" s="5">
        <v>19580317.233362999</v>
      </c>
      <c r="O36" s="5">
        <v>19580317.233362999</v>
      </c>
      <c r="P36" s="5">
        <v>19580317.233362999</v>
      </c>
      <c r="Q36" s="5">
        <v>19580317.233362999</v>
      </c>
      <c r="R36" s="5">
        <v>19580317.233362999</v>
      </c>
      <c r="S36" s="5">
        <v>19580317.233362999</v>
      </c>
      <c r="T36" s="5">
        <v>19580317.233362999</v>
      </c>
      <c r="U36" s="5">
        <v>19580317.233362999</v>
      </c>
      <c r="V36" s="5">
        <v>19580317.233362999</v>
      </c>
      <c r="W36" s="5"/>
      <c r="X36" s="5">
        <v>19580317.233362999</v>
      </c>
      <c r="Y36" s="5">
        <v>19580317.233362999</v>
      </c>
      <c r="Z36" s="5">
        <v>19580317.233362999</v>
      </c>
    </row>
    <row r="37" spans="1:26" s="59" customFormat="1" x14ac:dyDescent="0.3">
      <c r="A37" s="59" t="str">
        <f>Factors!B16</f>
        <v>Sawnbe</v>
      </c>
      <c r="B37" s="61">
        <v>111</v>
      </c>
      <c r="C37" s="61">
        <v>0</v>
      </c>
      <c r="D37" s="61">
        <v>0</v>
      </c>
      <c r="E37" s="61">
        <v>0</v>
      </c>
      <c r="F37" s="61">
        <v>0</v>
      </c>
      <c r="G37" s="61">
        <v>0</v>
      </c>
      <c r="H37" s="61">
        <v>0</v>
      </c>
      <c r="I37" s="61">
        <v>0</v>
      </c>
      <c r="J37" s="61">
        <v>0</v>
      </c>
      <c r="K37" s="61">
        <v>0</v>
      </c>
      <c r="L37" s="61">
        <v>0</v>
      </c>
      <c r="M37" s="61">
        <v>0</v>
      </c>
      <c r="N37" s="61">
        <v>0</v>
      </c>
      <c r="O37" s="61">
        <v>0</v>
      </c>
      <c r="P37" s="61">
        <v>0</v>
      </c>
      <c r="Q37" s="61">
        <v>0</v>
      </c>
      <c r="R37" s="61">
        <v>0</v>
      </c>
      <c r="S37" s="61">
        <v>0</v>
      </c>
      <c r="T37" s="61">
        <v>0</v>
      </c>
      <c r="U37" s="61">
        <v>0</v>
      </c>
      <c r="V37" s="61">
        <v>0</v>
      </c>
      <c r="W37" s="61"/>
      <c r="X37" s="61"/>
      <c r="Y37" s="61"/>
      <c r="Z37" s="61"/>
    </row>
    <row r="38" spans="1:26" x14ac:dyDescent="0.3">
      <c r="A38" t="str">
        <f>Factors!B17</f>
        <v>Heat__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/>
      <c r="X38" s="5">
        <v>17250000</v>
      </c>
      <c r="Y38" s="5">
        <v>17250000</v>
      </c>
      <c r="Z38" s="5">
        <v>17250000</v>
      </c>
    </row>
    <row r="39" spans="1:26" x14ac:dyDescent="0.3">
      <c r="A39" t="str">
        <f>Factors!B18</f>
        <v>Electr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/>
      <c r="X39" s="5">
        <v>0</v>
      </c>
      <c r="Y39" s="5">
        <v>0</v>
      </c>
      <c r="Z39" s="5">
        <v>0</v>
      </c>
    </row>
    <row r="40" spans="1:26" x14ac:dyDescent="0.3">
      <c r="A40" t="str">
        <f>Factors!B19</f>
        <v>BioFue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/>
      <c r="X40" s="5">
        <v>0</v>
      </c>
      <c r="Y40" s="5">
        <v>0</v>
      </c>
      <c r="Z40" s="5">
        <v>0</v>
      </c>
    </row>
    <row r="41" spans="1:26" x14ac:dyDescent="0.3">
      <c r="A41" t="str">
        <f>Factors!B20</f>
        <v>PuChem</v>
      </c>
      <c r="B41" s="6">
        <v>3290524</v>
      </c>
      <c r="C41" s="5">
        <v>3435447.0888858577</v>
      </c>
      <c r="D41" s="5">
        <v>3586752.9610889675</v>
      </c>
      <c r="E41" s="5">
        <v>3744722.7307036277</v>
      </c>
      <c r="F41" s="5">
        <v>3909649.8928074911</v>
      </c>
      <c r="G41" s="5">
        <v>4081840.8687517252</v>
      </c>
      <c r="H41" s="5">
        <v>4081840.8687517252</v>
      </c>
      <c r="I41" s="5">
        <v>4081840.8687517252</v>
      </c>
      <c r="J41" s="5">
        <v>4081840.8687517252</v>
      </c>
      <c r="K41" s="5">
        <v>4081840.8687517252</v>
      </c>
      <c r="L41" s="5">
        <v>4081840.8687517252</v>
      </c>
      <c r="M41" s="5">
        <v>4081840.8687517252</v>
      </c>
      <c r="N41" s="5">
        <v>4081840.8687517252</v>
      </c>
      <c r="O41" s="5">
        <v>4081840.8687517252</v>
      </c>
      <c r="P41" s="5">
        <v>4081840.8687517252</v>
      </c>
      <c r="Q41" s="5">
        <v>4081840.8687517252</v>
      </c>
      <c r="R41" s="5">
        <v>4081840.8687517252</v>
      </c>
      <c r="S41" s="5">
        <v>4081840.8687517252</v>
      </c>
      <c r="T41" s="5">
        <v>4081840.8687517252</v>
      </c>
      <c r="U41" s="5">
        <v>4081840.8687517252</v>
      </c>
      <c r="V41" s="5">
        <v>4081840.8687517252</v>
      </c>
      <c r="W41" s="5"/>
      <c r="X41" s="5">
        <v>4081840.8687517252</v>
      </c>
      <c r="Y41" s="5">
        <v>4081840.8687517252</v>
      </c>
      <c r="Z41" s="5">
        <v>4081840.8687517252</v>
      </c>
    </row>
    <row r="42" spans="1:26" x14ac:dyDescent="0.3">
      <c r="A42" t="str">
        <f>Factors!B21</f>
        <v>PuMech</v>
      </c>
      <c r="B42" s="6">
        <v>409948</v>
      </c>
      <c r="C42" s="5">
        <v>403929.61402838596</v>
      </c>
      <c r="D42" s="5">
        <v>397999.58309132099</v>
      </c>
      <c r="E42" s="5">
        <v>392156.61006160732</v>
      </c>
      <c r="F42" s="5">
        <v>386399.41685497988</v>
      </c>
      <c r="G42" s="5">
        <v>380726.74415053963</v>
      </c>
      <c r="H42" s="5">
        <v>380726.74415053963</v>
      </c>
      <c r="I42" s="5">
        <v>380726.74415053963</v>
      </c>
      <c r="J42" s="5">
        <v>380726.74415053963</v>
      </c>
      <c r="K42" s="5">
        <v>380726.74415053963</v>
      </c>
      <c r="L42" s="5">
        <v>380726.74415053963</v>
      </c>
      <c r="M42" s="5">
        <v>380726.74415053963</v>
      </c>
      <c r="N42" s="5">
        <v>380726.74415053963</v>
      </c>
      <c r="O42" s="5">
        <v>380726.74415053963</v>
      </c>
      <c r="P42" s="5">
        <v>380726.74415053963</v>
      </c>
      <c r="Q42" s="5">
        <v>380726.74415053963</v>
      </c>
      <c r="R42" s="5">
        <v>380726.74415053963</v>
      </c>
      <c r="S42" s="5">
        <v>380726.74415053963</v>
      </c>
      <c r="T42" s="5">
        <v>380726.74415053963</v>
      </c>
      <c r="U42" s="5">
        <v>380726.74415053963</v>
      </c>
      <c r="V42" s="5">
        <v>380726.74415053963</v>
      </c>
      <c r="W42" s="5"/>
      <c r="X42" s="5">
        <v>380726.74415053963</v>
      </c>
      <c r="Y42" s="5">
        <v>380726.74415053963</v>
      </c>
      <c r="Z42" s="5">
        <v>380726.74415053963</v>
      </c>
    </row>
    <row r="43" spans="1:26" x14ac:dyDescent="0.3">
      <c r="A43" t="str">
        <f>Factors!B22</f>
        <v>PuDiss</v>
      </c>
      <c r="B43" s="6">
        <v>336337</v>
      </c>
      <c r="C43" s="5">
        <v>351150.14129500429</v>
      </c>
      <c r="D43" s="5">
        <v>366615.69120109139</v>
      </c>
      <c r="E43" s="5">
        <v>382762.38346131681</v>
      </c>
      <c r="F43" s="5">
        <v>399620.21732623532</v>
      </c>
      <c r="G43" s="5">
        <v>417220.51329008659</v>
      </c>
      <c r="H43" s="5">
        <v>417220.51329008659</v>
      </c>
      <c r="I43" s="5">
        <v>417220.51329008659</v>
      </c>
      <c r="J43" s="5">
        <v>417220.51329008659</v>
      </c>
      <c r="K43" s="5">
        <v>417220.51329008659</v>
      </c>
      <c r="L43" s="5">
        <v>417220.51329008659</v>
      </c>
      <c r="M43" s="5">
        <v>417220.51329008659</v>
      </c>
      <c r="N43" s="5">
        <v>417220.51329008659</v>
      </c>
      <c r="O43" s="5">
        <v>417220.51329008659</v>
      </c>
      <c r="P43" s="5">
        <v>417220.51329008659</v>
      </c>
      <c r="Q43" s="5">
        <v>417220.51329008659</v>
      </c>
      <c r="R43" s="5">
        <v>417220.51329008659</v>
      </c>
      <c r="S43" s="5">
        <v>417220.51329008659</v>
      </c>
      <c r="T43" s="5">
        <v>417220.51329008659</v>
      </c>
      <c r="U43" s="5">
        <v>417220.51329008659</v>
      </c>
      <c r="V43" s="5">
        <v>417220.51329008659</v>
      </c>
      <c r="W43" s="5"/>
      <c r="X43" s="5">
        <v>417220.51329008659</v>
      </c>
      <c r="Y43" s="5">
        <v>417220.51329008659</v>
      </c>
      <c r="Z43" s="5">
        <v>417220.51329008659</v>
      </c>
    </row>
    <row r="44" spans="1:26" x14ac:dyDescent="0.3">
      <c r="A44" t="str">
        <f>Factors!B23</f>
        <v>PaChem</v>
      </c>
      <c r="B44" s="6">
        <v>6362000</v>
      </c>
      <c r="C44" s="5">
        <v>6642198.7438753909</v>
      </c>
      <c r="D44" s="5">
        <v>6934738.1567337029</v>
      </c>
      <c r="E44" s="5">
        <v>7240161.7531847442</v>
      </c>
      <c r="F44" s="5">
        <v>7559036.9856111845</v>
      </c>
      <c r="G44" s="5">
        <v>7891956.2984492658</v>
      </c>
      <c r="H44" s="5">
        <v>7891956.2984492658</v>
      </c>
      <c r="I44" s="5">
        <v>7891956.2984492658</v>
      </c>
      <c r="J44" s="5">
        <v>7891956.2984492658</v>
      </c>
      <c r="K44" s="5">
        <v>7891956.2984492658</v>
      </c>
      <c r="L44" s="5">
        <v>7891956.2984492658</v>
      </c>
      <c r="M44" s="5">
        <v>7891956.2984492658</v>
      </c>
      <c r="N44" s="5">
        <v>7891956.2984492658</v>
      </c>
      <c r="O44" s="5">
        <v>7891956.2984492658</v>
      </c>
      <c r="P44" s="5">
        <v>7891956.2984492658</v>
      </c>
      <c r="Q44" s="5">
        <v>7891956.2984492658</v>
      </c>
      <c r="R44" s="5">
        <v>7891956.2984492658</v>
      </c>
      <c r="S44" s="5">
        <v>7891956.2984492658</v>
      </c>
      <c r="T44" s="5">
        <v>7891956.2984492658</v>
      </c>
      <c r="U44" s="5">
        <v>7891956.2984492658</v>
      </c>
      <c r="V44" s="5">
        <v>7891956.2984492658</v>
      </c>
      <c r="W44" s="5"/>
      <c r="X44" s="5">
        <v>7891956.2984492658</v>
      </c>
      <c r="Y44" s="5">
        <v>7891956.2984492658</v>
      </c>
      <c r="Z44" s="5">
        <v>7891956.2984492658</v>
      </c>
    </row>
    <row r="45" spans="1:26" x14ac:dyDescent="0.3">
      <c r="A45" t="str">
        <f>Factors!B24</f>
        <v>OtChem</v>
      </c>
      <c r="B45" s="6">
        <v>462869</v>
      </c>
      <c r="C45" s="5">
        <v>483254.93404257437</v>
      </c>
      <c r="D45" s="5">
        <v>504538.71673517325</v>
      </c>
      <c r="E45" s="5">
        <v>526759.89162761229</v>
      </c>
      <c r="F45" s="5">
        <v>549959.7438687305</v>
      </c>
      <c r="G45" s="5">
        <v>574181.37691086344</v>
      </c>
      <c r="H45" s="5">
        <v>574181.37691086344</v>
      </c>
      <c r="I45" s="5">
        <v>574181.37691086344</v>
      </c>
      <c r="J45" s="5">
        <v>574181.37691086344</v>
      </c>
      <c r="K45" s="5">
        <v>574181.37691086344</v>
      </c>
      <c r="L45" s="5">
        <v>574181.37691086344</v>
      </c>
      <c r="M45" s="5">
        <v>574181.37691086344</v>
      </c>
      <c r="N45" s="5">
        <v>574181.37691086344</v>
      </c>
      <c r="O45" s="5">
        <v>574181.37691086344</v>
      </c>
      <c r="P45" s="5">
        <v>574181.37691086344</v>
      </c>
      <c r="Q45" s="5">
        <v>574181.37691086344</v>
      </c>
      <c r="R45" s="5">
        <v>574181.37691086344</v>
      </c>
      <c r="S45" s="5">
        <v>574181.37691086344</v>
      </c>
      <c r="T45" s="5">
        <v>574181.37691086344</v>
      </c>
      <c r="U45" s="5">
        <v>574181.37691086344</v>
      </c>
      <c r="V45" s="5">
        <v>574181.37691086344</v>
      </c>
      <c r="W45" s="5"/>
      <c r="X45" s="5">
        <v>574181.37691086344</v>
      </c>
      <c r="Y45" s="5">
        <v>574181.37691086344</v>
      </c>
      <c r="Z45" s="5">
        <v>574181.37691086344</v>
      </c>
    </row>
    <row r="46" spans="1:26" x14ac:dyDescent="0.3">
      <c r="A46" t="str">
        <f>Factors!B25</f>
        <v>OtMech</v>
      </c>
      <c r="B46" s="6">
        <v>1372303</v>
      </c>
      <c r="C46" s="5">
        <v>1352156.4225706579</v>
      </c>
      <c r="D46" s="5">
        <v>1332305.6140656108</v>
      </c>
      <c r="E46" s="5">
        <v>1312746.2323450143</v>
      </c>
      <c r="F46" s="5">
        <v>1293473.9990153373</v>
      </c>
      <c r="G46" s="5">
        <v>1274484.6984935116</v>
      </c>
      <c r="H46" s="5">
        <v>1274484.6984935116</v>
      </c>
      <c r="I46" s="5">
        <v>1274484.6984935116</v>
      </c>
      <c r="J46" s="5">
        <v>1274484.6984935116</v>
      </c>
      <c r="K46" s="5">
        <v>1274484.6984935116</v>
      </c>
      <c r="L46" s="5">
        <v>1274484.6984935116</v>
      </c>
      <c r="M46" s="5">
        <v>1274484.6984935116</v>
      </c>
      <c r="N46" s="5">
        <v>1274484.6984935116</v>
      </c>
      <c r="O46" s="5">
        <v>1274484.6984935116</v>
      </c>
      <c r="P46" s="5">
        <v>1274484.6984935116</v>
      </c>
      <c r="Q46" s="5">
        <v>1274484.6984935116</v>
      </c>
      <c r="R46" s="5">
        <v>1274484.6984935116</v>
      </c>
      <c r="S46" s="5">
        <v>1274484.6984935116</v>
      </c>
      <c r="T46" s="5">
        <v>1274484.6984935116</v>
      </c>
      <c r="U46" s="5">
        <v>1274484.6984935116</v>
      </c>
      <c r="V46" s="5">
        <v>1274484.6984935116</v>
      </c>
      <c r="W46" s="5"/>
      <c r="X46" s="5">
        <v>1274484.6984935116</v>
      </c>
      <c r="Y46" s="5">
        <v>1274484.6984935116</v>
      </c>
      <c r="Z46" s="5">
        <v>1274484.6984935116</v>
      </c>
    </row>
    <row r="47" spans="1:26" x14ac:dyDescent="0.3">
      <c r="A47" t="str">
        <f>Factors!B26</f>
        <v>NwMech</v>
      </c>
      <c r="B47" s="6">
        <v>889000</v>
      </c>
      <c r="C47" s="5">
        <v>862897.4449014751</v>
      </c>
      <c r="D47" s="5">
        <v>837561.30530651775</v>
      </c>
      <c r="E47" s="5">
        <v>812969.07794976211</v>
      </c>
      <c r="F47" s="5">
        <v>789098.92030006507</v>
      </c>
      <c r="G47" s="5">
        <v>765929.63116022374</v>
      </c>
      <c r="H47" s="5">
        <v>765929.63116022374</v>
      </c>
      <c r="I47" s="5">
        <v>765929.63116022374</v>
      </c>
      <c r="J47" s="5">
        <v>765929.63116022374</v>
      </c>
      <c r="K47" s="5">
        <v>765929.63116022374</v>
      </c>
      <c r="L47" s="5">
        <v>765929.63116022374</v>
      </c>
      <c r="M47" s="5">
        <v>765929.63116022374</v>
      </c>
      <c r="N47" s="5">
        <v>765929.63116022374</v>
      </c>
      <c r="O47" s="5">
        <v>765929.63116022374</v>
      </c>
      <c r="P47" s="5">
        <v>765929.63116022374</v>
      </c>
      <c r="Q47" s="5">
        <v>765929.63116022374</v>
      </c>
      <c r="R47" s="5">
        <v>765929.63116022374</v>
      </c>
      <c r="S47" s="5">
        <v>765929.63116022374</v>
      </c>
      <c r="T47" s="5">
        <v>765929.63116022374</v>
      </c>
      <c r="U47" s="5">
        <v>765929.63116022374</v>
      </c>
      <c r="V47" s="5">
        <v>765929.63116022374</v>
      </c>
      <c r="W47" s="5"/>
      <c r="X47" s="5">
        <v>765929.63116022374</v>
      </c>
      <c r="Y47" s="5">
        <v>765929.63116022374</v>
      </c>
      <c r="Z47" s="5">
        <v>765929.63116022374</v>
      </c>
    </row>
    <row r="48" spans="1:26" s="59" customFormat="1" x14ac:dyDescent="0.3">
      <c r="B48" s="99"/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</row>
    <row r="49" spans="1:26" x14ac:dyDescent="0.3">
      <c r="B49" s="6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8.75" x14ac:dyDescent="0.3">
      <c r="A50" s="10" t="s">
        <v>37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3">
      <c r="A51" s="9" t="str">
        <f>Factors!B2</f>
        <v>PinTim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/>
      <c r="X51" s="5">
        <v>1</v>
      </c>
      <c r="Y51" s="5">
        <v>1</v>
      </c>
      <c r="Z51" s="5">
        <v>1</v>
      </c>
    </row>
    <row r="52" spans="1:26" x14ac:dyDescent="0.3">
      <c r="A52" s="9" t="str">
        <f>Factors!B3</f>
        <v>PinPuw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/>
      <c r="X52" s="5">
        <v>1</v>
      </c>
      <c r="Y52" s="5">
        <v>1</v>
      </c>
      <c r="Z52" s="5">
        <v>1</v>
      </c>
    </row>
    <row r="53" spans="1:26" x14ac:dyDescent="0.3">
      <c r="A53" s="9" t="str">
        <f>Factors!B4</f>
        <v>SprTim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/>
      <c r="X53" s="5">
        <v>1</v>
      </c>
      <c r="Y53" s="5">
        <v>1</v>
      </c>
      <c r="Z53" s="5">
        <v>1</v>
      </c>
    </row>
    <row r="54" spans="1:26" x14ac:dyDescent="0.3">
      <c r="A54" s="9" t="str">
        <f>Factors!B5</f>
        <v>SprPuw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/>
      <c r="X54" s="5">
        <v>1</v>
      </c>
      <c r="Y54" s="5">
        <v>1</v>
      </c>
      <c r="Z54" s="5">
        <v>1</v>
      </c>
    </row>
    <row r="55" spans="1:26" x14ac:dyDescent="0.3">
      <c r="A55" s="9" t="str">
        <f>Factors!B7</f>
        <v>Decids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/>
      <c r="X55" s="5">
        <v>1</v>
      </c>
      <c r="Y55" s="5">
        <v>1</v>
      </c>
      <c r="Z55" s="5">
        <v>1</v>
      </c>
    </row>
    <row r="56" spans="1:26" x14ac:dyDescent="0.3">
      <c r="A56" s="3" t="str">
        <f>Factors!B8</f>
        <v>Sawdst</v>
      </c>
      <c r="B56" s="5">
        <f t="shared" ref="B56:V56" si="27">B9</f>
        <v>0</v>
      </c>
      <c r="C56" s="5">
        <f t="shared" si="27"/>
        <v>0</v>
      </c>
      <c r="D56" s="5">
        <f t="shared" si="27"/>
        <v>0</v>
      </c>
      <c r="E56" s="5">
        <f t="shared" si="27"/>
        <v>0</v>
      </c>
      <c r="F56" s="5">
        <f t="shared" si="27"/>
        <v>0</v>
      </c>
      <c r="G56" s="5">
        <f t="shared" si="27"/>
        <v>0</v>
      </c>
      <c r="H56" s="5">
        <f t="shared" si="27"/>
        <v>0</v>
      </c>
      <c r="I56" s="5">
        <f t="shared" si="27"/>
        <v>0</v>
      </c>
      <c r="J56" s="5">
        <f t="shared" si="27"/>
        <v>0</v>
      </c>
      <c r="K56" s="5">
        <f t="shared" si="27"/>
        <v>0</v>
      </c>
      <c r="L56" s="5">
        <f t="shared" si="27"/>
        <v>0</v>
      </c>
      <c r="M56" s="5">
        <f t="shared" si="27"/>
        <v>0</v>
      </c>
      <c r="N56" s="5">
        <f t="shared" si="27"/>
        <v>0</v>
      </c>
      <c r="O56" s="5">
        <f t="shared" si="27"/>
        <v>0</v>
      </c>
      <c r="P56" s="5">
        <f t="shared" si="27"/>
        <v>0</v>
      </c>
      <c r="Q56" s="5">
        <f t="shared" si="27"/>
        <v>0</v>
      </c>
      <c r="R56" s="5">
        <f t="shared" si="27"/>
        <v>0</v>
      </c>
      <c r="S56" s="5">
        <f t="shared" si="27"/>
        <v>0</v>
      </c>
      <c r="T56" s="5">
        <f t="shared" si="27"/>
        <v>0</v>
      </c>
      <c r="U56" s="5">
        <f t="shared" si="27"/>
        <v>0</v>
      </c>
      <c r="V56" s="5">
        <f t="shared" si="27"/>
        <v>0</v>
      </c>
      <c r="W56" s="5"/>
      <c r="X56" s="5">
        <f t="shared" ref="X56:Z57" si="28">X9</f>
        <v>0</v>
      </c>
      <c r="Y56" s="5">
        <f t="shared" si="28"/>
        <v>0</v>
      </c>
      <c r="Z56" s="5">
        <f t="shared" si="28"/>
        <v>0</v>
      </c>
    </row>
    <row r="57" spans="1:26" x14ac:dyDescent="0.3">
      <c r="A57" s="3" t="str">
        <f>Factors!B9</f>
        <v>Chips_</v>
      </c>
      <c r="B57" s="5">
        <f t="shared" ref="B57:V57" si="29">B10</f>
        <v>0</v>
      </c>
      <c r="C57" s="5">
        <f t="shared" si="29"/>
        <v>0</v>
      </c>
      <c r="D57" s="5">
        <f t="shared" si="29"/>
        <v>0</v>
      </c>
      <c r="E57" s="5">
        <f t="shared" si="29"/>
        <v>0</v>
      </c>
      <c r="F57" s="5">
        <f t="shared" si="29"/>
        <v>0</v>
      </c>
      <c r="G57" s="5">
        <f t="shared" si="29"/>
        <v>0</v>
      </c>
      <c r="H57" s="5">
        <f t="shared" si="29"/>
        <v>0</v>
      </c>
      <c r="I57" s="5">
        <f t="shared" si="29"/>
        <v>0</v>
      </c>
      <c r="J57" s="5">
        <f t="shared" si="29"/>
        <v>0</v>
      </c>
      <c r="K57" s="5">
        <f t="shared" si="29"/>
        <v>0</v>
      </c>
      <c r="L57" s="5">
        <f t="shared" si="29"/>
        <v>0</v>
      </c>
      <c r="M57" s="5">
        <f t="shared" si="29"/>
        <v>0</v>
      </c>
      <c r="N57" s="5">
        <f t="shared" si="29"/>
        <v>0</v>
      </c>
      <c r="O57" s="5">
        <f t="shared" si="29"/>
        <v>0</v>
      </c>
      <c r="P57" s="5">
        <f t="shared" si="29"/>
        <v>0</v>
      </c>
      <c r="Q57" s="5">
        <f t="shared" si="29"/>
        <v>0</v>
      </c>
      <c r="R57" s="5">
        <f t="shared" si="29"/>
        <v>0</v>
      </c>
      <c r="S57" s="5">
        <f t="shared" si="29"/>
        <v>0</v>
      </c>
      <c r="T57" s="5">
        <f t="shared" si="29"/>
        <v>0</v>
      </c>
      <c r="U57" s="5">
        <f t="shared" si="29"/>
        <v>0</v>
      </c>
      <c r="V57" s="5">
        <f t="shared" si="29"/>
        <v>0</v>
      </c>
      <c r="W57" s="5"/>
      <c r="X57" s="5">
        <f t="shared" si="28"/>
        <v>0</v>
      </c>
      <c r="Y57" s="5">
        <f t="shared" si="28"/>
        <v>0</v>
      </c>
      <c r="Z57" s="5">
        <f t="shared" si="28"/>
        <v>0</v>
      </c>
    </row>
    <row r="58" spans="1:26" x14ac:dyDescent="0.3">
      <c r="A58" s="9" t="str">
        <f>Factors!B10</f>
        <v>ResStm</v>
      </c>
      <c r="B58" s="5">
        <f>0</f>
        <v>0</v>
      </c>
      <c r="C58" s="5">
        <f>B58</f>
        <v>0</v>
      </c>
      <c r="D58" s="5">
        <f t="shared" ref="D58:V58" si="30">C58</f>
        <v>0</v>
      </c>
      <c r="E58" s="5">
        <f t="shared" si="30"/>
        <v>0</v>
      </c>
      <c r="F58" s="5">
        <f t="shared" si="30"/>
        <v>0</v>
      </c>
      <c r="G58" s="5">
        <f t="shared" si="30"/>
        <v>0</v>
      </c>
      <c r="H58" s="5">
        <f t="shared" si="30"/>
        <v>0</v>
      </c>
      <c r="I58" s="5">
        <f t="shared" si="30"/>
        <v>0</v>
      </c>
      <c r="J58" s="5">
        <f t="shared" si="30"/>
        <v>0</v>
      </c>
      <c r="K58" s="5">
        <f t="shared" si="30"/>
        <v>0</v>
      </c>
      <c r="L58" s="5">
        <f t="shared" si="30"/>
        <v>0</v>
      </c>
      <c r="M58" s="5">
        <f t="shared" si="30"/>
        <v>0</v>
      </c>
      <c r="N58" s="5">
        <f t="shared" si="30"/>
        <v>0</v>
      </c>
      <c r="O58" s="5">
        <f t="shared" si="30"/>
        <v>0</v>
      </c>
      <c r="P58" s="5">
        <f t="shared" si="30"/>
        <v>0</v>
      </c>
      <c r="Q58" s="5">
        <f t="shared" si="30"/>
        <v>0</v>
      </c>
      <c r="R58" s="5">
        <f t="shared" si="30"/>
        <v>0</v>
      </c>
      <c r="S58" s="5">
        <f t="shared" si="30"/>
        <v>0</v>
      </c>
      <c r="T58" s="5">
        <f t="shared" si="30"/>
        <v>0</v>
      </c>
      <c r="U58" s="5">
        <f t="shared" si="30"/>
        <v>0</v>
      </c>
      <c r="V58" s="5">
        <f t="shared" si="30"/>
        <v>0</v>
      </c>
      <c r="W58" s="5"/>
      <c r="X58" s="5">
        <f>X15*ConvFact!$A$1*2</f>
        <v>5880</v>
      </c>
      <c r="Y58" s="5">
        <f>Y15*ConvFact!$A$1*2</f>
        <v>5880</v>
      </c>
      <c r="Z58" s="5">
        <f>Z15*ConvFact!$A$1*2</f>
        <v>5880</v>
      </c>
    </row>
    <row r="59" spans="1:26" x14ac:dyDescent="0.3">
      <c r="A59" t="str">
        <f>Factors!B11</f>
        <v>ResRot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/>
      <c r="X59" s="5">
        <v>0</v>
      </c>
      <c r="Y59" s="5">
        <v>0</v>
      </c>
      <c r="Z59" s="5">
        <v>0</v>
      </c>
    </row>
    <row r="60" spans="1:26" x14ac:dyDescent="0.3">
      <c r="A60" t="str">
        <f>Factors!B15</f>
        <v>Sawnco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/>
      <c r="X60" s="5">
        <v>0</v>
      </c>
      <c r="Y60" s="5">
        <v>0</v>
      </c>
      <c r="Z60" s="5">
        <v>0</v>
      </c>
    </row>
    <row r="61" spans="1:26" s="59" customFormat="1" x14ac:dyDescent="0.3">
      <c r="A61" s="59" t="str">
        <f>Factors!B16</f>
        <v>Sawnbe</v>
      </c>
      <c r="B61" s="61">
        <v>0</v>
      </c>
      <c r="C61" s="61">
        <v>0</v>
      </c>
      <c r="D61" s="61">
        <v>0</v>
      </c>
      <c r="E61" s="61">
        <v>0</v>
      </c>
      <c r="F61" s="61">
        <v>0</v>
      </c>
      <c r="G61" s="61">
        <v>0</v>
      </c>
      <c r="H61" s="61">
        <v>0</v>
      </c>
      <c r="I61" s="61">
        <v>0</v>
      </c>
      <c r="J61" s="61">
        <v>0</v>
      </c>
      <c r="K61" s="61">
        <v>0</v>
      </c>
      <c r="L61" s="61">
        <v>0</v>
      </c>
      <c r="M61" s="61">
        <v>0</v>
      </c>
      <c r="N61" s="61">
        <v>0</v>
      </c>
      <c r="O61" s="61">
        <v>0</v>
      </c>
      <c r="P61" s="61">
        <v>0</v>
      </c>
      <c r="Q61" s="61">
        <v>0</v>
      </c>
      <c r="R61" s="61">
        <v>0</v>
      </c>
      <c r="S61" s="61">
        <v>0</v>
      </c>
      <c r="T61" s="61">
        <v>0</v>
      </c>
      <c r="U61" s="61">
        <v>0</v>
      </c>
      <c r="V61" s="61">
        <v>0</v>
      </c>
      <c r="W61" s="61"/>
      <c r="X61" s="61"/>
      <c r="Y61" s="61"/>
      <c r="Z61" s="61"/>
    </row>
    <row r="62" spans="1:26" x14ac:dyDescent="0.3">
      <c r="A62" t="str">
        <f>Factors!B17</f>
        <v>Heat__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/>
      <c r="X62" s="5">
        <v>0</v>
      </c>
      <c r="Y62" s="5">
        <v>0</v>
      </c>
      <c r="Z62" s="5">
        <v>0</v>
      </c>
    </row>
    <row r="63" spans="1:26" x14ac:dyDescent="0.3">
      <c r="A63" t="str">
        <f>Factors!B18</f>
        <v>Electr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/>
      <c r="X63" s="5">
        <v>0</v>
      </c>
      <c r="Y63" s="5">
        <v>0</v>
      </c>
      <c r="Z63" s="5">
        <v>0</v>
      </c>
    </row>
    <row r="64" spans="1:26" x14ac:dyDescent="0.3">
      <c r="A64" t="str">
        <f>Factors!B19</f>
        <v>BioFue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/>
      <c r="X64" s="5">
        <v>0</v>
      </c>
      <c r="Y64" s="5">
        <v>0</v>
      </c>
      <c r="Z64" s="5">
        <v>0</v>
      </c>
    </row>
    <row r="65" spans="1:26" x14ac:dyDescent="0.3">
      <c r="A65" t="str">
        <f>Factors!B20</f>
        <v>PuChem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/>
      <c r="X65" s="5">
        <v>0</v>
      </c>
      <c r="Y65" s="5">
        <v>0</v>
      </c>
      <c r="Z65" s="5">
        <v>0</v>
      </c>
    </row>
    <row r="66" spans="1:26" x14ac:dyDescent="0.3">
      <c r="A66" t="str">
        <f>Factors!B21</f>
        <v>PuMech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/>
      <c r="X66" s="5">
        <v>0</v>
      </c>
      <c r="Y66" s="5">
        <v>0</v>
      </c>
      <c r="Z66" s="5">
        <v>0</v>
      </c>
    </row>
    <row r="67" spans="1:26" x14ac:dyDescent="0.3">
      <c r="A67" t="str">
        <f>Factors!B22</f>
        <v>PuDiss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/>
      <c r="X67" s="5">
        <v>0</v>
      </c>
      <c r="Y67" s="5">
        <v>0</v>
      </c>
      <c r="Z67" s="5">
        <v>0</v>
      </c>
    </row>
    <row r="68" spans="1:26" x14ac:dyDescent="0.3">
      <c r="A68" t="str">
        <f>Factors!B23</f>
        <v>PaChem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/>
      <c r="X68" s="5">
        <v>0</v>
      </c>
      <c r="Y68" s="5">
        <v>0</v>
      </c>
      <c r="Z68" s="5">
        <v>0</v>
      </c>
    </row>
    <row r="69" spans="1:26" x14ac:dyDescent="0.3">
      <c r="A69" t="str">
        <f>Factors!B24</f>
        <v>OtChem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/>
      <c r="X69" s="5">
        <v>0</v>
      </c>
      <c r="Y69" s="5">
        <v>0</v>
      </c>
      <c r="Z69" s="5">
        <v>0</v>
      </c>
    </row>
    <row r="70" spans="1:26" x14ac:dyDescent="0.3">
      <c r="A70" t="str">
        <f>Factors!B25</f>
        <v>OtMech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/>
      <c r="X70" s="5">
        <v>0</v>
      </c>
      <c r="Y70" s="5">
        <v>0</v>
      </c>
      <c r="Z70" s="5">
        <v>0</v>
      </c>
    </row>
    <row r="71" spans="1:26" x14ac:dyDescent="0.3">
      <c r="A71" t="str">
        <f>Factors!B26</f>
        <v>NwMech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/>
      <c r="X71" s="5">
        <v>0</v>
      </c>
      <c r="Y71" s="5">
        <v>0</v>
      </c>
      <c r="Z71" s="5">
        <v>0</v>
      </c>
    </row>
    <row r="72" spans="1:26" x14ac:dyDescent="0.3"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8.75" x14ac:dyDescent="0.3">
      <c r="A73" s="10" t="s">
        <v>36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3">
      <c r="A74" s="9" t="str">
        <f>Factors!B2</f>
        <v>PinTim</v>
      </c>
      <c r="B74" s="5">
        <v>400000</v>
      </c>
      <c r="C74" s="5">
        <f>B74*0.8</f>
        <v>320000</v>
      </c>
      <c r="D74" s="5">
        <f t="shared" ref="D74:U78" si="31">C74*0.8</f>
        <v>256000</v>
      </c>
      <c r="E74" s="5">
        <f t="shared" si="31"/>
        <v>204800</v>
      </c>
      <c r="F74" s="5">
        <f t="shared" si="31"/>
        <v>163840</v>
      </c>
      <c r="G74" s="5">
        <f t="shared" si="31"/>
        <v>131072</v>
      </c>
      <c r="H74" s="5">
        <f t="shared" si="31"/>
        <v>104857.60000000001</v>
      </c>
      <c r="I74" s="5">
        <f t="shared" si="31"/>
        <v>83886.080000000016</v>
      </c>
      <c r="J74" s="5">
        <f t="shared" si="31"/>
        <v>67108.864000000016</v>
      </c>
      <c r="K74" s="5">
        <f t="shared" si="31"/>
        <v>53687.091200000017</v>
      </c>
      <c r="L74" s="5">
        <f t="shared" si="31"/>
        <v>42949.672960000018</v>
      </c>
      <c r="M74" s="5">
        <f t="shared" si="31"/>
        <v>34359.738368000013</v>
      </c>
      <c r="N74" s="5">
        <f t="shared" si="31"/>
        <v>27487.790694400013</v>
      </c>
      <c r="O74" s="5">
        <f t="shared" si="31"/>
        <v>21990.232555520011</v>
      </c>
      <c r="P74" s="5">
        <f t="shared" si="31"/>
        <v>17592.186044416008</v>
      </c>
      <c r="Q74" s="5">
        <f t="shared" si="31"/>
        <v>14073.748835532808</v>
      </c>
      <c r="R74" s="5">
        <f t="shared" si="31"/>
        <v>11258.999068426247</v>
      </c>
      <c r="S74" s="5">
        <f t="shared" si="31"/>
        <v>9007.1992547409973</v>
      </c>
      <c r="T74" s="5">
        <f t="shared" si="31"/>
        <v>7205.7594037927984</v>
      </c>
      <c r="U74" s="5">
        <f t="shared" si="31"/>
        <v>5764.6075230342394</v>
      </c>
      <c r="V74" s="5">
        <f>U74*0.8</f>
        <v>4611.6860184273919</v>
      </c>
      <c r="W74" s="5"/>
      <c r="X74" s="5">
        <f>V74*0.8</f>
        <v>3689.3488147419139</v>
      </c>
      <c r="Y74" s="5">
        <f t="shared" ref="Y74:Z78" si="32">X74*0.8</f>
        <v>2951.4790517935312</v>
      </c>
      <c r="Z74" s="5">
        <f t="shared" si="32"/>
        <v>2361.183241434825</v>
      </c>
    </row>
    <row r="75" spans="1:26" x14ac:dyDescent="0.3">
      <c r="A75" s="9" t="str">
        <f>Factors!B3</f>
        <v>PinPuw</v>
      </c>
      <c r="B75" s="5">
        <v>1300000</v>
      </c>
      <c r="C75" s="5">
        <f>B75*0.8</f>
        <v>1040000</v>
      </c>
      <c r="D75" s="5">
        <f t="shared" ref="D75:R75" si="33">C75*0.8</f>
        <v>832000</v>
      </c>
      <c r="E75" s="5">
        <f t="shared" si="33"/>
        <v>665600</v>
      </c>
      <c r="F75" s="5">
        <f t="shared" si="33"/>
        <v>532480</v>
      </c>
      <c r="G75" s="5">
        <f t="shared" si="33"/>
        <v>425984</v>
      </c>
      <c r="H75" s="5">
        <f t="shared" si="33"/>
        <v>340787.20000000001</v>
      </c>
      <c r="I75" s="5">
        <f t="shared" si="33"/>
        <v>272629.76000000001</v>
      </c>
      <c r="J75" s="5">
        <f t="shared" si="33"/>
        <v>218103.80800000002</v>
      </c>
      <c r="K75" s="5">
        <f t="shared" si="33"/>
        <v>174483.04640000002</v>
      </c>
      <c r="L75" s="5">
        <f t="shared" si="33"/>
        <v>139586.43712000002</v>
      </c>
      <c r="M75" s="5">
        <f t="shared" si="33"/>
        <v>111669.14969600002</v>
      </c>
      <c r="N75" s="5">
        <f t="shared" si="33"/>
        <v>89335.319756800018</v>
      </c>
      <c r="O75" s="5">
        <f t="shared" si="33"/>
        <v>71468.255805440014</v>
      </c>
      <c r="P75" s="5">
        <f t="shared" si="33"/>
        <v>57174.604644352017</v>
      </c>
      <c r="Q75" s="5">
        <f t="shared" si="33"/>
        <v>45739.683715481617</v>
      </c>
      <c r="R75" s="5">
        <f t="shared" si="33"/>
        <v>36591.746972385292</v>
      </c>
      <c r="S75" s="5">
        <f t="shared" si="31"/>
        <v>29273.397577908236</v>
      </c>
      <c r="T75" s="5">
        <f t="shared" si="31"/>
        <v>23418.718062326589</v>
      </c>
      <c r="U75" s="5">
        <f t="shared" si="31"/>
        <v>18734.974449861271</v>
      </c>
      <c r="V75" s="5">
        <f>U75*0.8</f>
        <v>14987.979559889018</v>
      </c>
      <c r="W75" s="5"/>
      <c r="X75" s="5">
        <f>V75*0.8</f>
        <v>11990.383647911214</v>
      </c>
      <c r="Y75" s="5">
        <f t="shared" si="32"/>
        <v>9592.3069183289717</v>
      </c>
      <c r="Z75" s="5">
        <f t="shared" si="32"/>
        <v>7673.8455346631781</v>
      </c>
    </row>
    <row r="76" spans="1:26" x14ac:dyDescent="0.3">
      <c r="A76" s="9" t="str">
        <f>Factors!B4</f>
        <v>SprTim</v>
      </c>
      <c r="B76" s="5">
        <v>500000</v>
      </c>
      <c r="C76" s="5">
        <f>B76*0.8</f>
        <v>400000</v>
      </c>
      <c r="D76" s="5">
        <f t="shared" si="31"/>
        <v>320000</v>
      </c>
      <c r="E76" s="5">
        <f t="shared" si="31"/>
        <v>256000</v>
      </c>
      <c r="F76" s="5">
        <f t="shared" si="31"/>
        <v>204800</v>
      </c>
      <c r="G76" s="5">
        <f t="shared" si="31"/>
        <v>163840</v>
      </c>
      <c r="H76" s="5">
        <f t="shared" si="31"/>
        <v>131072</v>
      </c>
      <c r="I76" s="5">
        <f t="shared" si="31"/>
        <v>104857.60000000001</v>
      </c>
      <c r="J76" s="5">
        <f t="shared" si="31"/>
        <v>83886.080000000016</v>
      </c>
      <c r="K76" s="5">
        <f t="shared" si="31"/>
        <v>67108.864000000016</v>
      </c>
      <c r="L76" s="5">
        <f t="shared" si="31"/>
        <v>53687.091200000017</v>
      </c>
      <c r="M76" s="5">
        <f t="shared" si="31"/>
        <v>42949.672960000018</v>
      </c>
      <c r="N76" s="5">
        <f t="shared" si="31"/>
        <v>34359.738368000013</v>
      </c>
      <c r="O76" s="5">
        <f t="shared" si="31"/>
        <v>27487.790694400013</v>
      </c>
      <c r="P76" s="5">
        <f t="shared" si="31"/>
        <v>21990.232555520011</v>
      </c>
      <c r="Q76" s="5">
        <f t="shared" si="31"/>
        <v>17592.186044416008</v>
      </c>
      <c r="R76" s="5">
        <f t="shared" si="31"/>
        <v>14073.748835532808</v>
      </c>
      <c r="S76" s="5">
        <f t="shared" si="31"/>
        <v>11258.999068426247</v>
      </c>
      <c r="T76" s="5">
        <f t="shared" si="31"/>
        <v>9007.1992547409973</v>
      </c>
      <c r="U76" s="5">
        <f t="shared" si="31"/>
        <v>7205.7594037927984</v>
      </c>
      <c r="V76" s="5">
        <f>U76*0.8</f>
        <v>5764.6075230342394</v>
      </c>
      <c r="W76" s="5"/>
      <c r="X76" s="5">
        <f>V76*0.8</f>
        <v>4611.6860184273919</v>
      </c>
      <c r="Y76" s="5">
        <f t="shared" si="32"/>
        <v>3689.3488147419139</v>
      </c>
      <c r="Z76" s="5">
        <f t="shared" si="32"/>
        <v>2951.4790517935312</v>
      </c>
    </row>
    <row r="77" spans="1:26" x14ac:dyDescent="0.3">
      <c r="A77" s="9" t="str">
        <f>Factors!B5</f>
        <v>SprPuw</v>
      </c>
      <c r="B77" s="5">
        <v>1800000</v>
      </c>
      <c r="C77" s="5">
        <f>B77*0.8</f>
        <v>1440000</v>
      </c>
      <c r="D77" s="5">
        <f t="shared" si="31"/>
        <v>1152000</v>
      </c>
      <c r="E77" s="5">
        <f t="shared" si="31"/>
        <v>921600</v>
      </c>
      <c r="F77" s="5">
        <f t="shared" si="31"/>
        <v>737280</v>
      </c>
      <c r="G77" s="5">
        <f t="shared" si="31"/>
        <v>589824</v>
      </c>
      <c r="H77" s="5">
        <f t="shared" si="31"/>
        <v>471859.20000000001</v>
      </c>
      <c r="I77" s="5">
        <f t="shared" si="31"/>
        <v>377487.36000000004</v>
      </c>
      <c r="J77" s="5">
        <f t="shared" si="31"/>
        <v>301989.88800000004</v>
      </c>
      <c r="K77" s="5">
        <f t="shared" si="31"/>
        <v>241591.91040000005</v>
      </c>
      <c r="L77" s="5">
        <f t="shared" si="31"/>
        <v>193273.52832000004</v>
      </c>
      <c r="M77" s="5">
        <f t="shared" si="31"/>
        <v>154618.82265600003</v>
      </c>
      <c r="N77" s="5">
        <f t="shared" si="31"/>
        <v>123695.05812480004</v>
      </c>
      <c r="O77" s="5">
        <f t="shared" si="31"/>
        <v>98956.046499840042</v>
      </c>
      <c r="P77" s="5">
        <f t="shared" si="31"/>
        <v>79164.837199872039</v>
      </c>
      <c r="Q77" s="5">
        <f t="shared" si="31"/>
        <v>63331.869759897636</v>
      </c>
      <c r="R77" s="5">
        <f t="shared" si="31"/>
        <v>50665.495807918109</v>
      </c>
      <c r="S77" s="5">
        <f t="shared" si="31"/>
        <v>40532.396646334491</v>
      </c>
      <c r="T77" s="5">
        <f t="shared" si="31"/>
        <v>32425.917317067593</v>
      </c>
      <c r="U77" s="5">
        <f t="shared" si="31"/>
        <v>25940.733853654077</v>
      </c>
      <c r="V77" s="5">
        <f>U77*0.8</f>
        <v>20752.587082923263</v>
      </c>
      <c r="W77" s="5"/>
      <c r="X77" s="5">
        <f>V77*0.8</f>
        <v>16602.069666338612</v>
      </c>
      <c r="Y77" s="5">
        <f t="shared" si="32"/>
        <v>13281.655733070889</v>
      </c>
      <c r="Z77" s="5">
        <f t="shared" si="32"/>
        <v>10625.324586456712</v>
      </c>
    </row>
    <row r="78" spans="1:26" x14ac:dyDescent="0.3">
      <c r="A78" s="9" t="str">
        <f>Factors!B7</f>
        <v>Decids</v>
      </c>
      <c r="B78" s="5">
        <v>2700000</v>
      </c>
      <c r="C78" s="5">
        <f>B78*0.8</f>
        <v>2160000</v>
      </c>
      <c r="D78" s="5">
        <f t="shared" si="31"/>
        <v>1728000</v>
      </c>
      <c r="E78" s="5">
        <f t="shared" si="31"/>
        <v>1382400</v>
      </c>
      <c r="F78" s="5">
        <f t="shared" si="31"/>
        <v>1105920</v>
      </c>
      <c r="G78" s="5">
        <f t="shared" si="31"/>
        <v>884736</v>
      </c>
      <c r="H78" s="5">
        <f t="shared" si="31"/>
        <v>707788.80000000005</v>
      </c>
      <c r="I78" s="5">
        <f t="shared" si="31"/>
        <v>566231.04000000004</v>
      </c>
      <c r="J78" s="5">
        <f t="shared" si="31"/>
        <v>452984.83200000005</v>
      </c>
      <c r="K78" s="5">
        <f t="shared" si="31"/>
        <v>362387.86560000008</v>
      </c>
      <c r="L78" s="5">
        <f t="shared" si="31"/>
        <v>289910.29248000006</v>
      </c>
      <c r="M78" s="5">
        <f t="shared" si="31"/>
        <v>231928.23398400005</v>
      </c>
      <c r="N78" s="5">
        <f t="shared" si="31"/>
        <v>185542.58718720006</v>
      </c>
      <c r="O78" s="5">
        <f t="shared" si="31"/>
        <v>148434.06974976006</v>
      </c>
      <c r="P78" s="5">
        <f t="shared" si="31"/>
        <v>118747.25579980806</v>
      </c>
      <c r="Q78" s="5">
        <f t="shared" si="31"/>
        <v>94997.80463984645</v>
      </c>
      <c r="R78" s="5">
        <f t="shared" si="31"/>
        <v>75998.243711877163</v>
      </c>
      <c r="S78" s="5">
        <f t="shared" si="31"/>
        <v>60798.594969501733</v>
      </c>
      <c r="T78" s="5">
        <f t="shared" si="31"/>
        <v>48638.87597560139</v>
      </c>
      <c r="U78" s="5">
        <f t="shared" si="31"/>
        <v>38911.100780481116</v>
      </c>
      <c r="V78" s="5">
        <f>U78*0.8</f>
        <v>31128.880624384896</v>
      </c>
      <c r="W78" s="5"/>
      <c r="X78" s="5">
        <f>V78*0.8</f>
        <v>24903.104499507917</v>
      </c>
      <c r="Y78" s="5">
        <f t="shared" si="32"/>
        <v>19922.483599606334</v>
      </c>
      <c r="Z78" s="5">
        <f t="shared" si="32"/>
        <v>15937.986879685068</v>
      </c>
    </row>
    <row r="79" spans="1:26" x14ac:dyDescent="0.3">
      <c r="A79" s="3" t="str">
        <f>Factors!B8</f>
        <v>Sawdst</v>
      </c>
      <c r="B79" s="5">
        <v>0</v>
      </c>
      <c r="C79" s="5">
        <v>0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/>
      <c r="X79" s="5">
        <v>0</v>
      </c>
      <c r="Y79" s="5">
        <v>0</v>
      </c>
      <c r="Z79" s="5">
        <v>0</v>
      </c>
    </row>
    <row r="80" spans="1:26" x14ac:dyDescent="0.3">
      <c r="A80" s="3" t="str">
        <f>Factors!B9</f>
        <v>Chips_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/>
      <c r="X80" s="5">
        <v>0</v>
      </c>
      <c r="Y80" s="5">
        <v>0</v>
      </c>
      <c r="Z80" s="5">
        <v>0</v>
      </c>
    </row>
    <row r="81" spans="1:26" x14ac:dyDescent="0.3">
      <c r="A81" s="9" t="str">
        <f>Factors!B10</f>
        <v>ResStm</v>
      </c>
      <c r="B81" s="5">
        <v>100000000</v>
      </c>
      <c r="C81" s="5">
        <v>100000000</v>
      </c>
      <c r="D81" s="5">
        <v>100000000</v>
      </c>
      <c r="E81" s="5">
        <v>100000000</v>
      </c>
      <c r="F81" s="5">
        <v>100000000</v>
      </c>
      <c r="G81" s="5">
        <v>100000000</v>
      </c>
      <c r="H81" s="5">
        <v>100000000</v>
      </c>
      <c r="I81" s="5">
        <v>100000000</v>
      </c>
      <c r="J81" s="5">
        <v>100000000</v>
      </c>
      <c r="K81" s="5">
        <v>100000000</v>
      </c>
      <c r="L81" s="5">
        <v>100000000</v>
      </c>
      <c r="M81" s="5">
        <v>100000000</v>
      </c>
      <c r="N81" s="5">
        <v>100000000</v>
      </c>
      <c r="O81" s="5">
        <v>100000000</v>
      </c>
      <c r="P81" s="5">
        <v>100000000</v>
      </c>
      <c r="Q81" s="5">
        <v>100000000</v>
      </c>
      <c r="R81" s="5">
        <v>100000000</v>
      </c>
      <c r="S81" s="5">
        <v>100000000</v>
      </c>
      <c r="T81" s="5">
        <v>100000000</v>
      </c>
      <c r="U81" s="5">
        <v>100000000</v>
      </c>
      <c r="V81" s="5">
        <v>100000000</v>
      </c>
      <c r="W81" s="5"/>
      <c r="X81" s="5">
        <v>100000000</v>
      </c>
      <c r="Y81" s="5">
        <v>100000000</v>
      </c>
      <c r="Z81" s="5">
        <v>100000000</v>
      </c>
    </row>
    <row r="82" spans="1:26" x14ac:dyDescent="0.3">
      <c r="A82" t="str">
        <f>Factors!B11</f>
        <v>ResRot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/>
      <c r="X82" s="5">
        <v>0</v>
      </c>
      <c r="Y82" s="5">
        <v>0</v>
      </c>
      <c r="Z82" s="5">
        <v>0</v>
      </c>
    </row>
    <row r="83" spans="1:26" x14ac:dyDescent="0.3">
      <c r="A83" t="str">
        <f>Factors!B15</f>
        <v>Sawnco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5"/>
      <c r="X83" s="5">
        <v>0</v>
      </c>
      <c r="Y83" s="5">
        <v>0</v>
      </c>
      <c r="Z83" s="5">
        <v>0</v>
      </c>
    </row>
    <row r="84" spans="1:26" s="59" customFormat="1" x14ac:dyDescent="0.3">
      <c r="A84" s="59" t="str">
        <f>Factors!B16</f>
        <v>Sawnbe</v>
      </c>
      <c r="B84" s="61">
        <v>0</v>
      </c>
      <c r="C84" s="61">
        <v>0</v>
      </c>
      <c r="D84" s="61">
        <v>0</v>
      </c>
      <c r="E84" s="61">
        <v>0</v>
      </c>
      <c r="F84" s="61">
        <v>0</v>
      </c>
      <c r="G84" s="61">
        <v>0</v>
      </c>
      <c r="H84" s="61">
        <v>0</v>
      </c>
      <c r="I84" s="61">
        <v>0</v>
      </c>
      <c r="J84" s="61">
        <v>0</v>
      </c>
      <c r="K84" s="61">
        <v>0</v>
      </c>
      <c r="L84" s="61">
        <v>0</v>
      </c>
      <c r="M84" s="61">
        <v>0</v>
      </c>
      <c r="N84" s="61">
        <v>0</v>
      </c>
      <c r="O84" s="61">
        <v>0</v>
      </c>
      <c r="P84" s="61">
        <v>0</v>
      </c>
      <c r="Q84" s="61">
        <v>0</v>
      </c>
      <c r="R84" s="61">
        <v>0</v>
      </c>
      <c r="S84" s="61">
        <v>0</v>
      </c>
      <c r="T84" s="61">
        <v>0</v>
      </c>
      <c r="U84" s="61">
        <v>0</v>
      </c>
      <c r="V84" s="61">
        <v>0</v>
      </c>
      <c r="W84" s="61"/>
      <c r="X84" s="61"/>
      <c r="Y84" s="61"/>
      <c r="Z84" s="61"/>
    </row>
    <row r="85" spans="1:26" x14ac:dyDescent="0.3">
      <c r="A85" t="str">
        <f>Factors!B17</f>
        <v>Heat__</v>
      </c>
      <c r="B85" s="5">
        <v>0</v>
      </c>
      <c r="C85" s="5">
        <v>0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/>
      <c r="X85" s="5">
        <v>0</v>
      </c>
      <c r="Y85" s="5">
        <v>0</v>
      </c>
      <c r="Z85" s="5">
        <v>0</v>
      </c>
    </row>
    <row r="86" spans="1:26" x14ac:dyDescent="0.3">
      <c r="A86" t="str">
        <f>Factors!B18</f>
        <v>Electr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5"/>
      <c r="X86" s="5">
        <v>0</v>
      </c>
      <c r="Y86" s="5">
        <v>0</v>
      </c>
      <c r="Z86" s="5">
        <v>0</v>
      </c>
    </row>
    <row r="87" spans="1:26" x14ac:dyDescent="0.3">
      <c r="A87" t="str">
        <f>Factors!B19</f>
        <v>BioFue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5"/>
      <c r="X87" s="5">
        <v>0</v>
      </c>
      <c r="Y87" s="5">
        <v>0</v>
      </c>
      <c r="Z87" s="5">
        <v>0</v>
      </c>
    </row>
    <row r="88" spans="1:26" x14ac:dyDescent="0.3">
      <c r="A88" t="str">
        <f>Factors!B20</f>
        <v>PuChem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5"/>
      <c r="X88" s="5">
        <v>0</v>
      </c>
      <c r="Y88" s="5">
        <v>0</v>
      </c>
      <c r="Z88" s="5">
        <v>0</v>
      </c>
    </row>
    <row r="89" spans="1:26" x14ac:dyDescent="0.3">
      <c r="A89" t="str">
        <f>Factors!B21</f>
        <v>PuMech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/>
      <c r="X89" s="5">
        <v>0</v>
      </c>
      <c r="Y89" s="5">
        <v>0</v>
      </c>
      <c r="Z89" s="5">
        <v>0</v>
      </c>
    </row>
    <row r="90" spans="1:26" x14ac:dyDescent="0.3">
      <c r="A90" t="str">
        <f>Factors!B22</f>
        <v>PuDiss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/>
      <c r="X90" s="5">
        <v>0</v>
      </c>
      <c r="Y90" s="5">
        <v>0</v>
      </c>
      <c r="Z90" s="5">
        <v>0</v>
      </c>
    </row>
    <row r="91" spans="1:26" x14ac:dyDescent="0.3">
      <c r="A91" t="str">
        <f>Factors!B23</f>
        <v>PaChem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5"/>
      <c r="X91" s="5">
        <v>0</v>
      </c>
      <c r="Y91" s="5">
        <v>0</v>
      </c>
      <c r="Z91" s="5">
        <v>0</v>
      </c>
    </row>
    <row r="92" spans="1:26" x14ac:dyDescent="0.3">
      <c r="A92" t="str">
        <f>Factors!B24</f>
        <v>OtChem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5"/>
      <c r="X92" s="5">
        <v>0</v>
      </c>
      <c r="Y92" s="5">
        <v>0</v>
      </c>
      <c r="Z92" s="5">
        <v>0</v>
      </c>
    </row>
    <row r="93" spans="1:26" x14ac:dyDescent="0.3">
      <c r="A93" t="str">
        <f>Factors!B25</f>
        <v>OtMech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5"/>
      <c r="X93" s="5">
        <v>0</v>
      </c>
      <c r="Y93" s="5">
        <v>0</v>
      </c>
      <c r="Z93" s="5">
        <v>0</v>
      </c>
    </row>
    <row r="94" spans="1:26" x14ac:dyDescent="0.3">
      <c r="A94" t="str">
        <f>Factors!B26</f>
        <v>NwMech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5"/>
      <c r="X94" s="5">
        <v>0</v>
      </c>
      <c r="Y94" s="5">
        <v>0</v>
      </c>
      <c r="Z94" s="5">
        <v>0</v>
      </c>
    </row>
    <row r="95" spans="1:26" x14ac:dyDescent="0.3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AC95"/>
  <sheetViews>
    <sheetView topLeftCell="A25" zoomScale="85" zoomScaleNormal="85" workbookViewId="0">
      <selection activeCell="B49" sqref="B49"/>
    </sheetView>
  </sheetViews>
  <sheetFormatPr defaultRowHeight="16.5" x14ac:dyDescent="0.3"/>
  <cols>
    <col min="1" max="1" width="12.125" customWidth="1"/>
    <col min="2" max="22" width="14.5" customWidth="1"/>
    <col min="23" max="25" width="14.5" style="59" customWidth="1"/>
    <col min="26" max="29" width="14.5" customWidth="1"/>
  </cols>
  <sheetData>
    <row r="1" spans="1:29" x14ac:dyDescent="0.3">
      <c r="A1" s="4" t="s">
        <v>23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 s="59">
        <v>22</v>
      </c>
      <c r="Y1" s="59">
        <v>23</v>
      </c>
      <c r="AA1">
        <v>22</v>
      </c>
      <c r="AB1">
        <v>23</v>
      </c>
      <c r="AC1">
        <v>24</v>
      </c>
    </row>
    <row r="2" spans="1:29" x14ac:dyDescent="0.3">
      <c r="A2" s="4" t="s">
        <v>35</v>
      </c>
      <c r="B2">
        <v>5</v>
      </c>
      <c r="C2">
        <v>5</v>
      </c>
      <c r="D2">
        <v>5</v>
      </c>
      <c r="E2">
        <v>5</v>
      </c>
      <c r="F2">
        <v>5</v>
      </c>
      <c r="G2">
        <v>5</v>
      </c>
      <c r="H2">
        <v>5</v>
      </c>
      <c r="I2">
        <v>5</v>
      </c>
      <c r="J2">
        <v>5</v>
      </c>
      <c r="K2">
        <v>5</v>
      </c>
      <c r="L2">
        <v>5</v>
      </c>
      <c r="M2">
        <v>5</v>
      </c>
      <c r="N2">
        <v>5</v>
      </c>
      <c r="O2">
        <v>5</v>
      </c>
      <c r="P2">
        <v>5</v>
      </c>
      <c r="Q2">
        <v>5</v>
      </c>
      <c r="R2">
        <v>5</v>
      </c>
      <c r="S2">
        <v>5</v>
      </c>
      <c r="T2">
        <v>5</v>
      </c>
      <c r="U2">
        <v>5</v>
      </c>
      <c r="V2">
        <v>5</v>
      </c>
      <c r="W2" s="59">
        <v>5</v>
      </c>
      <c r="Y2" s="59">
        <v>5</v>
      </c>
      <c r="AA2">
        <v>5</v>
      </c>
      <c r="AB2">
        <v>5</v>
      </c>
      <c r="AC2">
        <v>5</v>
      </c>
    </row>
    <row r="3" spans="1:29" ht="18.75" x14ac:dyDescent="0.3">
      <c r="A3" s="10" t="s">
        <v>70</v>
      </c>
    </row>
    <row r="4" spans="1:29" x14ac:dyDescent="0.3">
      <c r="A4" t="str">
        <f>Factors!B2</f>
        <v>PinTim</v>
      </c>
      <c r="B4" s="5">
        <v>0</v>
      </c>
      <c r="C4" s="5">
        <f t="shared" ref="C4:R10" si="0">B4</f>
        <v>0</v>
      </c>
      <c r="D4" s="5">
        <f t="shared" si="0"/>
        <v>0</v>
      </c>
      <c r="E4" s="5">
        <f t="shared" si="0"/>
        <v>0</v>
      </c>
      <c r="F4" s="5">
        <f t="shared" si="0"/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si="0"/>
        <v>0</v>
      </c>
      <c r="O4" s="5">
        <f t="shared" si="0"/>
        <v>0</v>
      </c>
      <c r="P4" s="5">
        <f t="shared" si="0"/>
        <v>0</v>
      </c>
      <c r="Q4" s="5">
        <f t="shared" si="0"/>
        <v>0</v>
      </c>
      <c r="R4" s="5">
        <f t="shared" si="0"/>
        <v>0</v>
      </c>
      <c r="S4" s="5">
        <f t="shared" ref="S4:V10" si="1">R4</f>
        <v>0</v>
      </c>
      <c r="T4" s="5">
        <f t="shared" si="1"/>
        <v>0</v>
      </c>
      <c r="U4" s="5">
        <f t="shared" si="1"/>
        <v>0</v>
      </c>
      <c r="V4" s="5">
        <f t="shared" si="1"/>
        <v>0</v>
      </c>
      <c r="W4" s="61">
        <f t="shared" ref="W4:W10" si="2">V4</f>
        <v>0</v>
      </c>
      <c r="X4" s="61"/>
      <c r="Y4" s="61">
        <f t="shared" ref="Y4:Y10" si="3">W4</f>
        <v>0</v>
      </c>
      <c r="Z4" s="5"/>
      <c r="AA4" s="5">
        <f t="shared" ref="AA4:AA10" si="4">V4</f>
        <v>0</v>
      </c>
      <c r="AB4" s="5">
        <f t="shared" ref="AB4:AC10" si="5">AA4</f>
        <v>0</v>
      </c>
      <c r="AC4" s="5">
        <f t="shared" si="5"/>
        <v>0</v>
      </c>
    </row>
    <row r="5" spans="1:29" x14ac:dyDescent="0.3">
      <c r="A5" t="str">
        <f>Factors!B3</f>
        <v>PinPuw</v>
      </c>
      <c r="B5" s="5">
        <v>0</v>
      </c>
      <c r="C5" s="5">
        <f t="shared" si="0"/>
        <v>0</v>
      </c>
      <c r="D5" s="5">
        <f t="shared" si="0"/>
        <v>0</v>
      </c>
      <c r="E5" s="5">
        <f t="shared" si="0"/>
        <v>0</v>
      </c>
      <c r="F5" s="5">
        <f t="shared" si="0"/>
        <v>0</v>
      </c>
      <c r="G5" s="5">
        <f t="shared" si="0"/>
        <v>0</v>
      </c>
      <c r="H5" s="5">
        <f t="shared" si="0"/>
        <v>0</v>
      </c>
      <c r="I5" s="5">
        <f t="shared" si="0"/>
        <v>0</v>
      </c>
      <c r="J5" s="5">
        <f t="shared" si="0"/>
        <v>0</v>
      </c>
      <c r="K5" s="5">
        <f t="shared" si="0"/>
        <v>0</v>
      </c>
      <c r="L5" s="5">
        <f t="shared" si="0"/>
        <v>0</v>
      </c>
      <c r="M5" s="5">
        <f>L5</f>
        <v>0</v>
      </c>
      <c r="N5" s="5">
        <f t="shared" si="0"/>
        <v>0</v>
      </c>
      <c r="O5" s="5">
        <f>N5</f>
        <v>0</v>
      </c>
      <c r="P5" s="5">
        <f>O5</f>
        <v>0</v>
      </c>
      <c r="Q5" s="5">
        <f>P5</f>
        <v>0</v>
      </c>
      <c r="R5" s="5">
        <f>Q5</f>
        <v>0</v>
      </c>
      <c r="S5" s="5">
        <f t="shared" si="1"/>
        <v>0</v>
      </c>
      <c r="T5" s="5">
        <f t="shared" si="1"/>
        <v>0</v>
      </c>
      <c r="U5" s="5">
        <f t="shared" si="1"/>
        <v>0</v>
      </c>
      <c r="V5" s="5">
        <f t="shared" si="1"/>
        <v>0</v>
      </c>
      <c r="W5" s="61">
        <f t="shared" si="2"/>
        <v>0</v>
      </c>
      <c r="X5" s="61"/>
      <c r="Y5" s="61">
        <f t="shared" si="3"/>
        <v>0</v>
      </c>
      <c r="Z5" s="5"/>
      <c r="AA5" s="5">
        <f t="shared" si="4"/>
        <v>0</v>
      </c>
      <c r="AB5" s="5">
        <f t="shared" si="5"/>
        <v>0</v>
      </c>
      <c r="AC5" s="5">
        <f t="shared" si="5"/>
        <v>0</v>
      </c>
    </row>
    <row r="6" spans="1:29" x14ac:dyDescent="0.3">
      <c r="A6" t="str">
        <f>Factors!B4</f>
        <v>SprTim</v>
      </c>
      <c r="B6" s="5">
        <v>0</v>
      </c>
      <c r="C6" s="5">
        <f t="shared" si="0"/>
        <v>0</v>
      </c>
      <c r="D6" s="5">
        <f t="shared" si="0"/>
        <v>0</v>
      </c>
      <c r="E6" s="5">
        <f t="shared" si="0"/>
        <v>0</v>
      </c>
      <c r="F6" s="5">
        <f t="shared" si="0"/>
        <v>0</v>
      </c>
      <c r="G6" s="5">
        <f t="shared" si="0"/>
        <v>0</v>
      </c>
      <c r="H6" s="5">
        <f t="shared" si="0"/>
        <v>0</v>
      </c>
      <c r="I6" s="5">
        <f t="shared" si="0"/>
        <v>0</v>
      </c>
      <c r="J6" s="5">
        <f t="shared" si="0"/>
        <v>0</v>
      </c>
      <c r="K6" s="5">
        <f t="shared" si="0"/>
        <v>0</v>
      </c>
      <c r="L6" s="5">
        <f t="shared" si="0"/>
        <v>0</v>
      </c>
      <c r="M6" s="5">
        <f t="shared" si="0"/>
        <v>0</v>
      </c>
      <c r="N6" s="5">
        <f t="shared" si="0"/>
        <v>0</v>
      </c>
      <c r="O6" s="5">
        <f t="shared" si="0"/>
        <v>0</v>
      </c>
      <c r="P6" s="5">
        <f t="shared" si="0"/>
        <v>0</v>
      </c>
      <c r="Q6" s="5">
        <f t="shared" si="0"/>
        <v>0</v>
      </c>
      <c r="R6" s="5">
        <f t="shared" si="0"/>
        <v>0</v>
      </c>
      <c r="S6" s="5">
        <f t="shared" si="1"/>
        <v>0</v>
      </c>
      <c r="T6" s="5">
        <f t="shared" si="1"/>
        <v>0</v>
      </c>
      <c r="U6" s="5">
        <f t="shared" si="1"/>
        <v>0</v>
      </c>
      <c r="V6" s="5">
        <f t="shared" si="1"/>
        <v>0</v>
      </c>
      <c r="W6" s="61">
        <f t="shared" si="2"/>
        <v>0</v>
      </c>
      <c r="X6" s="61"/>
      <c r="Y6" s="61">
        <f t="shared" si="3"/>
        <v>0</v>
      </c>
      <c r="Z6" s="5"/>
      <c r="AA6" s="5">
        <f t="shared" si="4"/>
        <v>0</v>
      </c>
      <c r="AB6" s="5">
        <f t="shared" si="5"/>
        <v>0</v>
      </c>
      <c r="AC6" s="5">
        <f t="shared" si="5"/>
        <v>0</v>
      </c>
    </row>
    <row r="7" spans="1:29" x14ac:dyDescent="0.3">
      <c r="A7" t="str">
        <f>Factors!B5</f>
        <v>SprPuw</v>
      </c>
      <c r="B7" s="5">
        <v>0</v>
      </c>
      <c r="C7" s="5">
        <f t="shared" si="0"/>
        <v>0</v>
      </c>
      <c r="D7" s="5">
        <f t="shared" si="0"/>
        <v>0</v>
      </c>
      <c r="E7" s="5">
        <f t="shared" si="0"/>
        <v>0</v>
      </c>
      <c r="F7" s="5">
        <f t="shared" si="0"/>
        <v>0</v>
      </c>
      <c r="G7" s="5">
        <f t="shared" si="0"/>
        <v>0</v>
      </c>
      <c r="H7" s="5">
        <f t="shared" si="0"/>
        <v>0</v>
      </c>
      <c r="I7" s="5">
        <f t="shared" si="0"/>
        <v>0</v>
      </c>
      <c r="J7" s="5">
        <f t="shared" si="0"/>
        <v>0</v>
      </c>
      <c r="K7" s="5">
        <f t="shared" si="0"/>
        <v>0</v>
      </c>
      <c r="L7" s="5">
        <f t="shared" si="0"/>
        <v>0</v>
      </c>
      <c r="M7" s="5">
        <f t="shared" si="0"/>
        <v>0</v>
      </c>
      <c r="N7" s="5">
        <f t="shared" si="0"/>
        <v>0</v>
      </c>
      <c r="O7" s="5">
        <f t="shared" si="0"/>
        <v>0</v>
      </c>
      <c r="P7" s="5">
        <f t="shared" si="0"/>
        <v>0</v>
      </c>
      <c r="Q7" s="5">
        <f t="shared" si="0"/>
        <v>0</v>
      </c>
      <c r="R7" s="5">
        <f t="shared" si="0"/>
        <v>0</v>
      </c>
      <c r="S7" s="5">
        <f t="shared" si="1"/>
        <v>0</v>
      </c>
      <c r="T7" s="5">
        <f t="shared" si="1"/>
        <v>0</v>
      </c>
      <c r="U7" s="5">
        <f t="shared" si="1"/>
        <v>0</v>
      </c>
      <c r="V7" s="5">
        <f t="shared" si="1"/>
        <v>0</v>
      </c>
      <c r="W7" s="61">
        <f t="shared" si="2"/>
        <v>0</v>
      </c>
      <c r="X7" s="61"/>
      <c r="Y7" s="61">
        <f t="shared" si="3"/>
        <v>0</v>
      </c>
      <c r="Z7" s="5"/>
      <c r="AA7" s="5">
        <f t="shared" si="4"/>
        <v>0</v>
      </c>
      <c r="AB7" s="5">
        <f t="shared" si="5"/>
        <v>0</v>
      </c>
      <c r="AC7" s="5">
        <f t="shared" si="5"/>
        <v>0</v>
      </c>
    </row>
    <row r="8" spans="1:29" x14ac:dyDescent="0.3">
      <c r="A8" t="str">
        <f>Factors!B7</f>
        <v>Decids</v>
      </c>
      <c r="B8" s="5">
        <v>0</v>
      </c>
      <c r="C8" s="5">
        <f t="shared" si="0"/>
        <v>0</v>
      </c>
      <c r="D8" s="5">
        <f t="shared" si="0"/>
        <v>0</v>
      </c>
      <c r="E8" s="5">
        <f t="shared" si="0"/>
        <v>0</v>
      </c>
      <c r="F8" s="5">
        <f t="shared" si="0"/>
        <v>0</v>
      </c>
      <c r="G8" s="5">
        <f t="shared" si="0"/>
        <v>0</v>
      </c>
      <c r="H8" s="5">
        <f t="shared" si="0"/>
        <v>0</v>
      </c>
      <c r="I8" s="5">
        <f t="shared" si="0"/>
        <v>0</v>
      </c>
      <c r="J8" s="5">
        <f t="shared" si="0"/>
        <v>0</v>
      </c>
      <c r="K8" s="5">
        <f t="shared" si="0"/>
        <v>0</v>
      </c>
      <c r="L8" s="5">
        <f t="shared" si="0"/>
        <v>0</v>
      </c>
      <c r="M8" s="5">
        <f t="shared" si="0"/>
        <v>0</v>
      </c>
      <c r="N8" s="5">
        <f t="shared" si="0"/>
        <v>0</v>
      </c>
      <c r="O8" s="5">
        <f t="shared" si="0"/>
        <v>0</v>
      </c>
      <c r="P8" s="5">
        <f t="shared" si="0"/>
        <v>0</v>
      </c>
      <c r="Q8" s="5">
        <f t="shared" si="0"/>
        <v>0</v>
      </c>
      <c r="R8" s="5">
        <f t="shared" si="0"/>
        <v>0</v>
      </c>
      <c r="S8" s="5">
        <f t="shared" si="1"/>
        <v>0</v>
      </c>
      <c r="T8" s="5">
        <f t="shared" si="1"/>
        <v>0</v>
      </c>
      <c r="U8" s="5">
        <f t="shared" si="1"/>
        <v>0</v>
      </c>
      <c r="V8" s="5">
        <f t="shared" si="1"/>
        <v>0</v>
      </c>
      <c r="W8" s="61">
        <f t="shared" si="2"/>
        <v>0</v>
      </c>
      <c r="X8" s="61"/>
      <c r="Y8" s="61">
        <f t="shared" si="3"/>
        <v>0</v>
      </c>
      <c r="Z8" s="5"/>
      <c r="AA8" s="5">
        <f t="shared" si="4"/>
        <v>0</v>
      </c>
      <c r="AB8" s="5">
        <f t="shared" si="5"/>
        <v>0</v>
      </c>
      <c r="AC8" s="5">
        <f t="shared" si="5"/>
        <v>0</v>
      </c>
    </row>
    <row r="9" spans="1:29" x14ac:dyDescent="0.3">
      <c r="A9" t="str">
        <f>Factors!B8</f>
        <v>Sawdst</v>
      </c>
      <c r="B9" s="5">
        <v>0</v>
      </c>
      <c r="C9" s="5">
        <f t="shared" si="0"/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 t="shared" si="0"/>
        <v>0</v>
      </c>
      <c r="H9" s="5">
        <f t="shared" si="0"/>
        <v>0</v>
      </c>
      <c r="I9" s="5">
        <f t="shared" si="0"/>
        <v>0</v>
      </c>
      <c r="J9" s="5">
        <f t="shared" si="0"/>
        <v>0</v>
      </c>
      <c r="K9" s="5">
        <f t="shared" si="0"/>
        <v>0</v>
      </c>
      <c r="L9" s="5">
        <f t="shared" si="0"/>
        <v>0</v>
      </c>
      <c r="M9" s="5">
        <f t="shared" si="0"/>
        <v>0</v>
      </c>
      <c r="N9" s="5">
        <f t="shared" si="0"/>
        <v>0</v>
      </c>
      <c r="O9" s="5">
        <f t="shared" si="0"/>
        <v>0</v>
      </c>
      <c r="P9" s="5">
        <f t="shared" si="0"/>
        <v>0</v>
      </c>
      <c r="Q9" s="5">
        <f t="shared" si="0"/>
        <v>0</v>
      </c>
      <c r="R9" s="5">
        <f t="shared" si="0"/>
        <v>0</v>
      </c>
      <c r="S9" s="5">
        <f t="shared" si="1"/>
        <v>0</v>
      </c>
      <c r="T9" s="5">
        <f t="shared" si="1"/>
        <v>0</v>
      </c>
      <c r="U9" s="5">
        <f t="shared" si="1"/>
        <v>0</v>
      </c>
      <c r="V9" s="5">
        <f t="shared" si="1"/>
        <v>0</v>
      </c>
      <c r="W9" s="61">
        <f t="shared" si="2"/>
        <v>0</v>
      </c>
      <c r="X9" s="61"/>
      <c r="Y9" s="61">
        <f t="shared" si="3"/>
        <v>0</v>
      </c>
      <c r="Z9" s="5"/>
      <c r="AA9" s="5">
        <f t="shared" si="4"/>
        <v>0</v>
      </c>
      <c r="AB9" s="5">
        <f t="shared" si="5"/>
        <v>0</v>
      </c>
      <c r="AC9" s="5">
        <f t="shared" si="5"/>
        <v>0</v>
      </c>
    </row>
    <row r="10" spans="1:29" x14ac:dyDescent="0.3">
      <c r="A10" t="str">
        <f>Factors!B9</f>
        <v>Chips_</v>
      </c>
      <c r="B10" s="5">
        <v>0</v>
      </c>
      <c r="C10" s="5">
        <f t="shared" si="0"/>
        <v>0</v>
      </c>
      <c r="D10" s="5">
        <f t="shared" si="0"/>
        <v>0</v>
      </c>
      <c r="E10" s="5">
        <f t="shared" si="0"/>
        <v>0</v>
      </c>
      <c r="F10" s="5">
        <f t="shared" si="0"/>
        <v>0</v>
      </c>
      <c r="G10" s="5">
        <f t="shared" si="0"/>
        <v>0</v>
      </c>
      <c r="H10" s="5">
        <f t="shared" si="0"/>
        <v>0</v>
      </c>
      <c r="I10" s="5">
        <f t="shared" si="0"/>
        <v>0</v>
      </c>
      <c r="J10" s="5">
        <f t="shared" si="0"/>
        <v>0</v>
      </c>
      <c r="K10" s="5">
        <f t="shared" si="0"/>
        <v>0</v>
      </c>
      <c r="L10" s="5">
        <f t="shared" si="0"/>
        <v>0</v>
      </c>
      <c r="M10" s="5">
        <f t="shared" si="0"/>
        <v>0</v>
      </c>
      <c r="N10" s="5">
        <f t="shared" si="0"/>
        <v>0</v>
      </c>
      <c r="O10" s="5">
        <f t="shared" si="0"/>
        <v>0</v>
      </c>
      <c r="P10" s="5">
        <f t="shared" si="0"/>
        <v>0</v>
      </c>
      <c r="Q10" s="5">
        <f t="shared" si="0"/>
        <v>0</v>
      </c>
      <c r="R10" s="5">
        <f t="shared" si="0"/>
        <v>0</v>
      </c>
      <c r="S10" s="5">
        <f t="shared" si="1"/>
        <v>0</v>
      </c>
      <c r="T10" s="5">
        <f t="shared" si="1"/>
        <v>0</v>
      </c>
      <c r="U10" s="5">
        <f t="shared" si="1"/>
        <v>0</v>
      </c>
      <c r="V10" s="5">
        <f t="shared" si="1"/>
        <v>0</v>
      </c>
      <c r="W10" s="61">
        <f t="shared" si="2"/>
        <v>0</v>
      </c>
      <c r="X10" s="61"/>
      <c r="Y10" s="61">
        <f t="shared" si="3"/>
        <v>0</v>
      </c>
      <c r="Z10" s="5"/>
      <c r="AA10" s="5">
        <f t="shared" si="4"/>
        <v>0</v>
      </c>
      <c r="AB10" s="5">
        <f t="shared" si="5"/>
        <v>0</v>
      </c>
      <c r="AC10" s="5">
        <f t="shared" si="5"/>
        <v>0</v>
      </c>
    </row>
    <row r="11" spans="1:29" x14ac:dyDescent="0.3">
      <c r="A11" t="str">
        <f>Factors!B10</f>
        <v>ResStm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61">
        <v>0</v>
      </c>
      <c r="X11" s="61"/>
      <c r="Y11" s="61">
        <v>0</v>
      </c>
      <c r="Z11" s="5"/>
      <c r="AA11" s="5">
        <v>0</v>
      </c>
      <c r="AB11" s="5">
        <v>0</v>
      </c>
      <c r="AC11" s="5">
        <v>0</v>
      </c>
    </row>
    <row r="12" spans="1:29" x14ac:dyDescent="0.3">
      <c r="A12" t="str">
        <f>Factors!B11</f>
        <v>ResRot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61">
        <v>0</v>
      </c>
      <c r="X12" s="61"/>
      <c r="Y12" s="61">
        <v>0</v>
      </c>
      <c r="Z12" s="5"/>
      <c r="AA12" s="5">
        <v>0</v>
      </c>
      <c r="AB12" s="5">
        <v>0</v>
      </c>
      <c r="AC12" s="5">
        <v>0</v>
      </c>
    </row>
    <row r="13" spans="1:29" x14ac:dyDescent="0.3">
      <c r="A13" t="str">
        <f>Factors!B15</f>
        <v>Sawnco</v>
      </c>
      <c r="B13" s="6">
        <f>[2]IIASA2SweFor!$B$16</f>
        <v>2152.3303600805457</v>
      </c>
      <c r="C13" s="5">
        <f>(B13+D13)/2</f>
        <v>2082.7167143896008</v>
      </c>
      <c r="D13" s="6">
        <f>[2]IIASA2SweFor!$C$16</f>
        <v>2013.103068698656</v>
      </c>
      <c r="E13" s="5">
        <f>(D13+F13)/2</f>
        <v>1998.5886575949798</v>
      </c>
      <c r="F13" s="6">
        <f>[2]IIASA2SweFor!$D$16</f>
        <v>1984.0742464913039</v>
      </c>
      <c r="G13" s="5">
        <f t="shared" ref="G13:G19" si="6">(F13+H13)/2</f>
        <v>2008.9280625216443</v>
      </c>
      <c r="H13" s="6">
        <f>[2]IIASA2SweFor!$E$16</f>
        <v>2033.7818785519844</v>
      </c>
      <c r="I13" s="5">
        <f t="shared" ref="I13:I19" si="7">(H13+J13)/2</f>
        <v>2067.9867920368752</v>
      </c>
      <c r="J13" s="6">
        <f>[2]IIASA2SweFor!$F$16</f>
        <v>2102.1917055217659</v>
      </c>
      <c r="K13" s="5">
        <f t="shared" ref="K13:K19" si="8">(J13+L13)/2</f>
        <v>2134.9267241471343</v>
      </c>
      <c r="L13" s="6">
        <f>[2]IIASA2SweFor!$G$16</f>
        <v>2167.6617427725032</v>
      </c>
      <c r="M13" s="5">
        <f t="shared" ref="M13:M19" si="9">(L13+N13)/2</f>
        <v>2181.880841005428</v>
      </c>
      <c r="N13" s="6">
        <f>[2]IIASA2SweFor!$H$16</f>
        <v>2196.0999392383533</v>
      </c>
      <c r="O13" s="5">
        <f t="shared" ref="O13:O19" si="10">(N13+P13)/2</f>
        <v>2197.2824860509736</v>
      </c>
      <c r="P13" s="6">
        <f>[2]IIASA2SweFor!$I$16</f>
        <v>2198.4650328635939</v>
      </c>
      <c r="Q13" s="5">
        <f t="shared" ref="Q13:Q19" si="11">(P13+R13)/2</f>
        <v>2175.0298872171925</v>
      </c>
      <c r="R13" s="6">
        <f>[2]IIASA2SweFor!$J$16</f>
        <v>2151.594741570791</v>
      </c>
      <c r="S13" s="16">
        <f>R13</f>
        <v>2151.594741570791</v>
      </c>
      <c r="T13" s="16">
        <f>S13</f>
        <v>2151.594741570791</v>
      </c>
      <c r="U13" s="16">
        <f>T13</f>
        <v>2151.594741570791</v>
      </c>
      <c r="V13" s="16">
        <f>U13</f>
        <v>2151.594741570791</v>
      </c>
      <c r="W13" s="66">
        <f t="shared" ref="W13" si="12">V13</f>
        <v>2151.594741570791</v>
      </c>
      <c r="X13" s="66"/>
      <c r="Y13" s="66">
        <f>W13</f>
        <v>2151.594741570791</v>
      </c>
      <c r="Z13" s="5"/>
      <c r="AA13" s="5">
        <f t="shared" ref="AA13:AA24" si="13">V13</f>
        <v>2151.594741570791</v>
      </c>
      <c r="AB13" s="5">
        <f t="shared" ref="AB13:AC24" si="14">AA13</f>
        <v>2151.594741570791</v>
      </c>
      <c r="AC13" s="5">
        <f t="shared" si="14"/>
        <v>2151.594741570791</v>
      </c>
    </row>
    <row r="14" spans="1:29" s="59" customFormat="1" x14ac:dyDescent="0.3">
      <c r="A14" s="59" t="str">
        <f>Factors!B16</f>
        <v>Sawnbe</v>
      </c>
      <c r="B14" s="61">
        <f>3000</f>
        <v>3000</v>
      </c>
      <c r="C14" s="61">
        <f>$B$14/$B$13*C13</f>
        <v>2902.9698502858923</v>
      </c>
      <c r="D14" s="61">
        <f t="shared" ref="D14:W14" si="15">$B$14/$B$13*D13</f>
        <v>2805.9397005717847</v>
      </c>
      <c r="E14" s="61">
        <f t="shared" si="15"/>
        <v>2785.7089617787869</v>
      </c>
      <c r="F14" s="61">
        <f t="shared" si="15"/>
        <v>2765.4782229857897</v>
      </c>
      <c r="G14" s="61">
        <f t="shared" si="15"/>
        <v>2800.12041801027</v>
      </c>
      <c r="H14" s="61">
        <f t="shared" si="15"/>
        <v>2834.7626130347508</v>
      </c>
      <c r="I14" s="61">
        <f t="shared" si="15"/>
        <v>2882.438723708965</v>
      </c>
      <c r="J14" s="61">
        <f t="shared" si="15"/>
        <v>2930.1148343831796</v>
      </c>
      <c r="K14" s="61">
        <f t="shared" si="15"/>
        <v>2975.7421496399465</v>
      </c>
      <c r="L14" s="61">
        <f t="shared" si="15"/>
        <v>3021.3694648967139</v>
      </c>
      <c r="M14" s="61">
        <f t="shared" si="15"/>
        <v>3041.1885853672247</v>
      </c>
      <c r="N14" s="61">
        <f t="shared" si="15"/>
        <v>3061.007705837736</v>
      </c>
      <c r="O14" s="61">
        <f t="shared" si="15"/>
        <v>3062.6559846074174</v>
      </c>
      <c r="P14" s="61">
        <f t="shared" si="15"/>
        <v>3064.3042633770988</v>
      </c>
      <c r="Q14" s="61">
        <f t="shared" si="15"/>
        <v>3031.6394651457649</v>
      </c>
      <c r="R14" s="61">
        <f t="shared" si="15"/>
        <v>2998.9746669144315</v>
      </c>
      <c r="S14" s="61">
        <f t="shared" si="15"/>
        <v>2998.9746669144315</v>
      </c>
      <c r="T14" s="61">
        <f t="shared" si="15"/>
        <v>2998.9746669144315</v>
      </c>
      <c r="U14" s="61">
        <f t="shared" si="15"/>
        <v>2998.9746669144315</v>
      </c>
      <c r="V14" s="61">
        <f t="shared" si="15"/>
        <v>2998.9746669144315</v>
      </c>
      <c r="W14" s="61">
        <f t="shared" si="15"/>
        <v>2998.9746669144315</v>
      </c>
      <c r="X14" s="66"/>
      <c r="Y14" s="66"/>
      <c r="Z14" s="61"/>
      <c r="AA14" s="61"/>
      <c r="AB14" s="61"/>
      <c r="AC14" s="61"/>
    </row>
    <row r="15" spans="1:29" x14ac:dyDescent="0.3">
      <c r="A15" t="str">
        <f>Factors!B17</f>
        <v>Heat__</v>
      </c>
      <c r="B15" s="5">
        <v>0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  <c r="V15" s="61">
        <v>0</v>
      </c>
      <c r="W15" s="61">
        <v>0</v>
      </c>
      <c r="X15" s="61"/>
      <c r="Y15" s="61">
        <v>0</v>
      </c>
      <c r="Z15" s="5"/>
      <c r="AA15" s="5">
        <f t="shared" si="13"/>
        <v>0</v>
      </c>
      <c r="AB15" s="5">
        <f t="shared" si="14"/>
        <v>0</v>
      </c>
      <c r="AC15" s="5">
        <f t="shared" si="14"/>
        <v>0</v>
      </c>
    </row>
    <row r="16" spans="1:29" x14ac:dyDescent="0.3">
      <c r="A16" t="str">
        <f>Factors!B18</f>
        <v>Electr</v>
      </c>
      <c r="B16" s="5">
        <v>650</v>
      </c>
      <c r="C16" s="61">
        <v>650</v>
      </c>
      <c r="D16" s="61">
        <v>650</v>
      </c>
      <c r="E16" s="61">
        <v>650</v>
      </c>
      <c r="F16" s="61">
        <v>650</v>
      </c>
      <c r="G16" s="61">
        <v>650</v>
      </c>
      <c r="H16" s="61">
        <v>650</v>
      </c>
      <c r="I16" s="61">
        <v>650</v>
      </c>
      <c r="J16" s="61">
        <v>650</v>
      </c>
      <c r="K16" s="61">
        <v>650</v>
      </c>
      <c r="L16" s="61">
        <v>650</v>
      </c>
      <c r="M16" s="61">
        <v>650</v>
      </c>
      <c r="N16" s="61">
        <v>650</v>
      </c>
      <c r="O16" s="61">
        <v>650</v>
      </c>
      <c r="P16" s="61">
        <v>650</v>
      </c>
      <c r="Q16" s="61">
        <v>650</v>
      </c>
      <c r="R16" s="61">
        <v>650</v>
      </c>
      <c r="S16" s="61">
        <v>650</v>
      </c>
      <c r="T16" s="61">
        <v>650</v>
      </c>
      <c r="U16" s="61">
        <v>650</v>
      </c>
      <c r="V16" s="61">
        <v>650</v>
      </c>
      <c r="W16" s="61">
        <v>650</v>
      </c>
      <c r="X16" s="61"/>
      <c r="Y16" s="61">
        <v>650</v>
      </c>
      <c r="Z16" s="5"/>
      <c r="AA16" s="5">
        <f t="shared" si="13"/>
        <v>650</v>
      </c>
      <c r="AB16" s="5">
        <f t="shared" si="14"/>
        <v>650</v>
      </c>
      <c r="AC16" s="5">
        <f t="shared" si="14"/>
        <v>650</v>
      </c>
    </row>
    <row r="17" spans="1:29" x14ac:dyDescent="0.3">
      <c r="A17" t="str">
        <f>Factors!B19</f>
        <v>BioFue</v>
      </c>
      <c r="B17" s="5">
        <v>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1">
        <v>0</v>
      </c>
      <c r="I17" s="61">
        <v>0</v>
      </c>
      <c r="J17" s="61">
        <v>0</v>
      </c>
      <c r="K17" s="61">
        <v>0</v>
      </c>
      <c r="L17" s="61">
        <v>0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  <c r="V17" s="61">
        <v>0</v>
      </c>
      <c r="W17" s="61">
        <v>0</v>
      </c>
      <c r="X17" s="61"/>
      <c r="Y17" s="61">
        <v>0</v>
      </c>
      <c r="Z17" s="5"/>
      <c r="AA17" s="5">
        <f t="shared" si="13"/>
        <v>0</v>
      </c>
      <c r="AB17" s="5">
        <f t="shared" si="14"/>
        <v>0</v>
      </c>
      <c r="AC17" s="5">
        <f t="shared" si="14"/>
        <v>0</v>
      </c>
    </row>
    <row r="18" spans="1:29" x14ac:dyDescent="0.3">
      <c r="A18" t="str">
        <f>Factors!B20</f>
        <v>PuChem</v>
      </c>
      <c r="B18" s="6">
        <f>[2]IIASA2SweFor!$B$17</f>
        <v>5671.6872449494349</v>
      </c>
      <c r="C18" s="5">
        <f>(B18+D18)/2</f>
        <v>6044.5608275464238</v>
      </c>
      <c r="D18" s="5">
        <f>[2]IIASA2SweFor!$C$17</f>
        <v>6417.4344101434117</v>
      </c>
      <c r="E18" s="5">
        <f>(D18+F18)/2</f>
        <v>6434.7604303982134</v>
      </c>
      <c r="F18" s="5">
        <f>[2]IIASA2SweFor!$D$17</f>
        <v>6452.0864506530152</v>
      </c>
      <c r="G18" s="5">
        <f t="shared" si="6"/>
        <v>6350.0741764146633</v>
      </c>
      <c r="H18" s="5">
        <f>[2]IIASA2SweFor!$E$17</f>
        <v>6248.0619021763114</v>
      </c>
      <c r="I18" s="5">
        <f t="shared" si="7"/>
        <v>6270.7509429341044</v>
      </c>
      <c r="J18" s="5">
        <f>[2]IIASA2SweFor!$F$17</f>
        <v>6293.4399836918983</v>
      </c>
      <c r="K18" s="5">
        <f t="shared" si="8"/>
        <v>6375.9677459828445</v>
      </c>
      <c r="L18" s="5">
        <f>[2]IIASA2SweFor!$G$17</f>
        <v>6458.4955082737906</v>
      </c>
      <c r="M18" s="5">
        <f t="shared" si="9"/>
        <v>6444.1178211109491</v>
      </c>
      <c r="N18" s="5">
        <f>[2]IIASA2SweFor!$H$17</f>
        <v>6429.7401339481075</v>
      </c>
      <c r="O18" s="5">
        <f t="shared" si="10"/>
        <v>6331.6334701463602</v>
      </c>
      <c r="P18" s="5">
        <f>[2]IIASA2SweFor!$I$17</f>
        <v>6233.5268063446129</v>
      </c>
      <c r="Q18" s="5">
        <f t="shared" si="11"/>
        <v>6234.7921872043298</v>
      </c>
      <c r="R18" s="5">
        <f>[2]IIASA2SweFor!$J$17</f>
        <v>6236.0575680640459</v>
      </c>
      <c r="S18" s="5">
        <f>R18</f>
        <v>6236.0575680640459</v>
      </c>
      <c r="T18" s="5">
        <f t="shared" ref="T18:V19" si="16">S18</f>
        <v>6236.0575680640459</v>
      </c>
      <c r="U18" s="5">
        <f t="shared" si="16"/>
        <v>6236.0575680640459</v>
      </c>
      <c r="V18" s="5">
        <f t="shared" si="16"/>
        <v>6236.0575680640459</v>
      </c>
      <c r="W18" s="61">
        <f t="shared" ref="W18:W19" si="17">V18</f>
        <v>6236.0575680640459</v>
      </c>
      <c r="X18" s="61"/>
      <c r="Y18" s="61">
        <f t="shared" ref="Y18:Y19" si="18">W18</f>
        <v>6236.0575680640459</v>
      </c>
      <c r="Z18" s="5"/>
      <c r="AA18" s="5">
        <f t="shared" si="13"/>
        <v>6236.0575680640459</v>
      </c>
      <c r="AB18" s="5">
        <f t="shared" si="14"/>
        <v>6236.0575680640459</v>
      </c>
      <c r="AC18" s="5">
        <f t="shared" si="14"/>
        <v>6236.0575680640459</v>
      </c>
    </row>
    <row r="19" spans="1:29" x14ac:dyDescent="0.3">
      <c r="A19" t="str">
        <f>Factors!B21</f>
        <v>PuMech</v>
      </c>
      <c r="B19" s="6">
        <f>[2]IIASA2SweFor!$B$18</f>
        <v>4521.8222798989136</v>
      </c>
      <c r="C19" s="5">
        <f>(B19+D19)/2</f>
        <v>4883.6395796509914</v>
      </c>
      <c r="D19" s="5">
        <f>[2]IIASA2SweFor!$C$18</f>
        <v>5245.4568794030683</v>
      </c>
      <c r="E19" s="5">
        <f>(D19+F19)/2</f>
        <v>5259.6187525644964</v>
      </c>
      <c r="F19" s="5">
        <f>[2]IIASA2SweFor!$D$18</f>
        <v>5273.7806257259244</v>
      </c>
      <c r="G19" s="5">
        <f t="shared" si="6"/>
        <v>5190.3982408835836</v>
      </c>
      <c r="H19" s="5">
        <f>[2]IIASA2SweFor!$E$18</f>
        <v>5107.0158560412428</v>
      </c>
      <c r="I19" s="5">
        <f t="shared" si="7"/>
        <v>5125.5613334584923</v>
      </c>
      <c r="J19" s="5">
        <f>[2]IIASA2SweFor!$F$18</f>
        <v>5144.1068108757418</v>
      </c>
      <c r="K19" s="5">
        <f t="shared" si="8"/>
        <v>5211.5630232472386</v>
      </c>
      <c r="L19" s="5">
        <f>[2]IIASA2SweFor!$G$18</f>
        <v>5279.0192356187354</v>
      </c>
      <c r="M19" s="5">
        <f t="shared" si="9"/>
        <v>5267.2672591717255</v>
      </c>
      <c r="N19" s="5">
        <f>[2]IIASA2SweFor!$H$18</f>
        <v>5255.5152827247166</v>
      </c>
      <c r="O19" s="5">
        <f t="shared" si="10"/>
        <v>5175.3252501252728</v>
      </c>
      <c r="P19" s="5">
        <f>[2]IIASA2SweFor!$I$18</f>
        <v>5095.1352175258289</v>
      </c>
      <c r="Q19" s="5">
        <f t="shared" si="11"/>
        <v>5096.1695094735896</v>
      </c>
      <c r="R19" s="5">
        <f>[2]IIASA2SweFor!$J$18</f>
        <v>5097.2038014213504</v>
      </c>
      <c r="S19" s="5">
        <f>R19</f>
        <v>5097.2038014213504</v>
      </c>
      <c r="T19" s="5">
        <f t="shared" si="16"/>
        <v>5097.2038014213504</v>
      </c>
      <c r="U19" s="5">
        <f t="shared" si="16"/>
        <v>5097.2038014213504</v>
      </c>
      <c r="V19" s="5">
        <f t="shared" si="16"/>
        <v>5097.2038014213504</v>
      </c>
      <c r="W19" s="61">
        <f t="shared" si="17"/>
        <v>5097.2038014213504</v>
      </c>
      <c r="X19" s="61"/>
      <c r="Y19" s="61">
        <f t="shared" si="18"/>
        <v>5097.2038014213504</v>
      </c>
      <c r="Z19" s="5"/>
      <c r="AA19" s="5">
        <f t="shared" si="13"/>
        <v>5097.2038014213504</v>
      </c>
      <c r="AB19" s="5">
        <f t="shared" si="14"/>
        <v>5097.2038014213504</v>
      </c>
      <c r="AC19" s="5">
        <f t="shared" si="14"/>
        <v>5097.2038014213504</v>
      </c>
    </row>
    <row r="20" spans="1:29" x14ac:dyDescent="0.3">
      <c r="A20" t="str">
        <f>Factors!B22</f>
        <v>PuDiss</v>
      </c>
      <c r="B20" s="17">
        <f>[2]IIASA2SweFor!J$8</f>
        <v>7543.8622572003678</v>
      </c>
      <c r="C20" s="5">
        <f>[2]IIASA2SweFor!K$8</f>
        <v>7543.8622572003678</v>
      </c>
      <c r="D20" s="5">
        <f>[2]IIASA2SweFor!L$8</f>
        <v>7543.8622572003678</v>
      </c>
      <c r="E20" s="5">
        <f>[2]IIASA2SweFor!M$8</f>
        <v>7543.8622572003678</v>
      </c>
      <c r="F20" s="5">
        <f>[2]IIASA2SweFor!N$8</f>
        <v>7543.8622572003678</v>
      </c>
      <c r="G20" s="5">
        <f>[2]IIASA2SweFor!O$8</f>
        <v>7543.8622572003678</v>
      </c>
      <c r="H20" s="5">
        <f>[2]IIASA2SweFor!P$8</f>
        <v>7543.8622572003678</v>
      </c>
      <c r="I20" s="5">
        <f>[2]IIASA2SweFor!Q$8</f>
        <v>7543.8622572003678</v>
      </c>
      <c r="J20" s="5">
        <f>[2]IIASA2SweFor!R$8</f>
        <v>7543.8622572003678</v>
      </c>
      <c r="K20" s="5">
        <f>[2]IIASA2SweFor!S$8</f>
        <v>7543.8622572003678</v>
      </c>
      <c r="L20" s="5">
        <f>[2]IIASA2SweFor!T$8</f>
        <v>7543.8622572003678</v>
      </c>
      <c r="M20" s="5">
        <f>[2]IIASA2SweFor!U$8</f>
        <v>7543.8622572003678</v>
      </c>
      <c r="N20" s="5">
        <f>[2]IIASA2SweFor!V$8</f>
        <v>7543.8622572003678</v>
      </c>
      <c r="O20" s="5">
        <f>[2]IIASA2SweFor!W$8</f>
        <v>7543.8622572003678</v>
      </c>
      <c r="P20" s="5">
        <f>[2]IIASA2SweFor!X$8</f>
        <v>7543.8622572003678</v>
      </c>
      <c r="Q20" s="5">
        <f>[2]IIASA2SweFor!Y$8</f>
        <v>7543.8622572003678</v>
      </c>
      <c r="R20" s="5">
        <f>[2]IIASA2SweFor!Z$8</f>
        <v>7543.8622572003678</v>
      </c>
      <c r="S20" s="5">
        <f>[2]IIASA2SweFor!AA$8</f>
        <v>7543.8622572003678</v>
      </c>
      <c r="T20" s="5">
        <f>[2]IIASA2SweFor!AB$8</f>
        <v>7543.8622572003678</v>
      </c>
      <c r="U20" s="5">
        <f>[2]IIASA2SweFor!AC$8</f>
        <v>7543.8622572003678</v>
      </c>
      <c r="V20" s="5">
        <f>[2]IIASA2SweFor!AD$8</f>
        <v>7543.8622572003678</v>
      </c>
      <c r="W20" s="61">
        <f>V20</f>
        <v>7543.8622572003678</v>
      </c>
      <c r="X20" s="61"/>
      <c r="Y20" s="61">
        <f>W20</f>
        <v>7543.8622572003678</v>
      </c>
      <c r="Z20" s="5"/>
      <c r="AA20" s="5">
        <f t="shared" si="13"/>
        <v>7543.8622572003678</v>
      </c>
      <c r="AB20" s="5">
        <f t="shared" si="14"/>
        <v>7543.8622572003678</v>
      </c>
      <c r="AC20" s="5">
        <f t="shared" si="14"/>
        <v>7543.8622572003678</v>
      </c>
    </row>
    <row r="21" spans="1:29" x14ac:dyDescent="0.3">
      <c r="A21" t="str">
        <f>Factors!B23</f>
        <v>PaChem</v>
      </c>
      <c r="B21" s="6">
        <f>[2]IIASA2SweFor!$B$20</f>
        <v>7987.3416225966748</v>
      </c>
      <c r="C21" s="5">
        <f>(B21+D21)/2</f>
        <v>7777.7665619456166</v>
      </c>
      <c r="D21" s="5">
        <f>[2]IIASA2SweFor!$C$20</f>
        <v>7568.1915012945574</v>
      </c>
      <c r="E21" s="5">
        <f>(D21+F21)/2</f>
        <v>7570.6530120540574</v>
      </c>
      <c r="F21" s="5">
        <f>[2]IIASA2SweFor!$D$20</f>
        <v>7573.1145228135574</v>
      </c>
      <c r="G21" s="5">
        <f>(F21+H21)/2</f>
        <v>7604.3067254607995</v>
      </c>
      <c r="H21" s="5">
        <f>[2]IIASA2SweFor!$E$20</f>
        <v>7635.4989281080425</v>
      </c>
      <c r="I21" s="5">
        <f>(H21+J21)/2</f>
        <v>7696.5197951412447</v>
      </c>
      <c r="J21" s="5">
        <f>[2]IIASA2SweFor!$F$20</f>
        <v>7757.540662174446</v>
      </c>
      <c r="K21" s="5">
        <f>(J21+L21)/2</f>
        <v>7827.7318868540369</v>
      </c>
      <c r="L21" s="5">
        <f>[2]IIASA2SweFor!$G$20</f>
        <v>7897.9231115336288</v>
      </c>
      <c r="M21" s="5">
        <f>(L21+N21)/2</f>
        <v>7883.9764948612737</v>
      </c>
      <c r="N21" s="5">
        <f>[2]IIASA2SweFor!$H$20</f>
        <v>7870.0298781889196</v>
      </c>
      <c r="O21" s="5">
        <f>(N21+P21)/2</f>
        <v>7790.4231871286011</v>
      </c>
      <c r="P21" s="5">
        <f>[2]IIASA2SweFor!$I$20</f>
        <v>7710.8164960682825</v>
      </c>
      <c r="Q21" s="5">
        <f>(P21+R21)/2</f>
        <v>7733.4271708418773</v>
      </c>
      <c r="R21" s="5">
        <f>[2]IIASA2SweFor!$J$20</f>
        <v>7756.0378456154722</v>
      </c>
      <c r="S21" s="5">
        <f t="shared" ref="S21:V24" si="19">R21</f>
        <v>7756.0378456154722</v>
      </c>
      <c r="T21" s="5">
        <f t="shared" si="19"/>
        <v>7756.0378456154722</v>
      </c>
      <c r="U21" s="5">
        <f t="shared" si="19"/>
        <v>7756.0378456154722</v>
      </c>
      <c r="V21" s="5">
        <f t="shared" si="19"/>
        <v>7756.0378456154722</v>
      </c>
      <c r="W21" s="61">
        <f t="shared" ref="W21:W24" si="20">V21</f>
        <v>7756.0378456154722</v>
      </c>
      <c r="X21" s="61"/>
      <c r="Y21" s="61">
        <f t="shared" ref="Y21:Y24" si="21">W21</f>
        <v>7756.0378456154722</v>
      </c>
      <c r="Z21" s="5"/>
      <c r="AA21" s="5">
        <f t="shared" si="13"/>
        <v>7756.0378456154722</v>
      </c>
      <c r="AB21" s="5">
        <f t="shared" si="14"/>
        <v>7756.0378456154722</v>
      </c>
      <c r="AC21" s="5">
        <f t="shared" si="14"/>
        <v>7756.0378456154722</v>
      </c>
    </row>
    <row r="22" spans="1:29" x14ac:dyDescent="0.3">
      <c r="A22" t="str">
        <f>Factors!B24</f>
        <v>OtChem</v>
      </c>
      <c r="B22" s="6">
        <f>[2]IIASA2SweFor!$B$21</f>
        <v>8979.0977576808982</v>
      </c>
      <c r="C22" s="5">
        <f>(B22+D22)/2</f>
        <v>8170.0115705712797</v>
      </c>
      <c r="D22" s="5">
        <f>[2]IIASA2SweFor!$C$21</f>
        <v>7360.9253834616602</v>
      </c>
      <c r="E22" s="5">
        <f>(D22+F22)/2</f>
        <v>7390.645913391063</v>
      </c>
      <c r="F22" s="5">
        <f>[2]IIASA2SweFor!$D$21</f>
        <v>7420.3664433204667</v>
      </c>
      <c r="G22" s="5">
        <f>(F22+H22)/2</f>
        <v>7424.8682260145652</v>
      </c>
      <c r="H22" s="5">
        <f>[2]IIASA2SweFor!$E$21</f>
        <v>7429.3700087086627</v>
      </c>
      <c r="I22" s="5">
        <f>(H22+J22)/2</f>
        <v>7433.1005083415166</v>
      </c>
      <c r="J22" s="5">
        <f>[2]IIASA2SweFor!$F$21</f>
        <v>7436.8310079743696</v>
      </c>
      <c r="K22" s="5">
        <f>(J22+L22)/2</f>
        <v>7466.0089758675749</v>
      </c>
      <c r="L22" s="5">
        <f>[2]IIASA2SweFor!$G$21</f>
        <v>7495.1869437607802</v>
      </c>
      <c r="M22" s="5">
        <f>(L22+N22)/2</f>
        <v>7417.2178890703581</v>
      </c>
      <c r="N22" s="5">
        <f>[2]IIASA2SweFor!$H$21</f>
        <v>7339.2488343799369</v>
      </c>
      <c r="O22" s="5">
        <f>(N22+P22)/2</f>
        <v>7233.4622485943801</v>
      </c>
      <c r="P22" s="5">
        <f>[2]IIASA2SweFor!$I$21</f>
        <v>7127.6756628088224</v>
      </c>
      <c r="Q22" s="5">
        <f>(P22+R22)/2</f>
        <v>7128.4761771739659</v>
      </c>
      <c r="R22" s="5">
        <f>[2]IIASA2SweFor!$J$21</f>
        <v>7129.2766915391094</v>
      </c>
      <c r="S22" s="5">
        <f t="shared" si="19"/>
        <v>7129.2766915391094</v>
      </c>
      <c r="T22" s="5">
        <f t="shared" si="19"/>
        <v>7129.2766915391094</v>
      </c>
      <c r="U22" s="5">
        <f t="shared" si="19"/>
        <v>7129.2766915391094</v>
      </c>
      <c r="V22" s="5">
        <f t="shared" si="19"/>
        <v>7129.2766915391094</v>
      </c>
      <c r="W22" s="61">
        <f t="shared" si="20"/>
        <v>7129.2766915391094</v>
      </c>
      <c r="X22" s="61"/>
      <c r="Y22" s="61">
        <f t="shared" si="21"/>
        <v>7129.2766915391094</v>
      </c>
      <c r="Z22" s="5"/>
      <c r="AA22" s="5">
        <f t="shared" si="13"/>
        <v>7129.2766915391094</v>
      </c>
      <c r="AB22" s="5">
        <f t="shared" si="14"/>
        <v>7129.2766915391094</v>
      </c>
      <c r="AC22" s="5">
        <f t="shared" si="14"/>
        <v>7129.2766915391094</v>
      </c>
    </row>
    <row r="23" spans="1:29" x14ac:dyDescent="0.3">
      <c r="A23" t="str">
        <f>Factors!B25</f>
        <v>OtMech</v>
      </c>
      <c r="B23" s="6">
        <f>[2]IIASA2SweFor!$B$22</f>
        <v>6194.744892345203</v>
      </c>
      <c r="C23" s="5">
        <f>(B23+D23)/2</f>
        <v>5929.9977010265711</v>
      </c>
      <c r="D23" s="5">
        <f>[2]IIASA2SweFor!$C$22</f>
        <v>5665.2505097079393</v>
      </c>
      <c r="E23" s="5">
        <f>(D23+F23)/2</f>
        <v>5682.3230597890597</v>
      </c>
      <c r="F23" s="5">
        <f>[2]IIASA2SweFor!$D$22</f>
        <v>5699.3956098701801</v>
      </c>
      <c r="G23" s="5">
        <f>(F23+H23)/2</f>
        <v>5712.5328063520737</v>
      </c>
      <c r="H23" s="5">
        <f>[2]IIASA2SweFor!$E$22</f>
        <v>5725.6700028339683</v>
      </c>
      <c r="I23" s="5">
        <f>(H23+J23)/2</f>
        <v>5770.1580473550293</v>
      </c>
      <c r="J23" s="5">
        <f>[2]IIASA2SweFor!$F$22</f>
        <v>5814.6460918760904</v>
      </c>
      <c r="K23" s="5">
        <f>(J23+L23)/2</f>
        <v>5860.0379633617831</v>
      </c>
      <c r="L23" s="5">
        <f>[2]IIASA2SweFor!$G$22</f>
        <v>5905.4298348474758</v>
      </c>
      <c r="M23" s="5">
        <f>(L23+N23)/2</f>
        <v>5897.5218277739723</v>
      </c>
      <c r="N23" s="5">
        <f>[2]IIASA2SweFor!$H$22</f>
        <v>5889.6138207004688</v>
      </c>
      <c r="O23" s="5">
        <f>(N23+P23)/2</f>
        <v>5835.6532509290582</v>
      </c>
      <c r="P23" s="5">
        <f>[2]IIASA2SweFor!$I$22</f>
        <v>5781.6926811576477</v>
      </c>
      <c r="Q23" s="5">
        <f>(P23+R23)/2</f>
        <v>5782.3886651970824</v>
      </c>
      <c r="R23" s="5">
        <f>[2]IIASA2SweFor!$J$22</f>
        <v>5783.0846492365163</v>
      </c>
      <c r="S23" s="5">
        <f t="shared" si="19"/>
        <v>5783.0846492365163</v>
      </c>
      <c r="T23" s="5">
        <f t="shared" si="19"/>
        <v>5783.0846492365163</v>
      </c>
      <c r="U23" s="5">
        <f t="shared" si="19"/>
        <v>5783.0846492365163</v>
      </c>
      <c r="V23" s="5">
        <f t="shared" si="19"/>
        <v>5783.0846492365163</v>
      </c>
      <c r="W23" s="61">
        <f t="shared" si="20"/>
        <v>5783.0846492365163</v>
      </c>
      <c r="X23" s="61"/>
      <c r="Y23" s="61">
        <f t="shared" si="21"/>
        <v>5783.0846492365163</v>
      </c>
      <c r="Z23" s="5"/>
      <c r="AA23" s="5">
        <f t="shared" si="13"/>
        <v>5783.0846492365163</v>
      </c>
      <c r="AB23" s="5">
        <f t="shared" si="14"/>
        <v>5783.0846492365163</v>
      </c>
      <c r="AC23" s="5">
        <f t="shared" si="14"/>
        <v>5783.0846492365163</v>
      </c>
    </row>
    <row r="24" spans="1:29" x14ac:dyDescent="0.3">
      <c r="A24" t="str">
        <f>Factors!B26</f>
        <v>NwMech</v>
      </c>
      <c r="B24" s="6">
        <f>[2]IIASA2SweFor!$B$23</f>
        <v>5203.8884869339317</v>
      </c>
      <c r="C24" s="5">
        <f>(B24+D24)/2</f>
        <v>4496.3514217711663</v>
      </c>
      <c r="D24" s="5">
        <f>[2]IIASA2SweFor!$C$23</f>
        <v>3788.8143566084013</v>
      </c>
      <c r="E24" s="5">
        <f>(D24+F24)/2</f>
        <v>3791.2725347503438</v>
      </c>
      <c r="F24" s="5">
        <f>[2]IIASA2SweFor!$D$23</f>
        <v>3793.7307128922862</v>
      </c>
      <c r="G24" s="5">
        <f>(F24+H24)/2</f>
        <v>3822.0281981675271</v>
      </c>
      <c r="H24" s="5">
        <f>[2]IIASA2SweFor!$E$23</f>
        <v>3850.325683442768</v>
      </c>
      <c r="I24" s="5">
        <f>(H24+J24)/2</f>
        <v>3864.0911004642712</v>
      </c>
      <c r="J24" s="5">
        <f>[2]IIASA2SweFor!$F$23</f>
        <v>3877.8565174857749</v>
      </c>
      <c r="K24" s="5">
        <f>(J24+L24)/2</f>
        <v>3858.923576811671</v>
      </c>
      <c r="L24" s="5">
        <f>[2]IIASA2SweFor!$G$23</f>
        <v>3839.990636137567</v>
      </c>
      <c r="M24" s="5">
        <f>(L24+N24)/2</f>
        <v>3819.6773973329073</v>
      </c>
      <c r="N24" s="5">
        <f>[2]IIASA2SweFor!$H$23</f>
        <v>3799.364158528248</v>
      </c>
      <c r="O24" s="5">
        <f>(N24+P24)/2</f>
        <v>3754.1684379132394</v>
      </c>
      <c r="P24" s="5">
        <f>[2]IIASA2SweFor!$I$23</f>
        <v>3708.9727172982311</v>
      </c>
      <c r="Q24" s="5">
        <f>(P24+R24)/2</f>
        <v>3709.5556522140814</v>
      </c>
      <c r="R24" s="5">
        <f>[2]IIASA2SweFor!$J$23</f>
        <v>3710.1385871299317</v>
      </c>
      <c r="S24" s="5">
        <f t="shared" si="19"/>
        <v>3710.1385871299317</v>
      </c>
      <c r="T24" s="5">
        <f t="shared" si="19"/>
        <v>3710.1385871299317</v>
      </c>
      <c r="U24" s="5">
        <f t="shared" si="19"/>
        <v>3710.1385871299317</v>
      </c>
      <c r="V24" s="5">
        <f t="shared" si="19"/>
        <v>3710.1385871299317</v>
      </c>
      <c r="W24" s="61">
        <f t="shared" si="20"/>
        <v>3710.1385871299317</v>
      </c>
      <c r="X24" s="61"/>
      <c r="Y24" s="61">
        <f t="shared" si="21"/>
        <v>3710.1385871299317</v>
      </c>
      <c r="Z24" s="5"/>
      <c r="AA24" s="5">
        <f t="shared" si="13"/>
        <v>3710.1385871299317</v>
      </c>
      <c r="AB24" s="5">
        <f t="shared" si="14"/>
        <v>3710.1385871299317</v>
      </c>
      <c r="AC24" s="5">
        <f t="shared" si="14"/>
        <v>3710.1385871299317</v>
      </c>
    </row>
    <row r="25" spans="1:29" s="59" customFormat="1" x14ac:dyDescent="0.3">
      <c r="A25" s="59" t="s">
        <v>201</v>
      </c>
      <c r="B25" s="98">
        <v>1738</v>
      </c>
      <c r="C25" s="98">
        <v>1738</v>
      </c>
      <c r="D25" s="98">
        <v>1738</v>
      </c>
      <c r="E25" s="98">
        <v>1738</v>
      </c>
      <c r="F25" s="98">
        <v>1738</v>
      </c>
      <c r="G25" s="98">
        <v>1738</v>
      </c>
      <c r="H25" s="98">
        <v>1738</v>
      </c>
      <c r="I25" s="98">
        <v>1738</v>
      </c>
      <c r="J25" s="98">
        <v>1738</v>
      </c>
      <c r="K25" s="98">
        <v>1738</v>
      </c>
      <c r="L25" s="98">
        <v>1738</v>
      </c>
      <c r="M25" s="98">
        <v>1738</v>
      </c>
      <c r="N25" s="98">
        <v>1738</v>
      </c>
      <c r="O25" s="98">
        <v>1738</v>
      </c>
      <c r="P25" s="98">
        <v>1738</v>
      </c>
      <c r="Q25" s="98">
        <v>1738</v>
      </c>
      <c r="R25" s="98">
        <v>1738</v>
      </c>
      <c r="S25" s="98">
        <v>1738</v>
      </c>
      <c r="T25" s="98">
        <v>1738</v>
      </c>
      <c r="U25" s="98">
        <v>1738</v>
      </c>
      <c r="V25" s="98">
        <v>1738</v>
      </c>
      <c r="W25" s="98">
        <v>1738</v>
      </c>
      <c r="X25" s="98"/>
      <c r="Y25" s="98"/>
      <c r="Z25" s="98"/>
      <c r="AA25" s="98"/>
      <c r="AB25" s="98"/>
      <c r="AC25" s="98"/>
    </row>
    <row r="26" spans="1:29" x14ac:dyDescent="0.3"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61"/>
      <c r="X26" s="61"/>
      <c r="Y26" s="61"/>
      <c r="Z26" s="5"/>
      <c r="AA26" s="5"/>
      <c r="AB26" s="5"/>
      <c r="AC26" s="5"/>
    </row>
    <row r="27" spans="1:29" ht="18.75" x14ac:dyDescent="0.3">
      <c r="A27" s="10" t="s">
        <v>69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61"/>
      <c r="X27" s="61"/>
      <c r="Y27" s="61"/>
      <c r="Z27" s="5"/>
      <c r="AA27" s="5"/>
      <c r="AB27" s="5"/>
      <c r="AC27" s="5"/>
    </row>
    <row r="28" spans="1:29" x14ac:dyDescent="0.3">
      <c r="A28" t="str">
        <f>Factors!B2</f>
        <v>PinTim</v>
      </c>
      <c r="B28" s="5">
        <v>0</v>
      </c>
      <c r="C28" s="5">
        <f t="shared" ref="C28:V34" si="22">B28</f>
        <v>0</v>
      </c>
      <c r="D28" s="5">
        <f t="shared" si="22"/>
        <v>0</v>
      </c>
      <c r="E28" s="5">
        <f t="shared" si="22"/>
        <v>0</v>
      </c>
      <c r="F28" s="5">
        <f t="shared" si="22"/>
        <v>0</v>
      </c>
      <c r="G28" s="5">
        <f t="shared" si="22"/>
        <v>0</v>
      </c>
      <c r="H28" s="5">
        <f t="shared" si="22"/>
        <v>0</v>
      </c>
      <c r="I28" s="5">
        <f t="shared" si="22"/>
        <v>0</v>
      </c>
      <c r="J28" s="5">
        <f t="shared" si="22"/>
        <v>0</v>
      </c>
      <c r="K28" s="5">
        <f t="shared" si="22"/>
        <v>0</v>
      </c>
      <c r="L28" s="5">
        <f t="shared" si="22"/>
        <v>0</v>
      </c>
      <c r="M28" s="5">
        <f t="shared" si="22"/>
        <v>0</v>
      </c>
      <c r="N28" s="5">
        <f t="shared" si="22"/>
        <v>0</v>
      </c>
      <c r="O28" s="5">
        <f t="shared" si="22"/>
        <v>0</v>
      </c>
      <c r="P28" s="5">
        <f t="shared" si="22"/>
        <v>0</v>
      </c>
      <c r="Q28" s="5">
        <f t="shared" si="22"/>
        <v>0</v>
      </c>
      <c r="R28" s="5">
        <f t="shared" si="22"/>
        <v>0</v>
      </c>
      <c r="S28" s="5">
        <f t="shared" si="22"/>
        <v>0</v>
      </c>
      <c r="T28" s="5">
        <f t="shared" si="22"/>
        <v>0</v>
      </c>
      <c r="U28" s="5">
        <f t="shared" si="22"/>
        <v>0</v>
      </c>
      <c r="V28" s="5">
        <f t="shared" si="22"/>
        <v>0</v>
      </c>
      <c r="W28" s="61">
        <f t="shared" ref="W28:W34" si="23">V28</f>
        <v>0</v>
      </c>
      <c r="X28" s="61"/>
      <c r="Y28" s="61">
        <f t="shared" ref="Y28:Y34" si="24">W28</f>
        <v>0</v>
      </c>
      <c r="Z28" s="5"/>
      <c r="AA28" s="5">
        <f t="shared" ref="AA28:AA34" si="25">V28</f>
        <v>0</v>
      </c>
      <c r="AB28" s="5">
        <f t="shared" ref="AB28:AC34" si="26">AA28</f>
        <v>0</v>
      </c>
      <c r="AC28" s="5">
        <f t="shared" si="26"/>
        <v>0</v>
      </c>
    </row>
    <row r="29" spans="1:29" x14ac:dyDescent="0.3">
      <c r="A29" t="str">
        <f>Factors!B3</f>
        <v>PinPuw</v>
      </c>
      <c r="B29" s="5">
        <v>0</v>
      </c>
      <c r="C29" s="5">
        <f t="shared" si="22"/>
        <v>0</v>
      </c>
      <c r="D29" s="5">
        <f t="shared" si="22"/>
        <v>0</v>
      </c>
      <c r="E29" s="5">
        <f t="shared" si="22"/>
        <v>0</v>
      </c>
      <c r="F29" s="5">
        <f t="shared" si="22"/>
        <v>0</v>
      </c>
      <c r="G29" s="5">
        <f t="shared" si="22"/>
        <v>0</v>
      </c>
      <c r="H29" s="5">
        <f t="shared" si="22"/>
        <v>0</v>
      </c>
      <c r="I29" s="5">
        <f t="shared" si="22"/>
        <v>0</v>
      </c>
      <c r="J29" s="5">
        <f t="shared" si="22"/>
        <v>0</v>
      </c>
      <c r="K29" s="5">
        <f t="shared" si="22"/>
        <v>0</v>
      </c>
      <c r="L29" s="5">
        <f t="shared" si="22"/>
        <v>0</v>
      </c>
      <c r="M29" s="5">
        <f t="shared" si="22"/>
        <v>0</v>
      </c>
      <c r="N29" s="5">
        <f t="shared" si="22"/>
        <v>0</v>
      </c>
      <c r="O29" s="5">
        <f t="shared" si="22"/>
        <v>0</v>
      </c>
      <c r="P29" s="5">
        <f t="shared" si="22"/>
        <v>0</v>
      </c>
      <c r="Q29" s="5">
        <f t="shared" si="22"/>
        <v>0</v>
      </c>
      <c r="R29" s="5">
        <f t="shared" si="22"/>
        <v>0</v>
      </c>
      <c r="S29" s="5">
        <f t="shared" si="22"/>
        <v>0</v>
      </c>
      <c r="T29" s="5">
        <f t="shared" si="22"/>
        <v>0</v>
      </c>
      <c r="U29" s="5">
        <f t="shared" si="22"/>
        <v>0</v>
      </c>
      <c r="V29" s="5">
        <f t="shared" si="22"/>
        <v>0</v>
      </c>
      <c r="W29" s="61">
        <f t="shared" si="23"/>
        <v>0</v>
      </c>
      <c r="X29" s="61"/>
      <c r="Y29" s="61">
        <f t="shared" si="24"/>
        <v>0</v>
      </c>
      <c r="Z29" s="5"/>
      <c r="AA29" s="5">
        <f t="shared" si="25"/>
        <v>0</v>
      </c>
      <c r="AB29" s="5">
        <f t="shared" si="26"/>
        <v>0</v>
      </c>
      <c r="AC29" s="5">
        <f t="shared" si="26"/>
        <v>0</v>
      </c>
    </row>
    <row r="30" spans="1:29" x14ac:dyDescent="0.3">
      <c r="A30" t="str">
        <f>Factors!B4</f>
        <v>SprTim</v>
      </c>
      <c r="B30" s="5">
        <v>0</v>
      </c>
      <c r="C30" s="5">
        <f t="shared" si="22"/>
        <v>0</v>
      </c>
      <c r="D30" s="5">
        <f t="shared" si="22"/>
        <v>0</v>
      </c>
      <c r="E30" s="5">
        <f t="shared" si="22"/>
        <v>0</v>
      </c>
      <c r="F30" s="5">
        <f t="shared" si="22"/>
        <v>0</v>
      </c>
      <c r="G30" s="5">
        <f t="shared" si="22"/>
        <v>0</v>
      </c>
      <c r="H30" s="5">
        <f t="shared" si="22"/>
        <v>0</v>
      </c>
      <c r="I30" s="5">
        <f t="shared" si="22"/>
        <v>0</v>
      </c>
      <c r="J30" s="5">
        <f t="shared" si="22"/>
        <v>0</v>
      </c>
      <c r="K30" s="5">
        <f t="shared" si="22"/>
        <v>0</v>
      </c>
      <c r="L30" s="5">
        <f t="shared" si="22"/>
        <v>0</v>
      </c>
      <c r="M30" s="5">
        <f t="shared" si="22"/>
        <v>0</v>
      </c>
      <c r="N30" s="5">
        <f t="shared" si="22"/>
        <v>0</v>
      </c>
      <c r="O30" s="5">
        <f t="shared" si="22"/>
        <v>0</v>
      </c>
      <c r="P30" s="5">
        <f t="shared" si="22"/>
        <v>0</v>
      </c>
      <c r="Q30" s="5">
        <f t="shared" si="22"/>
        <v>0</v>
      </c>
      <c r="R30" s="5">
        <f t="shared" si="22"/>
        <v>0</v>
      </c>
      <c r="S30" s="5">
        <f t="shared" si="22"/>
        <v>0</v>
      </c>
      <c r="T30" s="5">
        <f t="shared" si="22"/>
        <v>0</v>
      </c>
      <c r="U30" s="5">
        <f t="shared" si="22"/>
        <v>0</v>
      </c>
      <c r="V30" s="5">
        <f t="shared" si="22"/>
        <v>0</v>
      </c>
      <c r="W30" s="61">
        <f t="shared" si="23"/>
        <v>0</v>
      </c>
      <c r="X30" s="61"/>
      <c r="Y30" s="61">
        <f t="shared" si="24"/>
        <v>0</v>
      </c>
      <c r="Z30" s="5"/>
      <c r="AA30" s="5">
        <f t="shared" si="25"/>
        <v>0</v>
      </c>
      <c r="AB30" s="5">
        <f t="shared" si="26"/>
        <v>0</v>
      </c>
      <c r="AC30" s="5">
        <f t="shared" si="26"/>
        <v>0</v>
      </c>
    </row>
    <row r="31" spans="1:29" x14ac:dyDescent="0.3">
      <c r="A31" t="str">
        <f>Factors!B5</f>
        <v>SprPuw</v>
      </c>
      <c r="B31" s="5">
        <v>0</v>
      </c>
      <c r="C31" s="5">
        <f t="shared" si="22"/>
        <v>0</v>
      </c>
      <c r="D31" s="5">
        <f t="shared" si="22"/>
        <v>0</v>
      </c>
      <c r="E31" s="5">
        <f t="shared" si="22"/>
        <v>0</v>
      </c>
      <c r="F31" s="5">
        <f t="shared" si="22"/>
        <v>0</v>
      </c>
      <c r="G31" s="5">
        <f t="shared" si="22"/>
        <v>0</v>
      </c>
      <c r="H31" s="5">
        <f t="shared" si="22"/>
        <v>0</v>
      </c>
      <c r="I31" s="5">
        <f t="shared" si="22"/>
        <v>0</v>
      </c>
      <c r="J31" s="5">
        <f t="shared" si="22"/>
        <v>0</v>
      </c>
      <c r="K31" s="5">
        <f t="shared" si="22"/>
        <v>0</v>
      </c>
      <c r="L31" s="5">
        <f t="shared" si="22"/>
        <v>0</v>
      </c>
      <c r="M31" s="5">
        <f t="shared" si="22"/>
        <v>0</v>
      </c>
      <c r="N31" s="5">
        <f t="shared" si="22"/>
        <v>0</v>
      </c>
      <c r="O31" s="5">
        <f t="shared" si="22"/>
        <v>0</v>
      </c>
      <c r="P31" s="5">
        <f t="shared" si="22"/>
        <v>0</v>
      </c>
      <c r="Q31" s="5">
        <f t="shared" si="22"/>
        <v>0</v>
      </c>
      <c r="R31" s="5">
        <f t="shared" si="22"/>
        <v>0</v>
      </c>
      <c r="S31" s="5">
        <f t="shared" si="22"/>
        <v>0</v>
      </c>
      <c r="T31" s="5">
        <f t="shared" si="22"/>
        <v>0</v>
      </c>
      <c r="U31" s="5">
        <f t="shared" si="22"/>
        <v>0</v>
      </c>
      <c r="V31" s="5">
        <f t="shared" si="22"/>
        <v>0</v>
      </c>
      <c r="W31" s="61">
        <f t="shared" si="23"/>
        <v>0</v>
      </c>
      <c r="X31" s="61"/>
      <c r="Y31" s="61">
        <f t="shared" si="24"/>
        <v>0</v>
      </c>
      <c r="Z31" s="5"/>
      <c r="AA31" s="5">
        <f t="shared" si="25"/>
        <v>0</v>
      </c>
      <c r="AB31" s="5">
        <f t="shared" si="26"/>
        <v>0</v>
      </c>
      <c r="AC31" s="5">
        <f t="shared" si="26"/>
        <v>0</v>
      </c>
    </row>
    <row r="32" spans="1:29" x14ac:dyDescent="0.3">
      <c r="A32" t="str">
        <f>Factors!B7</f>
        <v>Decids</v>
      </c>
      <c r="B32" s="5">
        <v>0</v>
      </c>
      <c r="C32" s="5">
        <f t="shared" si="22"/>
        <v>0</v>
      </c>
      <c r="D32" s="5">
        <f t="shared" si="22"/>
        <v>0</v>
      </c>
      <c r="E32" s="5">
        <f t="shared" si="22"/>
        <v>0</v>
      </c>
      <c r="F32" s="5">
        <f t="shared" si="22"/>
        <v>0</v>
      </c>
      <c r="G32" s="5">
        <f t="shared" si="22"/>
        <v>0</v>
      </c>
      <c r="H32" s="5">
        <f t="shared" si="22"/>
        <v>0</v>
      </c>
      <c r="I32" s="5">
        <f t="shared" si="22"/>
        <v>0</v>
      </c>
      <c r="J32" s="5">
        <f t="shared" si="22"/>
        <v>0</v>
      </c>
      <c r="K32" s="5">
        <f t="shared" si="22"/>
        <v>0</v>
      </c>
      <c r="L32" s="5">
        <f t="shared" si="22"/>
        <v>0</v>
      </c>
      <c r="M32" s="5">
        <f t="shared" si="22"/>
        <v>0</v>
      </c>
      <c r="N32" s="5">
        <f t="shared" si="22"/>
        <v>0</v>
      </c>
      <c r="O32" s="5">
        <f t="shared" si="22"/>
        <v>0</v>
      </c>
      <c r="P32" s="5">
        <f t="shared" si="22"/>
        <v>0</v>
      </c>
      <c r="Q32" s="5">
        <f t="shared" si="22"/>
        <v>0</v>
      </c>
      <c r="R32" s="5">
        <f t="shared" si="22"/>
        <v>0</v>
      </c>
      <c r="S32" s="5">
        <f t="shared" si="22"/>
        <v>0</v>
      </c>
      <c r="T32" s="5">
        <f t="shared" si="22"/>
        <v>0</v>
      </c>
      <c r="U32" s="5">
        <f t="shared" si="22"/>
        <v>0</v>
      </c>
      <c r="V32" s="5">
        <f t="shared" si="22"/>
        <v>0</v>
      </c>
      <c r="W32" s="61">
        <f t="shared" si="23"/>
        <v>0</v>
      </c>
      <c r="X32" s="61"/>
      <c r="Y32" s="61">
        <f t="shared" si="24"/>
        <v>0</v>
      </c>
      <c r="Z32" s="5"/>
      <c r="AA32" s="5">
        <f t="shared" si="25"/>
        <v>0</v>
      </c>
      <c r="AB32" s="5">
        <f t="shared" si="26"/>
        <v>0</v>
      </c>
      <c r="AC32" s="5">
        <f t="shared" si="26"/>
        <v>0</v>
      </c>
    </row>
    <row r="33" spans="1:29" x14ac:dyDescent="0.3">
      <c r="A33" t="str">
        <f>Factors!B8</f>
        <v>Sawdst</v>
      </c>
      <c r="B33" s="5">
        <v>0</v>
      </c>
      <c r="C33" s="5">
        <f t="shared" si="22"/>
        <v>0</v>
      </c>
      <c r="D33" s="5">
        <f t="shared" si="22"/>
        <v>0</v>
      </c>
      <c r="E33" s="5">
        <f t="shared" si="22"/>
        <v>0</v>
      </c>
      <c r="F33" s="5">
        <f t="shared" si="22"/>
        <v>0</v>
      </c>
      <c r="G33" s="5">
        <f t="shared" si="22"/>
        <v>0</v>
      </c>
      <c r="H33" s="5">
        <f t="shared" si="22"/>
        <v>0</v>
      </c>
      <c r="I33" s="5">
        <f t="shared" si="22"/>
        <v>0</v>
      </c>
      <c r="J33" s="5">
        <f t="shared" si="22"/>
        <v>0</v>
      </c>
      <c r="K33" s="5">
        <f t="shared" si="22"/>
        <v>0</v>
      </c>
      <c r="L33" s="5">
        <f t="shared" si="22"/>
        <v>0</v>
      </c>
      <c r="M33" s="5">
        <f t="shared" si="22"/>
        <v>0</v>
      </c>
      <c r="N33" s="5">
        <f t="shared" si="22"/>
        <v>0</v>
      </c>
      <c r="O33" s="5">
        <f t="shared" si="22"/>
        <v>0</v>
      </c>
      <c r="P33" s="5">
        <f t="shared" si="22"/>
        <v>0</v>
      </c>
      <c r="Q33" s="5">
        <f t="shared" si="22"/>
        <v>0</v>
      </c>
      <c r="R33" s="5">
        <f t="shared" si="22"/>
        <v>0</v>
      </c>
      <c r="S33" s="5">
        <f t="shared" si="22"/>
        <v>0</v>
      </c>
      <c r="T33" s="5">
        <f t="shared" si="22"/>
        <v>0</v>
      </c>
      <c r="U33" s="5">
        <f t="shared" si="22"/>
        <v>0</v>
      </c>
      <c r="V33" s="5">
        <f t="shared" si="22"/>
        <v>0</v>
      </c>
      <c r="W33" s="61">
        <f t="shared" si="23"/>
        <v>0</v>
      </c>
      <c r="X33" s="61"/>
      <c r="Y33" s="61">
        <f t="shared" si="24"/>
        <v>0</v>
      </c>
      <c r="Z33" s="5"/>
      <c r="AA33" s="5">
        <f t="shared" si="25"/>
        <v>0</v>
      </c>
      <c r="AB33" s="5">
        <f t="shared" si="26"/>
        <v>0</v>
      </c>
      <c r="AC33" s="5">
        <f t="shared" si="26"/>
        <v>0</v>
      </c>
    </row>
    <row r="34" spans="1:29" x14ac:dyDescent="0.3">
      <c r="A34" t="str">
        <f>Factors!B9</f>
        <v>Chips_</v>
      </c>
      <c r="B34" s="5">
        <v>0</v>
      </c>
      <c r="C34" s="5">
        <f t="shared" si="22"/>
        <v>0</v>
      </c>
      <c r="D34" s="5">
        <f t="shared" si="22"/>
        <v>0</v>
      </c>
      <c r="E34" s="5">
        <f t="shared" si="22"/>
        <v>0</v>
      </c>
      <c r="F34" s="5">
        <f t="shared" si="22"/>
        <v>0</v>
      </c>
      <c r="G34" s="5">
        <f t="shared" si="22"/>
        <v>0</v>
      </c>
      <c r="H34" s="5">
        <f t="shared" si="22"/>
        <v>0</v>
      </c>
      <c r="I34" s="5">
        <f t="shared" si="22"/>
        <v>0</v>
      </c>
      <c r="J34" s="5">
        <f t="shared" si="22"/>
        <v>0</v>
      </c>
      <c r="K34" s="5">
        <f t="shared" si="22"/>
        <v>0</v>
      </c>
      <c r="L34" s="5">
        <f t="shared" si="22"/>
        <v>0</v>
      </c>
      <c r="M34" s="5">
        <f t="shared" si="22"/>
        <v>0</v>
      </c>
      <c r="N34" s="5">
        <f t="shared" si="22"/>
        <v>0</v>
      </c>
      <c r="O34" s="5">
        <f t="shared" si="22"/>
        <v>0</v>
      </c>
      <c r="P34" s="5">
        <f t="shared" si="22"/>
        <v>0</v>
      </c>
      <c r="Q34" s="5">
        <f t="shared" si="22"/>
        <v>0</v>
      </c>
      <c r="R34" s="5">
        <f t="shared" si="22"/>
        <v>0</v>
      </c>
      <c r="S34" s="5">
        <f t="shared" si="22"/>
        <v>0</v>
      </c>
      <c r="T34" s="5">
        <f t="shared" si="22"/>
        <v>0</v>
      </c>
      <c r="U34" s="5">
        <f t="shared" si="22"/>
        <v>0</v>
      </c>
      <c r="V34" s="5">
        <f t="shared" si="22"/>
        <v>0</v>
      </c>
      <c r="W34" s="61">
        <f t="shared" si="23"/>
        <v>0</v>
      </c>
      <c r="X34" s="61"/>
      <c r="Y34" s="61">
        <f t="shared" si="24"/>
        <v>0</v>
      </c>
      <c r="Z34" s="5"/>
      <c r="AA34" s="5">
        <f t="shared" si="25"/>
        <v>0</v>
      </c>
      <c r="AB34" s="5">
        <f t="shared" si="26"/>
        <v>0</v>
      </c>
      <c r="AC34" s="5">
        <f t="shared" si="26"/>
        <v>0</v>
      </c>
    </row>
    <row r="35" spans="1:29" x14ac:dyDescent="0.3">
      <c r="A35" t="str">
        <f>Factors!B10</f>
        <v>ResStm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61">
        <v>0</v>
      </c>
      <c r="X35" s="61"/>
      <c r="Y35" s="61">
        <v>0</v>
      </c>
      <c r="Z35" s="5"/>
      <c r="AA35" s="5">
        <v>0</v>
      </c>
      <c r="AB35" s="5">
        <v>0</v>
      </c>
      <c r="AC35" s="5">
        <v>0</v>
      </c>
    </row>
    <row r="36" spans="1:29" x14ac:dyDescent="0.3">
      <c r="A36" t="str">
        <f>Factors!B11</f>
        <v>ResRot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61">
        <v>0</v>
      </c>
      <c r="X36" s="61"/>
      <c r="Y36" s="61">
        <v>0</v>
      </c>
      <c r="Z36" s="5"/>
      <c r="AA36" s="5">
        <v>0</v>
      </c>
      <c r="AB36" s="5">
        <v>0</v>
      </c>
      <c r="AC36" s="5">
        <v>0</v>
      </c>
    </row>
    <row r="37" spans="1:29" x14ac:dyDescent="0.3">
      <c r="A37" t="str">
        <f>Factors!B15</f>
        <v>Sawnco</v>
      </c>
      <c r="B37" s="99">
        <v>18628757</v>
      </c>
      <c r="C37" s="98">
        <v>18926066.260322951</v>
      </c>
      <c r="D37" s="98">
        <v>19223375.520645898</v>
      </c>
      <c r="E37" s="98">
        <v>19784189.994823698</v>
      </c>
      <c r="F37" s="98">
        <v>20345004.469001498</v>
      </c>
      <c r="G37" s="98">
        <v>20868630.972559698</v>
      </c>
      <c r="H37" s="98">
        <v>21392257.476117898</v>
      </c>
      <c r="I37" s="98">
        <v>21522291.963774197</v>
      </c>
      <c r="J37" s="98">
        <v>21652326.4514305</v>
      </c>
      <c r="K37" s="98">
        <v>21652326.4514305</v>
      </c>
      <c r="L37" s="98">
        <v>21652326.4514305</v>
      </c>
      <c r="M37" s="98">
        <v>21652326.4514305</v>
      </c>
      <c r="N37" s="98">
        <v>21652326.4514305</v>
      </c>
      <c r="O37" s="98">
        <v>21652326.4514305</v>
      </c>
      <c r="P37" s="98">
        <v>21652326.4514305</v>
      </c>
      <c r="Q37" s="98">
        <v>21652326.4514305</v>
      </c>
      <c r="R37" s="98">
        <v>21652326.4514305</v>
      </c>
      <c r="S37" s="98">
        <v>21652326.4514305</v>
      </c>
      <c r="T37" s="98">
        <v>21652326.4514305</v>
      </c>
      <c r="U37" s="98">
        <v>21652326.4514305</v>
      </c>
      <c r="V37" s="98">
        <v>21652326.4514305</v>
      </c>
      <c r="W37" s="98">
        <v>21652326.4514305</v>
      </c>
      <c r="X37" s="100">
        <v>18628757</v>
      </c>
      <c r="Y37" s="100">
        <v>18628757</v>
      </c>
      <c r="Z37" s="5"/>
      <c r="AA37" s="5">
        <v>19580317.233362999</v>
      </c>
      <c r="AB37" s="5">
        <v>19580317.233362999</v>
      </c>
      <c r="AC37" s="5">
        <v>19580317.233362999</v>
      </c>
    </row>
    <row r="38" spans="1:29" s="59" customFormat="1" x14ac:dyDescent="0.3">
      <c r="A38" s="59" t="str">
        <f>Factors!B16</f>
        <v>Sawnbe</v>
      </c>
      <c r="B38" s="61">
        <v>0</v>
      </c>
      <c r="C38" s="61">
        <v>0</v>
      </c>
      <c r="D38" s="61">
        <v>0</v>
      </c>
      <c r="E38" s="61">
        <v>0</v>
      </c>
      <c r="F38" s="61">
        <v>0</v>
      </c>
      <c r="G38" s="61">
        <v>0</v>
      </c>
      <c r="H38" s="61">
        <v>0</v>
      </c>
      <c r="I38" s="61">
        <v>0</v>
      </c>
      <c r="J38" s="61">
        <v>0</v>
      </c>
      <c r="K38" s="61">
        <v>0</v>
      </c>
      <c r="L38" s="61">
        <v>0</v>
      </c>
      <c r="M38" s="61">
        <v>0</v>
      </c>
      <c r="N38" s="61">
        <v>0</v>
      </c>
      <c r="O38" s="61">
        <v>0</v>
      </c>
      <c r="P38" s="61">
        <v>0</v>
      </c>
      <c r="Q38" s="61">
        <v>0</v>
      </c>
      <c r="R38" s="61">
        <v>0</v>
      </c>
      <c r="S38" s="61">
        <v>0</v>
      </c>
      <c r="T38" s="61">
        <v>0</v>
      </c>
      <c r="U38" s="61">
        <v>0</v>
      </c>
      <c r="V38" s="61">
        <v>0</v>
      </c>
      <c r="W38" s="61">
        <v>0</v>
      </c>
      <c r="X38" s="66"/>
      <c r="Y38" s="66"/>
      <c r="Z38" s="61"/>
      <c r="AA38" s="61"/>
      <c r="AB38" s="61"/>
      <c r="AC38" s="61"/>
    </row>
    <row r="39" spans="1:29" x14ac:dyDescent="0.3">
      <c r="A39" t="str">
        <f>Factors!B17</f>
        <v>Heat__</v>
      </c>
      <c r="B39" s="5">
        <v>20250000</v>
      </c>
      <c r="C39" s="5">
        <v>20250000</v>
      </c>
      <c r="D39" s="5">
        <v>18000000</v>
      </c>
      <c r="E39" s="5">
        <v>18750000</v>
      </c>
      <c r="F39" s="5">
        <v>18000000</v>
      </c>
      <c r="G39" s="5">
        <v>18750000</v>
      </c>
      <c r="H39" s="5">
        <v>17250000</v>
      </c>
      <c r="I39" s="5">
        <v>17250000</v>
      </c>
      <c r="J39" s="5">
        <v>17250000</v>
      </c>
      <c r="K39" s="5">
        <v>17250000</v>
      </c>
      <c r="L39" s="5">
        <v>17250000</v>
      </c>
      <c r="M39" s="5">
        <v>17250000</v>
      </c>
      <c r="N39" s="5">
        <v>17250000</v>
      </c>
      <c r="O39" s="5">
        <v>17250000</v>
      </c>
      <c r="P39" s="5">
        <v>17250000</v>
      </c>
      <c r="Q39" s="5">
        <v>17250000</v>
      </c>
      <c r="R39" s="5">
        <v>17250000</v>
      </c>
      <c r="S39" s="5">
        <v>17250000</v>
      </c>
      <c r="T39" s="5">
        <v>17250000</v>
      </c>
      <c r="U39" s="5">
        <v>17250000</v>
      </c>
      <c r="V39" s="5">
        <v>17250000</v>
      </c>
      <c r="W39" s="61">
        <v>17250000</v>
      </c>
      <c r="X39" s="61"/>
      <c r="Y39" s="61">
        <v>17250000</v>
      </c>
      <c r="Z39" s="5"/>
      <c r="AA39" s="5">
        <v>17250000</v>
      </c>
      <c r="AB39" s="5">
        <v>17250000</v>
      </c>
      <c r="AC39" s="5">
        <v>17250000</v>
      </c>
    </row>
    <row r="40" spans="1:29" x14ac:dyDescent="0.3">
      <c r="A40" t="str">
        <f>Factors!B18</f>
        <v>Electr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61">
        <v>0</v>
      </c>
      <c r="X40" s="61"/>
      <c r="Y40" s="61">
        <v>0</v>
      </c>
      <c r="Z40" s="5"/>
      <c r="AA40" s="5">
        <v>0</v>
      </c>
      <c r="AB40" s="5">
        <v>0</v>
      </c>
      <c r="AC40" s="5">
        <v>0</v>
      </c>
    </row>
    <row r="41" spans="1:29" x14ac:dyDescent="0.3">
      <c r="A41" t="str">
        <f>Factors!B19</f>
        <v>BioFue</v>
      </c>
      <c r="B41" s="5">
        <v>0</v>
      </c>
      <c r="C41" s="34">
        <v>0</v>
      </c>
      <c r="D41" s="34">
        <v>0</v>
      </c>
      <c r="E41" s="34">
        <v>0</v>
      </c>
      <c r="F41" s="34">
        <v>0</v>
      </c>
      <c r="G41" s="34">
        <v>0</v>
      </c>
      <c r="H41" s="34">
        <v>0</v>
      </c>
      <c r="I41" s="34">
        <v>0</v>
      </c>
      <c r="J41" s="62">
        <v>0</v>
      </c>
      <c r="K41" s="62">
        <v>0</v>
      </c>
      <c r="L41" s="62">
        <v>0</v>
      </c>
      <c r="M41" s="62">
        <v>0</v>
      </c>
      <c r="N41" s="62">
        <v>0</v>
      </c>
      <c r="O41" s="62">
        <v>0</v>
      </c>
      <c r="P41" s="62">
        <v>0</v>
      </c>
      <c r="Q41" s="62">
        <v>0</v>
      </c>
      <c r="R41" s="62">
        <v>0</v>
      </c>
      <c r="S41" s="62">
        <v>0</v>
      </c>
      <c r="T41" s="62">
        <v>0</v>
      </c>
      <c r="U41" s="62">
        <v>0</v>
      </c>
      <c r="V41" s="62">
        <v>0</v>
      </c>
      <c r="W41" s="62">
        <v>0</v>
      </c>
      <c r="X41" s="62"/>
      <c r="Y41" s="62">
        <v>0</v>
      </c>
      <c r="Z41" s="5"/>
      <c r="AA41" s="5">
        <v>0</v>
      </c>
      <c r="AB41" s="5">
        <v>0</v>
      </c>
      <c r="AC41" s="5">
        <v>0</v>
      </c>
    </row>
    <row r="42" spans="1:29" x14ac:dyDescent="0.3">
      <c r="A42" t="str">
        <f>Factors!B20</f>
        <v>PuChem</v>
      </c>
      <c r="B42" s="6">
        <f>1000000*[2]IIASA2SweFor!$B$26</f>
        <v>3404587.5000000005</v>
      </c>
      <c r="C42" s="5">
        <f>(B42+D42)/2</f>
        <v>3419384.1614387799</v>
      </c>
      <c r="D42" s="5">
        <f>1000000*[2]IIASA2SweFor!$C$26</f>
        <v>3434180.8228775598</v>
      </c>
      <c r="E42" s="5">
        <f>(D42+F42)/2</f>
        <v>3473970.5283698402</v>
      </c>
      <c r="F42" s="5">
        <f>1000000*[2]IIASA2SweFor!$D$26</f>
        <v>3513760.2338621207</v>
      </c>
      <c r="G42" s="5">
        <f>(F42+H42)/2</f>
        <v>3530342.8725717254</v>
      </c>
      <c r="H42" s="5">
        <f>1000000*[2]IIASA2SweFor!$E$26</f>
        <v>3546925.5112813306</v>
      </c>
      <c r="I42" s="5">
        <f>(H42+J42)/2</f>
        <v>3569343.2128273249</v>
      </c>
      <c r="J42" s="5">
        <f>1000000*[2]IIASA2SweFor!$F$26</f>
        <v>3591760.9143733196</v>
      </c>
      <c r="K42" s="5">
        <f>(J42+L42)/2</f>
        <v>3618555.1721560648</v>
      </c>
      <c r="L42" s="5">
        <f>1000000*[2]IIASA2SweFor!$G$26</f>
        <v>3645349.4299388099</v>
      </c>
      <c r="M42" s="5">
        <f>(L42+N42)/2</f>
        <v>3672280.407520595</v>
      </c>
      <c r="N42" s="5">
        <f>1000000*[2]IIASA2SweFor!$H$26</f>
        <v>3699211.3851023805</v>
      </c>
      <c r="O42" s="5">
        <f>(N42+P42)/2</f>
        <v>3725167.5797447106</v>
      </c>
      <c r="P42" s="5">
        <f>1000000*[2]IIASA2SweFor!$I$26</f>
        <v>3751123.7743870406</v>
      </c>
      <c r="Q42" s="5">
        <f>(P42+R42)/2</f>
        <v>3785468.3735661088</v>
      </c>
      <c r="R42" s="5">
        <f>1000000*[2]IIASA2SweFor!$J$26</f>
        <v>3819812.9727451764</v>
      </c>
      <c r="S42" s="5">
        <f>R42</f>
        <v>3819812.9727451764</v>
      </c>
      <c r="T42" s="5">
        <f t="shared" ref="T42:V43" si="27">S42</f>
        <v>3819812.9727451764</v>
      </c>
      <c r="U42" s="5">
        <f t="shared" si="27"/>
        <v>3819812.9727451764</v>
      </c>
      <c r="V42" s="5">
        <f t="shared" si="27"/>
        <v>3819812.9727451764</v>
      </c>
      <c r="W42" s="61">
        <f t="shared" ref="W42:W43" si="28">V42</f>
        <v>3819812.9727451764</v>
      </c>
      <c r="X42" s="61"/>
      <c r="Y42" s="61">
        <f t="shared" ref="Y42:Y43" si="29">W42</f>
        <v>3819812.9727451764</v>
      </c>
      <c r="Z42" s="5"/>
      <c r="AA42" s="5">
        <v>4081840.8687517252</v>
      </c>
      <c r="AB42" s="5">
        <v>4081840.8687517252</v>
      </c>
      <c r="AC42" s="5">
        <v>4081840.8687517252</v>
      </c>
    </row>
    <row r="43" spans="1:29" x14ac:dyDescent="0.3">
      <c r="A43" t="str">
        <f>Factors!B21</f>
        <v>PuMech</v>
      </c>
      <c r="B43" s="6">
        <f>1000000*[2]IIASA2SweFor!$B$27</f>
        <v>530249.99999999988</v>
      </c>
      <c r="C43" s="5">
        <f>(B43+D43)/2</f>
        <v>530249.99999999988</v>
      </c>
      <c r="D43" s="5">
        <f>1000000*[2]IIASA2SweFor!$C$27</f>
        <v>530249.99999999988</v>
      </c>
      <c r="E43" s="5">
        <f>(D43+F43)/2</f>
        <v>530249.99999999988</v>
      </c>
      <c r="F43" s="5">
        <f>1000000*[2]IIASA2SweFor!$D$27</f>
        <v>530249.99999999988</v>
      </c>
      <c r="G43" s="5">
        <f>(F43+H43)/2</f>
        <v>507175.94749150187</v>
      </c>
      <c r="H43" s="5">
        <f>1000000*[2]IIASA2SweFor!$E$27</f>
        <v>484101.89498300385</v>
      </c>
      <c r="I43" s="5">
        <f>(H43+J43)/2</f>
        <v>477912.14022308192</v>
      </c>
      <c r="J43" s="5">
        <f>1000000*[2]IIASA2SweFor!$F$27</f>
        <v>471722.38546316006</v>
      </c>
      <c r="K43" s="5">
        <f>(J43+L43)/2</f>
        <v>471722.38546316006</v>
      </c>
      <c r="L43" s="5">
        <f>1000000*[2]IIASA2SweFor!$G$27</f>
        <v>471722.38546316006</v>
      </c>
      <c r="M43" s="5">
        <f>(L43+N43)/2</f>
        <v>482982.64889347006</v>
      </c>
      <c r="N43" s="5">
        <f>1000000*[2]IIASA2SweFor!$H$27</f>
        <v>494242.91232378001</v>
      </c>
      <c r="O43" s="5">
        <f>(N43+P43)/2</f>
        <v>436559.84633702919</v>
      </c>
      <c r="P43" s="5">
        <f>1000000*[2]IIASA2SweFor!$I$27</f>
        <v>378876.78035027836</v>
      </c>
      <c r="Q43" s="5">
        <f>(P43+R43)/2</f>
        <v>365244.93081297888</v>
      </c>
      <c r="R43" s="5">
        <f>1000000*[2]IIASA2SweFor!$J$27</f>
        <v>351613.08127567946</v>
      </c>
      <c r="S43" s="5">
        <f>R43</f>
        <v>351613.08127567946</v>
      </c>
      <c r="T43" s="5">
        <f t="shared" si="27"/>
        <v>351613.08127567946</v>
      </c>
      <c r="U43" s="5">
        <f t="shared" si="27"/>
        <v>351613.08127567946</v>
      </c>
      <c r="V43" s="5">
        <f t="shared" si="27"/>
        <v>351613.08127567946</v>
      </c>
      <c r="W43" s="61">
        <f t="shared" si="28"/>
        <v>351613.08127567946</v>
      </c>
      <c r="X43" s="61"/>
      <c r="Y43" s="61">
        <f t="shared" si="29"/>
        <v>351613.08127567946</v>
      </c>
      <c r="Z43" s="5"/>
      <c r="AA43" s="5">
        <v>380726.74415053963</v>
      </c>
      <c r="AB43" s="5">
        <v>380726.74415053963</v>
      </c>
      <c r="AC43" s="5">
        <v>380726.74415053963</v>
      </c>
    </row>
    <row r="44" spans="1:29" x14ac:dyDescent="0.3">
      <c r="A44" t="str">
        <f>Factors!B22</f>
        <v>PuDiss</v>
      </c>
      <c r="B44" s="17">
        <f>[2]IIASA2SweFor!J$9</f>
        <v>336337</v>
      </c>
      <c r="C44" s="5">
        <f>[2]IIASA2SweFor!K$9</f>
        <v>367970.02798489406</v>
      </c>
      <c r="D44" s="5">
        <f>[2]IIASA2SweFor!L$9</f>
        <v>402578.19239394926</v>
      </c>
      <c r="E44" s="5">
        <f>[2]IIASA2SweFor!M$9</f>
        <v>440441.30952380964</v>
      </c>
      <c r="F44" s="5">
        <f>[2]IIASA2SweFor!N$9</f>
        <v>481865.51283736137</v>
      </c>
      <c r="G44" s="5">
        <f>[2]IIASA2SweFor!O$9</f>
        <v>527185.72813493363</v>
      </c>
      <c r="H44" s="5">
        <f>[2]IIASA2SweFor!P$9</f>
        <v>576768.38151927467</v>
      </c>
      <c r="I44" s="5">
        <f>[2]IIASA2SweFor!Q$9</f>
        <v>631014.36204892572</v>
      </c>
      <c r="J44" s="5">
        <f>[2]IIASA2SweFor!R$9</f>
        <v>690362.26303384185</v>
      </c>
      <c r="K44" s="5">
        <f>[2]IIASA2SweFor!S$9</f>
        <v>755291.92818000272</v>
      </c>
      <c r="L44" s="5">
        <f>[2]IIASA2SweFor!T$9</f>
        <v>826328.33125454583</v>
      </c>
      <c r="M44" s="5">
        <f>[2]IIASA2SweFor!U$9</f>
        <v>904045.82063955511</v>
      </c>
      <c r="N44" s="5">
        <f>[2]IIASA2SweFor!V$9</f>
        <v>989072.76309286105</v>
      </c>
      <c r="O44" s="5">
        <f>[2]IIASA2SweFor!W$9</f>
        <v>1082096.6242619057</v>
      </c>
      <c r="P44" s="5">
        <f>[2]IIASA2SweFor!X$9</f>
        <v>1183869.5270279893</v>
      </c>
      <c r="Q44" s="5">
        <f>[2]IIASA2SweFor!Y$9</f>
        <v>1295214.3326216042</v>
      </c>
      <c r="R44" s="5">
        <f>[2]IIASA2SweFor!Z$9</f>
        <v>1417031.2936763056</v>
      </c>
      <c r="S44" s="5">
        <f>[2]IIASA2SweFor!AA$9</f>
        <v>1550305.3330128435</v>
      </c>
      <c r="T44" s="5">
        <f>[2]IIASA2SweFor!AB$9</f>
        <v>1696114.0070044822</v>
      </c>
      <c r="U44" s="5">
        <f>[2]IIASA2SweFor!AC$9</f>
        <v>1855636.2179094483</v>
      </c>
      <c r="V44" s="5">
        <f>[2]IIASA2SweFor!AD$9</f>
        <v>2030161.7456120576</v>
      </c>
      <c r="W44" s="61">
        <f>V44</f>
        <v>2030161.7456120576</v>
      </c>
      <c r="X44" s="61"/>
      <c r="Y44" s="61">
        <f>W44</f>
        <v>2030161.7456120576</v>
      </c>
      <c r="Z44" s="5"/>
      <c r="AA44" s="5">
        <v>417220.51329008659</v>
      </c>
      <c r="AB44" s="5">
        <v>417220.51329008659</v>
      </c>
      <c r="AC44" s="5">
        <v>417220.51329008659</v>
      </c>
    </row>
    <row r="45" spans="1:29" x14ac:dyDescent="0.3">
      <c r="A45" t="str">
        <f>Factors!B23</f>
        <v>PaChem</v>
      </c>
      <c r="B45" s="6">
        <f>1000000*[2]IIASA2SweFor!$B$29</f>
        <v>5945000</v>
      </c>
      <c r="C45" s="5">
        <f>(B45+D45)/2</f>
        <v>5945000</v>
      </c>
      <c r="D45" s="5">
        <f>1000000*[2]IIASA2SweFor!$C$29</f>
        <v>5945000</v>
      </c>
      <c r="E45" s="5">
        <f>(D45+F45)/2</f>
        <v>5945000</v>
      </c>
      <c r="F45" s="5">
        <f>1000000*[2]IIASA2SweFor!$D$29</f>
        <v>5945000</v>
      </c>
      <c r="G45" s="5">
        <f>(F45+H45)/2</f>
        <v>5945000</v>
      </c>
      <c r="H45" s="5">
        <f>1000000*[2]IIASA2SweFor!$E$29</f>
        <v>5945000</v>
      </c>
      <c r="I45" s="5">
        <f>(H45+J45)/2</f>
        <v>5945000</v>
      </c>
      <c r="J45" s="5">
        <f>1000000*[2]IIASA2SweFor!$F$29</f>
        <v>5945000</v>
      </c>
      <c r="K45" s="5">
        <f>(J45+L45)/2</f>
        <v>5945000</v>
      </c>
      <c r="L45" s="5">
        <f>1000000*[2]IIASA2SweFor!$G$29</f>
        <v>5945000</v>
      </c>
      <c r="M45" s="5">
        <f>(L45+N45)/2</f>
        <v>5945000</v>
      </c>
      <c r="N45" s="5">
        <f>1000000*[2]IIASA2SweFor!$H$29</f>
        <v>5945000</v>
      </c>
      <c r="O45" s="5">
        <f>(N45+P45)/2</f>
        <v>5945000</v>
      </c>
      <c r="P45" s="5">
        <f>1000000*[2]IIASA2SweFor!$I$29</f>
        <v>5945000</v>
      </c>
      <c r="Q45" s="5">
        <f>(P45+R45)/2</f>
        <v>5945000</v>
      </c>
      <c r="R45" s="5">
        <f>1000000*[2]IIASA2SweFor!$J$29</f>
        <v>5945000</v>
      </c>
      <c r="S45" s="5">
        <f t="shared" ref="S45:V48" si="30">R45</f>
        <v>5945000</v>
      </c>
      <c r="T45" s="5">
        <f t="shared" si="30"/>
        <v>5945000</v>
      </c>
      <c r="U45" s="5">
        <f t="shared" si="30"/>
        <v>5945000</v>
      </c>
      <c r="V45" s="5">
        <f t="shared" si="30"/>
        <v>5945000</v>
      </c>
      <c r="W45" s="61">
        <f t="shared" ref="W45:W48" si="31">V45</f>
        <v>5945000</v>
      </c>
      <c r="X45" s="61"/>
      <c r="Y45" s="61">
        <f t="shared" ref="Y45:Y48" si="32">W45</f>
        <v>5945000</v>
      </c>
      <c r="Z45" s="5"/>
      <c r="AA45" s="5">
        <v>7891956.2984492658</v>
      </c>
      <c r="AB45" s="5">
        <v>7891956.2984492658</v>
      </c>
      <c r="AC45" s="5">
        <v>7891956.2984492658</v>
      </c>
    </row>
    <row r="46" spans="1:29" x14ac:dyDescent="0.3">
      <c r="A46" t="str">
        <f>Factors!B24</f>
        <v>OtChem</v>
      </c>
      <c r="B46" s="6">
        <f>1000000*[2]IIASA2SweFor!$B$30</f>
        <v>591250</v>
      </c>
      <c r="C46" s="5">
        <f>(B46+D46)/2</f>
        <v>591250</v>
      </c>
      <c r="D46" s="5">
        <f>1000000*[2]IIASA2SweFor!$C$30</f>
        <v>591250</v>
      </c>
      <c r="E46" s="5">
        <f>(D46+F46)/2</f>
        <v>591250</v>
      </c>
      <c r="F46" s="5">
        <f>1000000*[2]IIASA2SweFor!$D$30</f>
        <v>591250</v>
      </c>
      <c r="G46" s="5">
        <f>(F46+H46)/2</f>
        <v>591250</v>
      </c>
      <c r="H46" s="5">
        <f>1000000*[2]IIASA2SweFor!$E$30</f>
        <v>591250</v>
      </c>
      <c r="I46" s="5">
        <f>(H46+J46)/2</f>
        <v>591250</v>
      </c>
      <c r="J46" s="5">
        <f>1000000*[2]IIASA2SweFor!$F$30</f>
        <v>591250</v>
      </c>
      <c r="K46" s="5">
        <f>(J46+L46)/2</f>
        <v>591250</v>
      </c>
      <c r="L46" s="5">
        <f>1000000*[2]IIASA2SweFor!$G$30</f>
        <v>591250</v>
      </c>
      <c r="M46" s="5">
        <f>(L46+N46)/2</f>
        <v>591250</v>
      </c>
      <c r="N46" s="5">
        <f>1000000*[2]IIASA2SweFor!$H$30</f>
        <v>591250</v>
      </c>
      <c r="O46" s="5">
        <f>(N46+P46)/2</f>
        <v>588485.68873269996</v>
      </c>
      <c r="P46" s="5">
        <f>1000000*[2]IIASA2SweFor!$I$30</f>
        <v>585721.37746540003</v>
      </c>
      <c r="Q46" s="5">
        <f>(P46+R46)/2</f>
        <v>564168.59143758123</v>
      </c>
      <c r="R46" s="5">
        <f>1000000*[2]IIASA2SweFor!$J$30</f>
        <v>542615.80540976254</v>
      </c>
      <c r="S46" s="5">
        <f t="shared" si="30"/>
        <v>542615.80540976254</v>
      </c>
      <c r="T46" s="5">
        <f t="shared" si="30"/>
        <v>542615.80540976254</v>
      </c>
      <c r="U46" s="5">
        <f t="shared" si="30"/>
        <v>542615.80540976254</v>
      </c>
      <c r="V46" s="5">
        <f t="shared" si="30"/>
        <v>542615.80540976254</v>
      </c>
      <c r="W46" s="61">
        <f t="shared" si="31"/>
        <v>542615.80540976254</v>
      </c>
      <c r="X46" s="61"/>
      <c r="Y46" s="61">
        <f t="shared" si="32"/>
        <v>542615.80540976254</v>
      </c>
      <c r="Z46" s="5"/>
      <c r="AA46" s="5">
        <v>574181.37691086344</v>
      </c>
      <c r="AB46" s="5">
        <v>574181.37691086344</v>
      </c>
      <c r="AC46" s="5">
        <v>574181.37691086344</v>
      </c>
    </row>
    <row r="47" spans="1:29" x14ac:dyDescent="0.3">
      <c r="A47" t="str">
        <f>Factors!B25</f>
        <v>OtMech</v>
      </c>
      <c r="B47" s="6">
        <f>1000000*[2]IIASA2SweFor!$B$31</f>
        <v>1773750.0000000002</v>
      </c>
      <c r="C47" s="5">
        <f>(B47+D47)/2</f>
        <v>1773750.0000000002</v>
      </c>
      <c r="D47" s="5">
        <f>1000000*[2]IIASA2SweFor!$C$31</f>
        <v>1773750.0000000002</v>
      </c>
      <c r="E47" s="5">
        <f>(D47+F47)/2</f>
        <v>1773750.0000000002</v>
      </c>
      <c r="F47" s="5">
        <f>1000000*[2]IIASA2SweFor!$D$31</f>
        <v>1773750.0000000002</v>
      </c>
      <c r="G47" s="5">
        <f>(F47+H47)/2</f>
        <v>1773750.0000000002</v>
      </c>
      <c r="H47" s="5">
        <f>1000000*[2]IIASA2SweFor!$E$31</f>
        <v>1773750.0000000002</v>
      </c>
      <c r="I47" s="5">
        <f>(H47+J47)/2</f>
        <v>1773750.0000000002</v>
      </c>
      <c r="J47" s="5">
        <f>1000000*[2]IIASA2SweFor!$F$31</f>
        <v>1773750.0000000002</v>
      </c>
      <c r="K47" s="5">
        <f>(J47+L47)/2</f>
        <v>1773750.0000000002</v>
      </c>
      <c r="L47" s="5">
        <f>1000000*[2]IIASA2SweFor!$G$31</f>
        <v>1773750.0000000002</v>
      </c>
      <c r="M47" s="5">
        <f>(L47+N47)/2</f>
        <v>1773750.0000000002</v>
      </c>
      <c r="N47" s="5">
        <f>1000000*[2]IIASA2SweFor!$H$31</f>
        <v>1773750.0000000002</v>
      </c>
      <c r="O47" s="5">
        <f>(N47+P47)/2</f>
        <v>1765457.0661981001</v>
      </c>
      <c r="P47" s="5">
        <f>1000000*[2]IIASA2SweFor!$I$31</f>
        <v>1757164.1323962</v>
      </c>
      <c r="Q47" s="5">
        <f>(P47+R47)/2</f>
        <v>1692505.7743127439</v>
      </c>
      <c r="R47" s="5">
        <f>1000000*[2]IIASA2SweFor!$J$31</f>
        <v>1627847.4162292876</v>
      </c>
      <c r="S47" s="5">
        <f t="shared" si="30"/>
        <v>1627847.4162292876</v>
      </c>
      <c r="T47" s="5">
        <f t="shared" si="30"/>
        <v>1627847.4162292876</v>
      </c>
      <c r="U47" s="5">
        <f t="shared" si="30"/>
        <v>1627847.4162292876</v>
      </c>
      <c r="V47" s="5">
        <f t="shared" si="30"/>
        <v>1627847.4162292876</v>
      </c>
      <c r="W47" s="61">
        <f t="shared" si="31"/>
        <v>1627847.4162292876</v>
      </c>
      <c r="X47" s="61"/>
      <c r="Y47" s="61">
        <f t="shared" si="32"/>
        <v>1627847.4162292876</v>
      </c>
      <c r="Z47" s="5"/>
      <c r="AA47" s="5">
        <v>1274484.6984935116</v>
      </c>
      <c r="AB47" s="5">
        <v>1274484.6984935116</v>
      </c>
      <c r="AC47" s="5">
        <v>1274484.6984935116</v>
      </c>
    </row>
    <row r="48" spans="1:29" x14ac:dyDescent="0.3">
      <c r="A48" t="str">
        <f>Factors!B26</f>
        <v>NwMech</v>
      </c>
      <c r="B48" s="6">
        <f>1000000*[2]IIASA2SweFor!$B$32</f>
        <v>889000</v>
      </c>
      <c r="C48" s="5">
        <f>(B48+D48)/2</f>
        <v>889000</v>
      </c>
      <c r="D48" s="5">
        <f>1000000*[2]IIASA2SweFor!$C$32</f>
        <v>889000</v>
      </c>
      <c r="E48" s="5">
        <f>(D48+F48)/2</f>
        <v>889000</v>
      </c>
      <c r="F48" s="5">
        <f>1000000*[2]IIASA2SweFor!$D$32</f>
        <v>889000</v>
      </c>
      <c r="G48" s="5">
        <f>(F48+H48)/2</f>
        <v>889000</v>
      </c>
      <c r="H48" s="5">
        <f>1000000*[2]IIASA2SweFor!$E$32</f>
        <v>889000</v>
      </c>
      <c r="I48" s="5">
        <f>(H48+J48)/2</f>
        <v>889000</v>
      </c>
      <c r="J48" s="5">
        <f>1000000*[2]IIASA2SweFor!$F$32</f>
        <v>889000</v>
      </c>
      <c r="K48" s="5">
        <f>(J48+L48)/2</f>
        <v>889000</v>
      </c>
      <c r="L48" s="5">
        <f>1000000*[2]IIASA2SweFor!$G$32</f>
        <v>889000</v>
      </c>
      <c r="M48" s="5">
        <f>(L48+N48)/2</f>
        <v>877739.73656969005</v>
      </c>
      <c r="N48" s="5">
        <f>1000000*[2]IIASA2SweFor!$H$32</f>
        <v>866479.47313937999</v>
      </c>
      <c r="O48" s="5">
        <f>(N48+P48)/2</f>
        <v>844025.10010268702</v>
      </c>
      <c r="P48" s="5">
        <f>1000000*[2]IIASA2SweFor!$I$32</f>
        <v>821570.72706599394</v>
      </c>
      <c r="Q48" s="5">
        <f>(P48+R48)/2</f>
        <v>801972.42156289646</v>
      </c>
      <c r="R48" s="5">
        <f>1000000*[2]IIASA2SweFor!$J$32</f>
        <v>782374.11605979898</v>
      </c>
      <c r="S48" s="5">
        <f t="shared" si="30"/>
        <v>782374.11605979898</v>
      </c>
      <c r="T48" s="5">
        <f t="shared" si="30"/>
        <v>782374.11605979898</v>
      </c>
      <c r="U48" s="5">
        <f t="shared" si="30"/>
        <v>782374.11605979898</v>
      </c>
      <c r="V48" s="5">
        <f t="shared" si="30"/>
        <v>782374.11605979898</v>
      </c>
      <c r="W48" s="61">
        <f t="shared" si="31"/>
        <v>782374.11605979898</v>
      </c>
      <c r="X48" s="61"/>
      <c r="Y48" s="61">
        <f t="shared" si="32"/>
        <v>782374.11605979898</v>
      </c>
      <c r="Z48" s="5"/>
      <c r="AA48" s="5">
        <v>765929.63116022374</v>
      </c>
      <c r="AB48" s="5">
        <v>765929.63116022374</v>
      </c>
      <c r="AC48" s="5">
        <v>765929.63116022374</v>
      </c>
    </row>
    <row r="49" spans="1:29" s="59" customFormat="1" x14ac:dyDescent="0.3">
      <c r="A49" s="59" t="s">
        <v>201</v>
      </c>
      <c r="B49" s="106">
        <v>1164002</v>
      </c>
      <c r="C49" s="98">
        <v>1204012</v>
      </c>
      <c r="D49" s="98">
        <v>1281462</v>
      </c>
      <c r="E49" s="98">
        <v>1340152</v>
      </c>
      <c r="F49" s="98">
        <v>1393776</v>
      </c>
      <c r="G49" s="98">
        <v>1448264</v>
      </c>
      <c r="H49" s="98">
        <v>1500856</v>
      </c>
      <c r="I49" s="98">
        <v>1500856</v>
      </c>
      <c r="J49" s="98">
        <v>1500856</v>
      </c>
      <c r="K49" s="98">
        <v>1500856</v>
      </c>
      <c r="L49" s="98">
        <v>1500856</v>
      </c>
      <c r="M49" s="98">
        <v>1500856</v>
      </c>
      <c r="N49" s="98">
        <v>1500856</v>
      </c>
      <c r="O49" s="98">
        <v>1500856</v>
      </c>
      <c r="P49" s="98">
        <v>1500856</v>
      </c>
      <c r="Q49" s="98">
        <v>1500856</v>
      </c>
      <c r="R49" s="98">
        <v>1500856</v>
      </c>
      <c r="S49" s="98">
        <v>1500856</v>
      </c>
      <c r="T49" s="98">
        <v>1500856</v>
      </c>
      <c r="U49" s="98">
        <v>1500856</v>
      </c>
      <c r="V49" s="98">
        <v>1500856</v>
      </c>
      <c r="W49" s="98">
        <v>1500856</v>
      </c>
      <c r="X49" s="98"/>
      <c r="Y49" s="98"/>
      <c r="Z49" s="98"/>
      <c r="AA49" s="98"/>
      <c r="AB49" s="98"/>
      <c r="AC49" s="98"/>
    </row>
    <row r="50" spans="1:29" x14ac:dyDescent="0.3"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61"/>
      <c r="X50" s="61"/>
      <c r="Y50" s="61"/>
      <c r="Z50" s="5"/>
      <c r="AA50" s="5"/>
      <c r="AB50" s="5"/>
      <c r="AC50" s="5"/>
    </row>
    <row r="51" spans="1:29" ht="18.75" x14ac:dyDescent="0.3">
      <c r="A51" s="10" t="s">
        <v>37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61"/>
      <c r="X51" s="61"/>
      <c r="Y51" s="61"/>
      <c r="Z51" s="5"/>
      <c r="AA51" s="5"/>
      <c r="AB51" s="5"/>
      <c r="AC51" s="5"/>
    </row>
    <row r="52" spans="1:29" x14ac:dyDescent="0.3">
      <c r="A52" s="9" t="str">
        <f>Factors!B2</f>
        <v>PinTim</v>
      </c>
      <c r="B52" s="5">
        <v>0</v>
      </c>
      <c r="C52" s="61">
        <v>0</v>
      </c>
      <c r="D52" s="61">
        <v>0</v>
      </c>
      <c r="E52" s="61">
        <v>0</v>
      </c>
      <c r="F52" s="61">
        <v>0</v>
      </c>
      <c r="G52" s="61">
        <v>0</v>
      </c>
      <c r="H52" s="61">
        <v>0</v>
      </c>
      <c r="I52" s="61">
        <v>0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0</v>
      </c>
      <c r="U52" s="61">
        <v>0</v>
      </c>
      <c r="V52" s="61">
        <v>0</v>
      </c>
      <c r="W52" s="61">
        <v>0</v>
      </c>
      <c r="X52" s="61"/>
      <c r="Y52" s="61">
        <f t="shared" ref="Y52:Y56" si="33">Y$13/6</f>
        <v>358.59912359513186</v>
      </c>
      <c r="Z52" s="5"/>
      <c r="AA52" s="5">
        <v>1</v>
      </c>
      <c r="AB52" s="5">
        <v>1</v>
      </c>
      <c r="AC52" s="5">
        <v>1</v>
      </c>
    </row>
    <row r="53" spans="1:29" x14ac:dyDescent="0.3">
      <c r="A53" s="9" t="str">
        <f>Factors!B3</f>
        <v>PinPuw</v>
      </c>
      <c r="B53" s="61">
        <v>0</v>
      </c>
      <c r="C53" s="61">
        <v>0</v>
      </c>
      <c r="D53" s="61">
        <v>0</v>
      </c>
      <c r="E53" s="61">
        <v>0</v>
      </c>
      <c r="F53" s="61">
        <v>0</v>
      </c>
      <c r="G53" s="61">
        <v>0</v>
      </c>
      <c r="H53" s="61">
        <v>0</v>
      </c>
      <c r="I53" s="61">
        <v>0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0</v>
      </c>
      <c r="V53" s="61">
        <v>0</v>
      </c>
      <c r="W53" s="61">
        <v>0</v>
      </c>
      <c r="X53" s="61"/>
      <c r="Y53" s="61">
        <f t="shared" si="33"/>
        <v>358.59912359513186</v>
      </c>
      <c r="Z53" s="5"/>
      <c r="AA53" s="5">
        <v>1</v>
      </c>
      <c r="AB53" s="5">
        <v>1</v>
      </c>
      <c r="AC53" s="5">
        <v>1</v>
      </c>
    </row>
    <row r="54" spans="1:29" x14ac:dyDescent="0.3">
      <c r="A54" s="9" t="str">
        <f>Factors!B4</f>
        <v>SprTim</v>
      </c>
      <c r="B54" s="61">
        <v>0</v>
      </c>
      <c r="C54" s="61">
        <v>0</v>
      </c>
      <c r="D54" s="61">
        <v>0</v>
      </c>
      <c r="E54" s="61">
        <v>0</v>
      </c>
      <c r="F54" s="61">
        <v>0</v>
      </c>
      <c r="G54" s="61">
        <v>0</v>
      </c>
      <c r="H54" s="61">
        <v>0</v>
      </c>
      <c r="I54" s="61">
        <v>0</v>
      </c>
      <c r="J54" s="61">
        <v>0</v>
      </c>
      <c r="K54" s="61">
        <v>0</v>
      </c>
      <c r="L54" s="61">
        <v>0</v>
      </c>
      <c r="M54" s="61">
        <v>0</v>
      </c>
      <c r="N54" s="61">
        <v>0</v>
      </c>
      <c r="O54" s="61">
        <v>0</v>
      </c>
      <c r="P54" s="61">
        <v>0</v>
      </c>
      <c r="Q54" s="61">
        <v>0</v>
      </c>
      <c r="R54" s="61">
        <v>0</v>
      </c>
      <c r="S54" s="61">
        <v>0</v>
      </c>
      <c r="T54" s="61">
        <v>0</v>
      </c>
      <c r="U54" s="61">
        <v>0</v>
      </c>
      <c r="V54" s="61">
        <v>0</v>
      </c>
      <c r="W54" s="61">
        <v>0</v>
      </c>
      <c r="X54" s="61"/>
      <c r="Y54" s="61">
        <f t="shared" si="33"/>
        <v>358.59912359513186</v>
      </c>
      <c r="Z54" s="5"/>
      <c r="AA54" s="5">
        <v>1</v>
      </c>
      <c r="AB54" s="5">
        <v>1</v>
      </c>
      <c r="AC54" s="5">
        <v>1</v>
      </c>
    </row>
    <row r="55" spans="1:29" x14ac:dyDescent="0.3">
      <c r="A55" s="9" t="str">
        <f>Factors!B5</f>
        <v>SprPuw</v>
      </c>
      <c r="B55" s="61">
        <v>0</v>
      </c>
      <c r="C55" s="61">
        <v>0</v>
      </c>
      <c r="D55" s="61">
        <v>0</v>
      </c>
      <c r="E55" s="61">
        <v>0</v>
      </c>
      <c r="F55" s="61">
        <v>0</v>
      </c>
      <c r="G55" s="61">
        <v>0</v>
      </c>
      <c r="H55" s="61">
        <v>0</v>
      </c>
      <c r="I55" s="61">
        <v>0</v>
      </c>
      <c r="J55" s="61">
        <v>0</v>
      </c>
      <c r="K55" s="61">
        <v>0</v>
      </c>
      <c r="L55" s="61">
        <v>0</v>
      </c>
      <c r="M55" s="61">
        <v>0</v>
      </c>
      <c r="N55" s="61">
        <v>0</v>
      </c>
      <c r="O55" s="61">
        <v>0</v>
      </c>
      <c r="P55" s="61">
        <v>0</v>
      </c>
      <c r="Q55" s="61">
        <v>0</v>
      </c>
      <c r="R55" s="61">
        <v>0</v>
      </c>
      <c r="S55" s="61">
        <v>0</v>
      </c>
      <c r="T55" s="61">
        <v>0</v>
      </c>
      <c r="U55" s="61">
        <v>0</v>
      </c>
      <c r="V55" s="61">
        <v>0</v>
      </c>
      <c r="W55" s="61">
        <v>0</v>
      </c>
      <c r="X55" s="61"/>
      <c r="Y55" s="61">
        <f t="shared" si="33"/>
        <v>358.59912359513186</v>
      </c>
      <c r="Z55" s="5"/>
      <c r="AA55" s="5">
        <v>1</v>
      </c>
      <c r="AB55" s="5">
        <v>1</v>
      </c>
      <c r="AC55" s="5">
        <v>1</v>
      </c>
    </row>
    <row r="56" spans="1:29" x14ac:dyDescent="0.3">
      <c r="A56" s="9" t="str">
        <f>Factors!B7</f>
        <v>Decids</v>
      </c>
      <c r="B56" s="61">
        <v>0</v>
      </c>
      <c r="C56" s="61">
        <v>0</v>
      </c>
      <c r="D56" s="61">
        <v>0</v>
      </c>
      <c r="E56" s="61">
        <v>0</v>
      </c>
      <c r="F56" s="61">
        <v>0</v>
      </c>
      <c r="G56" s="61">
        <v>0</v>
      </c>
      <c r="H56" s="61">
        <v>0</v>
      </c>
      <c r="I56" s="61">
        <v>0</v>
      </c>
      <c r="J56" s="61">
        <v>0</v>
      </c>
      <c r="K56" s="61">
        <v>0</v>
      </c>
      <c r="L56" s="61">
        <v>0</v>
      </c>
      <c r="M56" s="61">
        <v>0</v>
      </c>
      <c r="N56" s="61">
        <v>0</v>
      </c>
      <c r="O56" s="61">
        <v>0</v>
      </c>
      <c r="P56" s="61">
        <v>0</v>
      </c>
      <c r="Q56" s="61">
        <v>0</v>
      </c>
      <c r="R56" s="61">
        <v>0</v>
      </c>
      <c r="S56" s="61">
        <v>0</v>
      </c>
      <c r="T56" s="61">
        <v>0</v>
      </c>
      <c r="U56" s="61">
        <v>0</v>
      </c>
      <c r="V56" s="61">
        <v>0</v>
      </c>
      <c r="W56" s="61">
        <v>0</v>
      </c>
      <c r="X56" s="61"/>
      <c r="Y56" s="61">
        <f t="shared" si="33"/>
        <v>358.59912359513186</v>
      </c>
      <c r="Z56" s="5"/>
      <c r="AA56" s="5">
        <v>1</v>
      </c>
      <c r="AB56" s="5">
        <v>1</v>
      </c>
      <c r="AC56" s="5">
        <v>1</v>
      </c>
    </row>
    <row r="57" spans="1:29" x14ac:dyDescent="0.3">
      <c r="A57" s="3" t="str">
        <f>Factors!B8</f>
        <v>Sawdst</v>
      </c>
      <c r="B57" s="5">
        <f t="shared" ref="B57:V57" si="34">B9</f>
        <v>0</v>
      </c>
      <c r="C57" s="5">
        <f t="shared" si="34"/>
        <v>0</v>
      </c>
      <c r="D57" s="5">
        <f t="shared" si="34"/>
        <v>0</v>
      </c>
      <c r="E57" s="5">
        <f t="shared" si="34"/>
        <v>0</v>
      </c>
      <c r="F57" s="5">
        <f t="shared" si="34"/>
        <v>0</v>
      </c>
      <c r="G57" s="5">
        <f t="shared" si="34"/>
        <v>0</v>
      </c>
      <c r="H57" s="5">
        <f t="shared" si="34"/>
        <v>0</v>
      </c>
      <c r="I57" s="5">
        <f t="shared" si="34"/>
        <v>0</v>
      </c>
      <c r="J57" s="5">
        <f t="shared" si="34"/>
        <v>0</v>
      </c>
      <c r="K57" s="5">
        <f t="shared" si="34"/>
        <v>0</v>
      </c>
      <c r="L57" s="5">
        <f t="shared" si="34"/>
        <v>0</v>
      </c>
      <c r="M57" s="5">
        <f t="shared" si="34"/>
        <v>0</v>
      </c>
      <c r="N57" s="5">
        <f t="shared" si="34"/>
        <v>0</v>
      </c>
      <c r="O57" s="5">
        <f t="shared" si="34"/>
        <v>0</v>
      </c>
      <c r="P57" s="5">
        <f t="shared" si="34"/>
        <v>0</v>
      </c>
      <c r="Q57" s="5">
        <f t="shared" si="34"/>
        <v>0</v>
      </c>
      <c r="R57" s="5">
        <f t="shared" si="34"/>
        <v>0</v>
      </c>
      <c r="S57" s="5">
        <f t="shared" si="34"/>
        <v>0</v>
      </c>
      <c r="T57" s="5">
        <f t="shared" si="34"/>
        <v>0</v>
      </c>
      <c r="U57" s="5">
        <f t="shared" si="34"/>
        <v>0</v>
      </c>
      <c r="V57" s="5">
        <f t="shared" si="34"/>
        <v>0</v>
      </c>
      <c r="W57" s="61">
        <f t="shared" ref="W57:Y57" si="35">W9</f>
        <v>0</v>
      </c>
      <c r="X57" s="61"/>
      <c r="Y57" s="61">
        <f t="shared" si="35"/>
        <v>0</v>
      </c>
      <c r="Z57" s="5"/>
      <c r="AA57" s="5">
        <f t="shared" ref="AA57:AC58" si="36">AA9</f>
        <v>0</v>
      </c>
      <c r="AB57" s="5">
        <f t="shared" si="36"/>
        <v>0</v>
      </c>
      <c r="AC57" s="5">
        <f t="shared" si="36"/>
        <v>0</v>
      </c>
    </row>
    <row r="58" spans="1:29" x14ac:dyDescent="0.3">
      <c r="A58" s="3" t="str">
        <f>Factors!B9</f>
        <v>Chips_</v>
      </c>
      <c r="B58" s="5">
        <f>B10</f>
        <v>0</v>
      </c>
      <c r="C58" s="34">
        <f t="shared" ref="C58:V58" si="37">C10</f>
        <v>0</v>
      </c>
      <c r="D58" s="34">
        <f t="shared" si="37"/>
        <v>0</v>
      </c>
      <c r="E58" s="34">
        <f t="shared" si="37"/>
        <v>0</v>
      </c>
      <c r="F58" s="34">
        <f t="shared" si="37"/>
        <v>0</v>
      </c>
      <c r="G58" s="34">
        <f t="shared" si="37"/>
        <v>0</v>
      </c>
      <c r="H58" s="34">
        <f t="shared" si="37"/>
        <v>0</v>
      </c>
      <c r="I58" s="34">
        <f t="shared" si="37"/>
        <v>0</v>
      </c>
      <c r="J58" s="34">
        <f t="shared" si="37"/>
        <v>0</v>
      </c>
      <c r="K58" s="34">
        <f t="shared" si="37"/>
        <v>0</v>
      </c>
      <c r="L58" s="34">
        <f t="shared" si="37"/>
        <v>0</v>
      </c>
      <c r="M58" s="34">
        <f t="shared" si="37"/>
        <v>0</v>
      </c>
      <c r="N58" s="34">
        <f t="shared" si="37"/>
        <v>0</v>
      </c>
      <c r="O58" s="34">
        <f t="shared" si="37"/>
        <v>0</v>
      </c>
      <c r="P58" s="34">
        <f t="shared" si="37"/>
        <v>0</v>
      </c>
      <c r="Q58" s="34">
        <f t="shared" si="37"/>
        <v>0</v>
      </c>
      <c r="R58" s="34">
        <f t="shared" si="37"/>
        <v>0</v>
      </c>
      <c r="S58" s="34">
        <f t="shared" si="37"/>
        <v>0</v>
      </c>
      <c r="T58" s="34">
        <f t="shared" si="37"/>
        <v>0</v>
      </c>
      <c r="U58" s="34">
        <f t="shared" si="37"/>
        <v>0</v>
      </c>
      <c r="V58" s="34">
        <f t="shared" si="37"/>
        <v>0</v>
      </c>
      <c r="W58" s="61">
        <f t="shared" ref="W58:Y58" si="38">W10</f>
        <v>0</v>
      </c>
      <c r="X58" s="61"/>
      <c r="Y58" s="61">
        <f t="shared" si="38"/>
        <v>0</v>
      </c>
      <c r="Z58" s="5"/>
      <c r="AA58" s="5">
        <f t="shared" si="36"/>
        <v>0</v>
      </c>
      <c r="AB58" s="5">
        <f t="shared" si="36"/>
        <v>0</v>
      </c>
      <c r="AC58" s="5">
        <f t="shared" si="36"/>
        <v>0</v>
      </c>
    </row>
    <row r="59" spans="1:29" x14ac:dyDescent="0.3">
      <c r="A59" s="9" t="str">
        <f>Factors!B10</f>
        <v>ResStm</v>
      </c>
      <c r="B59" s="34">
        <f>B11</f>
        <v>0</v>
      </c>
      <c r="C59" s="34">
        <f t="shared" ref="C59:V59" si="39">C11</f>
        <v>0</v>
      </c>
      <c r="D59" s="34">
        <f t="shared" si="39"/>
        <v>0</v>
      </c>
      <c r="E59" s="34">
        <f t="shared" si="39"/>
        <v>0</v>
      </c>
      <c r="F59" s="34">
        <f t="shared" si="39"/>
        <v>0</v>
      </c>
      <c r="G59" s="34">
        <f t="shared" si="39"/>
        <v>0</v>
      </c>
      <c r="H59" s="34">
        <f t="shared" si="39"/>
        <v>0</v>
      </c>
      <c r="I59" s="34">
        <f t="shared" si="39"/>
        <v>0</v>
      </c>
      <c r="J59" s="34">
        <f t="shared" si="39"/>
        <v>0</v>
      </c>
      <c r="K59" s="34">
        <f t="shared" si="39"/>
        <v>0</v>
      </c>
      <c r="L59" s="34">
        <f t="shared" si="39"/>
        <v>0</v>
      </c>
      <c r="M59" s="34">
        <f t="shared" si="39"/>
        <v>0</v>
      </c>
      <c r="N59" s="34">
        <f t="shared" si="39"/>
        <v>0</v>
      </c>
      <c r="O59" s="34">
        <f t="shared" si="39"/>
        <v>0</v>
      </c>
      <c r="P59" s="34">
        <f t="shared" si="39"/>
        <v>0</v>
      </c>
      <c r="Q59" s="34">
        <f t="shared" si="39"/>
        <v>0</v>
      </c>
      <c r="R59" s="34">
        <f t="shared" si="39"/>
        <v>0</v>
      </c>
      <c r="S59" s="34">
        <f t="shared" si="39"/>
        <v>0</v>
      </c>
      <c r="T59" s="34">
        <f t="shared" si="39"/>
        <v>0</v>
      </c>
      <c r="U59" s="34">
        <f t="shared" si="39"/>
        <v>0</v>
      </c>
      <c r="V59" s="34">
        <f t="shared" si="39"/>
        <v>0</v>
      </c>
      <c r="W59" s="61">
        <f t="shared" ref="W59:Y59" si="40">W11</f>
        <v>0</v>
      </c>
      <c r="X59" s="61"/>
      <c r="Y59" s="61">
        <f t="shared" si="40"/>
        <v>0</v>
      </c>
      <c r="Z59" s="5"/>
      <c r="AA59" s="5">
        <f>AA15*ConvFact!$A$1*2</f>
        <v>0</v>
      </c>
      <c r="AB59" s="5">
        <f>AB15*ConvFact!$A$1*2</f>
        <v>0</v>
      </c>
      <c r="AC59" s="5">
        <f>AC15*ConvFact!$A$1*2</f>
        <v>0</v>
      </c>
    </row>
    <row r="60" spans="1:29" x14ac:dyDescent="0.3">
      <c r="A60" t="str">
        <f>Factors!B11</f>
        <v>ResRot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61">
        <v>0</v>
      </c>
      <c r="X60" s="61"/>
      <c r="Y60" s="61">
        <v>0</v>
      </c>
      <c r="Z60" s="5"/>
      <c r="AA60" s="5">
        <v>0</v>
      </c>
      <c r="AB60" s="5">
        <v>0</v>
      </c>
      <c r="AC60" s="5">
        <v>0</v>
      </c>
    </row>
    <row r="61" spans="1:29" x14ac:dyDescent="0.3">
      <c r="A61" t="str">
        <f>Factors!B15</f>
        <v>Sawnco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61">
        <v>0</v>
      </c>
      <c r="X61" s="61"/>
      <c r="Y61" s="61">
        <v>0</v>
      </c>
      <c r="Z61" s="5"/>
      <c r="AA61" s="5">
        <v>0</v>
      </c>
      <c r="AB61" s="5">
        <v>0</v>
      </c>
      <c r="AC61" s="5">
        <v>0</v>
      </c>
    </row>
    <row r="62" spans="1:29" s="59" customFormat="1" x14ac:dyDescent="0.3">
      <c r="A62" s="59" t="str">
        <f>Factors!B16</f>
        <v>Sawnbe</v>
      </c>
      <c r="B62" s="61">
        <v>0</v>
      </c>
      <c r="C62" s="61">
        <v>0</v>
      </c>
      <c r="D62" s="61">
        <v>0</v>
      </c>
      <c r="E62" s="61">
        <v>0</v>
      </c>
      <c r="F62" s="61">
        <v>0</v>
      </c>
      <c r="G62" s="61">
        <v>0</v>
      </c>
      <c r="H62" s="61">
        <v>0</v>
      </c>
      <c r="I62" s="61">
        <v>0</v>
      </c>
      <c r="J62" s="61">
        <v>0</v>
      </c>
      <c r="K62" s="61">
        <v>0</v>
      </c>
      <c r="L62" s="61">
        <v>0</v>
      </c>
      <c r="M62" s="61">
        <v>0</v>
      </c>
      <c r="N62" s="61">
        <v>0</v>
      </c>
      <c r="O62" s="61">
        <v>0</v>
      </c>
      <c r="P62" s="61">
        <v>0</v>
      </c>
      <c r="Q62" s="61">
        <v>0</v>
      </c>
      <c r="R62" s="61">
        <v>0</v>
      </c>
      <c r="S62" s="61">
        <v>0</v>
      </c>
      <c r="T62" s="61">
        <v>0</v>
      </c>
      <c r="U62" s="61">
        <v>0</v>
      </c>
      <c r="V62" s="61">
        <v>0</v>
      </c>
      <c r="W62" s="61">
        <v>0</v>
      </c>
      <c r="X62" s="61"/>
      <c r="Y62" s="61"/>
      <c r="Z62" s="61"/>
      <c r="AA62" s="61"/>
      <c r="AB62" s="61"/>
      <c r="AC62" s="61"/>
    </row>
    <row r="63" spans="1:29" x14ac:dyDescent="0.3">
      <c r="A63" t="str">
        <f>Factors!B17</f>
        <v>Heat__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61">
        <v>0</v>
      </c>
      <c r="X63" s="61"/>
      <c r="Y63" s="61">
        <v>0</v>
      </c>
      <c r="Z63" s="5"/>
      <c r="AA63" s="5">
        <v>0</v>
      </c>
      <c r="AB63" s="5">
        <v>0</v>
      </c>
      <c r="AC63" s="5">
        <v>0</v>
      </c>
    </row>
    <row r="64" spans="1:29" x14ac:dyDescent="0.3">
      <c r="A64" t="str">
        <f>Factors!B18</f>
        <v>Electr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61">
        <v>0</v>
      </c>
      <c r="X64" s="61"/>
      <c r="Y64" s="61">
        <v>0</v>
      </c>
      <c r="Z64" s="5"/>
      <c r="AA64" s="5">
        <v>0</v>
      </c>
      <c r="AB64" s="5">
        <v>0</v>
      </c>
      <c r="AC64" s="5">
        <v>0</v>
      </c>
    </row>
    <row r="65" spans="1:29" x14ac:dyDescent="0.3">
      <c r="A65" t="str">
        <f>Factors!B19</f>
        <v>BioFue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61">
        <v>0</v>
      </c>
      <c r="X65" s="61"/>
      <c r="Y65" s="61">
        <v>0</v>
      </c>
      <c r="Z65" s="5"/>
      <c r="AA65" s="5">
        <v>0</v>
      </c>
      <c r="AB65" s="5">
        <v>0</v>
      </c>
      <c r="AC65" s="5">
        <v>0</v>
      </c>
    </row>
    <row r="66" spans="1:29" x14ac:dyDescent="0.3">
      <c r="A66" t="str">
        <f>Factors!B20</f>
        <v>PuChem</v>
      </c>
      <c r="B66" s="5">
        <v>0</v>
      </c>
      <c r="C66" s="5">
        <v>0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61">
        <v>0</v>
      </c>
      <c r="X66" s="61"/>
      <c r="Y66" s="61">
        <v>0</v>
      </c>
      <c r="Z66" s="5"/>
      <c r="AA66" s="5">
        <v>0</v>
      </c>
      <c r="AB66" s="5">
        <v>0</v>
      </c>
      <c r="AC66" s="5">
        <v>0</v>
      </c>
    </row>
    <row r="67" spans="1:29" x14ac:dyDescent="0.3">
      <c r="A67" t="str">
        <f>Factors!B21</f>
        <v>PuMech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61">
        <v>0</v>
      </c>
      <c r="X67" s="61"/>
      <c r="Y67" s="61">
        <v>0</v>
      </c>
      <c r="Z67" s="5"/>
      <c r="AA67" s="5">
        <v>0</v>
      </c>
      <c r="AB67" s="5">
        <v>0</v>
      </c>
      <c r="AC67" s="5">
        <v>0</v>
      </c>
    </row>
    <row r="68" spans="1:29" x14ac:dyDescent="0.3">
      <c r="A68" t="str">
        <f>Factors!B22</f>
        <v>PuDiss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61">
        <v>0</v>
      </c>
      <c r="X68" s="61"/>
      <c r="Y68" s="61">
        <v>0</v>
      </c>
      <c r="Z68" s="5"/>
      <c r="AA68" s="5">
        <v>0</v>
      </c>
      <c r="AB68" s="5">
        <v>0</v>
      </c>
      <c r="AC68" s="5">
        <v>0</v>
      </c>
    </row>
    <row r="69" spans="1:29" x14ac:dyDescent="0.3">
      <c r="A69" t="str">
        <f>Factors!B23</f>
        <v>PaChem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61">
        <v>0</v>
      </c>
      <c r="X69" s="61"/>
      <c r="Y69" s="61">
        <v>0</v>
      </c>
      <c r="Z69" s="5"/>
      <c r="AA69" s="5">
        <v>0</v>
      </c>
      <c r="AB69" s="5">
        <v>0</v>
      </c>
      <c r="AC69" s="5">
        <v>0</v>
      </c>
    </row>
    <row r="70" spans="1:29" x14ac:dyDescent="0.3">
      <c r="A70" t="str">
        <f>Factors!B24</f>
        <v>OtChem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61">
        <v>0</v>
      </c>
      <c r="X70" s="61"/>
      <c r="Y70" s="61">
        <v>0</v>
      </c>
      <c r="Z70" s="5"/>
      <c r="AA70" s="5">
        <v>0</v>
      </c>
      <c r="AB70" s="5">
        <v>0</v>
      </c>
      <c r="AC70" s="5">
        <v>0</v>
      </c>
    </row>
    <row r="71" spans="1:29" x14ac:dyDescent="0.3">
      <c r="A71" t="str">
        <f>Factors!B25</f>
        <v>OtMech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61">
        <v>0</v>
      </c>
      <c r="X71" s="61"/>
      <c r="Y71" s="61">
        <v>0</v>
      </c>
      <c r="Z71" s="5"/>
      <c r="AA71" s="5">
        <v>0</v>
      </c>
      <c r="AB71" s="5">
        <v>0</v>
      </c>
      <c r="AC71" s="5">
        <v>0</v>
      </c>
    </row>
    <row r="72" spans="1:29" x14ac:dyDescent="0.3">
      <c r="A72" t="str">
        <f>Factors!B26</f>
        <v>NwMech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61">
        <v>0</v>
      </c>
      <c r="X72" s="61"/>
      <c r="Y72" s="61">
        <v>0</v>
      </c>
      <c r="Z72" s="5"/>
      <c r="AA72" s="5">
        <v>0</v>
      </c>
      <c r="AB72" s="5">
        <v>0</v>
      </c>
      <c r="AC72" s="5">
        <v>0</v>
      </c>
    </row>
    <row r="73" spans="1:29" x14ac:dyDescent="0.3"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61"/>
      <c r="X73" s="61"/>
      <c r="Y73" s="61"/>
      <c r="Z73" s="5"/>
      <c r="AA73" s="5"/>
      <c r="AB73" s="5"/>
      <c r="AC73" s="5"/>
    </row>
    <row r="74" spans="1:29" ht="18.75" x14ac:dyDescent="0.3">
      <c r="A74" s="10" t="s">
        <v>36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61"/>
      <c r="X74" s="61"/>
      <c r="Y74" s="61"/>
      <c r="Z74" s="5"/>
      <c r="AA74" s="5"/>
      <c r="AB74" s="5"/>
      <c r="AC74" s="5"/>
    </row>
    <row r="75" spans="1:29" x14ac:dyDescent="0.3">
      <c r="A75" s="9" t="str">
        <f>Factors!B2</f>
        <v>PinTim</v>
      </c>
      <c r="B75" s="5">
        <v>400000</v>
      </c>
      <c r="C75" s="98">
        <v>400000</v>
      </c>
      <c r="D75" s="98">
        <v>400000</v>
      </c>
      <c r="E75" s="98">
        <v>400000</v>
      </c>
      <c r="F75" s="98">
        <v>400000</v>
      </c>
      <c r="G75" s="98">
        <v>400000</v>
      </c>
      <c r="H75" s="98">
        <v>400000</v>
      </c>
      <c r="I75" s="98">
        <v>400000</v>
      </c>
      <c r="J75" s="98">
        <v>400000</v>
      </c>
      <c r="K75" s="98">
        <v>400000</v>
      </c>
      <c r="L75" s="98">
        <v>400000</v>
      </c>
      <c r="M75" s="98">
        <v>400000</v>
      </c>
      <c r="N75" s="98">
        <v>400000</v>
      </c>
      <c r="O75" s="98">
        <v>400000</v>
      </c>
      <c r="P75" s="98">
        <v>400000</v>
      </c>
      <c r="Q75" s="98">
        <v>400000</v>
      </c>
      <c r="R75" s="98">
        <v>400000</v>
      </c>
      <c r="S75" s="98">
        <v>400000</v>
      </c>
      <c r="T75" s="98">
        <v>400000</v>
      </c>
      <c r="U75" s="98">
        <v>400000</v>
      </c>
      <c r="V75" s="98">
        <v>400000</v>
      </c>
      <c r="W75" s="98">
        <v>400000</v>
      </c>
      <c r="X75" s="61"/>
      <c r="Y75" s="61">
        <f>W75*0.8</f>
        <v>320000</v>
      </c>
      <c r="Z75" s="5"/>
      <c r="AA75" s="5">
        <f>V75*0.8</f>
        <v>320000</v>
      </c>
      <c r="AB75" s="5">
        <f t="shared" ref="AB75:AC79" si="41">AA75*0.8</f>
        <v>256000</v>
      </c>
      <c r="AC75" s="5">
        <f t="shared" si="41"/>
        <v>204800</v>
      </c>
    </row>
    <row r="76" spans="1:29" x14ac:dyDescent="0.3">
      <c r="A76" s="9" t="str">
        <f>Factors!B3</f>
        <v>PinPuw</v>
      </c>
      <c r="B76" s="5">
        <v>1300000</v>
      </c>
      <c r="C76" s="98">
        <v>1300000</v>
      </c>
      <c r="D76" s="98">
        <v>1300000</v>
      </c>
      <c r="E76" s="98">
        <v>1300000</v>
      </c>
      <c r="F76" s="98">
        <v>1300000</v>
      </c>
      <c r="G76" s="98">
        <v>1300000</v>
      </c>
      <c r="H76" s="98">
        <v>1300000</v>
      </c>
      <c r="I76" s="98">
        <v>1300000</v>
      </c>
      <c r="J76" s="98">
        <v>1300000</v>
      </c>
      <c r="K76" s="98">
        <v>1300000</v>
      </c>
      <c r="L76" s="98">
        <v>1300000</v>
      </c>
      <c r="M76" s="98">
        <v>1300000</v>
      </c>
      <c r="N76" s="98">
        <v>1300000</v>
      </c>
      <c r="O76" s="98">
        <v>1300000</v>
      </c>
      <c r="P76" s="98">
        <v>1300000</v>
      </c>
      <c r="Q76" s="98">
        <v>1300000</v>
      </c>
      <c r="R76" s="98">
        <v>1300000</v>
      </c>
      <c r="S76" s="98">
        <v>1300000</v>
      </c>
      <c r="T76" s="98">
        <v>1300000</v>
      </c>
      <c r="U76" s="98">
        <v>1300000</v>
      </c>
      <c r="V76" s="98">
        <v>1300000</v>
      </c>
      <c r="W76" s="98">
        <v>1300000</v>
      </c>
      <c r="X76" s="61"/>
      <c r="Y76" s="61">
        <f>W76*0.8</f>
        <v>1040000</v>
      </c>
      <c r="Z76" s="5"/>
      <c r="AA76" s="5">
        <f>V76*0.8</f>
        <v>1040000</v>
      </c>
      <c r="AB76" s="5">
        <f t="shared" si="41"/>
        <v>832000</v>
      </c>
      <c r="AC76" s="5">
        <f t="shared" si="41"/>
        <v>665600</v>
      </c>
    </row>
    <row r="77" spans="1:29" x14ac:dyDescent="0.3">
      <c r="A77" s="9" t="str">
        <f>Factors!B4</f>
        <v>SprTim</v>
      </c>
      <c r="B77" s="5">
        <v>500000</v>
      </c>
      <c r="C77" s="98">
        <v>500000</v>
      </c>
      <c r="D77" s="98">
        <v>500000</v>
      </c>
      <c r="E77" s="98">
        <v>500000</v>
      </c>
      <c r="F77" s="98">
        <v>500000</v>
      </c>
      <c r="G77" s="98">
        <v>500000</v>
      </c>
      <c r="H77" s="98">
        <v>500000</v>
      </c>
      <c r="I77" s="98">
        <v>500000</v>
      </c>
      <c r="J77" s="98">
        <v>500000</v>
      </c>
      <c r="K77" s="98">
        <v>500000</v>
      </c>
      <c r="L77" s="98">
        <v>500000</v>
      </c>
      <c r="M77" s="98">
        <v>500000</v>
      </c>
      <c r="N77" s="98">
        <v>500000</v>
      </c>
      <c r="O77" s="98">
        <v>500000</v>
      </c>
      <c r="P77" s="98">
        <v>500000</v>
      </c>
      <c r="Q77" s="98">
        <v>500000</v>
      </c>
      <c r="R77" s="98">
        <v>500000</v>
      </c>
      <c r="S77" s="98">
        <v>500000</v>
      </c>
      <c r="T77" s="98">
        <v>500000</v>
      </c>
      <c r="U77" s="98">
        <v>500000</v>
      </c>
      <c r="V77" s="98">
        <v>500000</v>
      </c>
      <c r="W77" s="98">
        <v>500000</v>
      </c>
      <c r="X77" s="61"/>
      <c r="Y77" s="61">
        <f>W77*0.8</f>
        <v>400000</v>
      </c>
      <c r="Z77" s="5"/>
      <c r="AA77" s="5">
        <f>V77*0.8</f>
        <v>400000</v>
      </c>
      <c r="AB77" s="5">
        <f t="shared" si="41"/>
        <v>320000</v>
      </c>
      <c r="AC77" s="5">
        <f t="shared" si="41"/>
        <v>256000</v>
      </c>
    </row>
    <row r="78" spans="1:29" x14ac:dyDescent="0.3">
      <c r="A78" s="9" t="str">
        <f>Factors!B5</f>
        <v>SprPuw</v>
      </c>
      <c r="B78" s="5">
        <v>1800000</v>
      </c>
      <c r="C78" s="98">
        <v>1800000</v>
      </c>
      <c r="D78" s="98">
        <v>1800000</v>
      </c>
      <c r="E78" s="98">
        <v>1800000</v>
      </c>
      <c r="F78" s="98">
        <v>1800000</v>
      </c>
      <c r="G78" s="98">
        <v>1800000</v>
      </c>
      <c r="H78" s="98">
        <v>1800000</v>
      </c>
      <c r="I78" s="98">
        <v>1800000</v>
      </c>
      <c r="J78" s="98">
        <v>1800000</v>
      </c>
      <c r="K78" s="98">
        <v>1800000</v>
      </c>
      <c r="L78" s="98">
        <v>1800000</v>
      </c>
      <c r="M78" s="98">
        <v>1800000</v>
      </c>
      <c r="N78" s="98">
        <v>1800000</v>
      </c>
      <c r="O78" s="98">
        <v>1800000</v>
      </c>
      <c r="P78" s="98">
        <v>1800000</v>
      </c>
      <c r="Q78" s="98">
        <v>1800000</v>
      </c>
      <c r="R78" s="98">
        <v>1800000</v>
      </c>
      <c r="S78" s="98">
        <v>1800000</v>
      </c>
      <c r="T78" s="98">
        <v>1800000</v>
      </c>
      <c r="U78" s="98">
        <v>1800000</v>
      </c>
      <c r="V78" s="98">
        <v>1800000</v>
      </c>
      <c r="W78" s="98">
        <v>1800000</v>
      </c>
      <c r="X78" s="61"/>
      <c r="Y78" s="61">
        <f>W78*0.8</f>
        <v>1440000</v>
      </c>
      <c r="Z78" s="5"/>
      <c r="AA78" s="5">
        <f>V78*0.8</f>
        <v>1440000</v>
      </c>
      <c r="AB78" s="5">
        <f t="shared" si="41"/>
        <v>1152000</v>
      </c>
      <c r="AC78" s="5">
        <f t="shared" si="41"/>
        <v>921600</v>
      </c>
    </row>
    <row r="79" spans="1:29" x14ac:dyDescent="0.3">
      <c r="A79" s="9" t="str">
        <f>Factors!B7</f>
        <v>Decids</v>
      </c>
      <c r="B79" s="5">
        <v>2700000</v>
      </c>
      <c r="C79" s="98">
        <v>2700000</v>
      </c>
      <c r="D79" s="98">
        <v>2700000</v>
      </c>
      <c r="E79" s="98">
        <v>2700000</v>
      </c>
      <c r="F79" s="98">
        <v>2700000</v>
      </c>
      <c r="G79" s="98">
        <v>2700000</v>
      </c>
      <c r="H79" s="98">
        <v>2700000</v>
      </c>
      <c r="I79" s="98">
        <v>2700000</v>
      </c>
      <c r="J79" s="98">
        <v>2700000</v>
      </c>
      <c r="K79" s="98">
        <v>2700000</v>
      </c>
      <c r="L79" s="98">
        <v>2700000</v>
      </c>
      <c r="M79" s="98">
        <v>2700000</v>
      </c>
      <c r="N79" s="98">
        <v>2700000</v>
      </c>
      <c r="O79" s="98">
        <v>2700000</v>
      </c>
      <c r="P79" s="98">
        <v>2700000</v>
      </c>
      <c r="Q79" s="98">
        <v>2700000</v>
      </c>
      <c r="R79" s="98">
        <v>2700000</v>
      </c>
      <c r="S79" s="98">
        <v>2700000</v>
      </c>
      <c r="T79" s="98">
        <v>2700000</v>
      </c>
      <c r="U79" s="98">
        <v>2700000</v>
      </c>
      <c r="V79" s="98">
        <v>2700000</v>
      </c>
      <c r="W79" s="98">
        <v>2700000</v>
      </c>
      <c r="X79" s="61"/>
      <c r="Y79" s="61">
        <f>W79*0.8</f>
        <v>2160000</v>
      </c>
      <c r="Z79" s="5"/>
      <c r="AA79" s="5">
        <f>V79*0.8</f>
        <v>2160000</v>
      </c>
      <c r="AB79" s="5">
        <f t="shared" si="41"/>
        <v>1728000</v>
      </c>
      <c r="AC79" s="5">
        <f t="shared" si="41"/>
        <v>1382400</v>
      </c>
    </row>
    <row r="80" spans="1:29" x14ac:dyDescent="0.3">
      <c r="A80" s="3" t="str">
        <f>Factors!B8</f>
        <v>Sawdst</v>
      </c>
      <c r="B80" s="5">
        <v>0</v>
      </c>
      <c r="C80" s="5">
        <v>0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0</v>
      </c>
      <c r="K80" s="5">
        <v>0</v>
      </c>
      <c r="L80" s="5">
        <v>0</v>
      </c>
      <c r="M80" s="5">
        <v>0</v>
      </c>
      <c r="N80" s="5">
        <v>0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61">
        <v>0</v>
      </c>
      <c r="X80" s="61"/>
      <c r="Y80" s="61">
        <v>0</v>
      </c>
      <c r="Z80" s="5"/>
      <c r="AA80" s="5">
        <v>0</v>
      </c>
      <c r="AB80" s="5">
        <v>0</v>
      </c>
      <c r="AC80" s="5">
        <v>0</v>
      </c>
    </row>
    <row r="81" spans="1:29" x14ac:dyDescent="0.3">
      <c r="A81" s="3" t="str">
        <f>Factors!B9</f>
        <v>Chips_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61">
        <v>0</v>
      </c>
      <c r="X81" s="61"/>
      <c r="Y81" s="61">
        <v>0</v>
      </c>
      <c r="Z81" s="5"/>
      <c r="AA81" s="5">
        <v>0</v>
      </c>
      <c r="AB81" s="5">
        <v>0</v>
      </c>
      <c r="AC81" s="5">
        <v>0</v>
      </c>
    </row>
    <row r="82" spans="1:29" x14ac:dyDescent="0.3">
      <c r="A82" s="9" t="str">
        <f>Factors!B10</f>
        <v>ResStm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61">
        <v>0</v>
      </c>
      <c r="X82" s="61"/>
      <c r="Y82" s="61">
        <v>0</v>
      </c>
      <c r="Z82" s="5"/>
      <c r="AA82" s="5">
        <v>100000000</v>
      </c>
      <c r="AB82" s="5">
        <v>100000000</v>
      </c>
      <c r="AC82" s="5">
        <v>100000000</v>
      </c>
    </row>
    <row r="83" spans="1:29" x14ac:dyDescent="0.3">
      <c r="A83" t="str">
        <f>Factors!B11</f>
        <v>ResRot</v>
      </c>
      <c r="B83" s="5">
        <v>0</v>
      </c>
      <c r="C83" s="5">
        <v>0</v>
      </c>
      <c r="D83" s="5">
        <v>0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0</v>
      </c>
      <c r="V83" s="5">
        <v>0</v>
      </c>
      <c r="W83" s="61">
        <v>0</v>
      </c>
      <c r="X83" s="61"/>
      <c r="Y83" s="61">
        <v>0</v>
      </c>
      <c r="Z83" s="5"/>
      <c r="AA83" s="5">
        <v>0</v>
      </c>
      <c r="AB83" s="5">
        <v>0</v>
      </c>
      <c r="AC83" s="5">
        <v>0</v>
      </c>
    </row>
    <row r="84" spans="1:29" x14ac:dyDescent="0.3">
      <c r="A84" t="str">
        <f>Factors!B15</f>
        <v>Sawnco</v>
      </c>
      <c r="B84" s="5">
        <v>0</v>
      </c>
      <c r="C84" s="5">
        <v>0</v>
      </c>
      <c r="D84" s="5">
        <v>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61">
        <v>0</v>
      </c>
      <c r="X84" s="61"/>
      <c r="Y84" s="61">
        <v>0</v>
      </c>
      <c r="Z84" s="5"/>
      <c r="AA84" s="5">
        <v>0</v>
      </c>
      <c r="AB84" s="5">
        <v>0</v>
      </c>
      <c r="AC84" s="5">
        <v>0</v>
      </c>
    </row>
    <row r="85" spans="1:29" s="59" customFormat="1" x14ac:dyDescent="0.3">
      <c r="A85" s="59" t="str">
        <f>Factors!B16</f>
        <v>Sawnbe</v>
      </c>
      <c r="B85" s="61">
        <v>0</v>
      </c>
      <c r="C85" s="61">
        <v>0</v>
      </c>
      <c r="D85" s="61">
        <v>0</v>
      </c>
      <c r="E85" s="61">
        <v>0</v>
      </c>
      <c r="F85" s="61">
        <v>0</v>
      </c>
      <c r="G85" s="61">
        <v>0</v>
      </c>
      <c r="H85" s="61">
        <v>0</v>
      </c>
      <c r="I85" s="61">
        <v>0</v>
      </c>
      <c r="J85" s="61">
        <v>0</v>
      </c>
      <c r="K85" s="61">
        <v>0</v>
      </c>
      <c r="L85" s="61">
        <v>0</v>
      </c>
      <c r="M85" s="61">
        <v>0</v>
      </c>
      <c r="N85" s="61">
        <v>0</v>
      </c>
      <c r="O85" s="61">
        <v>0</v>
      </c>
      <c r="P85" s="61">
        <v>0</v>
      </c>
      <c r="Q85" s="61">
        <v>0</v>
      </c>
      <c r="R85" s="61">
        <v>0</v>
      </c>
      <c r="S85" s="61">
        <v>0</v>
      </c>
      <c r="T85" s="61">
        <v>0</v>
      </c>
      <c r="U85" s="61">
        <v>0</v>
      </c>
      <c r="V85" s="61">
        <v>0</v>
      </c>
      <c r="W85" s="61">
        <v>0</v>
      </c>
      <c r="X85" s="61"/>
      <c r="Y85" s="61"/>
      <c r="Z85" s="61"/>
      <c r="AA85" s="61"/>
      <c r="AB85" s="61"/>
      <c r="AC85" s="61"/>
    </row>
    <row r="86" spans="1:29" x14ac:dyDescent="0.3">
      <c r="A86" t="str">
        <f>Factors!B17</f>
        <v>Heat__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5">
        <v>0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0</v>
      </c>
      <c r="V86" s="5">
        <v>0</v>
      </c>
      <c r="W86" s="61">
        <v>0</v>
      </c>
      <c r="X86" s="61"/>
      <c r="Y86" s="61">
        <v>0</v>
      </c>
      <c r="Z86" s="5"/>
      <c r="AA86" s="5">
        <v>0</v>
      </c>
      <c r="AB86" s="5">
        <v>0</v>
      </c>
      <c r="AC86" s="5">
        <v>0</v>
      </c>
    </row>
    <row r="87" spans="1:29" x14ac:dyDescent="0.3">
      <c r="A87" t="str">
        <f>Factors!B18</f>
        <v>Electr</v>
      </c>
      <c r="B87" s="5">
        <v>0</v>
      </c>
      <c r="C87" s="5">
        <v>0</v>
      </c>
      <c r="D87" s="5">
        <v>0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0</v>
      </c>
      <c r="V87" s="5">
        <v>0</v>
      </c>
      <c r="W87" s="61">
        <v>0</v>
      </c>
      <c r="X87" s="61"/>
      <c r="Y87" s="61">
        <v>0</v>
      </c>
      <c r="Z87" s="5"/>
      <c r="AA87" s="5">
        <v>0</v>
      </c>
      <c r="AB87" s="5">
        <v>0</v>
      </c>
      <c r="AC87" s="5">
        <v>0</v>
      </c>
    </row>
    <row r="88" spans="1:29" x14ac:dyDescent="0.3">
      <c r="A88" t="str">
        <f>Factors!B19</f>
        <v>BioFue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0</v>
      </c>
      <c r="V88" s="5">
        <v>0</v>
      </c>
      <c r="W88" s="61">
        <v>0</v>
      </c>
      <c r="X88" s="61"/>
      <c r="Y88" s="61">
        <v>0</v>
      </c>
      <c r="Z88" s="5"/>
      <c r="AA88" s="5">
        <v>0</v>
      </c>
      <c r="AB88" s="5">
        <v>0</v>
      </c>
      <c r="AC88" s="5">
        <v>0</v>
      </c>
    </row>
    <row r="89" spans="1:29" x14ac:dyDescent="0.3">
      <c r="A89" t="str">
        <f>Factors!B20</f>
        <v>PuChem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61">
        <v>0</v>
      </c>
      <c r="X89" s="61"/>
      <c r="Y89" s="61">
        <v>0</v>
      </c>
      <c r="Z89" s="5"/>
      <c r="AA89" s="5">
        <v>0</v>
      </c>
      <c r="AB89" s="5">
        <v>0</v>
      </c>
      <c r="AC89" s="5">
        <v>0</v>
      </c>
    </row>
    <row r="90" spans="1:29" x14ac:dyDescent="0.3">
      <c r="A90" t="str">
        <f>Factors!B21</f>
        <v>PuMech</v>
      </c>
      <c r="B90" s="5">
        <v>0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61">
        <v>0</v>
      </c>
      <c r="X90" s="61"/>
      <c r="Y90" s="61">
        <v>0</v>
      </c>
      <c r="Z90" s="5"/>
      <c r="AA90" s="5">
        <v>0</v>
      </c>
      <c r="AB90" s="5">
        <v>0</v>
      </c>
      <c r="AC90" s="5">
        <v>0</v>
      </c>
    </row>
    <row r="91" spans="1:29" x14ac:dyDescent="0.3">
      <c r="A91" t="str">
        <f>Factors!B22</f>
        <v>PuDiss</v>
      </c>
      <c r="B91" s="5">
        <v>0</v>
      </c>
      <c r="C91" s="5">
        <v>0</v>
      </c>
      <c r="D91" s="5">
        <v>0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0</v>
      </c>
      <c r="U91" s="5">
        <v>0</v>
      </c>
      <c r="V91" s="5">
        <v>0</v>
      </c>
      <c r="W91" s="61">
        <v>0</v>
      </c>
      <c r="X91" s="61"/>
      <c r="Y91" s="61">
        <v>0</v>
      </c>
      <c r="Z91" s="5"/>
      <c r="AA91" s="5">
        <v>0</v>
      </c>
      <c r="AB91" s="5">
        <v>0</v>
      </c>
      <c r="AC91" s="5">
        <v>0</v>
      </c>
    </row>
    <row r="92" spans="1:29" x14ac:dyDescent="0.3">
      <c r="A92" t="str">
        <f>Factors!B23</f>
        <v>PaChem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0</v>
      </c>
      <c r="U92" s="5">
        <v>0</v>
      </c>
      <c r="V92" s="5">
        <v>0</v>
      </c>
      <c r="W92" s="61">
        <v>0</v>
      </c>
      <c r="X92" s="61"/>
      <c r="Y92" s="61">
        <v>0</v>
      </c>
      <c r="Z92" s="5"/>
      <c r="AA92" s="5">
        <v>0</v>
      </c>
      <c r="AB92" s="5">
        <v>0</v>
      </c>
      <c r="AC92" s="5">
        <v>0</v>
      </c>
    </row>
    <row r="93" spans="1:29" x14ac:dyDescent="0.3">
      <c r="A93" t="str">
        <f>Factors!B24</f>
        <v>OtChem</v>
      </c>
      <c r="B93" s="5">
        <v>0</v>
      </c>
      <c r="C93" s="5">
        <v>0</v>
      </c>
      <c r="D93" s="5">
        <v>0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0</v>
      </c>
      <c r="U93" s="5">
        <v>0</v>
      </c>
      <c r="V93" s="5">
        <v>0</v>
      </c>
      <c r="W93" s="61">
        <v>0</v>
      </c>
      <c r="X93" s="61"/>
      <c r="Y93" s="61">
        <v>0</v>
      </c>
      <c r="Z93" s="5"/>
      <c r="AA93" s="5">
        <v>0</v>
      </c>
      <c r="AB93" s="5">
        <v>0</v>
      </c>
      <c r="AC93" s="5">
        <v>0</v>
      </c>
    </row>
    <row r="94" spans="1:29" x14ac:dyDescent="0.3">
      <c r="A94" t="str">
        <f>Factors!B25</f>
        <v>OtMech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0</v>
      </c>
      <c r="U94" s="5">
        <v>0</v>
      </c>
      <c r="V94" s="5">
        <v>0</v>
      </c>
      <c r="W94" s="61">
        <v>0</v>
      </c>
      <c r="X94" s="61"/>
      <c r="Y94" s="61">
        <v>0</v>
      </c>
      <c r="Z94" s="5"/>
      <c r="AA94" s="5">
        <v>0</v>
      </c>
      <c r="AB94" s="5">
        <v>0</v>
      </c>
      <c r="AC94" s="5">
        <v>0</v>
      </c>
    </row>
    <row r="95" spans="1:29" x14ac:dyDescent="0.3">
      <c r="A95" t="str">
        <f>Factors!B26</f>
        <v>NwMech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0</v>
      </c>
      <c r="U95" s="5">
        <v>0</v>
      </c>
      <c r="V95" s="5">
        <v>0</v>
      </c>
      <c r="W95" s="61">
        <v>0</v>
      </c>
      <c r="X95" s="61"/>
      <c r="Y95" s="61">
        <v>0</v>
      </c>
      <c r="Z95" s="5"/>
      <c r="AA95" s="5">
        <v>0</v>
      </c>
      <c r="AB95" s="5">
        <v>0</v>
      </c>
      <c r="AC95" s="5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F27"/>
  <sheetViews>
    <sheetView workbookViewId="0">
      <selection activeCell="A4" sqref="A4"/>
    </sheetView>
  </sheetViews>
  <sheetFormatPr defaultRowHeight="16.5" x14ac:dyDescent="0.3"/>
  <cols>
    <col min="2" max="2" width="29.75" customWidth="1"/>
  </cols>
  <sheetData>
    <row r="1" spans="1:6" x14ac:dyDescent="0.3">
      <c r="A1">
        <v>4.9000000000000004</v>
      </c>
      <c r="B1" t="s">
        <v>2</v>
      </c>
      <c r="C1" t="s">
        <v>44</v>
      </c>
    </row>
    <row r="2" spans="1:6" x14ac:dyDescent="0.3">
      <c r="A2">
        <v>0.46</v>
      </c>
      <c r="B2" t="s">
        <v>3</v>
      </c>
      <c r="C2" t="s">
        <v>44</v>
      </c>
    </row>
    <row r="3" spans="1:6" x14ac:dyDescent="0.3">
      <c r="A3">
        <f>A1*A2</f>
        <v>2.2540000000000004</v>
      </c>
      <c r="B3" t="s">
        <v>15</v>
      </c>
      <c r="C3" t="s">
        <v>44</v>
      </c>
    </row>
    <row r="4" spans="1:6" x14ac:dyDescent="0.3">
      <c r="A4">
        <v>0.5</v>
      </c>
      <c r="B4" t="s">
        <v>71</v>
      </c>
    </row>
    <row r="5" spans="1:6" x14ac:dyDescent="0.3">
      <c r="A5">
        <v>0.95</v>
      </c>
      <c r="B5" t="s">
        <v>52</v>
      </c>
    </row>
    <row r="6" spans="1:6" x14ac:dyDescent="0.3">
      <c r="A6">
        <v>1</v>
      </c>
      <c r="B6" t="s">
        <v>62</v>
      </c>
    </row>
    <row r="7" spans="1:6" x14ac:dyDescent="0.3">
      <c r="A7">
        <v>0.64</v>
      </c>
      <c r="B7" t="s">
        <v>58</v>
      </c>
    </row>
    <row r="8" spans="1:6" x14ac:dyDescent="0.3">
      <c r="A8" s="7">
        <f>[1]SawMill!$Y$19</f>
        <v>0.17797461422516755</v>
      </c>
      <c r="B8" t="s">
        <v>32</v>
      </c>
    </row>
    <row r="9" spans="1:6" x14ac:dyDescent="0.3">
      <c r="A9" s="7">
        <f>[1]SawMill!$Y$18</f>
        <v>0.25456160291260915</v>
      </c>
      <c r="B9" t="s">
        <v>33</v>
      </c>
    </row>
    <row r="10" spans="1:6" x14ac:dyDescent="0.3">
      <c r="A10" s="7">
        <f>[1]SawMill!$Y$20</f>
        <v>0.48049868223590353</v>
      </c>
      <c r="B10" t="s">
        <v>34</v>
      </c>
    </row>
    <row r="11" spans="1:6" x14ac:dyDescent="0.3">
      <c r="A11">
        <v>0.21</v>
      </c>
      <c r="B11" t="s">
        <v>56</v>
      </c>
      <c r="E11" s="7"/>
      <c r="F11" s="7"/>
    </row>
    <row r="12" spans="1:6" x14ac:dyDescent="0.3">
      <c r="A12">
        <v>0.21</v>
      </c>
      <c r="B12" t="s">
        <v>57</v>
      </c>
      <c r="E12" s="7"/>
    </row>
    <row r="13" spans="1:6" x14ac:dyDescent="0.3">
      <c r="A13">
        <v>0.42</v>
      </c>
      <c r="B13" t="s">
        <v>16</v>
      </c>
      <c r="E13" s="7"/>
    </row>
    <row r="14" spans="1:6" x14ac:dyDescent="0.3">
      <c r="A14">
        <v>0.43</v>
      </c>
      <c r="B14" t="s">
        <v>17</v>
      </c>
      <c r="E14" s="7"/>
    </row>
    <row r="15" spans="1:6" x14ac:dyDescent="0.3">
      <c r="A15">
        <v>1.1000000000000001</v>
      </c>
      <c r="B15" t="s">
        <v>39</v>
      </c>
    </row>
    <row r="16" spans="1:6" x14ac:dyDescent="0.3">
      <c r="A16">
        <v>1.3</v>
      </c>
      <c r="B16" t="s">
        <v>40</v>
      </c>
    </row>
    <row r="17" spans="1:3" x14ac:dyDescent="0.3">
      <c r="A17">
        <v>1.3</v>
      </c>
      <c r="B17" t="s">
        <v>41</v>
      </c>
    </row>
    <row r="18" spans="1:3" x14ac:dyDescent="0.3">
      <c r="A18">
        <v>1.1000000000000001</v>
      </c>
      <c r="B18" t="s">
        <v>42</v>
      </c>
    </row>
    <row r="19" spans="1:3" x14ac:dyDescent="0.3">
      <c r="A19">
        <v>1.127</v>
      </c>
      <c r="B19" t="s">
        <v>45</v>
      </c>
      <c r="C19" t="s">
        <v>54</v>
      </c>
    </row>
    <row r="20" spans="1:3" x14ac:dyDescent="0.3">
      <c r="A20" s="14">
        <v>-2.4500000000000002</v>
      </c>
      <c r="B20" t="s">
        <v>49</v>
      </c>
      <c r="C20" t="s">
        <v>54</v>
      </c>
    </row>
    <row r="21" spans="1:3" x14ac:dyDescent="0.3">
      <c r="A21">
        <v>-0.46699999999999997</v>
      </c>
      <c r="B21" t="s">
        <v>46</v>
      </c>
      <c r="C21" t="s">
        <v>54</v>
      </c>
    </row>
    <row r="22" spans="1:3" x14ac:dyDescent="0.3">
      <c r="A22">
        <v>-0.90700000000000003</v>
      </c>
      <c r="B22" t="s">
        <v>47</v>
      </c>
      <c r="C22" t="s">
        <v>54</v>
      </c>
    </row>
    <row r="23" spans="1:3" x14ac:dyDescent="0.3">
      <c r="A23">
        <v>-0.44000000000000006</v>
      </c>
      <c r="B23" t="s">
        <v>48</v>
      </c>
      <c r="C23" t="s">
        <v>54</v>
      </c>
    </row>
    <row r="24" spans="1:3" x14ac:dyDescent="0.3">
      <c r="A24">
        <v>-2.1000000000000001E-2</v>
      </c>
      <c r="B24" t="s">
        <v>55</v>
      </c>
      <c r="C24" t="s">
        <v>54</v>
      </c>
    </row>
    <row r="25" spans="1:3" x14ac:dyDescent="0.3">
      <c r="A25">
        <f>12/44</f>
        <v>0.27272727272727271</v>
      </c>
      <c r="B25" t="s">
        <v>72</v>
      </c>
    </row>
    <row r="26" spans="1:3" x14ac:dyDescent="0.3">
      <c r="A26">
        <v>0.67</v>
      </c>
      <c r="B26" t="s">
        <v>214</v>
      </c>
    </row>
    <row r="27" spans="1:3" x14ac:dyDescent="0.3">
      <c r="A27">
        <v>-0.16405841400000001</v>
      </c>
      <c r="B27" s="59" t="s">
        <v>215</v>
      </c>
      <c r="C27" s="59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BA96E8-9214-4896-81B1-08DFB2907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Factors</vt:lpstr>
      <vt:lpstr>Processes</vt:lpstr>
      <vt:lpstr>IO</vt:lpstr>
      <vt:lpstr>Trp</vt:lpstr>
      <vt:lpstr>FAO</vt:lpstr>
      <vt:lpstr>IIASA</vt:lpstr>
      <vt:lpstr>ConvFact</vt:lpstr>
      <vt:lpstr>IO!Print_Area</vt:lpstr>
    </vt:vector>
  </TitlesOfParts>
  <Company>SLU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Klas Lucander</cp:lastModifiedBy>
  <dcterms:created xsi:type="dcterms:W3CDTF">2018-11-24T18:29:51Z</dcterms:created>
  <dcterms:modified xsi:type="dcterms:W3CDTF">2025-04-30T09:53:23Z</dcterms:modified>
</cp:coreProperties>
</file>