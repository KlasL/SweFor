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lluab\Documents\SweFor-donovia\SweFor5\Data\"/>
    </mc:Choice>
  </mc:AlternateContent>
  <xr:revisionPtr revIDLastSave="0" documentId="13_ncr:1_{CE3C7123-EAF1-4D9B-8786-BB858A01B669}" xr6:coauthVersionLast="47" xr6:coauthVersionMax="47" xr10:uidLastSave="{00000000-0000-0000-0000-000000000000}"/>
  <bookViews>
    <workbookView xWindow="-120" yWindow="-120" windowWidth="19320" windowHeight="9930" xr2:uid="{00000000-000D-0000-FFFF-FFFF00000000}"/>
  </bookViews>
  <sheets>
    <sheet name="HeatingPlants" sheetId="1" r:id="rId1"/>
    <sheet name="SawMills" sheetId="2" r:id="rId2"/>
    <sheet name="PulpPaper" sheetId="5" r:id="rId3"/>
    <sheet name="Summary" sheetId="6" r:id="rId4"/>
  </sheets>
  <externalReferences>
    <externalReference r:id="rId5"/>
    <externalReference r:id="rId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0" i="1" l="1"/>
  <c r="O90" i="1"/>
  <c r="P90" i="1" s="1"/>
  <c r="R90" i="1" s="1"/>
  <c r="L82" i="2" l="1"/>
  <c r="H82" i="2"/>
  <c r="J82" i="2" s="1"/>
  <c r="C7" i="6"/>
  <c r="B7" i="6"/>
  <c r="Q154" i="2"/>
  <c r="Q153" i="2"/>
  <c r="R153" i="2" s="1"/>
  <c r="Q152" i="2"/>
  <c r="Q151" i="2"/>
  <c r="Q150" i="2"/>
  <c r="Q149" i="2"/>
  <c r="R149" i="2" s="1"/>
  <c r="Q148" i="2"/>
  <c r="Q147" i="2"/>
  <c r="Q146" i="2"/>
  <c r="Q145" i="2"/>
  <c r="R145" i="2" s="1"/>
  <c r="Q144" i="2"/>
  <c r="Q143" i="2"/>
  <c r="Q142" i="2"/>
  <c r="Q141" i="2"/>
  <c r="R141" i="2" s="1"/>
  <c r="Q140" i="2"/>
  <c r="Q139" i="2"/>
  <c r="Q138" i="2"/>
  <c r="Q137" i="2"/>
  <c r="R137" i="2" s="1"/>
  <c r="Q136" i="2"/>
  <c r="Q135" i="2"/>
  <c r="Q134" i="2"/>
  <c r="Q133" i="2"/>
  <c r="R133" i="2" s="1"/>
  <c r="Q132" i="2"/>
  <c r="Q131" i="2"/>
  <c r="Q130" i="2"/>
  <c r="Q129" i="2"/>
  <c r="R129" i="2" s="1"/>
  <c r="Q128" i="2"/>
  <c r="Q127" i="2"/>
  <c r="Q126" i="2"/>
  <c r="Q125" i="2"/>
  <c r="R125" i="2" s="1"/>
  <c r="Q124" i="2"/>
  <c r="Q123" i="2"/>
  <c r="Q122" i="2"/>
  <c r="Q121" i="2"/>
  <c r="R121" i="2" s="1"/>
  <c r="Q120" i="2"/>
  <c r="Q119" i="2"/>
  <c r="Q118" i="2"/>
  <c r="Q117" i="2"/>
  <c r="R117" i="2" s="1"/>
  <c r="Q116" i="2"/>
  <c r="Q115" i="2"/>
  <c r="Q114" i="2"/>
  <c r="Q113" i="2"/>
  <c r="R113" i="2" s="1"/>
  <c r="Q112" i="2"/>
  <c r="Q111" i="2"/>
  <c r="Q110" i="2"/>
  <c r="Q109" i="2"/>
  <c r="R109" i="2" s="1"/>
  <c r="Q108" i="2"/>
  <c r="Q107" i="2"/>
  <c r="Q106" i="2"/>
  <c r="Q105" i="2"/>
  <c r="R105" i="2" s="1"/>
  <c r="Q104" i="2"/>
  <c r="Q103" i="2"/>
  <c r="Q102" i="2"/>
  <c r="Q101" i="2"/>
  <c r="R101" i="2" s="1"/>
  <c r="Q100" i="2"/>
  <c r="Q99" i="2"/>
  <c r="Q98" i="2"/>
  <c r="Q97" i="2"/>
  <c r="R97" i="2" s="1"/>
  <c r="Q96" i="2"/>
  <c r="Q95" i="2"/>
  <c r="Q94" i="2"/>
  <c r="Q93" i="2"/>
  <c r="R93" i="2" s="1"/>
  <c r="Q92" i="2"/>
  <c r="Q91" i="2"/>
  <c r="Q90" i="2"/>
  <c r="Q89" i="2"/>
  <c r="R89" i="2" s="1"/>
  <c r="Q88" i="2"/>
  <c r="Q87" i="2"/>
  <c r="Q86" i="2"/>
  <c r="Q85" i="2"/>
  <c r="R85" i="2" s="1"/>
  <c r="Q84" i="2"/>
  <c r="Q83" i="2"/>
  <c r="Q81" i="2"/>
  <c r="R81" i="2" s="1"/>
  <c r="Q80" i="2"/>
  <c r="Q79" i="2"/>
  <c r="Q78" i="2"/>
  <c r="Q77" i="2"/>
  <c r="R77" i="2" s="1"/>
  <c r="Q76" i="2"/>
  <c r="Q75" i="2"/>
  <c r="Q74" i="2"/>
  <c r="Q73" i="2"/>
  <c r="R73" i="2" s="1"/>
  <c r="Q72" i="2"/>
  <c r="Q71" i="2"/>
  <c r="Q70" i="2"/>
  <c r="Q69" i="2"/>
  <c r="S69" i="2" s="1"/>
  <c r="Q68" i="2"/>
  <c r="Q67" i="2"/>
  <c r="R67" i="2" s="1"/>
  <c r="Q66" i="2"/>
  <c r="Q64" i="2"/>
  <c r="Q61" i="2"/>
  <c r="Q60" i="2"/>
  <c r="R60" i="2" s="1"/>
  <c r="Q59" i="2"/>
  <c r="Q58" i="2"/>
  <c r="S58" i="2" s="1"/>
  <c r="Q56" i="2"/>
  <c r="Q54" i="2"/>
  <c r="R54" i="2" s="1"/>
  <c r="Q52" i="2"/>
  <c r="Q50" i="2"/>
  <c r="S50" i="2" s="1"/>
  <c r="Q49" i="2"/>
  <c r="Q47" i="2"/>
  <c r="R47" i="2" s="1"/>
  <c r="Q46" i="2"/>
  <c r="Q45" i="2"/>
  <c r="S45" i="2" s="1"/>
  <c r="Q44" i="2"/>
  <c r="Q43" i="2"/>
  <c r="R43" i="2" s="1"/>
  <c r="Q42" i="2"/>
  <c r="Q41" i="2"/>
  <c r="S41" i="2" s="1"/>
  <c r="Q40" i="2"/>
  <c r="Q38" i="2"/>
  <c r="R38" i="2" s="1"/>
  <c r="Q37" i="2"/>
  <c r="Q36" i="2"/>
  <c r="S36" i="2" s="1"/>
  <c r="Q35" i="2"/>
  <c r="Q34" i="2"/>
  <c r="R34" i="2" s="1"/>
  <c r="Q33" i="2"/>
  <c r="Q32" i="2"/>
  <c r="S32" i="2" s="1"/>
  <c r="Q31" i="2"/>
  <c r="Q30" i="2"/>
  <c r="R30" i="2" s="1"/>
  <c r="Q3" i="2"/>
  <c r="Q4" i="2"/>
  <c r="R4" i="2" s="1"/>
  <c r="Q5" i="2"/>
  <c r="Q6" i="2"/>
  <c r="R6" i="2" s="1"/>
  <c r="Q7" i="2"/>
  <c r="Q8" i="2"/>
  <c r="R8" i="2" s="1"/>
  <c r="Q9" i="2"/>
  <c r="Q10" i="2"/>
  <c r="R10" i="2" s="1"/>
  <c r="Q11" i="2"/>
  <c r="Q12" i="2"/>
  <c r="R12" i="2" s="1"/>
  <c r="Q13" i="2"/>
  <c r="Q14" i="2"/>
  <c r="R14" i="2" s="1"/>
  <c r="Q15" i="2"/>
  <c r="Q16" i="2"/>
  <c r="R16" i="2" s="1"/>
  <c r="Q17" i="2"/>
  <c r="Q18" i="2"/>
  <c r="R18" i="2" s="1"/>
  <c r="Q19" i="2"/>
  <c r="Q20" i="2"/>
  <c r="R20" i="2" s="1"/>
  <c r="Q21" i="2"/>
  <c r="Q22" i="2"/>
  <c r="R22" i="2" s="1"/>
  <c r="Q23" i="2"/>
  <c r="Q24" i="2"/>
  <c r="R24" i="2" s="1"/>
  <c r="Q25" i="2"/>
  <c r="Q26" i="2"/>
  <c r="R26" i="2" s="1"/>
  <c r="Q27" i="2"/>
  <c r="Q28" i="2"/>
  <c r="Q2" i="2"/>
  <c r="R2" i="2" s="1"/>
  <c r="S154" i="2"/>
  <c r="R152" i="2"/>
  <c r="S152" i="2"/>
  <c r="R151" i="2"/>
  <c r="R150" i="2"/>
  <c r="S150" i="2"/>
  <c r="R148" i="2"/>
  <c r="S148" i="2"/>
  <c r="R147" i="2"/>
  <c r="R146" i="2"/>
  <c r="S146" i="2"/>
  <c r="R144" i="2"/>
  <c r="S144" i="2"/>
  <c r="R143" i="2"/>
  <c r="R142" i="2"/>
  <c r="S142" i="2"/>
  <c r="R140" i="2"/>
  <c r="S140" i="2"/>
  <c r="R139" i="2"/>
  <c r="R138" i="2"/>
  <c r="S138" i="2"/>
  <c r="R136" i="2"/>
  <c r="S136" i="2"/>
  <c r="R135" i="2"/>
  <c r="R134" i="2"/>
  <c r="S134" i="2"/>
  <c r="R132" i="2"/>
  <c r="S132" i="2"/>
  <c r="R131" i="2"/>
  <c r="R130" i="2"/>
  <c r="S130" i="2"/>
  <c r="R128" i="2"/>
  <c r="S128" i="2"/>
  <c r="R127" i="2"/>
  <c r="R126" i="2"/>
  <c r="S126" i="2"/>
  <c r="R124" i="2"/>
  <c r="S124" i="2"/>
  <c r="R123" i="2"/>
  <c r="R122" i="2"/>
  <c r="S122" i="2"/>
  <c r="R120" i="2"/>
  <c r="S120" i="2"/>
  <c r="R119" i="2"/>
  <c r="R118" i="2"/>
  <c r="S118" i="2"/>
  <c r="R116" i="2"/>
  <c r="S116" i="2"/>
  <c r="R115" i="2"/>
  <c r="R114" i="2"/>
  <c r="S114" i="2"/>
  <c r="R112" i="2"/>
  <c r="S112" i="2"/>
  <c r="R111" i="2"/>
  <c r="R110" i="2"/>
  <c r="S110" i="2"/>
  <c r="R108" i="2"/>
  <c r="S108" i="2"/>
  <c r="R107" i="2"/>
  <c r="R106" i="2"/>
  <c r="S106" i="2"/>
  <c r="R104" i="2"/>
  <c r="S104" i="2"/>
  <c r="R103" i="2"/>
  <c r="R102" i="2"/>
  <c r="S102" i="2"/>
  <c r="R100" i="2"/>
  <c r="S100" i="2"/>
  <c r="R99" i="2"/>
  <c r="R98" i="2"/>
  <c r="S98" i="2"/>
  <c r="R96" i="2"/>
  <c r="S96" i="2"/>
  <c r="R95" i="2"/>
  <c r="R94" i="2"/>
  <c r="S94" i="2"/>
  <c r="R92" i="2"/>
  <c r="S92" i="2"/>
  <c r="R91" i="2"/>
  <c r="R90" i="2"/>
  <c r="S90" i="2"/>
  <c r="R88" i="2"/>
  <c r="S88" i="2"/>
  <c r="R87" i="2"/>
  <c r="R86" i="2"/>
  <c r="S86" i="2"/>
  <c r="R84" i="2"/>
  <c r="S84" i="2"/>
  <c r="R83" i="2"/>
  <c r="R80" i="2"/>
  <c r="S80" i="2"/>
  <c r="R79" i="2"/>
  <c r="R78" i="2"/>
  <c r="S78" i="2"/>
  <c r="R76" i="2"/>
  <c r="S76" i="2"/>
  <c r="R75" i="2"/>
  <c r="R74" i="2"/>
  <c r="S74" i="2"/>
  <c r="R72" i="2"/>
  <c r="S72" i="2"/>
  <c r="R71" i="2"/>
  <c r="S70" i="2"/>
  <c r="R69" i="2"/>
  <c r="S68" i="2"/>
  <c r="S67" i="2"/>
  <c r="S66" i="2"/>
  <c r="R62" i="2"/>
  <c r="Q62" i="2"/>
  <c r="S62" i="2" s="1"/>
  <c r="S61" i="2"/>
  <c r="S60" i="2"/>
  <c r="S59" i="2"/>
  <c r="R58" i="2"/>
  <c r="S56" i="2"/>
  <c r="S54" i="2"/>
  <c r="S52" i="2"/>
  <c r="R50" i="2"/>
  <c r="R49" i="2"/>
  <c r="S47" i="2"/>
  <c r="R46" i="2"/>
  <c r="R45" i="2"/>
  <c r="R44" i="2"/>
  <c r="S43" i="2"/>
  <c r="S42" i="2"/>
  <c r="R41" i="2"/>
  <c r="S40" i="2"/>
  <c r="S38" i="2"/>
  <c r="S37" i="2"/>
  <c r="R36" i="2"/>
  <c r="R35" i="2"/>
  <c r="S34" i="2"/>
  <c r="R33" i="2"/>
  <c r="R32" i="2"/>
  <c r="S31" i="2"/>
  <c r="S30" i="2"/>
  <c r="R3" i="2"/>
  <c r="S3" i="2"/>
  <c r="S4" i="2"/>
  <c r="R5" i="2"/>
  <c r="S5" i="2"/>
  <c r="R7" i="2"/>
  <c r="S7" i="2"/>
  <c r="S8" i="2"/>
  <c r="R9" i="2"/>
  <c r="S9" i="2"/>
  <c r="S10" i="2"/>
  <c r="R11" i="2"/>
  <c r="S11" i="2"/>
  <c r="S12" i="2"/>
  <c r="R13" i="2"/>
  <c r="S13" i="2"/>
  <c r="S14" i="2"/>
  <c r="R15" i="2"/>
  <c r="S15" i="2"/>
  <c r="S16" i="2"/>
  <c r="R17" i="2"/>
  <c r="S17" i="2"/>
  <c r="S18" i="2"/>
  <c r="R19" i="2"/>
  <c r="S19" i="2"/>
  <c r="S20" i="2"/>
  <c r="R21" i="2"/>
  <c r="S21" i="2"/>
  <c r="S22" i="2"/>
  <c r="R23" i="2"/>
  <c r="S23" i="2"/>
  <c r="S24" i="2"/>
  <c r="R25" i="2"/>
  <c r="S25" i="2"/>
  <c r="R27" i="2"/>
  <c r="S27" i="2"/>
  <c r="R28" i="2"/>
  <c r="S2" i="2"/>
  <c r="K82" i="2" l="1"/>
  <c r="N82" i="2" s="1"/>
  <c r="O82" i="2" s="1"/>
  <c r="S6" i="2"/>
  <c r="S33" i="2"/>
  <c r="S35" i="2"/>
  <c r="S44" i="2"/>
  <c r="S46" i="2"/>
  <c r="S49" i="2"/>
  <c r="R31" i="2"/>
  <c r="R37" i="2"/>
  <c r="R40" i="2"/>
  <c r="R42" i="2"/>
  <c r="R52" i="2"/>
  <c r="R56" i="2"/>
  <c r="R59" i="2"/>
  <c r="R61" i="2"/>
  <c r="R66" i="2"/>
  <c r="R68" i="2"/>
  <c r="R70" i="2"/>
  <c r="S71" i="2"/>
  <c r="S73" i="2"/>
  <c r="S75" i="2"/>
  <c r="S77" i="2"/>
  <c r="S79" i="2"/>
  <c r="S81" i="2"/>
  <c r="S83" i="2"/>
  <c r="S85" i="2"/>
  <c r="S87" i="2"/>
  <c r="S89" i="2"/>
  <c r="S91" i="2"/>
  <c r="S93" i="2"/>
  <c r="S95" i="2"/>
  <c r="S97" i="2"/>
  <c r="S99" i="2"/>
  <c r="S101" i="2"/>
  <c r="S103" i="2"/>
  <c r="S105" i="2"/>
  <c r="S107" i="2"/>
  <c r="S109" i="2"/>
  <c r="S111" i="2"/>
  <c r="S113" i="2"/>
  <c r="S115" i="2"/>
  <c r="S117" i="2"/>
  <c r="S119" i="2"/>
  <c r="S121" i="2"/>
  <c r="S123" i="2"/>
  <c r="S125" i="2"/>
  <c r="S127" i="2"/>
  <c r="S129" i="2"/>
  <c r="S131" i="2"/>
  <c r="S133" i="2"/>
  <c r="S135" i="2"/>
  <c r="S137" i="2"/>
  <c r="S139" i="2"/>
  <c r="S141" i="2"/>
  <c r="S143" i="2"/>
  <c r="S145" i="2"/>
  <c r="S147" i="2"/>
  <c r="S149" i="2"/>
  <c r="S151" i="2"/>
  <c r="S153" i="2"/>
  <c r="R154" i="2"/>
  <c r="S26" i="2"/>
  <c r="S28" i="2"/>
  <c r="S64" i="2"/>
  <c r="Q82" i="2" l="1"/>
  <c r="S82" i="2"/>
  <c r="R82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6" i="6" l="1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J132" i="2" l="1"/>
  <c r="J135" i="2"/>
  <c r="K134" i="2"/>
  <c r="N134" i="2" s="1"/>
  <c r="O134" i="2" s="1"/>
  <c r="K133" i="2"/>
  <c r="N133" i="2" s="1"/>
  <c r="O133" i="2" s="1"/>
  <c r="K131" i="2"/>
  <c r="N131" i="2" s="1"/>
  <c r="O131" i="2" s="1"/>
  <c r="J130" i="2"/>
  <c r="K129" i="2"/>
  <c r="N129" i="2" s="1"/>
  <c r="O129" i="2" s="1"/>
  <c r="J128" i="2"/>
  <c r="K127" i="2"/>
  <c r="N127" i="2" s="1"/>
  <c r="O127" i="2" s="1"/>
  <c r="J126" i="2"/>
  <c r="K125" i="2"/>
  <c r="N125" i="2" s="1"/>
  <c r="O125" i="2" s="1"/>
  <c r="J124" i="2"/>
  <c r="K123" i="2"/>
  <c r="N123" i="2" s="1"/>
  <c r="O123" i="2" s="1"/>
  <c r="K122" i="2"/>
  <c r="N122" i="2" s="1"/>
  <c r="O122" i="2" s="1"/>
  <c r="K121" i="2"/>
  <c r="N121" i="2" s="1"/>
  <c r="O121" i="2" s="1"/>
  <c r="J120" i="2"/>
  <c r="K119" i="2"/>
  <c r="N119" i="2" s="1"/>
  <c r="O119" i="2" s="1"/>
  <c r="K118" i="2"/>
  <c r="N118" i="2" s="1"/>
  <c r="O118" i="2" s="1"/>
  <c r="K117" i="2"/>
  <c r="N117" i="2" s="1"/>
  <c r="O117" i="2" s="1"/>
  <c r="J116" i="2"/>
  <c r="K115" i="2"/>
  <c r="N115" i="2" s="1"/>
  <c r="O115" i="2" s="1"/>
  <c r="J114" i="2"/>
  <c r="K113" i="2"/>
  <c r="N113" i="2" s="1"/>
  <c r="O113" i="2" s="1"/>
  <c r="J112" i="2"/>
  <c r="K111" i="2"/>
  <c r="N111" i="2" s="1"/>
  <c r="O111" i="2" s="1"/>
  <c r="K110" i="2"/>
  <c r="N110" i="2" s="1"/>
  <c r="O110" i="2" s="1"/>
  <c r="K109" i="2"/>
  <c r="N109" i="2" s="1"/>
  <c r="O109" i="2" s="1"/>
  <c r="J108" i="2"/>
  <c r="K107" i="2"/>
  <c r="N107" i="2" s="1"/>
  <c r="O107" i="2" s="1"/>
  <c r="K106" i="2"/>
  <c r="N106" i="2" s="1"/>
  <c r="O106" i="2" s="1"/>
  <c r="K105" i="2"/>
  <c r="N105" i="2" s="1"/>
  <c r="O105" i="2" s="1"/>
  <c r="J104" i="2"/>
  <c r="J103" i="2"/>
  <c r="K102" i="2"/>
  <c r="N102" i="2" s="1"/>
  <c r="O102" i="2" s="1"/>
  <c r="K101" i="2"/>
  <c r="N101" i="2" s="1"/>
  <c r="O101" i="2" s="1"/>
  <c r="J100" i="2"/>
  <c r="K99" i="2"/>
  <c r="N99" i="2" s="1"/>
  <c r="O99" i="2" s="1"/>
  <c r="K98" i="2"/>
  <c r="N98" i="2" s="1"/>
  <c r="O98" i="2" s="1"/>
  <c r="K97" i="2"/>
  <c r="N97" i="2" s="1"/>
  <c r="O97" i="2" s="1"/>
  <c r="J96" i="2"/>
  <c r="K95" i="2"/>
  <c r="N95" i="2" s="1"/>
  <c r="O95" i="2" s="1"/>
  <c r="K94" i="2"/>
  <c r="N94" i="2" s="1"/>
  <c r="O94" i="2" s="1"/>
  <c r="K93" i="2"/>
  <c r="N93" i="2" s="1"/>
  <c r="O93" i="2" s="1"/>
  <c r="J92" i="2"/>
  <c r="K91" i="2"/>
  <c r="N91" i="2" s="1"/>
  <c r="O91" i="2" s="1"/>
  <c r="K90" i="2"/>
  <c r="N90" i="2" s="1"/>
  <c r="O90" i="2" s="1"/>
  <c r="K89" i="2"/>
  <c r="N89" i="2" s="1"/>
  <c r="O89" i="2" s="1"/>
  <c r="J88" i="2"/>
  <c r="J87" i="2"/>
  <c r="K86" i="2"/>
  <c r="N86" i="2" s="1"/>
  <c r="O86" i="2" s="1"/>
  <c r="K85" i="2"/>
  <c r="N85" i="2" s="1"/>
  <c r="O85" i="2" s="1"/>
  <c r="J84" i="2"/>
  <c r="K83" i="2"/>
  <c r="N83" i="2" s="1"/>
  <c r="O83" i="2" s="1"/>
  <c r="K81" i="2"/>
  <c r="N81" i="2" s="1"/>
  <c r="O81" i="2" s="1"/>
  <c r="J80" i="2"/>
  <c r="K79" i="2"/>
  <c r="N79" i="2" s="1"/>
  <c r="O79" i="2" s="1"/>
  <c r="K78" i="2"/>
  <c r="N78" i="2" s="1"/>
  <c r="O78" i="2" s="1"/>
  <c r="K77" i="2"/>
  <c r="N77" i="2" s="1"/>
  <c r="O77" i="2" s="1"/>
  <c r="J76" i="2"/>
  <c r="K62" i="2"/>
  <c r="N62" i="2" s="1"/>
  <c r="O62" i="2" s="1"/>
  <c r="K59" i="2"/>
  <c r="N59" i="2" s="1"/>
  <c r="O59" i="2" s="1"/>
  <c r="K57" i="2"/>
  <c r="N57" i="2" s="1"/>
  <c r="J56" i="2"/>
  <c r="J55" i="2"/>
  <c r="K54" i="2"/>
  <c r="N54" i="2" s="1"/>
  <c r="O54" i="2" s="1"/>
  <c r="K44" i="2"/>
  <c r="N44" i="2" s="1"/>
  <c r="O44" i="2" s="1"/>
  <c r="J42" i="2"/>
  <c r="K40" i="2"/>
  <c r="N40" i="2" s="1"/>
  <c r="O40" i="2" s="1"/>
  <c r="K39" i="2"/>
  <c r="N39" i="2" s="1"/>
  <c r="K36" i="2"/>
  <c r="N36" i="2" s="1"/>
  <c r="O36" i="2" s="1"/>
  <c r="J35" i="2"/>
  <c r="K33" i="2"/>
  <c r="N33" i="2" s="1"/>
  <c r="O33" i="2" s="1"/>
  <c r="K23" i="2"/>
  <c r="N23" i="2" s="1"/>
  <c r="O23" i="2" s="1"/>
  <c r="K6" i="2"/>
  <c r="N6" i="2" s="1"/>
  <c r="O6" i="2" s="1"/>
  <c r="J150" i="2"/>
  <c r="J148" i="2"/>
  <c r="K147" i="2"/>
  <c r="N147" i="2" s="1"/>
  <c r="O147" i="2" s="1"/>
  <c r="J140" i="2"/>
  <c r="J61" i="2"/>
  <c r="K63" i="2"/>
  <c r="N63" i="2" s="1"/>
  <c r="K60" i="2"/>
  <c r="N60" i="2" s="1"/>
  <c r="O60" i="2" s="1"/>
  <c r="K52" i="2"/>
  <c r="N52" i="2" s="1"/>
  <c r="O52" i="2" s="1"/>
  <c r="J41" i="2"/>
  <c r="K32" i="2"/>
  <c r="N32" i="2" s="1"/>
  <c r="O32" i="2" s="1"/>
  <c r="K29" i="2"/>
  <c r="N29" i="2" s="1"/>
  <c r="K25" i="2"/>
  <c r="N25" i="2" s="1"/>
  <c r="O25" i="2" s="1"/>
  <c r="J14" i="2"/>
  <c r="K13" i="2"/>
  <c r="N13" i="2" s="1"/>
  <c r="O13" i="2" s="1"/>
  <c r="K11" i="2"/>
  <c r="N11" i="2" s="1"/>
  <c r="O11" i="2" s="1"/>
  <c r="K8" i="2"/>
  <c r="N8" i="2" s="1"/>
  <c r="O8" i="2" s="1"/>
  <c r="J149" i="2"/>
  <c r="K136" i="2"/>
  <c r="N136" i="2" s="1"/>
  <c r="O136" i="2" s="1"/>
  <c r="K75" i="2"/>
  <c r="N75" i="2" s="1"/>
  <c r="O75" i="2" s="1"/>
  <c r="J73" i="2"/>
  <c r="J72" i="2"/>
  <c r="K71" i="2"/>
  <c r="N71" i="2" s="1"/>
  <c r="O71" i="2" s="1"/>
  <c r="K70" i="2"/>
  <c r="N70" i="2" s="1"/>
  <c r="O70" i="2" s="1"/>
  <c r="K69" i="2"/>
  <c r="N69" i="2" s="1"/>
  <c r="O69" i="2" s="1"/>
  <c r="K68" i="2"/>
  <c r="N68" i="2" s="1"/>
  <c r="O68" i="2" s="1"/>
  <c r="K67" i="2"/>
  <c r="N67" i="2" s="1"/>
  <c r="O67" i="2" s="1"/>
  <c r="K64" i="2"/>
  <c r="N64" i="2" s="1"/>
  <c r="O64" i="2" s="1"/>
  <c r="K53" i="2"/>
  <c r="N53" i="2" s="1"/>
  <c r="J51" i="2"/>
  <c r="K50" i="2"/>
  <c r="N50" i="2" s="1"/>
  <c r="O50" i="2" s="1"/>
  <c r="K49" i="2"/>
  <c r="N49" i="2" s="1"/>
  <c r="O49" i="2" s="1"/>
  <c r="K48" i="2"/>
  <c r="N48" i="2" s="1"/>
  <c r="J47" i="2"/>
  <c r="J46" i="2"/>
  <c r="K45" i="2"/>
  <c r="N45" i="2" s="1"/>
  <c r="O45" i="2" s="1"/>
  <c r="J43" i="2"/>
  <c r="J38" i="2"/>
  <c r="K37" i="2"/>
  <c r="N37" i="2" s="1"/>
  <c r="O37" i="2" s="1"/>
  <c r="K34" i="2"/>
  <c r="N34" i="2" s="1"/>
  <c r="O34" i="2" s="1"/>
  <c r="K31" i="2"/>
  <c r="N31" i="2" s="1"/>
  <c r="O31" i="2" s="1"/>
  <c r="J30" i="2"/>
  <c r="K28" i="2"/>
  <c r="N28" i="2" s="1"/>
  <c r="O28" i="2" s="1"/>
  <c r="K27" i="2"/>
  <c r="N27" i="2" s="1"/>
  <c r="O27" i="2" s="1"/>
  <c r="K26" i="2"/>
  <c r="N26" i="2" s="1"/>
  <c r="O26" i="2" s="1"/>
  <c r="J24" i="2"/>
  <c r="K22" i="2"/>
  <c r="N22" i="2" s="1"/>
  <c r="O22" i="2" s="1"/>
  <c r="K21" i="2"/>
  <c r="N21" i="2" s="1"/>
  <c r="O21" i="2" s="1"/>
  <c r="K20" i="2"/>
  <c r="N20" i="2" s="1"/>
  <c r="O20" i="2" s="1"/>
  <c r="J19" i="2"/>
  <c r="K18" i="2"/>
  <c r="N18" i="2" s="1"/>
  <c r="O18" i="2" s="1"/>
  <c r="K17" i="2"/>
  <c r="N17" i="2" s="1"/>
  <c r="O17" i="2" s="1"/>
  <c r="J16" i="2"/>
  <c r="J15" i="2"/>
  <c r="K12" i="2"/>
  <c r="N12" i="2" s="1"/>
  <c r="O12" i="2" s="1"/>
  <c r="K9" i="2"/>
  <c r="N9" i="2" s="1"/>
  <c r="O9" i="2" s="1"/>
  <c r="K7" i="2"/>
  <c r="N7" i="2" s="1"/>
  <c r="O7" i="2" s="1"/>
  <c r="K4" i="2"/>
  <c r="N4" i="2" s="1"/>
  <c r="O4" i="2" s="1"/>
  <c r="K3" i="2"/>
  <c r="N3" i="2" s="1"/>
  <c r="O3" i="2" s="1"/>
  <c r="K2" i="2"/>
  <c r="N2" i="2" s="1"/>
  <c r="O2" i="2" s="1"/>
  <c r="K154" i="2"/>
  <c r="N154" i="2" s="1"/>
  <c r="O154" i="2" s="1"/>
  <c r="J153" i="2"/>
  <c r="K152" i="2"/>
  <c r="N152" i="2" s="1"/>
  <c r="O152" i="2" s="1"/>
  <c r="K151" i="2"/>
  <c r="N151" i="2" s="1"/>
  <c r="O151" i="2" s="1"/>
  <c r="K146" i="2"/>
  <c r="N146" i="2" s="1"/>
  <c r="O146" i="2" s="1"/>
  <c r="J145" i="2"/>
  <c r="K144" i="2"/>
  <c r="N144" i="2" s="1"/>
  <c r="O144" i="2" s="1"/>
  <c r="J143" i="2"/>
  <c r="K141" i="2"/>
  <c r="N141" i="2" s="1"/>
  <c r="O141" i="2" s="1"/>
  <c r="J139" i="2"/>
  <c r="J138" i="2"/>
  <c r="J74" i="2"/>
  <c r="K66" i="2"/>
  <c r="N66" i="2" s="1"/>
  <c r="O66" i="2" s="1"/>
  <c r="J65" i="2"/>
  <c r="K58" i="2"/>
  <c r="N58" i="2" s="1"/>
  <c r="O58" i="2" s="1"/>
  <c r="K10" i="2"/>
  <c r="N10" i="2" s="1"/>
  <c r="O10" i="2" s="1"/>
  <c r="K5" i="2"/>
  <c r="N5" i="2" s="1"/>
  <c r="O5" i="2" s="1"/>
  <c r="J142" i="2"/>
  <c r="J137" i="2"/>
  <c r="O29" i="2" l="1"/>
  <c r="Q29" i="2"/>
  <c r="O39" i="2"/>
  <c r="Q39" i="2"/>
  <c r="O48" i="2"/>
  <c r="Q48" i="2"/>
  <c r="O53" i="2"/>
  <c r="Q53" i="2"/>
  <c r="O63" i="2"/>
  <c r="Q63" i="2"/>
  <c r="O57" i="2"/>
  <c r="Q57" i="2"/>
  <c r="K16" i="2"/>
  <c r="N16" i="2" s="1"/>
  <c r="O16" i="2" s="1"/>
  <c r="K73" i="2"/>
  <c r="N73" i="2" s="1"/>
  <c r="O73" i="2" s="1"/>
  <c r="J10" i="2"/>
  <c r="J144" i="2"/>
  <c r="J152" i="2"/>
  <c r="J3" i="2"/>
  <c r="J12" i="2"/>
  <c r="J18" i="2"/>
  <c r="J22" i="2"/>
  <c r="J28" i="2"/>
  <c r="J37" i="2"/>
  <c r="J50" i="2"/>
  <c r="J67" i="2"/>
  <c r="J71" i="2"/>
  <c r="J136" i="2"/>
  <c r="J13" i="2"/>
  <c r="J32" i="2"/>
  <c r="J63" i="2"/>
  <c r="J33" i="2"/>
  <c r="J40" i="2"/>
  <c r="J62" i="2"/>
  <c r="J79" i="2"/>
  <c r="J83" i="2"/>
  <c r="J91" i="2"/>
  <c r="J95" i="2"/>
  <c r="J99" i="2"/>
  <c r="J107" i="2"/>
  <c r="J111" i="2"/>
  <c r="J115" i="2"/>
  <c r="J119" i="2"/>
  <c r="J123" i="2"/>
  <c r="J127" i="2"/>
  <c r="K30" i="2"/>
  <c r="N30" i="2" s="1"/>
  <c r="O30" i="2" s="1"/>
  <c r="K41" i="2"/>
  <c r="N41" i="2" s="1"/>
  <c r="O41" i="2" s="1"/>
  <c r="J4" i="2"/>
  <c r="J68" i="2"/>
  <c r="J133" i="2"/>
  <c r="K143" i="2"/>
  <c r="N143" i="2" s="1"/>
  <c r="O143" i="2" s="1"/>
  <c r="K43" i="2"/>
  <c r="N43" i="2" s="1"/>
  <c r="O43" i="2" s="1"/>
  <c r="K140" i="2"/>
  <c r="N140" i="2" s="1"/>
  <c r="O140" i="2" s="1"/>
  <c r="J66" i="2"/>
  <c r="J141" i="2"/>
  <c r="J146" i="2"/>
  <c r="J154" i="2"/>
  <c r="J7" i="2"/>
  <c r="J20" i="2"/>
  <c r="J26" i="2"/>
  <c r="J31" i="2"/>
  <c r="J48" i="2"/>
  <c r="J53" i="2"/>
  <c r="J69" i="2"/>
  <c r="J8" i="2"/>
  <c r="J25" i="2"/>
  <c r="J52" i="2"/>
  <c r="J6" i="2"/>
  <c r="J36" i="2"/>
  <c r="J44" i="2"/>
  <c r="J57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4" i="2"/>
  <c r="K114" i="2"/>
  <c r="N114" i="2" s="1"/>
  <c r="O114" i="2" s="1"/>
  <c r="J5" i="2"/>
  <c r="J151" i="2"/>
  <c r="J2" i="2"/>
  <c r="J9" i="2"/>
  <c r="J17" i="2"/>
  <c r="J21" i="2"/>
  <c r="J27" i="2"/>
  <c r="J34" i="2"/>
  <c r="J45" i="2"/>
  <c r="J49" i="2"/>
  <c r="J64" i="2"/>
  <c r="J70" i="2"/>
  <c r="J75" i="2"/>
  <c r="J11" i="2"/>
  <c r="J29" i="2"/>
  <c r="J60" i="2"/>
  <c r="J147" i="2"/>
  <c r="J23" i="2"/>
  <c r="J39" i="2"/>
  <c r="J54" i="2"/>
  <c r="J59" i="2"/>
  <c r="J78" i="2"/>
  <c r="J86" i="2"/>
  <c r="J90" i="2"/>
  <c r="J94" i="2"/>
  <c r="J98" i="2"/>
  <c r="J102" i="2"/>
  <c r="J106" i="2"/>
  <c r="J110" i="2"/>
  <c r="J118" i="2"/>
  <c r="J122" i="2"/>
  <c r="J58" i="2"/>
  <c r="J131" i="2"/>
  <c r="K137" i="2"/>
  <c r="N137" i="2" s="1"/>
  <c r="O137" i="2" s="1"/>
  <c r="K138" i="2"/>
  <c r="N138" i="2" s="1"/>
  <c r="O138" i="2" s="1"/>
  <c r="K46" i="2"/>
  <c r="N46" i="2" s="1"/>
  <c r="O46" i="2" s="1"/>
  <c r="K148" i="2"/>
  <c r="N148" i="2" s="1"/>
  <c r="O148" i="2" s="1"/>
  <c r="K87" i="2"/>
  <c r="N87" i="2" s="1"/>
  <c r="O87" i="2" s="1"/>
  <c r="K55" i="2"/>
  <c r="N55" i="2" s="1"/>
  <c r="K103" i="2"/>
  <c r="N103" i="2" s="1"/>
  <c r="O103" i="2" s="1"/>
  <c r="K135" i="2"/>
  <c r="N135" i="2" s="1"/>
  <c r="O135" i="2" s="1"/>
  <c r="K74" i="2"/>
  <c r="N74" i="2" s="1"/>
  <c r="O74" i="2" s="1"/>
  <c r="K126" i="2"/>
  <c r="N126" i="2" s="1"/>
  <c r="O126" i="2" s="1"/>
  <c r="K142" i="2"/>
  <c r="N142" i="2" s="1"/>
  <c r="O142" i="2" s="1"/>
  <c r="K65" i="2"/>
  <c r="N65" i="2" s="1"/>
  <c r="K139" i="2"/>
  <c r="N139" i="2" s="1"/>
  <c r="O139" i="2" s="1"/>
  <c r="K145" i="2"/>
  <c r="N145" i="2" s="1"/>
  <c r="O145" i="2" s="1"/>
  <c r="K153" i="2"/>
  <c r="N153" i="2" s="1"/>
  <c r="O153" i="2" s="1"/>
  <c r="K15" i="2"/>
  <c r="N15" i="2" s="1"/>
  <c r="O15" i="2" s="1"/>
  <c r="K19" i="2"/>
  <c r="N19" i="2" s="1"/>
  <c r="O19" i="2" s="1"/>
  <c r="K24" i="2"/>
  <c r="N24" i="2" s="1"/>
  <c r="O24" i="2" s="1"/>
  <c r="K38" i="2"/>
  <c r="N38" i="2" s="1"/>
  <c r="O38" i="2" s="1"/>
  <c r="K47" i="2"/>
  <c r="N47" i="2" s="1"/>
  <c r="O47" i="2" s="1"/>
  <c r="K51" i="2"/>
  <c r="N51" i="2" s="1"/>
  <c r="K72" i="2"/>
  <c r="N72" i="2" s="1"/>
  <c r="O72" i="2" s="1"/>
  <c r="K149" i="2"/>
  <c r="N149" i="2" s="1"/>
  <c r="O149" i="2" s="1"/>
  <c r="K14" i="2"/>
  <c r="N14" i="2" s="1"/>
  <c r="O14" i="2" s="1"/>
  <c r="K61" i="2"/>
  <c r="N61" i="2" s="1"/>
  <c r="O61" i="2" s="1"/>
  <c r="K150" i="2"/>
  <c r="N150" i="2" s="1"/>
  <c r="O150" i="2" s="1"/>
  <c r="K35" i="2"/>
  <c r="N35" i="2" s="1"/>
  <c r="O35" i="2" s="1"/>
  <c r="K42" i="2"/>
  <c r="N42" i="2" s="1"/>
  <c r="O42" i="2" s="1"/>
  <c r="K56" i="2"/>
  <c r="N56" i="2" s="1"/>
  <c r="O56" i="2" s="1"/>
  <c r="K76" i="2"/>
  <c r="N76" i="2" s="1"/>
  <c r="O76" i="2" s="1"/>
  <c r="K80" i="2"/>
  <c r="N80" i="2" s="1"/>
  <c r="O80" i="2" s="1"/>
  <c r="K84" i="2"/>
  <c r="N84" i="2" s="1"/>
  <c r="O84" i="2" s="1"/>
  <c r="K88" i="2"/>
  <c r="N88" i="2" s="1"/>
  <c r="O88" i="2" s="1"/>
  <c r="K92" i="2"/>
  <c r="N92" i="2" s="1"/>
  <c r="O92" i="2" s="1"/>
  <c r="K96" i="2"/>
  <c r="N96" i="2" s="1"/>
  <c r="O96" i="2" s="1"/>
  <c r="K100" i="2"/>
  <c r="N100" i="2" s="1"/>
  <c r="O100" i="2" s="1"/>
  <c r="K104" i="2"/>
  <c r="N104" i="2" s="1"/>
  <c r="O104" i="2" s="1"/>
  <c r="K108" i="2"/>
  <c r="N108" i="2" s="1"/>
  <c r="O108" i="2" s="1"/>
  <c r="K112" i="2"/>
  <c r="N112" i="2" s="1"/>
  <c r="O112" i="2" s="1"/>
  <c r="K116" i="2"/>
  <c r="N116" i="2" s="1"/>
  <c r="O116" i="2" s="1"/>
  <c r="K120" i="2"/>
  <c r="N120" i="2" s="1"/>
  <c r="O120" i="2" s="1"/>
  <c r="K128" i="2"/>
  <c r="N128" i="2" s="1"/>
  <c r="O128" i="2" s="1"/>
  <c r="K132" i="2"/>
  <c r="N132" i="2" s="1"/>
  <c r="O132" i="2" s="1"/>
  <c r="K124" i="2"/>
  <c r="N124" i="2" s="1"/>
  <c r="O124" i="2" s="1"/>
  <c r="K130" i="2"/>
  <c r="N130" i="2" s="1"/>
  <c r="O130" i="2" s="1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O65" i="2" l="1"/>
  <c r="Q65" i="2"/>
  <c r="O55" i="2"/>
  <c r="Q55" i="2"/>
  <c r="S57" i="2"/>
  <c r="R57" i="2"/>
  <c r="R63" i="2"/>
  <c r="S63" i="2"/>
  <c r="S53" i="2"/>
  <c r="R53" i="2"/>
  <c r="S48" i="2"/>
  <c r="R48" i="2"/>
  <c r="S39" i="2"/>
  <c r="R39" i="2"/>
  <c r="R29" i="2"/>
  <c r="S29" i="2"/>
  <c r="O51" i="2"/>
  <c r="Q51" i="2"/>
  <c r="J167" i="2"/>
  <c r="G166" i="2"/>
  <c r="F3" i="6"/>
  <c r="B4" i="6" s="1"/>
  <c r="F4" i="6"/>
  <c r="B5" i="6" s="1"/>
  <c r="F5" i="6"/>
  <c r="F6" i="6"/>
  <c r="B6" i="6" s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B22" i="6" l="1"/>
  <c r="R51" i="2"/>
  <c r="S51" i="2"/>
  <c r="S55" i="2"/>
  <c r="R55" i="2"/>
  <c r="S65" i="2"/>
  <c r="R65" i="2"/>
  <c r="L2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W360" i="1" l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I360" i="1"/>
  <c r="H360" i="1"/>
  <c r="F360" i="1"/>
  <c r="E360" i="1"/>
  <c r="I359" i="1"/>
  <c r="J359" i="1" s="1"/>
  <c r="H359" i="1"/>
  <c r="F359" i="1"/>
  <c r="E359" i="1"/>
  <c r="I358" i="1"/>
  <c r="J358" i="1" s="1"/>
  <c r="H358" i="1"/>
  <c r="F358" i="1"/>
  <c r="E358" i="1"/>
  <c r="I357" i="1"/>
  <c r="J357" i="1" s="1"/>
  <c r="H357" i="1"/>
  <c r="F357" i="1"/>
  <c r="E357" i="1"/>
  <c r="I356" i="1"/>
  <c r="J356" i="1" s="1"/>
  <c r="H356" i="1"/>
  <c r="F356" i="1"/>
  <c r="E356" i="1"/>
  <c r="I355" i="1"/>
  <c r="J355" i="1" s="1"/>
  <c r="H355" i="1"/>
  <c r="F355" i="1"/>
  <c r="E355" i="1"/>
  <c r="I354" i="1"/>
  <c r="J354" i="1" s="1"/>
  <c r="H354" i="1"/>
  <c r="F354" i="1"/>
  <c r="E354" i="1"/>
  <c r="I353" i="1"/>
  <c r="J353" i="1" s="1"/>
  <c r="H353" i="1"/>
  <c r="F353" i="1"/>
  <c r="E353" i="1"/>
  <c r="I352" i="1"/>
  <c r="H352" i="1"/>
  <c r="F352" i="1"/>
  <c r="E352" i="1"/>
  <c r="I351" i="1"/>
  <c r="J351" i="1" s="1"/>
  <c r="H351" i="1"/>
  <c r="F351" i="1"/>
  <c r="E351" i="1"/>
  <c r="I350" i="1"/>
  <c r="J350" i="1" s="1"/>
  <c r="H350" i="1"/>
  <c r="F350" i="1"/>
  <c r="E350" i="1"/>
  <c r="I349" i="1"/>
  <c r="J349" i="1" s="1"/>
  <c r="H349" i="1"/>
  <c r="F349" i="1"/>
  <c r="E349" i="1"/>
  <c r="I348" i="1"/>
  <c r="J348" i="1" s="1"/>
  <c r="H348" i="1"/>
  <c r="F348" i="1"/>
  <c r="E348" i="1"/>
  <c r="I347" i="1"/>
  <c r="J347" i="1" s="1"/>
  <c r="H347" i="1"/>
  <c r="F347" i="1"/>
  <c r="E347" i="1"/>
  <c r="I346" i="1"/>
  <c r="J346" i="1" s="1"/>
  <c r="H346" i="1"/>
  <c r="F346" i="1"/>
  <c r="E346" i="1"/>
  <c r="I345" i="1"/>
  <c r="H345" i="1"/>
  <c r="F345" i="1"/>
  <c r="E345" i="1"/>
  <c r="I344" i="1"/>
  <c r="J344" i="1" s="1"/>
  <c r="H344" i="1"/>
  <c r="F344" i="1"/>
  <c r="E344" i="1"/>
  <c r="I343" i="1"/>
  <c r="J343" i="1" s="1"/>
  <c r="H343" i="1"/>
  <c r="F343" i="1"/>
  <c r="E343" i="1"/>
  <c r="I342" i="1"/>
  <c r="J342" i="1" s="1"/>
  <c r="H342" i="1"/>
  <c r="F342" i="1"/>
  <c r="E342" i="1"/>
  <c r="I341" i="1"/>
  <c r="J341" i="1" s="1"/>
  <c r="H341" i="1"/>
  <c r="F341" i="1"/>
  <c r="E341" i="1"/>
  <c r="I340" i="1"/>
  <c r="J340" i="1" s="1"/>
  <c r="H340" i="1"/>
  <c r="F340" i="1"/>
  <c r="E340" i="1"/>
  <c r="I339" i="1"/>
  <c r="J339" i="1" s="1"/>
  <c r="H339" i="1"/>
  <c r="F339" i="1"/>
  <c r="E339" i="1"/>
  <c r="I338" i="1"/>
  <c r="H338" i="1"/>
  <c r="F338" i="1"/>
  <c r="E338" i="1"/>
  <c r="I337" i="1"/>
  <c r="J337" i="1" s="1"/>
  <c r="H337" i="1"/>
  <c r="F337" i="1"/>
  <c r="E337" i="1"/>
  <c r="I336" i="1"/>
  <c r="J336" i="1" s="1"/>
  <c r="H336" i="1"/>
  <c r="F336" i="1"/>
  <c r="E336" i="1"/>
  <c r="I335" i="1"/>
  <c r="J335" i="1" s="1"/>
  <c r="H335" i="1"/>
  <c r="F335" i="1"/>
  <c r="E335" i="1"/>
  <c r="I334" i="1"/>
  <c r="J334" i="1" s="1"/>
  <c r="H334" i="1"/>
  <c r="F334" i="1"/>
  <c r="E334" i="1"/>
  <c r="I333" i="1"/>
  <c r="J333" i="1" s="1"/>
  <c r="H333" i="1"/>
  <c r="F333" i="1"/>
  <c r="E333" i="1"/>
  <c r="I332" i="1"/>
  <c r="J332" i="1" s="1"/>
  <c r="H332" i="1"/>
  <c r="F332" i="1"/>
  <c r="E332" i="1"/>
  <c r="I331" i="1"/>
  <c r="J331" i="1" s="1"/>
  <c r="H331" i="1"/>
  <c r="F331" i="1"/>
  <c r="E331" i="1"/>
  <c r="I330" i="1"/>
  <c r="J330" i="1" s="1"/>
  <c r="H330" i="1"/>
  <c r="F330" i="1"/>
  <c r="E330" i="1"/>
  <c r="I329" i="1"/>
  <c r="H329" i="1"/>
  <c r="F329" i="1"/>
  <c r="E329" i="1"/>
  <c r="I328" i="1"/>
  <c r="J328" i="1" s="1"/>
  <c r="H328" i="1"/>
  <c r="F328" i="1"/>
  <c r="E328" i="1"/>
  <c r="I327" i="1"/>
  <c r="J327" i="1" s="1"/>
  <c r="H327" i="1"/>
  <c r="F327" i="1"/>
  <c r="E327" i="1"/>
  <c r="I326" i="1"/>
  <c r="J326" i="1" s="1"/>
  <c r="H326" i="1"/>
  <c r="F326" i="1"/>
  <c r="E326" i="1"/>
  <c r="I325" i="1"/>
  <c r="J325" i="1" s="1"/>
  <c r="H325" i="1"/>
  <c r="F325" i="1"/>
  <c r="E325" i="1"/>
  <c r="I324" i="1"/>
  <c r="J324" i="1" s="1"/>
  <c r="H324" i="1"/>
  <c r="F324" i="1"/>
  <c r="E324" i="1"/>
  <c r="I323" i="1"/>
  <c r="J323" i="1" s="1"/>
  <c r="H323" i="1"/>
  <c r="F323" i="1"/>
  <c r="E323" i="1"/>
  <c r="I322" i="1"/>
  <c r="J322" i="1" s="1"/>
  <c r="H322" i="1"/>
  <c r="F322" i="1"/>
  <c r="E322" i="1"/>
  <c r="I321" i="1"/>
  <c r="J321" i="1" s="1"/>
  <c r="H321" i="1"/>
  <c r="F321" i="1"/>
  <c r="E321" i="1"/>
  <c r="I320" i="1"/>
  <c r="J320" i="1" s="1"/>
  <c r="H320" i="1"/>
  <c r="F320" i="1"/>
  <c r="E320" i="1"/>
  <c r="I319" i="1"/>
  <c r="J319" i="1" s="1"/>
  <c r="H319" i="1"/>
  <c r="F319" i="1"/>
  <c r="E319" i="1"/>
  <c r="I318" i="1"/>
  <c r="J318" i="1" s="1"/>
  <c r="H318" i="1"/>
  <c r="F318" i="1"/>
  <c r="E318" i="1"/>
  <c r="I317" i="1"/>
  <c r="J317" i="1" s="1"/>
  <c r="H317" i="1"/>
  <c r="F317" i="1"/>
  <c r="E317" i="1"/>
  <c r="I316" i="1"/>
  <c r="J316" i="1" s="1"/>
  <c r="H316" i="1"/>
  <c r="F316" i="1"/>
  <c r="E316" i="1"/>
  <c r="I315" i="1"/>
  <c r="J315" i="1" s="1"/>
  <c r="H315" i="1"/>
  <c r="F315" i="1"/>
  <c r="E315" i="1"/>
  <c r="I314" i="1"/>
  <c r="J314" i="1" s="1"/>
  <c r="H314" i="1"/>
  <c r="F314" i="1"/>
  <c r="E314" i="1"/>
  <c r="I313" i="1"/>
  <c r="J313" i="1" s="1"/>
  <c r="H313" i="1"/>
  <c r="F313" i="1"/>
  <c r="E313" i="1"/>
  <c r="I312" i="1"/>
  <c r="H312" i="1"/>
  <c r="F312" i="1"/>
  <c r="E312" i="1"/>
  <c r="I311" i="1"/>
  <c r="J311" i="1" s="1"/>
  <c r="H311" i="1"/>
  <c r="F311" i="1"/>
  <c r="E311" i="1"/>
  <c r="I310" i="1"/>
  <c r="J310" i="1" s="1"/>
  <c r="H310" i="1"/>
  <c r="F310" i="1"/>
  <c r="E310" i="1"/>
  <c r="I309" i="1"/>
  <c r="J309" i="1" s="1"/>
  <c r="H309" i="1"/>
  <c r="F309" i="1"/>
  <c r="E309" i="1"/>
  <c r="I308" i="1"/>
  <c r="J308" i="1" s="1"/>
  <c r="H308" i="1"/>
  <c r="F308" i="1"/>
  <c r="E308" i="1"/>
  <c r="I307" i="1"/>
  <c r="J307" i="1" s="1"/>
  <c r="H307" i="1"/>
  <c r="F307" i="1"/>
  <c r="E307" i="1"/>
  <c r="I306" i="1"/>
  <c r="J306" i="1" s="1"/>
  <c r="H306" i="1"/>
  <c r="F306" i="1"/>
  <c r="E306" i="1"/>
  <c r="I305" i="1"/>
  <c r="J305" i="1" s="1"/>
  <c r="H305" i="1"/>
  <c r="F305" i="1"/>
  <c r="E305" i="1"/>
  <c r="I304" i="1"/>
  <c r="J304" i="1" s="1"/>
  <c r="H304" i="1"/>
  <c r="F304" i="1"/>
  <c r="E304" i="1"/>
  <c r="I303" i="1"/>
  <c r="J303" i="1" s="1"/>
  <c r="H303" i="1"/>
  <c r="F303" i="1"/>
  <c r="E303" i="1"/>
  <c r="I302" i="1"/>
  <c r="J302" i="1" s="1"/>
  <c r="H302" i="1"/>
  <c r="F302" i="1"/>
  <c r="E302" i="1"/>
  <c r="I301" i="1"/>
  <c r="J301" i="1" s="1"/>
  <c r="H301" i="1"/>
  <c r="F301" i="1"/>
  <c r="E301" i="1"/>
  <c r="I300" i="1"/>
  <c r="J300" i="1" s="1"/>
  <c r="H300" i="1"/>
  <c r="F300" i="1"/>
  <c r="E300" i="1"/>
  <c r="I299" i="1"/>
  <c r="J299" i="1" s="1"/>
  <c r="H299" i="1"/>
  <c r="F299" i="1"/>
  <c r="E299" i="1"/>
  <c r="I298" i="1"/>
  <c r="J298" i="1" s="1"/>
  <c r="H298" i="1"/>
  <c r="F298" i="1"/>
  <c r="E298" i="1"/>
  <c r="I297" i="1"/>
  <c r="J297" i="1" s="1"/>
  <c r="H297" i="1"/>
  <c r="F297" i="1"/>
  <c r="E297" i="1"/>
  <c r="I296" i="1"/>
  <c r="J296" i="1" s="1"/>
  <c r="H296" i="1"/>
  <c r="F296" i="1"/>
  <c r="E296" i="1"/>
  <c r="I295" i="1"/>
  <c r="J295" i="1" s="1"/>
  <c r="H295" i="1"/>
  <c r="F295" i="1"/>
  <c r="E295" i="1"/>
  <c r="I294" i="1"/>
  <c r="J294" i="1" s="1"/>
  <c r="H294" i="1"/>
  <c r="F294" i="1"/>
  <c r="E294" i="1"/>
  <c r="I293" i="1"/>
  <c r="J293" i="1" s="1"/>
  <c r="H293" i="1"/>
  <c r="F293" i="1"/>
  <c r="E293" i="1"/>
  <c r="I292" i="1"/>
  <c r="J292" i="1" s="1"/>
  <c r="H292" i="1"/>
  <c r="F292" i="1"/>
  <c r="E292" i="1"/>
  <c r="I291" i="1"/>
  <c r="J291" i="1" s="1"/>
  <c r="H291" i="1"/>
  <c r="F291" i="1"/>
  <c r="E291" i="1"/>
  <c r="I290" i="1"/>
  <c r="H290" i="1"/>
  <c r="F290" i="1"/>
  <c r="E290" i="1"/>
  <c r="I289" i="1"/>
  <c r="J289" i="1" s="1"/>
  <c r="H289" i="1"/>
  <c r="F289" i="1"/>
  <c r="E289" i="1"/>
  <c r="I288" i="1"/>
  <c r="J288" i="1" s="1"/>
  <c r="H288" i="1"/>
  <c r="F288" i="1"/>
  <c r="E288" i="1"/>
  <c r="I287" i="1"/>
  <c r="J287" i="1" s="1"/>
  <c r="H287" i="1"/>
  <c r="F287" i="1"/>
  <c r="E287" i="1"/>
  <c r="I286" i="1"/>
  <c r="J286" i="1" s="1"/>
  <c r="H286" i="1"/>
  <c r="F286" i="1"/>
  <c r="E286" i="1"/>
  <c r="I285" i="1"/>
  <c r="J285" i="1" s="1"/>
  <c r="H285" i="1"/>
  <c r="F285" i="1"/>
  <c r="E285" i="1"/>
  <c r="I284" i="1"/>
  <c r="J284" i="1" s="1"/>
  <c r="H284" i="1"/>
  <c r="F284" i="1"/>
  <c r="E284" i="1"/>
  <c r="I283" i="1"/>
  <c r="J283" i="1" s="1"/>
  <c r="H283" i="1"/>
  <c r="F283" i="1"/>
  <c r="E283" i="1"/>
  <c r="I282" i="1"/>
  <c r="J282" i="1" s="1"/>
  <c r="H282" i="1"/>
  <c r="F282" i="1"/>
  <c r="E282" i="1"/>
  <c r="I281" i="1"/>
  <c r="J281" i="1" s="1"/>
  <c r="H281" i="1"/>
  <c r="F281" i="1"/>
  <c r="E281" i="1"/>
  <c r="I280" i="1"/>
  <c r="J280" i="1" s="1"/>
  <c r="H280" i="1"/>
  <c r="F280" i="1"/>
  <c r="E280" i="1"/>
  <c r="I279" i="1"/>
  <c r="J279" i="1" s="1"/>
  <c r="H279" i="1"/>
  <c r="F279" i="1"/>
  <c r="E279" i="1"/>
  <c r="I278" i="1"/>
  <c r="J278" i="1" s="1"/>
  <c r="H278" i="1"/>
  <c r="F278" i="1"/>
  <c r="E278" i="1"/>
  <c r="I277" i="1"/>
  <c r="J277" i="1" s="1"/>
  <c r="H277" i="1"/>
  <c r="F277" i="1"/>
  <c r="E277" i="1"/>
  <c r="I276" i="1"/>
  <c r="J276" i="1" s="1"/>
  <c r="H276" i="1"/>
  <c r="F276" i="1"/>
  <c r="E276" i="1"/>
  <c r="I275" i="1"/>
  <c r="J275" i="1" s="1"/>
  <c r="H275" i="1"/>
  <c r="F275" i="1"/>
  <c r="E275" i="1"/>
  <c r="I274" i="1"/>
  <c r="J274" i="1" s="1"/>
  <c r="H274" i="1"/>
  <c r="F274" i="1"/>
  <c r="E274" i="1"/>
  <c r="I273" i="1"/>
  <c r="J273" i="1" s="1"/>
  <c r="H273" i="1"/>
  <c r="F273" i="1"/>
  <c r="E273" i="1"/>
  <c r="I272" i="1"/>
  <c r="J272" i="1" s="1"/>
  <c r="H272" i="1"/>
  <c r="F272" i="1"/>
  <c r="E272" i="1"/>
  <c r="I271" i="1"/>
  <c r="J271" i="1" s="1"/>
  <c r="H271" i="1"/>
  <c r="F271" i="1"/>
  <c r="E271" i="1"/>
  <c r="I270" i="1"/>
  <c r="J270" i="1" s="1"/>
  <c r="H270" i="1"/>
  <c r="F270" i="1"/>
  <c r="E270" i="1"/>
  <c r="I269" i="1"/>
  <c r="H269" i="1"/>
  <c r="F269" i="1"/>
  <c r="E269" i="1"/>
  <c r="I268" i="1"/>
  <c r="J268" i="1" s="1"/>
  <c r="H268" i="1"/>
  <c r="F268" i="1"/>
  <c r="E268" i="1"/>
  <c r="I267" i="1"/>
  <c r="J267" i="1" s="1"/>
  <c r="H267" i="1"/>
  <c r="F267" i="1"/>
  <c r="E267" i="1"/>
  <c r="I266" i="1"/>
  <c r="J266" i="1" s="1"/>
  <c r="H266" i="1"/>
  <c r="F266" i="1"/>
  <c r="E266" i="1"/>
  <c r="I265" i="1"/>
  <c r="J265" i="1" s="1"/>
  <c r="H265" i="1"/>
  <c r="F265" i="1"/>
  <c r="E265" i="1"/>
  <c r="I264" i="1"/>
  <c r="J264" i="1" s="1"/>
  <c r="H264" i="1"/>
  <c r="F264" i="1"/>
  <c r="E264" i="1"/>
  <c r="I263" i="1"/>
  <c r="J263" i="1" s="1"/>
  <c r="H263" i="1"/>
  <c r="F263" i="1"/>
  <c r="E263" i="1"/>
  <c r="I262" i="1"/>
  <c r="J262" i="1" s="1"/>
  <c r="H262" i="1"/>
  <c r="F262" i="1"/>
  <c r="E262" i="1"/>
  <c r="I261" i="1"/>
  <c r="J261" i="1" s="1"/>
  <c r="H261" i="1"/>
  <c r="F261" i="1"/>
  <c r="E261" i="1"/>
  <c r="I260" i="1"/>
  <c r="J260" i="1" s="1"/>
  <c r="H260" i="1"/>
  <c r="F260" i="1"/>
  <c r="E260" i="1"/>
  <c r="I259" i="1"/>
  <c r="J259" i="1" s="1"/>
  <c r="H259" i="1"/>
  <c r="F259" i="1"/>
  <c r="E259" i="1"/>
  <c r="I258" i="1"/>
  <c r="J258" i="1" s="1"/>
  <c r="H258" i="1"/>
  <c r="F258" i="1"/>
  <c r="E258" i="1"/>
  <c r="I257" i="1"/>
  <c r="J257" i="1" s="1"/>
  <c r="H257" i="1"/>
  <c r="F257" i="1"/>
  <c r="E257" i="1"/>
  <c r="I256" i="1"/>
  <c r="J256" i="1" s="1"/>
  <c r="H256" i="1"/>
  <c r="F256" i="1"/>
  <c r="E256" i="1"/>
  <c r="I255" i="1"/>
  <c r="J255" i="1" s="1"/>
  <c r="H255" i="1"/>
  <c r="F255" i="1"/>
  <c r="E255" i="1"/>
  <c r="I254" i="1"/>
  <c r="J254" i="1" s="1"/>
  <c r="H254" i="1"/>
  <c r="F254" i="1"/>
  <c r="E254" i="1"/>
  <c r="I253" i="1"/>
  <c r="J253" i="1" s="1"/>
  <c r="H253" i="1"/>
  <c r="F253" i="1"/>
  <c r="E253" i="1"/>
  <c r="I252" i="1"/>
  <c r="J252" i="1" s="1"/>
  <c r="H252" i="1"/>
  <c r="F252" i="1"/>
  <c r="E252" i="1"/>
  <c r="I251" i="1"/>
  <c r="J251" i="1" s="1"/>
  <c r="H251" i="1"/>
  <c r="F251" i="1"/>
  <c r="E251" i="1"/>
  <c r="I250" i="1"/>
  <c r="J250" i="1" s="1"/>
  <c r="H250" i="1"/>
  <c r="F250" i="1"/>
  <c r="E250" i="1"/>
  <c r="I249" i="1"/>
  <c r="J249" i="1" s="1"/>
  <c r="H249" i="1"/>
  <c r="F249" i="1"/>
  <c r="E249" i="1"/>
  <c r="I248" i="1"/>
  <c r="H248" i="1"/>
  <c r="F248" i="1"/>
  <c r="E248" i="1"/>
  <c r="I247" i="1"/>
  <c r="J247" i="1" s="1"/>
  <c r="H247" i="1"/>
  <c r="F247" i="1"/>
  <c r="E247" i="1"/>
  <c r="I246" i="1"/>
  <c r="J246" i="1" s="1"/>
  <c r="H246" i="1"/>
  <c r="F246" i="1"/>
  <c r="E246" i="1"/>
  <c r="I245" i="1"/>
  <c r="J245" i="1" s="1"/>
  <c r="H245" i="1"/>
  <c r="F245" i="1"/>
  <c r="E245" i="1"/>
  <c r="I244" i="1"/>
  <c r="J244" i="1" s="1"/>
  <c r="H244" i="1"/>
  <c r="F244" i="1"/>
  <c r="E244" i="1"/>
  <c r="I243" i="1"/>
  <c r="J243" i="1" s="1"/>
  <c r="H243" i="1"/>
  <c r="F243" i="1"/>
  <c r="E243" i="1"/>
  <c r="I242" i="1"/>
  <c r="J242" i="1" s="1"/>
  <c r="H242" i="1"/>
  <c r="F242" i="1"/>
  <c r="E242" i="1"/>
  <c r="I241" i="1"/>
  <c r="J241" i="1" s="1"/>
  <c r="H241" i="1"/>
  <c r="F241" i="1"/>
  <c r="E241" i="1"/>
  <c r="I240" i="1"/>
  <c r="J240" i="1" s="1"/>
  <c r="H240" i="1"/>
  <c r="F240" i="1"/>
  <c r="E240" i="1"/>
  <c r="I239" i="1"/>
  <c r="J239" i="1" s="1"/>
  <c r="H239" i="1"/>
  <c r="F239" i="1"/>
  <c r="E239" i="1"/>
  <c r="I238" i="1"/>
  <c r="J238" i="1" s="1"/>
  <c r="H238" i="1"/>
  <c r="F238" i="1"/>
  <c r="E238" i="1"/>
  <c r="I237" i="1"/>
  <c r="J237" i="1" s="1"/>
  <c r="H237" i="1"/>
  <c r="F237" i="1"/>
  <c r="E237" i="1"/>
  <c r="I236" i="1"/>
  <c r="J236" i="1" s="1"/>
  <c r="H236" i="1"/>
  <c r="F236" i="1"/>
  <c r="E236" i="1"/>
  <c r="I235" i="1"/>
  <c r="J235" i="1" s="1"/>
  <c r="H235" i="1"/>
  <c r="F235" i="1"/>
  <c r="E235" i="1"/>
  <c r="I234" i="1"/>
  <c r="J234" i="1" s="1"/>
  <c r="H234" i="1"/>
  <c r="F234" i="1"/>
  <c r="E234" i="1"/>
  <c r="I233" i="1"/>
  <c r="J233" i="1" s="1"/>
  <c r="H233" i="1"/>
  <c r="F233" i="1"/>
  <c r="E233" i="1"/>
  <c r="I232" i="1"/>
  <c r="J232" i="1" s="1"/>
  <c r="H232" i="1"/>
  <c r="F232" i="1"/>
  <c r="E232" i="1"/>
  <c r="I231" i="1"/>
  <c r="J231" i="1" s="1"/>
  <c r="H231" i="1"/>
  <c r="F231" i="1"/>
  <c r="E231" i="1"/>
  <c r="I230" i="1"/>
  <c r="J230" i="1" s="1"/>
  <c r="H230" i="1"/>
  <c r="F230" i="1"/>
  <c r="E230" i="1"/>
  <c r="I229" i="1"/>
  <c r="J229" i="1" s="1"/>
  <c r="H229" i="1"/>
  <c r="F229" i="1"/>
  <c r="E229" i="1"/>
  <c r="I228" i="1"/>
  <c r="J228" i="1" s="1"/>
  <c r="H228" i="1"/>
  <c r="F228" i="1"/>
  <c r="E228" i="1"/>
  <c r="I227" i="1"/>
  <c r="J227" i="1" s="1"/>
  <c r="H227" i="1"/>
  <c r="F227" i="1"/>
  <c r="E227" i="1"/>
  <c r="I226" i="1"/>
  <c r="H226" i="1"/>
  <c r="F226" i="1"/>
  <c r="E226" i="1"/>
  <c r="I225" i="1"/>
  <c r="J225" i="1" s="1"/>
  <c r="H225" i="1"/>
  <c r="F225" i="1"/>
  <c r="E225" i="1"/>
  <c r="I224" i="1"/>
  <c r="J224" i="1" s="1"/>
  <c r="H224" i="1"/>
  <c r="F224" i="1"/>
  <c r="E224" i="1"/>
  <c r="I223" i="1"/>
  <c r="J223" i="1" s="1"/>
  <c r="H223" i="1"/>
  <c r="F223" i="1"/>
  <c r="E223" i="1"/>
  <c r="I222" i="1"/>
  <c r="J222" i="1" s="1"/>
  <c r="H222" i="1"/>
  <c r="F222" i="1"/>
  <c r="E222" i="1"/>
  <c r="I221" i="1"/>
  <c r="J221" i="1" s="1"/>
  <c r="H221" i="1"/>
  <c r="F221" i="1"/>
  <c r="E221" i="1"/>
  <c r="I220" i="1"/>
  <c r="J220" i="1" s="1"/>
  <c r="H220" i="1"/>
  <c r="F220" i="1"/>
  <c r="E220" i="1"/>
  <c r="I219" i="1"/>
  <c r="J219" i="1" s="1"/>
  <c r="H219" i="1"/>
  <c r="F219" i="1"/>
  <c r="E219" i="1"/>
  <c r="I218" i="1"/>
  <c r="J218" i="1" s="1"/>
  <c r="H218" i="1"/>
  <c r="F218" i="1"/>
  <c r="E218" i="1"/>
  <c r="I217" i="1"/>
  <c r="J217" i="1" s="1"/>
  <c r="H217" i="1"/>
  <c r="F217" i="1"/>
  <c r="E217" i="1"/>
  <c r="I216" i="1"/>
  <c r="J216" i="1" s="1"/>
  <c r="H216" i="1"/>
  <c r="F216" i="1"/>
  <c r="E216" i="1"/>
  <c r="I215" i="1"/>
  <c r="J215" i="1" s="1"/>
  <c r="H215" i="1"/>
  <c r="F215" i="1"/>
  <c r="E215" i="1"/>
  <c r="I214" i="1"/>
  <c r="J214" i="1" s="1"/>
  <c r="H214" i="1"/>
  <c r="F214" i="1"/>
  <c r="E214" i="1"/>
  <c r="I213" i="1"/>
  <c r="J213" i="1" s="1"/>
  <c r="H213" i="1"/>
  <c r="F213" i="1"/>
  <c r="E213" i="1"/>
  <c r="I212" i="1"/>
  <c r="J212" i="1" s="1"/>
  <c r="H212" i="1"/>
  <c r="F212" i="1"/>
  <c r="E212" i="1"/>
  <c r="I211" i="1"/>
  <c r="J211" i="1" s="1"/>
  <c r="H211" i="1"/>
  <c r="F211" i="1"/>
  <c r="E211" i="1"/>
  <c r="I210" i="1"/>
  <c r="J210" i="1" s="1"/>
  <c r="H210" i="1"/>
  <c r="F210" i="1"/>
  <c r="E210" i="1"/>
  <c r="I209" i="1"/>
  <c r="J209" i="1" s="1"/>
  <c r="H209" i="1"/>
  <c r="F209" i="1"/>
  <c r="E209" i="1"/>
  <c r="I208" i="1"/>
  <c r="J208" i="1" s="1"/>
  <c r="H208" i="1"/>
  <c r="F208" i="1"/>
  <c r="E208" i="1"/>
  <c r="I207" i="1"/>
  <c r="J207" i="1" s="1"/>
  <c r="H207" i="1"/>
  <c r="F207" i="1"/>
  <c r="E207" i="1"/>
  <c r="I206" i="1"/>
  <c r="J206" i="1" s="1"/>
  <c r="H206" i="1"/>
  <c r="F206" i="1"/>
  <c r="E206" i="1"/>
  <c r="I205" i="1"/>
  <c r="H205" i="1"/>
  <c r="F205" i="1"/>
  <c r="E205" i="1"/>
  <c r="I204" i="1"/>
  <c r="J204" i="1" s="1"/>
  <c r="H204" i="1"/>
  <c r="F204" i="1"/>
  <c r="E204" i="1"/>
  <c r="I203" i="1"/>
  <c r="J203" i="1" s="1"/>
  <c r="H203" i="1"/>
  <c r="F203" i="1"/>
  <c r="E203" i="1"/>
  <c r="I202" i="1"/>
  <c r="J202" i="1" s="1"/>
  <c r="H202" i="1"/>
  <c r="F202" i="1"/>
  <c r="E202" i="1"/>
  <c r="I201" i="1"/>
  <c r="J201" i="1" s="1"/>
  <c r="H201" i="1"/>
  <c r="F201" i="1"/>
  <c r="E201" i="1"/>
  <c r="I200" i="1"/>
  <c r="J200" i="1" s="1"/>
  <c r="H200" i="1"/>
  <c r="F200" i="1"/>
  <c r="E200" i="1"/>
  <c r="I199" i="1"/>
  <c r="J199" i="1" s="1"/>
  <c r="H199" i="1"/>
  <c r="F199" i="1"/>
  <c r="E199" i="1"/>
  <c r="I198" i="1"/>
  <c r="J198" i="1" s="1"/>
  <c r="H198" i="1"/>
  <c r="F198" i="1"/>
  <c r="E198" i="1"/>
  <c r="I197" i="1"/>
  <c r="J197" i="1" s="1"/>
  <c r="H197" i="1"/>
  <c r="F197" i="1"/>
  <c r="E197" i="1"/>
  <c r="I196" i="1"/>
  <c r="J196" i="1" s="1"/>
  <c r="H196" i="1"/>
  <c r="F196" i="1"/>
  <c r="E196" i="1"/>
  <c r="I195" i="1"/>
  <c r="J195" i="1" s="1"/>
  <c r="H195" i="1"/>
  <c r="F195" i="1"/>
  <c r="E195" i="1"/>
  <c r="I194" i="1"/>
  <c r="J194" i="1" s="1"/>
  <c r="H194" i="1"/>
  <c r="F194" i="1"/>
  <c r="E194" i="1"/>
  <c r="I193" i="1"/>
  <c r="J193" i="1" s="1"/>
  <c r="H193" i="1"/>
  <c r="F193" i="1"/>
  <c r="E193" i="1"/>
  <c r="I192" i="1"/>
  <c r="J192" i="1" s="1"/>
  <c r="H192" i="1"/>
  <c r="F192" i="1"/>
  <c r="E192" i="1"/>
  <c r="I191" i="1"/>
  <c r="J191" i="1" s="1"/>
  <c r="H191" i="1"/>
  <c r="F191" i="1"/>
  <c r="E191" i="1"/>
  <c r="I190" i="1"/>
  <c r="J190" i="1" s="1"/>
  <c r="H190" i="1"/>
  <c r="F190" i="1"/>
  <c r="E190" i="1"/>
  <c r="I189" i="1"/>
  <c r="J189" i="1" s="1"/>
  <c r="H189" i="1"/>
  <c r="F189" i="1"/>
  <c r="E189" i="1"/>
  <c r="I188" i="1"/>
  <c r="J188" i="1" s="1"/>
  <c r="H188" i="1"/>
  <c r="F188" i="1"/>
  <c r="E188" i="1"/>
  <c r="I187" i="1"/>
  <c r="J187" i="1" s="1"/>
  <c r="H187" i="1"/>
  <c r="F187" i="1"/>
  <c r="E187" i="1"/>
  <c r="I186" i="1"/>
  <c r="J186" i="1" s="1"/>
  <c r="H186" i="1"/>
  <c r="F186" i="1"/>
  <c r="E186" i="1"/>
  <c r="I185" i="1"/>
  <c r="J185" i="1" s="1"/>
  <c r="H185" i="1"/>
  <c r="F185" i="1"/>
  <c r="E185" i="1"/>
  <c r="I184" i="1"/>
  <c r="J184" i="1" s="1"/>
  <c r="H184" i="1"/>
  <c r="F184" i="1"/>
  <c r="E184" i="1"/>
  <c r="I183" i="1"/>
  <c r="J183" i="1" s="1"/>
  <c r="H183" i="1"/>
  <c r="F183" i="1"/>
  <c r="E183" i="1"/>
  <c r="I182" i="1"/>
  <c r="J182" i="1" s="1"/>
  <c r="H182" i="1"/>
  <c r="F182" i="1"/>
  <c r="E182" i="1"/>
  <c r="I181" i="1"/>
  <c r="J181" i="1" s="1"/>
  <c r="H181" i="1"/>
  <c r="F181" i="1"/>
  <c r="E181" i="1"/>
  <c r="I180" i="1"/>
  <c r="J180" i="1" s="1"/>
  <c r="H180" i="1"/>
  <c r="F180" i="1"/>
  <c r="E180" i="1"/>
  <c r="I179" i="1"/>
  <c r="J179" i="1" s="1"/>
  <c r="H179" i="1"/>
  <c r="F179" i="1"/>
  <c r="E179" i="1"/>
  <c r="I178" i="1"/>
  <c r="J178" i="1" s="1"/>
  <c r="H178" i="1"/>
  <c r="F178" i="1"/>
  <c r="E178" i="1"/>
  <c r="I177" i="1"/>
  <c r="J177" i="1" s="1"/>
  <c r="H177" i="1"/>
  <c r="F177" i="1"/>
  <c r="E177" i="1"/>
  <c r="I176" i="1"/>
  <c r="J176" i="1" s="1"/>
  <c r="H176" i="1"/>
  <c r="F176" i="1"/>
  <c r="E176" i="1"/>
  <c r="I175" i="1"/>
  <c r="J175" i="1" s="1"/>
  <c r="H175" i="1"/>
  <c r="F175" i="1"/>
  <c r="E175" i="1"/>
  <c r="I174" i="1"/>
  <c r="J174" i="1" s="1"/>
  <c r="H174" i="1"/>
  <c r="F174" i="1"/>
  <c r="E174" i="1"/>
  <c r="I173" i="1"/>
  <c r="J173" i="1" s="1"/>
  <c r="H173" i="1"/>
  <c r="F173" i="1"/>
  <c r="E173" i="1"/>
  <c r="I172" i="1"/>
  <c r="J172" i="1" s="1"/>
  <c r="H172" i="1"/>
  <c r="F172" i="1"/>
  <c r="E172" i="1"/>
  <c r="I171" i="1"/>
  <c r="J171" i="1" s="1"/>
  <c r="H171" i="1"/>
  <c r="F171" i="1"/>
  <c r="E171" i="1"/>
  <c r="I170" i="1"/>
  <c r="J170" i="1" s="1"/>
  <c r="H170" i="1"/>
  <c r="F170" i="1"/>
  <c r="E170" i="1"/>
  <c r="I169" i="1"/>
  <c r="J169" i="1" s="1"/>
  <c r="H169" i="1"/>
  <c r="F169" i="1"/>
  <c r="E169" i="1"/>
  <c r="I168" i="1"/>
  <c r="J168" i="1" s="1"/>
  <c r="H168" i="1"/>
  <c r="F168" i="1"/>
  <c r="E168" i="1"/>
  <c r="I167" i="1"/>
  <c r="J167" i="1" s="1"/>
  <c r="H167" i="1"/>
  <c r="F167" i="1"/>
  <c r="E167" i="1"/>
  <c r="I166" i="1"/>
  <c r="J166" i="1" s="1"/>
  <c r="H166" i="1"/>
  <c r="F166" i="1"/>
  <c r="E166" i="1"/>
  <c r="I165" i="1"/>
  <c r="J165" i="1" s="1"/>
  <c r="H165" i="1"/>
  <c r="F165" i="1"/>
  <c r="E165" i="1"/>
  <c r="I164" i="1"/>
  <c r="J164" i="1" s="1"/>
  <c r="H164" i="1"/>
  <c r="F164" i="1"/>
  <c r="E164" i="1"/>
  <c r="I163" i="1"/>
  <c r="J163" i="1" s="1"/>
  <c r="H163" i="1"/>
  <c r="F163" i="1"/>
  <c r="E163" i="1"/>
  <c r="I162" i="1"/>
  <c r="H162" i="1"/>
  <c r="F162" i="1"/>
  <c r="E162" i="1"/>
  <c r="I161" i="1"/>
  <c r="J161" i="1" s="1"/>
  <c r="H161" i="1"/>
  <c r="F161" i="1"/>
  <c r="E161" i="1"/>
  <c r="I160" i="1"/>
  <c r="J160" i="1" s="1"/>
  <c r="H160" i="1"/>
  <c r="F160" i="1"/>
  <c r="E160" i="1"/>
  <c r="I159" i="1"/>
  <c r="J159" i="1" s="1"/>
  <c r="H159" i="1"/>
  <c r="F159" i="1"/>
  <c r="E159" i="1"/>
  <c r="I158" i="1"/>
  <c r="J158" i="1" s="1"/>
  <c r="H158" i="1"/>
  <c r="F158" i="1"/>
  <c r="E158" i="1"/>
  <c r="I157" i="1"/>
  <c r="J157" i="1" s="1"/>
  <c r="H157" i="1"/>
  <c r="F157" i="1"/>
  <c r="E157" i="1"/>
  <c r="I156" i="1"/>
  <c r="J156" i="1" s="1"/>
  <c r="H156" i="1"/>
  <c r="F156" i="1"/>
  <c r="E156" i="1"/>
  <c r="I155" i="1"/>
  <c r="J155" i="1" s="1"/>
  <c r="H155" i="1"/>
  <c r="F155" i="1"/>
  <c r="E155" i="1"/>
  <c r="I154" i="1"/>
  <c r="J154" i="1" s="1"/>
  <c r="H154" i="1"/>
  <c r="F154" i="1"/>
  <c r="E154" i="1"/>
  <c r="I153" i="1"/>
  <c r="J153" i="1" s="1"/>
  <c r="H153" i="1"/>
  <c r="F153" i="1"/>
  <c r="E153" i="1"/>
  <c r="I152" i="1"/>
  <c r="J152" i="1" s="1"/>
  <c r="H152" i="1"/>
  <c r="F152" i="1"/>
  <c r="E152" i="1"/>
  <c r="I151" i="1"/>
  <c r="J151" i="1" s="1"/>
  <c r="H151" i="1"/>
  <c r="F151" i="1"/>
  <c r="E151" i="1"/>
  <c r="I150" i="1"/>
  <c r="J150" i="1" s="1"/>
  <c r="H150" i="1"/>
  <c r="F150" i="1"/>
  <c r="E150" i="1"/>
  <c r="I149" i="1"/>
  <c r="J149" i="1" s="1"/>
  <c r="H149" i="1"/>
  <c r="F149" i="1"/>
  <c r="E149" i="1"/>
  <c r="I148" i="1"/>
  <c r="J148" i="1" s="1"/>
  <c r="H148" i="1"/>
  <c r="F148" i="1"/>
  <c r="E148" i="1"/>
  <c r="I147" i="1"/>
  <c r="J147" i="1" s="1"/>
  <c r="H147" i="1"/>
  <c r="F147" i="1"/>
  <c r="E147" i="1"/>
  <c r="I146" i="1"/>
  <c r="J146" i="1" s="1"/>
  <c r="H146" i="1"/>
  <c r="F146" i="1"/>
  <c r="E146" i="1"/>
  <c r="I145" i="1"/>
  <c r="J145" i="1" s="1"/>
  <c r="H145" i="1"/>
  <c r="F145" i="1"/>
  <c r="E145" i="1"/>
  <c r="I144" i="1"/>
  <c r="J144" i="1" s="1"/>
  <c r="H144" i="1"/>
  <c r="F144" i="1"/>
  <c r="E144" i="1"/>
  <c r="I143" i="1"/>
  <c r="J143" i="1" s="1"/>
  <c r="H143" i="1"/>
  <c r="F143" i="1"/>
  <c r="E143" i="1"/>
  <c r="I142" i="1"/>
  <c r="J142" i="1" s="1"/>
  <c r="H142" i="1"/>
  <c r="F142" i="1"/>
  <c r="E142" i="1"/>
  <c r="I141" i="1"/>
  <c r="J141" i="1" s="1"/>
  <c r="H141" i="1"/>
  <c r="F141" i="1"/>
  <c r="E141" i="1"/>
  <c r="I140" i="1"/>
  <c r="J140" i="1" s="1"/>
  <c r="H140" i="1"/>
  <c r="F140" i="1"/>
  <c r="E140" i="1"/>
  <c r="I139" i="1"/>
  <c r="J139" i="1" s="1"/>
  <c r="H139" i="1"/>
  <c r="F139" i="1"/>
  <c r="E139" i="1"/>
  <c r="I138" i="1"/>
  <c r="J138" i="1" s="1"/>
  <c r="H138" i="1"/>
  <c r="F138" i="1"/>
  <c r="E138" i="1"/>
  <c r="I137" i="1"/>
  <c r="J137" i="1" s="1"/>
  <c r="H137" i="1"/>
  <c r="F137" i="1"/>
  <c r="E137" i="1"/>
  <c r="I136" i="1"/>
  <c r="J136" i="1" s="1"/>
  <c r="H136" i="1"/>
  <c r="F136" i="1"/>
  <c r="E136" i="1"/>
  <c r="I135" i="1"/>
  <c r="J135" i="1" s="1"/>
  <c r="H135" i="1"/>
  <c r="F135" i="1"/>
  <c r="E135" i="1"/>
  <c r="I134" i="1"/>
  <c r="J134" i="1" s="1"/>
  <c r="H134" i="1"/>
  <c r="F134" i="1"/>
  <c r="E134" i="1"/>
  <c r="I133" i="1"/>
  <c r="J133" i="1" s="1"/>
  <c r="H133" i="1"/>
  <c r="F133" i="1"/>
  <c r="E133" i="1"/>
  <c r="I132" i="1"/>
  <c r="J132" i="1" s="1"/>
  <c r="H132" i="1"/>
  <c r="F132" i="1"/>
  <c r="E132" i="1"/>
  <c r="I131" i="1"/>
  <c r="J131" i="1" s="1"/>
  <c r="H131" i="1"/>
  <c r="F131" i="1"/>
  <c r="E131" i="1"/>
  <c r="I130" i="1"/>
  <c r="J130" i="1" s="1"/>
  <c r="H130" i="1"/>
  <c r="F130" i="1"/>
  <c r="E130" i="1"/>
  <c r="I129" i="1"/>
  <c r="J129" i="1" s="1"/>
  <c r="H129" i="1"/>
  <c r="F129" i="1"/>
  <c r="E129" i="1"/>
  <c r="I128" i="1"/>
  <c r="J128" i="1" s="1"/>
  <c r="H128" i="1"/>
  <c r="F128" i="1"/>
  <c r="E128" i="1"/>
  <c r="I127" i="1"/>
  <c r="J127" i="1" s="1"/>
  <c r="H127" i="1"/>
  <c r="F127" i="1"/>
  <c r="E127" i="1"/>
  <c r="I126" i="1"/>
  <c r="J126" i="1" s="1"/>
  <c r="H126" i="1"/>
  <c r="F126" i="1"/>
  <c r="E126" i="1"/>
  <c r="I125" i="1"/>
  <c r="J125" i="1" s="1"/>
  <c r="H125" i="1"/>
  <c r="F125" i="1"/>
  <c r="E125" i="1"/>
  <c r="I124" i="1"/>
  <c r="J124" i="1" s="1"/>
  <c r="H124" i="1"/>
  <c r="F124" i="1"/>
  <c r="E124" i="1"/>
  <c r="I123" i="1"/>
  <c r="J123" i="1" s="1"/>
  <c r="H123" i="1"/>
  <c r="F123" i="1"/>
  <c r="E123" i="1"/>
  <c r="I122" i="1"/>
  <c r="J122" i="1" s="1"/>
  <c r="H122" i="1"/>
  <c r="F122" i="1"/>
  <c r="E122" i="1"/>
  <c r="I121" i="1"/>
  <c r="J121" i="1" s="1"/>
  <c r="H121" i="1"/>
  <c r="F121" i="1"/>
  <c r="E121" i="1"/>
  <c r="I120" i="1"/>
  <c r="J120" i="1" s="1"/>
  <c r="H120" i="1"/>
  <c r="F120" i="1"/>
  <c r="E120" i="1"/>
  <c r="I119" i="1"/>
  <c r="J119" i="1" s="1"/>
  <c r="H119" i="1"/>
  <c r="F119" i="1"/>
  <c r="E119" i="1"/>
  <c r="I118" i="1"/>
  <c r="J118" i="1" s="1"/>
  <c r="H118" i="1"/>
  <c r="F118" i="1"/>
  <c r="E118" i="1"/>
  <c r="I117" i="1"/>
  <c r="J117" i="1" s="1"/>
  <c r="H117" i="1"/>
  <c r="F117" i="1"/>
  <c r="E117" i="1"/>
  <c r="I116" i="1"/>
  <c r="J116" i="1" s="1"/>
  <c r="H116" i="1"/>
  <c r="F116" i="1"/>
  <c r="E116" i="1"/>
  <c r="I115" i="1"/>
  <c r="J115" i="1" s="1"/>
  <c r="H115" i="1"/>
  <c r="F115" i="1"/>
  <c r="E115" i="1"/>
  <c r="I114" i="1"/>
  <c r="J114" i="1" s="1"/>
  <c r="H114" i="1"/>
  <c r="F114" i="1"/>
  <c r="E114" i="1"/>
  <c r="I113" i="1"/>
  <c r="J113" i="1" s="1"/>
  <c r="H113" i="1"/>
  <c r="F113" i="1"/>
  <c r="E113" i="1"/>
  <c r="I112" i="1"/>
  <c r="J112" i="1" s="1"/>
  <c r="H112" i="1"/>
  <c r="F112" i="1"/>
  <c r="E112" i="1"/>
  <c r="I111" i="1"/>
  <c r="J111" i="1" s="1"/>
  <c r="H111" i="1"/>
  <c r="F111" i="1"/>
  <c r="E111" i="1"/>
  <c r="I110" i="1"/>
  <c r="J110" i="1" s="1"/>
  <c r="H110" i="1"/>
  <c r="F110" i="1"/>
  <c r="E110" i="1"/>
  <c r="I109" i="1"/>
  <c r="J109" i="1" s="1"/>
  <c r="H109" i="1"/>
  <c r="F109" i="1"/>
  <c r="E109" i="1"/>
  <c r="I108" i="1"/>
  <c r="J108" i="1" s="1"/>
  <c r="H108" i="1"/>
  <c r="F108" i="1"/>
  <c r="E108" i="1"/>
  <c r="I107" i="1"/>
  <c r="J107" i="1" s="1"/>
  <c r="H107" i="1"/>
  <c r="F107" i="1"/>
  <c r="E107" i="1"/>
  <c r="I106" i="1"/>
  <c r="J106" i="1" s="1"/>
  <c r="H106" i="1"/>
  <c r="F106" i="1"/>
  <c r="E106" i="1"/>
  <c r="I105" i="1"/>
  <c r="J105" i="1" s="1"/>
  <c r="H105" i="1"/>
  <c r="F105" i="1"/>
  <c r="E105" i="1"/>
  <c r="I104" i="1"/>
  <c r="J104" i="1" s="1"/>
  <c r="H104" i="1"/>
  <c r="F104" i="1"/>
  <c r="E104" i="1"/>
  <c r="I103" i="1"/>
  <c r="J103" i="1" s="1"/>
  <c r="H103" i="1"/>
  <c r="F103" i="1"/>
  <c r="E103" i="1"/>
  <c r="I102" i="1"/>
  <c r="J102" i="1" s="1"/>
  <c r="H102" i="1"/>
  <c r="F102" i="1"/>
  <c r="E102" i="1"/>
  <c r="I101" i="1"/>
  <c r="J101" i="1" s="1"/>
  <c r="H101" i="1"/>
  <c r="F101" i="1"/>
  <c r="E101" i="1"/>
  <c r="I100" i="1"/>
  <c r="J100" i="1" s="1"/>
  <c r="H100" i="1"/>
  <c r="F100" i="1"/>
  <c r="E100" i="1"/>
  <c r="I99" i="1"/>
  <c r="J99" i="1" s="1"/>
  <c r="H99" i="1"/>
  <c r="F99" i="1"/>
  <c r="E99" i="1"/>
  <c r="I98" i="1"/>
  <c r="J98" i="1" s="1"/>
  <c r="H98" i="1"/>
  <c r="F98" i="1"/>
  <c r="E98" i="1"/>
  <c r="I97" i="1"/>
  <c r="J97" i="1" s="1"/>
  <c r="H97" i="1"/>
  <c r="F97" i="1"/>
  <c r="E97" i="1"/>
  <c r="I96" i="1"/>
  <c r="J96" i="1" s="1"/>
  <c r="H96" i="1"/>
  <c r="F96" i="1"/>
  <c r="E96" i="1"/>
  <c r="I95" i="1"/>
  <c r="J95" i="1" s="1"/>
  <c r="H95" i="1"/>
  <c r="F95" i="1"/>
  <c r="E95" i="1"/>
  <c r="I94" i="1"/>
  <c r="J94" i="1" s="1"/>
  <c r="H94" i="1"/>
  <c r="F94" i="1"/>
  <c r="E94" i="1"/>
  <c r="I93" i="1"/>
  <c r="J93" i="1" s="1"/>
  <c r="H93" i="1"/>
  <c r="F93" i="1"/>
  <c r="E93" i="1"/>
  <c r="I92" i="1"/>
  <c r="J92" i="1" s="1"/>
  <c r="H92" i="1"/>
  <c r="F92" i="1"/>
  <c r="E92" i="1"/>
  <c r="I91" i="1"/>
  <c r="J91" i="1" s="1"/>
  <c r="H91" i="1"/>
  <c r="F91" i="1"/>
  <c r="E91" i="1"/>
  <c r="I90" i="1"/>
  <c r="J90" i="1" s="1"/>
  <c r="H90" i="1"/>
  <c r="F90" i="1"/>
  <c r="E90" i="1"/>
  <c r="I89" i="1"/>
  <c r="J89" i="1" s="1"/>
  <c r="H89" i="1"/>
  <c r="F89" i="1"/>
  <c r="E89" i="1"/>
  <c r="I88" i="1"/>
  <c r="J88" i="1" s="1"/>
  <c r="H88" i="1"/>
  <c r="F88" i="1"/>
  <c r="E88" i="1"/>
  <c r="I87" i="1"/>
  <c r="J87" i="1" s="1"/>
  <c r="H87" i="1"/>
  <c r="F87" i="1"/>
  <c r="E87" i="1"/>
  <c r="I86" i="1"/>
  <c r="J86" i="1" s="1"/>
  <c r="H86" i="1"/>
  <c r="F86" i="1"/>
  <c r="E86" i="1"/>
  <c r="I85" i="1"/>
  <c r="J85" i="1" s="1"/>
  <c r="H85" i="1"/>
  <c r="F85" i="1"/>
  <c r="E85" i="1"/>
  <c r="I84" i="1"/>
  <c r="J84" i="1" s="1"/>
  <c r="H84" i="1"/>
  <c r="F84" i="1"/>
  <c r="E84" i="1"/>
  <c r="I83" i="1"/>
  <c r="J83" i="1" s="1"/>
  <c r="H83" i="1"/>
  <c r="F83" i="1"/>
  <c r="E83" i="1"/>
  <c r="I82" i="1"/>
  <c r="J82" i="1" s="1"/>
  <c r="H82" i="1"/>
  <c r="F82" i="1"/>
  <c r="E82" i="1"/>
  <c r="I81" i="1"/>
  <c r="J81" i="1" s="1"/>
  <c r="H81" i="1"/>
  <c r="F81" i="1"/>
  <c r="E81" i="1"/>
  <c r="I80" i="1"/>
  <c r="J80" i="1" s="1"/>
  <c r="H80" i="1"/>
  <c r="F80" i="1"/>
  <c r="E80" i="1"/>
  <c r="I79" i="1"/>
  <c r="J79" i="1" s="1"/>
  <c r="H79" i="1"/>
  <c r="F79" i="1"/>
  <c r="E79" i="1"/>
  <c r="I78" i="1"/>
  <c r="J78" i="1" s="1"/>
  <c r="H78" i="1"/>
  <c r="F78" i="1"/>
  <c r="E78" i="1"/>
  <c r="I77" i="1"/>
  <c r="J77" i="1" s="1"/>
  <c r="H77" i="1"/>
  <c r="F77" i="1"/>
  <c r="E77" i="1"/>
  <c r="I76" i="1"/>
  <c r="J76" i="1" s="1"/>
  <c r="H76" i="1"/>
  <c r="F76" i="1"/>
  <c r="E76" i="1"/>
  <c r="I75" i="1"/>
  <c r="J75" i="1" s="1"/>
  <c r="H75" i="1"/>
  <c r="F75" i="1"/>
  <c r="E75" i="1"/>
  <c r="I74" i="1"/>
  <c r="J74" i="1" s="1"/>
  <c r="H74" i="1"/>
  <c r="F74" i="1"/>
  <c r="E74" i="1"/>
  <c r="I73" i="1"/>
  <c r="J73" i="1" s="1"/>
  <c r="H73" i="1"/>
  <c r="F73" i="1"/>
  <c r="E73" i="1"/>
  <c r="I72" i="1"/>
  <c r="J72" i="1" s="1"/>
  <c r="H72" i="1"/>
  <c r="F72" i="1"/>
  <c r="E72" i="1"/>
  <c r="I71" i="1"/>
  <c r="J71" i="1" s="1"/>
  <c r="H71" i="1"/>
  <c r="F71" i="1"/>
  <c r="E71" i="1"/>
  <c r="I70" i="1"/>
  <c r="J70" i="1" s="1"/>
  <c r="H70" i="1"/>
  <c r="F70" i="1"/>
  <c r="E70" i="1"/>
  <c r="I69" i="1"/>
  <c r="J69" i="1" s="1"/>
  <c r="H69" i="1"/>
  <c r="F69" i="1"/>
  <c r="E69" i="1"/>
  <c r="I68" i="1"/>
  <c r="J68" i="1" s="1"/>
  <c r="H68" i="1"/>
  <c r="F68" i="1"/>
  <c r="E68" i="1"/>
  <c r="I67" i="1"/>
  <c r="J67" i="1" s="1"/>
  <c r="H67" i="1"/>
  <c r="F67" i="1"/>
  <c r="E67" i="1"/>
  <c r="I66" i="1"/>
  <c r="J66" i="1" s="1"/>
  <c r="H66" i="1"/>
  <c r="F66" i="1"/>
  <c r="E66" i="1"/>
  <c r="I65" i="1"/>
  <c r="J65" i="1" s="1"/>
  <c r="H65" i="1"/>
  <c r="F65" i="1"/>
  <c r="E65" i="1"/>
  <c r="I64" i="1"/>
  <c r="J64" i="1" s="1"/>
  <c r="H64" i="1"/>
  <c r="F64" i="1"/>
  <c r="E64" i="1"/>
  <c r="I63" i="1"/>
  <c r="J63" i="1" s="1"/>
  <c r="H63" i="1"/>
  <c r="F63" i="1"/>
  <c r="E63" i="1"/>
  <c r="I62" i="1"/>
  <c r="J62" i="1" s="1"/>
  <c r="H62" i="1"/>
  <c r="F62" i="1"/>
  <c r="E62" i="1"/>
  <c r="I61" i="1"/>
  <c r="J61" i="1" s="1"/>
  <c r="H61" i="1"/>
  <c r="F61" i="1"/>
  <c r="E61" i="1"/>
  <c r="I60" i="1"/>
  <c r="J60" i="1" s="1"/>
  <c r="H60" i="1"/>
  <c r="F60" i="1"/>
  <c r="E60" i="1"/>
  <c r="I59" i="1"/>
  <c r="J59" i="1" s="1"/>
  <c r="H59" i="1"/>
  <c r="F59" i="1"/>
  <c r="E59" i="1"/>
  <c r="I58" i="1"/>
  <c r="J58" i="1" s="1"/>
  <c r="H58" i="1"/>
  <c r="F58" i="1"/>
  <c r="E58" i="1"/>
  <c r="I57" i="1"/>
  <c r="J57" i="1" s="1"/>
  <c r="H57" i="1"/>
  <c r="F57" i="1"/>
  <c r="E57" i="1"/>
  <c r="I56" i="1"/>
  <c r="J56" i="1" s="1"/>
  <c r="H56" i="1"/>
  <c r="F56" i="1"/>
  <c r="E56" i="1"/>
  <c r="I55" i="1"/>
  <c r="J55" i="1" s="1"/>
  <c r="H55" i="1"/>
  <c r="F55" i="1"/>
  <c r="E55" i="1"/>
  <c r="I54" i="1"/>
  <c r="J54" i="1" s="1"/>
  <c r="H54" i="1"/>
  <c r="F54" i="1"/>
  <c r="E54" i="1"/>
  <c r="I53" i="1"/>
  <c r="J53" i="1" s="1"/>
  <c r="H53" i="1"/>
  <c r="F53" i="1"/>
  <c r="E53" i="1"/>
  <c r="I52" i="1"/>
  <c r="J52" i="1" s="1"/>
  <c r="H52" i="1"/>
  <c r="F52" i="1"/>
  <c r="E52" i="1"/>
  <c r="I51" i="1"/>
  <c r="J51" i="1" s="1"/>
  <c r="H51" i="1"/>
  <c r="F51" i="1"/>
  <c r="E51" i="1"/>
  <c r="I50" i="1"/>
  <c r="J50" i="1" s="1"/>
  <c r="H50" i="1"/>
  <c r="F50" i="1"/>
  <c r="E50" i="1"/>
  <c r="I49" i="1"/>
  <c r="J49" i="1" s="1"/>
  <c r="H49" i="1"/>
  <c r="F49" i="1"/>
  <c r="E49" i="1"/>
  <c r="I48" i="1"/>
  <c r="J48" i="1" s="1"/>
  <c r="H48" i="1"/>
  <c r="F48" i="1"/>
  <c r="E48" i="1"/>
  <c r="I47" i="1"/>
  <c r="J47" i="1" s="1"/>
  <c r="H47" i="1"/>
  <c r="F47" i="1"/>
  <c r="E47" i="1"/>
  <c r="I46" i="1"/>
  <c r="J46" i="1" s="1"/>
  <c r="H46" i="1"/>
  <c r="F46" i="1"/>
  <c r="E46" i="1"/>
  <c r="I45" i="1"/>
  <c r="J45" i="1" s="1"/>
  <c r="H45" i="1"/>
  <c r="F45" i="1"/>
  <c r="E45" i="1"/>
  <c r="I44" i="1"/>
  <c r="J44" i="1" s="1"/>
  <c r="H44" i="1"/>
  <c r="F44" i="1"/>
  <c r="E44" i="1"/>
  <c r="I43" i="1"/>
  <c r="J43" i="1" s="1"/>
  <c r="H43" i="1"/>
  <c r="F43" i="1"/>
  <c r="E43" i="1"/>
  <c r="I42" i="1"/>
  <c r="J42" i="1" s="1"/>
  <c r="H42" i="1"/>
  <c r="F42" i="1"/>
  <c r="E42" i="1"/>
  <c r="I41" i="1"/>
  <c r="J41" i="1" s="1"/>
  <c r="H41" i="1"/>
  <c r="F41" i="1"/>
  <c r="E41" i="1"/>
  <c r="I40" i="1"/>
  <c r="J40" i="1" s="1"/>
  <c r="H40" i="1"/>
  <c r="F40" i="1"/>
  <c r="E40" i="1"/>
  <c r="I39" i="1"/>
  <c r="J39" i="1" s="1"/>
  <c r="H39" i="1"/>
  <c r="F39" i="1"/>
  <c r="E39" i="1"/>
  <c r="I38" i="1"/>
  <c r="J38" i="1" s="1"/>
  <c r="H38" i="1"/>
  <c r="F38" i="1"/>
  <c r="E38" i="1"/>
  <c r="I37" i="1"/>
  <c r="J37" i="1" s="1"/>
  <c r="H37" i="1"/>
  <c r="F37" i="1"/>
  <c r="E37" i="1"/>
  <c r="I36" i="1"/>
  <c r="J36" i="1" s="1"/>
  <c r="H36" i="1"/>
  <c r="F36" i="1"/>
  <c r="E36" i="1"/>
  <c r="I35" i="1"/>
  <c r="J35" i="1" s="1"/>
  <c r="H35" i="1"/>
  <c r="F35" i="1"/>
  <c r="E35" i="1"/>
  <c r="I34" i="1"/>
  <c r="J34" i="1" s="1"/>
  <c r="H34" i="1"/>
  <c r="F34" i="1"/>
  <c r="E34" i="1"/>
  <c r="I33" i="1"/>
  <c r="J33" i="1" s="1"/>
  <c r="H33" i="1"/>
  <c r="F33" i="1"/>
  <c r="E33" i="1"/>
  <c r="I32" i="1"/>
  <c r="J32" i="1" s="1"/>
  <c r="H32" i="1"/>
  <c r="F32" i="1"/>
  <c r="E32" i="1"/>
  <c r="I31" i="1"/>
  <c r="J31" i="1" s="1"/>
  <c r="H31" i="1"/>
  <c r="F31" i="1"/>
  <c r="E31" i="1"/>
  <c r="I30" i="1"/>
  <c r="J30" i="1" s="1"/>
  <c r="H30" i="1"/>
  <c r="F30" i="1"/>
  <c r="E30" i="1"/>
  <c r="I29" i="1"/>
  <c r="J29" i="1" s="1"/>
  <c r="H29" i="1"/>
  <c r="F29" i="1"/>
  <c r="E29" i="1"/>
  <c r="I28" i="1"/>
  <c r="J28" i="1" s="1"/>
  <c r="H28" i="1"/>
  <c r="F28" i="1"/>
  <c r="E28" i="1"/>
  <c r="I27" i="1"/>
  <c r="J27" i="1" s="1"/>
  <c r="H27" i="1"/>
  <c r="F27" i="1"/>
  <c r="E27" i="1"/>
  <c r="I26" i="1"/>
  <c r="J26" i="1" s="1"/>
  <c r="H26" i="1"/>
  <c r="F26" i="1"/>
  <c r="E26" i="1"/>
  <c r="I25" i="1"/>
  <c r="J25" i="1" s="1"/>
  <c r="H25" i="1"/>
  <c r="F25" i="1"/>
  <c r="E25" i="1"/>
  <c r="I24" i="1"/>
  <c r="J24" i="1" s="1"/>
  <c r="H24" i="1"/>
  <c r="F24" i="1"/>
  <c r="E24" i="1"/>
  <c r="I23" i="1"/>
  <c r="J23" i="1" s="1"/>
  <c r="H23" i="1"/>
  <c r="F23" i="1"/>
  <c r="E23" i="1"/>
  <c r="I22" i="1"/>
  <c r="J22" i="1" s="1"/>
  <c r="H22" i="1"/>
  <c r="F22" i="1"/>
  <c r="E22" i="1"/>
  <c r="I21" i="1"/>
  <c r="J21" i="1" s="1"/>
  <c r="H21" i="1"/>
  <c r="F21" i="1"/>
  <c r="E21" i="1"/>
  <c r="I20" i="1"/>
  <c r="J20" i="1" s="1"/>
  <c r="H20" i="1"/>
  <c r="F20" i="1"/>
  <c r="E20" i="1"/>
  <c r="I19" i="1"/>
  <c r="J19" i="1" s="1"/>
  <c r="H19" i="1"/>
  <c r="F19" i="1"/>
  <c r="E19" i="1"/>
  <c r="I18" i="1"/>
  <c r="J18" i="1" s="1"/>
  <c r="H18" i="1"/>
  <c r="F18" i="1"/>
  <c r="E18" i="1"/>
  <c r="I17" i="1"/>
  <c r="J17" i="1" s="1"/>
  <c r="H17" i="1"/>
  <c r="F17" i="1"/>
  <c r="E17" i="1"/>
  <c r="I16" i="1"/>
  <c r="J16" i="1" s="1"/>
  <c r="H16" i="1"/>
  <c r="F16" i="1"/>
  <c r="E16" i="1"/>
  <c r="I15" i="1"/>
  <c r="J15" i="1" s="1"/>
  <c r="H15" i="1"/>
  <c r="F15" i="1"/>
  <c r="E15" i="1"/>
  <c r="I14" i="1"/>
  <c r="J14" i="1" s="1"/>
  <c r="H14" i="1"/>
  <c r="F14" i="1"/>
  <c r="E14" i="1"/>
  <c r="I13" i="1"/>
  <c r="J13" i="1" s="1"/>
  <c r="H13" i="1"/>
  <c r="F13" i="1"/>
  <c r="E13" i="1"/>
  <c r="I12" i="1"/>
  <c r="J12" i="1" s="1"/>
  <c r="H12" i="1"/>
  <c r="F12" i="1"/>
  <c r="E12" i="1"/>
  <c r="I11" i="1"/>
  <c r="J11" i="1" s="1"/>
  <c r="H11" i="1"/>
  <c r="F11" i="1"/>
  <c r="E11" i="1"/>
  <c r="I10" i="1"/>
  <c r="J10" i="1" s="1"/>
  <c r="H10" i="1"/>
  <c r="F10" i="1"/>
  <c r="E10" i="1"/>
  <c r="I9" i="1"/>
  <c r="J9" i="1" s="1"/>
  <c r="H9" i="1"/>
  <c r="F9" i="1"/>
  <c r="E9" i="1"/>
  <c r="I8" i="1"/>
  <c r="J8" i="1" s="1"/>
  <c r="H8" i="1"/>
  <c r="F8" i="1"/>
  <c r="E8" i="1"/>
  <c r="I7" i="1"/>
  <c r="J7" i="1" s="1"/>
  <c r="H7" i="1"/>
  <c r="F7" i="1"/>
  <c r="E7" i="1"/>
  <c r="I6" i="1"/>
  <c r="J6" i="1" s="1"/>
  <c r="H6" i="1"/>
  <c r="F6" i="1"/>
  <c r="E6" i="1"/>
  <c r="I5" i="1"/>
  <c r="J5" i="1" s="1"/>
  <c r="H5" i="1"/>
  <c r="F5" i="1"/>
  <c r="E5" i="1"/>
  <c r="I4" i="1"/>
  <c r="J4" i="1" s="1"/>
  <c r="H4" i="1"/>
  <c r="F4" i="1"/>
  <c r="E4" i="1"/>
  <c r="I3" i="1"/>
  <c r="J3" i="1" s="1"/>
  <c r="H3" i="1"/>
  <c r="F3" i="1"/>
  <c r="E3" i="1"/>
  <c r="I2" i="1"/>
  <c r="H2" i="1"/>
  <c r="F2" i="1"/>
  <c r="E2" i="1"/>
  <c r="J360" i="1"/>
  <c r="J352" i="1"/>
  <c r="J345" i="1"/>
  <c r="J338" i="1"/>
  <c r="J329" i="1"/>
  <c r="J312" i="1"/>
  <c r="J290" i="1"/>
  <c r="J269" i="1"/>
  <c r="J248" i="1"/>
  <c r="J226" i="1"/>
  <c r="J205" i="1"/>
  <c r="J162" i="1"/>
  <c r="W363" i="1" l="1"/>
  <c r="C21" i="6"/>
  <c r="C20" i="6"/>
  <c r="C19" i="6"/>
  <c r="C18" i="6"/>
  <c r="C17" i="6"/>
  <c r="C16" i="6"/>
  <c r="C15" i="6"/>
  <c r="C14" i="6"/>
  <c r="C13" i="6"/>
  <c r="C12" i="6"/>
  <c r="C11" i="6"/>
  <c r="C10" i="6"/>
  <c r="B11" i="6"/>
  <c r="B12" i="6"/>
  <c r="B13" i="6"/>
  <c r="B14" i="6"/>
  <c r="B15" i="6"/>
  <c r="B16" i="6"/>
  <c r="B17" i="6"/>
  <c r="B18" i="6"/>
  <c r="B19" i="6"/>
  <c r="B20" i="6"/>
  <c r="B21" i="6"/>
  <c r="B10" i="6"/>
  <c r="B26" i="6" l="1"/>
  <c r="B25" i="6"/>
  <c r="C25" i="6"/>
  <c r="C26" i="6"/>
  <c r="T50" i="5"/>
  <c r="T49" i="5"/>
  <c r="T48" i="5"/>
  <c r="T47" i="5"/>
  <c r="T46" i="5"/>
  <c r="T45" i="5"/>
  <c r="T44" i="5"/>
  <c r="T43" i="5"/>
  <c r="Q50" i="5"/>
  <c r="Q49" i="5"/>
  <c r="Q48" i="5"/>
  <c r="Q47" i="5"/>
  <c r="Q46" i="5"/>
  <c r="Q45" i="5"/>
  <c r="Q44" i="5"/>
  <c r="Q43" i="5"/>
  <c r="N50" i="5"/>
  <c r="N49" i="5"/>
  <c r="N48" i="5"/>
  <c r="N47" i="5"/>
  <c r="N46" i="5"/>
  <c r="N45" i="5"/>
  <c r="N44" i="5"/>
  <c r="N43" i="5"/>
  <c r="K50" i="5"/>
  <c r="K49" i="5"/>
  <c r="K48" i="5"/>
  <c r="K47" i="5"/>
  <c r="K46" i="5"/>
  <c r="K45" i="5"/>
  <c r="K44" i="5"/>
  <c r="K43" i="5"/>
  <c r="Z41" i="5" l="1"/>
  <c r="W41" i="5"/>
  <c r="T41" i="5"/>
  <c r="Q41" i="5"/>
  <c r="Q42" i="5" s="1"/>
  <c r="N41" i="5"/>
  <c r="N42" i="5" s="1"/>
  <c r="K41" i="5"/>
  <c r="K42" i="5" s="1"/>
  <c r="O31" i="5" l="1"/>
  <c r="O4" i="5"/>
  <c r="O2" i="5"/>
  <c r="U16" i="5" l="1"/>
  <c r="R33" i="5" l="1"/>
  <c r="AA11" i="5" l="1"/>
  <c r="X11" i="5"/>
  <c r="U11" i="5"/>
  <c r="R11" i="5"/>
  <c r="O11" i="5"/>
  <c r="L11" i="5"/>
  <c r="I11" i="5"/>
  <c r="AA16" i="5"/>
  <c r="X16" i="5"/>
  <c r="R16" i="5"/>
  <c r="O16" i="5"/>
  <c r="L16" i="5"/>
  <c r="I16" i="5"/>
  <c r="AA13" i="5" l="1"/>
  <c r="AA30" i="5"/>
  <c r="AA31" i="5"/>
  <c r="AA35" i="5"/>
  <c r="AA32" i="5"/>
  <c r="AA15" i="5"/>
  <c r="AA23" i="5"/>
  <c r="AA33" i="5"/>
  <c r="AA36" i="5"/>
  <c r="AA17" i="5"/>
  <c r="AA3" i="5"/>
  <c r="AA10" i="5"/>
  <c r="AA5" i="5"/>
  <c r="AA4" i="5"/>
  <c r="AA19" i="5"/>
  <c r="AA25" i="5"/>
  <c r="AA24" i="5"/>
  <c r="AA6" i="5"/>
  <c r="AA9" i="5"/>
  <c r="AA8" i="5"/>
  <c r="AA34" i="5"/>
  <c r="AA18" i="5"/>
  <c r="AA28" i="5"/>
  <c r="AA12" i="5"/>
  <c r="AA7" i="5"/>
  <c r="AA29" i="5"/>
  <c r="AA2" i="5"/>
  <c r="AA14" i="5"/>
  <c r="AA22" i="5"/>
  <c r="AA20" i="5"/>
  <c r="AA21" i="5"/>
  <c r="AA27" i="5"/>
  <c r="AA26" i="5"/>
  <c r="X13" i="5"/>
  <c r="X30" i="5"/>
  <c r="X31" i="5"/>
  <c r="X35" i="5"/>
  <c r="X32" i="5"/>
  <c r="X15" i="5"/>
  <c r="X23" i="5"/>
  <c r="X33" i="5"/>
  <c r="X36" i="5"/>
  <c r="X17" i="5"/>
  <c r="X3" i="5"/>
  <c r="X10" i="5"/>
  <c r="X5" i="5"/>
  <c r="X4" i="5"/>
  <c r="X19" i="5"/>
  <c r="X25" i="5"/>
  <c r="X24" i="5"/>
  <c r="X6" i="5"/>
  <c r="X9" i="5"/>
  <c r="X8" i="5"/>
  <c r="X34" i="5"/>
  <c r="X18" i="5"/>
  <c r="X28" i="5"/>
  <c r="X12" i="5"/>
  <c r="X7" i="5"/>
  <c r="X29" i="5"/>
  <c r="X2" i="5"/>
  <c r="X14" i="5"/>
  <c r="X22" i="5"/>
  <c r="X20" i="5"/>
  <c r="X21" i="5"/>
  <c r="X27" i="5"/>
  <c r="X26" i="5"/>
  <c r="U13" i="5"/>
  <c r="U30" i="5"/>
  <c r="U31" i="5"/>
  <c r="U35" i="5"/>
  <c r="U32" i="5"/>
  <c r="U15" i="5"/>
  <c r="U23" i="5"/>
  <c r="U33" i="5"/>
  <c r="U36" i="5"/>
  <c r="U17" i="5"/>
  <c r="U3" i="5"/>
  <c r="U10" i="5"/>
  <c r="U5" i="5"/>
  <c r="U4" i="5"/>
  <c r="U19" i="5"/>
  <c r="U25" i="5"/>
  <c r="U24" i="5"/>
  <c r="U6" i="5"/>
  <c r="U9" i="5"/>
  <c r="U8" i="5"/>
  <c r="U34" i="5"/>
  <c r="U18" i="5"/>
  <c r="U28" i="5"/>
  <c r="U12" i="5"/>
  <c r="U7" i="5"/>
  <c r="U29" i="5"/>
  <c r="U2" i="5"/>
  <c r="U14" i="5"/>
  <c r="U22" i="5"/>
  <c r="U20" i="5"/>
  <c r="U21" i="5"/>
  <c r="U27" i="5"/>
  <c r="U26" i="5"/>
  <c r="R13" i="5"/>
  <c r="R30" i="5"/>
  <c r="R31" i="5"/>
  <c r="R35" i="5"/>
  <c r="R32" i="5"/>
  <c r="R15" i="5"/>
  <c r="R23" i="5"/>
  <c r="R36" i="5"/>
  <c r="R17" i="5"/>
  <c r="R3" i="5"/>
  <c r="R10" i="5"/>
  <c r="R5" i="5"/>
  <c r="R4" i="5"/>
  <c r="R19" i="5"/>
  <c r="R25" i="5"/>
  <c r="R24" i="5"/>
  <c r="R6" i="5"/>
  <c r="R9" i="5"/>
  <c r="R8" i="5"/>
  <c r="R34" i="5"/>
  <c r="R18" i="5"/>
  <c r="R28" i="5"/>
  <c r="R12" i="5"/>
  <c r="R7" i="5"/>
  <c r="R29" i="5"/>
  <c r="R2" i="5"/>
  <c r="R14" i="5"/>
  <c r="R22" i="5"/>
  <c r="R20" i="5"/>
  <c r="R21" i="5"/>
  <c r="R27" i="5"/>
  <c r="R26" i="5"/>
  <c r="O13" i="5"/>
  <c r="O30" i="5"/>
  <c r="O35" i="5"/>
  <c r="O32" i="5"/>
  <c r="O15" i="5"/>
  <c r="O23" i="5"/>
  <c r="O33" i="5"/>
  <c r="O36" i="5"/>
  <c r="O17" i="5"/>
  <c r="O3" i="5"/>
  <c r="O10" i="5"/>
  <c r="O5" i="5"/>
  <c r="O19" i="5"/>
  <c r="O25" i="5"/>
  <c r="O24" i="5"/>
  <c r="O6" i="5"/>
  <c r="O9" i="5"/>
  <c r="O8" i="5"/>
  <c r="O34" i="5"/>
  <c r="O18" i="5"/>
  <c r="O28" i="5"/>
  <c r="O12" i="5"/>
  <c r="O7" i="5"/>
  <c r="O29" i="5"/>
  <c r="O14" i="5"/>
  <c r="O22" i="5"/>
  <c r="O20" i="5"/>
  <c r="O21" i="5"/>
  <c r="O27" i="5"/>
  <c r="O26" i="5"/>
  <c r="L13" i="5"/>
  <c r="L30" i="5"/>
  <c r="L31" i="5"/>
  <c r="L35" i="5"/>
  <c r="L32" i="5"/>
  <c r="L15" i="5"/>
  <c r="L23" i="5"/>
  <c r="L33" i="5"/>
  <c r="L36" i="5"/>
  <c r="L17" i="5"/>
  <c r="L3" i="5"/>
  <c r="L10" i="5"/>
  <c r="L5" i="5"/>
  <c r="L4" i="5"/>
  <c r="L19" i="5"/>
  <c r="L25" i="5"/>
  <c r="L24" i="5"/>
  <c r="L6" i="5"/>
  <c r="L9" i="5"/>
  <c r="L8" i="5"/>
  <c r="L34" i="5"/>
  <c r="L18" i="5"/>
  <c r="L28" i="5"/>
  <c r="L12" i="5"/>
  <c r="L7" i="5"/>
  <c r="L29" i="5"/>
  <c r="L14" i="5"/>
  <c r="L22" i="5"/>
  <c r="L20" i="5"/>
  <c r="L21" i="5"/>
  <c r="L27" i="5"/>
  <c r="L26" i="5"/>
  <c r="I27" i="5"/>
  <c r="I21" i="5"/>
  <c r="I20" i="5"/>
  <c r="I22" i="5"/>
  <c r="I14" i="5"/>
  <c r="I2" i="5"/>
  <c r="I29" i="5"/>
  <c r="I7" i="5"/>
  <c r="I12" i="5"/>
  <c r="I28" i="5"/>
  <c r="I18" i="5"/>
  <c r="I34" i="5"/>
  <c r="I8" i="5"/>
  <c r="I9" i="5"/>
  <c r="I6" i="5"/>
  <c r="I24" i="5"/>
  <c r="I25" i="5"/>
  <c r="I19" i="5"/>
  <c r="I4" i="5"/>
  <c r="I5" i="5"/>
  <c r="I10" i="5"/>
  <c r="I3" i="5"/>
  <c r="I17" i="5"/>
  <c r="I36" i="5"/>
  <c r="I33" i="5"/>
  <c r="I23" i="5"/>
  <c r="I15" i="5"/>
  <c r="I32" i="5"/>
  <c r="I35" i="5"/>
  <c r="I31" i="5"/>
  <c r="I30" i="5"/>
  <c r="I13" i="5"/>
  <c r="I26" i="5"/>
  <c r="G156" i="1" l="1"/>
  <c r="G193" i="1"/>
  <c r="G246" i="1"/>
  <c r="G41" i="1"/>
  <c r="G215" i="1"/>
  <c r="G248" i="1"/>
  <c r="G360" i="1"/>
  <c r="G226" i="1"/>
  <c r="G245" i="1"/>
  <c r="G47" i="1"/>
  <c r="G232" i="1"/>
  <c r="G152" i="1"/>
  <c r="G202" i="1"/>
  <c r="G254" i="1"/>
  <c r="G7" i="1"/>
  <c r="G86" i="1"/>
  <c r="G291" i="1"/>
  <c r="G255" i="1"/>
  <c r="G158" i="1"/>
  <c r="G29" i="1"/>
  <c r="G25" i="1"/>
  <c r="G271" i="1"/>
  <c r="G317" i="1"/>
  <c r="G88" i="1"/>
  <c r="G333" i="1"/>
  <c r="G316" i="1"/>
  <c r="G283" i="1"/>
  <c r="G249" i="1"/>
  <c r="G77" i="1"/>
  <c r="G12" i="1"/>
  <c r="G252" i="1"/>
  <c r="G223" i="1"/>
  <c r="G270" i="1"/>
  <c r="G186" i="1"/>
  <c r="G208" i="1"/>
  <c r="G298" i="1"/>
  <c r="G292" i="1"/>
  <c r="G168" i="1"/>
  <c r="G45" i="1"/>
  <c r="G229" i="1"/>
  <c r="G300" i="1"/>
  <c r="G359" i="1"/>
  <c r="G17" i="1"/>
  <c r="G293" i="1"/>
  <c r="G258" i="1"/>
  <c r="G236" i="1"/>
  <c r="G225" i="1"/>
  <c r="G205" i="1"/>
  <c r="G111" i="1"/>
  <c r="G241" i="1"/>
  <c r="G61" i="1"/>
  <c r="G358" i="1"/>
  <c r="G256" i="1"/>
  <c r="G320" i="1"/>
  <c r="G331" i="1"/>
  <c r="G315" i="1"/>
  <c r="G340" i="1"/>
  <c r="G149" i="1"/>
  <c r="G170" i="1"/>
  <c r="G136" i="1"/>
  <c r="G55" i="1"/>
  <c r="G234" i="1"/>
  <c r="G110" i="1"/>
  <c r="G54" i="1"/>
  <c r="G242" i="1"/>
  <c r="G120" i="1"/>
  <c r="G212" i="1"/>
  <c r="G281" i="1"/>
  <c r="G302" i="1"/>
  <c r="G151" i="1"/>
  <c r="G59" i="1"/>
  <c r="G216" i="1"/>
  <c r="G97" i="1"/>
  <c r="G243" i="1"/>
  <c r="G60" i="1"/>
  <c r="G150" i="1"/>
  <c r="G16" i="1"/>
  <c r="G155" i="1"/>
  <c r="G14" i="1"/>
  <c r="G211" i="1"/>
  <c r="G265" i="1"/>
  <c r="G13" i="1"/>
  <c r="G94" i="1"/>
  <c r="G334" i="1"/>
  <c r="G103" i="1"/>
  <c r="G230" i="1"/>
  <c r="G66" i="1"/>
  <c r="G159" i="1"/>
  <c r="G24" i="1"/>
  <c r="G218" i="1"/>
  <c r="G272" i="1"/>
  <c r="G259" i="1"/>
  <c r="G53" i="1"/>
  <c r="G267" i="1"/>
  <c r="G357" i="1"/>
  <c r="G145" i="1"/>
  <c r="G195" i="1"/>
  <c r="G108" i="1"/>
  <c r="G227" i="1"/>
  <c r="G128" i="1"/>
  <c r="G206" i="1"/>
  <c r="G336" i="1"/>
  <c r="G318" i="1"/>
  <c r="G98" i="1"/>
  <c r="G10" i="1"/>
  <c r="G35" i="1"/>
  <c r="G235" i="1"/>
  <c r="G83" i="1"/>
  <c r="G162" i="1"/>
  <c r="G93" i="1"/>
  <c r="G6" i="1"/>
  <c r="G182" i="1"/>
  <c r="G143" i="1"/>
  <c r="G75" i="1"/>
  <c r="G79" i="1"/>
  <c r="G201" i="1"/>
  <c r="G296" i="1"/>
  <c r="G190" i="1"/>
  <c r="G209" i="1"/>
  <c r="G176" i="1"/>
  <c r="G260" i="1"/>
  <c r="G131" i="1"/>
  <c r="G164" i="1"/>
  <c r="G306" i="1"/>
  <c r="G308" i="1"/>
  <c r="G321" i="1"/>
  <c r="G44" i="1"/>
  <c r="G275" i="1"/>
  <c r="G42" i="1"/>
  <c r="G200" i="1"/>
  <c r="G287" i="1"/>
  <c r="G122" i="1"/>
  <c r="G250" i="1"/>
  <c r="G299" i="1"/>
  <c r="G330" i="1"/>
  <c r="G96" i="1"/>
  <c r="G30" i="1"/>
  <c r="G356" i="1"/>
  <c r="G144" i="1"/>
  <c r="G266" i="1"/>
  <c r="G268" i="1"/>
  <c r="G43" i="1"/>
  <c r="G127" i="1"/>
  <c r="G221" i="1"/>
  <c r="G56" i="1"/>
  <c r="G337" i="1"/>
  <c r="G50" i="1"/>
  <c r="G233" i="1"/>
  <c r="G167" i="1"/>
  <c r="G286" i="1"/>
  <c r="G36" i="1"/>
  <c r="G137" i="1"/>
  <c r="G48" i="1"/>
  <c r="G311" i="1"/>
  <c r="G49" i="1"/>
  <c r="G197" i="1"/>
  <c r="G116" i="1"/>
  <c r="G89" i="1"/>
  <c r="G26" i="1"/>
  <c r="G261" i="1"/>
  <c r="G228" i="1"/>
  <c r="G319" i="1"/>
  <c r="G11" i="1"/>
  <c r="G192" i="1"/>
  <c r="G355" i="1"/>
  <c r="G70" i="1"/>
  <c r="G28" i="1"/>
  <c r="G324" i="1"/>
  <c r="G19" i="1"/>
  <c r="G9" i="1"/>
  <c r="G126" i="1"/>
  <c r="G141" i="1"/>
  <c r="G303" i="1"/>
  <c r="G238" i="1"/>
  <c r="G163" i="1"/>
  <c r="G219" i="1"/>
  <c r="G132" i="1"/>
  <c r="G301" i="1"/>
  <c r="G288" i="1"/>
  <c r="G327" i="1"/>
  <c r="G325" i="1"/>
  <c r="G65" i="1"/>
  <c r="G133" i="1"/>
  <c r="G146" i="1"/>
  <c r="G57" i="1"/>
  <c r="G157" i="1"/>
  <c r="G194" i="1"/>
  <c r="G40" i="1"/>
  <c r="G328" i="1"/>
  <c r="G354" i="1"/>
  <c r="G353" i="1"/>
  <c r="G189" i="1"/>
  <c r="G214" i="1"/>
  <c r="G51" i="1"/>
  <c r="G196" i="1"/>
  <c r="G165" i="1"/>
  <c r="G140" i="1"/>
  <c r="G138" i="1"/>
  <c r="G183" i="1"/>
  <c r="G278" i="1"/>
  <c r="G123" i="1"/>
  <c r="G107" i="1"/>
  <c r="G112" i="1"/>
  <c r="G274" i="1"/>
  <c r="G22" i="1"/>
  <c r="G31" i="1"/>
  <c r="G352" i="1"/>
  <c r="G210" i="1"/>
  <c r="G213" i="1"/>
  <c r="G23" i="1"/>
  <c r="G100" i="1"/>
  <c r="G326" i="1"/>
  <c r="G67" i="1"/>
  <c r="G351" i="1"/>
  <c r="G95" i="1"/>
  <c r="G85" i="1"/>
  <c r="G280" i="1"/>
  <c r="G350" i="1"/>
  <c r="G240" i="1"/>
  <c r="G179" i="1"/>
  <c r="G52" i="1"/>
  <c r="G294" i="1"/>
  <c r="G148" i="1"/>
  <c r="G32" i="1"/>
  <c r="G185" i="1"/>
  <c r="G231" i="1"/>
  <c r="G72" i="1"/>
  <c r="G342" i="1"/>
  <c r="G135" i="1"/>
  <c r="G349" i="1"/>
  <c r="G117" i="1"/>
  <c r="G348" i="1"/>
  <c r="G81" i="1"/>
  <c r="G222" i="1"/>
  <c r="G171" i="1"/>
  <c r="G161" i="1"/>
  <c r="G147" i="1"/>
  <c r="G239" i="1"/>
  <c r="G224" i="1"/>
  <c r="G273" i="1"/>
  <c r="G121" i="1"/>
  <c r="G101" i="1"/>
  <c r="G305" i="1"/>
  <c r="G113" i="1"/>
  <c r="G181" i="1"/>
  <c r="G347" i="1"/>
  <c r="G335" i="1"/>
  <c r="G262" i="1"/>
  <c r="G322" i="1"/>
  <c r="G177" i="1"/>
  <c r="G129" i="1"/>
  <c r="G46" i="1"/>
  <c r="G21" i="1"/>
  <c r="G27" i="1"/>
  <c r="G109" i="1"/>
  <c r="G4" i="1"/>
  <c r="G290" i="1"/>
  <c r="G279" i="1"/>
  <c r="G64" i="1"/>
  <c r="G346" i="1"/>
  <c r="G297" i="1"/>
  <c r="G264" i="1"/>
  <c r="G332" i="1"/>
  <c r="G105" i="1"/>
  <c r="G8" i="1"/>
  <c r="G3" i="1"/>
  <c r="G102" i="1"/>
  <c r="G237" i="1"/>
  <c r="G62" i="1"/>
  <c r="G33" i="1"/>
  <c r="G166" i="1"/>
  <c r="G5" i="1"/>
  <c r="G104" i="1"/>
  <c r="G154" i="1"/>
  <c r="G329" i="1"/>
  <c r="G345" i="1"/>
  <c r="G339" i="1"/>
  <c r="G180" i="1"/>
  <c r="G313" i="1"/>
  <c r="G118" i="1"/>
  <c r="G304" i="1"/>
  <c r="G338" i="1"/>
  <c r="G114" i="1"/>
  <c r="G344" i="1"/>
  <c r="G119" i="1"/>
  <c r="G130" i="1"/>
  <c r="G220" i="1"/>
  <c r="G184" i="1"/>
  <c r="G84" i="1"/>
  <c r="G309" i="1"/>
  <c r="G125" i="1"/>
  <c r="G15" i="1"/>
  <c r="G71" i="1"/>
  <c r="G63" i="1"/>
  <c r="G257" i="1"/>
  <c r="G76" i="1"/>
  <c r="G251" i="1"/>
  <c r="G134" i="1"/>
  <c r="G172" i="1"/>
  <c r="G39" i="1"/>
  <c r="G310" i="1"/>
  <c r="G199" i="1"/>
  <c r="G68" i="1"/>
  <c r="G34" i="1"/>
  <c r="G160" i="1"/>
  <c r="G73" i="1"/>
  <c r="G277" i="1"/>
  <c r="G323" i="1"/>
  <c r="G203" i="1"/>
  <c r="G99" i="1"/>
  <c r="G191" i="1"/>
  <c r="G253" i="1"/>
  <c r="G175" i="1"/>
  <c r="G178" i="1"/>
  <c r="G69" i="1"/>
  <c r="G284" i="1"/>
  <c r="G124" i="1"/>
  <c r="G187" i="1"/>
  <c r="G198" i="1"/>
  <c r="G80" i="1"/>
  <c r="G92" i="1"/>
  <c r="G312" i="1"/>
  <c r="G173" i="1"/>
  <c r="G91" i="1"/>
  <c r="G314" i="1"/>
  <c r="G247" i="1"/>
  <c r="G276" i="1"/>
  <c r="G37" i="1"/>
  <c r="G307" i="1"/>
  <c r="G82" i="1"/>
  <c r="G18" i="1"/>
  <c r="G58" i="1"/>
  <c r="G204" i="1"/>
  <c r="G74" i="1"/>
  <c r="G139" i="1"/>
  <c r="G282" i="1"/>
  <c r="G20" i="1"/>
  <c r="G115" i="1"/>
  <c r="G269" i="1"/>
  <c r="G87" i="1"/>
  <c r="G142" i="1"/>
  <c r="G217" i="1"/>
  <c r="G153" i="1"/>
  <c r="G38" i="1"/>
  <c r="G295" i="1"/>
  <c r="G174" i="1"/>
  <c r="G289" i="1"/>
  <c r="G106" i="1"/>
  <c r="G169" i="1"/>
  <c r="G263" i="1"/>
  <c r="G244" i="1"/>
  <c r="G188" i="1"/>
  <c r="G78" i="1"/>
  <c r="G207" i="1"/>
  <c r="G285" i="1"/>
  <c r="G341" i="1"/>
  <c r="G343" i="1"/>
  <c r="K289" i="1" l="1"/>
  <c r="L289" i="1" s="1"/>
  <c r="M289" i="1" s="1"/>
  <c r="N289" i="1" s="1"/>
  <c r="O289" i="1"/>
  <c r="P289" i="1" s="1"/>
  <c r="Q289" i="1" s="1"/>
  <c r="R289" i="1" s="1"/>
  <c r="S289" i="1"/>
  <c r="T289" i="1" s="1"/>
  <c r="U289" i="1" s="1"/>
  <c r="V289" i="1" s="1"/>
  <c r="K204" i="1"/>
  <c r="L204" i="1" s="1"/>
  <c r="M204" i="1" s="1"/>
  <c r="N204" i="1" s="1"/>
  <c r="S204" i="1"/>
  <c r="T204" i="1" s="1"/>
  <c r="U204" i="1" s="1"/>
  <c r="V204" i="1" s="1"/>
  <c r="O204" i="1"/>
  <c r="P204" i="1" s="1"/>
  <c r="Q204" i="1" s="1"/>
  <c r="R204" i="1" s="1"/>
  <c r="K92" i="1"/>
  <c r="L92" i="1" s="1"/>
  <c r="M92" i="1" s="1"/>
  <c r="N92" i="1" s="1"/>
  <c r="S92" i="1"/>
  <c r="T92" i="1" s="1"/>
  <c r="U92" i="1" s="1"/>
  <c r="V92" i="1" s="1"/>
  <c r="O92" i="1"/>
  <c r="P92" i="1" s="1"/>
  <c r="Q92" i="1" s="1"/>
  <c r="R92" i="1" s="1"/>
  <c r="K203" i="1"/>
  <c r="L203" i="1" s="1"/>
  <c r="M203" i="1" s="1"/>
  <c r="N203" i="1" s="1"/>
  <c r="O203" i="1"/>
  <c r="P203" i="1" s="1"/>
  <c r="Q203" i="1" s="1"/>
  <c r="R203" i="1" s="1"/>
  <c r="S203" i="1"/>
  <c r="T203" i="1" s="1"/>
  <c r="U203" i="1" s="1"/>
  <c r="V203" i="1" s="1"/>
  <c r="K172" i="1"/>
  <c r="L172" i="1" s="1"/>
  <c r="M172" i="1" s="1"/>
  <c r="N172" i="1" s="1"/>
  <c r="S172" i="1"/>
  <c r="T172" i="1" s="1"/>
  <c r="U172" i="1" s="1"/>
  <c r="V172" i="1" s="1"/>
  <c r="O172" i="1"/>
  <c r="P172" i="1" s="1"/>
  <c r="Q172" i="1" s="1"/>
  <c r="R172" i="1" s="1"/>
  <c r="K84" i="1"/>
  <c r="L84" i="1" s="1"/>
  <c r="M84" i="1" s="1"/>
  <c r="N84" i="1" s="1"/>
  <c r="S84" i="1"/>
  <c r="T84" i="1" s="1"/>
  <c r="U84" i="1" s="1"/>
  <c r="V84" i="1" s="1"/>
  <c r="O84" i="1"/>
  <c r="P84" i="1" s="1"/>
  <c r="Q84" i="1" s="1"/>
  <c r="R84" i="1" s="1"/>
  <c r="K304" i="1"/>
  <c r="L304" i="1" s="1"/>
  <c r="M304" i="1" s="1"/>
  <c r="N304" i="1" s="1"/>
  <c r="S304" i="1"/>
  <c r="T304" i="1" s="1"/>
  <c r="U304" i="1" s="1"/>
  <c r="V304" i="1" s="1"/>
  <c r="O304" i="1"/>
  <c r="P304" i="1" s="1"/>
  <c r="Q304" i="1" s="1"/>
  <c r="R304" i="1" s="1"/>
  <c r="K104" i="1"/>
  <c r="L104" i="1" s="1"/>
  <c r="M104" i="1" s="1"/>
  <c r="N104" i="1" s="1"/>
  <c r="S104" i="1"/>
  <c r="T104" i="1" s="1"/>
  <c r="U104" i="1" s="1"/>
  <c r="V104" i="1" s="1"/>
  <c r="O104" i="1"/>
  <c r="P104" i="1" s="1"/>
  <c r="Q104" i="1" s="1"/>
  <c r="R104" i="1" s="1"/>
  <c r="K102" i="1"/>
  <c r="L102" i="1" s="1"/>
  <c r="M102" i="1" s="1"/>
  <c r="N102" i="1" s="1"/>
  <c r="S102" i="1"/>
  <c r="T102" i="1" s="1"/>
  <c r="U102" i="1" s="1"/>
  <c r="V102" i="1" s="1"/>
  <c r="O102" i="1"/>
  <c r="P102" i="1" s="1"/>
  <c r="Q102" i="1" s="1"/>
  <c r="R102" i="1" s="1"/>
  <c r="K64" i="1"/>
  <c r="L64" i="1" s="1"/>
  <c r="M64" i="1" s="1"/>
  <c r="N64" i="1" s="1"/>
  <c r="S64" i="1"/>
  <c r="T64" i="1" s="1"/>
  <c r="U64" i="1" s="1"/>
  <c r="V64" i="1" s="1"/>
  <c r="O64" i="1"/>
  <c r="P64" i="1" s="1"/>
  <c r="Q64" i="1" s="1"/>
  <c r="R64" i="1" s="1"/>
  <c r="K129" i="1"/>
  <c r="L129" i="1" s="1"/>
  <c r="M129" i="1" s="1"/>
  <c r="N129" i="1" s="1"/>
  <c r="O129" i="1"/>
  <c r="P129" i="1" s="1"/>
  <c r="Q129" i="1" s="1"/>
  <c r="R129" i="1" s="1"/>
  <c r="S129" i="1"/>
  <c r="T129" i="1" s="1"/>
  <c r="U129" i="1" s="1"/>
  <c r="V129" i="1" s="1"/>
  <c r="K335" i="1"/>
  <c r="L335" i="1" s="1"/>
  <c r="M335" i="1" s="1"/>
  <c r="N335" i="1" s="1"/>
  <c r="O335" i="1"/>
  <c r="P335" i="1" s="1"/>
  <c r="Q335" i="1" s="1"/>
  <c r="R335" i="1" s="1"/>
  <c r="S335" i="1"/>
  <c r="T335" i="1" s="1"/>
  <c r="U335" i="1" s="1"/>
  <c r="V335" i="1" s="1"/>
  <c r="K181" i="1"/>
  <c r="L181" i="1" s="1"/>
  <c r="M181" i="1" s="1"/>
  <c r="N181" i="1" s="1"/>
  <c r="O181" i="1"/>
  <c r="P181" i="1" s="1"/>
  <c r="Q181" i="1" s="1"/>
  <c r="R181" i="1" s="1"/>
  <c r="S181" i="1"/>
  <c r="T181" i="1" s="1"/>
  <c r="U181" i="1" s="1"/>
  <c r="V181" i="1" s="1"/>
  <c r="K121" i="1"/>
  <c r="L121" i="1" s="1"/>
  <c r="M121" i="1" s="1"/>
  <c r="N121" i="1" s="1"/>
  <c r="O121" i="1"/>
  <c r="P121" i="1" s="1"/>
  <c r="Q121" i="1" s="1"/>
  <c r="R121" i="1" s="1"/>
  <c r="S121" i="1"/>
  <c r="T121" i="1" s="1"/>
  <c r="U121" i="1" s="1"/>
  <c r="V121" i="1" s="1"/>
  <c r="K224" i="1"/>
  <c r="L224" i="1" s="1"/>
  <c r="M224" i="1" s="1"/>
  <c r="N224" i="1" s="1"/>
  <c r="S224" i="1"/>
  <c r="T224" i="1" s="1"/>
  <c r="U224" i="1" s="1"/>
  <c r="V224" i="1" s="1"/>
  <c r="O224" i="1"/>
  <c r="P224" i="1" s="1"/>
  <c r="Q224" i="1" s="1"/>
  <c r="R224" i="1" s="1"/>
  <c r="K147" i="1"/>
  <c r="L147" i="1" s="1"/>
  <c r="M147" i="1" s="1"/>
  <c r="N147" i="1" s="1"/>
  <c r="O147" i="1"/>
  <c r="P147" i="1" s="1"/>
  <c r="Q147" i="1" s="1"/>
  <c r="R147" i="1" s="1"/>
  <c r="S147" i="1"/>
  <c r="T147" i="1" s="1"/>
  <c r="U147" i="1" s="1"/>
  <c r="V147" i="1" s="1"/>
  <c r="K171" i="1"/>
  <c r="L171" i="1" s="1"/>
  <c r="M171" i="1" s="1"/>
  <c r="N171" i="1" s="1"/>
  <c r="O171" i="1"/>
  <c r="P171" i="1" s="1"/>
  <c r="Q171" i="1" s="1"/>
  <c r="R171" i="1" s="1"/>
  <c r="S171" i="1"/>
  <c r="T171" i="1" s="1"/>
  <c r="U171" i="1" s="1"/>
  <c r="V171" i="1" s="1"/>
  <c r="K81" i="1"/>
  <c r="L81" i="1" s="1"/>
  <c r="M81" i="1" s="1"/>
  <c r="N81" i="1" s="1"/>
  <c r="O81" i="1"/>
  <c r="P81" i="1" s="1"/>
  <c r="Q81" i="1" s="1"/>
  <c r="R81" i="1" s="1"/>
  <c r="S81" i="1"/>
  <c r="T81" i="1" s="1"/>
  <c r="U81" i="1" s="1"/>
  <c r="V81" i="1" s="1"/>
  <c r="K117" i="1"/>
  <c r="L117" i="1" s="1"/>
  <c r="M117" i="1" s="1"/>
  <c r="N117" i="1" s="1"/>
  <c r="O117" i="1"/>
  <c r="P117" i="1" s="1"/>
  <c r="Q117" i="1" s="1"/>
  <c r="R117" i="1" s="1"/>
  <c r="S117" i="1"/>
  <c r="T117" i="1" s="1"/>
  <c r="U117" i="1" s="1"/>
  <c r="V117" i="1" s="1"/>
  <c r="K135" i="1"/>
  <c r="L135" i="1" s="1"/>
  <c r="M135" i="1" s="1"/>
  <c r="N135" i="1" s="1"/>
  <c r="O135" i="1"/>
  <c r="P135" i="1" s="1"/>
  <c r="Q135" i="1" s="1"/>
  <c r="R135" i="1" s="1"/>
  <c r="S135" i="1"/>
  <c r="T135" i="1" s="1"/>
  <c r="U135" i="1" s="1"/>
  <c r="V135" i="1" s="1"/>
  <c r="K72" i="1"/>
  <c r="L72" i="1" s="1"/>
  <c r="M72" i="1" s="1"/>
  <c r="N72" i="1" s="1"/>
  <c r="S72" i="1"/>
  <c r="T72" i="1" s="1"/>
  <c r="U72" i="1" s="1"/>
  <c r="V72" i="1" s="1"/>
  <c r="O72" i="1"/>
  <c r="P72" i="1" s="1"/>
  <c r="Q72" i="1" s="1"/>
  <c r="R72" i="1" s="1"/>
  <c r="K185" i="1"/>
  <c r="L185" i="1" s="1"/>
  <c r="M185" i="1" s="1"/>
  <c r="N185" i="1" s="1"/>
  <c r="O185" i="1"/>
  <c r="P185" i="1" s="1"/>
  <c r="Q185" i="1" s="1"/>
  <c r="R185" i="1" s="1"/>
  <c r="S185" i="1"/>
  <c r="T185" i="1" s="1"/>
  <c r="U185" i="1" s="1"/>
  <c r="V185" i="1" s="1"/>
  <c r="K148" i="1"/>
  <c r="L148" i="1" s="1"/>
  <c r="M148" i="1" s="1"/>
  <c r="N148" i="1" s="1"/>
  <c r="S148" i="1"/>
  <c r="T148" i="1" s="1"/>
  <c r="U148" i="1" s="1"/>
  <c r="V148" i="1" s="1"/>
  <c r="O148" i="1"/>
  <c r="P148" i="1" s="1"/>
  <c r="Q148" i="1" s="1"/>
  <c r="R148" i="1" s="1"/>
  <c r="K52" i="1"/>
  <c r="L52" i="1" s="1"/>
  <c r="M52" i="1" s="1"/>
  <c r="N52" i="1" s="1"/>
  <c r="S52" i="1"/>
  <c r="T52" i="1" s="1"/>
  <c r="U52" i="1" s="1"/>
  <c r="V52" i="1" s="1"/>
  <c r="O52" i="1"/>
  <c r="P52" i="1" s="1"/>
  <c r="Q52" i="1" s="1"/>
  <c r="R52" i="1" s="1"/>
  <c r="K240" i="1"/>
  <c r="L240" i="1" s="1"/>
  <c r="M240" i="1" s="1"/>
  <c r="N240" i="1" s="1"/>
  <c r="S240" i="1"/>
  <c r="T240" i="1" s="1"/>
  <c r="U240" i="1" s="1"/>
  <c r="V240" i="1" s="1"/>
  <c r="O240" i="1"/>
  <c r="P240" i="1" s="1"/>
  <c r="Q240" i="1" s="1"/>
  <c r="R240" i="1" s="1"/>
  <c r="K280" i="1"/>
  <c r="L280" i="1" s="1"/>
  <c r="M280" i="1" s="1"/>
  <c r="N280" i="1" s="1"/>
  <c r="S280" i="1"/>
  <c r="T280" i="1" s="1"/>
  <c r="U280" i="1" s="1"/>
  <c r="V280" i="1" s="1"/>
  <c r="O280" i="1"/>
  <c r="P280" i="1" s="1"/>
  <c r="Q280" i="1" s="1"/>
  <c r="R280" i="1" s="1"/>
  <c r="K95" i="1"/>
  <c r="L95" i="1" s="1"/>
  <c r="M95" i="1" s="1"/>
  <c r="N95" i="1" s="1"/>
  <c r="O95" i="1"/>
  <c r="P95" i="1" s="1"/>
  <c r="Q95" i="1" s="1"/>
  <c r="R95" i="1" s="1"/>
  <c r="S95" i="1"/>
  <c r="T95" i="1" s="1"/>
  <c r="U95" i="1" s="1"/>
  <c r="V95" i="1" s="1"/>
  <c r="K67" i="1"/>
  <c r="L67" i="1" s="1"/>
  <c r="M67" i="1" s="1"/>
  <c r="N67" i="1" s="1"/>
  <c r="O67" i="1"/>
  <c r="P67" i="1" s="1"/>
  <c r="Q67" i="1" s="1"/>
  <c r="R67" i="1" s="1"/>
  <c r="S67" i="1"/>
  <c r="T67" i="1" s="1"/>
  <c r="U67" i="1" s="1"/>
  <c r="V67" i="1" s="1"/>
  <c r="K100" i="1"/>
  <c r="L100" i="1" s="1"/>
  <c r="M100" i="1" s="1"/>
  <c r="N100" i="1" s="1"/>
  <c r="S100" i="1"/>
  <c r="T100" i="1" s="1"/>
  <c r="U100" i="1" s="1"/>
  <c r="V100" i="1" s="1"/>
  <c r="O100" i="1"/>
  <c r="P100" i="1" s="1"/>
  <c r="Q100" i="1" s="1"/>
  <c r="R100" i="1" s="1"/>
  <c r="K213" i="1"/>
  <c r="L213" i="1" s="1"/>
  <c r="M213" i="1" s="1"/>
  <c r="N213" i="1" s="1"/>
  <c r="O213" i="1"/>
  <c r="P213" i="1" s="1"/>
  <c r="Q213" i="1" s="1"/>
  <c r="R213" i="1" s="1"/>
  <c r="S213" i="1"/>
  <c r="T213" i="1" s="1"/>
  <c r="U213" i="1" s="1"/>
  <c r="V213" i="1" s="1"/>
  <c r="K352" i="1"/>
  <c r="L352" i="1" s="1"/>
  <c r="M352" i="1" s="1"/>
  <c r="N352" i="1" s="1"/>
  <c r="S352" i="1"/>
  <c r="T352" i="1" s="1"/>
  <c r="U352" i="1" s="1"/>
  <c r="V352" i="1" s="1"/>
  <c r="O352" i="1"/>
  <c r="P352" i="1" s="1"/>
  <c r="Q352" i="1" s="1"/>
  <c r="R352" i="1" s="1"/>
  <c r="K22" i="1"/>
  <c r="L22" i="1" s="1"/>
  <c r="M22" i="1" s="1"/>
  <c r="N22" i="1" s="1"/>
  <c r="S22" i="1"/>
  <c r="T22" i="1" s="1"/>
  <c r="U22" i="1" s="1"/>
  <c r="V22" i="1" s="1"/>
  <c r="O22" i="1"/>
  <c r="P22" i="1" s="1"/>
  <c r="Q22" i="1" s="1"/>
  <c r="R22" i="1" s="1"/>
  <c r="K112" i="1"/>
  <c r="L112" i="1" s="1"/>
  <c r="M112" i="1" s="1"/>
  <c r="N112" i="1" s="1"/>
  <c r="S112" i="1"/>
  <c r="T112" i="1" s="1"/>
  <c r="U112" i="1" s="1"/>
  <c r="V112" i="1" s="1"/>
  <c r="O112" i="1"/>
  <c r="P112" i="1" s="1"/>
  <c r="Q112" i="1" s="1"/>
  <c r="R112" i="1" s="1"/>
  <c r="K123" i="1"/>
  <c r="L123" i="1" s="1"/>
  <c r="M123" i="1" s="1"/>
  <c r="N123" i="1" s="1"/>
  <c r="O123" i="1"/>
  <c r="P123" i="1" s="1"/>
  <c r="Q123" i="1" s="1"/>
  <c r="R123" i="1" s="1"/>
  <c r="S123" i="1"/>
  <c r="T123" i="1" s="1"/>
  <c r="U123" i="1" s="1"/>
  <c r="V123" i="1" s="1"/>
  <c r="K183" i="1"/>
  <c r="L183" i="1" s="1"/>
  <c r="M183" i="1" s="1"/>
  <c r="N183" i="1" s="1"/>
  <c r="O183" i="1"/>
  <c r="P183" i="1" s="1"/>
  <c r="Q183" i="1" s="1"/>
  <c r="R183" i="1" s="1"/>
  <c r="S183" i="1"/>
  <c r="T183" i="1" s="1"/>
  <c r="U183" i="1" s="1"/>
  <c r="V183" i="1" s="1"/>
  <c r="K140" i="1"/>
  <c r="L140" i="1" s="1"/>
  <c r="M140" i="1" s="1"/>
  <c r="N140" i="1" s="1"/>
  <c r="S140" i="1"/>
  <c r="T140" i="1" s="1"/>
  <c r="U140" i="1" s="1"/>
  <c r="V140" i="1" s="1"/>
  <c r="O140" i="1"/>
  <c r="P140" i="1" s="1"/>
  <c r="Q140" i="1" s="1"/>
  <c r="R140" i="1" s="1"/>
  <c r="K196" i="1"/>
  <c r="L196" i="1" s="1"/>
  <c r="M196" i="1" s="1"/>
  <c r="N196" i="1" s="1"/>
  <c r="S196" i="1"/>
  <c r="T196" i="1" s="1"/>
  <c r="U196" i="1" s="1"/>
  <c r="V196" i="1" s="1"/>
  <c r="O196" i="1"/>
  <c r="P196" i="1" s="1"/>
  <c r="Q196" i="1" s="1"/>
  <c r="R196" i="1" s="1"/>
  <c r="K214" i="1"/>
  <c r="L214" i="1" s="1"/>
  <c r="M214" i="1" s="1"/>
  <c r="N214" i="1" s="1"/>
  <c r="S214" i="1"/>
  <c r="T214" i="1" s="1"/>
  <c r="U214" i="1" s="1"/>
  <c r="V214" i="1" s="1"/>
  <c r="O214" i="1"/>
  <c r="P214" i="1" s="1"/>
  <c r="Q214" i="1" s="1"/>
  <c r="R214" i="1" s="1"/>
  <c r="K353" i="1"/>
  <c r="L353" i="1" s="1"/>
  <c r="M353" i="1" s="1"/>
  <c r="N353" i="1" s="1"/>
  <c r="O353" i="1"/>
  <c r="P353" i="1" s="1"/>
  <c r="Q353" i="1" s="1"/>
  <c r="R353" i="1" s="1"/>
  <c r="S353" i="1"/>
  <c r="T353" i="1" s="1"/>
  <c r="U353" i="1" s="1"/>
  <c r="V353" i="1" s="1"/>
  <c r="K328" i="1"/>
  <c r="L328" i="1" s="1"/>
  <c r="M328" i="1" s="1"/>
  <c r="N328" i="1" s="1"/>
  <c r="S328" i="1"/>
  <c r="T328" i="1" s="1"/>
  <c r="U328" i="1" s="1"/>
  <c r="V328" i="1" s="1"/>
  <c r="O328" i="1"/>
  <c r="P328" i="1" s="1"/>
  <c r="Q328" i="1" s="1"/>
  <c r="R328" i="1" s="1"/>
  <c r="K194" i="1"/>
  <c r="L194" i="1" s="1"/>
  <c r="M194" i="1" s="1"/>
  <c r="N194" i="1" s="1"/>
  <c r="S194" i="1"/>
  <c r="T194" i="1" s="1"/>
  <c r="U194" i="1" s="1"/>
  <c r="V194" i="1" s="1"/>
  <c r="O194" i="1"/>
  <c r="P194" i="1" s="1"/>
  <c r="Q194" i="1" s="1"/>
  <c r="R194" i="1" s="1"/>
  <c r="K57" i="1"/>
  <c r="L57" i="1" s="1"/>
  <c r="M57" i="1" s="1"/>
  <c r="N57" i="1" s="1"/>
  <c r="S57" i="1"/>
  <c r="T57" i="1" s="1"/>
  <c r="U57" i="1" s="1"/>
  <c r="V57" i="1" s="1"/>
  <c r="O57" i="1"/>
  <c r="P57" i="1" s="1"/>
  <c r="Q57" i="1" s="1"/>
  <c r="R57" i="1" s="1"/>
  <c r="K133" i="1"/>
  <c r="L133" i="1" s="1"/>
  <c r="M133" i="1" s="1"/>
  <c r="N133" i="1" s="1"/>
  <c r="O133" i="1"/>
  <c r="P133" i="1" s="1"/>
  <c r="Q133" i="1" s="1"/>
  <c r="R133" i="1" s="1"/>
  <c r="S133" i="1"/>
  <c r="T133" i="1" s="1"/>
  <c r="U133" i="1" s="1"/>
  <c r="V133" i="1" s="1"/>
  <c r="K325" i="1"/>
  <c r="L325" i="1" s="1"/>
  <c r="M325" i="1" s="1"/>
  <c r="N325" i="1" s="1"/>
  <c r="O325" i="1"/>
  <c r="P325" i="1" s="1"/>
  <c r="Q325" i="1" s="1"/>
  <c r="R325" i="1" s="1"/>
  <c r="S325" i="1"/>
  <c r="T325" i="1" s="1"/>
  <c r="U325" i="1" s="1"/>
  <c r="V325" i="1" s="1"/>
  <c r="K288" i="1"/>
  <c r="L288" i="1" s="1"/>
  <c r="M288" i="1" s="1"/>
  <c r="N288" i="1" s="1"/>
  <c r="S288" i="1"/>
  <c r="T288" i="1" s="1"/>
  <c r="U288" i="1" s="1"/>
  <c r="V288" i="1" s="1"/>
  <c r="O288" i="1"/>
  <c r="P288" i="1" s="1"/>
  <c r="Q288" i="1" s="1"/>
  <c r="R288" i="1" s="1"/>
  <c r="K132" i="1"/>
  <c r="L132" i="1" s="1"/>
  <c r="M132" i="1" s="1"/>
  <c r="N132" i="1" s="1"/>
  <c r="S132" i="1"/>
  <c r="T132" i="1" s="1"/>
  <c r="U132" i="1" s="1"/>
  <c r="V132" i="1" s="1"/>
  <c r="O132" i="1"/>
  <c r="P132" i="1" s="1"/>
  <c r="Q132" i="1" s="1"/>
  <c r="R132" i="1" s="1"/>
  <c r="K163" i="1"/>
  <c r="L163" i="1" s="1"/>
  <c r="M163" i="1" s="1"/>
  <c r="N163" i="1" s="1"/>
  <c r="O163" i="1"/>
  <c r="P163" i="1" s="1"/>
  <c r="Q163" i="1" s="1"/>
  <c r="R163" i="1" s="1"/>
  <c r="S163" i="1"/>
  <c r="T163" i="1" s="1"/>
  <c r="U163" i="1" s="1"/>
  <c r="V163" i="1" s="1"/>
  <c r="K303" i="1"/>
  <c r="L303" i="1" s="1"/>
  <c r="M303" i="1" s="1"/>
  <c r="N303" i="1" s="1"/>
  <c r="O303" i="1"/>
  <c r="P303" i="1" s="1"/>
  <c r="Q303" i="1" s="1"/>
  <c r="R303" i="1" s="1"/>
  <c r="S303" i="1"/>
  <c r="T303" i="1" s="1"/>
  <c r="U303" i="1" s="1"/>
  <c r="V303" i="1" s="1"/>
  <c r="K126" i="1"/>
  <c r="L126" i="1" s="1"/>
  <c r="M126" i="1" s="1"/>
  <c r="N126" i="1" s="1"/>
  <c r="S126" i="1"/>
  <c r="T126" i="1" s="1"/>
  <c r="U126" i="1" s="1"/>
  <c r="V126" i="1" s="1"/>
  <c r="O126" i="1"/>
  <c r="P126" i="1" s="1"/>
  <c r="Q126" i="1" s="1"/>
  <c r="R126" i="1" s="1"/>
  <c r="K19" i="1"/>
  <c r="L19" i="1" s="1"/>
  <c r="M19" i="1" s="1"/>
  <c r="N19" i="1" s="1"/>
  <c r="S19" i="1"/>
  <c r="T19" i="1" s="1"/>
  <c r="U19" i="1" s="1"/>
  <c r="V19" i="1" s="1"/>
  <c r="O19" i="1"/>
  <c r="P19" i="1" s="1"/>
  <c r="Q19" i="1" s="1"/>
  <c r="R19" i="1" s="1"/>
  <c r="K28" i="1"/>
  <c r="L28" i="1" s="1"/>
  <c r="M28" i="1" s="1"/>
  <c r="N28" i="1" s="1"/>
  <c r="S28" i="1"/>
  <c r="T28" i="1" s="1"/>
  <c r="U28" i="1" s="1"/>
  <c r="V28" i="1" s="1"/>
  <c r="O28" i="1"/>
  <c r="P28" i="1" s="1"/>
  <c r="Q28" i="1" s="1"/>
  <c r="R28" i="1" s="1"/>
  <c r="K355" i="1"/>
  <c r="L355" i="1" s="1"/>
  <c r="M355" i="1" s="1"/>
  <c r="N355" i="1" s="1"/>
  <c r="O355" i="1"/>
  <c r="P355" i="1" s="1"/>
  <c r="Q355" i="1" s="1"/>
  <c r="R355" i="1" s="1"/>
  <c r="S355" i="1"/>
  <c r="T355" i="1" s="1"/>
  <c r="U355" i="1" s="1"/>
  <c r="V355" i="1" s="1"/>
  <c r="K11" i="1"/>
  <c r="L11" i="1" s="1"/>
  <c r="M11" i="1" s="1"/>
  <c r="N11" i="1" s="1"/>
  <c r="S11" i="1"/>
  <c r="T11" i="1" s="1"/>
  <c r="U11" i="1" s="1"/>
  <c r="V11" i="1" s="1"/>
  <c r="O11" i="1"/>
  <c r="P11" i="1" s="1"/>
  <c r="Q11" i="1" s="1"/>
  <c r="R11" i="1" s="1"/>
  <c r="K228" i="1"/>
  <c r="L228" i="1" s="1"/>
  <c r="M228" i="1" s="1"/>
  <c r="N228" i="1" s="1"/>
  <c r="S228" i="1"/>
  <c r="T228" i="1" s="1"/>
  <c r="U228" i="1" s="1"/>
  <c r="V228" i="1" s="1"/>
  <c r="O228" i="1"/>
  <c r="P228" i="1" s="1"/>
  <c r="Q228" i="1" s="1"/>
  <c r="R228" i="1" s="1"/>
  <c r="K26" i="1"/>
  <c r="L26" i="1" s="1"/>
  <c r="M26" i="1" s="1"/>
  <c r="N26" i="1" s="1"/>
  <c r="S26" i="1"/>
  <c r="T26" i="1" s="1"/>
  <c r="U26" i="1" s="1"/>
  <c r="V26" i="1" s="1"/>
  <c r="O26" i="1"/>
  <c r="P26" i="1" s="1"/>
  <c r="Q26" i="1" s="1"/>
  <c r="R26" i="1" s="1"/>
  <c r="K116" i="1"/>
  <c r="L116" i="1" s="1"/>
  <c r="M116" i="1" s="1"/>
  <c r="N116" i="1" s="1"/>
  <c r="S116" i="1"/>
  <c r="T116" i="1" s="1"/>
  <c r="U116" i="1" s="1"/>
  <c r="V116" i="1" s="1"/>
  <c r="O116" i="1"/>
  <c r="P116" i="1" s="1"/>
  <c r="Q116" i="1" s="1"/>
  <c r="R116" i="1" s="1"/>
  <c r="K49" i="1"/>
  <c r="L49" i="1" s="1"/>
  <c r="M49" i="1" s="1"/>
  <c r="N49" i="1" s="1"/>
  <c r="S49" i="1"/>
  <c r="T49" i="1" s="1"/>
  <c r="U49" i="1" s="1"/>
  <c r="V49" i="1" s="1"/>
  <c r="O49" i="1"/>
  <c r="P49" i="1" s="1"/>
  <c r="Q49" i="1" s="1"/>
  <c r="R49" i="1" s="1"/>
  <c r="K48" i="1"/>
  <c r="L48" i="1" s="1"/>
  <c r="M48" i="1" s="1"/>
  <c r="N48" i="1" s="1"/>
  <c r="S48" i="1"/>
  <c r="T48" i="1" s="1"/>
  <c r="U48" i="1" s="1"/>
  <c r="V48" i="1" s="1"/>
  <c r="O48" i="1"/>
  <c r="P48" i="1" s="1"/>
  <c r="Q48" i="1" s="1"/>
  <c r="R48" i="1" s="1"/>
  <c r="K36" i="1"/>
  <c r="L36" i="1" s="1"/>
  <c r="M36" i="1" s="1"/>
  <c r="N36" i="1" s="1"/>
  <c r="S36" i="1"/>
  <c r="T36" i="1" s="1"/>
  <c r="U36" i="1" s="1"/>
  <c r="V36" i="1" s="1"/>
  <c r="O36" i="1"/>
  <c r="P36" i="1" s="1"/>
  <c r="Q36" i="1" s="1"/>
  <c r="R36" i="1" s="1"/>
  <c r="K167" i="1"/>
  <c r="L167" i="1" s="1"/>
  <c r="M167" i="1" s="1"/>
  <c r="N167" i="1" s="1"/>
  <c r="O167" i="1"/>
  <c r="P167" i="1" s="1"/>
  <c r="Q167" i="1" s="1"/>
  <c r="R167" i="1" s="1"/>
  <c r="S167" i="1"/>
  <c r="T167" i="1" s="1"/>
  <c r="U167" i="1" s="1"/>
  <c r="V167" i="1" s="1"/>
  <c r="K50" i="1"/>
  <c r="L50" i="1" s="1"/>
  <c r="M50" i="1" s="1"/>
  <c r="N50" i="1" s="1"/>
  <c r="S50" i="1"/>
  <c r="T50" i="1" s="1"/>
  <c r="U50" i="1" s="1"/>
  <c r="V50" i="1" s="1"/>
  <c r="O50" i="1"/>
  <c r="P50" i="1" s="1"/>
  <c r="Q50" i="1" s="1"/>
  <c r="R50" i="1" s="1"/>
  <c r="K56" i="1"/>
  <c r="L56" i="1" s="1"/>
  <c r="M56" i="1" s="1"/>
  <c r="N56" i="1" s="1"/>
  <c r="S56" i="1"/>
  <c r="T56" i="1" s="1"/>
  <c r="U56" i="1" s="1"/>
  <c r="V56" i="1" s="1"/>
  <c r="O56" i="1"/>
  <c r="P56" i="1" s="1"/>
  <c r="Q56" i="1" s="1"/>
  <c r="R56" i="1" s="1"/>
  <c r="K127" i="1"/>
  <c r="L127" i="1" s="1"/>
  <c r="M127" i="1" s="1"/>
  <c r="N127" i="1" s="1"/>
  <c r="O127" i="1"/>
  <c r="P127" i="1" s="1"/>
  <c r="Q127" i="1" s="1"/>
  <c r="R127" i="1" s="1"/>
  <c r="S127" i="1"/>
  <c r="T127" i="1" s="1"/>
  <c r="U127" i="1" s="1"/>
  <c r="V127" i="1" s="1"/>
  <c r="K268" i="1"/>
  <c r="L268" i="1" s="1"/>
  <c r="M268" i="1" s="1"/>
  <c r="N268" i="1" s="1"/>
  <c r="S268" i="1"/>
  <c r="T268" i="1" s="1"/>
  <c r="U268" i="1" s="1"/>
  <c r="V268" i="1" s="1"/>
  <c r="O268" i="1"/>
  <c r="P268" i="1" s="1"/>
  <c r="Q268" i="1" s="1"/>
  <c r="R268" i="1" s="1"/>
  <c r="K144" i="1"/>
  <c r="L144" i="1" s="1"/>
  <c r="M144" i="1" s="1"/>
  <c r="N144" i="1" s="1"/>
  <c r="S144" i="1"/>
  <c r="T144" i="1" s="1"/>
  <c r="U144" i="1" s="1"/>
  <c r="V144" i="1" s="1"/>
  <c r="O144" i="1"/>
  <c r="P144" i="1" s="1"/>
  <c r="Q144" i="1" s="1"/>
  <c r="R144" i="1" s="1"/>
  <c r="K30" i="1"/>
  <c r="L30" i="1" s="1"/>
  <c r="M30" i="1" s="1"/>
  <c r="N30" i="1" s="1"/>
  <c r="S30" i="1"/>
  <c r="T30" i="1" s="1"/>
  <c r="U30" i="1" s="1"/>
  <c r="V30" i="1" s="1"/>
  <c r="O30" i="1"/>
  <c r="P30" i="1" s="1"/>
  <c r="Q30" i="1" s="1"/>
  <c r="R30" i="1" s="1"/>
  <c r="K330" i="1"/>
  <c r="L330" i="1" s="1"/>
  <c r="M330" i="1" s="1"/>
  <c r="N330" i="1" s="1"/>
  <c r="S330" i="1"/>
  <c r="T330" i="1" s="1"/>
  <c r="U330" i="1" s="1"/>
  <c r="V330" i="1" s="1"/>
  <c r="O330" i="1"/>
  <c r="P330" i="1" s="1"/>
  <c r="Q330" i="1" s="1"/>
  <c r="R330" i="1" s="1"/>
  <c r="K250" i="1"/>
  <c r="L250" i="1" s="1"/>
  <c r="M250" i="1" s="1"/>
  <c r="N250" i="1" s="1"/>
  <c r="S250" i="1"/>
  <c r="T250" i="1" s="1"/>
  <c r="U250" i="1" s="1"/>
  <c r="V250" i="1" s="1"/>
  <c r="O250" i="1"/>
  <c r="P250" i="1" s="1"/>
  <c r="Q250" i="1" s="1"/>
  <c r="R250" i="1" s="1"/>
  <c r="K287" i="1"/>
  <c r="L287" i="1" s="1"/>
  <c r="M287" i="1" s="1"/>
  <c r="N287" i="1" s="1"/>
  <c r="O287" i="1"/>
  <c r="P287" i="1" s="1"/>
  <c r="Q287" i="1" s="1"/>
  <c r="R287" i="1" s="1"/>
  <c r="S287" i="1"/>
  <c r="T287" i="1" s="1"/>
  <c r="U287" i="1" s="1"/>
  <c r="V287" i="1" s="1"/>
  <c r="K42" i="1"/>
  <c r="L42" i="1" s="1"/>
  <c r="M42" i="1" s="1"/>
  <c r="N42" i="1" s="1"/>
  <c r="S42" i="1"/>
  <c r="T42" i="1" s="1"/>
  <c r="U42" i="1" s="1"/>
  <c r="V42" i="1" s="1"/>
  <c r="O42" i="1"/>
  <c r="P42" i="1" s="1"/>
  <c r="Q42" i="1" s="1"/>
  <c r="R42" i="1" s="1"/>
  <c r="K44" i="1"/>
  <c r="L44" i="1" s="1"/>
  <c r="M44" i="1" s="1"/>
  <c r="N44" i="1" s="1"/>
  <c r="S44" i="1"/>
  <c r="T44" i="1" s="1"/>
  <c r="U44" i="1" s="1"/>
  <c r="V44" i="1" s="1"/>
  <c r="O44" i="1"/>
  <c r="P44" i="1" s="1"/>
  <c r="Q44" i="1" s="1"/>
  <c r="R44" i="1" s="1"/>
  <c r="K308" i="1"/>
  <c r="L308" i="1" s="1"/>
  <c r="M308" i="1" s="1"/>
  <c r="N308" i="1" s="1"/>
  <c r="S308" i="1"/>
  <c r="T308" i="1" s="1"/>
  <c r="U308" i="1" s="1"/>
  <c r="V308" i="1" s="1"/>
  <c r="O308" i="1"/>
  <c r="P308" i="1" s="1"/>
  <c r="Q308" i="1" s="1"/>
  <c r="R308" i="1" s="1"/>
  <c r="K164" i="1"/>
  <c r="L164" i="1" s="1"/>
  <c r="M164" i="1" s="1"/>
  <c r="N164" i="1" s="1"/>
  <c r="S164" i="1"/>
  <c r="T164" i="1" s="1"/>
  <c r="U164" i="1" s="1"/>
  <c r="V164" i="1" s="1"/>
  <c r="O164" i="1"/>
  <c r="P164" i="1" s="1"/>
  <c r="Q164" i="1" s="1"/>
  <c r="R164" i="1" s="1"/>
  <c r="K260" i="1"/>
  <c r="L260" i="1" s="1"/>
  <c r="M260" i="1" s="1"/>
  <c r="N260" i="1" s="1"/>
  <c r="S260" i="1"/>
  <c r="T260" i="1" s="1"/>
  <c r="U260" i="1" s="1"/>
  <c r="V260" i="1" s="1"/>
  <c r="O260" i="1"/>
  <c r="P260" i="1" s="1"/>
  <c r="Q260" i="1" s="1"/>
  <c r="R260" i="1" s="1"/>
  <c r="K209" i="1"/>
  <c r="L209" i="1" s="1"/>
  <c r="M209" i="1" s="1"/>
  <c r="N209" i="1" s="1"/>
  <c r="O209" i="1"/>
  <c r="P209" i="1" s="1"/>
  <c r="Q209" i="1" s="1"/>
  <c r="R209" i="1" s="1"/>
  <c r="S209" i="1"/>
  <c r="T209" i="1" s="1"/>
  <c r="U209" i="1" s="1"/>
  <c r="V209" i="1" s="1"/>
  <c r="K296" i="1"/>
  <c r="L296" i="1" s="1"/>
  <c r="M296" i="1" s="1"/>
  <c r="N296" i="1" s="1"/>
  <c r="S296" i="1"/>
  <c r="T296" i="1" s="1"/>
  <c r="U296" i="1" s="1"/>
  <c r="V296" i="1" s="1"/>
  <c r="O296" i="1"/>
  <c r="P296" i="1" s="1"/>
  <c r="Q296" i="1" s="1"/>
  <c r="R296" i="1" s="1"/>
  <c r="K79" i="1"/>
  <c r="L79" i="1" s="1"/>
  <c r="M79" i="1" s="1"/>
  <c r="N79" i="1" s="1"/>
  <c r="O79" i="1"/>
  <c r="P79" i="1" s="1"/>
  <c r="Q79" i="1" s="1"/>
  <c r="R79" i="1" s="1"/>
  <c r="S79" i="1"/>
  <c r="T79" i="1" s="1"/>
  <c r="U79" i="1" s="1"/>
  <c r="V79" i="1" s="1"/>
  <c r="K143" i="1"/>
  <c r="L143" i="1" s="1"/>
  <c r="M143" i="1" s="1"/>
  <c r="N143" i="1" s="1"/>
  <c r="O143" i="1"/>
  <c r="P143" i="1" s="1"/>
  <c r="Q143" i="1" s="1"/>
  <c r="R143" i="1" s="1"/>
  <c r="S143" i="1"/>
  <c r="T143" i="1" s="1"/>
  <c r="U143" i="1" s="1"/>
  <c r="V143" i="1" s="1"/>
  <c r="K6" i="1"/>
  <c r="L6" i="1" s="1"/>
  <c r="M6" i="1" s="1"/>
  <c r="N6" i="1" s="1"/>
  <c r="S6" i="1"/>
  <c r="T6" i="1" s="1"/>
  <c r="U6" i="1" s="1"/>
  <c r="V6" i="1" s="1"/>
  <c r="O6" i="1"/>
  <c r="P6" i="1" s="1"/>
  <c r="Q6" i="1" s="1"/>
  <c r="R6" i="1" s="1"/>
  <c r="K162" i="1"/>
  <c r="L162" i="1" s="1"/>
  <c r="M162" i="1" s="1"/>
  <c r="N162" i="1" s="1"/>
  <c r="S162" i="1"/>
  <c r="T162" i="1" s="1"/>
  <c r="U162" i="1" s="1"/>
  <c r="V162" i="1" s="1"/>
  <c r="O162" i="1"/>
  <c r="P162" i="1" s="1"/>
  <c r="Q162" i="1" s="1"/>
  <c r="R162" i="1" s="1"/>
  <c r="K235" i="1"/>
  <c r="L235" i="1" s="1"/>
  <c r="M235" i="1" s="1"/>
  <c r="N235" i="1" s="1"/>
  <c r="O235" i="1"/>
  <c r="P235" i="1" s="1"/>
  <c r="Q235" i="1" s="1"/>
  <c r="R235" i="1" s="1"/>
  <c r="S235" i="1"/>
  <c r="T235" i="1" s="1"/>
  <c r="U235" i="1" s="1"/>
  <c r="V235" i="1" s="1"/>
  <c r="K10" i="1"/>
  <c r="L10" i="1" s="1"/>
  <c r="M10" i="1" s="1"/>
  <c r="N10" i="1" s="1"/>
  <c r="S10" i="1"/>
  <c r="T10" i="1" s="1"/>
  <c r="U10" i="1" s="1"/>
  <c r="V10" i="1" s="1"/>
  <c r="O10" i="1"/>
  <c r="P10" i="1" s="1"/>
  <c r="Q10" i="1" s="1"/>
  <c r="R10" i="1" s="1"/>
  <c r="K90" i="1"/>
  <c r="L90" i="1" s="1"/>
  <c r="N90" i="1" s="1"/>
  <c r="S90" i="1"/>
  <c r="T90" i="1" s="1"/>
  <c r="U90" i="1" s="1"/>
  <c r="K336" i="1"/>
  <c r="L336" i="1" s="1"/>
  <c r="M336" i="1" s="1"/>
  <c r="N336" i="1" s="1"/>
  <c r="S336" i="1"/>
  <c r="T336" i="1" s="1"/>
  <c r="U336" i="1" s="1"/>
  <c r="V336" i="1" s="1"/>
  <c r="O336" i="1"/>
  <c r="P336" i="1" s="1"/>
  <c r="Q336" i="1" s="1"/>
  <c r="R336" i="1" s="1"/>
  <c r="K128" i="1"/>
  <c r="L128" i="1" s="1"/>
  <c r="M128" i="1" s="1"/>
  <c r="N128" i="1" s="1"/>
  <c r="S128" i="1"/>
  <c r="T128" i="1" s="1"/>
  <c r="U128" i="1" s="1"/>
  <c r="V128" i="1" s="1"/>
  <c r="O128" i="1"/>
  <c r="P128" i="1" s="1"/>
  <c r="Q128" i="1" s="1"/>
  <c r="R128" i="1" s="1"/>
  <c r="K108" i="1"/>
  <c r="L108" i="1" s="1"/>
  <c r="M108" i="1" s="1"/>
  <c r="N108" i="1" s="1"/>
  <c r="S108" i="1"/>
  <c r="T108" i="1" s="1"/>
  <c r="U108" i="1" s="1"/>
  <c r="V108" i="1" s="1"/>
  <c r="O108" i="1"/>
  <c r="P108" i="1" s="1"/>
  <c r="Q108" i="1" s="1"/>
  <c r="R108" i="1" s="1"/>
  <c r="K145" i="1"/>
  <c r="L145" i="1" s="1"/>
  <c r="M145" i="1" s="1"/>
  <c r="N145" i="1" s="1"/>
  <c r="O145" i="1"/>
  <c r="P145" i="1" s="1"/>
  <c r="Q145" i="1" s="1"/>
  <c r="R145" i="1" s="1"/>
  <c r="S145" i="1"/>
  <c r="T145" i="1" s="1"/>
  <c r="U145" i="1" s="1"/>
  <c r="V145" i="1" s="1"/>
  <c r="K267" i="1"/>
  <c r="L267" i="1" s="1"/>
  <c r="M267" i="1" s="1"/>
  <c r="N267" i="1" s="1"/>
  <c r="O267" i="1"/>
  <c r="P267" i="1" s="1"/>
  <c r="Q267" i="1" s="1"/>
  <c r="R267" i="1" s="1"/>
  <c r="S267" i="1"/>
  <c r="T267" i="1" s="1"/>
  <c r="U267" i="1" s="1"/>
  <c r="V267" i="1" s="1"/>
  <c r="K259" i="1"/>
  <c r="L259" i="1" s="1"/>
  <c r="M259" i="1" s="1"/>
  <c r="N259" i="1" s="1"/>
  <c r="O259" i="1"/>
  <c r="P259" i="1" s="1"/>
  <c r="Q259" i="1" s="1"/>
  <c r="R259" i="1" s="1"/>
  <c r="S259" i="1"/>
  <c r="T259" i="1" s="1"/>
  <c r="U259" i="1" s="1"/>
  <c r="V259" i="1" s="1"/>
  <c r="K218" i="1"/>
  <c r="L218" i="1" s="1"/>
  <c r="M218" i="1" s="1"/>
  <c r="N218" i="1" s="1"/>
  <c r="S218" i="1"/>
  <c r="T218" i="1" s="1"/>
  <c r="U218" i="1" s="1"/>
  <c r="V218" i="1" s="1"/>
  <c r="O218" i="1"/>
  <c r="P218" i="1" s="1"/>
  <c r="Q218" i="1" s="1"/>
  <c r="R218" i="1" s="1"/>
  <c r="K159" i="1"/>
  <c r="L159" i="1" s="1"/>
  <c r="M159" i="1" s="1"/>
  <c r="N159" i="1" s="1"/>
  <c r="O159" i="1"/>
  <c r="P159" i="1" s="1"/>
  <c r="Q159" i="1" s="1"/>
  <c r="R159" i="1" s="1"/>
  <c r="S159" i="1"/>
  <c r="T159" i="1" s="1"/>
  <c r="U159" i="1" s="1"/>
  <c r="V159" i="1" s="1"/>
  <c r="K230" i="1"/>
  <c r="L230" i="1" s="1"/>
  <c r="M230" i="1" s="1"/>
  <c r="N230" i="1" s="1"/>
  <c r="S230" i="1"/>
  <c r="T230" i="1" s="1"/>
  <c r="U230" i="1" s="1"/>
  <c r="V230" i="1" s="1"/>
  <c r="O230" i="1"/>
  <c r="P230" i="1" s="1"/>
  <c r="Q230" i="1" s="1"/>
  <c r="R230" i="1" s="1"/>
  <c r="K334" i="1"/>
  <c r="L334" i="1" s="1"/>
  <c r="M334" i="1" s="1"/>
  <c r="N334" i="1" s="1"/>
  <c r="S334" i="1"/>
  <c r="T334" i="1" s="1"/>
  <c r="U334" i="1" s="1"/>
  <c r="V334" i="1" s="1"/>
  <c r="O334" i="1"/>
  <c r="P334" i="1" s="1"/>
  <c r="Q334" i="1" s="1"/>
  <c r="R334" i="1" s="1"/>
  <c r="K13" i="1"/>
  <c r="L13" i="1" s="1"/>
  <c r="M13" i="1" s="1"/>
  <c r="N13" i="1" s="1"/>
  <c r="S13" i="1"/>
  <c r="T13" i="1" s="1"/>
  <c r="U13" i="1" s="1"/>
  <c r="V13" i="1" s="1"/>
  <c r="O13" i="1"/>
  <c r="P13" i="1" s="1"/>
  <c r="Q13" i="1" s="1"/>
  <c r="R13" i="1" s="1"/>
  <c r="K211" i="1"/>
  <c r="L211" i="1" s="1"/>
  <c r="M211" i="1" s="1"/>
  <c r="N211" i="1" s="1"/>
  <c r="O211" i="1"/>
  <c r="P211" i="1" s="1"/>
  <c r="Q211" i="1" s="1"/>
  <c r="R211" i="1" s="1"/>
  <c r="S211" i="1"/>
  <c r="T211" i="1" s="1"/>
  <c r="U211" i="1" s="1"/>
  <c r="V211" i="1" s="1"/>
  <c r="K155" i="1"/>
  <c r="L155" i="1" s="1"/>
  <c r="M155" i="1" s="1"/>
  <c r="N155" i="1" s="1"/>
  <c r="O155" i="1"/>
  <c r="P155" i="1" s="1"/>
  <c r="Q155" i="1" s="1"/>
  <c r="R155" i="1" s="1"/>
  <c r="S155" i="1"/>
  <c r="T155" i="1" s="1"/>
  <c r="U155" i="1" s="1"/>
  <c r="V155" i="1" s="1"/>
  <c r="K150" i="1"/>
  <c r="L150" i="1" s="1"/>
  <c r="M150" i="1" s="1"/>
  <c r="N150" i="1" s="1"/>
  <c r="S150" i="1"/>
  <c r="T150" i="1" s="1"/>
  <c r="U150" i="1" s="1"/>
  <c r="V150" i="1" s="1"/>
  <c r="O150" i="1"/>
  <c r="P150" i="1" s="1"/>
  <c r="Q150" i="1" s="1"/>
  <c r="R150" i="1" s="1"/>
  <c r="K243" i="1"/>
  <c r="L243" i="1" s="1"/>
  <c r="M243" i="1" s="1"/>
  <c r="N243" i="1" s="1"/>
  <c r="O243" i="1"/>
  <c r="P243" i="1" s="1"/>
  <c r="Q243" i="1" s="1"/>
  <c r="R243" i="1" s="1"/>
  <c r="S243" i="1"/>
  <c r="T243" i="1" s="1"/>
  <c r="U243" i="1" s="1"/>
  <c r="V243" i="1" s="1"/>
  <c r="K216" i="1"/>
  <c r="L216" i="1" s="1"/>
  <c r="M216" i="1" s="1"/>
  <c r="N216" i="1" s="1"/>
  <c r="S216" i="1"/>
  <c r="T216" i="1" s="1"/>
  <c r="U216" i="1" s="1"/>
  <c r="V216" i="1" s="1"/>
  <c r="O216" i="1"/>
  <c r="P216" i="1" s="1"/>
  <c r="Q216" i="1" s="1"/>
  <c r="R216" i="1" s="1"/>
  <c r="K151" i="1"/>
  <c r="L151" i="1" s="1"/>
  <c r="M151" i="1" s="1"/>
  <c r="N151" i="1" s="1"/>
  <c r="O151" i="1"/>
  <c r="P151" i="1" s="1"/>
  <c r="Q151" i="1" s="1"/>
  <c r="R151" i="1" s="1"/>
  <c r="S151" i="1"/>
  <c r="T151" i="1" s="1"/>
  <c r="U151" i="1" s="1"/>
  <c r="V151" i="1" s="1"/>
  <c r="K281" i="1"/>
  <c r="L281" i="1" s="1"/>
  <c r="M281" i="1" s="1"/>
  <c r="N281" i="1" s="1"/>
  <c r="O281" i="1"/>
  <c r="P281" i="1" s="1"/>
  <c r="Q281" i="1" s="1"/>
  <c r="R281" i="1" s="1"/>
  <c r="S281" i="1"/>
  <c r="T281" i="1" s="1"/>
  <c r="U281" i="1" s="1"/>
  <c r="V281" i="1" s="1"/>
  <c r="K120" i="1"/>
  <c r="L120" i="1" s="1"/>
  <c r="M120" i="1" s="1"/>
  <c r="N120" i="1" s="1"/>
  <c r="S120" i="1"/>
  <c r="T120" i="1" s="1"/>
  <c r="U120" i="1" s="1"/>
  <c r="V120" i="1" s="1"/>
  <c r="O120" i="1"/>
  <c r="P120" i="1" s="1"/>
  <c r="Q120" i="1" s="1"/>
  <c r="R120" i="1" s="1"/>
  <c r="K54" i="1"/>
  <c r="L54" i="1" s="1"/>
  <c r="M54" i="1" s="1"/>
  <c r="N54" i="1" s="1"/>
  <c r="S54" i="1"/>
  <c r="T54" i="1" s="1"/>
  <c r="U54" i="1" s="1"/>
  <c r="V54" i="1" s="1"/>
  <c r="O54" i="1"/>
  <c r="P54" i="1" s="1"/>
  <c r="Q54" i="1" s="1"/>
  <c r="R54" i="1" s="1"/>
  <c r="K234" i="1"/>
  <c r="L234" i="1" s="1"/>
  <c r="M234" i="1" s="1"/>
  <c r="N234" i="1" s="1"/>
  <c r="S234" i="1"/>
  <c r="T234" i="1" s="1"/>
  <c r="U234" i="1" s="1"/>
  <c r="V234" i="1" s="1"/>
  <c r="O234" i="1"/>
  <c r="P234" i="1" s="1"/>
  <c r="Q234" i="1" s="1"/>
  <c r="R234" i="1" s="1"/>
  <c r="K136" i="1"/>
  <c r="L136" i="1" s="1"/>
  <c r="M136" i="1" s="1"/>
  <c r="N136" i="1" s="1"/>
  <c r="S136" i="1"/>
  <c r="T136" i="1" s="1"/>
  <c r="U136" i="1" s="1"/>
  <c r="V136" i="1" s="1"/>
  <c r="O136" i="1"/>
  <c r="P136" i="1" s="1"/>
  <c r="Q136" i="1" s="1"/>
  <c r="R136" i="1" s="1"/>
  <c r="K149" i="1"/>
  <c r="L149" i="1" s="1"/>
  <c r="M149" i="1" s="1"/>
  <c r="N149" i="1" s="1"/>
  <c r="O149" i="1"/>
  <c r="P149" i="1" s="1"/>
  <c r="Q149" i="1" s="1"/>
  <c r="R149" i="1" s="1"/>
  <c r="S149" i="1"/>
  <c r="T149" i="1" s="1"/>
  <c r="U149" i="1" s="1"/>
  <c r="V149" i="1" s="1"/>
  <c r="K315" i="1"/>
  <c r="L315" i="1" s="1"/>
  <c r="M315" i="1" s="1"/>
  <c r="N315" i="1" s="1"/>
  <c r="O315" i="1"/>
  <c r="P315" i="1" s="1"/>
  <c r="Q315" i="1" s="1"/>
  <c r="R315" i="1" s="1"/>
  <c r="S315" i="1"/>
  <c r="T315" i="1" s="1"/>
  <c r="U315" i="1" s="1"/>
  <c r="V315" i="1" s="1"/>
  <c r="K320" i="1"/>
  <c r="L320" i="1" s="1"/>
  <c r="M320" i="1" s="1"/>
  <c r="N320" i="1" s="1"/>
  <c r="S320" i="1"/>
  <c r="T320" i="1" s="1"/>
  <c r="U320" i="1" s="1"/>
  <c r="V320" i="1" s="1"/>
  <c r="O320" i="1"/>
  <c r="P320" i="1" s="1"/>
  <c r="Q320" i="1" s="1"/>
  <c r="R320" i="1" s="1"/>
  <c r="K358" i="1"/>
  <c r="L358" i="1" s="1"/>
  <c r="M358" i="1" s="1"/>
  <c r="N358" i="1" s="1"/>
  <c r="S358" i="1"/>
  <c r="T358" i="1" s="1"/>
  <c r="U358" i="1" s="1"/>
  <c r="V358" i="1" s="1"/>
  <c r="O358" i="1"/>
  <c r="P358" i="1" s="1"/>
  <c r="Q358" i="1" s="1"/>
  <c r="R358" i="1" s="1"/>
  <c r="K241" i="1"/>
  <c r="L241" i="1" s="1"/>
  <c r="M241" i="1" s="1"/>
  <c r="N241" i="1" s="1"/>
  <c r="O241" i="1"/>
  <c r="P241" i="1" s="1"/>
  <c r="Q241" i="1" s="1"/>
  <c r="R241" i="1" s="1"/>
  <c r="S241" i="1"/>
  <c r="T241" i="1" s="1"/>
  <c r="U241" i="1" s="1"/>
  <c r="V241" i="1" s="1"/>
  <c r="K205" i="1"/>
  <c r="L205" i="1" s="1"/>
  <c r="M205" i="1" s="1"/>
  <c r="N205" i="1" s="1"/>
  <c r="O205" i="1"/>
  <c r="P205" i="1" s="1"/>
  <c r="Q205" i="1" s="1"/>
  <c r="R205" i="1" s="1"/>
  <c r="S205" i="1"/>
  <c r="T205" i="1" s="1"/>
  <c r="U205" i="1" s="1"/>
  <c r="V205" i="1" s="1"/>
  <c r="K236" i="1"/>
  <c r="L236" i="1" s="1"/>
  <c r="M236" i="1" s="1"/>
  <c r="N236" i="1" s="1"/>
  <c r="S236" i="1"/>
  <c r="T236" i="1" s="1"/>
  <c r="U236" i="1" s="1"/>
  <c r="V236" i="1" s="1"/>
  <c r="O236" i="1"/>
  <c r="P236" i="1" s="1"/>
  <c r="Q236" i="1" s="1"/>
  <c r="R236" i="1" s="1"/>
  <c r="K293" i="1"/>
  <c r="L293" i="1" s="1"/>
  <c r="M293" i="1" s="1"/>
  <c r="N293" i="1" s="1"/>
  <c r="O293" i="1"/>
  <c r="P293" i="1" s="1"/>
  <c r="Q293" i="1" s="1"/>
  <c r="R293" i="1" s="1"/>
  <c r="S293" i="1"/>
  <c r="T293" i="1" s="1"/>
  <c r="U293" i="1" s="1"/>
  <c r="V293" i="1" s="1"/>
  <c r="K359" i="1"/>
  <c r="L359" i="1" s="1"/>
  <c r="M359" i="1" s="1"/>
  <c r="N359" i="1" s="1"/>
  <c r="O359" i="1"/>
  <c r="P359" i="1" s="1"/>
  <c r="Q359" i="1" s="1"/>
  <c r="R359" i="1" s="1"/>
  <c r="S359" i="1"/>
  <c r="T359" i="1" s="1"/>
  <c r="U359" i="1" s="1"/>
  <c r="V359" i="1" s="1"/>
  <c r="K229" i="1"/>
  <c r="L229" i="1" s="1"/>
  <c r="M229" i="1" s="1"/>
  <c r="N229" i="1" s="1"/>
  <c r="O229" i="1"/>
  <c r="P229" i="1" s="1"/>
  <c r="Q229" i="1" s="1"/>
  <c r="R229" i="1" s="1"/>
  <c r="S229" i="1"/>
  <c r="T229" i="1" s="1"/>
  <c r="U229" i="1" s="1"/>
  <c r="V229" i="1" s="1"/>
  <c r="K168" i="1"/>
  <c r="L168" i="1" s="1"/>
  <c r="M168" i="1" s="1"/>
  <c r="N168" i="1" s="1"/>
  <c r="S168" i="1"/>
  <c r="T168" i="1" s="1"/>
  <c r="U168" i="1" s="1"/>
  <c r="V168" i="1" s="1"/>
  <c r="O168" i="1"/>
  <c r="P168" i="1" s="1"/>
  <c r="Q168" i="1" s="1"/>
  <c r="R168" i="1" s="1"/>
  <c r="K298" i="1"/>
  <c r="L298" i="1" s="1"/>
  <c r="M298" i="1" s="1"/>
  <c r="N298" i="1" s="1"/>
  <c r="S298" i="1"/>
  <c r="T298" i="1" s="1"/>
  <c r="U298" i="1" s="1"/>
  <c r="V298" i="1" s="1"/>
  <c r="O298" i="1"/>
  <c r="P298" i="1" s="1"/>
  <c r="Q298" i="1" s="1"/>
  <c r="R298" i="1" s="1"/>
  <c r="K186" i="1"/>
  <c r="L186" i="1" s="1"/>
  <c r="M186" i="1" s="1"/>
  <c r="N186" i="1" s="1"/>
  <c r="S186" i="1"/>
  <c r="T186" i="1" s="1"/>
  <c r="U186" i="1" s="1"/>
  <c r="V186" i="1" s="1"/>
  <c r="O186" i="1"/>
  <c r="P186" i="1" s="1"/>
  <c r="Q186" i="1" s="1"/>
  <c r="R186" i="1" s="1"/>
  <c r="K223" i="1"/>
  <c r="L223" i="1" s="1"/>
  <c r="M223" i="1" s="1"/>
  <c r="N223" i="1" s="1"/>
  <c r="O223" i="1"/>
  <c r="P223" i="1" s="1"/>
  <c r="Q223" i="1" s="1"/>
  <c r="R223" i="1" s="1"/>
  <c r="S223" i="1"/>
  <c r="T223" i="1" s="1"/>
  <c r="U223" i="1" s="1"/>
  <c r="V223" i="1" s="1"/>
  <c r="K12" i="1"/>
  <c r="L12" i="1" s="1"/>
  <c r="M12" i="1" s="1"/>
  <c r="N12" i="1" s="1"/>
  <c r="S12" i="1"/>
  <c r="T12" i="1" s="1"/>
  <c r="U12" i="1" s="1"/>
  <c r="V12" i="1" s="1"/>
  <c r="O12" i="1"/>
  <c r="P12" i="1" s="1"/>
  <c r="Q12" i="1" s="1"/>
  <c r="R12" i="1" s="1"/>
  <c r="K249" i="1"/>
  <c r="L249" i="1" s="1"/>
  <c r="M249" i="1" s="1"/>
  <c r="N249" i="1" s="1"/>
  <c r="O249" i="1"/>
  <c r="P249" i="1" s="1"/>
  <c r="Q249" i="1" s="1"/>
  <c r="R249" i="1" s="1"/>
  <c r="S249" i="1"/>
  <c r="T249" i="1" s="1"/>
  <c r="U249" i="1" s="1"/>
  <c r="V249" i="1" s="1"/>
  <c r="K316" i="1"/>
  <c r="L316" i="1" s="1"/>
  <c r="M316" i="1" s="1"/>
  <c r="N316" i="1" s="1"/>
  <c r="S316" i="1"/>
  <c r="T316" i="1" s="1"/>
  <c r="U316" i="1" s="1"/>
  <c r="V316" i="1" s="1"/>
  <c r="O316" i="1"/>
  <c r="P316" i="1" s="1"/>
  <c r="Q316" i="1" s="1"/>
  <c r="R316" i="1" s="1"/>
  <c r="K88" i="1"/>
  <c r="L88" i="1" s="1"/>
  <c r="M88" i="1" s="1"/>
  <c r="N88" i="1" s="1"/>
  <c r="S88" i="1"/>
  <c r="T88" i="1" s="1"/>
  <c r="U88" i="1" s="1"/>
  <c r="V88" i="1" s="1"/>
  <c r="O88" i="1"/>
  <c r="P88" i="1" s="1"/>
  <c r="Q88" i="1" s="1"/>
  <c r="R88" i="1" s="1"/>
  <c r="K271" i="1"/>
  <c r="L271" i="1" s="1"/>
  <c r="M271" i="1" s="1"/>
  <c r="N271" i="1" s="1"/>
  <c r="O271" i="1"/>
  <c r="P271" i="1" s="1"/>
  <c r="Q271" i="1" s="1"/>
  <c r="R271" i="1" s="1"/>
  <c r="S271" i="1"/>
  <c r="T271" i="1" s="1"/>
  <c r="U271" i="1" s="1"/>
  <c r="V271" i="1" s="1"/>
  <c r="K29" i="1"/>
  <c r="L29" i="1" s="1"/>
  <c r="M29" i="1" s="1"/>
  <c r="N29" i="1" s="1"/>
  <c r="S29" i="1"/>
  <c r="T29" i="1" s="1"/>
  <c r="U29" i="1" s="1"/>
  <c r="V29" i="1" s="1"/>
  <c r="O29" i="1"/>
  <c r="P29" i="1" s="1"/>
  <c r="Q29" i="1" s="1"/>
  <c r="R29" i="1" s="1"/>
  <c r="K255" i="1"/>
  <c r="L255" i="1" s="1"/>
  <c r="M255" i="1" s="1"/>
  <c r="N255" i="1" s="1"/>
  <c r="O255" i="1"/>
  <c r="P255" i="1" s="1"/>
  <c r="Q255" i="1" s="1"/>
  <c r="R255" i="1" s="1"/>
  <c r="S255" i="1"/>
  <c r="T255" i="1" s="1"/>
  <c r="U255" i="1" s="1"/>
  <c r="V255" i="1" s="1"/>
  <c r="K86" i="1"/>
  <c r="L86" i="1" s="1"/>
  <c r="M86" i="1" s="1"/>
  <c r="N86" i="1" s="1"/>
  <c r="S86" i="1"/>
  <c r="T86" i="1" s="1"/>
  <c r="U86" i="1" s="1"/>
  <c r="V86" i="1" s="1"/>
  <c r="O86" i="1"/>
  <c r="P86" i="1" s="1"/>
  <c r="Q86" i="1" s="1"/>
  <c r="R86" i="1" s="1"/>
  <c r="K254" i="1"/>
  <c r="L254" i="1" s="1"/>
  <c r="M254" i="1" s="1"/>
  <c r="N254" i="1" s="1"/>
  <c r="S254" i="1"/>
  <c r="T254" i="1" s="1"/>
  <c r="U254" i="1" s="1"/>
  <c r="V254" i="1" s="1"/>
  <c r="O254" i="1"/>
  <c r="P254" i="1" s="1"/>
  <c r="Q254" i="1" s="1"/>
  <c r="R254" i="1" s="1"/>
  <c r="K152" i="1"/>
  <c r="L152" i="1" s="1"/>
  <c r="M152" i="1" s="1"/>
  <c r="N152" i="1" s="1"/>
  <c r="S152" i="1"/>
  <c r="T152" i="1" s="1"/>
  <c r="U152" i="1" s="1"/>
  <c r="V152" i="1" s="1"/>
  <c r="O152" i="1"/>
  <c r="P152" i="1" s="1"/>
  <c r="Q152" i="1" s="1"/>
  <c r="R152" i="1" s="1"/>
  <c r="K47" i="1"/>
  <c r="L47" i="1" s="1"/>
  <c r="M47" i="1" s="1"/>
  <c r="N47" i="1" s="1"/>
  <c r="S47" i="1"/>
  <c r="T47" i="1" s="1"/>
  <c r="U47" i="1" s="1"/>
  <c r="V47" i="1" s="1"/>
  <c r="O47" i="1"/>
  <c r="P47" i="1" s="1"/>
  <c r="Q47" i="1" s="1"/>
  <c r="R47" i="1" s="1"/>
  <c r="K226" i="1"/>
  <c r="L226" i="1" s="1"/>
  <c r="M226" i="1" s="1"/>
  <c r="N226" i="1" s="1"/>
  <c r="S226" i="1"/>
  <c r="T226" i="1" s="1"/>
  <c r="U226" i="1" s="1"/>
  <c r="V226" i="1" s="1"/>
  <c r="O226" i="1"/>
  <c r="P226" i="1" s="1"/>
  <c r="Q226" i="1" s="1"/>
  <c r="R226" i="1" s="1"/>
  <c r="K248" i="1"/>
  <c r="L248" i="1" s="1"/>
  <c r="M248" i="1" s="1"/>
  <c r="N248" i="1" s="1"/>
  <c r="S248" i="1"/>
  <c r="T248" i="1" s="1"/>
  <c r="U248" i="1" s="1"/>
  <c r="V248" i="1" s="1"/>
  <c r="O248" i="1"/>
  <c r="P248" i="1" s="1"/>
  <c r="Q248" i="1" s="1"/>
  <c r="R248" i="1" s="1"/>
  <c r="K41" i="1"/>
  <c r="L41" i="1" s="1"/>
  <c r="M41" i="1" s="1"/>
  <c r="N41" i="1" s="1"/>
  <c r="S41" i="1"/>
  <c r="T41" i="1" s="1"/>
  <c r="U41" i="1" s="1"/>
  <c r="V41" i="1" s="1"/>
  <c r="O41" i="1"/>
  <c r="P41" i="1" s="1"/>
  <c r="Q41" i="1" s="1"/>
  <c r="R41" i="1" s="1"/>
  <c r="K193" i="1"/>
  <c r="L193" i="1" s="1"/>
  <c r="M193" i="1" s="1"/>
  <c r="N193" i="1" s="1"/>
  <c r="O193" i="1"/>
  <c r="P193" i="1" s="1"/>
  <c r="Q193" i="1" s="1"/>
  <c r="R193" i="1" s="1"/>
  <c r="S193" i="1"/>
  <c r="T193" i="1" s="1"/>
  <c r="U193" i="1" s="1"/>
  <c r="V193" i="1" s="1"/>
  <c r="K343" i="1"/>
  <c r="L343" i="1" s="1"/>
  <c r="M343" i="1" s="1"/>
  <c r="N343" i="1" s="1"/>
  <c r="O343" i="1"/>
  <c r="P343" i="1" s="1"/>
  <c r="Q343" i="1" s="1"/>
  <c r="R343" i="1" s="1"/>
  <c r="S343" i="1"/>
  <c r="T343" i="1" s="1"/>
  <c r="U343" i="1" s="1"/>
  <c r="V343" i="1" s="1"/>
  <c r="K285" i="1"/>
  <c r="L285" i="1" s="1"/>
  <c r="M285" i="1" s="1"/>
  <c r="N285" i="1" s="1"/>
  <c r="O285" i="1"/>
  <c r="P285" i="1" s="1"/>
  <c r="Q285" i="1" s="1"/>
  <c r="R285" i="1" s="1"/>
  <c r="S285" i="1"/>
  <c r="T285" i="1" s="1"/>
  <c r="U285" i="1" s="1"/>
  <c r="V285" i="1" s="1"/>
  <c r="K78" i="1"/>
  <c r="L78" i="1" s="1"/>
  <c r="M78" i="1" s="1"/>
  <c r="N78" i="1" s="1"/>
  <c r="S78" i="1"/>
  <c r="T78" i="1" s="1"/>
  <c r="U78" i="1" s="1"/>
  <c r="V78" i="1" s="1"/>
  <c r="O78" i="1"/>
  <c r="P78" i="1" s="1"/>
  <c r="Q78" i="1" s="1"/>
  <c r="R78" i="1" s="1"/>
  <c r="K244" i="1"/>
  <c r="L244" i="1" s="1"/>
  <c r="M244" i="1" s="1"/>
  <c r="N244" i="1" s="1"/>
  <c r="S244" i="1"/>
  <c r="T244" i="1" s="1"/>
  <c r="U244" i="1" s="1"/>
  <c r="V244" i="1" s="1"/>
  <c r="O244" i="1"/>
  <c r="P244" i="1" s="1"/>
  <c r="Q244" i="1" s="1"/>
  <c r="R244" i="1" s="1"/>
  <c r="K169" i="1"/>
  <c r="L169" i="1" s="1"/>
  <c r="M169" i="1" s="1"/>
  <c r="N169" i="1" s="1"/>
  <c r="O169" i="1"/>
  <c r="P169" i="1" s="1"/>
  <c r="Q169" i="1" s="1"/>
  <c r="R169" i="1" s="1"/>
  <c r="S169" i="1"/>
  <c r="T169" i="1" s="1"/>
  <c r="U169" i="1" s="1"/>
  <c r="V169" i="1" s="1"/>
  <c r="K295" i="1"/>
  <c r="L295" i="1" s="1"/>
  <c r="M295" i="1" s="1"/>
  <c r="N295" i="1" s="1"/>
  <c r="O295" i="1"/>
  <c r="P295" i="1" s="1"/>
  <c r="Q295" i="1" s="1"/>
  <c r="R295" i="1" s="1"/>
  <c r="S295" i="1"/>
  <c r="T295" i="1" s="1"/>
  <c r="U295" i="1" s="1"/>
  <c r="V295" i="1" s="1"/>
  <c r="K153" i="1"/>
  <c r="L153" i="1" s="1"/>
  <c r="M153" i="1" s="1"/>
  <c r="N153" i="1" s="1"/>
  <c r="O153" i="1"/>
  <c r="P153" i="1" s="1"/>
  <c r="Q153" i="1" s="1"/>
  <c r="R153" i="1" s="1"/>
  <c r="S153" i="1"/>
  <c r="T153" i="1" s="1"/>
  <c r="U153" i="1" s="1"/>
  <c r="V153" i="1" s="1"/>
  <c r="K142" i="1"/>
  <c r="L142" i="1" s="1"/>
  <c r="M142" i="1" s="1"/>
  <c r="N142" i="1" s="1"/>
  <c r="S142" i="1"/>
  <c r="T142" i="1" s="1"/>
  <c r="U142" i="1" s="1"/>
  <c r="V142" i="1" s="1"/>
  <c r="O142" i="1"/>
  <c r="P142" i="1" s="1"/>
  <c r="Q142" i="1" s="1"/>
  <c r="R142" i="1" s="1"/>
  <c r="K269" i="1"/>
  <c r="L269" i="1" s="1"/>
  <c r="M269" i="1" s="1"/>
  <c r="N269" i="1" s="1"/>
  <c r="O269" i="1"/>
  <c r="P269" i="1" s="1"/>
  <c r="Q269" i="1" s="1"/>
  <c r="R269" i="1" s="1"/>
  <c r="S269" i="1"/>
  <c r="T269" i="1" s="1"/>
  <c r="U269" i="1" s="1"/>
  <c r="V269" i="1" s="1"/>
  <c r="K20" i="1"/>
  <c r="L20" i="1" s="1"/>
  <c r="M20" i="1" s="1"/>
  <c r="N20" i="1" s="1"/>
  <c r="S20" i="1"/>
  <c r="T20" i="1" s="1"/>
  <c r="U20" i="1" s="1"/>
  <c r="V20" i="1" s="1"/>
  <c r="O20" i="1"/>
  <c r="P20" i="1" s="1"/>
  <c r="Q20" i="1" s="1"/>
  <c r="R20" i="1" s="1"/>
  <c r="K139" i="1"/>
  <c r="L139" i="1" s="1"/>
  <c r="M139" i="1" s="1"/>
  <c r="N139" i="1" s="1"/>
  <c r="O139" i="1"/>
  <c r="P139" i="1" s="1"/>
  <c r="Q139" i="1" s="1"/>
  <c r="R139" i="1" s="1"/>
  <c r="S139" i="1"/>
  <c r="T139" i="1" s="1"/>
  <c r="U139" i="1" s="1"/>
  <c r="V139" i="1" s="1"/>
  <c r="K18" i="1"/>
  <c r="L18" i="1" s="1"/>
  <c r="M18" i="1" s="1"/>
  <c r="N18" i="1" s="1"/>
  <c r="S18" i="1"/>
  <c r="T18" i="1" s="1"/>
  <c r="U18" i="1" s="1"/>
  <c r="V18" i="1" s="1"/>
  <c r="O18" i="1"/>
  <c r="P18" i="1" s="1"/>
  <c r="Q18" i="1" s="1"/>
  <c r="R18" i="1" s="1"/>
  <c r="K307" i="1"/>
  <c r="L307" i="1" s="1"/>
  <c r="M307" i="1" s="1"/>
  <c r="N307" i="1" s="1"/>
  <c r="O307" i="1"/>
  <c r="P307" i="1" s="1"/>
  <c r="Q307" i="1" s="1"/>
  <c r="R307" i="1" s="1"/>
  <c r="S307" i="1"/>
  <c r="T307" i="1" s="1"/>
  <c r="U307" i="1" s="1"/>
  <c r="V307" i="1" s="1"/>
  <c r="K276" i="1"/>
  <c r="L276" i="1" s="1"/>
  <c r="M276" i="1" s="1"/>
  <c r="N276" i="1" s="1"/>
  <c r="S276" i="1"/>
  <c r="T276" i="1" s="1"/>
  <c r="U276" i="1" s="1"/>
  <c r="V276" i="1" s="1"/>
  <c r="O276" i="1"/>
  <c r="P276" i="1" s="1"/>
  <c r="Q276" i="1" s="1"/>
  <c r="R276" i="1" s="1"/>
  <c r="K314" i="1"/>
  <c r="L314" i="1" s="1"/>
  <c r="M314" i="1" s="1"/>
  <c r="N314" i="1" s="1"/>
  <c r="S314" i="1"/>
  <c r="T314" i="1" s="1"/>
  <c r="U314" i="1" s="1"/>
  <c r="V314" i="1" s="1"/>
  <c r="O314" i="1"/>
  <c r="P314" i="1" s="1"/>
  <c r="Q314" i="1" s="1"/>
  <c r="R314" i="1" s="1"/>
  <c r="K173" i="1"/>
  <c r="L173" i="1" s="1"/>
  <c r="M173" i="1" s="1"/>
  <c r="N173" i="1" s="1"/>
  <c r="O173" i="1"/>
  <c r="P173" i="1" s="1"/>
  <c r="Q173" i="1" s="1"/>
  <c r="R173" i="1" s="1"/>
  <c r="S173" i="1"/>
  <c r="T173" i="1" s="1"/>
  <c r="U173" i="1" s="1"/>
  <c r="V173" i="1" s="1"/>
  <c r="K198" i="1"/>
  <c r="L198" i="1" s="1"/>
  <c r="M198" i="1" s="1"/>
  <c r="N198" i="1" s="1"/>
  <c r="S198" i="1"/>
  <c r="T198" i="1" s="1"/>
  <c r="U198" i="1" s="1"/>
  <c r="V198" i="1" s="1"/>
  <c r="O198" i="1"/>
  <c r="P198" i="1" s="1"/>
  <c r="Q198" i="1" s="1"/>
  <c r="R198" i="1" s="1"/>
  <c r="K124" i="1"/>
  <c r="L124" i="1" s="1"/>
  <c r="M124" i="1" s="1"/>
  <c r="N124" i="1" s="1"/>
  <c r="S124" i="1"/>
  <c r="T124" i="1" s="1"/>
  <c r="U124" i="1" s="1"/>
  <c r="V124" i="1" s="1"/>
  <c r="O124" i="1"/>
  <c r="P124" i="1" s="1"/>
  <c r="Q124" i="1" s="1"/>
  <c r="R124" i="1" s="1"/>
  <c r="K69" i="1"/>
  <c r="L69" i="1" s="1"/>
  <c r="M69" i="1" s="1"/>
  <c r="N69" i="1" s="1"/>
  <c r="O69" i="1"/>
  <c r="P69" i="1" s="1"/>
  <c r="Q69" i="1" s="1"/>
  <c r="R69" i="1" s="1"/>
  <c r="S69" i="1"/>
  <c r="T69" i="1" s="1"/>
  <c r="U69" i="1" s="1"/>
  <c r="V69" i="1" s="1"/>
  <c r="K175" i="1"/>
  <c r="L175" i="1" s="1"/>
  <c r="M175" i="1" s="1"/>
  <c r="N175" i="1" s="1"/>
  <c r="O175" i="1"/>
  <c r="P175" i="1" s="1"/>
  <c r="Q175" i="1" s="1"/>
  <c r="R175" i="1" s="1"/>
  <c r="S175" i="1"/>
  <c r="T175" i="1" s="1"/>
  <c r="U175" i="1" s="1"/>
  <c r="V175" i="1" s="1"/>
  <c r="K191" i="1"/>
  <c r="L191" i="1" s="1"/>
  <c r="M191" i="1" s="1"/>
  <c r="N191" i="1" s="1"/>
  <c r="O191" i="1"/>
  <c r="P191" i="1" s="1"/>
  <c r="Q191" i="1" s="1"/>
  <c r="R191" i="1" s="1"/>
  <c r="S191" i="1"/>
  <c r="T191" i="1" s="1"/>
  <c r="U191" i="1" s="1"/>
  <c r="V191" i="1" s="1"/>
  <c r="K277" i="1"/>
  <c r="L277" i="1" s="1"/>
  <c r="M277" i="1" s="1"/>
  <c r="N277" i="1" s="1"/>
  <c r="O277" i="1"/>
  <c r="P277" i="1" s="1"/>
  <c r="Q277" i="1" s="1"/>
  <c r="R277" i="1" s="1"/>
  <c r="S277" i="1"/>
  <c r="T277" i="1" s="1"/>
  <c r="U277" i="1" s="1"/>
  <c r="V277" i="1" s="1"/>
  <c r="K160" i="1"/>
  <c r="L160" i="1" s="1"/>
  <c r="M160" i="1" s="1"/>
  <c r="N160" i="1" s="1"/>
  <c r="S160" i="1"/>
  <c r="T160" i="1" s="1"/>
  <c r="U160" i="1" s="1"/>
  <c r="V160" i="1" s="1"/>
  <c r="O160" i="1"/>
  <c r="P160" i="1" s="1"/>
  <c r="Q160" i="1" s="1"/>
  <c r="R160" i="1" s="1"/>
  <c r="K68" i="1"/>
  <c r="L68" i="1" s="1"/>
  <c r="M68" i="1" s="1"/>
  <c r="N68" i="1" s="1"/>
  <c r="S68" i="1"/>
  <c r="T68" i="1" s="1"/>
  <c r="U68" i="1" s="1"/>
  <c r="V68" i="1" s="1"/>
  <c r="O68" i="1"/>
  <c r="P68" i="1" s="1"/>
  <c r="Q68" i="1" s="1"/>
  <c r="R68" i="1" s="1"/>
  <c r="K310" i="1"/>
  <c r="L310" i="1" s="1"/>
  <c r="M310" i="1" s="1"/>
  <c r="N310" i="1" s="1"/>
  <c r="S310" i="1"/>
  <c r="T310" i="1" s="1"/>
  <c r="U310" i="1" s="1"/>
  <c r="V310" i="1" s="1"/>
  <c r="O310" i="1"/>
  <c r="P310" i="1" s="1"/>
  <c r="Q310" i="1" s="1"/>
  <c r="R310" i="1" s="1"/>
  <c r="K251" i="1"/>
  <c r="L251" i="1" s="1"/>
  <c r="M251" i="1" s="1"/>
  <c r="N251" i="1" s="1"/>
  <c r="O251" i="1"/>
  <c r="P251" i="1" s="1"/>
  <c r="Q251" i="1" s="1"/>
  <c r="R251" i="1" s="1"/>
  <c r="S251" i="1"/>
  <c r="T251" i="1" s="1"/>
  <c r="U251" i="1" s="1"/>
  <c r="V251" i="1" s="1"/>
  <c r="K257" i="1"/>
  <c r="L257" i="1" s="1"/>
  <c r="M257" i="1" s="1"/>
  <c r="N257" i="1" s="1"/>
  <c r="O257" i="1"/>
  <c r="P257" i="1" s="1"/>
  <c r="Q257" i="1" s="1"/>
  <c r="R257" i="1" s="1"/>
  <c r="S257" i="1"/>
  <c r="T257" i="1" s="1"/>
  <c r="U257" i="1" s="1"/>
  <c r="V257" i="1" s="1"/>
  <c r="K71" i="1"/>
  <c r="L71" i="1" s="1"/>
  <c r="M71" i="1" s="1"/>
  <c r="N71" i="1" s="1"/>
  <c r="O71" i="1"/>
  <c r="P71" i="1" s="1"/>
  <c r="Q71" i="1" s="1"/>
  <c r="R71" i="1" s="1"/>
  <c r="S71" i="1"/>
  <c r="T71" i="1" s="1"/>
  <c r="U71" i="1" s="1"/>
  <c r="V71" i="1" s="1"/>
  <c r="K125" i="1"/>
  <c r="L125" i="1" s="1"/>
  <c r="M125" i="1" s="1"/>
  <c r="N125" i="1" s="1"/>
  <c r="O125" i="1"/>
  <c r="P125" i="1" s="1"/>
  <c r="Q125" i="1" s="1"/>
  <c r="R125" i="1" s="1"/>
  <c r="S125" i="1"/>
  <c r="T125" i="1" s="1"/>
  <c r="U125" i="1" s="1"/>
  <c r="V125" i="1" s="1"/>
  <c r="K220" i="1"/>
  <c r="L220" i="1" s="1"/>
  <c r="M220" i="1" s="1"/>
  <c r="N220" i="1" s="1"/>
  <c r="S220" i="1"/>
  <c r="T220" i="1" s="1"/>
  <c r="U220" i="1" s="1"/>
  <c r="V220" i="1" s="1"/>
  <c r="O220" i="1"/>
  <c r="P220" i="1" s="1"/>
  <c r="Q220" i="1" s="1"/>
  <c r="R220" i="1" s="1"/>
  <c r="K119" i="1"/>
  <c r="L119" i="1" s="1"/>
  <c r="M119" i="1" s="1"/>
  <c r="N119" i="1" s="1"/>
  <c r="O119" i="1"/>
  <c r="P119" i="1" s="1"/>
  <c r="Q119" i="1" s="1"/>
  <c r="R119" i="1" s="1"/>
  <c r="S119" i="1"/>
  <c r="T119" i="1" s="1"/>
  <c r="U119" i="1" s="1"/>
  <c r="V119" i="1" s="1"/>
  <c r="K114" i="1"/>
  <c r="L114" i="1" s="1"/>
  <c r="M114" i="1" s="1"/>
  <c r="N114" i="1" s="1"/>
  <c r="S114" i="1"/>
  <c r="T114" i="1" s="1"/>
  <c r="U114" i="1" s="1"/>
  <c r="V114" i="1" s="1"/>
  <c r="O114" i="1"/>
  <c r="P114" i="1" s="1"/>
  <c r="Q114" i="1" s="1"/>
  <c r="R114" i="1" s="1"/>
  <c r="K313" i="1"/>
  <c r="L313" i="1" s="1"/>
  <c r="M313" i="1" s="1"/>
  <c r="N313" i="1" s="1"/>
  <c r="O313" i="1"/>
  <c r="P313" i="1" s="1"/>
  <c r="Q313" i="1" s="1"/>
  <c r="R313" i="1" s="1"/>
  <c r="S313" i="1"/>
  <c r="T313" i="1" s="1"/>
  <c r="U313" i="1" s="1"/>
  <c r="V313" i="1" s="1"/>
  <c r="K339" i="1"/>
  <c r="L339" i="1" s="1"/>
  <c r="M339" i="1" s="1"/>
  <c r="N339" i="1" s="1"/>
  <c r="O339" i="1"/>
  <c r="P339" i="1" s="1"/>
  <c r="Q339" i="1" s="1"/>
  <c r="R339" i="1" s="1"/>
  <c r="S339" i="1"/>
  <c r="T339" i="1" s="1"/>
  <c r="U339" i="1" s="1"/>
  <c r="V339" i="1" s="1"/>
  <c r="K329" i="1"/>
  <c r="L329" i="1" s="1"/>
  <c r="M329" i="1" s="1"/>
  <c r="N329" i="1" s="1"/>
  <c r="O329" i="1"/>
  <c r="P329" i="1" s="1"/>
  <c r="Q329" i="1" s="1"/>
  <c r="R329" i="1" s="1"/>
  <c r="S329" i="1"/>
  <c r="T329" i="1" s="1"/>
  <c r="U329" i="1" s="1"/>
  <c r="V329" i="1" s="1"/>
  <c r="K166" i="1"/>
  <c r="L166" i="1" s="1"/>
  <c r="M166" i="1" s="1"/>
  <c r="N166" i="1" s="1"/>
  <c r="S166" i="1"/>
  <c r="T166" i="1" s="1"/>
  <c r="U166" i="1" s="1"/>
  <c r="V166" i="1" s="1"/>
  <c r="O166" i="1"/>
  <c r="P166" i="1" s="1"/>
  <c r="Q166" i="1" s="1"/>
  <c r="R166" i="1" s="1"/>
  <c r="K62" i="1"/>
  <c r="L62" i="1" s="1"/>
  <c r="M62" i="1" s="1"/>
  <c r="N62" i="1" s="1"/>
  <c r="S62" i="1"/>
  <c r="T62" i="1" s="1"/>
  <c r="U62" i="1" s="1"/>
  <c r="V62" i="1" s="1"/>
  <c r="O62" i="1"/>
  <c r="P62" i="1" s="1"/>
  <c r="Q62" i="1" s="1"/>
  <c r="R62" i="1" s="1"/>
  <c r="K8" i="1"/>
  <c r="L8" i="1" s="1"/>
  <c r="M8" i="1" s="1"/>
  <c r="N8" i="1" s="1"/>
  <c r="S8" i="1"/>
  <c r="T8" i="1" s="1"/>
  <c r="U8" i="1" s="1"/>
  <c r="V8" i="1" s="1"/>
  <c r="O8" i="1"/>
  <c r="P8" i="1" s="1"/>
  <c r="Q8" i="1" s="1"/>
  <c r="R8" i="1" s="1"/>
  <c r="K332" i="1"/>
  <c r="L332" i="1" s="1"/>
  <c r="M332" i="1" s="1"/>
  <c r="N332" i="1" s="1"/>
  <c r="S332" i="1"/>
  <c r="T332" i="1" s="1"/>
  <c r="U332" i="1" s="1"/>
  <c r="V332" i="1" s="1"/>
  <c r="O332" i="1"/>
  <c r="P332" i="1" s="1"/>
  <c r="Q332" i="1" s="1"/>
  <c r="R332" i="1" s="1"/>
  <c r="K297" i="1"/>
  <c r="L297" i="1" s="1"/>
  <c r="M297" i="1" s="1"/>
  <c r="N297" i="1" s="1"/>
  <c r="O297" i="1"/>
  <c r="P297" i="1" s="1"/>
  <c r="Q297" i="1" s="1"/>
  <c r="R297" i="1" s="1"/>
  <c r="S297" i="1"/>
  <c r="T297" i="1" s="1"/>
  <c r="U297" i="1" s="1"/>
  <c r="V297" i="1" s="1"/>
  <c r="K290" i="1"/>
  <c r="L290" i="1" s="1"/>
  <c r="M290" i="1" s="1"/>
  <c r="N290" i="1" s="1"/>
  <c r="S290" i="1"/>
  <c r="T290" i="1" s="1"/>
  <c r="U290" i="1" s="1"/>
  <c r="V290" i="1" s="1"/>
  <c r="O290" i="1"/>
  <c r="P290" i="1" s="1"/>
  <c r="Q290" i="1" s="1"/>
  <c r="R290" i="1" s="1"/>
  <c r="K109" i="1"/>
  <c r="L109" i="1" s="1"/>
  <c r="M109" i="1" s="1"/>
  <c r="N109" i="1" s="1"/>
  <c r="O109" i="1"/>
  <c r="P109" i="1" s="1"/>
  <c r="Q109" i="1" s="1"/>
  <c r="R109" i="1" s="1"/>
  <c r="S109" i="1"/>
  <c r="T109" i="1" s="1"/>
  <c r="U109" i="1" s="1"/>
  <c r="V109" i="1" s="1"/>
  <c r="K21" i="1"/>
  <c r="L21" i="1" s="1"/>
  <c r="M21" i="1" s="1"/>
  <c r="N21" i="1" s="1"/>
  <c r="S21" i="1"/>
  <c r="T21" i="1" s="1"/>
  <c r="U21" i="1" s="1"/>
  <c r="V21" i="1" s="1"/>
  <c r="O21" i="1"/>
  <c r="P21" i="1" s="1"/>
  <c r="Q21" i="1" s="1"/>
  <c r="R21" i="1" s="1"/>
  <c r="K322" i="1"/>
  <c r="L322" i="1" s="1"/>
  <c r="M322" i="1" s="1"/>
  <c r="N322" i="1" s="1"/>
  <c r="S322" i="1"/>
  <c r="T322" i="1" s="1"/>
  <c r="U322" i="1" s="1"/>
  <c r="V322" i="1" s="1"/>
  <c r="O322" i="1"/>
  <c r="P322" i="1" s="1"/>
  <c r="Q322" i="1" s="1"/>
  <c r="R322" i="1" s="1"/>
  <c r="K305" i="1"/>
  <c r="L305" i="1" s="1"/>
  <c r="M305" i="1" s="1"/>
  <c r="N305" i="1" s="1"/>
  <c r="O305" i="1"/>
  <c r="P305" i="1" s="1"/>
  <c r="Q305" i="1" s="1"/>
  <c r="R305" i="1" s="1"/>
  <c r="S305" i="1"/>
  <c r="T305" i="1" s="1"/>
  <c r="U305" i="1" s="1"/>
  <c r="V305" i="1" s="1"/>
  <c r="K341" i="1"/>
  <c r="L341" i="1" s="1"/>
  <c r="M341" i="1" s="1"/>
  <c r="N341" i="1" s="1"/>
  <c r="O341" i="1"/>
  <c r="P341" i="1" s="1"/>
  <c r="Q341" i="1" s="1"/>
  <c r="R341" i="1" s="1"/>
  <c r="S341" i="1"/>
  <c r="T341" i="1" s="1"/>
  <c r="U341" i="1" s="1"/>
  <c r="V341" i="1" s="1"/>
  <c r="K207" i="1"/>
  <c r="L207" i="1" s="1"/>
  <c r="M207" i="1" s="1"/>
  <c r="N207" i="1" s="1"/>
  <c r="O207" i="1"/>
  <c r="P207" i="1" s="1"/>
  <c r="Q207" i="1" s="1"/>
  <c r="R207" i="1" s="1"/>
  <c r="S207" i="1"/>
  <c r="T207" i="1" s="1"/>
  <c r="U207" i="1" s="1"/>
  <c r="V207" i="1" s="1"/>
  <c r="K188" i="1"/>
  <c r="L188" i="1" s="1"/>
  <c r="M188" i="1" s="1"/>
  <c r="N188" i="1" s="1"/>
  <c r="S188" i="1"/>
  <c r="T188" i="1" s="1"/>
  <c r="U188" i="1" s="1"/>
  <c r="V188" i="1" s="1"/>
  <c r="O188" i="1"/>
  <c r="P188" i="1" s="1"/>
  <c r="Q188" i="1" s="1"/>
  <c r="R188" i="1" s="1"/>
  <c r="K263" i="1"/>
  <c r="L263" i="1" s="1"/>
  <c r="M263" i="1" s="1"/>
  <c r="N263" i="1" s="1"/>
  <c r="O263" i="1"/>
  <c r="P263" i="1" s="1"/>
  <c r="Q263" i="1" s="1"/>
  <c r="R263" i="1" s="1"/>
  <c r="S263" i="1"/>
  <c r="T263" i="1" s="1"/>
  <c r="U263" i="1" s="1"/>
  <c r="V263" i="1" s="1"/>
  <c r="K106" i="1"/>
  <c r="L106" i="1" s="1"/>
  <c r="M106" i="1" s="1"/>
  <c r="N106" i="1" s="1"/>
  <c r="S106" i="1"/>
  <c r="T106" i="1" s="1"/>
  <c r="U106" i="1" s="1"/>
  <c r="V106" i="1" s="1"/>
  <c r="O106" i="1"/>
  <c r="P106" i="1" s="1"/>
  <c r="Q106" i="1" s="1"/>
  <c r="R106" i="1" s="1"/>
  <c r="K174" i="1"/>
  <c r="L174" i="1" s="1"/>
  <c r="M174" i="1" s="1"/>
  <c r="N174" i="1" s="1"/>
  <c r="S174" i="1"/>
  <c r="T174" i="1" s="1"/>
  <c r="U174" i="1" s="1"/>
  <c r="V174" i="1" s="1"/>
  <c r="O174" i="1"/>
  <c r="P174" i="1" s="1"/>
  <c r="Q174" i="1" s="1"/>
  <c r="R174" i="1" s="1"/>
  <c r="K38" i="1"/>
  <c r="L38" i="1" s="1"/>
  <c r="M38" i="1" s="1"/>
  <c r="N38" i="1" s="1"/>
  <c r="S38" i="1"/>
  <c r="T38" i="1" s="1"/>
  <c r="U38" i="1" s="1"/>
  <c r="V38" i="1" s="1"/>
  <c r="O38" i="1"/>
  <c r="P38" i="1" s="1"/>
  <c r="Q38" i="1" s="1"/>
  <c r="R38" i="1" s="1"/>
  <c r="K217" i="1"/>
  <c r="L217" i="1" s="1"/>
  <c r="M217" i="1" s="1"/>
  <c r="N217" i="1" s="1"/>
  <c r="O217" i="1"/>
  <c r="P217" i="1" s="1"/>
  <c r="Q217" i="1" s="1"/>
  <c r="R217" i="1" s="1"/>
  <c r="S217" i="1"/>
  <c r="T217" i="1" s="1"/>
  <c r="U217" i="1" s="1"/>
  <c r="V217" i="1" s="1"/>
  <c r="K87" i="1"/>
  <c r="L87" i="1" s="1"/>
  <c r="M87" i="1" s="1"/>
  <c r="N87" i="1" s="1"/>
  <c r="O87" i="1"/>
  <c r="P87" i="1" s="1"/>
  <c r="Q87" i="1" s="1"/>
  <c r="R87" i="1" s="1"/>
  <c r="S87" i="1"/>
  <c r="T87" i="1" s="1"/>
  <c r="U87" i="1" s="1"/>
  <c r="V87" i="1" s="1"/>
  <c r="K115" i="1"/>
  <c r="L115" i="1" s="1"/>
  <c r="M115" i="1" s="1"/>
  <c r="N115" i="1" s="1"/>
  <c r="O115" i="1"/>
  <c r="P115" i="1" s="1"/>
  <c r="Q115" i="1" s="1"/>
  <c r="R115" i="1" s="1"/>
  <c r="S115" i="1"/>
  <c r="T115" i="1" s="1"/>
  <c r="U115" i="1" s="1"/>
  <c r="V115" i="1" s="1"/>
  <c r="K282" i="1"/>
  <c r="L282" i="1" s="1"/>
  <c r="M282" i="1" s="1"/>
  <c r="N282" i="1" s="1"/>
  <c r="S282" i="1"/>
  <c r="T282" i="1" s="1"/>
  <c r="U282" i="1" s="1"/>
  <c r="V282" i="1" s="1"/>
  <c r="O282" i="1"/>
  <c r="P282" i="1" s="1"/>
  <c r="Q282" i="1" s="1"/>
  <c r="R282" i="1" s="1"/>
  <c r="K74" i="1"/>
  <c r="L74" i="1" s="1"/>
  <c r="M74" i="1" s="1"/>
  <c r="N74" i="1" s="1"/>
  <c r="S74" i="1"/>
  <c r="T74" i="1" s="1"/>
  <c r="U74" i="1" s="1"/>
  <c r="V74" i="1" s="1"/>
  <c r="O74" i="1"/>
  <c r="P74" i="1" s="1"/>
  <c r="Q74" i="1" s="1"/>
  <c r="R74" i="1" s="1"/>
  <c r="K58" i="1"/>
  <c r="L58" i="1" s="1"/>
  <c r="M58" i="1" s="1"/>
  <c r="N58" i="1" s="1"/>
  <c r="S58" i="1"/>
  <c r="T58" i="1" s="1"/>
  <c r="U58" i="1" s="1"/>
  <c r="V58" i="1" s="1"/>
  <c r="O58" i="1"/>
  <c r="P58" i="1" s="1"/>
  <c r="Q58" i="1" s="1"/>
  <c r="R58" i="1" s="1"/>
  <c r="K82" i="1"/>
  <c r="L82" i="1" s="1"/>
  <c r="M82" i="1" s="1"/>
  <c r="N82" i="1" s="1"/>
  <c r="S82" i="1"/>
  <c r="T82" i="1" s="1"/>
  <c r="U82" i="1" s="1"/>
  <c r="V82" i="1" s="1"/>
  <c r="O82" i="1"/>
  <c r="P82" i="1" s="1"/>
  <c r="Q82" i="1" s="1"/>
  <c r="R82" i="1" s="1"/>
  <c r="K37" i="1"/>
  <c r="L37" i="1" s="1"/>
  <c r="M37" i="1" s="1"/>
  <c r="N37" i="1" s="1"/>
  <c r="S37" i="1"/>
  <c r="T37" i="1" s="1"/>
  <c r="U37" i="1" s="1"/>
  <c r="V37" i="1" s="1"/>
  <c r="O37" i="1"/>
  <c r="P37" i="1" s="1"/>
  <c r="Q37" i="1" s="1"/>
  <c r="R37" i="1" s="1"/>
  <c r="K247" i="1"/>
  <c r="L247" i="1" s="1"/>
  <c r="M247" i="1" s="1"/>
  <c r="N247" i="1" s="1"/>
  <c r="O247" i="1"/>
  <c r="P247" i="1" s="1"/>
  <c r="Q247" i="1" s="1"/>
  <c r="R247" i="1" s="1"/>
  <c r="S247" i="1"/>
  <c r="T247" i="1" s="1"/>
  <c r="U247" i="1" s="1"/>
  <c r="V247" i="1" s="1"/>
  <c r="K91" i="1"/>
  <c r="L91" i="1" s="1"/>
  <c r="M91" i="1" s="1"/>
  <c r="N91" i="1" s="1"/>
  <c r="O91" i="1"/>
  <c r="P91" i="1" s="1"/>
  <c r="Q91" i="1" s="1"/>
  <c r="R91" i="1" s="1"/>
  <c r="S91" i="1"/>
  <c r="T91" i="1" s="1"/>
  <c r="U91" i="1" s="1"/>
  <c r="V91" i="1" s="1"/>
  <c r="K312" i="1"/>
  <c r="L312" i="1" s="1"/>
  <c r="M312" i="1" s="1"/>
  <c r="N312" i="1" s="1"/>
  <c r="S312" i="1"/>
  <c r="T312" i="1" s="1"/>
  <c r="U312" i="1" s="1"/>
  <c r="V312" i="1" s="1"/>
  <c r="O312" i="1"/>
  <c r="P312" i="1" s="1"/>
  <c r="Q312" i="1" s="1"/>
  <c r="R312" i="1" s="1"/>
  <c r="K80" i="1"/>
  <c r="L80" i="1" s="1"/>
  <c r="M80" i="1" s="1"/>
  <c r="N80" i="1" s="1"/>
  <c r="S80" i="1"/>
  <c r="T80" i="1" s="1"/>
  <c r="U80" i="1" s="1"/>
  <c r="V80" i="1" s="1"/>
  <c r="O80" i="1"/>
  <c r="P80" i="1" s="1"/>
  <c r="Q80" i="1" s="1"/>
  <c r="R80" i="1" s="1"/>
  <c r="K187" i="1"/>
  <c r="L187" i="1" s="1"/>
  <c r="M187" i="1" s="1"/>
  <c r="N187" i="1" s="1"/>
  <c r="O187" i="1"/>
  <c r="P187" i="1" s="1"/>
  <c r="Q187" i="1" s="1"/>
  <c r="R187" i="1" s="1"/>
  <c r="S187" i="1"/>
  <c r="T187" i="1" s="1"/>
  <c r="U187" i="1" s="1"/>
  <c r="V187" i="1" s="1"/>
  <c r="K284" i="1"/>
  <c r="L284" i="1" s="1"/>
  <c r="M284" i="1" s="1"/>
  <c r="N284" i="1" s="1"/>
  <c r="S284" i="1"/>
  <c r="T284" i="1" s="1"/>
  <c r="U284" i="1" s="1"/>
  <c r="V284" i="1" s="1"/>
  <c r="O284" i="1"/>
  <c r="P284" i="1" s="1"/>
  <c r="Q284" i="1" s="1"/>
  <c r="R284" i="1" s="1"/>
  <c r="K178" i="1"/>
  <c r="L178" i="1" s="1"/>
  <c r="M178" i="1" s="1"/>
  <c r="N178" i="1" s="1"/>
  <c r="S178" i="1"/>
  <c r="T178" i="1" s="1"/>
  <c r="U178" i="1" s="1"/>
  <c r="V178" i="1" s="1"/>
  <c r="O178" i="1"/>
  <c r="P178" i="1" s="1"/>
  <c r="Q178" i="1" s="1"/>
  <c r="R178" i="1" s="1"/>
  <c r="K253" i="1"/>
  <c r="L253" i="1" s="1"/>
  <c r="M253" i="1" s="1"/>
  <c r="N253" i="1" s="1"/>
  <c r="O253" i="1"/>
  <c r="P253" i="1" s="1"/>
  <c r="Q253" i="1" s="1"/>
  <c r="R253" i="1" s="1"/>
  <c r="S253" i="1"/>
  <c r="T253" i="1" s="1"/>
  <c r="U253" i="1" s="1"/>
  <c r="V253" i="1" s="1"/>
  <c r="K99" i="1"/>
  <c r="L99" i="1" s="1"/>
  <c r="M99" i="1" s="1"/>
  <c r="N99" i="1" s="1"/>
  <c r="O99" i="1"/>
  <c r="P99" i="1" s="1"/>
  <c r="Q99" i="1" s="1"/>
  <c r="R99" i="1" s="1"/>
  <c r="S99" i="1"/>
  <c r="T99" i="1" s="1"/>
  <c r="U99" i="1" s="1"/>
  <c r="V99" i="1" s="1"/>
  <c r="K323" i="1"/>
  <c r="L323" i="1" s="1"/>
  <c r="M323" i="1" s="1"/>
  <c r="N323" i="1" s="1"/>
  <c r="O323" i="1"/>
  <c r="P323" i="1" s="1"/>
  <c r="Q323" i="1" s="1"/>
  <c r="R323" i="1" s="1"/>
  <c r="S323" i="1"/>
  <c r="T323" i="1" s="1"/>
  <c r="U323" i="1" s="1"/>
  <c r="V323" i="1" s="1"/>
  <c r="K73" i="1"/>
  <c r="L73" i="1" s="1"/>
  <c r="M73" i="1" s="1"/>
  <c r="N73" i="1" s="1"/>
  <c r="O73" i="1"/>
  <c r="P73" i="1" s="1"/>
  <c r="Q73" i="1" s="1"/>
  <c r="R73" i="1" s="1"/>
  <c r="S73" i="1"/>
  <c r="T73" i="1" s="1"/>
  <c r="U73" i="1" s="1"/>
  <c r="V73" i="1" s="1"/>
  <c r="K34" i="1"/>
  <c r="L34" i="1" s="1"/>
  <c r="M34" i="1" s="1"/>
  <c r="N34" i="1" s="1"/>
  <c r="S34" i="1"/>
  <c r="T34" i="1" s="1"/>
  <c r="U34" i="1" s="1"/>
  <c r="V34" i="1" s="1"/>
  <c r="O34" i="1"/>
  <c r="P34" i="1" s="1"/>
  <c r="Q34" i="1" s="1"/>
  <c r="R34" i="1" s="1"/>
  <c r="K199" i="1"/>
  <c r="L199" i="1" s="1"/>
  <c r="M199" i="1" s="1"/>
  <c r="N199" i="1" s="1"/>
  <c r="O199" i="1"/>
  <c r="P199" i="1" s="1"/>
  <c r="Q199" i="1" s="1"/>
  <c r="R199" i="1" s="1"/>
  <c r="S199" i="1"/>
  <c r="T199" i="1" s="1"/>
  <c r="U199" i="1" s="1"/>
  <c r="V199" i="1" s="1"/>
  <c r="K39" i="1"/>
  <c r="L39" i="1" s="1"/>
  <c r="M39" i="1" s="1"/>
  <c r="N39" i="1" s="1"/>
  <c r="S39" i="1"/>
  <c r="T39" i="1" s="1"/>
  <c r="U39" i="1" s="1"/>
  <c r="V39" i="1" s="1"/>
  <c r="O39" i="1"/>
  <c r="P39" i="1" s="1"/>
  <c r="Q39" i="1" s="1"/>
  <c r="R39" i="1" s="1"/>
  <c r="K134" i="1"/>
  <c r="L134" i="1" s="1"/>
  <c r="M134" i="1" s="1"/>
  <c r="N134" i="1" s="1"/>
  <c r="S134" i="1"/>
  <c r="T134" i="1" s="1"/>
  <c r="U134" i="1" s="1"/>
  <c r="V134" i="1" s="1"/>
  <c r="O134" i="1"/>
  <c r="P134" i="1" s="1"/>
  <c r="Q134" i="1" s="1"/>
  <c r="R134" i="1" s="1"/>
  <c r="K76" i="1"/>
  <c r="L76" i="1" s="1"/>
  <c r="M76" i="1" s="1"/>
  <c r="N76" i="1" s="1"/>
  <c r="S76" i="1"/>
  <c r="T76" i="1" s="1"/>
  <c r="U76" i="1" s="1"/>
  <c r="V76" i="1" s="1"/>
  <c r="O76" i="1"/>
  <c r="P76" i="1" s="1"/>
  <c r="Q76" i="1" s="1"/>
  <c r="R76" i="1" s="1"/>
  <c r="K63" i="1"/>
  <c r="L63" i="1" s="1"/>
  <c r="M63" i="1" s="1"/>
  <c r="N63" i="1" s="1"/>
  <c r="O63" i="1"/>
  <c r="P63" i="1" s="1"/>
  <c r="Q63" i="1" s="1"/>
  <c r="R63" i="1" s="1"/>
  <c r="S63" i="1"/>
  <c r="T63" i="1" s="1"/>
  <c r="U63" i="1" s="1"/>
  <c r="V63" i="1" s="1"/>
  <c r="K15" i="1"/>
  <c r="L15" i="1" s="1"/>
  <c r="M15" i="1" s="1"/>
  <c r="N15" i="1" s="1"/>
  <c r="S15" i="1"/>
  <c r="T15" i="1" s="1"/>
  <c r="U15" i="1" s="1"/>
  <c r="V15" i="1" s="1"/>
  <c r="O15" i="1"/>
  <c r="P15" i="1" s="1"/>
  <c r="Q15" i="1" s="1"/>
  <c r="R15" i="1" s="1"/>
  <c r="K309" i="1"/>
  <c r="L309" i="1" s="1"/>
  <c r="M309" i="1" s="1"/>
  <c r="N309" i="1" s="1"/>
  <c r="O309" i="1"/>
  <c r="P309" i="1" s="1"/>
  <c r="Q309" i="1" s="1"/>
  <c r="R309" i="1" s="1"/>
  <c r="S309" i="1"/>
  <c r="T309" i="1" s="1"/>
  <c r="U309" i="1" s="1"/>
  <c r="V309" i="1" s="1"/>
  <c r="K184" i="1"/>
  <c r="L184" i="1" s="1"/>
  <c r="M184" i="1" s="1"/>
  <c r="N184" i="1" s="1"/>
  <c r="S184" i="1"/>
  <c r="T184" i="1" s="1"/>
  <c r="U184" i="1" s="1"/>
  <c r="V184" i="1" s="1"/>
  <c r="O184" i="1"/>
  <c r="P184" i="1" s="1"/>
  <c r="Q184" i="1" s="1"/>
  <c r="R184" i="1" s="1"/>
  <c r="K130" i="1"/>
  <c r="L130" i="1" s="1"/>
  <c r="M130" i="1" s="1"/>
  <c r="N130" i="1" s="1"/>
  <c r="S130" i="1"/>
  <c r="T130" i="1" s="1"/>
  <c r="U130" i="1" s="1"/>
  <c r="V130" i="1" s="1"/>
  <c r="O130" i="1"/>
  <c r="P130" i="1" s="1"/>
  <c r="Q130" i="1" s="1"/>
  <c r="R130" i="1" s="1"/>
  <c r="K344" i="1"/>
  <c r="L344" i="1" s="1"/>
  <c r="M344" i="1" s="1"/>
  <c r="N344" i="1" s="1"/>
  <c r="S344" i="1"/>
  <c r="T344" i="1" s="1"/>
  <c r="U344" i="1" s="1"/>
  <c r="V344" i="1" s="1"/>
  <c r="O344" i="1"/>
  <c r="P344" i="1" s="1"/>
  <c r="Q344" i="1" s="1"/>
  <c r="R344" i="1" s="1"/>
  <c r="K338" i="1"/>
  <c r="L338" i="1" s="1"/>
  <c r="M338" i="1" s="1"/>
  <c r="N338" i="1" s="1"/>
  <c r="S338" i="1"/>
  <c r="T338" i="1" s="1"/>
  <c r="U338" i="1" s="1"/>
  <c r="V338" i="1" s="1"/>
  <c r="O338" i="1"/>
  <c r="P338" i="1" s="1"/>
  <c r="Q338" i="1" s="1"/>
  <c r="R338" i="1" s="1"/>
  <c r="K118" i="1"/>
  <c r="L118" i="1" s="1"/>
  <c r="M118" i="1" s="1"/>
  <c r="N118" i="1" s="1"/>
  <c r="S118" i="1"/>
  <c r="T118" i="1" s="1"/>
  <c r="U118" i="1" s="1"/>
  <c r="V118" i="1" s="1"/>
  <c r="O118" i="1"/>
  <c r="P118" i="1" s="1"/>
  <c r="Q118" i="1" s="1"/>
  <c r="R118" i="1" s="1"/>
  <c r="K180" i="1"/>
  <c r="L180" i="1" s="1"/>
  <c r="M180" i="1" s="1"/>
  <c r="N180" i="1" s="1"/>
  <c r="S180" i="1"/>
  <c r="T180" i="1" s="1"/>
  <c r="U180" i="1" s="1"/>
  <c r="V180" i="1" s="1"/>
  <c r="O180" i="1"/>
  <c r="P180" i="1" s="1"/>
  <c r="Q180" i="1" s="1"/>
  <c r="R180" i="1" s="1"/>
  <c r="K345" i="1"/>
  <c r="L345" i="1" s="1"/>
  <c r="M345" i="1" s="1"/>
  <c r="N345" i="1" s="1"/>
  <c r="O345" i="1"/>
  <c r="P345" i="1" s="1"/>
  <c r="Q345" i="1" s="1"/>
  <c r="R345" i="1" s="1"/>
  <c r="S345" i="1"/>
  <c r="T345" i="1" s="1"/>
  <c r="U345" i="1" s="1"/>
  <c r="V345" i="1" s="1"/>
  <c r="K154" i="1"/>
  <c r="L154" i="1" s="1"/>
  <c r="M154" i="1" s="1"/>
  <c r="N154" i="1" s="1"/>
  <c r="S154" i="1"/>
  <c r="T154" i="1" s="1"/>
  <c r="U154" i="1" s="1"/>
  <c r="V154" i="1" s="1"/>
  <c r="O154" i="1"/>
  <c r="P154" i="1" s="1"/>
  <c r="Q154" i="1" s="1"/>
  <c r="R154" i="1" s="1"/>
  <c r="K5" i="1"/>
  <c r="L5" i="1" s="1"/>
  <c r="M5" i="1" s="1"/>
  <c r="N5" i="1" s="1"/>
  <c r="S5" i="1"/>
  <c r="T5" i="1" s="1"/>
  <c r="U5" i="1" s="1"/>
  <c r="V5" i="1" s="1"/>
  <c r="O5" i="1"/>
  <c r="P5" i="1" s="1"/>
  <c r="Q5" i="1" s="1"/>
  <c r="R5" i="1" s="1"/>
  <c r="K33" i="1"/>
  <c r="L33" i="1" s="1"/>
  <c r="M33" i="1" s="1"/>
  <c r="N33" i="1" s="1"/>
  <c r="S33" i="1"/>
  <c r="T33" i="1" s="1"/>
  <c r="U33" i="1" s="1"/>
  <c r="V33" i="1" s="1"/>
  <c r="O33" i="1"/>
  <c r="P33" i="1" s="1"/>
  <c r="Q33" i="1" s="1"/>
  <c r="R33" i="1" s="1"/>
  <c r="K237" i="1"/>
  <c r="L237" i="1" s="1"/>
  <c r="M237" i="1" s="1"/>
  <c r="N237" i="1" s="1"/>
  <c r="O237" i="1"/>
  <c r="P237" i="1" s="1"/>
  <c r="Q237" i="1" s="1"/>
  <c r="R237" i="1" s="1"/>
  <c r="S237" i="1"/>
  <c r="T237" i="1" s="1"/>
  <c r="U237" i="1" s="1"/>
  <c r="V237" i="1" s="1"/>
  <c r="K3" i="1"/>
  <c r="L3" i="1" s="1"/>
  <c r="M3" i="1" s="1"/>
  <c r="N3" i="1" s="1"/>
  <c r="S3" i="1"/>
  <c r="T3" i="1" s="1"/>
  <c r="U3" i="1" s="1"/>
  <c r="V3" i="1" s="1"/>
  <c r="O3" i="1"/>
  <c r="P3" i="1" s="1"/>
  <c r="Q3" i="1" s="1"/>
  <c r="R3" i="1" s="1"/>
  <c r="K105" i="1"/>
  <c r="L105" i="1" s="1"/>
  <c r="M105" i="1" s="1"/>
  <c r="N105" i="1" s="1"/>
  <c r="O105" i="1"/>
  <c r="P105" i="1" s="1"/>
  <c r="Q105" i="1" s="1"/>
  <c r="R105" i="1" s="1"/>
  <c r="S105" i="1"/>
  <c r="T105" i="1" s="1"/>
  <c r="U105" i="1" s="1"/>
  <c r="V105" i="1" s="1"/>
  <c r="K264" i="1"/>
  <c r="L264" i="1" s="1"/>
  <c r="M264" i="1" s="1"/>
  <c r="N264" i="1" s="1"/>
  <c r="S264" i="1"/>
  <c r="T264" i="1" s="1"/>
  <c r="U264" i="1" s="1"/>
  <c r="V264" i="1" s="1"/>
  <c r="O264" i="1"/>
  <c r="P264" i="1" s="1"/>
  <c r="Q264" i="1" s="1"/>
  <c r="R264" i="1" s="1"/>
  <c r="K346" i="1"/>
  <c r="L346" i="1" s="1"/>
  <c r="M346" i="1" s="1"/>
  <c r="N346" i="1" s="1"/>
  <c r="S346" i="1"/>
  <c r="T346" i="1" s="1"/>
  <c r="U346" i="1" s="1"/>
  <c r="V346" i="1" s="1"/>
  <c r="O346" i="1"/>
  <c r="P346" i="1" s="1"/>
  <c r="Q346" i="1" s="1"/>
  <c r="R346" i="1" s="1"/>
  <c r="K279" i="1"/>
  <c r="L279" i="1" s="1"/>
  <c r="M279" i="1" s="1"/>
  <c r="N279" i="1" s="1"/>
  <c r="O279" i="1"/>
  <c r="P279" i="1" s="1"/>
  <c r="Q279" i="1" s="1"/>
  <c r="R279" i="1" s="1"/>
  <c r="S279" i="1"/>
  <c r="T279" i="1" s="1"/>
  <c r="U279" i="1" s="1"/>
  <c r="V279" i="1" s="1"/>
  <c r="K4" i="1"/>
  <c r="L4" i="1" s="1"/>
  <c r="M4" i="1" s="1"/>
  <c r="N4" i="1" s="1"/>
  <c r="S4" i="1"/>
  <c r="T4" i="1" s="1"/>
  <c r="U4" i="1" s="1"/>
  <c r="V4" i="1" s="1"/>
  <c r="O4" i="1"/>
  <c r="P4" i="1" s="1"/>
  <c r="Q4" i="1" s="1"/>
  <c r="R4" i="1" s="1"/>
  <c r="K27" i="1"/>
  <c r="L27" i="1" s="1"/>
  <c r="M27" i="1" s="1"/>
  <c r="N27" i="1" s="1"/>
  <c r="S27" i="1"/>
  <c r="T27" i="1" s="1"/>
  <c r="U27" i="1" s="1"/>
  <c r="V27" i="1" s="1"/>
  <c r="O27" i="1"/>
  <c r="P27" i="1" s="1"/>
  <c r="Q27" i="1" s="1"/>
  <c r="R27" i="1" s="1"/>
  <c r="K46" i="1"/>
  <c r="L46" i="1" s="1"/>
  <c r="M46" i="1" s="1"/>
  <c r="N46" i="1" s="1"/>
  <c r="S46" i="1"/>
  <c r="T46" i="1" s="1"/>
  <c r="U46" i="1" s="1"/>
  <c r="V46" i="1" s="1"/>
  <c r="O46" i="1"/>
  <c r="P46" i="1" s="1"/>
  <c r="Q46" i="1" s="1"/>
  <c r="R46" i="1" s="1"/>
  <c r="K177" i="1"/>
  <c r="L177" i="1" s="1"/>
  <c r="M177" i="1" s="1"/>
  <c r="N177" i="1" s="1"/>
  <c r="O177" i="1"/>
  <c r="P177" i="1" s="1"/>
  <c r="Q177" i="1" s="1"/>
  <c r="R177" i="1" s="1"/>
  <c r="S177" i="1"/>
  <c r="T177" i="1" s="1"/>
  <c r="U177" i="1" s="1"/>
  <c r="V177" i="1" s="1"/>
  <c r="K262" i="1"/>
  <c r="L262" i="1" s="1"/>
  <c r="M262" i="1" s="1"/>
  <c r="N262" i="1" s="1"/>
  <c r="S262" i="1"/>
  <c r="T262" i="1" s="1"/>
  <c r="U262" i="1" s="1"/>
  <c r="V262" i="1" s="1"/>
  <c r="O262" i="1"/>
  <c r="P262" i="1" s="1"/>
  <c r="Q262" i="1" s="1"/>
  <c r="R262" i="1" s="1"/>
  <c r="K347" i="1"/>
  <c r="L347" i="1" s="1"/>
  <c r="M347" i="1" s="1"/>
  <c r="N347" i="1" s="1"/>
  <c r="O347" i="1"/>
  <c r="P347" i="1" s="1"/>
  <c r="Q347" i="1" s="1"/>
  <c r="R347" i="1" s="1"/>
  <c r="S347" i="1"/>
  <c r="T347" i="1" s="1"/>
  <c r="U347" i="1" s="1"/>
  <c r="V347" i="1" s="1"/>
  <c r="K113" i="1"/>
  <c r="L113" i="1" s="1"/>
  <c r="M113" i="1" s="1"/>
  <c r="N113" i="1" s="1"/>
  <c r="O113" i="1"/>
  <c r="P113" i="1" s="1"/>
  <c r="Q113" i="1" s="1"/>
  <c r="R113" i="1" s="1"/>
  <c r="S113" i="1"/>
  <c r="T113" i="1" s="1"/>
  <c r="U113" i="1" s="1"/>
  <c r="V113" i="1" s="1"/>
  <c r="K101" i="1"/>
  <c r="L101" i="1" s="1"/>
  <c r="M101" i="1" s="1"/>
  <c r="N101" i="1" s="1"/>
  <c r="O101" i="1"/>
  <c r="P101" i="1" s="1"/>
  <c r="Q101" i="1" s="1"/>
  <c r="R101" i="1" s="1"/>
  <c r="S101" i="1"/>
  <c r="T101" i="1" s="1"/>
  <c r="U101" i="1" s="1"/>
  <c r="V101" i="1" s="1"/>
  <c r="K273" i="1"/>
  <c r="L273" i="1" s="1"/>
  <c r="M273" i="1" s="1"/>
  <c r="N273" i="1" s="1"/>
  <c r="O273" i="1"/>
  <c r="P273" i="1" s="1"/>
  <c r="Q273" i="1" s="1"/>
  <c r="R273" i="1" s="1"/>
  <c r="S273" i="1"/>
  <c r="T273" i="1" s="1"/>
  <c r="U273" i="1" s="1"/>
  <c r="V273" i="1" s="1"/>
  <c r="K239" i="1"/>
  <c r="L239" i="1" s="1"/>
  <c r="M239" i="1" s="1"/>
  <c r="N239" i="1" s="1"/>
  <c r="O239" i="1"/>
  <c r="P239" i="1" s="1"/>
  <c r="Q239" i="1" s="1"/>
  <c r="R239" i="1" s="1"/>
  <c r="S239" i="1"/>
  <c r="T239" i="1" s="1"/>
  <c r="U239" i="1" s="1"/>
  <c r="V239" i="1" s="1"/>
  <c r="K161" i="1"/>
  <c r="L161" i="1" s="1"/>
  <c r="M161" i="1" s="1"/>
  <c r="N161" i="1" s="1"/>
  <c r="O161" i="1"/>
  <c r="P161" i="1" s="1"/>
  <c r="Q161" i="1" s="1"/>
  <c r="R161" i="1" s="1"/>
  <c r="S161" i="1"/>
  <c r="T161" i="1" s="1"/>
  <c r="U161" i="1" s="1"/>
  <c r="V161" i="1" s="1"/>
  <c r="K222" i="1"/>
  <c r="L222" i="1" s="1"/>
  <c r="M222" i="1" s="1"/>
  <c r="N222" i="1" s="1"/>
  <c r="S222" i="1"/>
  <c r="T222" i="1" s="1"/>
  <c r="U222" i="1" s="1"/>
  <c r="V222" i="1" s="1"/>
  <c r="O222" i="1"/>
  <c r="P222" i="1" s="1"/>
  <c r="Q222" i="1" s="1"/>
  <c r="R222" i="1" s="1"/>
  <c r="K348" i="1"/>
  <c r="L348" i="1" s="1"/>
  <c r="M348" i="1" s="1"/>
  <c r="N348" i="1" s="1"/>
  <c r="S348" i="1"/>
  <c r="T348" i="1" s="1"/>
  <c r="U348" i="1" s="1"/>
  <c r="V348" i="1" s="1"/>
  <c r="O348" i="1"/>
  <c r="P348" i="1" s="1"/>
  <c r="Q348" i="1" s="1"/>
  <c r="R348" i="1" s="1"/>
  <c r="K349" i="1"/>
  <c r="L349" i="1" s="1"/>
  <c r="M349" i="1" s="1"/>
  <c r="N349" i="1" s="1"/>
  <c r="O349" i="1"/>
  <c r="P349" i="1" s="1"/>
  <c r="Q349" i="1" s="1"/>
  <c r="R349" i="1" s="1"/>
  <c r="S349" i="1"/>
  <c r="T349" i="1" s="1"/>
  <c r="U349" i="1" s="1"/>
  <c r="V349" i="1" s="1"/>
  <c r="K342" i="1"/>
  <c r="L342" i="1" s="1"/>
  <c r="M342" i="1" s="1"/>
  <c r="N342" i="1" s="1"/>
  <c r="S342" i="1"/>
  <c r="T342" i="1" s="1"/>
  <c r="U342" i="1" s="1"/>
  <c r="V342" i="1" s="1"/>
  <c r="O342" i="1"/>
  <c r="P342" i="1" s="1"/>
  <c r="Q342" i="1" s="1"/>
  <c r="R342" i="1" s="1"/>
  <c r="K231" i="1"/>
  <c r="L231" i="1" s="1"/>
  <c r="M231" i="1" s="1"/>
  <c r="N231" i="1" s="1"/>
  <c r="O231" i="1"/>
  <c r="P231" i="1" s="1"/>
  <c r="Q231" i="1" s="1"/>
  <c r="R231" i="1" s="1"/>
  <c r="S231" i="1"/>
  <c r="T231" i="1" s="1"/>
  <c r="U231" i="1" s="1"/>
  <c r="V231" i="1" s="1"/>
  <c r="K32" i="1"/>
  <c r="L32" i="1" s="1"/>
  <c r="M32" i="1" s="1"/>
  <c r="N32" i="1" s="1"/>
  <c r="S32" i="1"/>
  <c r="T32" i="1" s="1"/>
  <c r="U32" i="1" s="1"/>
  <c r="V32" i="1" s="1"/>
  <c r="O32" i="1"/>
  <c r="P32" i="1" s="1"/>
  <c r="Q32" i="1" s="1"/>
  <c r="R32" i="1" s="1"/>
  <c r="K294" i="1"/>
  <c r="L294" i="1" s="1"/>
  <c r="M294" i="1" s="1"/>
  <c r="N294" i="1" s="1"/>
  <c r="S294" i="1"/>
  <c r="T294" i="1" s="1"/>
  <c r="U294" i="1" s="1"/>
  <c r="V294" i="1" s="1"/>
  <c r="O294" i="1"/>
  <c r="P294" i="1" s="1"/>
  <c r="Q294" i="1" s="1"/>
  <c r="R294" i="1" s="1"/>
  <c r="K179" i="1"/>
  <c r="L179" i="1" s="1"/>
  <c r="M179" i="1" s="1"/>
  <c r="N179" i="1" s="1"/>
  <c r="O179" i="1"/>
  <c r="P179" i="1" s="1"/>
  <c r="Q179" i="1" s="1"/>
  <c r="R179" i="1" s="1"/>
  <c r="S179" i="1"/>
  <c r="T179" i="1" s="1"/>
  <c r="U179" i="1" s="1"/>
  <c r="V179" i="1" s="1"/>
  <c r="K350" i="1"/>
  <c r="L350" i="1" s="1"/>
  <c r="M350" i="1" s="1"/>
  <c r="N350" i="1" s="1"/>
  <c r="S350" i="1"/>
  <c r="T350" i="1" s="1"/>
  <c r="U350" i="1" s="1"/>
  <c r="V350" i="1" s="1"/>
  <c r="O350" i="1"/>
  <c r="P350" i="1" s="1"/>
  <c r="Q350" i="1" s="1"/>
  <c r="R350" i="1" s="1"/>
  <c r="K85" i="1"/>
  <c r="L85" i="1" s="1"/>
  <c r="M85" i="1" s="1"/>
  <c r="N85" i="1" s="1"/>
  <c r="O85" i="1"/>
  <c r="P85" i="1" s="1"/>
  <c r="Q85" i="1" s="1"/>
  <c r="R85" i="1" s="1"/>
  <c r="S85" i="1"/>
  <c r="T85" i="1" s="1"/>
  <c r="U85" i="1" s="1"/>
  <c r="V85" i="1" s="1"/>
  <c r="K351" i="1"/>
  <c r="L351" i="1" s="1"/>
  <c r="M351" i="1" s="1"/>
  <c r="N351" i="1" s="1"/>
  <c r="O351" i="1"/>
  <c r="P351" i="1" s="1"/>
  <c r="Q351" i="1" s="1"/>
  <c r="R351" i="1" s="1"/>
  <c r="S351" i="1"/>
  <c r="T351" i="1" s="1"/>
  <c r="U351" i="1" s="1"/>
  <c r="V351" i="1" s="1"/>
  <c r="K326" i="1"/>
  <c r="L326" i="1" s="1"/>
  <c r="M326" i="1" s="1"/>
  <c r="N326" i="1" s="1"/>
  <c r="S326" i="1"/>
  <c r="T326" i="1" s="1"/>
  <c r="U326" i="1" s="1"/>
  <c r="V326" i="1" s="1"/>
  <c r="O326" i="1"/>
  <c r="P326" i="1" s="1"/>
  <c r="Q326" i="1" s="1"/>
  <c r="R326" i="1" s="1"/>
  <c r="K23" i="1"/>
  <c r="L23" i="1" s="1"/>
  <c r="M23" i="1" s="1"/>
  <c r="N23" i="1" s="1"/>
  <c r="S23" i="1"/>
  <c r="T23" i="1" s="1"/>
  <c r="U23" i="1" s="1"/>
  <c r="V23" i="1" s="1"/>
  <c r="O23" i="1"/>
  <c r="P23" i="1" s="1"/>
  <c r="Q23" i="1" s="1"/>
  <c r="R23" i="1" s="1"/>
  <c r="K210" i="1"/>
  <c r="L210" i="1" s="1"/>
  <c r="M210" i="1" s="1"/>
  <c r="N210" i="1" s="1"/>
  <c r="S210" i="1"/>
  <c r="T210" i="1" s="1"/>
  <c r="U210" i="1" s="1"/>
  <c r="V210" i="1" s="1"/>
  <c r="O210" i="1"/>
  <c r="P210" i="1" s="1"/>
  <c r="Q210" i="1" s="1"/>
  <c r="R210" i="1" s="1"/>
  <c r="K31" i="1"/>
  <c r="L31" i="1" s="1"/>
  <c r="M31" i="1" s="1"/>
  <c r="N31" i="1" s="1"/>
  <c r="S31" i="1"/>
  <c r="T31" i="1" s="1"/>
  <c r="U31" i="1" s="1"/>
  <c r="V31" i="1" s="1"/>
  <c r="O31" i="1"/>
  <c r="P31" i="1" s="1"/>
  <c r="Q31" i="1" s="1"/>
  <c r="R31" i="1" s="1"/>
  <c r="K274" i="1"/>
  <c r="L274" i="1" s="1"/>
  <c r="M274" i="1" s="1"/>
  <c r="N274" i="1" s="1"/>
  <c r="S274" i="1"/>
  <c r="T274" i="1" s="1"/>
  <c r="U274" i="1" s="1"/>
  <c r="V274" i="1" s="1"/>
  <c r="O274" i="1"/>
  <c r="P274" i="1" s="1"/>
  <c r="Q274" i="1" s="1"/>
  <c r="R274" i="1" s="1"/>
  <c r="K107" i="1"/>
  <c r="L107" i="1" s="1"/>
  <c r="M107" i="1" s="1"/>
  <c r="N107" i="1" s="1"/>
  <c r="O107" i="1"/>
  <c r="P107" i="1" s="1"/>
  <c r="Q107" i="1" s="1"/>
  <c r="R107" i="1" s="1"/>
  <c r="S107" i="1"/>
  <c r="T107" i="1" s="1"/>
  <c r="U107" i="1" s="1"/>
  <c r="V107" i="1" s="1"/>
  <c r="K278" i="1"/>
  <c r="L278" i="1" s="1"/>
  <c r="M278" i="1" s="1"/>
  <c r="N278" i="1" s="1"/>
  <c r="S278" i="1"/>
  <c r="T278" i="1" s="1"/>
  <c r="U278" i="1" s="1"/>
  <c r="V278" i="1" s="1"/>
  <c r="O278" i="1"/>
  <c r="P278" i="1" s="1"/>
  <c r="Q278" i="1" s="1"/>
  <c r="R278" i="1" s="1"/>
  <c r="K138" i="1"/>
  <c r="L138" i="1" s="1"/>
  <c r="M138" i="1" s="1"/>
  <c r="N138" i="1" s="1"/>
  <c r="S138" i="1"/>
  <c r="T138" i="1" s="1"/>
  <c r="U138" i="1" s="1"/>
  <c r="V138" i="1" s="1"/>
  <c r="O138" i="1"/>
  <c r="P138" i="1" s="1"/>
  <c r="Q138" i="1" s="1"/>
  <c r="R138" i="1" s="1"/>
  <c r="K165" i="1"/>
  <c r="L165" i="1" s="1"/>
  <c r="M165" i="1" s="1"/>
  <c r="N165" i="1" s="1"/>
  <c r="O165" i="1"/>
  <c r="P165" i="1" s="1"/>
  <c r="Q165" i="1" s="1"/>
  <c r="R165" i="1" s="1"/>
  <c r="S165" i="1"/>
  <c r="T165" i="1" s="1"/>
  <c r="U165" i="1" s="1"/>
  <c r="V165" i="1" s="1"/>
  <c r="K51" i="1"/>
  <c r="L51" i="1" s="1"/>
  <c r="M51" i="1" s="1"/>
  <c r="N51" i="1" s="1"/>
  <c r="S51" i="1"/>
  <c r="T51" i="1" s="1"/>
  <c r="U51" i="1" s="1"/>
  <c r="V51" i="1" s="1"/>
  <c r="O51" i="1"/>
  <c r="P51" i="1" s="1"/>
  <c r="Q51" i="1" s="1"/>
  <c r="R51" i="1" s="1"/>
  <c r="K189" i="1"/>
  <c r="L189" i="1" s="1"/>
  <c r="M189" i="1" s="1"/>
  <c r="N189" i="1" s="1"/>
  <c r="O189" i="1"/>
  <c r="P189" i="1" s="1"/>
  <c r="Q189" i="1" s="1"/>
  <c r="R189" i="1" s="1"/>
  <c r="S189" i="1"/>
  <c r="T189" i="1" s="1"/>
  <c r="U189" i="1" s="1"/>
  <c r="V189" i="1" s="1"/>
  <c r="K354" i="1"/>
  <c r="L354" i="1" s="1"/>
  <c r="M354" i="1" s="1"/>
  <c r="N354" i="1" s="1"/>
  <c r="S354" i="1"/>
  <c r="T354" i="1" s="1"/>
  <c r="U354" i="1" s="1"/>
  <c r="V354" i="1" s="1"/>
  <c r="O354" i="1"/>
  <c r="P354" i="1" s="1"/>
  <c r="Q354" i="1" s="1"/>
  <c r="R354" i="1" s="1"/>
  <c r="K40" i="1"/>
  <c r="L40" i="1" s="1"/>
  <c r="M40" i="1" s="1"/>
  <c r="N40" i="1" s="1"/>
  <c r="S40" i="1"/>
  <c r="T40" i="1" s="1"/>
  <c r="U40" i="1" s="1"/>
  <c r="V40" i="1" s="1"/>
  <c r="O40" i="1"/>
  <c r="P40" i="1" s="1"/>
  <c r="Q40" i="1" s="1"/>
  <c r="R40" i="1" s="1"/>
  <c r="K157" i="1"/>
  <c r="L157" i="1" s="1"/>
  <c r="M157" i="1" s="1"/>
  <c r="N157" i="1" s="1"/>
  <c r="O157" i="1"/>
  <c r="P157" i="1" s="1"/>
  <c r="Q157" i="1" s="1"/>
  <c r="R157" i="1" s="1"/>
  <c r="S157" i="1"/>
  <c r="T157" i="1" s="1"/>
  <c r="U157" i="1" s="1"/>
  <c r="V157" i="1" s="1"/>
  <c r="K146" i="1"/>
  <c r="L146" i="1" s="1"/>
  <c r="M146" i="1" s="1"/>
  <c r="N146" i="1" s="1"/>
  <c r="S146" i="1"/>
  <c r="T146" i="1" s="1"/>
  <c r="U146" i="1" s="1"/>
  <c r="V146" i="1" s="1"/>
  <c r="O146" i="1"/>
  <c r="P146" i="1" s="1"/>
  <c r="Q146" i="1" s="1"/>
  <c r="R146" i="1" s="1"/>
  <c r="K65" i="1"/>
  <c r="L65" i="1" s="1"/>
  <c r="M65" i="1" s="1"/>
  <c r="N65" i="1" s="1"/>
  <c r="O65" i="1"/>
  <c r="P65" i="1" s="1"/>
  <c r="Q65" i="1" s="1"/>
  <c r="R65" i="1" s="1"/>
  <c r="S65" i="1"/>
  <c r="T65" i="1" s="1"/>
  <c r="U65" i="1" s="1"/>
  <c r="V65" i="1" s="1"/>
  <c r="K327" i="1"/>
  <c r="L327" i="1" s="1"/>
  <c r="M327" i="1" s="1"/>
  <c r="N327" i="1" s="1"/>
  <c r="O327" i="1"/>
  <c r="P327" i="1" s="1"/>
  <c r="Q327" i="1" s="1"/>
  <c r="R327" i="1" s="1"/>
  <c r="S327" i="1"/>
  <c r="T327" i="1" s="1"/>
  <c r="U327" i="1" s="1"/>
  <c r="V327" i="1" s="1"/>
  <c r="K301" i="1"/>
  <c r="L301" i="1" s="1"/>
  <c r="M301" i="1" s="1"/>
  <c r="N301" i="1" s="1"/>
  <c r="O301" i="1"/>
  <c r="P301" i="1" s="1"/>
  <c r="Q301" i="1" s="1"/>
  <c r="R301" i="1" s="1"/>
  <c r="S301" i="1"/>
  <c r="T301" i="1" s="1"/>
  <c r="U301" i="1" s="1"/>
  <c r="V301" i="1" s="1"/>
  <c r="K219" i="1"/>
  <c r="L219" i="1" s="1"/>
  <c r="M219" i="1" s="1"/>
  <c r="N219" i="1" s="1"/>
  <c r="O219" i="1"/>
  <c r="P219" i="1" s="1"/>
  <c r="Q219" i="1" s="1"/>
  <c r="R219" i="1" s="1"/>
  <c r="S219" i="1"/>
  <c r="T219" i="1" s="1"/>
  <c r="U219" i="1" s="1"/>
  <c r="V219" i="1" s="1"/>
  <c r="K238" i="1"/>
  <c r="L238" i="1" s="1"/>
  <c r="M238" i="1" s="1"/>
  <c r="N238" i="1" s="1"/>
  <c r="S238" i="1"/>
  <c r="T238" i="1" s="1"/>
  <c r="U238" i="1" s="1"/>
  <c r="V238" i="1" s="1"/>
  <c r="O238" i="1"/>
  <c r="P238" i="1" s="1"/>
  <c r="Q238" i="1" s="1"/>
  <c r="R238" i="1" s="1"/>
  <c r="K141" i="1"/>
  <c r="L141" i="1" s="1"/>
  <c r="M141" i="1" s="1"/>
  <c r="N141" i="1" s="1"/>
  <c r="O141" i="1"/>
  <c r="P141" i="1" s="1"/>
  <c r="Q141" i="1" s="1"/>
  <c r="R141" i="1" s="1"/>
  <c r="S141" i="1"/>
  <c r="T141" i="1" s="1"/>
  <c r="U141" i="1" s="1"/>
  <c r="V141" i="1" s="1"/>
  <c r="K9" i="1"/>
  <c r="L9" i="1" s="1"/>
  <c r="M9" i="1" s="1"/>
  <c r="N9" i="1" s="1"/>
  <c r="S9" i="1"/>
  <c r="T9" i="1" s="1"/>
  <c r="U9" i="1" s="1"/>
  <c r="V9" i="1" s="1"/>
  <c r="O9" i="1"/>
  <c r="P9" i="1" s="1"/>
  <c r="Q9" i="1" s="1"/>
  <c r="R9" i="1" s="1"/>
  <c r="K324" i="1"/>
  <c r="L324" i="1" s="1"/>
  <c r="M324" i="1" s="1"/>
  <c r="N324" i="1" s="1"/>
  <c r="S324" i="1"/>
  <c r="T324" i="1" s="1"/>
  <c r="U324" i="1" s="1"/>
  <c r="V324" i="1" s="1"/>
  <c r="O324" i="1"/>
  <c r="P324" i="1" s="1"/>
  <c r="Q324" i="1" s="1"/>
  <c r="R324" i="1" s="1"/>
  <c r="K70" i="1"/>
  <c r="L70" i="1" s="1"/>
  <c r="M70" i="1" s="1"/>
  <c r="N70" i="1" s="1"/>
  <c r="S70" i="1"/>
  <c r="T70" i="1" s="1"/>
  <c r="U70" i="1" s="1"/>
  <c r="V70" i="1" s="1"/>
  <c r="O70" i="1"/>
  <c r="P70" i="1" s="1"/>
  <c r="Q70" i="1" s="1"/>
  <c r="R70" i="1" s="1"/>
  <c r="K192" i="1"/>
  <c r="L192" i="1" s="1"/>
  <c r="M192" i="1" s="1"/>
  <c r="N192" i="1" s="1"/>
  <c r="S192" i="1"/>
  <c r="T192" i="1" s="1"/>
  <c r="U192" i="1" s="1"/>
  <c r="V192" i="1" s="1"/>
  <c r="O192" i="1"/>
  <c r="P192" i="1" s="1"/>
  <c r="Q192" i="1" s="1"/>
  <c r="R192" i="1" s="1"/>
  <c r="K319" i="1"/>
  <c r="L319" i="1" s="1"/>
  <c r="M319" i="1" s="1"/>
  <c r="N319" i="1" s="1"/>
  <c r="O319" i="1"/>
  <c r="P319" i="1" s="1"/>
  <c r="Q319" i="1" s="1"/>
  <c r="R319" i="1" s="1"/>
  <c r="S319" i="1"/>
  <c r="T319" i="1" s="1"/>
  <c r="U319" i="1" s="1"/>
  <c r="V319" i="1" s="1"/>
  <c r="K261" i="1"/>
  <c r="L261" i="1" s="1"/>
  <c r="M261" i="1" s="1"/>
  <c r="N261" i="1" s="1"/>
  <c r="O261" i="1"/>
  <c r="P261" i="1" s="1"/>
  <c r="Q261" i="1" s="1"/>
  <c r="R261" i="1" s="1"/>
  <c r="S261" i="1"/>
  <c r="T261" i="1" s="1"/>
  <c r="U261" i="1" s="1"/>
  <c r="V261" i="1" s="1"/>
  <c r="K89" i="1"/>
  <c r="L89" i="1" s="1"/>
  <c r="M89" i="1" s="1"/>
  <c r="N89" i="1" s="1"/>
  <c r="O89" i="1"/>
  <c r="P89" i="1" s="1"/>
  <c r="Q89" i="1" s="1"/>
  <c r="R89" i="1" s="1"/>
  <c r="S89" i="1"/>
  <c r="T89" i="1" s="1"/>
  <c r="U89" i="1" s="1"/>
  <c r="V89" i="1" s="1"/>
  <c r="K197" i="1"/>
  <c r="L197" i="1" s="1"/>
  <c r="M197" i="1" s="1"/>
  <c r="N197" i="1" s="1"/>
  <c r="O197" i="1"/>
  <c r="P197" i="1" s="1"/>
  <c r="Q197" i="1" s="1"/>
  <c r="R197" i="1" s="1"/>
  <c r="S197" i="1"/>
  <c r="T197" i="1" s="1"/>
  <c r="U197" i="1" s="1"/>
  <c r="V197" i="1" s="1"/>
  <c r="K311" i="1"/>
  <c r="L311" i="1" s="1"/>
  <c r="M311" i="1" s="1"/>
  <c r="N311" i="1" s="1"/>
  <c r="O311" i="1"/>
  <c r="P311" i="1" s="1"/>
  <c r="Q311" i="1" s="1"/>
  <c r="R311" i="1" s="1"/>
  <c r="S311" i="1"/>
  <c r="T311" i="1" s="1"/>
  <c r="U311" i="1" s="1"/>
  <c r="V311" i="1" s="1"/>
  <c r="K137" i="1"/>
  <c r="L137" i="1" s="1"/>
  <c r="M137" i="1" s="1"/>
  <c r="N137" i="1" s="1"/>
  <c r="O137" i="1"/>
  <c r="P137" i="1" s="1"/>
  <c r="Q137" i="1" s="1"/>
  <c r="R137" i="1" s="1"/>
  <c r="S137" i="1"/>
  <c r="T137" i="1" s="1"/>
  <c r="U137" i="1" s="1"/>
  <c r="V137" i="1" s="1"/>
  <c r="K286" i="1"/>
  <c r="L286" i="1" s="1"/>
  <c r="M286" i="1" s="1"/>
  <c r="N286" i="1" s="1"/>
  <c r="S286" i="1"/>
  <c r="T286" i="1" s="1"/>
  <c r="U286" i="1" s="1"/>
  <c r="V286" i="1" s="1"/>
  <c r="O286" i="1"/>
  <c r="P286" i="1" s="1"/>
  <c r="Q286" i="1" s="1"/>
  <c r="R286" i="1" s="1"/>
  <c r="K233" i="1"/>
  <c r="L233" i="1" s="1"/>
  <c r="M233" i="1" s="1"/>
  <c r="N233" i="1" s="1"/>
  <c r="O233" i="1"/>
  <c r="P233" i="1" s="1"/>
  <c r="Q233" i="1" s="1"/>
  <c r="R233" i="1" s="1"/>
  <c r="S233" i="1"/>
  <c r="T233" i="1" s="1"/>
  <c r="U233" i="1" s="1"/>
  <c r="V233" i="1" s="1"/>
  <c r="K337" i="1"/>
  <c r="L337" i="1" s="1"/>
  <c r="M337" i="1" s="1"/>
  <c r="N337" i="1" s="1"/>
  <c r="O337" i="1"/>
  <c r="P337" i="1" s="1"/>
  <c r="Q337" i="1" s="1"/>
  <c r="R337" i="1" s="1"/>
  <c r="S337" i="1"/>
  <c r="T337" i="1" s="1"/>
  <c r="U337" i="1" s="1"/>
  <c r="V337" i="1" s="1"/>
  <c r="K221" i="1"/>
  <c r="L221" i="1" s="1"/>
  <c r="M221" i="1" s="1"/>
  <c r="N221" i="1" s="1"/>
  <c r="O221" i="1"/>
  <c r="P221" i="1" s="1"/>
  <c r="Q221" i="1" s="1"/>
  <c r="R221" i="1" s="1"/>
  <c r="S221" i="1"/>
  <c r="T221" i="1" s="1"/>
  <c r="U221" i="1" s="1"/>
  <c r="V221" i="1" s="1"/>
  <c r="K43" i="1"/>
  <c r="L43" i="1" s="1"/>
  <c r="M43" i="1" s="1"/>
  <c r="N43" i="1" s="1"/>
  <c r="S43" i="1"/>
  <c r="T43" i="1" s="1"/>
  <c r="U43" i="1" s="1"/>
  <c r="V43" i="1" s="1"/>
  <c r="O43" i="1"/>
  <c r="P43" i="1" s="1"/>
  <c r="Q43" i="1" s="1"/>
  <c r="R43" i="1" s="1"/>
  <c r="K266" i="1"/>
  <c r="L266" i="1" s="1"/>
  <c r="M266" i="1" s="1"/>
  <c r="N266" i="1" s="1"/>
  <c r="S266" i="1"/>
  <c r="T266" i="1" s="1"/>
  <c r="U266" i="1" s="1"/>
  <c r="V266" i="1" s="1"/>
  <c r="O266" i="1"/>
  <c r="P266" i="1" s="1"/>
  <c r="Q266" i="1" s="1"/>
  <c r="R266" i="1" s="1"/>
  <c r="K356" i="1"/>
  <c r="L356" i="1" s="1"/>
  <c r="M356" i="1" s="1"/>
  <c r="N356" i="1" s="1"/>
  <c r="S356" i="1"/>
  <c r="T356" i="1" s="1"/>
  <c r="U356" i="1" s="1"/>
  <c r="V356" i="1" s="1"/>
  <c r="O356" i="1"/>
  <c r="P356" i="1" s="1"/>
  <c r="Q356" i="1" s="1"/>
  <c r="R356" i="1" s="1"/>
  <c r="K96" i="1"/>
  <c r="L96" i="1" s="1"/>
  <c r="M96" i="1" s="1"/>
  <c r="N96" i="1" s="1"/>
  <c r="S96" i="1"/>
  <c r="T96" i="1" s="1"/>
  <c r="U96" i="1" s="1"/>
  <c r="V96" i="1" s="1"/>
  <c r="O96" i="1"/>
  <c r="P96" i="1" s="1"/>
  <c r="Q96" i="1" s="1"/>
  <c r="R96" i="1" s="1"/>
  <c r="K299" i="1"/>
  <c r="L299" i="1" s="1"/>
  <c r="M299" i="1" s="1"/>
  <c r="N299" i="1" s="1"/>
  <c r="O299" i="1"/>
  <c r="P299" i="1" s="1"/>
  <c r="Q299" i="1" s="1"/>
  <c r="R299" i="1" s="1"/>
  <c r="S299" i="1"/>
  <c r="T299" i="1" s="1"/>
  <c r="U299" i="1" s="1"/>
  <c r="V299" i="1" s="1"/>
  <c r="K122" i="1"/>
  <c r="L122" i="1" s="1"/>
  <c r="M122" i="1" s="1"/>
  <c r="N122" i="1" s="1"/>
  <c r="S122" i="1"/>
  <c r="T122" i="1" s="1"/>
  <c r="U122" i="1" s="1"/>
  <c r="V122" i="1" s="1"/>
  <c r="O122" i="1"/>
  <c r="P122" i="1" s="1"/>
  <c r="Q122" i="1" s="1"/>
  <c r="R122" i="1" s="1"/>
  <c r="K200" i="1"/>
  <c r="L200" i="1" s="1"/>
  <c r="M200" i="1" s="1"/>
  <c r="N200" i="1" s="1"/>
  <c r="S200" i="1"/>
  <c r="T200" i="1" s="1"/>
  <c r="U200" i="1" s="1"/>
  <c r="V200" i="1" s="1"/>
  <c r="O200" i="1"/>
  <c r="P200" i="1" s="1"/>
  <c r="Q200" i="1" s="1"/>
  <c r="R200" i="1" s="1"/>
  <c r="K275" i="1"/>
  <c r="L275" i="1" s="1"/>
  <c r="M275" i="1" s="1"/>
  <c r="N275" i="1" s="1"/>
  <c r="O275" i="1"/>
  <c r="P275" i="1" s="1"/>
  <c r="Q275" i="1" s="1"/>
  <c r="R275" i="1" s="1"/>
  <c r="S275" i="1"/>
  <c r="T275" i="1" s="1"/>
  <c r="U275" i="1" s="1"/>
  <c r="V275" i="1" s="1"/>
  <c r="K321" i="1"/>
  <c r="L321" i="1" s="1"/>
  <c r="M321" i="1" s="1"/>
  <c r="N321" i="1" s="1"/>
  <c r="O321" i="1"/>
  <c r="P321" i="1" s="1"/>
  <c r="Q321" i="1" s="1"/>
  <c r="R321" i="1" s="1"/>
  <c r="S321" i="1"/>
  <c r="T321" i="1" s="1"/>
  <c r="U321" i="1" s="1"/>
  <c r="V321" i="1" s="1"/>
  <c r="K306" i="1"/>
  <c r="L306" i="1" s="1"/>
  <c r="M306" i="1" s="1"/>
  <c r="N306" i="1" s="1"/>
  <c r="S306" i="1"/>
  <c r="T306" i="1" s="1"/>
  <c r="U306" i="1" s="1"/>
  <c r="V306" i="1" s="1"/>
  <c r="O306" i="1"/>
  <c r="P306" i="1" s="1"/>
  <c r="Q306" i="1" s="1"/>
  <c r="R306" i="1" s="1"/>
  <c r="K131" i="1"/>
  <c r="L131" i="1" s="1"/>
  <c r="M131" i="1" s="1"/>
  <c r="N131" i="1" s="1"/>
  <c r="O131" i="1"/>
  <c r="P131" i="1" s="1"/>
  <c r="Q131" i="1" s="1"/>
  <c r="R131" i="1" s="1"/>
  <c r="S131" i="1"/>
  <c r="T131" i="1" s="1"/>
  <c r="U131" i="1" s="1"/>
  <c r="V131" i="1" s="1"/>
  <c r="K176" i="1"/>
  <c r="L176" i="1" s="1"/>
  <c r="M176" i="1" s="1"/>
  <c r="N176" i="1" s="1"/>
  <c r="S176" i="1"/>
  <c r="T176" i="1" s="1"/>
  <c r="U176" i="1" s="1"/>
  <c r="V176" i="1" s="1"/>
  <c r="O176" i="1"/>
  <c r="P176" i="1" s="1"/>
  <c r="Q176" i="1" s="1"/>
  <c r="R176" i="1" s="1"/>
  <c r="K190" i="1"/>
  <c r="L190" i="1" s="1"/>
  <c r="M190" i="1" s="1"/>
  <c r="N190" i="1" s="1"/>
  <c r="S190" i="1"/>
  <c r="T190" i="1" s="1"/>
  <c r="U190" i="1" s="1"/>
  <c r="V190" i="1" s="1"/>
  <c r="O190" i="1"/>
  <c r="P190" i="1" s="1"/>
  <c r="Q190" i="1" s="1"/>
  <c r="R190" i="1" s="1"/>
  <c r="K201" i="1"/>
  <c r="L201" i="1" s="1"/>
  <c r="M201" i="1" s="1"/>
  <c r="N201" i="1" s="1"/>
  <c r="O201" i="1"/>
  <c r="P201" i="1" s="1"/>
  <c r="Q201" i="1" s="1"/>
  <c r="R201" i="1" s="1"/>
  <c r="S201" i="1"/>
  <c r="T201" i="1" s="1"/>
  <c r="U201" i="1" s="1"/>
  <c r="V201" i="1" s="1"/>
  <c r="K75" i="1"/>
  <c r="L75" i="1" s="1"/>
  <c r="M75" i="1" s="1"/>
  <c r="N75" i="1" s="1"/>
  <c r="O75" i="1"/>
  <c r="P75" i="1" s="1"/>
  <c r="Q75" i="1" s="1"/>
  <c r="R75" i="1" s="1"/>
  <c r="S75" i="1"/>
  <c r="T75" i="1" s="1"/>
  <c r="U75" i="1" s="1"/>
  <c r="V75" i="1" s="1"/>
  <c r="K182" i="1"/>
  <c r="L182" i="1" s="1"/>
  <c r="M182" i="1" s="1"/>
  <c r="N182" i="1" s="1"/>
  <c r="S182" i="1"/>
  <c r="T182" i="1" s="1"/>
  <c r="U182" i="1" s="1"/>
  <c r="V182" i="1" s="1"/>
  <c r="O182" i="1"/>
  <c r="P182" i="1" s="1"/>
  <c r="Q182" i="1" s="1"/>
  <c r="R182" i="1" s="1"/>
  <c r="K93" i="1"/>
  <c r="L93" i="1" s="1"/>
  <c r="M93" i="1" s="1"/>
  <c r="N93" i="1" s="1"/>
  <c r="O93" i="1"/>
  <c r="P93" i="1" s="1"/>
  <c r="Q93" i="1" s="1"/>
  <c r="R93" i="1" s="1"/>
  <c r="S93" i="1"/>
  <c r="T93" i="1" s="1"/>
  <c r="U93" i="1" s="1"/>
  <c r="V93" i="1" s="1"/>
  <c r="K83" i="1"/>
  <c r="L83" i="1" s="1"/>
  <c r="M83" i="1" s="1"/>
  <c r="N83" i="1" s="1"/>
  <c r="O83" i="1"/>
  <c r="P83" i="1" s="1"/>
  <c r="Q83" i="1" s="1"/>
  <c r="R83" i="1" s="1"/>
  <c r="S83" i="1"/>
  <c r="T83" i="1" s="1"/>
  <c r="U83" i="1" s="1"/>
  <c r="V83" i="1" s="1"/>
  <c r="K35" i="1"/>
  <c r="L35" i="1" s="1"/>
  <c r="M35" i="1" s="1"/>
  <c r="N35" i="1" s="1"/>
  <c r="S35" i="1"/>
  <c r="T35" i="1" s="1"/>
  <c r="U35" i="1" s="1"/>
  <c r="V35" i="1" s="1"/>
  <c r="O35" i="1"/>
  <c r="P35" i="1" s="1"/>
  <c r="Q35" i="1" s="1"/>
  <c r="R35" i="1" s="1"/>
  <c r="K98" i="1"/>
  <c r="L98" i="1" s="1"/>
  <c r="M98" i="1" s="1"/>
  <c r="N98" i="1" s="1"/>
  <c r="S98" i="1"/>
  <c r="T98" i="1" s="1"/>
  <c r="U98" i="1" s="1"/>
  <c r="V98" i="1" s="1"/>
  <c r="O98" i="1"/>
  <c r="P98" i="1" s="1"/>
  <c r="Q98" i="1" s="1"/>
  <c r="R98" i="1" s="1"/>
  <c r="K318" i="1"/>
  <c r="L318" i="1" s="1"/>
  <c r="M318" i="1" s="1"/>
  <c r="N318" i="1" s="1"/>
  <c r="S318" i="1"/>
  <c r="T318" i="1" s="1"/>
  <c r="U318" i="1" s="1"/>
  <c r="V318" i="1" s="1"/>
  <c r="O318" i="1"/>
  <c r="P318" i="1" s="1"/>
  <c r="Q318" i="1" s="1"/>
  <c r="R318" i="1" s="1"/>
  <c r="K206" i="1"/>
  <c r="L206" i="1" s="1"/>
  <c r="M206" i="1" s="1"/>
  <c r="N206" i="1" s="1"/>
  <c r="S206" i="1"/>
  <c r="T206" i="1" s="1"/>
  <c r="U206" i="1" s="1"/>
  <c r="V206" i="1" s="1"/>
  <c r="O206" i="1"/>
  <c r="P206" i="1" s="1"/>
  <c r="Q206" i="1" s="1"/>
  <c r="R206" i="1" s="1"/>
  <c r="K227" i="1"/>
  <c r="L227" i="1" s="1"/>
  <c r="M227" i="1" s="1"/>
  <c r="N227" i="1" s="1"/>
  <c r="O227" i="1"/>
  <c r="P227" i="1" s="1"/>
  <c r="Q227" i="1" s="1"/>
  <c r="R227" i="1" s="1"/>
  <c r="S227" i="1"/>
  <c r="T227" i="1" s="1"/>
  <c r="U227" i="1" s="1"/>
  <c r="V227" i="1" s="1"/>
  <c r="K195" i="1"/>
  <c r="L195" i="1" s="1"/>
  <c r="M195" i="1" s="1"/>
  <c r="N195" i="1" s="1"/>
  <c r="O195" i="1"/>
  <c r="P195" i="1" s="1"/>
  <c r="Q195" i="1" s="1"/>
  <c r="R195" i="1" s="1"/>
  <c r="S195" i="1"/>
  <c r="T195" i="1" s="1"/>
  <c r="U195" i="1" s="1"/>
  <c r="V195" i="1" s="1"/>
  <c r="K357" i="1"/>
  <c r="L357" i="1" s="1"/>
  <c r="M357" i="1" s="1"/>
  <c r="N357" i="1" s="1"/>
  <c r="O357" i="1"/>
  <c r="P357" i="1" s="1"/>
  <c r="Q357" i="1" s="1"/>
  <c r="R357" i="1" s="1"/>
  <c r="S357" i="1"/>
  <c r="T357" i="1" s="1"/>
  <c r="U357" i="1" s="1"/>
  <c r="V357" i="1" s="1"/>
  <c r="K53" i="1"/>
  <c r="L53" i="1" s="1"/>
  <c r="M53" i="1" s="1"/>
  <c r="N53" i="1" s="1"/>
  <c r="S53" i="1"/>
  <c r="T53" i="1" s="1"/>
  <c r="U53" i="1" s="1"/>
  <c r="V53" i="1" s="1"/>
  <c r="O53" i="1"/>
  <c r="P53" i="1" s="1"/>
  <c r="Q53" i="1" s="1"/>
  <c r="R53" i="1" s="1"/>
  <c r="K272" i="1"/>
  <c r="L272" i="1" s="1"/>
  <c r="M272" i="1" s="1"/>
  <c r="N272" i="1" s="1"/>
  <c r="S272" i="1"/>
  <c r="T272" i="1" s="1"/>
  <c r="U272" i="1" s="1"/>
  <c r="V272" i="1" s="1"/>
  <c r="O272" i="1"/>
  <c r="P272" i="1" s="1"/>
  <c r="Q272" i="1" s="1"/>
  <c r="R272" i="1" s="1"/>
  <c r="K24" i="1"/>
  <c r="L24" i="1" s="1"/>
  <c r="M24" i="1" s="1"/>
  <c r="N24" i="1" s="1"/>
  <c r="S24" i="1"/>
  <c r="T24" i="1" s="1"/>
  <c r="U24" i="1" s="1"/>
  <c r="V24" i="1" s="1"/>
  <c r="O24" i="1"/>
  <c r="P24" i="1" s="1"/>
  <c r="Q24" i="1" s="1"/>
  <c r="R24" i="1" s="1"/>
  <c r="K66" i="1"/>
  <c r="L66" i="1" s="1"/>
  <c r="M66" i="1" s="1"/>
  <c r="N66" i="1" s="1"/>
  <c r="S66" i="1"/>
  <c r="T66" i="1" s="1"/>
  <c r="U66" i="1" s="1"/>
  <c r="V66" i="1" s="1"/>
  <c r="O66" i="1"/>
  <c r="P66" i="1" s="1"/>
  <c r="Q66" i="1" s="1"/>
  <c r="R66" i="1" s="1"/>
  <c r="K103" i="1"/>
  <c r="L103" i="1" s="1"/>
  <c r="M103" i="1" s="1"/>
  <c r="N103" i="1" s="1"/>
  <c r="O103" i="1"/>
  <c r="P103" i="1" s="1"/>
  <c r="Q103" i="1" s="1"/>
  <c r="R103" i="1" s="1"/>
  <c r="S103" i="1"/>
  <c r="T103" i="1" s="1"/>
  <c r="U103" i="1" s="1"/>
  <c r="V103" i="1" s="1"/>
  <c r="K94" i="1"/>
  <c r="L94" i="1" s="1"/>
  <c r="M94" i="1" s="1"/>
  <c r="N94" i="1" s="1"/>
  <c r="S94" i="1"/>
  <c r="T94" i="1" s="1"/>
  <c r="U94" i="1" s="1"/>
  <c r="V94" i="1" s="1"/>
  <c r="O94" i="1"/>
  <c r="P94" i="1" s="1"/>
  <c r="Q94" i="1" s="1"/>
  <c r="R94" i="1" s="1"/>
  <c r="K265" i="1"/>
  <c r="L265" i="1" s="1"/>
  <c r="M265" i="1" s="1"/>
  <c r="N265" i="1" s="1"/>
  <c r="O265" i="1"/>
  <c r="P265" i="1" s="1"/>
  <c r="Q265" i="1" s="1"/>
  <c r="R265" i="1" s="1"/>
  <c r="S265" i="1"/>
  <c r="T265" i="1" s="1"/>
  <c r="U265" i="1" s="1"/>
  <c r="V265" i="1" s="1"/>
  <c r="K14" i="1"/>
  <c r="L14" i="1" s="1"/>
  <c r="M14" i="1" s="1"/>
  <c r="N14" i="1" s="1"/>
  <c r="S14" i="1"/>
  <c r="T14" i="1" s="1"/>
  <c r="U14" i="1" s="1"/>
  <c r="V14" i="1" s="1"/>
  <c r="O14" i="1"/>
  <c r="P14" i="1" s="1"/>
  <c r="Q14" i="1" s="1"/>
  <c r="R14" i="1" s="1"/>
  <c r="K16" i="1"/>
  <c r="L16" i="1" s="1"/>
  <c r="M16" i="1" s="1"/>
  <c r="N16" i="1" s="1"/>
  <c r="S16" i="1"/>
  <c r="T16" i="1" s="1"/>
  <c r="U16" i="1" s="1"/>
  <c r="V16" i="1" s="1"/>
  <c r="O16" i="1"/>
  <c r="P16" i="1" s="1"/>
  <c r="Q16" i="1" s="1"/>
  <c r="R16" i="1" s="1"/>
  <c r="K60" i="1"/>
  <c r="L60" i="1" s="1"/>
  <c r="M60" i="1" s="1"/>
  <c r="N60" i="1" s="1"/>
  <c r="S60" i="1"/>
  <c r="T60" i="1" s="1"/>
  <c r="U60" i="1" s="1"/>
  <c r="V60" i="1" s="1"/>
  <c r="O60" i="1"/>
  <c r="P60" i="1" s="1"/>
  <c r="Q60" i="1" s="1"/>
  <c r="R60" i="1" s="1"/>
  <c r="K97" i="1"/>
  <c r="L97" i="1" s="1"/>
  <c r="M97" i="1" s="1"/>
  <c r="N97" i="1" s="1"/>
  <c r="O97" i="1"/>
  <c r="P97" i="1" s="1"/>
  <c r="Q97" i="1" s="1"/>
  <c r="R97" i="1" s="1"/>
  <c r="S97" i="1"/>
  <c r="T97" i="1" s="1"/>
  <c r="U97" i="1" s="1"/>
  <c r="V97" i="1" s="1"/>
  <c r="K59" i="1"/>
  <c r="L59" i="1" s="1"/>
  <c r="M59" i="1" s="1"/>
  <c r="N59" i="1" s="1"/>
  <c r="S59" i="1"/>
  <c r="T59" i="1" s="1"/>
  <c r="U59" i="1" s="1"/>
  <c r="V59" i="1" s="1"/>
  <c r="O59" i="1"/>
  <c r="P59" i="1" s="1"/>
  <c r="Q59" i="1" s="1"/>
  <c r="R59" i="1" s="1"/>
  <c r="K302" i="1"/>
  <c r="L302" i="1" s="1"/>
  <c r="M302" i="1" s="1"/>
  <c r="N302" i="1" s="1"/>
  <c r="S302" i="1"/>
  <c r="T302" i="1" s="1"/>
  <c r="U302" i="1" s="1"/>
  <c r="V302" i="1" s="1"/>
  <c r="O302" i="1"/>
  <c r="P302" i="1" s="1"/>
  <c r="Q302" i="1" s="1"/>
  <c r="R302" i="1" s="1"/>
  <c r="K212" i="1"/>
  <c r="L212" i="1" s="1"/>
  <c r="M212" i="1" s="1"/>
  <c r="N212" i="1" s="1"/>
  <c r="S212" i="1"/>
  <c r="T212" i="1" s="1"/>
  <c r="U212" i="1" s="1"/>
  <c r="V212" i="1" s="1"/>
  <c r="O212" i="1"/>
  <c r="P212" i="1" s="1"/>
  <c r="Q212" i="1" s="1"/>
  <c r="R212" i="1" s="1"/>
  <c r="K242" i="1"/>
  <c r="L242" i="1" s="1"/>
  <c r="M242" i="1" s="1"/>
  <c r="N242" i="1" s="1"/>
  <c r="S242" i="1"/>
  <c r="T242" i="1" s="1"/>
  <c r="U242" i="1" s="1"/>
  <c r="V242" i="1" s="1"/>
  <c r="O242" i="1"/>
  <c r="P242" i="1" s="1"/>
  <c r="Q242" i="1" s="1"/>
  <c r="R242" i="1" s="1"/>
  <c r="K110" i="1"/>
  <c r="L110" i="1" s="1"/>
  <c r="M110" i="1" s="1"/>
  <c r="N110" i="1" s="1"/>
  <c r="S110" i="1"/>
  <c r="T110" i="1" s="1"/>
  <c r="U110" i="1" s="1"/>
  <c r="V110" i="1" s="1"/>
  <c r="O110" i="1"/>
  <c r="P110" i="1" s="1"/>
  <c r="Q110" i="1" s="1"/>
  <c r="R110" i="1" s="1"/>
  <c r="K55" i="1"/>
  <c r="L55" i="1" s="1"/>
  <c r="M55" i="1" s="1"/>
  <c r="N55" i="1" s="1"/>
  <c r="S55" i="1"/>
  <c r="T55" i="1" s="1"/>
  <c r="U55" i="1" s="1"/>
  <c r="V55" i="1" s="1"/>
  <c r="O55" i="1"/>
  <c r="P55" i="1" s="1"/>
  <c r="Q55" i="1" s="1"/>
  <c r="R55" i="1" s="1"/>
  <c r="K170" i="1"/>
  <c r="L170" i="1" s="1"/>
  <c r="M170" i="1" s="1"/>
  <c r="N170" i="1" s="1"/>
  <c r="S170" i="1"/>
  <c r="T170" i="1" s="1"/>
  <c r="U170" i="1" s="1"/>
  <c r="V170" i="1" s="1"/>
  <c r="O170" i="1"/>
  <c r="P170" i="1" s="1"/>
  <c r="Q170" i="1" s="1"/>
  <c r="R170" i="1" s="1"/>
  <c r="K340" i="1"/>
  <c r="L340" i="1" s="1"/>
  <c r="M340" i="1" s="1"/>
  <c r="N340" i="1" s="1"/>
  <c r="S340" i="1"/>
  <c r="T340" i="1" s="1"/>
  <c r="U340" i="1" s="1"/>
  <c r="V340" i="1" s="1"/>
  <c r="O340" i="1"/>
  <c r="P340" i="1" s="1"/>
  <c r="Q340" i="1" s="1"/>
  <c r="R340" i="1" s="1"/>
  <c r="K331" i="1"/>
  <c r="L331" i="1" s="1"/>
  <c r="M331" i="1" s="1"/>
  <c r="N331" i="1" s="1"/>
  <c r="O331" i="1"/>
  <c r="P331" i="1" s="1"/>
  <c r="Q331" i="1" s="1"/>
  <c r="R331" i="1" s="1"/>
  <c r="S331" i="1"/>
  <c r="T331" i="1" s="1"/>
  <c r="U331" i="1" s="1"/>
  <c r="V331" i="1" s="1"/>
  <c r="K256" i="1"/>
  <c r="L256" i="1" s="1"/>
  <c r="M256" i="1" s="1"/>
  <c r="N256" i="1" s="1"/>
  <c r="S256" i="1"/>
  <c r="T256" i="1" s="1"/>
  <c r="U256" i="1" s="1"/>
  <c r="V256" i="1" s="1"/>
  <c r="O256" i="1"/>
  <c r="P256" i="1" s="1"/>
  <c r="Q256" i="1" s="1"/>
  <c r="R256" i="1" s="1"/>
  <c r="K61" i="1"/>
  <c r="L61" i="1" s="1"/>
  <c r="M61" i="1" s="1"/>
  <c r="N61" i="1" s="1"/>
  <c r="O61" i="1"/>
  <c r="P61" i="1" s="1"/>
  <c r="Q61" i="1" s="1"/>
  <c r="R61" i="1" s="1"/>
  <c r="S61" i="1"/>
  <c r="T61" i="1" s="1"/>
  <c r="U61" i="1" s="1"/>
  <c r="V61" i="1" s="1"/>
  <c r="K111" i="1"/>
  <c r="L111" i="1" s="1"/>
  <c r="M111" i="1" s="1"/>
  <c r="N111" i="1" s="1"/>
  <c r="O111" i="1"/>
  <c r="P111" i="1" s="1"/>
  <c r="Q111" i="1" s="1"/>
  <c r="R111" i="1" s="1"/>
  <c r="S111" i="1"/>
  <c r="T111" i="1" s="1"/>
  <c r="U111" i="1" s="1"/>
  <c r="V111" i="1" s="1"/>
  <c r="K225" i="1"/>
  <c r="L225" i="1" s="1"/>
  <c r="M225" i="1" s="1"/>
  <c r="N225" i="1" s="1"/>
  <c r="O225" i="1"/>
  <c r="P225" i="1" s="1"/>
  <c r="Q225" i="1" s="1"/>
  <c r="R225" i="1" s="1"/>
  <c r="S225" i="1"/>
  <c r="T225" i="1" s="1"/>
  <c r="U225" i="1" s="1"/>
  <c r="V225" i="1" s="1"/>
  <c r="K258" i="1"/>
  <c r="L258" i="1" s="1"/>
  <c r="M258" i="1" s="1"/>
  <c r="N258" i="1" s="1"/>
  <c r="S258" i="1"/>
  <c r="T258" i="1" s="1"/>
  <c r="U258" i="1" s="1"/>
  <c r="V258" i="1" s="1"/>
  <c r="O258" i="1"/>
  <c r="P258" i="1" s="1"/>
  <c r="Q258" i="1" s="1"/>
  <c r="R258" i="1" s="1"/>
  <c r="K17" i="1"/>
  <c r="L17" i="1" s="1"/>
  <c r="M17" i="1" s="1"/>
  <c r="N17" i="1" s="1"/>
  <c r="S17" i="1"/>
  <c r="T17" i="1" s="1"/>
  <c r="U17" i="1" s="1"/>
  <c r="V17" i="1" s="1"/>
  <c r="O17" i="1"/>
  <c r="P17" i="1" s="1"/>
  <c r="Q17" i="1" s="1"/>
  <c r="R17" i="1" s="1"/>
  <c r="K300" i="1"/>
  <c r="L300" i="1" s="1"/>
  <c r="M300" i="1" s="1"/>
  <c r="N300" i="1" s="1"/>
  <c r="S300" i="1"/>
  <c r="T300" i="1" s="1"/>
  <c r="U300" i="1" s="1"/>
  <c r="V300" i="1" s="1"/>
  <c r="O300" i="1"/>
  <c r="P300" i="1" s="1"/>
  <c r="Q300" i="1" s="1"/>
  <c r="R300" i="1" s="1"/>
  <c r="K45" i="1"/>
  <c r="L45" i="1" s="1"/>
  <c r="M45" i="1" s="1"/>
  <c r="N45" i="1" s="1"/>
  <c r="S45" i="1"/>
  <c r="T45" i="1" s="1"/>
  <c r="U45" i="1" s="1"/>
  <c r="V45" i="1" s="1"/>
  <c r="O45" i="1"/>
  <c r="P45" i="1" s="1"/>
  <c r="Q45" i="1" s="1"/>
  <c r="R45" i="1" s="1"/>
  <c r="K292" i="1"/>
  <c r="L292" i="1" s="1"/>
  <c r="M292" i="1" s="1"/>
  <c r="N292" i="1" s="1"/>
  <c r="S292" i="1"/>
  <c r="T292" i="1" s="1"/>
  <c r="U292" i="1" s="1"/>
  <c r="V292" i="1" s="1"/>
  <c r="O292" i="1"/>
  <c r="P292" i="1" s="1"/>
  <c r="Q292" i="1" s="1"/>
  <c r="R292" i="1" s="1"/>
  <c r="K208" i="1"/>
  <c r="L208" i="1" s="1"/>
  <c r="M208" i="1" s="1"/>
  <c r="N208" i="1" s="1"/>
  <c r="S208" i="1"/>
  <c r="T208" i="1" s="1"/>
  <c r="U208" i="1" s="1"/>
  <c r="V208" i="1" s="1"/>
  <c r="O208" i="1"/>
  <c r="P208" i="1" s="1"/>
  <c r="Q208" i="1" s="1"/>
  <c r="R208" i="1" s="1"/>
  <c r="K270" i="1"/>
  <c r="L270" i="1" s="1"/>
  <c r="M270" i="1" s="1"/>
  <c r="N270" i="1" s="1"/>
  <c r="S270" i="1"/>
  <c r="T270" i="1" s="1"/>
  <c r="U270" i="1" s="1"/>
  <c r="V270" i="1" s="1"/>
  <c r="O270" i="1"/>
  <c r="P270" i="1" s="1"/>
  <c r="Q270" i="1" s="1"/>
  <c r="R270" i="1" s="1"/>
  <c r="K252" i="1"/>
  <c r="L252" i="1" s="1"/>
  <c r="M252" i="1" s="1"/>
  <c r="N252" i="1" s="1"/>
  <c r="S252" i="1"/>
  <c r="T252" i="1" s="1"/>
  <c r="U252" i="1" s="1"/>
  <c r="V252" i="1" s="1"/>
  <c r="O252" i="1"/>
  <c r="P252" i="1" s="1"/>
  <c r="Q252" i="1" s="1"/>
  <c r="R252" i="1" s="1"/>
  <c r="K77" i="1"/>
  <c r="L77" i="1" s="1"/>
  <c r="M77" i="1" s="1"/>
  <c r="N77" i="1" s="1"/>
  <c r="O77" i="1"/>
  <c r="P77" i="1" s="1"/>
  <c r="Q77" i="1" s="1"/>
  <c r="R77" i="1" s="1"/>
  <c r="S77" i="1"/>
  <c r="T77" i="1" s="1"/>
  <c r="U77" i="1" s="1"/>
  <c r="V77" i="1" s="1"/>
  <c r="K283" i="1"/>
  <c r="L283" i="1" s="1"/>
  <c r="M283" i="1" s="1"/>
  <c r="N283" i="1" s="1"/>
  <c r="O283" i="1"/>
  <c r="P283" i="1" s="1"/>
  <c r="Q283" i="1" s="1"/>
  <c r="R283" i="1" s="1"/>
  <c r="S283" i="1"/>
  <c r="T283" i="1" s="1"/>
  <c r="U283" i="1" s="1"/>
  <c r="V283" i="1" s="1"/>
  <c r="K333" i="1"/>
  <c r="L333" i="1" s="1"/>
  <c r="M333" i="1" s="1"/>
  <c r="N333" i="1" s="1"/>
  <c r="O333" i="1"/>
  <c r="P333" i="1" s="1"/>
  <c r="Q333" i="1" s="1"/>
  <c r="R333" i="1" s="1"/>
  <c r="S333" i="1"/>
  <c r="T333" i="1" s="1"/>
  <c r="U333" i="1" s="1"/>
  <c r="V333" i="1" s="1"/>
  <c r="K317" i="1"/>
  <c r="L317" i="1" s="1"/>
  <c r="M317" i="1" s="1"/>
  <c r="N317" i="1" s="1"/>
  <c r="O317" i="1"/>
  <c r="P317" i="1" s="1"/>
  <c r="Q317" i="1" s="1"/>
  <c r="R317" i="1" s="1"/>
  <c r="S317" i="1"/>
  <c r="T317" i="1" s="1"/>
  <c r="U317" i="1" s="1"/>
  <c r="V317" i="1" s="1"/>
  <c r="K25" i="1"/>
  <c r="L25" i="1" s="1"/>
  <c r="M25" i="1" s="1"/>
  <c r="N25" i="1" s="1"/>
  <c r="S25" i="1"/>
  <c r="T25" i="1" s="1"/>
  <c r="U25" i="1" s="1"/>
  <c r="V25" i="1" s="1"/>
  <c r="O25" i="1"/>
  <c r="P25" i="1" s="1"/>
  <c r="Q25" i="1" s="1"/>
  <c r="R25" i="1" s="1"/>
  <c r="K158" i="1"/>
  <c r="L158" i="1" s="1"/>
  <c r="M158" i="1" s="1"/>
  <c r="N158" i="1" s="1"/>
  <c r="S158" i="1"/>
  <c r="T158" i="1" s="1"/>
  <c r="U158" i="1" s="1"/>
  <c r="V158" i="1" s="1"/>
  <c r="O158" i="1"/>
  <c r="P158" i="1" s="1"/>
  <c r="Q158" i="1" s="1"/>
  <c r="R158" i="1" s="1"/>
  <c r="K291" i="1"/>
  <c r="L291" i="1" s="1"/>
  <c r="M291" i="1" s="1"/>
  <c r="N291" i="1" s="1"/>
  <c r="O291" i="1"/>
  <c r="P291" i="1" s="1"/>
  <c r="Q291" i="1" s="1"/>
  <c r="R291" i="1" s="1"/>
  <c r="S291" i="1"/>
  <c r="T291" i="1" s="1"/>
  <c r="U291" i="1" s="1"/>
  <c r="V291" i="1" s="1"/>
  <c r="K7" i="1"/>
  <c r="L7" i="1" s="1"/>
  <c r="M7" i="1" s="1"/>
  <c r="N7" i="1" s="1"/>
  <c r="S7" i="1"/>
  <c r="T7" i="1" s="1"/>
  <c r="U7" i="1" s="1"/>
  <c r="V7" i="1" s="1"/>
  <c r="O7" i="1"/>
  <c r="P7" i="1" s="1"/>
  <c r="Q7" i="1" s="1"/>
  <c r="R7" i="1" s="1"/>
  <c r="K202" i="1"/>
  <c r="L202" i="1" s="1"/>
  <c r="M202" i="1" s="1"/>
  <c r="N202" i="1" s="1"/>
  <c r="S202" i="1"/>
  <c r="T202" i="1" s="1"/>
  <c r="U202" i="1" s="1"/>
  <c r="V202" i="1" s="1"/>
  <c r="O202" i="1"/>
  <c r="P202" i="1" s="1"/>
  <c r="Q202" i="1" s="1"/>
  <c r="R202" i="1" s="1"/>
  <c r="K232" i="1"/>
  <c r="L232" i="1" s="1"/>
  <c r="M232" i="1" s="1"/>
  <c r="N232" i="1" s="1"/>
  <c r="S232" i="1"/>
  <c r="T232" i="1" s="1"/>
  <c r="U232" i="1" s="1"/>
  <c r="V232" i="1" s="1"/>
  <c r="O232" i="1"/>
  <c r="P232" i="1" s="1"/>
  <c r="Q232" i="1" s="1"/>
  <c r="R232" i="1" s="1"/>
  <c r="K245" i="1"/>
  <c r="L245" i="1" s="1"/>
  <c r="M245" i="1" s="1"/>
  <c r="N245" i="1" s="1"/>
  <c r="O245" i="1"/>
  <c r="P245" i="1" s="1"/>
  <c r="Q245" i="1" s="1"/>
  <c r="R245" i="1" s="1"/>
  <c r="S245" i="1"/>
  <c r="T245" i="1" s="1"/>
  <c r="U245" i="1" s="1"/>
  <c r="V245" i="1" s="1"/>
  <c r="K360" i="1"/>
  <c r="L360" i="1" s="1"/>
  <c r="M360" i="1" s="1"/>
  <c r="N360" i="1" s="1"/>
  <c r="S360" i="1"/>
  <c r="T360" i="1" s="1"/>
  <c r="U360" i="1" s="1"/>
  <c r="V360" i="1" s="1"/>
  <c r="O360" i="1"/>
  <c r="P360" i="1" s="1"/>
  <c r="Q360" i="1" s="1"/>
  <c r="R360" i="1" s="1"/>
  <c r="K215" i="1"/>
  <c r="L215" i="1" s="1"/>
  <c r="M215" i="1" s="1"/>
  <c r="N215" i="1" s="1"/>
  <c r="O215" i="1"/>
  <c r="P215" i="1" s="1"/>
  <c r="Q215" i="1" s="1"/>
  <c r="R215" i="1" s="1"/>
  <c r="S215" i="1"/>
  <c r="T215" i="1" s="1"/>
  <c r="U215" i="1" s="1"/>
  <c r="V215" i="1" s="1"/>
  <c r="K246" i="1"/>
  <c r="L246" i="1" s="1"/>
  <c r="M246" i="1" s="1"/>
  <c r="N246" i="1" s="1"/>
  <c r="S246" i="1"/>
  <c r="T246" i="1" s="1"/>
  <c r="U246" i="1" s="1"/>
  <c r="V246" i="1" s="1"/>
  <c r="O246" i="1"/>
  <c r="P246" i="1" s="1"/>
  <c r="Q246" i="1" s="1"/>
  <c r="R246" i="1" s="1"/>
  <c r="K156" i="1"/>
  <c r="L156" i="1" s="1"/>
  <c r="M156" i="1" s="1"/>
  <c r="N156" i="1" s="1"/>
  <c r="S156" i="1"/>
  <c r="T156" i="1" s="1"/>
  <c r="U156" i="1" s="1"/>
  <c r="V156" i="1" s="1"/>
  <c r="O156" i="1"/>
  <c r="P156" i="1" s="1"/>
  <c r="Q156" i="1" s="1"/>
  <c r="R156" i="1" s="1"/>
  <c r="N363" i="1"/>
  <c r="N364" i="1" s="1"/>
  <c r="B137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62" i="2"/>
  <c r="B59" i="2"/>
  <c r="B57" i="2"/>
  <c r="B56" i="2"/>
  <c r="B55" i="2"/>
  <c r="B54" i="2"/>
  <c r="B44" i="2"/>
  <c r="B42" i="2"/>
  <c r="B40" i="2"/>
  <c r="B39" i="2"/>
  <c r="B36" i="2"/>
  <c r="B35" i="2"/>
  <c r="B33" i="2"/>
  <c r="B23" i="2"/>
  <c r="B6" i="2"/>
  <c r="B150" i="2"/>
  <c r="B148" i="2"/>
  <c r="B147" i="2"/>
  <c r="B140" i="2"/>
  <c r="B61" i="2"/>
  <c r="B63" i="2"/>
  <c r="B60" i="2"/>
  <c r="B52" i="2"/>
  <c r="B41" i="2"/>
  <c r="B32" i="2"/>
  <c r="B29" i="2"/>
  <c r="B25" i="2"/>
  <c r="B14" i="2"/>
  <c r="B13" i="2"/>
  <c r="B11" i="2"/>
  <c r="B8" i="2"/>
  <c r="B149" i="2"/>
  <c r="B136" i="2"/>
  <c r="B75" i="2"/>
  <c r="B73" i="2"/>
  <c r="B72" i="2"/>
  <c r="B71" i="2"/>
  <c r="B70" i="2"/>
  <c r="B69" i="2"/>
  <c r="B68" i="2"/>
  <c r="B67" i="2"/>
  <c r="B64" i="2"/>
  <c r="B53" i="2"/>
  <c r="B51" i="2"/>
  <c r="B50" i="2"/>
  <c r="B49" i="2"/>
  <c r="B48" i="2"/>
  <c r="B47" i="2"/>
  <c r="B46" i="2"/>
  <c r="B45" i="2"/>
  <c r="B43" i="2"/>
  <c r="B38" i="2"/>
  <c r="B37" i="2"/>
  <c r="B34" i="2"/>
  <c r="B31" i="2"/>
  <c r="B30" i="2"/>
  <c r="B28" i="2"/>
  <c r="B27" i="2"/>
  <c r="B26" i="2"/>
  <c r="B24" i="2"/>
  <c r="B22" i="2"/>
  <c r="B21" i="2"/>
  <c r="B20" i="2"/>
  <c r="B19" i="2"/>
  <c r="B18" i="2"/>
  <c r="B17" i="2"/>
  <c r="B16" i="2"/>
  <c r="B15" i="2"/>
  <c r="B12" i="2"/>
  <c r="B9" i="2"/>
  <c r="B7" i="2"/>
  <c r="B4" i="2"/>
  <c r="B3" i="2"/>
  <c r="B2" i="2"/>
  <c r="B154" i="2"/>
  <c r="B153" i="2"/>
  <c r="B152" i="2"/>
  <c r="B151" i="2"/>
  <c r="B146" i="2"/>
  <c r="B145" i="2"/>
  <c r="B144" i="2"/>
  <c r="B143" i="2"/>
  <c r="B141" i="2"/>
  <c r="B139" i="2"/>
  <c r="B138" i="2"/>
  <c r="B74" i="2"/>
  <c r="B66" i="2"/>
  <c r="B65" i="2"/>
  <c r="B58" i="2"/>
  <c r="B10" i="2"/>
  <c r="B5" i="2"/>
  <c r="B142" i="2"/>
  <c r="B156" i="1"/>
  <c r="B193" i="1"/>
  <c r="B246" i="1"/>
  <c r="B41" i="1"/>
  <c r="B215" i="1"/>
  <c r="B248" i="1"/>
  <c r="B360" i="1"/>
  <c r="B226" i="1"/>
  <c r="B245" i="1"/>
  <c r="B47" i="1"/>
  <c r="B232" i="1"/>
  <c r="B152" i="1"/>
  <c r="B202" i="1"/>
  <c r="B254" i="1"/>
  <c r="B7" i="1"/>
  <c r="B86" i="1"/>
  <c r="B291" i="1"/>
  <c r="B255" i="1"/>
  <c r="B158" i="1"/>
  <c r="B29" i="1"/>
  <c r="B25" i="1"/>
  <c r="B271" i="1"/>
  <c r="B317" i="1"/>
  <c r="B88" i="1"/>
  <c r="B333" i="1"/>
  <c r="B316" i="1"/>
  <c r="B283" i="1"/>
  <c r="B249" i="1"/>
  <c r="B77" i="1"/>
  <c r="B12" i="1"/>
  <c r="B252" i="1"/>
  <c r="B223" i="1"/>
  <c r="B270" i="1"/>
  <c r="B186" i="1"/>
  <c r="B208" i="1"/>
  <c r="B298" i="1"/>
  <c r="B292" i="1"/>
  <c r="B168" i="1"/>
  <c r="B45" i="1"/>
  <c r="B229" i="1"/>
  <c r="B300" i="1"/>
  <c r="B359" i="1"/>
  <c r="B17" i="1"/>
  <c r="B293" i="1"/>
  <c r="B258" i="1"/>
  <c r="B236" i="1"/>
  <c r="B225" i="1"/>
  <c r="B205" i="1"/>
  <c r="B111" i="1"/>
  <c r="B241" i="1"/>
  <c r="B61" i="1"/>
  <c r="B358" i="1"/>
  <c r="B256" i="1"/>
  <c r="B320" i="1"/>
  <c r="B331" i="1"/>
  <c r="B315" i="1"/>
  <c r="B340" i="1"/>
  <c r="B149" i="1"/>
  <c r="B170" i="1"/>
  <c r="B136" i="1"/>
  <c r="B55" i="1"/>
  <c r="B234" i="1"/>
  <c r="B110" i="1"/>
  <c r="B54" i="1"/>
  <c r="B242" i="1"/>
  <c r="B120" i="1"/>
  <c r="B212" i="1"/>
  <c r="B281" i="1"/>
  <c r="B302" i="1"/>
  <c r="B151" i="1"/>
  <c r="B59" i="1"/>
  <c r="B216" i="1"/>
  <c r="B97" i="1"/>
  <c r="B243" i="1"/>
  <c r="B60" i="1"/>
  <c r="B150" i="1"/>
  <c r="B16" i="1"/>
  <c r="B155" i="1"/>
  <c r="B14" i="1"/>
  <c r="B211" i="1"/>
  <c r="B265" i="1"/>
  <c r="B13" i="1"/>
  <c r="B94" i="1"/>
  <c r="B334" i="1"/>
  <c r="B103" i="1"/>
  <c r="B230" i="1"/>
  <c r="B66" i="1"/>
  <c r="B159" i="1"/>
  <c r="B24" i="1"/>
  <c r="B218" i="1"/>
  <c r="B272" i="1"/>
  <c r="B259" i="1"/>
  <c r="B53" i="1"/>
  <c r="B267" i="1"/>
  <c r="B357" i="1"/>
  <c r="B145" i="1"/>
  <c r="B195" i="1"/>
  <c r="B108" i="1"/>
  <c r="B227" i="1"/>
  <c r="B128" i="1"/>
  <c r="B206" i="1"/>
  <c r="B336" i="1"/>
  <c r="B318" i="1"/>
  <c r="B90" i="1"/>
  <c r="B98" i="1"/>
  <c r="B10" i="1"/>
  <c r="B35" i="1"/>
  <c r="B235" i="1"/>
  <c r="B83" i="1"/>
  <c r="B162" i="1"/>
  <c r="B93" i="1"/>
  <c r="B6" i="1"/>
  <c r="B182" i="1"/>
  <c r="B143" i="1"/>
  <c r="B75" i="1"/>
  <c r="B79" i="1"/>
  <c r="B201" i="1"/>
  <c r="B296" i="1"/>
  <c r="B190" i="1"/>
  <c r="B209" i="1"/>
  <c r="B176" i="1"/>
  <c r="B260" i="1"/>
  <c r="B131" i="1"/>
  <c r="B164" i="1"/>
  <c r="B306" i="1"/>
  <c r="B308" i="1"/>
  <c r="B321" i="1"/>
  <c r="B44" i="1"/>
  <c r="B275" i="1"/>
  <c r="B42" i="1"/>
  <c r="B200" i="1"/>
  <c r="B287" i="1"/>
  <c r="B122" i="1"/>
  <c r="B250" i="1"/>
  <c r="B299" i="1"/>
  <c r="B330" i="1"/>
  <c r="B96" i="1"/>
  <c r="B30" i="1"/>
  <c r="B356" i="1"/>
  <c r="B144" i="1"/>
  <c r="B266" i="1"/>
  <c r="B268" i="1"/>
  <c r="B43" i="1"/>
  <c r="B127" i="1"/>
  <c r="B221" i="1"/>
  <c r="B56" i="1"/>
  <c r="B337" i="1"/>
  <c r="B50" i="1"/>
  <c r="B233" i="1"/>
  <c r="B167" i="1"/>
  <c r="B286" i="1"/>
  <c r="B36" i="1"/>
  <c r="B137" i="1"/>
  <c r="B48" i="1"/>
  <c r="B311" i="1"/>
  <c r="B49" i="1"/>
  <c r="B197" i="1"/>
  <c r="B116" i="1"/>
  <c r="B89" i="1"/>
  <c r="B26" i="1"/>
  <c r="B261" i="1"/>
  <c r="B228" i="1"/>
  <c r="B319" i="1"/>
  <c r="B11" i="1"/>
  <c r="B192" i="1"/>
  <c r="B355" i="1"/>
  <c r="B70" i="1"/>
  <c r="B28" i="1"/>
  <c r="B324" i="1"/>
  <c r="B19" i="1"/>
  <c r="B9" i="1"/>
  <c r="B126" i="1"/>
  <c r="B141" i="1"/>
  <c r="B303" i="1"/>
  <c r="B238" i="1"/>
  <c r="B163" i="1"/>
  <c r="B219" i="1"/>
  <c r="B132" i="1"/>
  <c r="B301" i="1"/>
  <c r="B288" i="1"/>
  <c r="B327" i="1"/>
  <c r="B325" i="1"/>
  <c r="B65" i="1"/>
  <c r="B133" i="1"/>
  <c r="B146" i="1"/>
  <c r="B57" i="1"/>
  <c r="B157" i="1"/>
  <c r="B194" i="1"/>
  <c r="B40" i="1"/>
  <c r="B328" i="1"/>
  <c r="B354" i="1"/>
  <c r="B353" i="1"/>
  <c r="B189" i="1"/>
  <c r="B214" i="1"/>
  <c r="B51" i="1"/>
  <c r="B196" i="1"/>
  <c r="B165" i="1"/>
  <c r="B140" i="1"/>
  <c r="B138" i="1"/>
  <c r="B183" i="1"/>
  <c r="B278" i="1"/>
  <c r="B123" i="1"/>
  <c r="B107" i="1"/>
  <c r="B112" i="1"/>
  <c r="B274" i="1"/>
  <c r="B22" i="1"/>
  <c r="B31" i="1"/>
  <c r="B352" i="1"/>
  <c r="B210" i="1"/>
  <c r="B213" i="1"/>
  <c r="B23" i="1"/>
  <c r="B100" i="1"/>
  <c r="B326" i="1"/>
  <c r="B67" i="1"/>
  <c r="B351" i="1"/>
  <c r="B95" i="1"/>
  <c r="B85" i="1"/>
  <c r="B280" i="1"/>
  <c r="B350" i="1"/>
  <c r="B240" i="1"/>
  <c r="B179" i="1"/>
  <c r="B52" i="1"/>
  <c r="B294" i="1"/>
  <c r="B148" i="1"/>
  <c r="B32" i="1"/>
  <c r="B185" i="1"/>
  <c r="B231" i="1"/>
  <c r="B72" i="1"/>
  <c r="B342" i="1"/>
  <c r="B135" i="1"/>
  <c r="B349" i="1"/>
  <c r="B117" i="1"/>
  <c r="B348" i="1"/>
  <c r="B81" i="1"/>
  <c r="B222" i="1"/>
  <c r="B171" i="1"/>
  <c r="B161" i="1"/>
  <c r="B147" i="1"/>
  <c r="B239" i="1"/>
  <c r="B224" i="1"/>
  <c r="B273" i="1"/>
  <c r="B121" i="1"/>
  <c r="B101" i="1"/>
  <c r="B305" i="1"/>
  <c r="B113" i="1"/>
  <c r="B181" i="1"/>
  <c r="B347" i="1"/>
  <c r="B335" i="1"/>
  <c r="B262" i="1"/>
  <c r="B322" i="1"/>
  <c r="B177" i="1"/>
  <c r="B129" i="1"/>
  <c r="B46" i="1"/>
  <c r="B21" i="1"/>
  <c r="B27" i="1"/>
  <c r="B109" i="1"/>
  <c r="B4" i="1"/>
  <c r="B290" i="1"/>
  <c r="B279" i="1"/>
  <c r="B64" i="1"/>
  <c r="B346" i="1"/>
  <c r="B297" i="1"/>
  <c r="B264" i="1"/>
  <c r="B332" i="1"/>
  <c r="B105" i="1"/>
  <c r="B8" i="1"/>
  <c r="B3" i="1"/>
  <c r="B102" i="1"/>
  <c r="B237" i="1"/>
  <c r="B62" i="1"/>
  <c r="B33" i="1"/>
  <c r="B166" i="1"/>
  <c r="B5" i="1"/>
  <c r="B104" i="1"/>
  <c r="B154" i="1"/>
  <c r="B329" i="1"/>
  <c r="B345" i="1"/>
  <c r="B339" i="1"/>
  <c r="B180" i="1"/>
  <c r="B313" i="1"/>
  <c r="B118" i="1"/>
  <c r="B304" i="1"/>
  <c r="B338" i="1"/>
  <c r="B114" i="1"/>
  <c r="B344" i="1"/>
  <c r="B119" i="1"/>
  <c r="B130" i="1"/>
  <c r="B220" i="1"/>
  <c r="B184" i="1"/>
  <c r="B84" i="1"/>
  <c r="B309" i="1"/>
  <c r="B125" i="1"/>
  <c r="B15" i="1"/>
  <c r="B71" i="1"/>
  <c r="B63" i="1"/>
  <c r="B257" i="1"/>
  <c r="B76" i="1"/>
  <c r="B251" i="1"/>
  <c r="B134" i="1"/>
  <c r="B172" i="1"/>
  <c r="B39" i="1"/>
  <c r="B310" i="1"/>
  <c r="B199" i="1"/>
  <c r="B68" i="1"/>
  <c r="B34" i="1"/>
  <c r="B160" i="1"/>
  <c r="B73" i="1"/>
  <c r="B277" i="1"/>
  <c r="B323" i="1"/>
  <c r="B203" i="1"/>
  <c r="B99" i="1"/>
  <c r="B191" i="1"/>
  <c r="B253" i="1"/>
  <c r="B175" i="1"/>
  <c r="B178" i="1"/>
  <c r="B69" i="1"/>
  <c r="B284" i="1"/>
  <c r="B124" i="1"/>
  <c r="B187" i="1"/>
  <c r="B198" i="1"/>
  <c r="B80" i="1"/>
  <c r="B92" i="1"/>
  <c r="B312" i="1"/>
  <c r="B173" i="1"/>
  <c r="B91" i="1"/>
  <c r="B314" i="1"/>
  <c r="B247" i="1"/>
  <c r="B276" i="1"/>
  <c r="B37" i="1"/>
  <c r="B307" i="1"/>
  <c r="B82" i="1"/>
  <c r="B18" i="1"/>
  <c r="B58" i="1"/>
  <c r="B204" i="1"/>
  <c r="B74" i="1"/>
  <c r="B139" i="1"/>
  <c r="B282" i="1"/>
  <c r="B20" i="1"/>
  <c r="B115" i="1"/>
  <c r="B269" i="1"/>
  <c r="B87" i="1"/>
  <c r="B142" i="1"/>
  <c r="B217" i="1"/>
  <c r="B153" i="1"/>
  <c r="B38" i="1"/>
  <c r="B295" i="1"/>
  <c r="B174" i="1"/>
  <c r="B289" i="1"/>
  <c r="B106" i="1"/>
  <c r="B169" i="1"/>
  <c r="B263" i="1"/>
  <c r="B244" i="1"/>
  <c r="B188" i="1"/>
  <c r="B78" i="1"/>
  <c r="B207" i="1"/>
  <c r="B285" i="1"/>
  <c r="B341" i="1"/>
  <c r="B343" i="1"/>
  <c r="G363" i="1" l="1" a="1"/>
  <c r="G363" i="1" s="1"/>
  <c r="C8" i="6" l="1"/>
  <c r="C23" i="6" s="1"/>
  <c r="B8" i="6"/>
  <c r="B23" i="6" s="1"/>
  <c r="B27" i="6" s="1"/>
  <c r="R363" i="1"/>
  <c r="C9" i="6" l="1"/>
  <c r="C24" i="6" s="1"/>
  <c r="B9" i="6"/>
  <c r="B24" i="6" s="1"/>
  <c r="R364" i="1"/>
  <c r="R365" i="1" s="1"/>
  <c r="G362" i="1"/>
  <c r="G364" i="1" s="1"/>
  <c r="G164" i="2"/>
  <c r="J166" i="2" s="1"/>
  <c r="C4" i="6"/>
  <c r="C6" i="6" l="1"/>
  <c r="C5" i="6"/>
  <c r="C2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</authors>
  <commentList>
    <comment ref="A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Ortviken läggs ner augusti 2020</t>
        </r>
      </text>
    </comment>
    <comment ref="A1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Kvarnsveden läggs ner april 2021</t>
        </r>
      </text>
    </comment>
    <comment ref="A3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Hylte kör på en linje sedan 2020 eller 2021 (TMP)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G:\My Drive\SweForDataV12\InputOutput#2.xlsx" keepAlive="1" name="InputOutput#2" type="5" refreshedVersion="0" new="1" background="1">
    <dbPr connection="Provider=Microsoft.ACE.OLEDB.12.0;Password=&quot;&quot;;User ID=Admin;Data Source=G:\My Drive\SweForDataV12\InputOutput#2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rocesses$" commandType="3"/>
  </connection>
</connections>
</file>

<file path=xl/sharedStrings.xml><?xml version="1.0" encoding="utf-8"?>
<sst xmlns="http://schemas.openxmlformats.org/spreadsheetml/2006/main" count="1193" uniqueCount="800">
  <si>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</si>
  <si>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</si>
  <si>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</si>
  <si>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</si>
  <si>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</si>
  <si>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</si>
  <si>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</si>
  <si>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</si>
  <si>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</si>
  <si>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</si>
  <si>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</si>
  <si>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</si>
  <si>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</si>
  <si>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</si>
  <si>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</si>
  <si>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</si>
  <si>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</si>
  <si>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</si>
  <si>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</si>
  <si>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</si>
  <si>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</si>
  <si>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</si>
  <si>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</si>
  <si>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</si>
  <si>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</si>
  <si>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</si>
  <si>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</si>
  <si>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</si>
  <si>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</si>
  <si>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</si>
  <si>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</si>
  <si>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</si>
  <si>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</si>
  <si>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</si>
  <si>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</si>
  <si>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</si>
  <si>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</si>
  <si>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</si>
  <si>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</si>
  <si>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</si>
  <si>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</si>
  <si>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</si>
  <si>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</si>
  <si>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</si>
  <si>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</si>
  <si>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</si>
  <si>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</si>
  <si>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</si>
  <si>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</si>
  <si>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</si>
  <si>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</si>
  <si>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</si>
  <si>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</si>
  <si>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</si>
  <si>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</si>
  <si>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</si>
  <si>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</si>
  <si>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</si>
  <si>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</si>
  <si>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</si>
  <si>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</si>
  <si>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</si>
  <si>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</si>
  <si>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</si>
  <si>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</si>
  <si>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</si>
  <si>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</si>
  <si>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</si>
  <si>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</si>
  <si>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</si>
  <si>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</si>
  <si>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</si>
  <si>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</si>
  <si>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</si>
  <si>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</si>
  <si>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</si>
  <si>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</si>
  <si>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</si>
  <si>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</si>
  <si>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</si>
  <si>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</si>
  <si>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</si>
  <si>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</si>
  <si>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</si>
  <si>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</si>
  <si>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</si>
  <si>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</si>
  <si>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</si>
  <si>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</si>
  <si>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</si>
  <si>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</si>
  <si>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</si>
  <si>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</si>
  <si>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</si>
  <si>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</si>
  <si>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</si>
  <si>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</si>
  <si>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</si>
  <si>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</si>
  <si>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</si>
  <si>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</si>
  <si>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</si>
  <si>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</si>
  <si>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</si>
  <si>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</si>
  <si>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</si>
  <si>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</si>
  <si>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</si>
  <si>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</si>
  <si>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</si>
  <si>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</si>
  <si>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</si>
  <si>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</si>
  <si>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</si>
  <si>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</si>
  <si>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</si>
  <si>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</si>
  <si>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</si>
  <si>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</si>
  <si>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</si>
  <si>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</si>
  <si>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</si>
  <si>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</si>
  <si>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</si>
  <si>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</si>
  <si>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</si>
  <si>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</si>
  <si>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</si>
  <si>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</si>
  <si>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</si>
  <si>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</si>
  <si>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</si>
  <si>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</si>
  <si>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</si>
  <si>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</si>
  <si>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</si>
  <si>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</si>
  <si>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</si>
  <si>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</si>
  <si>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</si>
  <si>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</si>
  <si>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</si>
  <si>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</si>
  <si>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</si>
  <si>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</si>
  <si>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</si>
  <si>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</si>
  <si>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</si>
  <si>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</si>
  <si>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</si>
  <si>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</si>
  <si>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</si>
  <si>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</si>
  <si>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</si>
  <si>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</si>
  <si>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</si>
  <si>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</si>
  <si>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</si>
  <si>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</si>
  <si>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</si>
  <si>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</si>
  <si>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</si>
  <si>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</si>
  <si>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</si>
  <si>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</si>
  <si>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</si>
  <si>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</si>
  <si>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</si>
  <si>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</si>
  <si>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</si>
  <si>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</si>
  <si>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</si>
  <si>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</si>
  <si>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</si>
  <si>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</si>
  <si>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</si>
  <si>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</si>
  <si>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</si>
  <si>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</si>
  <si>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</si>
  <si>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</si>
  <si>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</si>
  <si>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</si>
  <si>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</si>
  <si>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</si>
  <si>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</si>
  <si>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</si>
  <si>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</si>
  <si>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</si>
  <si>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</si>
  <si>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</si>
  <si>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</si>
  <si>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</si>
  <si>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</si>
  <si>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</si>
  <si>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</si>
  <si>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</si>
  <si>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</si>
  <si>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</si>
  <si>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</si>
  <si>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</si>
  <si>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</si>
  <si>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</si>
  <si>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</si>
  <si>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</si>
  <si>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</si>
  <si>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</si>
  <si>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</si>
  <si>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</si>
  <si>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</si>
  <si>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</si>
  <si>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</si>
  <si>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</si>
  <si>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</si>
  <si>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</si>
  <si>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</si>
  <si>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</si>
  <si>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</si>
  <si>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</si>
  <si>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</si>
  <si>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</si>
  <si>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</si>
  <si>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</si>
  <si>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</si>
  <si>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</si>
  <si>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</si>
  <si>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</si>
  <si>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</si>
  <si>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</si>
  <si>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</si>
  <si>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</si>
  <si>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</si>
  <si>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</si>
  <si>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</si>
  <si>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</si>
  <si>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</si>
  <si>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</si>
  <si>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</si>
  <si>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</si>
  <si>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</si>
  <si>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</si>
  <si>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</si>
  <si>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</si>
  <si>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</si>
  <si>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</si>
  <si>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</si>
  <si>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</si>
  <si>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</si>
  <si>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</si>
  <si>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</si>
  <si>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</si>
  <si>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</si>
  <si>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</si>
  <si>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</si>
  <si>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</si>
  <si>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</si>
  <si>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</si>
  <si>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</si>
  <si>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</si>
  <si>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</si>
  <si>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</si>
  <si>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</si>
  <si>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</si>
  <si>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</si>
  <si>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</si>
  <si>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</si>
  <si>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</si>
  <si>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</si>
  <si>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</si>
  <si>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</si>
  <si>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</si>
  <si>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</si>
  <si>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</si>
  <si>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</si>
  <si>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</si>
  <si>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</si>
  <si>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</si>
  <si>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</si>
  <si>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</si>
  <si>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</si>
  <si>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</si>
  <si>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</si>
  <si>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</si>
  <si>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</si>
  <si>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</si>
  <si>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</si>
  <si>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</si>
  <si>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</si>
  <si>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</si>
  <si>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</si>
  <si>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</si>
  <si>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</si>
  <si>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</si>
  <si>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</si>
  <si>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</si>
  <si>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</si>
  <si>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</si>
  <si>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</si>
  <si>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</si>
  <si>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</si>
  <si>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</si>
  <si>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</si>
  <si>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</si>
  <si>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</si>
  <si>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</si>
  <si>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</si>
  <si>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</si>
  <si>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</si>
  <si>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</si>
  <si>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</si>
  <si>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</si>
  <si>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</si>
  <si>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</si>
  <si>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</si>
  <si>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</si>
  <si>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</si>
  <si>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</si>
  <si>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</si>
  <si>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</si>
  <si>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</si>
  <si>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</si>
  <si>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</si>
  <si>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</si>
  <si>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</si>
  <si>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</si>
  <si>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</si>
  <si>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</si>
  <si>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</si>
  <si>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</si>
  <si>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</si>
  <si>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</si>
  <si>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</si>
  <si>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</si>
  <si>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</si>
  <si>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</si>
  <si>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</si>
  <si>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</si>
  <si>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</si>
  <si>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</si>
  <si>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</si>
  <si>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</si>
  <si>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</si>
  <si>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</si>
  <si>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</si>
  <si>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</si>
  <si>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</si>
  <si>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</si>
  <si>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</si>
  <si>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</si>
  <si>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</si>
  <si>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</si>
  <si>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</si>
  <si>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</si>
  <si>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</si>
  <si>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</si>
  <si>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</si>
  <si>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</si>
  <si>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</si>
  <si>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S6</t>
  </si>
  <si>
    <t>S11</t>
  </si>
  <si>
    <t>S12</t>
  </si>
  <si>
    <t>S28</t>
  </si>
  <si>
    <t>S29</t>
  </si>
  <si>
    <t>S30</t>
  </si>
  <si>
    <t>S31</t>
  </si>
  <si>
    <t>S33</t>
  </si>
  <si>
    <t>S46</t>
  </si>
  <si>
    <t>S47</t>
  </si>
  <si>
    <t>S52</t>
  </si>
  <si>
    <t>S53</t>
  </si>
  <si>
    <t>S59</t>
  </si>
  <si>
    <t>S62</t>
  </si>
  <si>
    <t>S64</t>
  </si>
  <si>
    <t>S65</t>
  </si>
  <si>
    <t>S69</t>
  </si>
  <si>
    <t>S70</t>
  </si>
  <si>
    <t>S71</t>
  </si>
  <si>
    <t>S72</t>
  </si>
  <si>
    <t>S79</t>
  </si>
  <si>
    <t>S86</t>
  </si>
  <si>
    <t>S92</t>
  </si>
  <si>
    <t>S94</t>
  </si>
  <si>
    <t>S103</t>
  </si>
  <si>
    <t>S104</t>
  </si>
  <si>
    <t>S109</t>
  </si>
  <si>
    <t>S114</t>
  </si>
  <si>
    <t>S116</t>
  </si>
  <si>
    <t>S121</t>
  </si>
  <si>
    <t>S124</t>
  </si>
  <si>
    <t>S125</t>
  </si>
  <si>
    <t>S138</t>
  </si>
  <si>
    <t>S143</t>
  </si>
  <si>
    <t>S147</t>
  </si>
  <si>
    <t>S149</t>
  </si>
  <si>
    <t>S150</t>
  </si>
  <si>
    <t>S151</t>
  </si>
  <si>
    <t>S153</t>
  </si>
  <si>
    <t>S161</t>
  </si>
  <si>
    <t>S165</t>
  </si>
  <si>
    <t>S168</t>
  </si>
  <si>
    <t>S177</t>
  </si>
  <si>
    <t>S179</t>
  </si>
  <si>
    <t>S180</t>
  </si>
  <si>
    <t>S181</t>
  </si>
  <si>
    <t>S187</t>
  </si>
  <si>
    <t>S192</t>
  </si>
  <si>
    <t>S194</t>
  </si>
  <si>
    <t>S197</t>
  </si>
  <si>
    <t>S200</t>
  </si>
  <si>
    <t>S202</t>
  </si>
  <si>
    <t>S207</t>
  </si>
  <si>
    <t>S214</t>
  </si>
  <si>
    <t>S216</t>
  </si>
  <si>
    <t>S220</t>
  </si>
  <si>
    <t>S227</t>
  </si>
  <si>
    <t>S231</t>
  </si>
  <si>
    <t>S232</t>
  </si>
  <si>
    <t>S244</t>
  </si>
  <si>
    <t>S245</t>
  </si>
  <si>
    <t>S249</t>
  </si>
  <si>
    <t>S252</t>
  </si>
  <si>
    <t>S254</t>
  </si>
  <si>
    <t>S255</t>
  </si>
  <si>
    <t>S259</t>
  </si>
  <si>
    <t>S263</t>
  </si>
  <si>
    <t>S265</t>
  </si>
  <si>
    <t>S272</t>
  </si>
  <si>
    <t>S273</t>
  </si>
  <si>
    <t>S276</t>
  </si>
  <si>
    <t>S287</t>
  </si>
  <si>
    <t>S289</t>
  </si>
  <si>
    <t>S291</t>
  </si>
  <si>
    <t>S293</t>
  </si>
  <si>
    <t>S295</t>
  </si>
  <si>
    <t>S310</t>
  </si>
  <si>
    <t>S314</t>
  </si>
  <si>
    <t>S315</t>
  </si>
  <si>
    <t>S318</t>
  </si>
  <si>
    <t>S321</t>
  </si>
  <si>
    <t>S322</t>
  </si>
  <si>
    <t>S326</t>
  </si>
  <si>
    <t>S330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</si>
  <si>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</si>
  <si>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</si>
  <si>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</si>
  <si>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</si>
  <si>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</si>
  <si>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</si>
  <si>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</si>
  <si>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</si>
  <si>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</si>
  <si>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</si>
  <si>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</si>
  <si>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</si>
  <si>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</si>
  <si>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</si>
  <si>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</si>
  <si>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</si>
  <si>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</si>
  <si>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</si>
  <si>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</si>
  <si>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</si>
  <si>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</si>
  <si>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</si>
  <si>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</si>
  <si>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</si>
  <si>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</si>
  <si>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</si>
  <si>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</si>
  <si>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</si>
  <si>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</si>
  <si>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</si>
  <si>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</si>
  <si>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</si>
  <si>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</si>
  <si>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</si>
  <si>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</si>
  <si>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</si>
  <si>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</si>
  <si>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</si>
  <si>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</si>
  <si>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</si>
  <si>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</si>
  <si>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</si>
  <si>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</si>
  <si>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</si>
  <si>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</si>
  <si>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</si>
  <si>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</si>
  <si>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</si>
  <si>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</si>
  <si>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</si>
  <si>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</si>
  <si>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</si>
  <si>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</si>
  <si>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</si>
  <si>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</si>
  <si>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</si>
  <si>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</si>
  <si>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</si>
  <si>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</si>
  <si>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</si>
  <si>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</si>
  <si>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</si>
  <si>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</si>
  <si>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</si>
  <si>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</si>
  <si>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</si>
  <si>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</si>
  <si>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</si>
  <si>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</si>
  <si>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</si>
  <si>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</si>
  <si>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</si>
  <si>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</si>
  <si>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</si>
  <si>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</si>
  <si>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</si>
  <si>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</si>
  <si>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</si>
  <si>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</si>
  <si>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</si>
  <si>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</si>
  <si>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</si>
  <si>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</si>
  <si>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</si>
  <si>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</si>
  <si>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</si>
  <si>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</si>
  <si>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</si>
  <si>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</si>
  <si>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</si>
  <si>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</si>
  <si>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</si>
  <si>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</si>
  <si>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</si>
  <si>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</si>
  <si>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</si>
  <si>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Production_sawn_wood_m3</t>
  </si>
  <si>
    <t>S77</t>
  </si>
  <si>
    <t>S113</t>
  </si>
  <si>
    <t>S115</t>
  </si>
  <si>
    <t>S127</t>
  </si>
  <si>
    <t>S129</t>
  </si>
  <si>
    <t>S203</t>
  </si>
  <si>
    <t>S239</t>
  </si>
  <si>
    <t>S248</t>
  </si>
  <si>
    <t>616082.383</t>
  </si>
  <si>
    <t>6788805.117</t>
  </si>
  <si>
    <t>471786.855</t>
  </si>
  <si>
    <t>6305857.614</t>
  </si>
  <si>
    <t>391974.531</t>
  </si>
  <si>
    <t>6368268.429</t>
  </si>
  <si>
    <t>546863.723</t>
  </si>
  <si>
    <t>6400508.784</t>
  </si>
  <si>
    <t>638830.703</t>
  </si>
  <si>
    <t>7045603.806</t>
  </si>
  <si>
    <t>460401.372</t>
  </si>
  <si>
    <t>6284393.216</t>
  </si>
  <si>
    <t>474480.891</t>
  </si>
  <si>
    <t>6343579.863</t>
  </si>
  <si>
    <t>487388.737</t>
  </si>
  <si>
    <t>6371779.548</t>
  </si>
  <si>
    <t>446889.271</t>
  </si>
  <si>
    <t>6371841.022</t>
  </si>
  <si>
    <t>443114.301</t>
  </si>
  <si>
    <t>6190853.762</t>
  </si>
  <si>
    <t>517314.007</t>
  </si>
  <si>
    <t>6317033.542</t>
  </si>
  <si>
    <t>540462.971</t>
  </si>
  <si>
    <t>6751332.822</t>
  </si>
  <si>
    <t>526387.375</t>
  </si>
  <si>
    <t>6262296.108</t>
  </si>
  <si>
    <t>453716.219</t>
  </si>
  <si>
    <t>6779949.128</t>
  </si>
  <si>
    <t>547203.684</t>
  </si>
  <si>
    <t>6731675.11</t>
  </si>
  <si>
    <t>571611.773</t>
  </si>
  <si>
    <t>6500526.624</t>
  </si>
  <si>
    <t>521609.56</t>
  </si>
  <si>
    <t>6387838.679</t>
  </si>
  <si>
    <t>396583.442</t>
  </si>
  <si>
    <t>6615360.993</t>
  </si>
  <si>
    <t>421697.541</t>
  </si>
  <si>
    <t>6242646.927</t>
  </si>
  <si>
    <t>574953.384</t>
  </si>
  <si>
    <t>6816447.791</t>
  </si>
  <si>
    <t>337325.403</t>
  </si>
  <si>
    <t>6346711.332</t>
  </si>
  <si>
    <t>576471.111</t>
  </si>
  <si>
    <t>7034954.789</t>
  </si>
  <si>
    <t>409911.313</t>
  </si>
  <si>
    <t>6771715.71</t>
  </si>
  <si>
    <t>541719.65</t>
  </si>
  <si>
    <t>6852534.141</t>
  </si>
  <si>
    <t>714799.006</t>
  </si>
  <si>
    <t>7246572.79</t>
  </si>
  <si>
    <t>538315.729</t>
  </si>
  <si>
    <t>6288533.279</t>
  </si>
  <si>
    <t>393351.246</t>
  </si>
  <si>
    <t>6580294.983</t>
  </si>
  <si>
    <t>384352.186</t>
  </si>
  <si>
    <t>6229294.213</t>
  </si>
  <si>
    <t>524879.804</t>
  </si>
  <si>
    <t>6528881.518</t>
  </si>
  <si>
    <t>412525.939</t>
  </si>
  <si>
    <t>6384775.435</t>
  </si>
  <si>
    <t>687599.024</t>
  </si>
  <si>
    <t>7025401.576</t>
  </si>
  <si>
    <t>416771.21</t>
  </si>
  <si>
    <t>6670533.736</t>
  </si>
  <si>
    <t>564332.341</t>
  </si>
  <si>
    <t>6307254.689</t>
  </si>
  <si>
    <t>434196.756</t>
  </si>
  <si>
    <t>6214218.833</t>
  </si>
  <si>
    <t>540909.073</t>
  </si>
  <si>
    <t>6690061.521</t>
  </si>
  <si>
    <t>434822.027</t>
  </si>
  <si>
    <t>6406141.17</t>
  </si>
  <si>
    <t>384838.894</t>
  </si>
  <si>
    <t>6322310.669</t>
  </si>
  <si>
    <t>785794.93</t>
  </si>
  <si>
    <t>7202452.334</t>
  </si>
  <si>
    <t>555772.983</t>
  </si>
  <si>
    <t>6289444.695</t>
  </si>
  <si>
    <t>423767.964</t>
  </si>
  <si>
    <t>6412644.422</t>
  </si>
  <si>
    <t>570728.086</t>
  </si>
  <si>
    <t>6494459.622</t>
  </si>
  <si>
    <t>690465.795</t>
  </si>
  <si>
    <t>7285826.417</t>
  </si>
  <si>
    <t>368030.898</t>
  </si>
  <si>
    <t>6347223.499</t>
  </si>
  <si>
    <t>600413.891</t>
  </si>
  <si>
    <t>6794193.933</t>
  </si>
  <si>
    <t>722958.445</t>
  </si>
  <si>
    <t>7140317.721</t>
  </si>
  <si>
    <t>781340.018</t>
  </si>
  <si>
    <t>7188247.107</t>
  </si>
  <si>
    <t>555524.753</t>
  </si>
  <si>
    <t>6801908.009</t>
  </si>
  <si>
    <t>869583.087</t>
  </si>
  <si>
    <t>7327590.757</t>
  </si>
  <si>
    <t>620765.442</t>
  </si>
  <si>
    <t>6569741.032</t>
  </si>
  <si>
    <t>477718.151</t>
  </si>
  <si>
    <t>6762643.549</t>
  </si>
  <si>
    <t>801248.35</t>
  </si>
  <si>
    <t>7258181.704</t>
  </si>
  <si>
    <t>785596.145</t>
  </si>
  <si>
    <t>7281210.53</t>
  </si>
  <si>
    <t>832959.329</t>
  </si>
  <si>
    <t>7307211.15</t>
  </si>
  <si>
    <t>771463.114</t>
  </si>
  <si>
    <t>7098747.489</t>
  </si>
  <si>
    <t>400411.134</t>
  </si>
  <si>
    <t>6373765.668</t>
  </si>
  <si>
    <t>526537.858</t>
  </si>
  <si>
    <t>6665115.875</t>
  </si>
  <si>
    <t>466681.988</t>
  </si>
  <si>
    <t>6294067.614</t>
  </si>
  <si>
    <t>473342.963</t>
  </si>
  <si>
    <t>6962925.136</t>
  </si>
  <si>
    <t>397511.051</t>
  </si>
  <si>
    <t>6245117.83</t>
  </si>
  <si>
    <t>775026.349</t>
  </si>
  <si>
    <t>440374.34</t>
  </si>
  <si>
    <t>6332688.221</t>
  </si>
  <si>
    <t>GpsNorth</t>
  </si>
  <si>
    <t>GPSEast</t>
  </si>
  <si>
    <t>Capacity</t>
  </si>
  <si>
    <t>Capacity factor</t>
  </si>
  <si>
    <t>sawmal</t>
  </si>
  <si>
    <t>sawmpi</t>
  </si>
  <si>
    <t>Type</t>
  </si>
  <si>
    <t>sawmsp</t>
  </si>
  <si>
    <t>Location</t>
  </si>
  <si>
    <t>Facility</t>
  </si>
  <si>
    <t>Gävle</t>
  </si>
  <si>
    <t>Frövi</t>
  </si>
  <si>
    <t>Iggesund</t>
  </si>
  <si>
    <t>Holmen</t>
  </si>
  <si>
    <t>Hallsta</t>
  </si>
  <si>
    <t>Holmen Paper AB</t>
  </si>
  <si>
    <t>Braviken</t>
  </si>
  <si>
    <t>Domsjö Fabriker AB</t>
  </si>
  <si>
    <t>Husum</t>
  </si>
  <si>
    <t>Metsä Board</t>
  </si>
  <si>
    <t>Waggeryd Cell AB</t>
  </si>
  <si>
    <t>Vallviks Bruk AB (Rottneros)</t>
  </si>
  <si>
    <t>Stora Enso Pulp AB</t>
  </si>
  <si>
    <t>Hylte</t>
  </si>
  <si>
    <t>Stora Enso Paper</t>
  </si>
  <si>
    <t>Skoghall</t>
  </si>
  <si>
    <t>Skärblacka</t>
  </si>
  <si>
    <t>Stora Enso Nymölla AB</t>
  </si>
  <si>
    <t>Kvarnsveden</t>
  </si>
  <si>
    <t xml:space="preserve">Stora Enso </t>
  </si>
  <si>
    <t>Fors</t>
  </si>
  <si>
    <t>Stora Enso</t>
  </si>
  <si>
    <t>Piteå</t>
  </si>
  <si>
    <t xml:space="preserve">Smurfit Kappa </t>
  </si>
  <si>
    <t>Obbola</t>
  </si>
  <si>
    <t>Munksund</t>
  </si>
  <si>
    <t>SCA</t>
  </si>
  <si>
    <t>Ortviken</t>
  </si>
  <si>
    <t>Östrand</t>
  </si>
  <si>
    <t>Södra Cell Värö</t>
  </si>
  <si>
    <t>Södra Cell Mörrum</t>
  </si>
  <si>
    <t>Karlsborg</t>
  </si>
  <si>
    <t>Södra Cell Mönsterås</t>
  </si>
  <si>
    <t>Rottneros Bruk AB</t>
  </si>
  <si>
    <t>Säffle</t>
  </si>
  <si>
    <t xml:space="preserve">Nordic Paper </t>
  </si>
  <si>
    <t>Bäckhammar</t>
  </si>
  <si>
    <t>Ahlstrom-Munksjö AB, Billingsfors Bruk</t>
  </si>
  <si>
    <t>Ahlstrom-Munksjö AB, Jönköpingsanläggningen</t>
  </si>
  <si>
    <t>M-real Sverige AB</t>
  </si>
  <si>
    <t>Dynäs</t>
  </si>
  <si>
    <t xml:space="preserve">Mondi </t>
  </si>
  <si>
    <t>Lessebo Bruk</t>
  </si>
  <si>
    <t>Billerud/Korsnäs Rockhammar AB</t>
  </si>
  <si>
    <t>Gruvön</t>
  </si>
  <si>
    <t xml:space="preserve">BillerudKorsnäs </t>
  </si>
  <si>
    <t>Linje</t>
  </si>
  <si>
    <t>ID</t>
  </si>
  <si>
    <t>-</t>
  </si>
  <si>
    <t>Tot</t>
  </si>
  <si>
    <t>CHP</t>
  </si>
  <si>
    <t>Heatpl</t>
  </si>
  <si>
    <t>Original capacity</t>
  </si>
  <si>
    <t>PuDiss</t>
  </si>
  <si>
    <t>Massa: Sulfat marknadsmassa</t>
  </si>
  <si>
    <t>Papper: Säck, MF kraftpapper , MG kraftpapper , Kraftliner, Fluting, Vätskekartong
Massa: Sulfat marknadsmassa</t>
  </si>
  <si>
    <t>Papper: Specialpapper
Massa: Integrerad sulfat</t>
  </si>
  <si>
    <t>Papper: Sulfatkartong, Vätskekartong
Massa: Integrerad sulfat</t>
  </si>
  <si>
    <t>Papper: Säck, MF kraftpapper
Massa: Sulfat marknadsmassa, Integrerad sulfat</t>
  </si>
  <si>
    <t>Papper: Kraftliner, Övrig kartong
Massa: Sulfat marknadsmassa, Integrerad sulfat</t>
  </si>
  <si>
    <t>Papper: Specialpapper
Massa: Sulfat marknadsmassa, Integrerad sulfat</t>
  </si>
  <si>
    <t>Papper: Säck, MF kraftpapper , MG kraftpapper
Massa: Sulfat marknadsmassa, Integrerad sulfat</t>
  </si>
  <si>
    <t>Papper: Säck, MF kraftpapper
Massa: Integrerad sulfat</t>
  </si>
  <si>
    <t>Papper: Sulfatkartong
Massa: Sulfat marknadsmassa, Integrerad sulfat</t>
  </si>
  <si>
    <t>Massa: Sulfat marknadsmassa, Mekanisk marknadsmassa</t>
  </si>
  <si>
    <t>Papper: Kraftliner
Massa: Integrerad sulfat</t>
  </si>
  <si>
    <t>Papper: Kraftliner, Testliner
Massa: Integrerad sulfat</t>
  </si>
  <si>
    <t>Company</t>
  </si>
  <si>
    <t>Skutskär</t>
  </si>
  <si>
    <t>Papper: Vätskekartong, Övrig kartong
Massa: Integrerad sulfat, Integrerad mekanisk</t>
  </si>
  <si>
    <t>Papper: Finpapper
Massa: Sulfit marknadsmassa, Integrerad sulfit</t>
  </si>
  <si>
    <t>Massa: Integrerad mekanisk</t>
  </si>
  <si>
    <t>Papper: Tidningspapper, SC/LWC
Massa: Integrerad mekanisk</t>
  </si>
  <si>
    <t>Papper: SC/LWC
Massa: Integrerad mekanisk</t>
  </si>
  <si>
    <t>Papper: Tidningspapper
Massa: Integrerad mekanisk</t>
  </si>
  <si>
    <t>Skogsindustrierna (ej: Domsjö)</t>
  </si>
  <si>
    <t>Papper: Övrig kartong
Massa: Integrerad mekanisk (CTMP)</t>
  </si>
  <si>
    <t>Domsjö</t>
  </si>
  <si>
    <t>Massa: Dissolving (cellulosa, lignin och bioetanol)</t>
  </si>
  <si>
    <t>Papper: Säck, MF kraftpapper , MG kraftpapper , Fluting
Massa: Sultfat (?)</t>
  </si>
  <si>
    <t>Papper: Övrig kartong
Massa: Integrerad sulfat</t>
  </si>
  <si>
    <t>Massa: Sulfat marknadsmassa, Mekanisk marknadsmassa (CTMP)</t>
  </si>
  <si>
    <t>Vaggeryd</t>
  </si>
  <si>
    <t>Massa: Mekanisk marknadsmassa (BCTMP)</t>
  </si>
  <si>
    <t>PuChem</t>
  </si>
  <si>
    <t>PaChem</t>
  </si>
  <si>
    <t>OtChem</t>
  </si>
  <si>
    <t>OtMech</t>
  </si>
  <si>
    <t>PuMech</t>
  </si>
  <si>
    <t>NwMech</t>
  </si>
  <si>
    <t>PuCTMP</t>
  </si>
  <si>
    <t>PuBCCS</t>
  </si>
  <si>
    <t>BCCS</t>
  </si>
  <si>
    <t>Biofuel</t>
  </si>
  <si>
    <t>HTLpl_</t>
  </si>
  <si>
    <t>PaBCCS</t>
  </si>
  <si>
    <t>OtBCCS</t>
  </si>
  <si>
    <t>BCCS/Biofuel</t>
  </si>
  <si>
    <t>Tot &gt;  40000</t>
  </si>
  <si>
    <t>Tot cap</t>
  </si>
  <si>
    <t>Tot cap &gt; 100000</t>
  </si>
  <si>
    <t>Process</t>
  </si>
  <si>
    <t>Termin</t>
  </si>
  <si>
    <t>Sawmpi</t>
  </si>
  <si>
    <t>Sawmsp</t>
  </si>
  <si>
    <t>Sawmal</t>
  </si>
  <si>
    <t>CHPpl_</t>
  </si>
  <si>
    <t>No.</t>
  </si>
  <si>
    <t>Sawmills</t>
  </si>
  <si>
    <t>Pulp mills</t>
  </si>
  <si>
    <t>Paper mills</t>
  </si>
  <si>
    <t>DHPs</t>
  </si>
  <si>
    <t>DHPs  w. el.</t>
  </si>
  <si>
    <t>NUTS2</t>
  </si>
  <si>
    <t>County</t>
  </si>
  <si>
    <t>Eget</t>
  </si>
  <si>
    <t>FTDpl_</t>
  </si>
  <si>
    <t>Min capcity</t>
  </si>
  <si>
    <t>Effe. Capacity</t>
  </si>
  <si>
    <t>sawmbe</t>
  </si>
  <si>
    <t>Sawmbe</t>
  </si>
  <si>
    <t>ParBoa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</si>
</sst>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2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3" fillId="0" borderId="0"/>
    <xf numFmtId="0" fontId="4" fillId="0" borderId="1" applyNumberFormat="0" applyFill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/>
    <xf numFmtId="1" fontId="0" fillId="0" borderId="0" xfId="0" applyNumberFormat="1" applyFill="1"/>
    <xf numFmtId="1" fontId="0" fillId="0" borderId="0" xfId="0" applyNumberFormat="1" applyFill="1" applyBorder="1"/>
    <xf numFmtId="0" fontId="0" fillId="0" borderId="0" xfId="0" applyFill="1"/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1" fontId="6" fillId="0" borderId="0" xfId="0" applyNumberFormat="1" applyFont="1" applyFill="1"/>
    <xf numFmtId="1" fontId="6" fillId="0" borderId="0" xfId="0" applyNumberFormat="1" applyFont="1" applyFill="1" applyAlignment="1">
      <alignment vertical="top" wrapText="1"/>
    </xf>
    <xf numFmtId="1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/>
    <xf numFmtId="164" fontId="0" fillId="0" borderId="0" xfId="0" applyNumberFormat="1" applyFill="1" applyBorder="1"/>
    <xf numFmtId="0" fontId="7" fillId="0" borderId="0" xfId="0" applyFont="1" applyFill="1"/>
    <xf numFmtId="0" fontId="0" fillId="0" borderId="3" xfId="0" applyBorder="1"/>
    <xf numFmtId="0" fontId="0" fillId="0" borderId="4" xfId="0" applyBorder="1"/>
    <xf numFmtId="3" fontId="0" fillId="0" borderId="0" xfId="0" applyNumberFormat="1" applyFill="1" applyBorder="1"/>
    <xf numFmtId="0" fontId="0" fillId="0" borderId="5" xfId="0" applyBorder="1"/>
    <xf numFmtId="0" fontId="0" fillId="2" borderId="0" xfId="0" applyFill="1"/>
    <xf numFmtId="0" fontId="7" fillId="0" borderId="0" xfId="0" applyFont="1"/>
    <xf numFmtId="0" fontId="0" fillId="0" borderId="5" xfId="0" applyFill="1" applyBorder="1"/>
    <xf numFmtId="0" fontId="7" fillId="0" borderId="5" xfId="0" applyFont="1" applyFill="1" applyBorder="1"/>
    <xf numFmtId="0" fontId="7" fillId="0" borderId="2" xfId="0" applyFont="1" applyBorder="1"/>
    <xf numFmtId="0" fontId="7" fillId="0" borderId="0" xfId="0" applyFont="1" applyFill="1" applyBorder="1"/>
    <xf numFmtId="0" fontId="0" fillId="3" borderId="0" xfId="0" applyFill="1" applyAlignment="1">
      <alignment wrapText="1"/>
    </xf>
    <xf numFmtId="0" fontId="0" fillId="0" borderId="0" xfId="0" applyAlignment="1"/>
    <xf numFmtId="0" fontId="7" fillId="0" borderId="0" xfId="0" applyFont="1" applyFill="1" applyBorder="1" applyAlignment="1"/>
    <xf numFmtId="0" fontId="0" fillId="3" borderId="0" xfId="0" applyFill="1" applyAlignment="1"/>
    <xf numFmtId="0" fontId="0" fillId="0" borderId="0" xfId="0" applyFill="1" applyAlignment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0" fillId="0" borderId="0" xfId="0" applyFill="1" applyAlignment="1">
      <alignment horizontal="left" vertical="top"/>
    </xf>
    <xf numFmtId="1" fontId="1" fillId="0" borderId="0" xfId="0" applyNumberFormat="1" applyFont="1" applyFill="1" applyAlignment="1">
      <alignment horizontal="left" vertical="top"/>
    </xf>
    <xf numFmtId="1" fontId="0" fillId="0" borderId="0" xfId="0" applyNumberFormat="1" applyFill="1" applyAlignment="1">
      <alignment horizontal="left" vertical="top"/>
    </xf>
    <xf numFmtId="0" fontId="0" fillId="0" borderId="0" xfId="0" applyBorder="1"/>
    <xf numFmtId="0" fontId="0" fillId="2" borderId="0" xfId="0" applyFill="1" applyAlignment="1">
      <alignment horizontal="left" vertical="top"/>
    </xf>
    <xf numFmtId="0" fontId="7" fillId="0" borderId="5" xfId="0" applyFont="1" applyBorder="1"/>
    <xf numFmtId="0" fontId="7" fillId="0" borderId="0" xfId="0" applyFont="1" applyBorder="1"/>
    <xf numFmtId="0" fontId="0" fillId="0" borderId="0" xfId="0" quotePrefix="1" applyBorder="1"/>
    <xf numFmtId="0" fontId="8" fillId="0" borderId="0" xfId="0" applyFont="1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0" xfId="0" applyFill="1"/>
    <xf numFmtId="9" fontId="0" fillId="0" borderId="0" xfId="8" applyFont="1" applyFill="1" applyBorder="1"/>
    <xf numFmtId="0" fontId="0" fillId="0" borderId="0" xfId="0" applyAlignment="1">
      <alignment horizontal="right"/>
    </xf>
    <xf numFmtId="9" fontId="0" fillId="0" borderId="0" xfId="8" applyFont="1" applyBorder="1"/>
    <xf numFmtId="0" fontId="0" fillId="6" borderId="6" xfId="0" applyFont="1" applyFill="1" applyBorder="1" applyAlignment="1">
      <alignment horizontal="right"/>
    </xf>
    <xf numFmtId="0" fontId="0" fillId="0" borderId="6" xfId="0" applyFont="1" applyBorder="1" applyAlignment="1">
      <alignment horizontal="right"/>
    </xf>
    <xf numFmtId="3" fontId="0" fillId="0" borderId="0" xfId="0" applyNumberFormat="1"/>
    <xf numFmtId="0" fontId="0" fillId="0" borderId="7" xfId="0" applyBorder="1"/>
    <xf numFmtId="3" fontId="0" fillId="0" borderId="0" xfId="0" applyNumberFormat="1" applyBorder="1"/>
    <xf numFmtId="0" fontId="11" fillId="0" borderId="0" xfId="0" applyFont="1"/>
    <xf numFmtId="3" fontId="11" fillId="0" borderId="0" xfId="0" applyNumberFormat="1" applyFont="1"/>
    <xf numFmtId="0" fontId="11" fillId="0" borderId="7" xfId="0" applyFont="1" applyBorder="1"/>
    <xf numFmtId="3" fontId="11" fillId="0" borderId="7" xfId="0" applyNumberFormat="1" applyFont="1" applyBorder="1"/>
    <xf numFmtId="0" fontId="0" fillId="2" borderId="0" xfId="0" applyNumberFormat="1" applyFill="1" applyAlignment="1">
      <alignment horizontal="right"/>
    </xf>
    <xf numFmtId="0" fontId="0" fillId="0" borderId="0" xfId="0" applyNumberFormat="1" applyFill="1"/>
    <xf numFmtId="0" fontId="1" fillId="0" borderId="0" xfId="0" applyNumberFormat="1" applyFont="1" applyFill="1" applyBorder="1"/>
    <xf numFmtId="3" fontId="0" fillId="0" borderId="0" xfId="0" applyNumberFormat="1" applyFill="1"/>
    <xf numFmtId="0" fontId="0" fillId="0" borderId="5" xfId="0" applyFill="1" applyBorder="1" applyAlignment="1">
      <alignment wrapText="1"/>
    </xf>
    <xf numFmtId="1" fontId="0" fillId="0" borderId="5" xfId="0" applyNumberFormat="1" applyFill="1" applyBorder="1"/>
    <xf numFmtId="0" fontId="0" fillId="0" borderId="8" xfId="0" applyFill="1" applyBorder="1" applyAlignment="1">
      <alignment wrapText="1"/>
    </xf>
    <xf numFmtId="0" fontId="0" fillId="0" borderId="8" xfId="0" applyFill="1" applyBorder="1"/>
    <xf numFmtId="1" fontId="0" fillId="0" borderId="8" xfId="0" applyNumberFormat="1" applyFill="1" applyBorder="1"/>
    <xf numFmtId="0" fontId="12" fillId="0" borderId="0" xfId="0" applyFont="1" applyFill="1"/>
    <xf numFmtId="0" fontId="0" fillId="0" borderId="0" xfId="0" quotePrefix="1" applyFill="1"/>
    <xf numFmtId="1" fontId="0" fillId="2" borderId="0" xfId="0" applyNumberFormat="1" applyFill="1"/>
    <xf numFmtId="0" fontId="0" fillId="2" borderId="0" xfId="0" applyNumberFormat="1" applyFill="1"/>
    <xf numFmtId="0" fontId="0" fillId="2" borderId="5" xfId="0" applyFill="1" applyBorder="1"/>
    <xf numFmtId="0" fontId="0" fillId="2" borderId="8" xfId="0" applyFill="1" applyBorder="1"/>
    <xf numFmtId="0" fontId="0" fillId="2" borderId="5" xfId="0" quotePrefix="1" applyFill="1" applyBorder="1"/>
    <xf numFmtId="0" fontId="0" fillId="2" borderId="0" xfId="0" quotePrefix="1" applyFill="1"/>
    <xf numFmtId="0" fontId="0" fillId="7" borderId="5" xfId="0" quotePrefix="1" applyFill="1" applyBorder="1"/>
    <xf numFmtId="0" fontId="0" fillId="7" borderId="0" xfId="0" quotePrefix="1" applyFill="1"/>
    <xf numFmtId="0" fontId="0" fillId="7" borderId="8" xfId="0" applyFill="1" applyBorder="1"/>
    <xf numFmtId="3" fontId="6" fillId="0" borderId="0" xfId="0" applyNumberFormat="1" applyFont="1" applyFill="1"/>
  </cellXfs>
  <cellStyles count="9">
    <cellStyle name="Head" xfId="2" xr:uid="{00000000-0005-0000-0000-000000000000}"/>
    <cellStyle name="Normal" xfId="0" builtinId="0"/>
    <cellStyle name="Normal 2" xfId="6" xr:uid="{00000000-0005-0000-0000-000002000000}"/>
    <cellStyle name="Normal 3" xfId="5" xr:uid="{00000000-0005-0000-0000-000003000000}"/>
    <cellStyle name="Normal 5" xfId="1" xr:uid="{00000000-0005-0000-0000-000004000000}"/>
    <cellStyle name="Normal 7" xfId="3" xr:uid="{00000000-0005-0000-0000-000005000000}"/>
    <cellStyle name="Normal 8" xfId="7" xr:uid="{00000000-0005-0000-0000-000006000000}"/>
    <cellStyle name="Percent" xfId="8" builtinId="5"/>
    <cellStyle name="Procent 4" xfId="4" xr:uid="{00000000-0005-0000-0000-000008000000}"/>
  </cellStyles>
  <dxfs count="4">
    <dxf>
      <numFmt numFmtId="3" formatCode="#,##0"/>
    </dxf>
    <dxf>
      <numFmt numFmtId="3" formatCode="#,##0"/>
    </dxf>
    <dxf>
      <border outline="0"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la\My%20Drive\Jola\Projekt\BioFrame\FacilityData\Varmever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oframeData\NewIO\Input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gy companies"/>
      <sheetName val="Tillförd energi till elprod"/>
      <sheetName val="SummaryTable"/>
      <sheetName val="Summa tillförd energi till värm"/>
      <sheetName val="Summa tillförd energi till el"/>
    </sheetNames>
    <sheetDataSet>
      <sheetData sheetId="0" refreshError="1"/>
      <sheetData sheetId="1" refreshError="1"/>
      <sheetData sheetId="2" refreshError="1">
        <row r="1">
          <cell r="B1" t="str">
            <v>GpsNorth</v>
          </cell>
          <cell r="C1" t="str">
            <v>GPSEast</v>
          </cell>
          <cell r="D1" t="str">
            <v>TotalDeliveries</v>
          </cell>
          <cell r="E1" t="str">
            <v>ShareHeat</v>
          </cell>
          <cell r="F1" t="str">
            <v>ShareEl</v>
          </cell>
        </row>
        <row r="2">
          <cell r="A2" t="str">
            <v>H1</v>
          </cell>
          <cell r="B2">
            <v>7332777.9560000002</v>
          </cell>
          <cell r="C2">
            <v>915146.98</v>
          </cell>
          <cell r="D2">
            <v>0</v>
          </cell>
          <cell r="E2">
            <v>0</v>
          </cell>
          <cell r="F2">
            <v>1</v>
          </cell>
        </row>
        <row r="3">
          <cell r="A3" t="str">
            <v>H10</v>
          </cell>
          <cell r="B3">
            <v>6639261.9000000004</v>
          </cell>
          <cell r="C3">
            <v>611544</v>
          </cell>
          <cell r="D3">
            <v>0.222</v>
          </cell>
          <cell r="E3">
            <v>1</v>
          </cell>
          <cell r="F3">
            <v>0</v>
          </cell>
        </row>
        <row r="4">
          <cell r="A4" t="str">
            <v>H100</v>
          </cell>
          <cell r="B4">
            <v>6861985.8293596301</v>
          </cell>
          <cell r="C4">
            <v>580991.58224893606</v>
          </cell>
          <cell r="D4">
            <v>4.5</v>
          </cell>
          <cell r="E4">
            <v>1</v>
          </cell>
          <cell r="F4">
            <v>0</v>
          </cell>
        </row>
        <row r="5">
          <cell r="A5" t="str">
            <v>H101</v>
          </cell>
          <cell r="B5">
            <v>6854124.6075927401</v>
          </cell>
          <cell r="C5">
            <v>561785.47139009601</v>
          </cell>
          <cell r="D5">
            <v>12.8</v>
          </cell>
          <cell r="E5">
            <v>1</v>
          </cell>
          <cell r="F5">
            <v>0</v>
          </cell>
        </row>
        <row r="6">
          <cell r="A6" t="str">
            <v>H102</v>
          </cell>
          <cell r="B6">
            <v>6854073.6633401401</v>
          </cell>
          <cell r="C6">
            <v>557759.26579993102</v>
          </cell>
          <cell r="D6">
            <v>73.399999999999991</v>
          </cell>
          <cell r="E6">
            <v>1</v>
          </cell>
          <cell r="F6">
            <v>0</v>
          </cell>
        </row>
        <row r="7">
          <cell r="A7" t="str">
            <v>H103</v>
          </cell>
          <cell r="B7">
            <v>6852109.8797692498</v>
          </cell>
          <cell r="C7">
            <v>582556.74089487398</v>
          </cell>
          <cell r="D7">
            <v>15.845000000000001</v>
          </cell>
          <cell r="E7">
            <v>1</v>
          </cell>
          <cell r="F7">
            <v>0</v>
          </cell>
        </row>
        <row r="8">
          <cell r="A8" t="str">
            <v>H104</v>
          </cell>
          <cell r="B8">
            <v>6850014.7998528099</v>
          </cell>
          <cell r="C8">
            <v>544292.63212072605</v>
          </cell>
          <cell r="D8">
            <v>8.4</v>
          </cell>
          <cell r="E8">
            <v>1</v>
          </cell>
          <cell r="F8">
            <v>0</v>
          </cell>
        </row>
        <row r="9">
          <cell r="A9" t="str">
            <v>H105</v>
          </cell>
          <cell r="B9">
            <v>6842573.3693034099</v>
          </cell>
          <cell r="C9">
            <v>603527.67973249196</v>
          </cell>
          <cell r="D9">
            <v>6.2880000000000003</v>
          </cell>
          <cell r="E9">
            <v>1</v>
          </cell>
          <cell r="F9">
            <v>0</v>
          </cell>
        </row>
        <row r="10">
          <cell r="A10" t="str">
            <v>H106</v>
          </cell>
          <cell r="B10">
            <v>6814567.6877298597</v>
          </cell>
          <cell r="C10">
            <v>573408.23071963701</v>
          </cell>
          <cell r="D10">
            <v>20.34</v>
          </cell>
          <cell r="E10">
            <v>1</v>
          </cell>
          <cell r="F10">
            <v>0</v>
          </cell>
        </row>
        <row r="11">
          <cell r="A11" t="str">
            <v>H107</v>
          </cell>
          <cell r="B11">
            <v>6803247.0547590898</v>
          </cell>
          <cell r="C11">
            <v>543724.78329123696</v>
          </cell>
          <cell r="D11">
            <v>45.1815</v>
          </cell>
          <cell r="E11">
            <v>1</v>
          </cell>
          <cell r="F11">
            <v>0</v>
          </cell>
        </row>
        <row r="12">
          <cell r="A12" t="str">
            <v>H108</v>
          </cell>
          <cell r="B12">
            <v>6801228.6378680402</v>
          </cell>
          <cell r="C12">
            <v>574564.78325228801</v>
          </cell>
          <cell r="D12">
            <v>4.2700039999999992</v>
          </cell>
          <cell r="E12">
            <v>1</v>
          </cell>
          <cell r="F12">
            <v>0</v>
          </cell>
        </row>
        <row r="13">
          <cell r="A13" t="str">
            <v>H109</v>
          </cell>
          <cell r="B13">
            <v>6800103.9986759303</v>
          </cell>
          <cell r="C13">
            <v>557243.57020522095</v>
          </cell>
          <cell r="D13">
            <v>19.100000000000001</v>
          </cell>
          <cell r="E13">
            <v>1</v>
          </cell>
          <cell r="F13">
            <v>0</v>
          </cell>
        </row>
        <row r="14">
          <cell r="A14" t="str">
            <v>H11</v>
          </cell>
          <cell r="B14">
            <v>6655373.6670000004</v>
          </cell>
          <cell r="C14">
            <v>505611.864</v>
          </cell>
          <cell r="D14">
            <v>3.948</v>
          </cell>
          <cell r="E14">
            <v>1</v>
          </cell>
          <cell r="F14">
            <v>0</v>
          </cell>
        </row>
        <row r="15">
          <cell r="A15" t="str">
            <v>H110</v>
          </cell>
          <cell r="B15">
            <v>6796930.7098859204</v>
          </cell>
          <cell r="C15">
            <v>608974.08294069802</v>
          </cell>
          <cell r="D15">
            <v>181.46100000000001</v>
          </cell>
          <cell r="E15">
            <v>0.5892260087511435</v>
          </cell>
          <cell r="F15">
            <v>0.4107739912488565</v>
          </cell>
        </row>
        <row r="16">
          <cell r="A16" t="str">
            <v>H111</v>
          </cell>
          <cell r="B16">
            <v>6788204.0264717098</v>
          </cell>
          <cell r="C16">
            <v>584275.97883665503</v>
          </cell>
          <cell r="D16">
            <v>25.75</v>
          </cell>
          <cell r="E16">
            <v>1</v>
          </cell>
          <cell r="F16">
            <v>0</v>
          </cell>
        </row>
        <row r="17">
          <cell r="A17" t="str">
            <v>H112</v>
          </cell>
          <cell r="B17">
            <v>6787208.4719192097</v>
          </cell>
          <cell r="C17">
            <v>613550.01356131095</v>
          </cell>
          <cell r="D17">
            <v>11.5624</v>
          </cell>
          <cell r="E17">
            <v>1</v>
          </cell>
          <cell r="F17">
            <v>0</v>
          </cell>
        </row>
        <row r="18">
          <cell r="A18" t="str">
            <v>H113</v>
          </cell>
          <cell r="B18">
            <v>6773505.8276772201</v>
          </cell>
          <cell r="C18">
            <v>479596.61678931699</v>
          </cell>
          <cell r="D18">
            <v>27.9</v>
          </cell>
          <cell r="E18">
            <v>1</v>
          </cell>
          <cell r="F18">
            <v>0</v>
          </cell>
        </row>
        <row r="19">
          <cell r="A19" t="str">
            <v>H114</v>
          </cell>
          <cell r="B19">
            <v>6760757.82706038</v>
          </cell>
          <cell r="C19">
            <v>475228.300052704</v>
          </cell>
          <cell r="D19">
            <v>68.141000000000005</v>
          </cell>
          <cell r="E19">
            <v>1</v>
          </cell>
          <cell r="F19">
            <v>0</v>
          </cell>
        </row>
        <row r="20">
          <cell r="A20" t="str">
            <v>H115</v>
          </cell>
          <cell r="B20">
            <v>6731671.6995206</v>
          </cell>
          <cell r="C20">
            <v>524562.46844706696</v>
          </cell>
          <cell r="D20">
            <v>5.8</v>
          </cell>
          <cell r="E20">
            <v>1</v>
          </cell>
          <cell r="F20">
            <v>0</v>
          </cell>
        </row>
        <row r="21">
          <cell r="A21" t="str">
            <v>H116</v>
          </cell>
          <cell r="B21">
            <v>6730908.7539162198</v>
          </cell>
          <cell r="C21">
            <v>500195.14087190601</v>
          </cell>
          <cell r="D21">
            <v>40.000999999999998</v>
          </cell>
          <cell r="E21">
            <v>1</v>
          </cell>
          <cell r="F21">
            <v>0</v>
          </cell>
        </row>
        <row r="22">
          <cell r="A22" t="str">
            <v>H117</v>
          </cell>
          <cell r="B22">
            <v>6727738.3617179804</v>
          </cell>
          <cell r="C22">
            <v>617468.97245594196</v>
          </cell>
          <cell r="D22">
            <v>307.87220000000002</v>
          </cell>
          <cell r="E22">
            <v>0.66110109616556434</v>
          </cell>
          <cell r="F22">
            <v>0.33889890383443566</v>
          </cell>
        </row>
        <row r="23">
          <cell r="A23" t="str">
            <v>H118</v>
          </cell>
          <cell r="B23">
            <v>6726125.9334820202</v>
          </cell>
          <cell r="C23">
            <v>526388.95212933398</v>
          </cell>
          <cell r="D23">
            <v>5</v>
          </cell>
          <cell r="E23">
            <v>1</v>
          </cell>
          <cell r="F23">
            <v>0</v>
          </cell>
        </row>
        <row r="24">
          <cell r="A24" t="str">
            <v>H119</v>
          </cell>
          <cell r="B24">
            <v>6724292.0530103398</v>
          </cell>
          <cell r="C24">
            <v>429222.21765546099</v>
          </cell>
          <cell r="D24">
            <v>29.1</v>
          </cell>
          <cell r="E24">
            <v>1</v>
          </cell>
          <cell r="F24">
            <v>0</v>
          </cell>
        </row>
        <row r="25">
          <cell r="A25" t="str">
            <v>H12</v>
          </cell>
          <cell r="B25">
            <v>6594491.4330000002</v>
          </cell>
          <cell r="C25">
            <v>672744.73</v>
          </cell>
          <cell r="D25">
            <v>78.7</v>
          </cell>
          <cell r="E25">
            <v>1</v>
          </cell>
          <cell r="F25">
            <v>0</v>
          </cell>
        </row>
        <row r="26">
          <cell r="A26" t="str">
            <v>H120</v>
          </cell>
          <cell r="B26">
            <v>6724492.4034554204</v>
          </cell>
          <cell r="C26">
            <v>505115.17485771899</v>
          </cell>
          <cell r="D26">
            <v>13.3451</v>
          </cell>
          <cell r="E26">
            <v>1</v>
          </cell>
          <cell r="F26">
            <v>0</v>
          </cell>
        </row>
        <row r="27">
          <cell r="A27" t="str">
            <v>H121</v>
          </cell>
          <cell r="B27">
            <v>6720597.4634619802</v>
          </cell>
          <cell r="C27">
            <v>597127.44264675095</v>
          </cell>
          <cell r="D27">
            <v>124.107</v>
          </cell>
          <cell r="E27">
            <v>1</v>
          </cell>
          <cell r="F27">
            <v>0</v>
          </cell>
        </row>
        <row r="28">
          <cell r="A28" t="str">
            <v>H122</v>
          </cell>
          <cell r="B28">
            <v>6717141.6776961703</v>
          </cell>
          <cell r="C28">
            <v>534120.68538649299</v>
          </cell>
          <cell r="D28">
            <v>329.48</v>
          </cell>
          <cell r="E28">
            <v>0.61998728302997752</v>
          </cell>
          <cell r="F28">
            <v>0.38001271697002248</v>
          </cell>
        </row>
        <row r="29">
          <cell r="A29" t="str">
            <v>H123</v>
          </cell>
          <cell r="B29">
            <v>6711958.3935811296</v>
          </cell>
          <cell r="C29">
            <v>570757.32503488101</v>
          </cell>
          <cell r="D29">
            <v>70.040980000000005</v>
          </cell>
          <cell r="E29">
            <v>1</v>
          </cell>
          <cell r="F29">
            <v>0</v>
          </cell>
        </row>
        <row r="30">
          <cell r="A30" t="str">
            <v>H124</v>
          </cell>
          <cell r="B30">
            <v>6706176.4845559299</v>
          </cell>
          <cell r="C30">
            <v>529494.57056243205</v>
          </cell>
          <cell r="D30">
            <v>3.016</v>
          </cell>
          <cell r="E30">
            <v>1</v>
          </cell>
          <cell r="F30">
            <v>0</v>
          </cell>
        </row>
        <row r="31">
          <cell r="A31" t="str">
            <v>H125</v>
          </cell>
          <cell r="B31">
            <v>6703253.3517492404</v>
          </cell>
          <cell r="C31">
            <v>523528.32386231399</v>
          </cell>
          <cell r="D31">
            <v>183.07599999999999</v>
          </cell>
          <cell r="E31">
            <v>1</v>
          </cell>
          <cell r="F31">
            <v>0</v>
          </cell>
        </row>
        <row r="32">
          <cell r="A32" t="str">
            <v>H126</v>
          </cell>
          <cell r="B32">
            <v>6700781.1919630896</v>
          </cell>
          <cell r="C32">
            <v>530308.39236227504</v>
          </cell>
          <cell r="D32">
            <v>5.4710000000000001</v>
          </cell>
          <cell r="E32">
            <v>1</v>
          </cell>
          <cell r="F32">
            <v>0</v>
          </cell>
        </row>
        <row r="33">
          <cell r="A33" t="str">
            <v>H127</v>
          </cell>
          <cell r="B33">
            <v>6700678.4464994902</v>
          </cell>
          <cell r="C33">
            <v>557112.41095410695</v>
          </cell>
          <cell r="D33">
            <v>8.1999999999999993</v>
          </cell>
          <cell r="E33">
            <v>1</v>
          </cell>
          <cell r="F33">
            <v>0</v>
          </cell>
        </row>
        <row r="34">
          <cell r="A34" t="str">
            <v>H128</v>
          </cell>
          <cell r="B34">
            <v>6694845.0741511704</v>
          </cell>
          <cell r="C34">
            <v>404744.09701003402</v>
          </cell>
          <cell r="D34">
            <v>2.577</v>
          </cell>
          <cell r="E34">
            <v>1</v>
          </cell>
          <cell r="F34">
            <v>0</v>
          </cell>
        </row>
        <row r="35">
          <cell r="A35" t="str">
            <v>H129</v>
          </cell>
          <cell r="B35">
            <v>6691845.8553862302</v>
          </cell>
          <cell r="C35">
            <v>638746.24942327302</v>
          </cell>
          <cell r="D35">
            <v>65.3</v>
          </cell>
          <cell r="E35">
            <v>1</v>
          </cell>
          <cell r="F35">
            <v>0</v>
          </cell>
        </row>
        <row r="36">
          <cell r="A36" t="str">
            <v>H13</v>
          </cell>
          <cell r="B36">
            <v>6585451.3830000004</v>
          </cell>
          <cell r="C36">
            <v>335186.60399999999</v>
          </cell>
          <cell r="D36">
            <v>19.6648</v>
          </cell>
          <cell r="E36">
            <v>1</v>
          </cell>
          <cell r="F36">
            <v>0</v>
          </cell>
        </row>
        <row r="37">
          <cell r="A37" t="str">
            <v>H130</v>
          </cell>
          <cell r="B37">
            <v>6688463.8942728098</v>
          </cell>
          <cell r="C37">
            <v>540832.811241035</v>
          </cell>
          <cell r="D37">
            <v>2.6</v>
          </cell>
          <cell r="E37">
            <v>1</v>
          </cell>
          <cell r="F37">
            <v>0</v>
          </cell>
        </row>
        <row r="38">
          <cell r="A38" t="str">
            <v>H131</v>
          </cell>
          <cell r="B38">
            <v>6688463.8942728098</v>
          </cell>
          <cell r="C38">
            <v>540832.811241035</v>
          </cell>
          <cell r="D38">
            <v>63.599910000000008</v>
          </cell>
          <cell r="E38">
            <v>0.79200281882759227</v>
          </cell>
          <cell r="F38">
            <v>0.20799718117240773</v>
          </cell>
        </row>
        <row r="39">
          <cell r="A39" t="str">
            <v>H132</v>
          </cell>
          <cell r="B39">
            <v>6681433.9039958296</v>
          </cell>
          <cell r="C39">
            <v>554152.73182229802</v>
          </cell>
          <cell r="D39">
            <v>71.500100000000003</v>
          </cell>
          <cell r="E39">
            <v>0.82516912327222935</v>
          </cell>
          <cell r="F39">
            <v>0.17483087672777065</v>
          </cell>
        </row>
        <row r="40">
          <cell r="A40" t="str">
            <v>H133</v>
          </cell>
          <cell r="B40">
            <v>6675852.5992757902</v>
          </cell>
          <cell r="C40">
            <v>676351.917701951</v>
          </cell>
          <cell r="D40">
            <v>14.629999999999999</v>
          </cell>
          <cell r="E40">
            <v>1</v>
          </cell>
          <cell r="F40">
            <v>0</v>
          </cell>
        </row>
        <row r="41">
          <cell r="A41" t="str">
            <v>H134</v>
          </cell>
          <cell r="B41">
            <v>6670628.6277071498</v>
          </cell>
          <cell r="C41">
            <v>416483.947296525</v>
          </cell>
          <cell r="D41">
            <v>16.11</v>
          </cell>
          <cell r="E41">
            <v>1</v>
          </cell>
          <cell r="F41">
            <v>0</v>
          </cell>
        </row>
        <row r="42">
          <cell r="A42" t="str">
            <v>H135</v>
          </cell>
          <cell r="B42">
            <v>6667107.08093738</v>
          </cell>
          <cell r="C42">
            <v>564713.68303619197</v>
          </cell>
          <cell r="D42">
            <v>36.053059999999995</v>
          </cell>
          <cell r="E42">
            <v>1</v>
          </cell>
          <cell r="F42">
            <v>0</v>
          </cell>
        </row>
        <row r="43">
          <cell r="A43" t="str">
            <v>H136</v>
          </cell>
          <cell r="B43">
            <v>6664634.4130483801</v>
          </cell>
          <cell r="C43">
            <v>388648.04353927402</v>
          </cell>
          <cell r="D43">
            <v>4.7699999999999996</v>
          </cell>
          <cell r="E43">
            <v>1</v>
          </cell>
          <cell r="F43">
            <v>0</v>
          </cell>
        </row>
        <row r="44">
          <cell r="A44" t="str">
            <v>H137</v>
          </cell>
          <cell r="B44">
            <v>6664634.4130483801</v>
          </cell>
          <cell r="C44">
            <v>388648.04353927402</v>
          </cell>
          <cell r="D44">
            <v>88.082999999999998</v>
          </cell>
          <cell r="E44">
            <v>1</v>
          </cell>
          <cell r="F44">
            <v>0</v>
          </cell>
        </row>
        <row r="45">
          <cell r="A45" t="str">
            <v>H138</v>
          </cell>
          <cell r="B45">
            <v>6665938.37373849</v>
          </cell>
          <cell r="C45">
            <v>510235.09590710601</v>
          </cell>
          <cell r="D45">
            <v>18.798999999999999</v>
          </cell>
          <cell r="E45">
            <v>1</v>
          </cell>
          <cell r="F45">
            <v>0</v>
          </cell>
        </row>
        <row r="46">
          <cell r="A46" t="str">
            <v>H139</v>
          </cell>
          <cell r="B46">
            <v>6665447.3156382795</v>
          </cell>
          <cell r="C46">
            <v>523077.75479307701</v>
          </cell>
          <cell r="D46">
            <v>19.085999999999999</v>
          </cell>
          <cell r="E46">
            <v>1</v>
          </cell>
          <cell r="F46">
            <v>0</v>
          </cell>
        </row>
        <row r="47">
          <cell r="A47" t="str">
            <v>H14</v>
          </cell>
          <cell r="B47">
            <v>6574899.3859999999</v>
          </cell>
          <cell r="C47">
            <v>661411.40899999999</v>
          </cell>
          <cell r="D47">
            <v>7.44</v>
          </cell>
          <cell r="E47">
            <v>1</v>
          </cell>
          <cell r="F47">
            <v>0</v>
          </cell>
        </row>
        <row r="48">
          <cell r="A48" t="str">
            <v>H140</v>
          </cell>
          <cell r="B48">
            <v>6662829.7938500196</v>
          </cell>
          <cell r="C48">
            <v>700201.39924883202</v>
          </cell>
          <cell r="D48">
            <v>15.46</v>
          </cell>
          <cell r="E48">
            <v>1</v>
          </cell>
          <cell r="F48">
            <v>0</v>
          </cell>
        </row>
        <row r="49">
          <cell r="A49" t="str">
            <v>H141</v>
          </cell>
          <cell r="B49">
            <v>6656628.1682370203</v>
          </cell>
          <cell r="C49">
            <v>429620.08588173299</v>
          </cell>
          <cell r="D49">
            <v>51.8</v>
          </cell>
          <cell r="E49">
            <v>1</v>
          </cell>
          <cell r="F49">
            <v>0</v>
          </cell>
        </row>
        <row r="50">
          <cell r="A50" t="str">
            <v>H142</v>
          </cell>
          <cell r="B50">
            <v>6657418.8429515902</v>
          </cell>
          <cell r="C50">
            <v>499703.75409351801</v>
          </cell>
          <cell r="D50">
            <v>13.401</v>
          </cell>
          <cell r="E50">
            <v>1</v>
          </cell>
          <cell r="F50">
            <v>0</v>
          </cell>
        </row>
        <row r="51">
          <cell r="A51" t="str">
            <v>H143</v>
          </cell>
          <cell r="B51">
            <v>6657440.2617340796</v>
          </cell>
          <cell r="C51">
            <v>550893.68900930404</v>
          </cell>
          <cell r="D51">
            <v>1.5755600000000001</v>
          </cell>
          <cell r="E51">
            <v>1</v>
          </cell>
          <cell r="F51">
            <v>0</v>
          </cell>
        </row>
        <row r="52">
          <cell r="A52" t="str">
            <v>H144</v>
          </cell>
          <cell r="B52">
            <v>6657000.3535310496</v>
          </cell>
          <cell r="C52">
            <v>531460.09449907998</v>
          </cell>
          <cell r="D52">
            <v>5.4411800000000001</v>
          </cell>
          <cell r="E52">
            <v>1</v>
          </cell>
          <cell r="F52">
            <v>0</v>
          </cell>
        </row>
        <row r="53">
          <cell r="A53" t="str">
            <v>H145</v>
          </cell>
          <cell r="B53">
            <v>6648911.5233588396</v>
          </cell>
          <cell r="C53">
            <v>545536.30476547405</v>
          </cell>
          <cell r="D53">
            <v>82.671999999999997</v>
          </cell>
          <cell r="E53">
            <v>1</v>
          </cell>
          <cell r="F53">
            <v>0</v>
          </cell>
        </row>
        <row r="54">
          <cell r="A54" t="str">
            <v>H146</v>
          </cell>
          <cell r="B54">
            <v>6649821.6294332296</v>
          </cell>
          <cell r="C54">
            <v>651152.04095974402</v>
          </cell>
          <cell r="D54">
            <v>23.7</v>
          </cell>
          <cell r="E54">
            <v>1</v>
          </cell>
          <cell r="F54">
            <v>0</v>
          </cell>
        </row>
        <row r="55">
          <cell r="A55" t="str">
            <v>H147</v>
          </cell>
          <cell r="B55">
            <v>6642989.4577388</v>
          </cell>
          <cell r="C55">
            <v>589874.97796123801</v>
          </cell>
          <cell r="D55">
            <v>191.53139000000002</v>
          </cell>
          <cell r="E55">
            <v>0.77286040235805542</v>
          </cell>
          <cell r="F55">
            <v>0.22713959764194458</v>
          </cell>
        </row>
        <row r="56">
          <cell r="A56" t="str">
            <v>H148</v>
          </cell>
          <cell r="B56">
            <v>6638186.9166061301</v>
          </cell>
          <cell r="C56">
            <v>648120.36922178103</v>
          </cell>
          <cell r="D56">
            <v>91.314000300000004</v>
          </cell>
          <cell r="E56">
            <v>0.59125042788835203</v>
          </cell>
          <cell r="F56">
            <v>0.40874957211164797</v>
          </cell>
        </row>
        <row r="57">
          <cell r="A57" t="str">
            <v>H149</v>
          </cell>
          <cell r="B57">
            <v>6634405.5210155305</v>
          </cell>
          <cell r="C57">
            <v>501138.68473782501</v>
          </cell>
          <cell r="D57">
            <v>14.593</v>
          </cell>
          <cell r="E57">
            <v>1</v>
          </cell>
          <cell r="F57">
            <v>0</v>
          </cell>
        </row>
        <row r="58">
          <cell r="A58" t="str">
            <v>H15</v>
          </cell>
          <cell r="B58">
            <v>6518922.1730000004</v>
          </cell>
          <cell r="C58">
            <v>445130.51699999999</v>
          </cell>
          <cell r="D58">
            <v>2.7530000000000001</v>
          </cell>
          <cell r="E58">
            <v>1</v>
          </cell>
          <cell r="F58">
            <v>0</v>
          </cell>
        </row>
        <row r="59">
          <cell r="A59" t="str">
            <v>H150</v>
          </cell>
          <cell r="B59">
            <v>6630873.0497755902</v>
          </cell>
          <cell r="C59">
            <v>707919.87262874795</v>
          </cell>
          <cell r="D59">
            <v>176.22246000000001</v>
          </cell>
          <cell r="E59">
            <v>0.70496629676888656</v>
          </cell>
          <cell r="F59">
            <v>0.29503370323111344</v>
          </cell>
        </row>
        <row r="60">
          <cell r="A60" t="str">
            <v>H151</v>
          </cell>
          <cell r="B60">
            <v>6628183.9426062601</v>
          </cell>
          <cell r="C60">
            <v>688815.20608888101</v>
          </cell>
          <cell r="D60">
            <v>19.702000000000002</v>
          </cell>
          <cell r="E60">
            <v>1</v>
          </cell>
          <cell r="F60">
            <v>0</v>
          </cell>
        </row>
        <row r="61">
          <cell r="A61" t="str">
            <v>H152</v>
          </cell>
          <cell r="B61">
            <v>6624279.8196928604</v>
          </cell>
          <cell r="C61">
            <v>472912.375212855</v>
          </cell>
          <cell r="D61">
            <v>31.791</v>
          </cell>
          <cell r="E61">
            <v>1</v>
          </cell>
          <cell r="F61">
            <v>0</v>
          </cell>
        </row>
        <row r="62">
          <cell r="A62" t="str">
            <v>H153</v>
          </cell>
          <cell r="B62">
            <v>6624347.4314256301</v>
          </cell>
          <cell r="C62">
            <v>629853.48381119</v>
          </cell>
          <cell r="D62">
            <v>7.48</v>
          </cell>
          <cell r="E62">
            <v>1</v>
          </cell>
          <cell r="F62">
            <v>0</v>
          </cell>
        </row>
        <row r="63">
          <cell r="A63" t="str">
            <v>H154</v>
          </cell>
          <cell r="B63">
            <v>6623813.0982177798</v>
          </cell>
          <cell r="C63">
            <v>656788.65622894198</v>
          </cell>
          <cell r="D63">
            <v>77.09</v>
          </cell>
          <cell r="E63">
            <v>1</v>
          </cell>
          <cell r="F63">
            <v>0</v>
          </cell>
        </row>
        <row r="64">
          <cell r="A64" t="str">
            <v>H155</v>
          </cell>
          <cell r="B64">
            <v>6616457.0644130902</v>
          </cell>
          <cell r="C64">
            <v>473835.13196000602</v>
          </cell>
          <cell r="D64">
            <v>7.12</v>
          </cell>
          <cell r="E64">
            <v>1</v>
          </cell>
          <cell r="F64">
            <v>0</v>
          </cell>
        </row>
        <row r="65">
          <cell r="A65" t="str">
            <v>H156</v>
          </cell>
          <cell r="B65">
            <v>6611451.2513030497</v>
          </cell>
          <cell r="C65">
            <v>364318.97513904201</v>
          </cell>
          <cell r="D65">
            <v>100.7</v>
          </cell>
          <cell r="E65">
            <v>1</v>
          </cell>
          <cell r="F65">
            <v>0</v>
          </cell>
        </row>
        <row r="66">
          <cell r="A66" t="str">
            <v>H157</v>
          </cell>
          <cell r="B66">
            <v>6612180.9258937398</v>
          </cell>
          <cell r="C66">
            <v>617580.05346963799</v>
          </cell>
          <cell r="D66">
            <v>87</v>
          </cell>
          <cell r="E66">
            <v>0.71325846829346784</v>
          </cell>
          <cell r="F66">
            <v>0.28674153170653216</v>
          </cell>
        </row>
        <row r="67">
          <cell r="A67" t="str">
            <v>H158</v>
          </cell>
          <cell r="B67">
            <v>6608483.1389010502</v>
          </cell>
          <cell r="C67">
            <v>587306.32478014496</v>
          </cell>
          <cell r="D67">
            <v>436.82996499999996</v>
          </cell>
          <cell r="E67">
            <v>0.93967468629427409</v>
          </cell>
          <cell r="F67">
            <v>6.0325313705725914E-2</v>
          </cell>
        </row>
        <row r="68">
          <cell r="A68" t="str">
            <v>H159</v>
          </cell>
          <cell r="B68">
            <v>6608483.1389010502</v>
          </cell>
          <cell r="C68">
            <v>587306.32478014496</v>
          </cell>
          <cell r="D68">
            <v>35.774318999999998</v>
          </cell>
          <cell r="E68">
            <v>0.56197011129376651</v>
          </cell>
          <cell r="F68">
            <v>0.43802988870623349</v>
          </cell>
        </row>
        <row r="69">
          <cell r="A69" t="str">
            <v>H16</v>
          </cell>
          <cell r="B69">
            <v>6505208.21</v>
          </cell>
          <cell r="C69">
            <v>582787.22</v>
          </cell>
          <cell r="D69">
            <v>2.754</v>
          </cell>
          <cell r="E69">
            <v>1</v>
          </cell>
          <cell r="F69">
            <v>0</v>
          </cell>
        </row>
        <row r="70">
          <cell r="A70" t="str">
            <v>H160</v>
          </cell>
          <cell r="B70">
            <v>6608111.97583206</v>
          </cell>
          <cell r="C70">
            <v>687916.32336416002</v>
          </cell>
          <cell r="D70">
            <v>69.8</v>
          </cell>
          <cell r="E70">
            <v>1</v>
          </cell>
          <cell r="F70">
            <v>0</v>
          </cell>
        </row>
        <row r="71">
          <cell r="A71" t="str">
            <v>H161</v>
          </cell>
          <cell r="B71">
            <v>6605601.0157614499</v>
          </cell>
          <cell r="C71">
            <v>547531.54421394598</v>
          </cell>
          <cell r="D71">
            <v>16.3</v>
          </cell>
          <cell r="E71">
            <v>1</v>
          </cell>
          <cell r="F71">
            <v>0</v>
          </cell>
        </row>
        <row r="72">
          <cell r="A72" t="str">
            <v>H162</v>
          </cell>
          <cell r="B72">
            <v>6605142.1022052001</v>
          </cell>
          <cell r="C72">
            <v>512766.37462413998</v>
          </cell>
          <cell r="D72">
            <v>11.153649999999999</v>
          </cell>
          <cell r="E72">
            <v>1</v>
          </cell>
          <cell r="F72">
            <v>0</v>
          </cell>
        </row>
        <row r="73">
          <cell r="A73" t="str">
            <v>H163</v>
          </cell>
          <cell r="B73">
            <v>6605018.2044927999</v>
          </cell>
          <cell r="C73">
            <v>641522.93889434997</v>
          </cell>
          <cell r="D73">
            <v>32.085999999999999</v>
          </cell>
          <cell r="E73">
            <v>1</v>
          </cell>
          <cell r="F73">
            <v>0</v>
          </cell>
        </row>
        <row r="74">
          <cell r="A74" t="str">
            <v>H164</v>
          </cell>
          <cell r="B74">
            <v>6603514.86436076</v>
          </cell>
          <cell r="C74">
            <v>674176.27276112896</v>
          </cell>
          <cell r="D74">
            <v>37</v>
          </cell>
          <cell r="E74">
            <v>1</v>
          </cell>
          <cell r="F74">
            <v>0</v>
          </cell>
        </row>
        <row r="75">
          <cell r="A75" t="str">
            <v>H165</v>
          </cell>
          <cell r="B75">
            <v>6600066.6643574601</v>
          </cell>
          <cell r="C75">
            <v>648731.62791579904</v>
          </cell>
          <cell r="D75">
            <v>0</v>
          </cell>
          <cell r="E75">
            <v>0</v>
          </cell>
          <cell r="F75">
            <v>1</v>
          </cell>
        </row>
        <row r="76">
          <cell r="A76" t="str">
            <v>H166</v>
          </cell>
          <cell r="B76">
            <v>6599637.5391512904</v>
          </cell>
          <cell r="C76">
            <v>649538.68097547803</v>
          </cell>
          <cell r="D76">
            <v>40.400000000000006</v>
          </cell>
          <cell r="E76">
            <v>1</v>
          </cell>
          <cell r="F76">
            <v>0</v>
          </cell>
        </row>
        <row r="77">
          <cell r="A77" t="str">
            <v>H167</v>
          </cell>
          <cell r="B77">
            <v>6596321.5968581503</v>
          </cell>
          <cell r="C77">
            <v>517173.91312786401</v>
          </cell>
          <cell r="D77">
            <v>0.31764700000000001</v>
          </cell>
          <cell r="E77">
            <v>1</v>
          </cell>
          <cell r="F77">
            <v>0</v>
          </cell>
        </row>
        <row r="78">
          <cell r="A78" t="str">
            <v>H168</v>
          </cell>
          <cell r="B78">
            <v>6594091.1989318896</v>
          </cell>
          <cell r="C78">
            <v>404794.08985488699</v>
          </cell>
          <cell r="D78">
            <v>3.2</v>
          </cell>
          <cell r="E78">
            <v>1</v>
          </cell>
          <cell r="F78">
            <v>0</v>
          </cell>
        </row>
        <row r="79">
          <cell r="A79" t="str">
            <v>H169</v>
          </cell>
          <cell r="B79">
            <v>6596166.6428046003</v>
          </cell>
          <cell r="C79">
            <v>655840.61270447995</v>
          </cell>
          <cell r="D79">
            <v>38.6</v>
          </cell>
          <cell r="E79">
            <v>1</v>
          </cell>
          <cell r="F79">
            <v>0</v>
          </cell>
        </row>
        <row r="80">
          <cell r="A80" t="str">
            <v>H17</v>
          </cell>
          <cell r="B80">
            <v>6493900.5539999995</v>
          </cell>
          <cell r="C80">
            <v>441842.95799999998</v>
          </cell>
          <cell r="D80">
            <v>2.58</v>
          </cell>
          <cell r="E80">
            <v>1</v>
          </cell>
          <cell r="F80">
            <v>0</v>
          </cell>
        </row>
        <row r="81">
          <cell r="A81" t="str">
            <v>H170</v>
          </cell>
          <cell r="B81">
            <v>6592745.79653644</v>
          </cell>
          <cell r="C81">
            <v>672954.13078504696</v>
          </cell>
          <cell r="D81">
            <v>17.670000000000002</v>
          </cell>
          <cell r="E81">
            <v>1</v>
          </cell>
          <cell r="F81">
            <v>0</v>
          </cell>
        </row>
        <row r="82">
          <cell r="A82" t="str">
            <v>H171</v>
          </cell>
          <cell r="B82">
            <v>6590060.6965823397</v>
          </cell>
          <cell r="C82">
            <v>521131.50742741901</v>
          </cell>
          <cell r="D82">
            <v>0.28235300000000002</v>
          </cell>
          <cell r="E82">
            <v>1</v>
          </cell>
          <cell r="F82">
            <v>0</v>
          </cell>
        </row>
        <row r="83">
          <cell r="A83" t="str">
            <v>H172</v>
          </cell>
          <cell r="B83">
            <v>6591622.6607636902</v>
          </cell>
          <cell r="C83">
            <v>667154.71976318397</v>
          </cell>
          <cell r="D83">
            <v>0</v>
          </cell>
          <cell r="E83">
            <v>0</v>
          </cell>
          <cell r="F83">
            <v>1</v>
          </cell>
        </row>
        <row r="84">
          <cell r="A84" t="str">
            <v>H173</v>
          </cell>
          <cell r="B84">
            <v>6589404.1536645098</v>
          </cell>
          <cell r="C84">
            <v>575348.99238033802</v>
          </cell>
          <cell r="D84">
            <v>0.85899999999999999</v>
          </cell>
          <cell r="E84">
            <v>1</v>
          </cell>
          <cell r="F84">
            <v>0</v>
          </cell>
        </row>
        <row r="85">
          <cell r="A85" t="str">
            <v>H174</v>
          </cell>
          <cell r="B85">
            <v>6589922.8736690097</v>
          </cell>
          <cell r="C85">
            <v>690243.69264328701</v>
          </cell>
          <cell r="D85">
            <v>25.4</v>
          </cell>
          <cell r="E85">
            <v>1</v>
          </cell>
          <cell r="F85">
            <v>0</v>
          </cell>
        </row>
        <row r="86">
          <cell r="A86" t="str">
            <v>H175</v>
          </cell>
          <cell r="B86">
            <v>6588250.2417551801</v>
          </cell>
          <cell r="C86">
            <v>663030.31727310398</v>
          </cell>
          <cell r="D86">
            <v>47</v>
          </cell>
          <cell r="E86">
            <v>1</v>
          </cell>
          <cell r="F86">
            <v>0</v>
          </cell>
        </row>
        <row r="87">
          <cell r="A87" t="str">
            <v>H176</v>
          </cell>
          <cell r="B87">
            <v>6586695.0963807702</v>
          </cell>
          <cell r="C87">
            <v>583369.67015643895</v>
          </cell>
          <cell r="D87">
            <v>840.18100000000004</v>
          </cell>
          <cell r="E87">
            <v>0.6537166947161448</v>
          </cell>
          <cell r="F87">
            <v>0.3462833052838552</v>
          </cell>
        </row>
        <row r="88">
          <cell r="A88" t="str">
            <v>H177</v>
          </cell>
          <cell r="B88">
            <v>6585991.0794471595</v>
          </cell>
          <cell r="C88">
            <v>562145.06770080398</v>
          </cell>
          <cell r="D88">
            <v>21.68</v>
          </cell>
          <cell r="E88">
            <v>1</v>
          </cell>
          <cell r="F88">
            <v>0</v>
          </cell>
        </row>
        <row r="89">
          <cell r="A89" t="str">
            <v>H178</v>
          </cell>
          <cell r="B89">
            <v>6584117.3427056</v>
          </cell>
          <cell r="C89">
            <v>668508.46280014899</v>
          </cell>
          <cell r="D89">
            <v>192.54</v>
          </cell>
          <cell r="E89">
            <v>1</v>
          </cell>
          <cell r="F89">
            <v>0</v>
          </cell>
        </row>
        <row r="90">
          <cell r="A90" t="str">
            <v>H179</v>
          </cell>
          <cell r="B90">
            <v>6582451.2161913197</v>
          </cell>
          <cell r="C90">
            <v>548039.13636567502</v>
          </cell>
          <cell r="D90">
            <v>105.2</v>
          </cell>
          <cell r="E90">
            <v>1</v>
          </cell>
          <cell r="F90">
            <v>0</v>
          </cell>
        </row>
        <row r="91">
          <cell r="A91" t="str">
            <v>H18</v>
          </cell>
          <cell r="B91">
            <v>6471649.6129999999</v>
          </cell>
          <cell r="C91">
            <v>324810.299</v>
          </cell>
          <cell r="D91">
            <v>9.5340000000000007</v>
          </cell>
          <cell r="E91">
            <v>1</v>
          </cell>
          <cell r="F91">
            <v>0</v>
          </cell>
        </row>
        <row r="92">
          <cell r="A92" t="str">
            <v>H180</v>
          </cell>
          <cell r="B92">
            <v>6582933.0809581401</v>
          </cell>
          <cell r="C92">
            <v>615148.41691129596</v>
          </cell>
          <cell r="D92">
            <v>49.676700000000004</v>
          </cell>
          <cell r="E92">
            <v>0.92862954605386328</v>
          </cell>
          <cell r="F92">
            <v>7.1370453946136725E-2</v>
          </cell>
        </row>
        <row r="93">
          <cell r="A93" t="str">
            <v>H181</v>
          </cell>
          <cell r="B93">
            <v>6583451.2433470301</v>
          </cell>
          <cell r="C93">
            <v>676414.23453874304</v>
          </cell>
          <cell r="D93">
            <v>3070.8997477699995</v>
          </cell>
          <cell r="E93">
            <v>0.53667543674173979</v>
          </cell>
          <cell r="F93">
            <v>0.46332456325826021</v>
          </cell>
        </row>
        <row r="94">
          <cell r="A94" t="str">
            <v>H182</v>
          </cell>
          <cell r="B94">
            <v>6579971.9682882903</v>
          </cell>
          <cell r="C94">
            <v>414797.68009715597</v>
          </cell>
          <cell r="D94">
            <v>559.952</v>
          </cell>
          <cell r="E94">
            <v>0.60849749889722893</v>
          </cell>
          <cell r="F94">
            <v>0.39150250110277107</v>
          </cell>
        </row>
        <row r="95">
          <cell r="A95" t="str">
            <v>H183</v>
          </cell>
          <cell r="B95">
            <v>6581384.0617712401</v>
          </cell>
          <cell r="C95">
            <v>692633.83456328104</v>
          </cell>
          <cell r="D95">
            <v>46.97</v>
          </cell>
          <cell r="E95">
            <v>1</v>
          </cell>
          <cell r="F95">
            <v>0</v>
          </cell>
        </row>
        <row r="96">
          <cell r="A96" t="str">
            <v>H184</v>
          </cell>
          <cell r="B96">
            <v>6575968.73078153</v>
          </cell>
          <cell r="C96">
            <v>391840.89785756101</v>
          </cell>
          <cell r="D96">
            <v>0.74157300000000004</v>
          </cell>
          <cell r="E96">
            <v>1</v>
          </cell>
          <cell r="F96">
            <v>0</v>
          </cell>
        </row>
        <row r="97">
          <cell r="A97" t="str">
            <v>H185</v>
          </cell>
          <cell r="B97">
            <v>6574775.4137367699</v>
          </cell>
          <cell r="C97">
            <v>473439.92237568297</v>
          </cell>
          <cell r="D97">
            <v>6.2479800000000001</v>
          </cell>
          <cell r="E97">
            <v>1</v>
          </cell>
          <cell r="F97">
            <v>0</v>
          </cell>
        </row>
        <row r="98">
          <cell r="A98" t="str">
            <v>H186</v>
          </cell>
          <cell r="B98">
            <v>6573975.4542763801</v>
          </cell>
          <cell r="C98">
            <v>413209.036757264</v>
          </cell>
          <cell r="D98">
            <v>3.7</v>
          </cell>
          <cell r="E98">
            <v>1</v>
          </cell>
          <cell r="F98">
            <v>0</v>
          </cell>
        </row>
        <row r="99">
          <cell r="A99" t="str">
            <v>H187</v>
          </cell>
          <cell r="B99">
            <v>6575676.0901075304</v>
          </cell>
          <cell r="C99">
            <v>688522.55609687103</v>
          </cell>
          <cell r="D99">
            <v>0</v>
          </cell>
          <cell r="E99">
            <v>0</v>
          </cell>
          <cell r="F99">
            <v>1</v>
          </cell>
        </row>
        <row r="100">
          <cell r="A100" t="str">
            <v>H188</v>
          </cell>
          <cell r="B100">
            <v>6572729.1151620001</v>
          </cell>
          <cell r="C100">
            <v>449311.39347196801</v>
          </cell>
          <cell r="D100">
            <v>100.31099999999999</v>
          </cell>
          <cell r="E100">
            <v>1</v>
          </cell>
          <cell r="F100">
            <v>0</v>
          </cell>
        </row>
        <row r="101">
          <cell r="A101" t="str">
            <v>H189</v>
          </cell>
          <cell r="B101">
            <v>6571803.3609952796</v>
          </cell>
          <cell r="C101">
            <v>595625.86001840502</v>
          </cell>
          <cell r="D101">
            <v>5.3819999999999997</v>
          </cell>
          <cell r="E101">
            <v>1</v>
          </cell>
          <cell r="F101">
            <v>0</v>
          </cell>
        </row>
        <row r="102">
          <cell r="A102" t="str">
            <v>H19</v>
          </cell>
          <cell r="B102">
            <v>6460284.2180000003</v>
          </cell>
          <cell r="C102">
            <v>425405.42099999997</v>
          </cell>
          <cell r="D102">
            <v>4.2270000000000003</v>
          </cell>
          <cell r="E102">
            <v>1</v>
          </cell>
          <cell r="F102">
            <v>0</v>
          </cell>
        </row>
        <row r="103">
          <cell r="A103" t="str">
            <v>H190</v>
          </cell>
          <cell r="B103">
            <v>6568953.06850967</v>
          </cell>
          <cell r="C103">
            <v>512314.14833744499</v>
          </cell>
          <cell r="D103">
            <v>894.22490000000005</v>
          </cell>
          <cell r="E103">
            <v>0.5160934166635075</v>
          </cell>
          <cell r="F103">
            <v>0.4839065833364925</v>
          </cell>
        </row>
        <row r="104">
          <cell r="A104" t="str">
            <v>H191</v>
          </cell>
          <cell r="B104">
            <v>6563924.7894626204</v>
          </cell>
          <cell r="C104">
            <v>467500.55891205597</v>
          </cell>
          <cell r="D104">
            <v>44.045000000000002</v>
          </cell>
          <cell r="E104">
            <v>1</v>
          </cell>
          <cell r="F104">
            <v>0</v>
          </cell>
        </row>
        <row r="105">
          <cell r="A105" t="str">
            <v>H192</v>
          </cell>
          <cell r="B105">
            <v>6563947.8330924697</v>
          </cell>
          <cell r="C105">
            <v>649828.96672664199</v>
          </cell>
          <cell r="D105">
            <v>249.8617064</v>
          </cell>
          <cell r="E105">
            <v>0.47417560510342727</v>
          </cell>
          <cell r="F105">
            <v>0.52582439489657273</v>
          </cell>
        </row>
        <row r="106">
          <cell r="A106" t="str">
            <v>H193</v>
          </cell>
          <cell r="B106">
            <v>6563596.8155395696</v>
          </cell>
          <cell r="C106">
            <v>671486.37453514605</v>
          </cell>
          <cell r="D106">
            <v>297.8945435</v>
          </cell>
          <cell r="E106">
            <v>0.47454721322475912</v>
          </cell>
          <cell r="F106">
            <v>0.52545278677524088</v>
          </cell>
        </row>
        <row r="107">
          <cell r="A107" t="str">
            <v>H194</v>
          </cell>
          <cell r="B107">
            <v>6562978.7153409896</v>
          </cell>
          <cell r="C107">
            <v>679242.60432613804</v>
          </cell>
          <cell r="D107">
            <v>157.13</v>
          </cell>
          <cell r="E107">
            <v>1</v>
          </cell>
          <cell r="F107">
            <v>0</v>
          </cell>
        </row>
        <row r="108">
          <cell r="A108" t="str">
            <v>H195</v>
          </cell>
          <cell r="B108">
            <v>6554483.0642691199</v>
          </cell>
          <cell r="C108">
            <v>380591.37503644498</v>
          </cell>
          <cell r="D108">
            <v>33.186999999999998</v>
          </cell>
          <cell r="E108">
            <v>1</v>
          </cell>
          <cell r="F108">
            <v>0</v>
          </cell>
        </row>
        <row r="109">
          <cell r="A109" t="str">
            <v>H196</v>
          </cell>
          <cell r="B109">
            <v>6554766.5836405298</v>
          </cell>
          <cell r="C109">
            <v>599428.932628109</v>
          </cell>
          <cell r="D109">
            <v>18.8</v>
          </cell>
          <cell r="E109">
            <v>1</v>
          </cell>
          <cell r="F109">
            <v>0</v>
          </cell>
        </row>
        <row r="110">
          <cell r="A110" t="str">
            <v>H197</v>
          </cell>
          <cell r="B110">
            <v>6551908.4967822004</v>
          </cell>
          <cell r="C110">
            <v>472462.87087711698</v>
          </cell>
          <cell r="D110">
            <v>1.851</v>
          </cell>
          <cell r="E110">
            <v>1</v>
          </cell>
          <cell r="F110">
            <v>0</v>
          </cell>
        </row>
        <row r="111">
          <cell r="A111" t="str">
            <v>H198</v>
          </cell>
          <cell r="B111">
            <v>6553207.9145811498</v>
          </cell>
          <cell r="C111">
            <v>647184.29216249904</v>
          </cell>
          <cell r="D111">
            <v>6.3390000000000004</v>
          </cell>
          <cell r="E111">
            <v>1</v>
          </cell>
          <cell r="F111">
            <v>0</v>
          </cell>
        </row>
        <row r="112">
          <cell r="A112" t="str">
            <v>H199</v>
          </cell>
          <cell r="B112">
            <v>6550856.85231735</v>
          </cell>
          <cell r="C112">
            <v>463684.045244465</v>
          </cell>
          <cell r="D112">
            <v>0.60399999999999998</v>
          </cell>
          <cell r="E112">
            <v>1</v>
          </cell>
          <cell r="F112">
            <v>0</v>
          </cell>
        </row>
        <row r="113">
          <cell r="A113" t="str">
            <v>H2</v>
          </cell>
          <cell r="B113">
            <v>6486670.801</v>
          </cell>
          <cell r="C113">
            <v>393503.21799999999</v>
          </cell>
          <cell r="D113">
            <v>0</v>
          </cell>
          <cell r="E113">
            <v>0</v>
          </cell>
          <cell r="F113">
            <v>1</v>
          </cell>
        </row>
        <row r="114">
          <cell r="A114" t="str">
            <v>H20</v>
          </cell>
          <cell r="B114">
            <v>6452722.7529999996</v>
          </cell>
          <cell r="C114">
            <v>593948.35900000005</v>
          </cell>
          <cell r="D114">
            <v>17.184000000000001</v>
          </cell>
          <cell r="E114">
            <v>1</v>
          </cell>
          <cell r="F114">
            <v>0</v>
          </cell>
        </row>
        <row r="115">
          <cell r="A115" t="str">
            <v>H200</v>
          </cell>
          <cell r="B115">
            <v>6544397.8065401101</v>
          </cell>
          <cell r="C115">
            <v>367986.565930599</v>
          </cell>
          <cell r="D115">
            <v>42.57</v>
          </cell>
          <cell r="E115">
            <v>1</v>
          </cell>
          <cell r="F115">
            <v>0</v>
          </cell>
        </row>
        <row r="116">
          <cell r="A116" t="str">
            <v>H201</v>
          </cell>
          <cell r="B116">
            <v>6542731.1812431403</v>
          </cell>
          <cell r="C116">
            <v>340210.273453245</v>
          </cell>
          <cell r="D116">
            <v>3.1</v>
          </cell>
          <cell r="E116">
            <v>1</v>
          </cell>
          <cell r="F116">
            <v>0</v>
          </cell>
        </row>
        <row r="117">
          <cell r="A117" t="str">
            <v>H202</v>
          </cell>
          <cell r="B117">
            <v>6539363.08786688</v>
          </cell>
          <cell r="C117">
            <v>569401.82564115396</v>
          </cell>
          <cell r="D117">
            <v>49.89996</v>
          </cell>
          <cell r="E117">
            <v>0.926674893629301</v>
          </cell>
          <cell r="F117">
            <v>7.3325106370699E-2</v>
          </cell>
        </row>
        <row r="118">
          <cell r="A118" t="str">
            <v>H203</v>
          </cell>
          <cell r="B118">
            <v>6536372.1978897704</v>
          </cell>
          <cell r="C118">
            <v>477986.29937446897</v>
          </cell>
          <cell r="D118">
            <v>36.855000000000004</v>
          </cell>
          <cell r="E118">
            <v>1</v>
          </cell>
          <cell r="F118">
            <v>0</v>
          </cell>
        </row>
        <row r="119">
          <cell r="A119" t="str">
            <v>H204</v>
          </cell>
          <cell r="B119">
            <v>6535513.4272542</v>
          </cell>
          <cell r="C119">
            <v>448467.50395467703</v>
          </cell>
          <cell r="D119">
            <v>5.63</v>
          </cell>
          <cell r="E119">
            <v>1</v>
          </cell>
          <cell r="F119">
            <v>0</v>
          </cell>
        </row>
        <row r="120">
          <cell r="A120" t="str">
            <v>H205</v>
          </cell>
          <cell r="B120">
            <v>6536367.1170061603</v>
          </cell>
          <cell r="C120">
            <v>643119.38442777004</v>
          </cell>
          <cell r="D120">
            <v>10.600000000000001</v>
          </cell>
          <cell r="E120">
            <v>1</v>
          </cell>
          <cell r="F120">
            <v>0</v>
          </cell>
        </row>
        <row r="121">
          <cell r="A121" t="str">
            <v>H206</v>
          </cell>
          <cell r="B121">
            <v>6529753.4372647898</v>
          </cell>
          <cell r="C121">
            <v>323817.96305792301</v>
          </cell>
          <cell r="D121">
            <v>9</v>
          </cell>
          <cell r="E121">
            <v>1</v>
          </cell>
          <cell r="F121">
            <v>0</v>
          </cell>
        </row>
        <row r="122">
          <cell r="A122" t="str">
            <v>H207</v>
          </cell>
          <cell r="B122">
            <v>6533451.9096664796</v>
          </cell>
          <cell r="C122">
            <v>670170.64406811504</v>
          </cell>
          <cell r="D122">
            <v>26.299031999999997</v>
          </cell>
          <cell r="E122">
            <v>1</v>
          </cell>
          <cell r="F122">
            <v>0</v>
          </cell>
        </row>
        <row r="123">
          <cell r="A123" t="str">
            <v>H208</v>
          </cell>
          <cell r="B123">
            <v>6530893.2141135</v>
          </cell>
          <cell r="C123">
            <v>646853.669883052</v>
          </cell>
          <cell r="D123">
            <v>23.47</v>
          </cell>
          <cell r="E123">
            <v>1</v>
          </cell>
          <cell r="F123">
            <v>0</v>
          </cell>
        </row>
        <row r="124">
          <cell r="A124" t="str">
            <v>H209</v>
          </cell>
          <cell r="B124">
            <v>6524331.4128970001</v>
          </cell>
          <cell r="C124">
            <v>494466.28884902399</v>
          </cell>
          <cell r="D124">
            <v>19.759999999999998</v>
          </cell>
          <cell r="E124">
            <v>1</v>
          </cell>
          <cell r="F124">
            <v>0</v>
          </cell>
        </row>
        <row r="125">
          <cell r="A125" t="str">
            <v>H21</v>
          </cell>
          <cell r="B125">
            <v>6451778.9539999999</v>
          </cell>
          <cell r="C125">
            <v>365615.28700000001</v>
          </cell>
          <cell r="D125">
            <v>10.7</v>
          </cell>
          <cell r="E125">
            <v>1</v>
          </cell>
          <cell r="F125">
            <v>0</v>
          </cell>
        </row>
        <row r="126">
          <cell r="A126" t="str">
            <v>H210</v>
          </cell>
          <cell r="B126">
            <v>6514490.23109926</v>
          </cell>
          <cell r="C126">
            <v>617018.51149125304</v>
          </cell>
          <cell r="D126">
            <v>70.792999999999992</v>
          </cell>
          <cell r="E126">
            <v>0.7916221713704551</v>
          </cell>
          <cell r="F126">
            <v>0.2083778286295449</v>
          </cell>
        </row>
        <row r="127">
          <cell r="A127" t="str">
            <v>H211</v>
          </cell>
          <cell r="B127">
            <v>6505435.6385562504</v>
          </cell>
          <cell r="C127">
            <v>431893.95748978801</v>
          </cell>
          <cell r="D127">
            <v>0</v>
          </cell>
          <cell r="E127">
            <v>0</v>
          </cell>
          <cell r="F127">
            <v>1</v>
          </cell>
        </row>
        <row r="128">
          <cell r="A128" t="str">
            <v>H212</v>
          </cell>
          <cell r="B128">
            <v>6505697.2930237101</v>
          </cell>
          <cell r="C128">
            <v>546600.07211426401</v>
          </cell>
          <cell r="D128">
            <v>38.700000000000003</v>
          </cell>
          <cell r="E128">
            <v>1</v>
          </cell>
          <cell r="F128">
            <v>0</v>
          </cell>
        </row>
        <row r="129">
          <cell r="A129" t="str">
            <v>H213</v>
          </cell>
          <cell r="B129">
            <v>6506474.6019017398</v>
          </cell>
          <cell r="C129">
            <v>618644.59378443297</v>
          </cell>
          <cell r="D129">
            <v>0</v>
          </cell>
          <cell r="E129">
            <v>0</v>
          </cell>
          <cell r="F129">
            <v>1</v>
          </cell>
        </row>
        <row r="130">
          <cell r="A130" t="str">
            <v>H214</v>
          </cell>
          <cell r="B130">
            <v>6504091.8743293602</v>
          </cell>
          <cell r="C130">
            <v>449156.725453989</v>
          </cell>
          <cell r="D130">
            <v>30.057999999999996</v>
          </cell>
          <cell r="E130">
            <v>1</v>
          </cell>
          <cell r="F130">
            <v>0</v>
          </cell>
        </row>
        <row r="131">
          <cell r="A131" t="str">
            <v>H215</v>
          </cell>
          <cell r="B131">
            <v>6496730.7470791303</v>
          </cell>
          <cell r="C131">
            <v>409124.92626828502</v>
          </cell>
          <cell r="D131">
            <v>0.17</v>
          </cell>
          <cell r="E131">
            <v>1</v>
          </cell>
          <cell r="F131">
            <v>0</v>
          </cell>
        </row>
        <row r="132">
          <cell r="A132" t="str">
            <v>H216</v>
          </cell>
          <cell r="B132">
            <v>6494326.8668242795</v>
          </cell>
          <cell r="C132">
            <v>568914.189517722</v>
          </cell>
          <cell r="D132">
            <v>84.300000000000011</v>
          </cell>
          <cell r="E132">
            <v>0.57355784628889328</v>
          </cell>
          <cell r="F132">
            <v>0.42644215371110672</v>
          </cell>
        </row>
        <row r="133">
          <cell r="A133" t="str">
            <v>H217</v>
          </cell>
          <cell r="B133">
            <v>6492173.5622671898</v>
          </cell>
          <cell r="C133">
            <v>554019.37479658204</v>
          </cell>
          <cell r="D133">
            <v>10.235300000000001</v>
          </cell>
          <cell r="E133">
            <v>1</v>
          </cell>
          <cell r="F133">
            <v>0</v>
          </cell>
        </row>
        <row r="134">
          <cell r="A134" t="str">
            <v>H218</v>
          </cell>
          <cell r="B134">
            <v>6489358.4530394701</v>
          </cell>
          <cell r="C134">
            <v>516384.234400735</v>
          </cell>
          <cell r="D134">
            <v>16.27</v>
          </cell>
          <cell r="E134">
            <v>1</v>
          </cell>
          <cell r="F134">
            <v>0</v>
          </cell>
        </row>
        <row r="135">
          <cell r="A135" t="str">
            <v>H219</v>
          </cell>
          <cell r="B135">
            <v>6486497.2079723701</v>
          </cell>
          <cell r="C135">
            <v>502872.31564512203</v>
          </cell>
          <cell r="D135">
            <v>194.77997800000003</v>
          </cell>
          <cell r="E135">
            <v>0.84221299063402377</v>
          </cell>
          <cell r="F135">
            <v>0.15778700936597623</v>
          </cell>
        </row>
        <row r="136">
          <cell r="A136" t="str">
            <v>H22</v>
          </cell>
          <cell r="B136">
            <v>6439280.6780000003</v>
          </cell>
          <cell r="C136">
            <v>383786.61</v>
          </cell>
          <cell r="D136">
            <v>26.267099999999999</v>
          </cell>
          <cell r="E136">
            <v>1</v>
          </cell>
          <cell r="F136">
            <v>0</v>
          </cell>
        </row>
        <row r="137">
          <cell r="A137" t="str">
            <v>H220</v>
          </cell>
          <cell r="B137">
            <v>6484991.5430807704</v>
          </cell>
          <cell r="C137">
            <v>427807.475631779</v>
          </cell>
          <cell r="D137">
            <v>3.9510000000000001</v>
          </cell>
          <cell r="E137">
            <v>1</v>
          </cell>
          <cell r="F137">
            <v>0</v>
          </cell>
        </row>
        <row r="138">
          <cell r="A138" t="str">
            <v>H221</v>
          </cell>
          <cell r="B138">
            <v>6484777.7908117501</v>
          </cell>
          <cell r="C138">
            <v>410580.86241337197</v>
          </cell>
          <cell r="D138">
            <v>134.565</v>
          </cell>
          <cell r="E138">
            <v>1</v>
          </cell>
          <cell r="F138">
            <v>0</v>
          </cell>
        </row>
        <row r="139">
          <cell r="A139" t="str">
            <v>H222</v>
          </cell>
          <cell r="B139">
            <v>6485102.3089768998</v>
          </cell>
          <cell r="C139">
            <v>471518.83771762502</v>
          </cell>
          <cell r="D139">
            <v>18.353000000000002</v>
          </cell>
          <cell r="E139">
            <v>1</v>
          </cell>
          <cell r="F139">
            <v>0</v>
          </cell>
        </row>
        <row r="140">
          <cell r="A140" t="str">
            <v>H223</v>
          </cell>
          <cell r="B140">
            <v>6481556.3654090799</v>
          </cell>
          <cell r="C140">
            <v>306486.093435977</v>
          </cell>
          <cell r="D140">
            <v>8.9610000000000003</v>
          </cell>
          <cell r="E140">
            <v>1</v>
          </cell>
          <cell r="F140">
            <v>0</v>
          </cell>
        </row>
        <row r="141">
          <cell r="A141" t="str">
            <v>H224</v>
          </cell>
          <cell r="B141">
            <v>6481592.1806650804</v>
          </cell>
          <cell r="C141">
            <v>394079.92340773903</v>
          </cell>
          <cell r="D141">
            <v>0</v>
          </cell>
          <cell r="E141">
            <v>0</v>
          </cell>
          <cell r="F141">
            <v>1</v>
          </cell>
        </row>
        <row r="142">
          <cell r="A142" t="str">
            <v>H225</v>
          </cell>
          <cell r="B142">
            <v>6479885.4126971401</v>
          </cell>
          <cell r="C142">
            <v>434106.99523757101</v>
          </cell>
          <cell r="D142">
            <v>5.34</v>
          </cell>
          <cell r="E142">
            <v>1</v>
          </cell>
          <cell r="F142">
            <v>0</v>
          </cell>
        </row>
        <row r="143">
          <cell r="A143" t="str">
            <v>H226</v>
          </cell>
          <cell r="B143">
            <v>6475349.2023807801</v>
          </cell>
          <cell r="C143">
            <v>450013.61398812197</v>
          </cell>
          <cell r="D143">
            <v>69.399999999999991</v>
          </cell>
          <cell r="E143">
            <v>1</v>
          </cell>
          <cell r="F143">
            <v>0</v>
          </cell>
        </row>
        <row r="144">
          <cell r="A144" t="str">
            <v>H227</v>
          </cell>
          <cell r="B144">
            <v>6473956.0641298797</v>
          </cell>
          <cell r="C144">
            <v>538345.82955567096</v>
          </cell>
          <cell r="D144">
            <v>60.400000000000006</v>
          </cell>
          <cell r="E144">
            <v>0.60429463088359459</v>
          </cell>
          <cell r="F144">
            <v>0.39570536911640541</v>
          </cell>
        </row>
        <row r="145">
          <cell r="A145" t="str">
            <v>H228</v>
          </cell>
          <cell r="B145">
            <v>6469794.3837224897</v>
          </cell>
          <cell r="C145">
            <v>344342.97010892199</v>
          </cell>
          <cell r="D145">
            <v>0</v>
          </cell>
          <cell r="E145">
            <v>0</v>
          </cell>
          <cell r="F145">
            <v>1</v>
          </cell>
        </row>
        <row r="146">
          <cell r="A146" t="str">
            <v>H229</v>
          </cell>
          <cell r="B146">
            <v>6469257.7166812401</v>
          </cell>
          <cell r="C146">
            <v>408972.83531492401</v>
          </cell>
          <cell r="D146">
            <v>93</v>
          </cell>
          <cell r="E146">
            <v>1</v>
          </cell>
          <cell r="F146">
            <v>0</v>
          </cell>
        </row>
        <row r="147">
          <cell r="A147" t="str">
            <v>H23</v>
          </cell>
          <cell r="B147">
            <v>6412295.227</v>
          </cell>
          <cell r="C147">
            <v>407222.46100000001</v>
          </cell>
          <cell r="D147">
            <v>1.1273200000000001</v>
          </cell>
          <cell r="E147">
            <v>1</v>
          </cell>
          <cell r="F147">
            <v>0</v>
          </cell>
        </row>
        <row r="148">
          <cell r="A148" t="str">
            <v>H230</v>
          </cell>
          <cell r="B148">
            <v>6467420.7700494602</v>
          </cell>
          <cell r="C148">
            <v>321004.390855101</v>
          </cell>
          <cell r="D148">
            <v>51.060436000000003</v>
          </cell>
          <cell r="E148">
            <v>1</v>
          </cell>
          <cell r="F148">
            <v>0</v>
          </cell>
        </row>
        <row r="149">
          <cell r="A149" t="str">
            <v>H231</v>
          </cell>
          <cell r="B149">
            <v>6465572.8515754398</v>
          </cell>
          <cell r="C149">
            <v>431618.73514961201</v>
          </cell>
          <cell r="D149">
            <v>292.87700000000001</v>
          </cell>
          <cell r="E149">
            <v>0.83668967966183871</v>
          </cell>
          <cell r="F149">
            <v>0.16331032033816129</v>
          </cell>
        </row>
        <row r="150">
          <cell r="A150" t="str">
            <v>H232</v>
          </cell>
          <cell r="B150">
            <v>6464315.9262228701</v>
          </cell>
          <cell r="C150">
            <v>364161.15732390399</v>
          </cell>
          <cell r="D150">
            <v>12.14</v>
          </cell>
          <cell r="E150">
            <v>1</v>
          </cell>
          <cell r="F150">
            <v>0</v>
          </cell>
        </row>
        <row r="151">
          <cell r="A151" t="str">
            <v>H233</v>
          </cell>
          <cell r="B151">
            <v>6464761.5283474699</v>
          </cell>
          <cell r="C151">
            <v>431311.59354498098</v>
          </cell>
          <cell r="D151">
            <v>12.6</v>
          </cell>
          <cell r="E151">
            <v>1</v>
          </cell>
          <cell r="F151">
            <v>0</v>
          </cell>
        </row>
        <row r="152">
          <cell r="A152" t="str">
            <v>H234</v>
          </cell>
          <cell r="B152">
            <v>6460338.6851796303</v>
          </cell>
          <cell r="C152">
            <v>291796.41974405001</v>
          </cell>
          <cell r="D152">
            <v>0</v>
          </cell>
          <cell r="E152">
            <v>0</v>
          </cell>
          <cell r="F152">
            <v>1</v>
          </cell>
        </row>
        <row r="153">
          <cell r="A153" t="str">
            <v>H235</v>
          </cell>
          <cell r="B153">
            <v>6462620.61407845</v>
          </cell>
          <cell r="C153">
            <v>507869.87634178298</v>
          </cell>
          <cell r="D153">
            <v>215.01202000000001</v>
          </cell>
          <cell r="E153">
            <v>0.64334736566185613</v>
          </cell>
          <cell r="F153">
            <v>0.35665263433814387</v>
          </cell>
        </row>
        <row r="154">
          <cell r="A154" t="str">
            <v>H236</v>
          </cell>
          <cell r="B154">
            <v>6459951.5511551704</v>
          </cell>
          <cell r="C154">
            <v>341575.48158309702</v>
          </cell>
          <cell r="D154">
            <v>297.40019999999998</v>
          </cell>
          <cell r="E154">
            <v>0.92817715597650596</v>
          </cell>
          <cell r="F154">
            <v>7.1822844023494037E-2</v>
          </cell>
        </row>
        <row r="155">
          <cell r="A155" t="str">
            <v>H237</v>
          </cell>
          <cell r="B155">
            <v>6460070.8804642102</v>
          </cell>
          <cell r="C155">
            <v>393603.25299407402</v>
          </cell>
          <cell r="D155">
            <v>5.5600000000000005</v>
          </cell>
          <cell r="E155">
            <v>1</v>
          </cell>
          <cell r="F155">
            <v>0</v>
          </cell>
        </row>
        <row r="156">
          <cell r="A156" t="str">
            <v>H238</v>
          </cell>
          <cell r="B156">
            <v>6459858.0717770597</v>
          </cell>
          <cell r="C156">
            <v>458310.85179008899</v>
          </cell>
          <cell r="D156">
            <v>42.8</v>
          </cell>
          <cell r="E156">
            <v>1</v>
          </cell>
          <cell r="F156">
            <v>0</v>
          </cell>
        </row>
        <row r="157">
          <cell r="A157" t="str">
            <v>H239</v>
          </cell>
          <cell r="B157">
            <v>6456080.9095016504</v>
          </cell>
          <cell r="C157">
            <v>380334.58423816698</v>
          </cell>
          <cell r="D157">
            <v>44.372820000000004</v>
          </cell>
          <cell r="E157">
            <v>1</v>
          </cell>
          <cell r="F157">
            <v>0</v>
          </cell>
        </row>
        <row r="158">
          <cell r="A158" t="str">
            <v>H24</v>
          </cell>
          <cell r="B158">
            <v>6411344.2110000001</v>
          </cell>
          <cell r="C158">
            <v>489900.27500000002</v>
          </cell>
          <cell r="D158">
            <v>36.230000000000004</v>
          </cell>
          <cell r="E158">
            <v>1</v>
          </cell>
          <cell r="F158">
            <v>0</v>
          </cell>
        </row>
        <row r="159">
          <cell r="A159" t="str">
            <v>H240</v>
          </cell>
          <cell r="B159">
            <v>6452318.0126762902</v>
          </cell>
          <cell r="C159">
            <v>319054.51244884299</v>
          </cell>
          <cell r="D159">
            <v>5.4180000000000001</v>
          </cell>
          <cell r="E159">
            <v>1</v>
          </cell>
          <cell r="F159">
            <v>0</v>
          </cell>
        </row>
        <row r="160">
          <cell r="A160" t="str">
            <v>H241</v>
          </cell>
          <cell r="B160">
            <v>6451565.5104311304</v>
          </cell>
          <cell r="C160">
            <v>478870.94186812697</v>
          </cell>
          <cell r="D160">
            <v>16.850000000000001</v>
          </cell>
          <cell r="E160">
            <v>1</v>
          </cell>
          <cell r="F160">
            <v>0</v>
          </cell>
        </row>
        <row r="161">
          <cell r="A161" t="str">
            <v>H242</v>
          </cell>
          <cell r="B161">
            <v>6449611.4706640104</v>
          </cell>
          <cell r="C161">
            <v>492345.22179132001</v>
          </cell>
          <cell r="D161">
            <v>29.163</v>
          </cell>
          <cell r="E161">
            <v>1</v>
          </cell>
          <cell r="F161">
            <v>0</v>
          </cell>
        </row>
        <row r="162">
          <cell r="A162" t="str">
            <v>H243</v>
          </cell>
          <cell r="B162">
            <v>6449761.8506036</v>
          </cell>
          <cell r="C162">
            <v>558752.36921642802</v>
          </cell>
          <cell r="D162">
            <v>28.070590000000003</v>
          </cell>
          <cell r="E162">
            <v>1</v>
          </cell>
          <cell r="F162">
            <v>0</v>
          </cell>
        </row>
        <row r="163">
          <cell r="A163" t="str">
            <v>H244</v>
          </cell>
          <cell r="B163">
            <v>6448376.0865532197</v>
          </cell>
          <cell r="C163">
            <v>502557.275187577</v>
          </cell>
          <cell r="D163">
            <v>21.7</v>
          </cell>
          <cell r="E163">
            <v>1</v>
          </cell>
          <cell r="F163">
            <v>0</v>
          </cell>
        </row>
        <row r="164">
          <cell r="A164" t="str">
            <v>H245</v>
          </cell>
          <cell r="B164">
            <v>6446505.7736899303</v>
          </cell>
          <cell r="C164">
            <v>438850.873369804</v>
          </cell>
          <cell r="D164">
            <v>15.1363</v>
          </cell>
          <cell r="E164">
            <v>1</v>
          </cell>
          <cell r="F164">
            <v>0</v>
          </cell>
        </row>
        <row r="165">
          <cell r="A165" t="str">
            <v>H246</v>
          </cell>
          <cell r="B165">
            <v>6445873.5732541904</v>
          </cell>
          <cell r="C165">
            <v>414902.14150154399</v>
          </cell>
          <cell r="D165">
            <v>137.80000000000001</v>
          </cell>
          <cell r="E165">
            <v>0.79407544212306147</v>
          </cell>
          <cell r="F165">
            <v>0.20592455787693853</v>
          </cell>
        </row>
        <row r="166">
          <cell r="A166" t="str">
            <v>H247</v>
          </cell>
          <cell r="B166">
            <v>6441930.8082012003</v>
          </cell>
          <cell r="C166">
            <v>401975.35702913802</v>
          </cell>
          <cell r="D166">
            <v>12.1</v>
          </cell>
          <cell r="E166">
            <v>1</v>
          </cell>
          <cell r="F166">
            <v>0</v>
          </cell>
        </row>
        <row r="167">
          <cell r="A167" t="str">
            <v>H248</v>
          </cell>
          <cell r="B167">
            <v>6441087.4295596099</v>
          </cell>
          <cell r="C167">
            <v>331675.80442229699</v>
          </cell>
          <cell r="D167">
            <v>15.8</v>
          </cell>
          <cell r="E167">
            <v>1</v>
          </cell>
          <cell r="F167">
            <v>0</v>
          </cell>
        </row>
        <row r="168">
          <cell r="A168" t="str">
            <v>H249</v>
          </cell>
          <cell r="B168">
            <v>6436617.7458824096</v>
          </cell>
          <cell r="C168">
            <v>314350.11348870699</v>
          </cell>
          <cell r="D168">
            <v>0</v>
          </cell>
          <cell r="E168">
            <v>0</v>
          </cell>
          <cell r="F168">
            <v>1</v>
          </cell>
        </row>
        <row r="169">
          <cell r="A169" t="str">
            <v>H25</v>
          </cell>
          <cell r="B169">
            <v>6403600.9189999998</v>
          </cell>
          <cell r="C169">
            <v>331063.36700000003</v>
          </cell>
          <cell r="D169">
            <v>0</v>
          </cell>
          <cell r="E169">
            <v>0</v>
          </cell>
          <cell r="F169">
            <v>1</v>
          </cell>
        </row>
        <row r="170">
          <cell r="A170" t="str">
            <v>H250</v>
          </cell>
          <cell r="B170">
            <v>6431001.8169295201</v>
          </cell>
          <cell r="C170">
            <v>311323.012637173</v>
          </cell>
          <cell r="D170">
            <v>0.86</v>
          </cell>
          <cell r="E170">
            <v>1</v>
          </cell>
          <cell r="F170">
            <v>0</v>
          </cell>
        </row>
        <row r="171">
          <cell r="A171" t="str">
            <v>H251</v>
          </cell>
          <cell r="B171">
            <v>6430124.87155052</v>
          </cell>
          <cell r="C171">
            <v>498891.72700252797</v>
          </cell>
          <cell r="D171">
            <v>175.82</v>
          </cell>
          <cell r="E171">
            <v>0.67260224887812037</v>
          </cell>
          <cell r="F171">
            <v>0.32739775112187963</v>
          </cell>
        </row>
        <row r="172">
          <cell r="A172" t="str">
            <v>H252</v>
          </cell>
          <cell r="B172">
            <v>6428636.01133746</v>
          </cell>
          <cell r="C172">
            <v>468371.14864293899</v>
          </cell>
          <cell r="D172">
            <v>15.32</v>
          </cell>
          <cell r="E172">
            <v>1</v>
          </cell>
          <cell r="F172">
            <v>0</v>
          </cell>
        </row>
        <row r="173">
          <cell r="A173" t="str">
            <v>H253</v>
          </cell>
          <cell r="B173">
            <v>6425428.0269822301</v>
          </cell>
          <cell r="C173">
            <v>537555.60749056505</v>
          </cell>
          <cell r="D173">
            <v>24.823499999999999</v>
          </cell>
          <cell r="E173">
            <v>1</v>
          </cell>
          <cell r="F173">
            <v>0</v>
          </cell>
        </row>
        <row r="174">
          <cell r="A174" t="str">
            <v>H254</v>
          </cell>
          <cell r="B174">
            <v>6419358.5435363296</v>
          </cell>
          <cell r="C174">
            <v>353874.31957456702</v>
          </cell>
          <cell r="D174">
            <v>124.85</v>
          </cell>
          <cell r="E174">
            <v>1</v>
          </cell>
          <cell r="F174">
            <v>0</v>
          </cell>
        </row>
        <row r="175">
          <cell r="A175" t="str">
            <v>H255</v>
          </cell>
          <cell r="B175">
            <v>6416824.0025974596</v>
          </cell>
          <cell r="C175">
            <v>433598.71472676197</v>
          </cell>
          <cell r="D175">
            <v>26.400000000000002</v>
          </cell>
          <cell r="E175">
            <v>1</v>
          </cell>
          <cell r="F175">
            <v>0</v>
          </cell>
        </row>
        <row r="176">
          <cell r="A176" t="str">
            <v>H256</v>
          </cell>
          <cell r="B176">
            <v>6415918.6282498799</v>
          </cell>
          <cell r="C176">
            <v>445356.41350173298</v>
          </cell>
          <cell r="D176">
            <v>31.799999999999997</v>
          </cell>
          <cell r="E176">
            <v>1</v>
          </cell>
          <cell r="F176">
            <v>0</v>
          </cell>
        </row>
        <row r="177">
          <cell r="A177" t="str">
            <v>H257</v>
          </cell>
          <cell r="B177">
            <v>6414195.3380078897</v>
          </cell>
          <cell r="C177">
            <v>320182.59453473199</v>
          </cell>
          <cell r="D177">
            <v>99.8</v>
          </cell>
          <cell r="E177">
            <v>0.76461758900211418</v>
          </cell>
          <cell r="F177">
            <v>0.23538241099788582</v>
          </cell>
        </row>
        <row r="178">
          <cell r="A178" t="str">
            <v>H258</v>
          </cell>
          <cell r="B178">
            <v>6414154.3673454998</v>
          </cell>
          <cell r="C178">
            <v>320183.08311222401</v>
          </cell>
          <cell r="D178">
            <v>1.31</v>
          </cell>
          <cell r="E178">
            <v>1</v>
          </cell>
          <cell r="F178">
            <v>0</v>
          </cell>
        </row>
        <row r="179">
          <cell r="A179" t="str">
            <v>H259</v>
          </cell>
          <cell r="B179">
            <v>6414154.3673454998</v>
          </cell>
          <cell r="C179">
            <v>320183.08311222401</v>
          </cell>
          <cell r="D179">
            <v>0.98</v>
          </cell>
          <cell r="E179">
            <v>1</v>
          </cell>
          <cell r="F179">
            <v>0</v>
          </cell>
        </row>
        <row r="180">
          <cell r="A180" t="str">
            <v>H26</v>
          </cell>
          <cell r="B180">
            <v>6388105.102</v>
          </cell>
          <cell r="C180">
            <v>449847.25699999998</v>
          </cell>
          <cell r="D180">
            <v>4.37</v>
          </cell>
          <cell r="E180">
            <v>1</v>
          </cell>
          <cell r="F180">
            <v>0</v>
          </cell>
        </row>
        <row r="181">
          <cell r="A181" t="str">
            <v>H260</v>
          </cell>
          <cell r="B181">
            <v>6414154.3673454998</v>
          </cell>
          <cell r="C181">
            <v>320183.08311222401</v>
          </cell>
          <cell r="D181">
            <v>3.512</v>
          </cell>
          <cell r="E181">
            <v>1</v>
          </cell>
          <cell r="F181">
            <v>0</v>
          </cell>
        </row>
        <row r="182">
          <cell r="A182" t="str">
            <v>H261</v>
          </cell>
          <cell r="B182">
            <v>6417080.1208343301</v>
          </cell>
          <cell r="C182">
            <v>583212.86664115696</v>
          </cell>
          <cell r="D182">
            <v>32.08</v>
          </cell>
          <cell r="E182">
            <v>1</v>
          </cell>
          <cell r="F182">
            <v>0</v>
          </cell>
        </row>
        <row r="183">
          <cell r="A183" t="str">
            <v>H262</v>
          </cell>
          <cell r="B183">
            <v>6409781.2834823402</v>
          </cell>
          <cell r="C183">
            <v>339838.19322967302</v>
          </cell>
          <cell r="D183">
            <v>11.399999999999999</v>
          </cell>
          <cell r="E183">
            <v>1</v>
          </cell>
          <cell r="F183">
            <v>0</v>
          </cell>
        </row>
        <row r="184">
          <cell r="A184" t="str">
            <v>H263</v>
          </cell>
          <cell r="B184">
            <v>6407817.9585601501</v>
          </cell>
          <cell r="C184">
            <v>381577.62101621699</v>
          </cell>
          <cell r="D184">
            <v>22.36</v>
          </cell>
          <cell r="E184">
            <v>1</v>
          </cell>
          <cell r="F184">
            <v>0</v>
          </cell>
        </row>
        <row r="185">
          <cell r="A185" t="str">
            <v>H264</v>
          </cell>
          <cell r="B185">
            <v>6406265.9553795103</v>
          </cell>
          <cell r="C185">
            <v>343255.22999242297</v>
          </cell>
          <cell r="D185">
            <v>9.1</v>
          </cell>
          <cell r="E185">
            <v>1</v>
          </cell>
          <cell r="F185">
            <v>0</v>
          </cell>
        </row>
        <row r="186">
          <cell r="A186" t="str">
            <v>H265</v>
          </cell>
          <cell r="B186">
            <v>6405219.6583457096</v>
          </cell>
          <cell r="C186">
            <v>341084.892820323</v>
          </cell>
          <cell r="D186">
            <v>3.4</v>
          </cell>
          <cell r="E186">
            <v>1</v>
          </cell>
          <cell r="F186">
            <v>0</v>
          </cell>
        </row>
        <row r="187">
          <cell r="A187" t="str">
            <v>H266</v>
          </cell>
          <cell r="B187">
            <v>6403391.5254150396</v>
          </cell>
          <cell r="C187">
            <v>405695.59722574602</v>
          </cell>
          <cell r="D187">
            <v>27.967420000000001</v>
          </cell>
          <cell r="E187">
            <v>1</v>
          </cell>
          <cell r="F187">
            <v>0</v>
          </cell>
        </row>
        <row r="188">
          <cell r="A188" t="str">
            <v>H267</v>
          </cell>
          <cell r="B188">
            <v>6402317.4830520796</v>
          </cell>
          <cell r="C188">
            <v>337831.27725552802</v>
          </cell>
          <cell r="D188">
            <v>35.200000000000003</v>
          </cell>
          <cell r="E188">
            <v>1</v>
          </cell>
          <cell r="F188">
            <v>0</v>
          </cell>
        </row>
        <row r="189">
          <cell r="A189" t="str">
            <v>H268</v>
          </cell>
          <cell r="B189">
            <v>6402243.0772894695</v>
          </cell>
          <cell r="C189">
            <v>450109.38146477198</v>
          </cell>
          <cell r="D189">
            <v>553.92999999999995</v>
          </cell>
          <cell r="E189">
            <v>0.58766182069607953</v>
          </cell>
          <cell r="F189">
            <v>0.41233817930392047</v>
          </cell>
        </row>
        <row r="190">
          <cell r="A190" t="str">
            <v>H269</v>
          </cell>
          <cell r="B190">
            <v>6399426.5803876603</v>
          </cell>
          <cell r="C190">
            <v>327716.38782402303</v>
          </cell>
          <cell r="D190">
            <v>315.77049999999997</v>
          </cell>
          <cell r="E190">
            <v>0.86455079068250307</v>
          </cell>
          <cell r="F190">
            <v>0.13544920931749693</v>
          </cell>
        </row>
        <row r="191">
          <cell r="A191" t="str">
            <v>H27</v>
          </cell>
          <cell r="B191">
            <v>6374609.8150000004</v>
          </cell>
          <cell r="C191">
            <v>359869.85499999998</v>
          </cell>
          <cell r="D191">
            <v>1.5169999999999999</v>
          </cell>
          <cell r="E191">
            <v>1</v>
          </cell>
          <cell r="F191">
            <v>0</v>
          </cell>
        </row>
        <row r="192">
          <cell r="A192" t="str">
            <v>H270</v>
          </cell>
          <cell r="B192">
            <v>6399426.5803876603</v>
          </cell>
          <cell r="C192">
            <v>327716.38782402303</v>
          </cell>
          <cell r="D192">
            <v>242.75500000000002</v>
          </cell>
          <cell r="E192">
            <v>0.80478340391174674</v>
          </cell>
          <cell r="F192">
            <v>0.19521659608825326</v>
          </cell>
        </row>
        <row r="193">
          <cell r="A193" t="str">
            <v>H271</v>
          </cell>
          <cell r="B193">
            <v>6401950.7936748099</v>
          </cell>
          <cell r="C193">
            <v>597630.43629741098</v>
          </cell>
          <cell r="D193">
            <v>87.665999999999997</v>
          </cell>
          <cell r="E193">
            <v>1</v>
          </cell>
          <cell r="F193">
            <v>0</v>
          </cell>
        </row>
        <row r="194">
          <cell r="A194" t="str">
            <v>H272</v>
          </cell>
          <cell r="B194">
            <v>6403463.3311914997</v>
          </cell>
          <cell r="C194">
            <v>725929.27318812395</v>
          </cell>
          <cell r="D194">
            <v>0</v>
          </cell>
          <cell r="E194">
            <v>0</v>
          </cell>
          <cell r="F194">
            <v>1</v>
          </cell>
        </row>
        <row r="195">
          <cell r="A195" t="str">
            <v>H273</v>
          </cell>
          <cell r="B195">
            <v>6398243.1091877697</v>
          </cell>
          <cell r="C195">
            <v>547420.52113624895</v>
          </cell>
          <cell r="D195">
            <v>15.43</v>
          </cell>
          <cell r="E195">
            <v>1</v>
          </cell>
          <cell r="F195">
            <v>0</v>
          </cell>
        </row>
        <row r="196">
          <cell r="A196" t="str">
            <v>H274</v>
          </cell>
          <cell r="B196">
            <v>6396012.8478683997</v>
          </cell>
          <cell r="C196">
            <v>376954.59363541898</v>
          </cell>
          <cell r="D196">
            <v>518.21950000000015</v>
          </cell>
          <cell r="E196">
            <v>0.74670371010023717</v>
          </cell>
          <cell r="F196">
            <v>0.25329628989976283</v>
          </cell>
        </row>
        <row r="197">
          <cell r="A197" t="str">
            <v>H275</v>
          </cell>
          <cell r="B197">
            <v>6395672.42183726</v>
          </cell>
          <cell r="C197">
            <v>488304.347814187</v>
          </cell>
          <cell r="D197">
            <v>2.0419999999999998</v>
          </cell>
          <cell r="E197">
            <v>1</v>
          </cell>
          <cell r="F197">
            <v>0</v>
          </cell>
        </row>
        <row r="198">
          <cell r="A198" t="str">
            <v>H276</v>
          </cell>
          <cell r="B198">
            <v>6394971.3302746098</v>
          </cell>
          <cell r="C198">
            <v>579796.12184361997</v>
          </cell>
          <cell r="D198">
            <v>10.409000000000001</v>
          </cell>
          <cell r="E198">
            <v>1</v>
          </cell>
          <cell r="F198">
            <v>0</v>
          </cell>
        </row>
        <row r="199">
          <cell r="A199" t="str">
            <v>H277</v>
          </cell>
          <cell r="B199">
            <v>6394487.5239621401</v>
          </cell>
          <cell r="C199">
            <v>559713.52303320705</v>
          </cell>
          <cell r="D199">
            <v>6.33908</v>
          </cell>
          <cell r="E199">
            <v>1</v>
          </cell>
          <cell r="F199">
            <v>0</v>
          </cell>
        </row>
        <row r="200">
          <cell r="A200" t="str">
            <v>H278</v>
          </cell>
          <cell r="B200">
            <v>6390244.9749262398</v>
          </cell>
          <cell r="C200">
            <v>322019.97547272302</v>
          </cell>
          <cell r="D200">
            <v>257.77820000000003</v>
          </cell>
          <cell r="E200">
            <v>0.51033299040419089</v>
          </cell>
          <cell r="F200">
            <v>0.48966700959580911</v>
          </cell>
        </row>
        <row r="201">
          <cell r="A201" t="str">
            <v>H279</v>
          </cell>
          <cell r="B201">
            <v>6390244.9749262398</v>
          </cell>
          <cell r="C201">
            <v>322019.97547272302</v>
          </cell>
          <cell r="D201">
            <v>65.501000000000005</v>
          </cell>
          <cell r="E201">
            <v>0.46132637171384072</v>
          </cell>
          <cell r="F201">
            <v>0.53867362828615928</v>
          </cell>
        </row>
        <row r="202">
          <cell r="A202" t="str">
            <v>H28</v>
          </cell>
          <cell r="B202">
            <v>6372078.0240000002</v>
          </cell>
          <cell r="C202">
            <v>549539.21400000004</v>
          </cell>
          <cell r="D202">
            <v>39.893999999999998</v>
          </cell>
          <cell r="E202">
            <v>1</v>
          </cell>
          <cell r="F202">
            <v>0</v>
          </cell>
        </row>
        <row r="203">
          <cell r="A203" t="str">
            <v>H280</v>
          </cell>
          <cell r="B203">
            <v>6390244.9749262398</v>
          </cell>
          <cell r="C203">
            <v>322019.97547272302</v>
          </cell>
          <cell r="D203">
            <v>14.821000000000002</v>
          </cell>
          <cell r="E203">
            <v>0.46127681824315203</v>
          </cell>
          <cell r="F203">
            <v>0.53872318175684797</v>
          </cell>
        </row>
        <row r="204">
          <cell r="A204" t="str">
            <v>H281</v>
          </cell>
          <cell r="B204">
            <v>6393875.2845315002</v>
          </cell>
          <cell r="C204">
            <v>696684.75313160999</v>
          </cell>
          <cell r="D204">
            <v>147.68499999999997</v>
          </cell>
          <cell r="E204">
            <v>1</v>
          </cell>
          <cell r="F204">
            <v>0</v>
          </cell>
        </row>
        <row r="205">
          <cell r="A205" t="str">
            <v>H282</v>
          </cell>
          <cell r="B205">
            <v>6389044.42058382</v>
          </cell>
          <cell r="C205">
            <v>406039.23538211401</v>
          </cell>
          <cell r="D205">
            <v>2.7225999999999999</v>
          </cell>
          <cell r="E205">
            <v>1</v>
          </cell>
          <cell r="F205">
            <v>0</v>
          </cell>
        </row>
        <row r="206">
          <cell r="A206" t="str">
            <v>H283</v>
          </cell>
          <cell r="B206">
            <v>6390619.7473151702</v>
          </cell>
          <cell r="C206">
            <v>550556.26446403097</v>
          </cell>
          <cell r="D206">
            <v>151.583</v>
          </cell>
          <cell r="E206">
            <v>0.64642866463478987</v>
          </cell>
          <cell r="F206">
            <v>0.35357133536521013</v>
          </cell>
        </row>
        <row r="207">
          <cell r="A207" t="str">
            <v>H284</v>
          </cell>
          <cell r="B207">
            <v>6389606.7862068703</v>
          </cell>
          <cell r="C207">
            <v>498652.67005440302</v>
          </cell>
          <cell r="D207">
            <v>29.529410000000002</v>
          </cell>
          <cell r="E207">
            <v>1</v>
          </cell>
          <cell r="F207">
            <v>0</v>
          </cell>
        </row>
        <row r="208">
          <cell r="A208" t="str">
            <v>H285</v>
          </cell>
          <cell r="B208">
            <v>6387699.7217788901</v>
          </cell>
          <cell r="C208">
            <v>481853.649697032</v>
          </cell>
          <cell r="D208">
            <v>187.95659999999998</v>
          </cell>
          <cell r="E208">
            <v>0.6894161236363946</v>
          </cell>
          <cell r="F208">
            <v>0.3105838763636054</v>
          </cell>
        </row>
        <row r="209">
          <cell r="A209" t="str">
            <v>H286</v>
          </cell>
          <cell r="B209">
            <v>6386711.5079482803</v>
          </cell>
          <cell r="C209">
            <v>524697.98911931901</v>
          </cell>
          <cell r="D209">
            <v>4.47</v>
          </cell>
          <cell r="E209">
            <v>1</v>
          </cell>
          <cell r="F209">
            <v>0</v>
          </cell>
        </row>
        <row r="210">
          <cell r="A210" t="str">
            <v>H287</v>
          </cell>
          <cell r="B210">
            <v>6383077.3420703895</v>
          </cell>
          <cell r="C210">
            <v>534762.88197148102</v>
          </cell>
          <cell r="D210">
            <v>21.12</v>
          </cell>
          <cell r="E210">
            <v>1</v>
          </cell>
          <cell r="F210">
            <v>0</v>
          </cell>
        </row>
        <row r="211">
          <cell r="A211" t="str">
            <v>H288</v>
          </cell>
          <cell r="B211">
            <v>6381560.2825629301</v>
          </cell>
          <cell r="C211">
            <v>550537.96867340198</v>
          </cell>
          <cell r="D211">
            <v>9.89</v>
          </cell>
          <cell r="E211">
            <v>1</v>
          </cell>
          <cell r="F211">
            <v>0</v>
          </cell>
        </row>
        <row r="212">
          <cell r="A212" t="str">
            <v>H289</v>
          </cell>
          <cell r="B212">
            <v>6373017.6287777796</v>
          </cell>
          <cell r="C212">
            <v>359452.17676144902</v>
          </cell>
          <cell r="D212">
            <v>141.75</v>
          </cell>
          <cell r="E212">
            <v>0.81054306495192263</v>
          </cell>
          <cell r="F212">
            <v>0.18945693504807737</v>
          </cell>
        </row>
        <row r="213">
          <cell r="A213" t="str">
            <v>H29</v>
          </cell>
          <cell r="B213">
            <v>6338562.4450000003</v>
          </cell>
          <cell r="C213">
            <v>443135.07699999999</v>
          </cell>
          <cell r="D213">
            <v>0.52400000000000002</v>
          </cell>
          <cell r="E213">
            <v>1</v>
          </cell>
          <cell r="F213">
            <v>0</v>
          </cell>
        </row>
        <row r="214">
          <cell r="A214" t="str">
            <v>H290</v>
          </cell>
          <cell r="B214">
            <v>6371469.3583102701</v>
          </cell>
          <cell r="C214">
            <v>325100.49856703402</v>
          </cell>
          <cell r="D214">
            <v>127.03</v>
          </cell>
          <cell r="E214">
            <v>1</v>
          </cell>
          <cell r="F214">
            <v>0</v>
          </cell>
        </row>
        <row r="215">
          <cell r="A215" t="str">
            <v>H291</v>
          </cell>
          <cell r="B215">
            <v>6371647.5518515902</v>
          </cell>
          <cell r="C215">
            <v>482329.19816758001</v>
          </cell>
          <cell r="D215">
            <v>10.91</v>
          </cell>
          <cell r="E215">
            <v>1</v>
          </cell>
          <cell r="F215">
            <v>0</v>
          </cell>
        </row>
        <row r="216">
          <cell r="A216" t="str">
            <v>H292</v>
          </cell>
          <cell r="B216">
            <v>6370405.4441102399</v>
          </cell>
          <cell r="C216">
            <v>449091.39590796799</v>
          </cell>
          <cell r="D216">
            <v>34.028999999999996</v>
          </cell>
          <cell r="E216">
            <v>1</v>
          </cell>
          <cell r="F216">
            <v>0</v>
          </cell>
        </row>
        <row r="217">
          <cell r="A217" t="str">
            <v>H293</v>
          </cell>
          <cell r="B217">
            <v>6371179.2605691804</v>
          </cell>
          <cell r="C217">
            <v>550607.23748044798</v>
          </cell>
          <cell r="D217">
            <v>167.56199999999998</v>
          </cell>
          <cell r="E217">
            <v>0.59012412764154376</v>
          </cell>
          <cell r="F217">
            <v>0.40987587235845624</v>
          </cell>
        </row>
        <row r="218">
          <cell r="A218" t="str">
            <v>H294</v>
          </cell>
          <cell r="B218">
            <v>6364917.23394386</v>
          </cell>
          <cell r="C218">
            <v>415590.42868466402</v>
          </cell>
          <cell r="D218">
            <v>5.91059</v>
          </cell>
          <cell r="E218">
            <v>1</v>
          </cell>
          <cell r="F218">
            <v>0</v>
          </cell>
        </row>
        <row r="219">
          <cell r="A219" t="str">
            <v>H295</v>
          </cell>
          <cell r="B219">
            <v>6365404.7377965096</v>
          </cell>
          <cell r="C219">
            <v>512906.07073201402</v>
          </cell>
          <cell r="D219">
            <v>6.1</v>
          </cell>
          <cell r="E219">
            <v>1</v>
          </cell>
          <cell r="F219">
            <v>0</v>
          </cell>
        </row>
        <row r="220">
          <cell r="A220" t="str">
            <v>H296</v>
          </cell>
          <cell r="B220">
            <v>6362674.1413989598</v>
          </cell>
          <cell r="C220">
            <v>445501.680928924</v>
          </cell>
          <cell r="D220">
            <v>26.600999999999999</v>
          </cell>
          <cell r="E220">
            <v>1</v>
          </cell>
          <cell r="F220">
            <v>0</v>
          </cell>
        </row>
        <row r="221">
          <cell r="A221" t="str">
            <v>H297</v>
          </cell>
          <cell r="B221">
            <v>6365145.9504760299</v>
          </cell>
          <cell r="C221">
            <v>692209.69238209305</v>
          </cell>
          <cell r="D221">
            <v>0</v>
          </cell>
          <cell r="E221">
            <v>0</v>
          </cell>
          <cell r="F221">
            <v>1</v>
          </cell>
        </row>
        <row r="222">
          <cell r="A222" t="str">
            <v>H298</v>
          </cell>
          <cell r="B222">
            <v>6362096.1051759897</v>
          </cell>
          <cell r="C222">
            <v>504914.14497717301</v>
          </cell>
          <cell r="D222">
            <v>220.656622</v>
          </cell>
          <cell r="E222">
            <v>1</v>
          </cell>
          <cell r="F222">
            <v>0</v>
          </cell>
        </row>
        <row r="223">
          <cell r="A223" t="str">
            <v>H299</v>
          </cell>
          <cell r="B223">
            <v>6359357.2461358896</v>
          </cell>
          <cell r="C223">
            <v>480048.90657875699</v>
          </cell>
          <cell r="D223">
            <v>58.477000000000004</v>
          </cell>
          <cell r="E223">
            <v>1</v>
          </cell>
          <cell r="F223">
            <v>0</v>
          </cell>
        </row>
        <row r="224">
          <cell r="A224" t="str">
            <v>H3</v>
          </cell>
          <cell r="B224">
            <v>6338567.551</v>
          </cell>
          <cell r="C224">
            <v>443140.33600000001</v>
          </cell>
          <cell r="D224">
            <v>0.78600000000000003</v>
          </cell>
          <cell r="E224">
            <v>1</v>
          </cell>
          <cell r="F224">
            <v>0</v>
          </cell>
        </row>
        <row r="225">
          <cell r="A225" t="str">
            <v>H30</v>
          </cell>
          <cell r="B225">
            <v>6337635.585</v>
          </cell>
          <cell r="C225">
            <v>404662.424</v>
          </cell>
          <cell r="D225">
            <v>3.6459999999999999</v>
          </cell>
          <cell r="E225">
            <v>1</v>
          </cell>
          <cell r="F225">
            <v>0</v>
          </cell>
        </row>
        <row r="226">
          <cell r="A226" t="str">
            <v>H300</v>
          </cell>
          <cell r="B226">
            <v>6355874.6555752195</v>
          </cell>
          <cell r="C226">
            <v>347978.84727568203</v>
          </cell>
          <cell r="D226">
            <v>7.82</v>
          </cell>
          <cell r="E226">
            <v>1</v>
          </cell>
          <cell r="F226">
            <v>0</v>
          </cell>
        </row>
        <row r="227">
          <cell r="A227" t="str">
            <v>H301</v>
          </cell>
          <cell r="B227">
            <v>6348732.2803024901</v>
          </cell>
          <cell r="C227">
            <v>412342.86302056297</v>
          </cell>
          <cell r="D227">
            <v>36.593000000000004</v>
          </cell>
          <cell r="E227">
            <v>1</v>
          </cell>
          <cell r="F227">
            <v>0</v>
          </cell>
        </row>
        <row r="228">
          <cell r="A228" t="str">
            <v>H302</v>
          </cell>
          <cell r="B228">
            <v>6346717.42805536</v>
          </cell>
          <cell r="C228">
            <v>339099.30595215701</v>
          </cell>
          <cell r="D228">
            <v>4.4219999999999997</v>
          </cell>
          <cell r="E228">
            <v>1</v>
          </cell>
          <cell r="F228">
            <v>0</v>
          </cell>
        </row>
        <row r="229">
          <cell r="A229" t="str">
            <v>H303</v>
          </cell>
          <cell r="B229">
            <v>6349339.7329245703</v>
          </cell>
          <cell r="C229">
            <v>704082.54934203404</v>
          </cell>
          <cell r="D229">
            <v>13.849</v>
          </cell>
          <cell r="E229">
            <v>1</v>
          </cell>
          <cell r="F229">
            <v>0</v>
          </cell>
        </row>
        <row r="230">
          <cell r="A230" t="str">
            <v>H304</v>
          </cell>
          <cell r="B230">
            <v>6346912.8316198997</v>
          </cell>
          <cell r="C230">
            <v>588119.36217856803</v>
          </cell>
          <cell r="D230">
            <v>171.10003000000003</v>
          </cell>
          <cell r="E230">
            <v>0.83323110328441619</v>
          </cell>
          <cell r="F230">
            <v>0.16676889671558381</v>
          </cell>
        </row>
        <row r="231">
          <cell r="A231" t="str">
            <v>H305</v>
          </cell>
          <cell r="B231">
            <v>6341636.1455781898</v>
          </cell>
          <cell r="C231">
            <v>474390.07399252697</v>
          </cell>
          <cell r="D231">
            <v>5.53294</v>
          </cell>
          <cell r="E231">
            <v>1</v>
          </cell>
          <cell r="F231">
            <v>0</v>
          </cell>
        </row>
        <row r="232">
          <cell r="A232" t="str">
            <v>H306</v>
          </cell>
          <cell r="B232">
            <v>6336406.8961287299</v>
          </cell>
          <cell r="C232">
            <v>441484.62247094</v>
          </cell>
          <cell r="D232">
            <v>167.19502</v>
          </cell>
          <cell r="E232">
            <v>0.78797210603458145</v>
          </cell>
          <cell r="F232">
            <v>0.21202789396541855</v>
          </cell>
        </row>
        <row r="233">
          <cell r="A233" t="str">
            <v>H307</v>
          </cell>
          <cell r="B233">
            <v>6334466.3203747803</v>
          </cell>
          <cell r="C233">
            <v>415837.13367559901</v>
          </cell>
          <cell r="D233">
            <v>1.986</v>
          </cell>
          <cell r="E233">
            <v>1</v>
          </cell>
          <cell r="F233">
            <v>0</v>
          </cell>
        </row>
        <row r="234">
          <cell r="A234" t="str">
            <v>H308</v>
          </cell>
          <cell r="B234">
            <v>6336808.4640468601</v>
          </cell>
          <cell r="C234">
            <v>620667.134264561</v>
          </cell>
          <cell r="D234">
            <v>2.774</v>
          </cell>
          <cell r="E234">
            <v>1</v>
          </cell>
          <cell r="F234">
            <v>0</v>
          </cell>
        </row>
        <row r="235">
          <cell r="A235" t="str">
            <v>H309</v>
          </cell>
          <cell r="B235">
            <v>6330636.8373840703</v>
          </cell>
          <cell r="C235">
            <v>361790.36558595998</v>
          </cell>
          <cell r="D235">
            <v>3.0910000000000002</v>
          </cell>
          <cell r="E235">
            <v>1</v>
          </cell>
          <cell r="F235">
            <v>0</v>
          </cell>
        </row>
        <row r="236">
          <cell r="A236" t="str">
            <v>H31</v>
          </cell>
          <cell r="B236">
            <v>6313847.4469999997</v>
          </cell>
          <cell r="C236">
            <v>518094.09299999999</v>
          </cell>
          <cell r="D236">
            <v>21.8</v>
          </cell>
          <cell r="E236">
            <v>1</v>
          </cell>
          <cell r="F236">
            <v>0</v>
          </cell>
        </row>
        <row r="237">
          <cell r="A237" t="str">
            <v>H310</v>
          </cell>
          <cell r="B237">
            <v>6327359.5072367797</v>
          </cell>
          <cell r="C237">
            <v>333543.60459167999</v>
          </cell>
          <cell r="D237">
            <v>32.082000000000001</v>
          </cell>
          <cell r="E237">
            <v>1</v>
          </cell>
          <cell r="F237">
            <v>0</v>
          </cell>
        </row>
        <row r="238">
          <cell r="A238" t="str">
            <v>H311</v>
          </cell>
          <cell r="B238">
            <v>6321931.3820939995</v>
          </cell>
          <cell r="C238">
            <v>342409.826033825</v>
          </cell>
          <cell r="D238">
            <v>6.6369999999999996</v>
          </cell>
          <cell r="E238">
            <v>1</v>
          </cell>
          <cell r="F238">
            <v>0</v>
          </cell>
        </row>
        <row r="239">
          <cell r="A239" t="str">
            <v>H312</v>
          </cell>
          <cell r="B239">
            <v>6322210.1718534296</v>
          </cell>
          <cell r="C239">
            <v>503453.78740332898</v>
          </cell>
          <cell r="D239">
            <v>19.036999999999999</v>
          </cell>
          <cell r="E239">
            <v>1</v>
          </cell>
          <cell r="F239">
            <v>0</v>
          </cell>
        </row>
        <row r="240">
          <cell r="A240" t="str">
            <v>H313</v>
          </cell>
          <cell r="B240">
            <v>6318215.5972801298</v>
          </cell>
          <cell r="C240">
            <v>493628.57354031398</v>
          </cell>
          <cell r="D240">
            <v>12.664</v>
          </cell>
          <cell r="E240">
            <v>1</v>
          </cell>
          <cell r="F240">
            <v>0</v>
          </cell>
        </row>
        <row r="241">
          <cell r="A241" t="str">
            <v>H314</v>
          </cell>
          <cell r="B241">
            <v>6316003.2256627101</v>
          </cell>
          <cell r="C241">
            <v>474130.20103655901</v>
          </cell>
          <cell r="D241">
            <v>15.8</v>
          </cell>
          <cell r="E241">
            <v>1</v>
          </cell>
          <cell r="F241">
            <v>0</v>
          </cell>
        </row>
        <row r="242">
          <cell r="A242" t="str">
            <v>H315</v>
          </cell>
          <cell r="B242">
            <v>6313683.1864959802</v>
          </cell>
          <cell r="C242">
            <v>357416.088788633</v>
          </cell>
          <cell r="D242">
            <v>3.8290000000000002</v>
          </cell>
          <cell r="E242">
            <v>1</v>
          </cell>
          <cell r="F242">
            <v>0</v>
          </cell>
        </row>
        <row r="243">
          <cell r="A243" t="str">
            <v>H316</v>
          </cell>
          <cell r="B243">
            <v>6313037.5949919997</v>
          </cell>
          <cell r="C243">
            <v>458133.70998258202</v>
          </cell>
          <cell r="D243">
            <v>13.6859</v>
          </cell>
          <cell r="E243">
            <v>1</v>
          </cell>
          <cell r="F243">
            <v>0</v>
          </cell>
        </row>
        <row r="244">
          <cell r="A244" t="str">
            <v>H317</v>
          </cell>
          <cell r="B244">
            <v>6305569.94905023</v>
          </cell>
          <cell r="C244">
            <v>347111.46899296099</v>
          </cell>
          <cell r="D244">
            <v>71.572000000000003</v>
          </cell>
          <cell r="E244">
            <v>1</v>
          </cell>
          <cell r="F244">
            <v>0</v>
          </cell>
        </row>
        <row r="245">
          <cell r="A245" t="str">
            <v>H318</v>
          </cell>
          <cell r="B245">
            <v>6303994.9319403097</v>
          </cell>
          <cell r="C245">
            <v>472683.46364800801</v>
          </cell>
          <cell r="D245">
            <v>78</v>
          </cell>
          <cell r="E245">
            <v>1</v>
          </cell>
          <cell r="F245">
            <v>0</v>
          </cell>
        </row>
        <row r="246">
          <cell r="A246" t="str">
            <v>H319</v>
          </cell>
          <cell r="B246">
            <v>6304019.2809433499</v>
          </cell>
          <cell r="C246">
            <v>601462.81144965999</v>
          </cell>
          <cell r="D246">
            <v>26.951000000000001</v>
          </cell>
          <cell r="E246">
            <v>1</v>
          </cell>
          <cell r="F246">
            <v>0</v>
          </cell>
        </row>
        <row r="247">
          <cell r="A247" t="str">
            <v>H32</v>
          </cell>
          <cell r="B247">
            <v>6252488.9979999997</v>
          </cell>
          <cell r="C247">
            <v>561689.89300000004</v>
          </cell>
          <cell r="D247">
            <v>17.1111</v>
          </cell>
          <cell r="E247">
            <v>1</v>
          </cell>
          <cell r="F247">
            <v>0</v>
          </cell>
        </row>
        <row r="248">
          <cell r="A248" t="str">
            <v>H320</v>
          </cell>
          <cell r="B248">
            <v>6302421.5119920401</v>
          </cell>
          <cell r="C248">
            <v>488455.87398813298</v>
          </cell>
          <cell r="D248">
            <v>767.2</v>
          </cell>
          <cell r="E248">
            <v>0.49060845853954826</v>
          </cell>
          <cell r="F248">
            <v>0.50939154146045174</v>
          </cell>
        </row>
        <row r="249">
          <cell r="A249" t="str">
            <v>H321</v>
          </cell>
          <cell r="B249">
            <v>6296442.2703860402</v>
          </cell>
          <cell r="C249">
            <v>435031.37375332299</v>
          </cell>
          <cell r="D249">
            <v>62.519999999999996</v>
          </cell>
          <cell r="E249">
            <v>0.88197725564210427</v>
          </cell>
          <cell r="F249">
            <v>0.11802274435789573</v>
          </cell>
        </row>
        <row r="250">
          <cell r="A250" t="str">
            <v>H322</v>
          </cell>
          <cell r="B250">
            <v>6291209.5754656</v>
          </cell>
          <cell r="C250">
            <v>466615.57397045498</v>
          </cell>
          <cell r="D250">
            <v>22.8</v>
          </cell>
          <cell r="E250">
            <v>1</v>
          </cell>
          <cell r="F250">
            <v>0</v>
          </cell>
        </row>
        <row r="251">
          <cell r="A251" t="str">
            <v>H323</v>
          </cell>
          <cell r="B251">
            <v>6287735.79245626</v>
          </cell>
          <cell r="C251">
            <v>555460.11254990404</v>
          </cell>
          <cell r="D251">
            <v>70</v>
          </cell>
          <cell r="E251">
            <v>0.67563749089298719</v>
          </cell>
          <cell r="F251">
            <v>0.32436250910701281</v>
          </cell>
        </row>
        <row r="252">
          <cell r="A252" t="str">
            <v>H324</v>
          </cell>
          <cell r="B252">
            <v>6286887.6500553302</v>
          </cell>
          <cell r="C252">
            <v>495102.362734503</v>
          </cell>
          <cell r="D252">
            <v>9.766</v>
          </cell>
          <cell r="E252">
            <v>1</v>
          </cell>
          <cell r="F252">
            <v>0</v>
          </cell>
        </row>
        <row r="253">
          <cell r="A253" t="str">
            <v>H325</v>
          </cell>
          <cell r="B253">
            <v>6278949.4599451302</v>
          </cell>
          <cell r="C253">
            <v>369277.24178992398</v>
          </cell>
          <cell r="D253">
            <v>190.49990000000003</v>
          </cell>
          <cell r="E253">
            <v>0.80097259383026531</v>
          </cell>
          <cell r="F253">
            <v>0.19902740616973469</v>
          </cell>
        </row>
        <row r="254">
          <cell r="A254" t="str">
            <v>H326</v>
          </cell>
          <cell r="B254">
            <v>6279434.0733405501</v>
          </cell>
          <cell r="C254">
            <v>583418.888945285</v>
          </cell>
          <cell r="D254">
            <v>530.9</v>
          </cell>
          <cell r="E254">
            <v>0.52461777242838126</v>
          </cell>
          <cell r="F254">
            <v>0.47538222757161874</v>
          </cell>
        </row>
        <row r="255">
          <cell r="A255" t="str">
            <v>H327</v>
          </cell>
          <cell r="B255">
            <v>6274174.0054459097</v>
          </cell>
          <cell r="C255">
            <v>533012.65348677803</v>
          </cell>
          <cell r="D255">
            <v>53.1</v>
          </cell>
          <cell r="E255">
            <v>1</v>
          </cell>
          <cell r="F255">
            <v>0</v>
          </cell>
        </row>
        <row r="256">
          <cell r="A256" t="str">
            <v>H328</v>
          </cell>
          <cell r="B256">
            <v>6265690.23511016</v>
          </cell>
          <cell r="C256">
            <v>446717.06497844099</v>
          </cell>
          <cell r="D256">
            <v>65.45</v>
          </cell>
          <cell r="E256">
            <v>1</v>
          </cell>
          <cell r="F256">
            <v>0</v>
          </cell>
        </row>
        <row r="257">
          <cell r="A257" t="str">
            <v>H329</v>
          </cell>
          <cell r="B257">
            <v>6240215.61600227</v>
          </cell>
          <cell r="C257">
            <v>370878.264871069</v>
          </cell>
          <cell r="D257">
            <v>2.19</v>
          </cell>
          <cell r="E257">
            <v>1</v>
          </cell>
          <cell r="F257">
            <v>0</v>
          </cell>
        </row>
        <row r="258">
          <cell r="A258" t="str">
            <v>H33</v>
          </cell>
          <cell r="B258">
            <v>6237733.699</v>
          </cell>
          <cell r="C258">
            <v>532995.46100000001</v>
          </cell>
          <cell r="D258">
            <v>0.56599999999999995</v>
          </cell>
          <cell r="E258">
            <v>1</v>
          </cell>
          <cell r="F258">
            <v>0</v>
          </cell>
        </row>
        <row r="259">
          <cell r="A259" t="str">
            <v>H330</v>
          </cell>
          <cell r="B259">
            <v>6239587.7344139097</v>
          </cell>
          <cell r="C259">
            <v>362327.16454720701</v>
          </cell>
          <cell r="D259">
            <v>13.19</v>
          </cell>
          <cell r="E259">
            <v>1</v>
          </cell>
          <cell r="F259">
            <v>0</v>
          </cell>
        </row>
        <row r="260">
          <cell r="A260" t="str">
            <v>H331</v>
          </cell>
          <cell r="B260">
            <v>6235707.39867038</v>
          </cell>
          <cell r="C260">
            <v>393622.43818727101</v>
          </cell>
          <cell r="D260">
            <v>33.719000000000001</v>
          </cell>
          <cell r="E260">
            <v>1</v>
          </cell>
          <cell r="F260">
            <v>0</v>
          </cell>
        </row>
        <row r="261">
          <cell r="A261" t="str">
            <v>H332</v>
          </cell>
          <cell r="B261">
            <v>6235938.1438683802</v>
          </cell>
          <cell r="C261">
            <v>420761.66534899001</v>
          </cell>
          <cell r="D261">
            <v>10.423</v>
          </cell>
          <cell r="E261">
            <v>1</v>
          </cell>
          <cell r="F261">
            <v>0</v>
          </cell>
        </row>
        <row r="262">
          <cell r="A262" t="str">
            <v>H333</v>
          </cell>
          <cell r="B262">
            <v>6235053.9696700601</v>
          </cell>
          <cell r="C262">
            <v>470672.33724211802</v>
          </cell>
          <cell r="D262">
            <v>44.33</v>
          </cell>
          <cell r="E262">
            <v>1</v>
          </cell>
          <cell r="F262">
            <v>0</v>
          </cell>
        </row>
        <row r="263">
          <cell r="A263" t="str">
            <v>H334</v>
          </cell>
          <cell r="B263">
            <v>6232065.1327845203</v>
          </cell>
          <cell r="C263">
            <v>367225.67568171502</v>
          </cell>
          <cell r="D263">
            <v>15.286000000000001</v>
          </cell>
          <cell r="E263">
            <v>1</v>
          </cell>
          <cell r="F263">
            <v>0</v>
          </cell>
        </row>
        <row r="264">
          <cell r="A264" t="str">
            <v>H335</v>
          </cell>
          <cell r="B264">
            <v>6229184.9675980499</v>
          </cell>
          <cell r="C264">
            <v>507306.05280465202</v>
          </cell>
          <cell r="D264">
            <v>26.499997999999998</v>
          </cell>
          <cell r="E264">
            <v>1</v>
          </cell>
          <cell r="F264">
            <v>0</v>
          </cell>
        </row>
        <row r="265">
          <cell r="A265" t="str">
            <v>H336</v>
          </cell>
          <cell r="B265">
            <v>6226843.2173633501</v>
          </cell>
          <cell r="C265">
            <v>348711.85170009098</v>
          </cell>
          <cell r="D265">
            <v>0</v>
          </cell>
          <cell r="E265">
            <v>0</v>
          </cell>
          <cell r="F265">
            <v>1</v>
          </cell>
        </row>
        <row r="266">
          <cell r="A266" t="str">
            <v>H337</v>
          </cell>
          <cell r="B266">
            <v>6226843.2173633501</v>
          </cell>
          <cell r="C266">
            <v>348711.85170009098</v>
          </cell>
          <cell r="D266">
            <v>6.0341199999999997</v>
          </cell>
          <cell r="E266">
            <v>1</v>
          </cell>
          <cell r="F266">
            <v>0</v>
          </cell>
        </row>
        <row r="267">
          <cell r="A267" t="str">
            <v>H338</v>
          </cell>
          <cell r="B267">
            <v>6227215.51808515</v>
          </cell>
          <cell r="C267">
            <v>517551.47744656203</v>
          </cell>
          <cell r="D267">
            <v>133.00015000000002</v>
          </cell>
          <cell r="E267">
            <v>1</v>
          </cell>
          <cell r="F267">
            <v>0</v>
          </cell>
        </row>
        <row r="268">
          <cell r="A268" t="str">
            <v>H339</v>
          </cell>
          <cell r="B268">
            <v>6226065.7145263497</v>
          </cell>
          <cell r="C268">
            <v>553018.40628751903</v>
          </cell>
          <cell r="D268">
            <v>6.9210000000000003</v>
          </cell>
          <cell r="E268">
            <v>1</v>
          </cell>
          <cell r="F268">
            <v>0</v>
          </cell>
        </row>
        <row r="269">
          <cell r="A269" t="str">
            <v>H34</v>
          </cell>
          <cell r="B269">
            <v>6229162.1430000002</v>
          </cell>
          <cell r="C269">
            <v>533575.625</v>
          </cell>
          <cell r="D269">
            <v>5.6630000000000003</v>
          </cell>
          <cell r="E269">
            <v>1</v>
          </cell>
          <cell r="F269">
            <v>0</v>
          </cell>
        </row>
        <row r="270">
          <cell r="A270" t="str">
            <v>H340</v>
          </cell>
          <cell r="B270">
            <v>6223333.05066879</v>
          </cell>
          <cell r="C270">
            <v>491568.303971624</v>
          </cell>
          <cell r="D270">
            <v>11.427</v>
          </cell>
          <cell r="E270">
            <v>1</v>
          </cell>
          <cell r="F270">
            <v>0</v>
          </cell>
        </row>
        <row r="271">
          <cell r="A271" t="str">
            <v>H341</v>
          </cell>
          <cell r="B271">
            <v>6223069.3778121201</v>
          </cell>
          <cell r="C271">
            <v>536318.67544215603</v>
          </cell>
          <cell r="D271">
            <v>264.12389999999999</v>
          </cell>
          <cell r="E271">
            <v>0.67834452563919578</v>
          </cell>
          <cell r="F271">
            <v>0.32165547436080422</v>
          </cell>
        </row>
        <row r="272">
          <cell r="A272" t="str">
            <v>H342</v>
          </cell>
          <cell r="B272">
            <v>6221609.8224939797</v>
          </cell>
          <cell r="C272">
            <v>413151.92461101199</v>
          </cell>
          <cell r="D272">
            <v>24.1</v>
          </cell>
          <cell r="E272">
            <v>1</v>
          </cell>
          <cell r="F272">
            <v>0</v>
          </cell>
        </row>
        <row r="273">
          <cell r="A273" t="str">
            <v>H343</v>
          </cell>
          <cell r="B273">
            <v>6221422.07753463</v>
          </cell>
          <cell r="C273">
            <v>423171.42182152101</v>
          </cell>
          <cell r="D273">
            <v>95.8</v>
          </cell>
          <cell r="E273">
            <v>1</v>
          </cell>
          <cell r="F273">
            <v>0</v>
          </cell>
        </row>
        <row r="274">
          <cell r="A274" t="str">
            <v>H344</v>
          </cell>
          <cell r="B274">
            <v>6221422.07753463</v>
          </cell>
          <cell r="C274">
            <v>423171.42182152101</v>
          </cell>
          <cell r="D274">
            <v>10.32</v>
          </cell>
          <cell r="E274">
            <v>1</v>
          </cell>
          <cell r="F274">
            <v>0</v>
          </cell>
        </row>
        <row r="275">
          <cell r="A275" t="str">
            <v>H345</v>
          </cell>
          <cell r="B275">
            <v>6219123.6683906</v>
          </cell>
          <cell r="C275">
            <v>400550.08068270597</v>
          </cell>
          <cell r="D275">
            <v>47.99</v>
          </cell>
          <cell r="E275">
            <v>1</v>
          </cell>
          <cell r="F275">
            <v>0</v>
          </cell>
        </row>
        <row r="276">
          <cell r="A276" t="str">
            <v>H346</v>
          </cell>
          <cell r="B276">
            <v>6215816.2997281803</v>
          </cell>
          <cell r="C276">
            <v>542616.42908732803</v>
          </cell>
          <cell r="D276">
            <v>0.63200000000000001</v>
          </cell>
          <cell r="E276">
            <v>1</v>
          </cell>
          <cell r="F276">
            <v>0</v>
          </cell>
        </row>
        <row r="277">
          <cell r="A277" t="str">
            <v>H347</v>
          </cell>
          <cell r="B277">
            <v>6212137.4166017501</v>
          </cell>
          <cell r="C277">
            <v>390477.74247858702</v>
          </cell>
          <cell r="D277">
            <v>61.58</v>
          </cell>
          <cell r="E277">
            <v>1</v>
          </cell>
          <cell r="F277">
            <v>0</v>
          </cell>
        </row>
        <row r="278">
          <cell r="A278" t="str">
            <v>H348</v>
          </cell>
          <cell r="B278">
            <v>6209659.44064881</v>
          </cell>
          <cell r="C278">
            <v>356474.53024613601</v>
          </cell>
          <cell r="D278">
            <v>470.4</v>
          </cell>
          <cell r="E278">
            <v>0.48830678506210662</v>
          </cell>
          <cell r="F278">
            <v>0.51169321493789344</v>
          </cell>
        </row>
        <row r="279">
          <cell r="A279" t="str">
            <v>H349</v>
          </cell>
          <cell r="B279">
            <v>6208583.7535627298</v>
          </cell>
          <cell r="C279">
            <v>454920.35438103101</v>
          </cell>
          <cell r="D279">
            <v>6.1292400000000002</v>
          </cell>
          <cell r="E279">
            <v>1</v>
          </cell>
          <cell r="F279">
            <v>0</v>
          </cell>
        </row>
        <row r="280">
          <cell r="A280" t="str">
            <v>H35</v>
          </cell>
          <cell r="B280">
            <v>6219139.8820000002</v>
          </cell>
          <cell r="C280">
            <v>432014.66700000002</v>
          </cell>
          <cell r="D280">
            <v>12.28</v>
          </cell>
          <cell r="E280">
            <v>1</v>
          </cell>
          <cell r="F280">
            <v>0</v>
          </cell>
        </row>
        <row r="281">
          <cell r="A281" t="str">
            <v>H350</v>
          </cell>
          <cell r="B281">
            <v>6207231.7792394096</v>
          </cell>
          <cell r="C281">
            <v>447164.46725695097</v>
          </cell>
          <cell r="D281">
            <v>442.21699999999998</v>
          </cell>
          <cell r="E281">
            <v>0.61084259347199799</v>
          </cell>
          <cell r="F281">
            <v>0.38915740652800201</v>
          </cell>
        </row>
        <row r="282">
          <cell r="A282" t="str">
            <v>H351</v>
          </cell>
          <cell r="B282">
            <v>6189770.4136367599</v>
          </cell>
          <cell r="C282">
            <v>364289.41447054502</v>
          </cell>
          <cell r="D282">
            <v>25.2</v>
          </cell>
          <cell r="E282">
            <v>1</v>
          </cell>
          <cell r="F282">
            <v>0</v>
          </cell>
        </row>
        <row r="283">
          <cell r="A283" t="str">
            <v>H352</v>
          </cell>
          <cell r="B283">
            <v>6186114.0410754401</v>
          </cell>
          <cell r="C283">
            <v>393352.932309417</v>
          </cell>
          <cell r="D283">
            <v>417.58889999999997</v>
          </cell>
          <cell r="E283">
            <v>0.56368676541266938</v>
          </cell>
          <cell r="F283">
            <v>0.43631323458733062</v>
          </cell>
        </row>
        <row r="284">
          <cell r="A284" t="str">
            <v>H353</v>
          </cell>
          <cell r="B284">
            <v>6165233.6077760598</v>
          </cell>
          <cell r="C284">
            <v>386048.65733774099</v>
          </cell>
          <cell r="D284">
            <v>25.917999999999999</v>
          </cell>
          <cell r="E284">
            <v>1</v>
          </cell>
          <cell r="F284">
            <v>0</v>
          </cell>
        </row>
        <row r="285">
          <cell r="A285" t="str">
            <v>H354</v>
          </cell>
          <cell r="B285">
            <v>6160983.9632025696</v>
          </cell>
          <cell r="C285">
            <v>374189.214127841</v>
          </cell>
          <cell r="D285">
            <v>120.9</v>
          </cell>
          <cell r="E285">
            <v>1</v>
          </cell>
          <cell r="F285">
            <v>0</v>
          </cell>
        </row>
        <row r="286">
          <cell r="A286" t="str">
            <v>H355</v>
          </cell>
          <cell r="B286">
            <v>6157377.8785137702</v>
          </cell>
          <cell r="C286">
            <v>385381.29239663301</v>
          </cell>
          <cell r="D286">
            <v>8.6</v>
          </cell>
          <cell r="E286">
            <v>1</v>
          </cell>
          <cell r="F286">
            <v>0</v>
          </cell>
        </row>
        <row r="287">
          <cell r="A287" t="str">
            <v>H356</v>
          </cell>
          <cell r="B287">
            <v>6154231.9055916602</v>
          </cell>
          <cell r="C287">
            <v>459316.28717159299</v>
          </cell>
          <cell r="D287">
            <v>53.4</v>
          </cell>
          <cell r="E287">
            <v>1</v>
          </cell>
          <cell r="F287">
            <v>0</v>
          </cell>
        </row>
        <row r="288">
          <cell r="A288" t="str">
            <v>H357</v>
          </cell>
          <cell r="B288">
            <v>6146067.2146451101</v>
          </cell>
          <cell r="C288">
            <v>405251.63659581501</v>
          </cell>
          <cell r="D288">
            <v>11.57</v>
          </cell>
          <cell r="E288">
            <v>1</v>
          </cell>
          <cell r="F288">
            <v>0</v>
          </cell>
        </row>
        <row r="289">
          <cell r="A289" t="str">
            <v>H358</v>
          </cell>
          <cell r="B289">
            <v>6140289.5495965099</v>
          </cell>
          <cell r="C289">
            <v>425565.96006899403</v>
          </cell>
          <cell r="D289">
            <v>121.59632999999999</v>
          </cell>
          <cell r="E289">
            <v>1</v>
          </cell>
          <cell r="F289">
            <v>0</v>
          </cell>
        </row>
        <row r="290">
          <cell r="A290" t="str">
            <v>H36</v>
          </cell>
          <cell r="B290">
            <v>6218089.7850000001</v>
          </cell>
          <cell r="C290">
            <v>370458.94900000002</v>
          </cell>
          <cell r="D290">
            <v>25.826000000000001</v>
          </cell>
          <cell r="E290">
            <v>1</v>
          </cell>
          <cell r="F290">
            <v>0</v>
          </cell>
        </row>
        <row r="291">
          <cell r="A291" t="str">
            <v>H37</v>
          </cell>
          <cell r="B291">
            <v>6214330.3629999999</v>
          </cell>
          <cell r="C291">
            <v>374382.56199999998</v>
          </cell>
          <cell r="D291">
            <v>3.484</v>
          </cell>
          <cell r="E291">
            <v>1</v>
          </cell>
          <cell r="F291">
            <v>0</v>
          </cell>
        </row>
        <row r="292">
          <cell r="A292" t="str">
            <v>H38</v>
          </cell>
          <cell r="B292">
            <v>6160853.4469999997</v>
          </cell>
          <cell r="C292">
            <v>385075.97899999999</v>
          </cell>
          <cell r="D292">
            <v>5.3</v>
          </cell>
          <cell r="E292">
            <v>1</v>
          </cell>
          <cell r="F292">
            <v>0</v>
          </cell>
        </row>
        <row r="293">
          <cell r="A293" t="str">
            <v>H39</v>
          </cell>
          <cell r="B293">
            <v>7536378.6312776404</v>
          </cell>
          <cell r="C293">
            <v>720454.14612082299</v>
          </cell>
          <cell r="D293">
            <v>12.233995999999999</v>
          </cell>
          <cell r="E293">
            <v>1</v>
          </cell>
          <cell r="F293">
            <v>0</v>
          </cell>
        </row>
        <row r="294">
          <cell r="A294" t="str">
            <v>H4</v>
          </cell>
          <cell r="B294">
            <v>6980892.1189999999</v>
          </cell>
          <cell r="C294">
            <v>643439.22699999996</v>
          </cell>
          <cell r="D294">
            <v>36.881999999999998</v>
          </cell>
          <cell r="E294">
            <v>1</v>
          </cell>
          <cell r="F294">
            <v>0</v>
          </cell>
        </row>
        <row r="295">
          <cell r="A295" t="str">
            <v>H40</v>
          </cell>
          <cell r="B295">
            <v>7523305.48596936</v>
          </cell>
          <cell r="C295">
            <v>781021.04388917296</v>
          </cell>
          <cell r="D295">
            <v>8.6809999999999992</v>
          </cell>
          <cell r="E295">
            <v>1</v>
          </cell>
          <cell r="F295">
            <v>0</v>
          </cell>
        </row>
        <row r="296">
          <cell r="A296" t="str">
            <v>H41</v>
          </cell>
          <cell r="B296">
            <v>7462379.1219927296</v>
          </cell>
          <cell r="C296">
            <v>744888.21263924905</v>
          </cell>
          <cell r="D296">
            <v>129.20000000000002</v>
          </cell>
          <cell r="E296">
            <v>0.6968481668098544</v>
          </cell>
          <cell r="F296">
            <v>0.3031518331901456</v>
          </cell>
        </row>
        <row r="297">
          <cell r="A297" t="str">
            <v>H42</v>
          </cell>
          <cell r="B297">
            <v>7395466.4754984798</v>
          </cell>
          <cell r="C297">
            <v>714800.57508422097</v>
          </cell>
          <cell r="D297">
            <v>44</v>
          </cell>
          <cell r="E297">
            <v>1</v>
          </cell>
          <cell r="F297">
            <v>0</v>
          </cell>
        </row>
        <row r="298">
          <cell r="A298" t="str">
            <v>H43</v>
          </cell>
          <cell r="B298">
            <v>7333973.7305256696</v>
          </cell>
          <cell r="C298">
            <v>916014.46013194101</v>
          </cell>
          <cell r="D298">
            <v>9.8049999999999997</v>
          </cell>
          <cell r="E298">
            <v>1</v>
          </cell>
          <cell r="F298">
            <v>0</v>
          </cell>
        </row>
        <row r="299">
          <cell r="A299" t="str">
            <v>H44</v>
          </cell>
          <cell r="B299">
            <v>7330532.6122062001</v>
          </cell>
          <cell r="C299">
            <v>872321.234530741</v>
          </cell>
          <cell r="D299">
            <v>127.86199999999999</v>
          </cell>
          <cell r="E299">
            <v>1</v>
          </cell>
          <cell r="F299">
            <v>0</v>
          </cell>
        </row>
        <row r="300">
          <cell r="A300" t="str">
            <v>H45</v>
          </cell>
          <cell r="B300">
            <v>7325572.6036253804</v>
          </cell>
          <cell r="C300">
            <v>831937.09170215903</v>
          </cell>
          <cell r="D300">
            <v>29.8</v>
          </cell>
          <cell r="E300">
            <v>1</v>
          </cell>
          <cell r="F300">
            <v>0</v>
          </cell>
        </row>
        <row r="301">
          <cell r="A301" t="str">
            <v>H46</v>
          </cell>
          <cell r="B301">
            <v>7319794.3061899701</v>
          </cell>
          <cell r="C301">
            <v>807418.76492992905</v>
          </cell>
          <cell r="D301">
            <v>20</v>
          </cell>
          <cell r="E301">
            <v>1</v>
          </cell>
          <cell r="F301">
            <v>0</v>
          </cell>
        </row>
        <row r="302">
          <cell r="A302" t="str">
            <v>H47</v>
          </cell>
          <cell r="B302">
            <v>7294078.8309761696</v>
          </cell>
          <cell r="C302">
            <v>829831.23632208596</v>
          </cell>
          <cell r="D302">
            <v>26.2</v>
          </cell>
          <cell r="E302">
            <v>1</v>
          </cell>
          <cell r="F302">
            <v>0</v>
          </cell>
        </row>
        <row r="303">
          <cell r="A303" t="str">
            <v>H48</v>
          </cell>
          <cell r="B303">
            <v>7294078.8309761696</v>
          </cell>
          <cell r="C303">
            <v>829831.23632208596</v>
          </cell>
          <cell r="D303">
            <v>0.25</v>
          </cell>
          <cell r="E303">
            <v>1</v>
          </cell>
          <cell r="F303">
            <v>0</v>
          </cell>
        </row>
        <row r="304">
          <cell r="A304" t="str">
            <v>H49</v>
          </cell>
          <cell r="B304">
            <v>7282203.9361098697</v>
          </cell>
          <cell r="C304">
            <v>642827.20055546798</v>
          </cell>
          <cell r="D304">
            <v>2.367</v>
          </cell>
          <cell r="E304">
            <v>1</v>
          </cell>
          <cell r="F304">
            <v>0</v>
          </cell>
        </row>
        <row r="305">
          <cell r="A305" t="str">
            <v>H5</v>
          </cell>
          <cell r="B305">
            <v>6921915.625</v>
          </cell>
          <cell r="C305">
            <v>623286.24600000004</v>
          </cell>
          <cell r="D305">
            <v>0.77300000000000002</v>
          </cell>
          <cell r="E305">
            <v>1</v>
          </cell>
          <cell r="F305">
            <v>0</v>
          </cell>
        </row>
        <row r="306">
          <cell r="A306" t="str">
            <v>H50</v>
          </cell>
          <cell r="B306">
            <v>7274229.1031770902</v>
          </cell>
          <cell r="C306">
            <v>809210.08315035899</v>
          </cell>
          <cell r="D306">
            <v>2.0352899999999998</v>
          </cell>
          <cell r="E306">
            <v>1</v>
          </cell>
          <cell r="F306">
            <v>0</v>
          </cell>
        </row>
        <row r="307">
          <cell r="A307" t="str">
            <v>H51</v>
          </cell>
          <cell r="B307">
            <v>7272361.5634624604</v>
          </cell>
          <cell r="C307">
            <v>801206.53424791503</v>
          </cell>
          <cell r="D307">
            <v>7.3</v>
          </cell>
          <cell r="E307">
            <v>1</v>
          </cell>
          <cell r="F307">
            <v>0</v>
          </cell>
        </row>
        <row r="308">
          <cell r="A308" t="str">
            <v>H52</v>
          </cell>
          <cell r="B308">
            <v>7259890.75089096</v>
          </cell>
          <cell r="C308">
            <v>802484.321579515</v>
          </cell>
          <cell r="D308">
            <v>0</v>
          </cell>
          <cell r="E308">
            <v>0</v>
          </cell>
          <cell r="F308">
            <v>1</v>
          </cell>
        </row>
        <row r="309">
          <cell r="A309" t="str">
            <v>H53</v>
          </cell>
          <cell r="B309">
            <v>7234011.5230320496</v>
          </cell>
          <cell r="C309">
            <v>675171.99812517199</v>
          </cell>
          <cell r="D309">
            <v>118.02870800000002</v>
          </cell>
          <cell r="E309">
            <v>0.66583575721461574</v>
          </cell>
          <cell r="F309">
            <v>0.33416424278538426</v>
          </cell>
        </row>
        <row r="310">
          <cell r="A310" t="str">
            <v>H54</v>
          </cell>
          <cell r="B310">
            <v>7224844.9929909203</v>
          </cell>
          <cell r="C310">
            <v>736835.84360822104</v>
          </cell>
          <cell r="D310">
            <v>8.7859999999999996</v>
          </cell>
          <cell r="E310">
            <v>1</v>
          </cell>
          <cell r="F310">
            <v>0</v>
          </cell>
        </row>
        <row r="311">
          <cell r="A311" t="str">
            <v>H55</v>
          </cell>
          <cell r="B311">
            <v>7219718.5976614896</v>
          </cell>
          <cell r="C311">
            <v>599326.87958215806</v>
          </cell>
          <cell r="D311">
            <v>43.628999999999998</v>
          </cell>
          <cell r="E311">
            <v>1</v>
          </cell>
          <cell r="F311">
            <v>0</v>
          </cell>
        </row>
        <row r="312">
          <cell r="A312" t="str">
            <v>H56</v>
          </cell>
          <cell r="B312">
            <v>7218860.33294586</v>
          </cell>
          <cell r="C312">
            <v>792310.96931451501</v>
          </cell>
          <cell r="D312">
            <v>13.191000000000001</v>
          </cell>
          <cell r="E312">
            <v>1</v>
          </cell>
          <cell r="F312">
            <v>0</v>
          </cell>
        </row>
        <row r="313">
          <cell r="A313" t="str">
            <v>H57</v>
          </cell>
          <cell r="B313">
            <v>7206633.0206192899</v>
          </cell>
          <cell r="C313">
            <v>711977.69406621403</v>
          </cell>
          <cell r="D313">
            <v>10.474</v>
          </cell>
          <cell r="E313">
            <v>1</v>
          </cell>
          <cell r="F313">
            <v>0</v>
          </cell>
        </row>
        <row r="314">
          <cell r="A314" t="str">
            <v>H58</v>
          </cell>
          <cell r="B314">
            <v>7205359.4751415402</v>
          </cell>
          <cell r="C314">
            <v>754791.61835204903</v>
          </cell>
          <cell r="D314">
            <v>9.6039999999999992</v>
          </cell>
          <cell r="E314">
            <v>1</v>
          </cell>
          <cell r="F314">
            <v>0</v>
          </cell>
        </row>
        <row r="315">
          <cell r="A315" t="str">
            <v>H59</v>
          </cell>
          <cell r="B315">
            <v>7204409.79948272</v>
          </cell>
          <cell r="C315">
            <v>783492.127490315</v>
          </cell>
          <cell r="D315">
            <v>6.9969999999999999</v>
          </cell>
          <cell r="E315">
            <v>1</v>
          </cell>
          <cell r="F315">
            <v>0</v>
          </cell>
        </row>
        <row r="316">
          <cell r="A316" t="str">
            <v>H6</v>
          </cell>
          <cell r="B316">
            <v>6793675.3119999999</v>
          </cell>
          <cell r="C316">
            <v>610727.28899999999</v>
          </cell>
          <cell r="D316">
            <v>3.968</v>
          </cell>
          <cell r="E316">
            <v>1</v>
          </cell>
          <cell r="F316">
            <v>0</v>
          </cell>
        </row>
        <row r="317">
          <cell r="A317" t="str">
            <v>H60</v>
          </cell>
          <cell r="B317">
            <v>7195510.4721916895</v>
          </cell>
          <cell r="C317">
            <v>782863.70452663803</v>
          </cell>
          <cell r="D317">
            <v>405.525399988</v>
          </cell>
          <cell r="E317">
            <v>0.52925059627770477</v>
          </cell>
          <cell r="F317">
            <v>0.47074940372229523</v>
          </cell>
        </row>
        <row r="318">
          <cell r="A318" t="str">
            <v>H61</v>
          </cell>
          <cell r="B318">
            <v>7190034.7588558504</v>
          </cell>
          <cell r="C318">
            <v>795168.64306793001</v>
          </cell>
          <cell r="D318">
            <v>0</v>
          </cell>
          <cell r="E318">
            <v>0</v>
          </cell>
          <cell r="F318">
            <v>1</v>
          </cell>
        </row>
        <row r="319">
          <cell r="A319" t="str">
            <v>H62</v>
          </cell>
          <cell r="B319">
            <v>7186578.1580537297</v>
          </cell>
          <cell r="C319">
            <v>767875.83705760597</v>
          </cell>
          <cell r="D319">
            <v>3.5680000000000001</v>
          </cell>
          <cell r="E319">
            <v>1</v>
          </cell>
          <cell r="F319">
            <v>0</v>
          </cell>
        </row>
        <row r="320">
          <cell r="A320" t="str">
            <v>H63</v>
          </cell>
          <cell r="B320">
            <v>7182339.7855140297</v>
          </cell>
          <cell r="C320">
            <v>795837.67087232601</v>
          </cell>
          <cell r="D320">
            <v>10.4</v>
          </cell>
          <cell r="E320">
            <v>1</v>
          </cell>
          <cell r="F320">
            <v>0</v>
          </cell>
        </row>
        <row r="321">
          <cell r="A321" t="str">
            <v>H64</v>
          </cell>
          <cell r="B321">
            <v>7168357.5145948399</v>
          </cell>
          <cell r="C321">
            <v>675507.21505889902</v>
          </cell>
          <cell r="D321">
            <v>160.25355800099999</v>
          </cell>
          <cell r="E321">
            <v>0.52073476749085212</v>
          </cell>
          <cell r="F321">
            <v>0.47926523250914788</v>
          </cell>
        </row>
        <row r="322">
          <cell r="A322" t="str">
            <v>H65</v>
          </cell>
          <cell r="B322">
            <v>7167786.47631317</v>
          </cell>
          <cell r="C322">
            <v>771224.84560757503</v>
          </cell>
          <cell r="D322">
            <v>20.781320000000001</v>
          </cell>
          <cell r="E322">
            <v>1</v>
          </cell>
          <cell r="F322">
            <v>0</v>
          </cell>
        </row>
        <row r="323">
          <cell r="A323" t="str">
            <v>H66</v>
          </cell>
          <cell r="B323">
            <v>7154720.4509135196</v>
          </cell>
          <cell r="C323">
            <v>804717.69755827996</v>
          </cell>
          <cell r="D323">
            <v>4.1239999999999997</v>
          </cell>
          <cell r="E323">
            <v>1</v>
          </cell>
          <cell r="F323">
            <v>0</v>
          </cell>
        </row>
        <row r="324">
          <cell r="A324" t="str">
            <v>H67</v>
          </cell>
          <cell r="B324">
            <v>7143388.8093258897</v>
          </cell>
          <cell r="C324">
            <v>792261.46388929803</v>
          </cell>
          <cell r="D324">
            <v>3.6989999999999998</v>
          </cell>
          <cell r="E324">
            <v>1</v>
          </cell>
          <cell r="F324">
            <v>0</v>
          </cell>
        </row>
        <row r="325">
          <cell r="A325" t="str">
            <v>H68</v>
          </cell>
          <cell r="B325">
            <v>7132640.7423807001</v>
          </cell>
          <cell r="C325">
            <v>784244.50010876299</v>
          </cell>
          <cell r="D325">
            <v>12.67</v>
          </cell>
          <cell r="E325">
            <v>1</v>
          </cell>
          <cell r="F325">
            <v>0</v>
          </cell>
        </row>
        <row r="326">
          <cell r="A326" t="str">
            <v>H69</v>
          </cell>
          <cell r="B326">
            <v>7128297.0903356997</v>
          </cell>
          <cell r="C326">
            <v>728917.067823419</v>
          </cell>
          <cell r="D326">
            <v>16.245000000000001</v>
          </cell>
          <cell r="E326">
            <v>1</v>
          </cell>
          <cell r="F326">
            <v>0</v>
          </cell>
        </row>
        <row r="327">
          <cell r="A327" t="str">
            <v>H7</v>
          </cell>
          <cell r="B327">
            <v>6651411</v>
          </cell>
          <cell r="C327">
            <v>549661.196</v>
          </cell>
          <cell r="D327">
            <v>5.8</v>
          </cell>
          <cell r="E327">
            <v>1</v>
          </cell>
          <cell r="F327">
            <v>0</v>
          </cell>
        </row>
        <row r="328">
          <cell r="A328" t="str">
            <v>H70</v>
          </cell>
          <cell r="B328">
            <v>7099526.10902989</v>
          </cell>
          <cell r="C328">
            <v>772319.20899318799</v>
          </cell>
          <cell r="D328">
            <v>10.676500000000001</v>
          </cell>
          <cell r="E328">
            <v>1</v>
          </cell>
          <cell r="F328">
            <v>0</v>
          </cell>
        </row>
        <row r="329">
          <cell r="A329" t="str">
            <v>H71</v>
          </cell>
          <cell r="B329">
            <v>7096171.9199461704</v>
          </cell>
          <cell r="C329">
            <v>706541.11452506797</v>
          </cell>
          <cell r="D329">
            <v>7.4729999999999999</v>
          </cell>
          <cell r="E329">
            <v>1</v>
          </cell>
          <cell r="F329">
            <v>0</v>
          </cell>
        </row>
        <row r="330">
          <cell r="A330" t="str">
            <v>H72</v>
          </cell>
          <cell r="B330">
            <v>7094648.9431786397</v>
          </cell>
          <cell r="C330">
            <v>765953.48217487405</v>
          </cell>
          <cell r="D330">
            <v>490.78999999999996</v>
          </cell>
          <cell r="E330">
            <v>0.58862122573559827</v>
          </cell>
          <cell r="F330">
            <v>0.41137877426440173</v>
          </cell>
        </row>
        <row r="331">
          <cell r="A331" t="str">
            <v>H73</v>
          </cell>
          <cell r="B331">
            <v>7079590.11681074</v>
          </cell>
          <cell r="C331">
            <v>529967.46783154097</v>
          </cell>
          <cell r="D331">
            <v>76.2</v>
          </cell>
          <cell r="E331">
            <v>1</v>
          </cell>
          <cell r="F331">
            <v>0</v>
          </cell>
        </row>
        <row r="332">
          <cell r="A332" t="str">
            <v>H74</v>
          </cell>
          <cell r="B332">
            <v>7045206.4122289196</v>
          </cell>
          <cell r="C332">
            <v>573009.63925670704</v>
          </cell>
          <cell r="D332">
            <v>8</v>
          </cell>
          <cell r="E332">
            <v>1</v>
          </cell>
          <cell r="F332">
            <v>0</v>
          </cell>
        </row>
        <row r="333">
          <cell r="A333" t="str">
            <v>H75</v>
          </cell>
          <cell r="B333">
            <v>7039238.5708794799</v>
          </cell>
          <cell r="C333">
            <v>654662.70910208998</v>
          </cell>
          <cell r="D333">
            <v>4.9874700000000001</v>
          </cell>
          <cell r="E333">
            <v>1</v>
          </cell>
          <cell r="F333">
            <v>0</v>
          </cell>
        </row>
        <row r="334">
          <cell r="A334" t="str">
            <v>H76</v>
          </cell>
          <cell r="B334">
            <v>7035101.0672674896</v>
          </cell>
          <cell r="C334">
            <v>594919.16054835496</v>
          </cell>
          <cell r="D334">
            <v>2.2999999999999998</v>
          </cell>
          <cell r="E334">
            <v>1</v>
          </cell>
          <cell r="F334">
            <v>0</v>
          </cell>
        </row>
        <row r="335">
          <cell r="A335" t="str">
            <v>H77</v>
          </cell>
          <cell r="B335">
            <v>7032281.1463653101</v>
          </cell>
          <cell r="C335">
            <v>672234.07462141803</v>
          </cell>
          <cell r="D335">
            <v>0.71719999999999995</v>
          </cell>
          <cell r="E335">
            <v>1</v>
          </cell>
          <cell r="F335">
            <v>0</v>
          </cell>
        </row>
        <row r="336">
          <cell r="A336" t="str">
            <v>H78</v>
          </cell>
          <cell r="B336">
            <v>7027605.24470188</v>
          </cell>
          <cell r="C336">
            <v>404332.631066042</v>
          </cell>
          <cell r="D336">
            <v>68</v>
          </cell>
          <cell r="E336">
            <v>1</v>
          </cell>
          <cell r="F336">
            <v>0</v>
          </cell>
        </row>
        <row r="337">
          <cell r="A337" t="str">
            <v>H79</v>
          </cell>
          <cell r="B337">
            <v>7030696.4206447797</v>
          </cell>
          <cell r="C337">
            <v>708057.34217279102</v>
          </cell>
          <cell r="D337">
            <v>2.2929400000000002</v>
          </cell>
          <cell r="E337">
            <v>1</v>
          </cell>
          <cell r="F337">
            <v>0</v>
          </cell>
        </row>
        <row r="338">
          <cell r="A338" t="str">
            <v>H8</v>
          </cell>
          <cell r="B338">
            <v>6655205</v>
          </cell>
          <cell r="C338">
            <v>667295</v>
          </cell>
          <cell r="D338">
            <v>5.7930000000000001</v>
          </cell>
          <cell r="E338">
            <v>1</v>
          </cell>
          <cell r="F338">
            <v>0</v>
          </cell>
        </row>
        <row r="339">
          <cell r="A339" t="str">
            <v>H80</v>
          </cell>
          <cell r="B339">
            <v>7023179.7510742899</v>
          </cell>
          <cell r="C339">
            <v>686143.26990073896</v>
          </cell>
          <cell r="D339">
            <v>261.76699999999994</v>
          </cell>
          <cell r="E339">
            <v>0.41535050120717598</v>
          </cell>
          <cell r="F339">
            <v>0.58464949879282402</v>
          </cell>
        </row>
        <row r="340">
          <cell r="A340" t="str">
            <v>H81</v>
          </cell>
          <cell r="B340">
            <v>7023179.7510742899</v>
          </cell>
          <cell r="C340">
            <v>686143.26990073896</v>
          </cell>
          <cell r="D340">
            <v>231.03202999999999</v>
          </cell>
          <cell r="E340">
            <v>1</v>
          </cell>
          <cell r="F340">
            <v>0</v>
          </cell>
        </row>
        <row r="341">
          <cell r="A341" t="str">
            <v>H82</v>
          </cell>
          <cell r="B341">
            <v>7019269.40801581</v>
          </cell>
          <cell r="C341">
            <v>472418.776527151</v>
          </cell>
          <cell r="D341">
            <v>24.347099999999998</v>
          </cell>
          <cell r="E341">
            <v>1</v>
          </cell>
          <cell r="F341">
            <v>0</v>
          </cell>
        </row>
        <row r="342">
          <cell r="A342" t="str">
            <v>H83</v>
          </cell>
          <cell r="B342">
            <v>7012284.6663164096</v>
          </cell>
          <cell r="C342">
            <v>676847.84024318203</v>
          </cell>
          <cell r="D342">
            <v>7.399</v>
          </cell>
          <cell r="E342">
            <v>1</v>
          </cell>
          <cell r="F342">
            <v>0</v>
          </cell>
        </row>
        <row r="343">
          <cell r="A343" t="str">
            <v>H84</v>
          </cell>
          <cell r="B343">
            <v>7006024.13567595</v>
          </cell>
          <cell r="C343">
            <v>603652.70865650999</v>
          </cell>
          <cell r="D343">
            <v>4.2</v>
          </cell>
          <cell r="E343">
            <v>1</v>
          </cell>
          <cell r="F343">
            <v>0</v>
          </cell>
        </row>
        <row r="344">
          <cell r="A344" t="str">
            <v>H85</v>
          </cell>
          <cell r="B344">
            <v>7005141.6711281398</v>
          </cell>
          <cell r="C344">
            <v>614504.20641886396</v>
          </cell>
          <cell r="D344">
            <v>68.599999999999994</v>
          </cell>
          <cell r="E344">
            <v>1</v>
          </cell>
          <cell r="F344">
            <v>0</v>
          </cell>
        </row>
        <row r="345">
          <cell r="A345" t="str">
            <v>H86</v>
          </cell>
          <cell r="B345">
            <v>7002099.5223458903</v>
          </cell>
          <cell r="C345">
            <v>481788.12780181202</v>
          </cell>
          <cell r="D345">
            <v>569.19970000000001</v>
          </cell>
          <cell r="E345">
            <v>0.52621228329480274</v>
          </cell>
          <cell r="F345">
            <v>0.47378771670519726</v>
          </cell>
        </row>
        <row r="346">
          <cell r="A346" t="str">
            <v>H87</v>
          </cell>
          <cell r="B346">
            <v>6985874.0836693496</v>
          </cell>
          <cell r="C346">
            <v>635784.33820552495</v>
          </cell>
          <cell r="D346">
            <v>7.4117600000000001</v>
          </cell>
          <cell r="E346">
            <v>1</v>
          </cell>
          <cell r="F346">
            <v>0</v>
          </cell>
        </row>
        <row r="347">
          <cell r="A347" t="str">
            <v>H88</v>
          </cell>
          <cell r="B347">
            <v>6960354.9330147803</v>
          </cell>
          <cell r="C347">
            <v>470775.69610058499</v>
          </cell>
          <cell r="D347">
            <v>13.599</v>
          </cell>
          <cell r="E347">
            <v>1</v>
          </cell>
          <cell r="F347">
            <v>0</v>
          </cell>
        </row>
        <row r="348">
          <cell r="A348" t="str">
            <v>H89</v>
          </cell>
          <cell r="B348">
            <v>6955607.3430477204</v>
          </cell>
          <cell r="C348">
            <v>521729.179399329</v>
          </cell>
          <cell r="D348">
            <v>25.8</v>
          </cell>
          <cell r="E348">
            <v>1</v>
          </cell>
          <cell r="F348">
            <v>0</v>
          </cell>
        </row>
        <row r="349">
          <cell r="A349" t="str">
            <v>H9</v>
          </cell>
          <cell r="B349">
            <v>6653097</v>
          </cell>
          <cell r="C349">
            <v>667295</v>
          </cell>
          <cell r="D349">
            <v>9.9540000000000006</v>
          </cell>
          <cell r="E349">
            <v>1</v>
          </cell>
          <cell r="F349">
            <v>0</v>
          </cell>
        </row>
        <row r="350">
          <cell r="A350" t="str">
            <v>H90</v>
          </cell>
          <cell r="B350">
            <v>6947331.4436209798</v>
          </cell>
          <cell r="C350">
            <v>650596.03464276297</v>
          </cell>
          <cell r="D350">
            <v>152.9</v>
          </cell>
          <cell r="E350">
            <v>0.65333653802133396</v>
          </cell>
          <cell r="F350">
            <v>0.34666346197866604</v>
          </cell>
        </row>
        <row r="351">
          <cell r="A351" t="str">
            <v>H91</v>
          </cell>
          <cell r="B351">
            <v>6933270.52392813</v>
          </cell>
          <cell r="C351">
            <v>374036.78555148601</v>
          </cell>
          <cell r="D351">
            <v>8.4</v>
          </cell>
          <cell r="E351">
            <v>1</v>
          </cell>
          <cell r="F351">
            <v>0</v>
          </cell>
        </row>
        <row r="352">
          <cell r="A352" t="str">
            <v>H92</v>
          </cell>
          <cell r="B352">
            <v>6930834.9004280604</v>
          </cell>
          <cell r="C352">
            <v>533618.03462249995</v>
          </cell>
          <cell r="D352">
            <v>10.452</v>
          </cell>
          <cell r="E352">
            <v>1</v>
          </cell>
          <cell r="F352">
            <v>0</v>
          </cell>
        </row>
        <row r="353">
          <cell r="A353" t="str">
            <v>H93</v>
          </cell>
          <cell r="B353">
            <v>6930823.5301957401</v>
          </cell>
          <cell r="C353">
            <v>620154.75230644702</v>
          </cell>
          <cell r="D353">
            <v>0</v>
          </cell>
          <cell r="E353">
            <v>0</v>
          </cell>
          <cell r="F353">
            <v>1</v>
          </cell>
        </row>
        <row r="354">
          <cell r="A354" t="str">
            <v>H94</v>
          </cell>
          <cell r="B354">
            <v>6928774.4813777702</v>
          </cell>
          <cell r="C354">
            <v>559722.892512372</v>
          </cell>
          <cell r="D354">
            <v>8.01</v>
          </cell>
          <cell r="E354">
            <v>1</v>
          </cell>
          <cell r="F354">
            <v>0</v>
          </cell>
        </row>
        <row r="355">
          <cell r="A355" t="str">
            <v>H95</v>
          </cell>
          <cell r="B355">
            <v>6922433.1680466896</v>
          </cell>
          <cell r="C355">
            <v>423657.70913802902</v>
          </cell>
          <cell r="D355">
            <v>11.8</v>
          </cell>
          <cell r="E355">
            <v>1</v>
          </cell>
          <cell r="F355">
            <v>0</v>
          </cell>
        </row>
        <row r="356">
          <cell r="A356" t="str">
            <v>H96</v>
          </cell>
          <cell r="B356">
            <v>6918943.8991992101</v>
          </cell>
          <cell r="C356">
            <v>619728.125165315</v>
          </cell>
          <cell r="D356">
            <v>172.042</v>
          </cell>
          <cell r="E356">
            <v>1</v>
          </cell>
          <cell r="F356">
            <v>0</v>
          </cell>
        </row>
        <row r="357">
          <cell r="A357" t="str">
            <v>H97</v>
          </cell>
          <cell r="B357">
            <v>6918943.8991992101</v>
          </cell>
          <cell r="C357">
            <v>619728.125165315</v>
          </cell>
          <cell r="D357">
            <v>8.2100000000000009</v>
          </cell>
          <cell r="E357">
            <v>1</v>
          </cell>
          <cell r="F357">
            <v>0</v>
          </cell>
        </row>
        <row r="358">
          <cell r="A358" t="str">
            <v>H98</v>
          </cell>
          <cell r="B358">
            <v>6914403.0578819597</v>
          </cell>
          <cell r="C358">
            <v>606266.91047619504</v>
          </cell>
          <cell r="D358">
            <v>15.426</v>
          </cell>
          <cell r="E358">
            <v>1</v>
          </cell>
          <cell r="F358">
            <v>0</v>
          </cell>
        </row>
        <row r="359">
          <cell r="A359" t="str">
            <v>H99</v>
          </cell>
          <cell r="B359">
            <v>6908751.5130666597</v>
          </cell>
          <cell r="C359">
            <v>623362.40935463004</v>
          </cell>
          <cell r="D359">
            <v>24.946000000000002</v>
          </cell>
          <cell r="E359">
            <v>1</v>
          </cell>
          <cell r="F359">
            <v>0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s"/>
      <sheetName val="Processes"/>
      <sheetName val="IO"/>
      <sheetName val="Trp"/>
      <sheetName val="FAO"/>
      <sheetName val="IIASA"/>
      <sheetName val="ConvFact"/>
      <sheetName val="Cforest"/>
      <sheetName val="Termin"/>
      <sheetName val="Sawmpi"/>
      <sheetName val="Sawmsp"/>
      <sheetName val="Sawmal"/>
      <sheetName val="Heatpl"/>
      <sheetName val="CHPpl_"/>
      <sheetName val="HTLpl_"/>
      <sheetName val="PuChem"/>
      <sheetName val="PuCTMP"/>
      <sheetName val="PuMech"/>
      <sheetName val="PuDiss"/>
      <sheetName val="PaChem"/>
      <sheetName val="OtChem"/>
      <sheetName val="OtMech"/>
      <sheetName val="NwMech"/>
      <sheetName val="PuBCCS"/>
      <sheetName val="PaBCCS"/>
      <sheetName val="OtBCCS"/>
    </sheetNames>
    <sheetDataSet>
      <sheetData sheetId="0">
        <row r="1">
          <cell r="A1" t="str">
            <v>Factor</v>
          </cell>
        </row>
      </sheetData>
      <sheetData sheetId="1">
        <row r="2">
          <cell r="A2" t="str">
            <v>Sawmpi</v>
          </cell>
        </row>
        <row r="3">
          <cell r="A3" t="str">
            <v>Sawmsp</v>
          </cell>
        </row>
        <row r="4">
          <cell r="A4" t="str">
            <v>Sawmbe</v>
          </cell>
        </row>
        <row r="5">
          <cell r="A5" t="str">
            <v>Sawmal</v>
          </cell>
        </row>
        <row r="6">
          <cell r="A6" t="str">
            <v>Heatpl</v>
          </cell>
        </row>
        <row r="7">
          <cell r="A7" t="str">
            <v>CHPpl_</v>
          </cell>
        </row>
        <row r="8">
          <cell r="A8" t="str">
            <v>FTDpl_</v>
          </cell>
        </row>
        <row r="9">
          <cell r="A9" t="str">
            <v>PuChem</v>
          </cell>
        </row>
        <row r="10">
          <cell r="A10" t="str">
            <v>PuCTMP</v>
          </cell>
        </row>
        <row r="11">
          <cell r="A11" t="str">
            <v>PuMech</v>
          </cell>
        </row>
        <row r="12">
          <cell r="A12" t="str">
            <v>PuDiss</v>
          </cell>
        </row>
        <row r="13">
          <cell r="A13" t="str">
            <v>PaChem</v>
          </cell>
        </row>
        <row r="14">
          <cell r="A14" t="str">
            <v>OtChem</v>
          </cell>
        </row>
        <row r="15">
          <cell r="A15" t="str">
            <v>OtMech</v>
          </cell>
        </row>
        <row r="16">
          <cell r="A16" t="str">
            <v>NwMech</v>
          </cell>
        </row>
        <row r="17">
          <cell r="A17" t="str">
            <v>PuBCCS</v>
          </cell>
        </row>
        <row r="18">
          <cell r="A18" t="str">
            <v>PaBCCS</v>
          </cell>
        </row>
        <row r="19">
          <cell r="A19" t="str">
            <v>OtBCCS</v>
          </cell>
        </row>
        <row r="20">
          <cell r="A20" t="str">
            <v>TerFTD</v>
          </cell>
        </row>
        <row r="21">
          <cell r="A21" t="str">
            <v>TerTsp</v>
          </cell>
        </row>
        <row r="22">
          <cell r="A22" t="str">
            <v>TerTal</v>
          </cell>
        </row>
        <row r="23">
          <cell r="A23" t="str">
            <v>TerPsp</v>
          </cell>
        </row>
        <row r="24">
          <cell r="A24" t="str">
            <v>TerPal</v>
          </cell>
        </row>
        <row r="25">
          <cell r="A25" t="str">
            <v>TerHea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26" totalsRowShown="0" headerRowBorderDxfId="3" tableBorderDxfId="2">
  <autoFilter ref="A2:C2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Process"/>
    <tableColumn id="2" xr3:uid="{00000000-0010-0000-0000-000002000000}" name="No." dataDxfId="1"/>
    <tableColumn id="3" xr3:uid="{00000000-0010-0000-0000-000003000000}" name="Capacity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2:F26" totalsRowShown="0">
  <tableColumns count="2">
    <tableColumn id="2" xr3:uid="{00000000-0010-0000-0100-000002000000}" name="No."/>
    <tableColumn id="3" xr3:uid="{00000000-0010-0000-0100-000003000000}" name="Proce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65"/>
  <sheetViews>
    <sheetView tabSelected="1" zoomScale="85" zoomScaleNormal="85" workbookViewId="0">
      <pane ySplit="2" topLeftCell="A72" activePane="bottomLeft" state="frozen"/>
      <selection pane="bottomLeft" activeCell="G90" sqref="G90"/>
    </sheetView>
  </sheetViews>
  <sheetFormatPr defaultColWidth="9.140625" defaultRowHeight="15" x14ac:dyDescent="0.25"/>
  <cols>
    <col min="1" max="4" width="9.140625" style="14"/>
    <col min="5" max="6" width="13.42578125" style="15" customWidth="1"/>
    <col min="7" max="7" width="10.140625" style="4" bestFit="1" customWidth="1"/>
    <col min="8" max="10" width="9.140625" style="4"/>
    <col min="11" max="11" width="9.140625" style="23"/>
    <col min="12" max="14" width="9.140625" style="4"/>
    <col min="15" max="15" width="11.42578125" style="23" customWidth="1"/>
    <col min="16" max="22" width="9.140625" style="4"/>
    <col min="23" max="23" width="9.140625" style="23"/>
    <col min="24" max="24" width="9.140625" style="4"/>
    <col min="25" max="25" width="16.7109375" style="4" bestFit="1" customWidth="1"/>
    <col min="26" max="26" width="9.140625" style="4"/>
    <col min="27" max="27" width="9.5703125" style="4" bestFit="1" customWidth="1"/>
    <col min="28" max="16384" width="9.140625" style="4"/>
  </cols>
  <sheetData>
    <row r="1" spans="1:27" x14ac:dyDescent="0.25">
      <c r="K1" s="20">
        <v>1</v>
      </c>
      <c r="L1" s="1"/>
      <c r="M1" s="1"/>
      <c r="N1" s="1">
        <v>100</v>
      </c>
      <c r="O1" s="20">
        <v>2</v>
      </c>
      <c r="P1" s="1"/>
      <c r="Q1" s="1"/>
      <c r="R1" s="1">
        <v>0.7</v>
      </c>
      <c r="S1" s="1">
        <v>3</v>
      </c>
      <c r="T1" s="1"/>
      <c r="U1" s="1"/>
      <c r="V1" s="1"/>
      <c r="W1" s="23" t="s">
        <v>730</v>
      </c>
    </row>
    <row r="2" spans="1:27" ht="30" x14ac:dyDescent="0.25">
      <c r="A2" s="13" t="s">
        <v>676</v>
      </c>
      <c r="B2" s="13" t="s">
        <v>677</v>
      </c>
      <c r="C2" s="13" t="s">
        <v>792</v>
      </c>
      <c r="D2" s="13" t="s">
        <v>791</v>
      </c>
      <c r="E2" s="13" t="str">
        <f>[1]SummaryTable!B1</f>
        <v>GpsNorth</v>
      </c>
      <c r="F2" s="13" t="str">
        <f>[1]SummaryTable!C1</f>
        <v>GPSEast</v>
      </c>
      <c r="G2" s="13" t="s">
        <v>670</v>
      </c>
      <c r="H2" s="13" t="str">
        <f>[1]SummaryTable!E1</f>
        <v>ShareHeat</v>
      </c>
      <c r="I2" s="13" t="str">
        <f>[1]SummaryTable!F1</f>
        <v>ShareEl</v>
      </c>
      <c r="J2" s="16" t="s">
        <v>674</v>
      </c>
      <c r="K2" s="17" t="s">
        <v>724</v>
      </c>
      <c r="L2" s="18" t="s">
        <v>676</v>
      </c>
      <c r="M2" s="18" t="s">
        <v>674</v>
      </c>
      <c r="N2" s="18" t="s">
        <v>670</v>
      </c>
      <c r="O2" s="17" t="s">
        <v>724</v>
      </c>
      <c r="P2" s="18" t="s">
        <v>676</v>
      </c>
      <c r="Q2" s="18" t="s">
        <v>674</v>
      </c>
      <c r="R2" s="18" t="s">
        <v>670</v>
      </c>
      <c r="S2" s="17" t="s">
        <v>724</v>
      </c>
      <c r="T2" s="18" t="s">
        <v>676</v>
      </c>
      <c r="U2" s="18" t="s">
        <v>674</v>
      </c>
      <c r="V2" s="18" t="s">
        <v>670</v>
      </c>
      <c r="W2" s="24" t="str">
        <f>[1]SummaryTable!D1</f>
        <v>TotalDeliveries</v>
      </c>
    </row>
    <row r="3" spans="1:27" x14ac:dyDescent="0.25">
      <c r="A3" s="14" t="s">
        <v>180</v>
      </c>
      <c r="B3" s="14" t="str">
        <f t="shared" ref="B3:B66" si="0">A3</f>
        <v>H181</v>
      </c>
      <c r="C3" s="14">
        <v>1</v>
      </c>
      <c r="D3" s="61">
        <v>12</v>
      </c>
      <c r="E3" s="15">
        <f>VLOOKUP(A3,[1]SummaryTable!$A$2:$F$359,2,FALSE)</f>
        <v>6583451.2433470301</v>
      </c>
      <c r="F3" s="15">
        <f>VLOOKUP(A3,[1]SummaryTable!$A$2:$F$359,3,FALSE)</f>
        <v>676414.23453874304</v>
      </c>
      <c r="G3" s="62">
        <f t="shared" ref="G3:G66" si="1">1.2*W3</f>
        <v>3685.0796973239994</v>
      </c>
      <c r="H3" s="4">
        <f>VLOOKUP(A3,[1]SummaryTable!$A$2:$F$359,5,FALSE)</f>
        <v>0.53667543674173979</v>
      </c>
      <c r="I3" s="4">
        <f>VLOOKUP(A3,[1]SummaryTable!$A$2:$F$359,6,FALSE)</f>
        <v>0.46332456325826021</v>
      </c>
      <c r="J3" s="4" t="str">
        <f>IF(I3&gt;0.1,[2]Processes!$A$6,[2]Processes!$A$5)</f>
        <v>Heatpl</v>
      </c>
      <c r="K3" s="23" t="str">
        <f>IF(G3&gt;$N$1,$A3&amp;"L"&amp;K$1,"-")</f>
        <v>H181L1</v>
      </c>
      <c r="L3" s="4" t="str">
        <f t="shared" ref="L3" si="2">IF(K3="-","-",$A3)</f>
        <v>H181</v>
      </c>
      <c r="M3" s="4" t="str">
        <f>IF(L3="-","-","Heatpl")</f>
        <v>Heatpl</v>
      </c>
      <c r="N3" s="4">
        <f>IF(M3="-",0,G3)</f>
        <v>3685.0796973239994</v>
      </c>
      <c r="O3" s="23" t="str">
        <f>IF(G3*I3&gt;$N$1,$A3&amp;"L"&amp;O$1,"-")</f>
        <v>H181L2</v>
      </c>
      <c r="P3" s="4" t="str">
        <f>IF(O3="-","-",A3)</f>
        <v>H181</v>
      </c>
      <c r="Q3" s="4" t="str">
        <f>IF(P3="-","-","CHPpl_")</f>
        <v>CHPpl_</v>
      </c>
      <c r="R3" s="4">
        <f>IF(Q3="-",0,G3*$R$1)</f>
        <v>2579.5557881267996</v>
      </c>
      <c r="S3" s="23" t="str">
        <f>IF(G3&gt;$N$1,$A3&amp;"L"&amp;S$1,"-")</f>
        <v>H181L3</v>
      </c>
      <c r="T3" s="4" t="str">
        <f>IF(S3="-","-",$A3)</f>
        <v>H181</v>
      </c>
      <c r="U3" s="4" t="str">
        <f>IF(T3="-","-","TerHea")</f>
        <v>TerHea</v>
      </c>
      <c r="V3" s="4">
        <f>IF(U3="-",0,9999)</f>
        <v>9999</v>
      </c>
      <c r="W3" s="23">
        <f>VLOOKUP(A3,[1]SummaryTable!$A$2:$F$359,4,FALSE)</f>
        <v>3070.8997477699995</v>
      </c>
      <c r="AA3" s="2"/>
    </row>
    <row r="4" spans="1:27" x14ac:dyDescent="0.25">
      <c r="A4" s="14" t="s">
        <v>189</v>
      </c>
      <c r="B4" s="14" t="str">
        <f t="shared" si="0"/>
        <v>H190</v>
      </c>
      <c r="C4" s="14">
        <v>18</v>
      </c>
      <c r="D4" s="61">
        <v>12</v>
      </c>
      <c r="E4" s="15">
        <f>VLOOKUP(A4,[1]SummaryTable!$A$2:$F$359,2,FALSE)</f>
        <v>6568953.06850967</v>
      </c>
      <c r="F4" s="15">
        <f>VLOOKUP(A4,[1]SummaryTable!$A$2:$F$359,3,FALSE)</f>
        <v>512314.14833744499</v>
      </c>
      <c r="G4" s="62">
        <f t="shared" si="1"/>
        <v>1073.06988</v>
      </c>
      <c r="H4" s="4">
        <f>VLOOKUP(A4,[1]SummaryTable!$A$2:$F$359,5,FALSE)</f>
        <v>0.5160934166635075</v>
      </c>
      <c r="I4" s="4">
        <f>VLOOKUP(A4,[1]SummaryTable!$A$2:$F$359,6,FALSE)</f>
        <v>0.4839065833364925</v>
      </c>
      <c r="J4" s="4" t="str">
        <f>IF(I4&gt;0.1,[2]Processes!$A$6,[2]Processes!$A$5)</f>
        <v>Heatpl</v>
      </c>
      <c r="K4" s="23" t="str">
        <f t="shared" ref="K4:K67" si="3">IF(G4&gt;$N$1,$A4&amp;"L"&amp;K$1,"-")</f>
        <v>H190L1</v>
      </c>
      <c r="L4" s="4" t="str">
        <f t="shared" ref="L4:L67" si="4">IF(K4="-","-",$A4)</f>
        <v>H190</v>
      </c>
      <c r="M4" s="4" t="str">
        <f t="shared" ref="M4:M67" si="5">IF(L4="-","-","Heatpl")</f>
        <v>Heatpl</v>
      </c>
      <c r="N4" s="4">
        <f t="shared" ref="N4:N67" si="6">IF(M4="-",0,G4)</f>
        <v>1073.06988</v>
      </c>
      <c r="O4" s="23" t="str">
        <f t="shared" ref="O4:O67" si="7">IF(G4*I4&gt;$N$1,$A4&amp;"L"&amp;O$1,"-")</f>
        <v>H190L2</v>
      </c>
      <c r="P4" s="4" t="str">
        <f t="shared" ref="P4:P67" si="8">IF(O4="-","-",A4)</f>
        <v>H190</v>
      </c>
      <c r="Q4" s="4" t="str">
        <f t="shared" ref="Q4:Q67" si="9">IF(P4="-","-","CHPpl_")</f>
        <v>CHPpl_</v>
      </c>
      <c r="R4" s="4">
        <f t="shared" ref="R4:R67" si="10">IF(Q4="-",0,G4*I4)</f>
        <v>519.26557931210004</v>
      </c>
      <c r="S4" s="23" t="str">
        <f t="shared" ref="S4:S67" si="11">IF(G4&gt;$N$1,$A4&amp;"L"&amp;S$1,"-")</f>
        <v>H190L3</v>
      </c>
      <c r="T4" s="4" t="str">
        <f t="shared" ref="T4:T67" si="12">IF(S4="-","-",$A4)</f>
        <v>H190</v>
      </c>
      <c r="U4" s="4" t="str">
        <f t="shared" ref="U4:U67" si="13">IF(T4="-","-","TerHea")</f>
        <v>TerHea</v>
      </c>
      <c r="V4" s="4">
        <f t="shared" ref="V4:V67" si="14">IF(U4="-",0,9999)</f>
        <v>9999</v>
      </c>
      <c r="W4" s="23">
        <f>VLOOKUP(A4,[1]SummaryTable!$A$2:$F$359,4,FALSE)</f>
        <v>894.22490000000005</v>
      </c>
      <c r="AA4" s="2"/>
    </row>
    <row r="5" spans="1:27" x14ac:dyDescent="0.25">
      <c r="A5" s="14" t="s">
        <v>175</v>
      </c>
      <c r="B5" s="14" t="str">
        <f t="shared" si="0"/>
        <v>H176</v>
      </c>
      <c r="C5" s="14">
        <v>4</v>
      </c>
      <c r="D5" s="61">
        <v>12</v>
      </c>
      <c r="E5" s="15">
        <f>VLOOKUP(A5,[1]SummaryTable!$A$2:$F$359,2,FALSE)</f>
        <v>6586695.0963807702</v>
      </c>
      <c r="F5" s="15">
        <f>VLOOKUP(A5,[1]SummaryTable!$A$2:$F$359,3,FALSE)</f>
        <v>583369.67015643895</v>
      </c>
      <c r="G5" s="62">
        <f t="shared" si="1"/>
        <v>1008.2172</v>
      </c>
      <c r="H5" s="4">
        <f>VLOOKUP(A5,[1]SummaryTable!$A$2:$F$359,5,FALSE)</f>
        <v>0.6537166947161448</v>
      </c>
      <c r="I5" s="4">
        <f>VLOOKUP(A5,[1]SummaryTable!$A$2:$F$359,6,FALSE)</f>
        <v>0.3462833052838552</v>
      </c>
      <c r="J5" s="4" t="str">
        <f>IF(I5&gt;0.1,[2]Processes!$A$6,[2]Processes!$A$5)</f>
        <v>Heatpl</v>
      </c>
      <c r="K5" s="23" t="str">
        <f t="shared" si="3"/>
        <v>H176L1</v>
      </c>
      <c r="L5" s="4" t="str">
        <f t="shared" si="4"/>
        <v>H176</v>
      </c>
      <c r="M5" s="4" t="str">
        <f t="shared" si="5"/>
        <v>Heatpl</v>
      </c>
      <c r="N5" s="4">
        <f t="shared" si="6"/>
        <v>1008.2172</v>
      </c>
      <c r="O5" s="23" t="str">
        <f t="shared" si="7"/>
        <v>H176L2</v>
      </c>
      <c r="P5" s="4" t="str">
        <f t="shared" si="8"/>
        <v>H176</v>
      </c>
      <c r="Q5" s="4" t="str">
        <f t="shared" si="9"/>
        <v>CHPpl_</v>
      </c>
      <c r="R5" s="4">
        <f t="shared" si="10"/>
        <v>349.12878446003373</v>
      </c>
      <c r="S5" s="23" t="str">
        <f t="shared" si="11"/>
        <v>H176L3</v>
      </c>
      <c r="T5" s="4" t="str">
        <f t="shared" si="12"/>
        <v>H176</v>
      </c>
      <c r="U5" s="4" t="str">
        <f t="shared" si="13"/>
        <v>TerHea</v>
      </c>
      <c r="V5" s="4">
        <f t="shared" si="14"/>
        <v>9999</v>
      </c>
      <c r="W5" s="23">
        <f>VLOOKUP(A5,[1]SummaryTable!$A$2:$F$359,4,FALSE)</f>
        <v>840.18100000000004</v>
      </c>
      <c r="AA5" s="2"/>
    </row>
    <row r="6" spans="1:27" x14ac:dyDescent="0.25">
      <c r="A6" s="14" t="s">
        <v>319</v>
      </c>
      <c r="B6" s="14" t="str">
        <f t="shared" si="0"/>
        <v>H320</v>
      </c>
      <c r="C6" s="14">
        <v>7</v>
      </c>
      <c r="D6" s="61">
        <v>21</v>
      </c>
      <c r="E6" s="15">
        <f>VLOOKUP(A6,[1]SummaryTable!$A$2:$F$359,2,FALSE)</f>
        <v>6302421.5119920401</v>
      </c>
      <c r="F6" s="15">
        <f>VLOOKUP(A6,[1]SummaryTable!$A$2:$F$359,3,FALSE)</f>
        <v>488455.87398813298</v>
      </c>
      <c r="G6" s="62">
        <f t="shared" si="1"/>
        <v>920.64</v>
      </c>
      <c r="H6" s="4">
        <f>VLOOKUP(A6,[1]SummaryTable!$A$2:$F$359,5,FALSE)</f>
        <v>0.49060845853954826</v>
      </c>
      <c r="I6" s="4">
        <f>VLOOKUP(A6,[1]SummaryTable!$A$2:$F$359,6,FALSE)</f>
        <v>0.50939154146045174</v>
      </c>
      <c r="J6" s="4" t="str">
        <f>IF(I6&gt;0.1,[2]Processes!$A$6,[2]Processes!$A$5)</f>
        <v>Heatpl</v>
      </c>
      <c r="K6" s="23" t="str">
        <f t="shared" si="3"/>
        <v>H320L1</v>
      </c>
      <c r="L6" s="4" t="str">
        <f t="shared" si="4"/>
        <v>H320</v>
      </c>
      <c r="M6" s="4" t="str">
        <f t="shared" si="5"/>
        <v>Heatpl</v>
      </c>
      <c r="N6" s="4">
        <f t="shared" si="6"/>
        <v>920.64</v>
      </c>
      <c r="O6" s="23" t="str">
        <f t="shared" si="7"/>
        <v>H320L2</v>
      </c>
      <c r="P6" s="4" t="str">
        <f t="shared" si="8"/>
        <v>H320</v>
      </c>
      <c r="Q6" s="4" t="str">
        <f t="shared" si="9"/>
        <v>CHPpl_</v>
      </c>
      <c r="R6" s="4">
        <f t="shared" si="10"/>
        <v>468.96622873015031</v>
      </c>
      <c r="S6" s="23" t="str">
        <f t="shared" si="11"/>
        <v>H320L3</v>
      </c>
      <c r="T6" s="4" t="str">
        <f t="shared" si="12"/>
        <v>H320</v>
      </c>
      <c r="U6" s="4" t="str">
        <f t="shared" si="13"/>
        <v>TerHea</v>
      </c>
      <c r="V6" s="4">
        <f t="shared" si="14"/>
        <v>9999</v>
      </c>
      <c r="W6" s="23">
        <f>VLOOKUP(A6,[1]SummaryTable!$A$2:$F$359,4,FALSE)</f>
        <v>767.2</v>
      </c>
      <c r="AA6" s="2"/>
    </row>
    <row r="7" spans="1:27" x14ac:dyDescent="0.25">
      <c r="A7" s="14" t="s">
        <v>85</v>
      </c>
      <c r="B7" s="14" t="str">
        <f t="shared" si="0"/>
        <v>H86</v>
      </c>
      <c r="C7" s="14">
        <v>23</v>
      </c>
      <c r="D7" s="61">
        <v>12</v>
      </c>
      <c r="E7" s="15">
        <f>VLOOKUP(A7,[1]SummaryTable!$A$2:$F$359,2,FALSE)</f>
        <v>7002099.5223458903</v>
      </c>
      <c r="F7" s="15">
        <f>VLOOKUP(A7,[1]SummaryTable!$A$2:$F$359,3,FALSE)</f>
        <v>481788.12780181202</v>
      </c>
      <c r="G7" s="62">
        <f t="shared" si="1"/>
        <v>683.03963999999996</v>
      </c>
      <c r="H7" s="4">
        <f>VLOOKUP(A7,[1]SummaryTable!$A$2:$F$359,5,FALSE)</f>
        <v>0.52621228329480274</v>
      </c>
      <c r="I7" s="4">
        <f>VLOOKUP(A7,[1]SummaryTable!$A$2:$F$359,6,FALSE)</f>
        <v>0.47378771670519726</v>
      </c>
      <c r="J7" s="4" t="str">
        <f>IF(I7&gt;0.1,[2]Processes!$A$6,[2]Processes!$A$5)</f>
        <v>Heatpl</v>
      </c>
      <c r="K7" s="23" t="str">
        <f t="shared" si="3"/>
        <v>H86L1</v>
      </c>
      <c r="L7" s="4" t="str">
        <f t="shared" si="4"/>
        <v>H86</v>
      </c>
      <c r="M7" s="4" t="str">
        <f t="shared" si="5"/>
        <v>Heatpl</v>
      </c>
      <c r="N7" s="4">
        <f t="shared" si="6"/>
        <v>683.03963999999996</v>
      </c>
      <c r="O7" s="23" t="str">
        <f t="shared" si="7"/>
        <v>H86L2</v>
      </c>
      <c r="P7" s="4" t="str">
        <f t="shared" si="8"/>
        <v>H86</v>
      </c>
      <c r="Q7" s="4" t="str">
        <f t="shared" si="9"/>
        <v>CHPpl_</v>
      </c>
      <c r="R7" s="4">
        <f t="shared" si="10"/>
        <v>323.61579145473991</v>
      </c>
      <c r="S7" s="23" t="str">
        <f t="shared" si="11"/>
        <v>H86L3</v>
      </c>
      <c r="T7" s="4" t="str">
        <f t="shared" si="12"/>
        <v>H86</v>
      </c>
      <c r="U7" s="4" t="str">
        <f t="shared" si="13"/>
        <v>TerHea</v>
      </c>
      <c r="V7" s="4">
        <f t="shared" si="14"/>
        <v>9999</v>
      </c>
      <c r="W7" s="23">
        <f>VLOOKUP(A7,[1]SummaryTable!$A$2:$F$359,4,FALSE)</f>
        <v>569.19970000000001</v>
      </c>
      <c r="AA7" s="2"/>
    </row>
    <row r="8" spans="1:27" x14ac:dyDescent="0.25">
      <c r="A8" s="14" t="s">
        <v>181</v>
      </c>
      <c r="B8" s="14" t="str">
        <f t="shared" si="0"/>
        <v>H182</v>
      </c>
      <c r="C8" s="14">
        <v>17</v>
      </c>
      <c r="D8" s="61">
        <v>31</v>
      </c>
      <c r="E8" s="15">
        <f>VLOOKUP(A8,[1]SummaryTable!$A$2:$F$359,2,FALSE)</f>
        <v>6579971.9682882903</v>
      </c>
      <c r="F8" s="15">
        <f>VLOOKUP(A8,[1]SummaryTable!$A$2:$F$359,3,FALSE)</f>
        <v>414797.68009715597</v>
      </c>
      <c r="G8" s="62">
        <f t="shared" si="1"/>
        <v>671.94240000000002</v>
      </c>
      <c r="H8" s="4">
        <f>VLOOKUP(A8,[1]SummaryTable!$A$2:$F$359,5,FALSE)</f>
        <v>0.60849749889722893</v>
      </c>
      <c r="I8" s="4">
        <f>VLOOKUP(A8,[1]SummaryTable!$A$2:$F$359,6,FALSE)</f>
        <v>0.39150250110277107</v>
      </c>
      <c r="J8" s="4" t="str">
        <f>IF(I8&gt;0.1,[2]Processes!$A$6,[2]Processes!$A$5)</f>
        <v>Heatpl</v>
      </c>
      <c r="K8" s="23" t="str">
        <f t="shared" si="3"/>
        <v>H182L1</v>
      </c>
      <c r="L8" s="4" t="str">
        <f t="shared" si="4"/>
        <v>H182</v>
      </c>
      <c r="M8" s="4" t="str">
        <f t="shared" si="5"/>
        <v>Heatpl</v>
      </c>
      <c r="N8" s="4">
        <f t="shared" si="6"/>
        <v>671.94240000000002</v>
      </c>
      <c r="O8" s="23" t="str">
        <f t="shared" si="7"/>
        <v>H182L2</v>
      </c>
      <c r="P8" s="4" t="str">
        <f t="shared" si="8"/>
        <v>H182</v>
      </c>
      <c r="Q8" s="4" t="str">
        <f t="shared" si="9"/>
        <v>CHPpl_</v>
      </c>
      <c r="R8" s="4">
        <f t="shared" si="10"/>
        <v>263.06713019699868</v>
      </c>
      <c r="S8" s="23" t="str">
        <f t="shared" si="11"/>
        <v>H182L3</v>
      </c>
      <c r="T8" s="4" t="str">
        <f t="shared" si="12"/>
        <v>H182</v>
      </c>
      <c r="U8" s="4" t="str">
        <f t="shared" si="13"/>
        <v>TerHea</v>
      </c>
      <c r="V8" s="4">
        <f t="shared" si="14"/>
        <v>9999</v>
      </c>
      <c r="W8" s="23">
        <f>VLOOKUP(A8,[1]SummaryTable!$A$2:$F$359,4,FALSE)</f>
        <v>559.952</v>
      </c>
      <c r="AA8" s="2"/>
    </row>
    <row r="9" spans="1:27" x14ac:dyDescent="0.25">
      <c r="A9" s="14" t="s">
        <v>267</v>
      </c>
      <c r="B9" s="14" t="str">
        <f t="shared" si="0"/>
        <v>H268</v>
      </c>
      <c r="C9" s="14">
        <v>6</v>
      </c>
      <c r="D9" s="61">
        <v>21</v>
      </c>
      <c r="E9" s="15">
        <f>VLOOKUP(A9,[1]SummaryTable!$A$2:$F$359,2,FALSE)</f>
        <v>6402243.0772894695</v>
      </c>
      <c r="F9" s="15">
        <f>VLOOKUP(A9,[1]SummaryTable!$A$2:$F$359,3,FALSE)</f>
        <v>450109.38146477198</v>
      </c>
      <c r="G9" s="62">
        <f t="shared" si="1"/>
        <v>664.71599999999989</v>
      </c>
      <c r="H9" s="4">
        <f>VLOOKUP(A9,[1]SummaryTable!$A$2:$F$359,5,FALSE)</f>
        <v>0.58766182069607953</v>
      </c>
      <c r="I9" s="4">
        <f>VLOOKUP(A9,[1]SummaryTable!$A$2:$F$359,6,FALSE)</f>
        <v>0.41233817930392047</v>
      </c>
      <c r="J9" s="4" t="str">
        <f>IF(I9&gt;0.1,[2]Processes!$A$6,[2]Processes!$A$5)</f>
        <v>Heatpl</v>
      </c>
      <c r="K9" s="23" t="str">
        <f t="shared" si="3"/>
        <v>H268L1</v>
      </c>
      <c r="L9" s="4" t="str">
        <f t="shared" si="4"/>
        <v>H268</v>
      </c>
      <c r="M9" s="4" t="str">
        <f t="shared" si="5"/>
        <v>Heatpl</v>
      </c>
      <c r="N9" s="4">
        <f t="shared" si="6"/>
        <v>664.71599999999989</v>
      </c>
      <c r="O9" s="23" t="str">
        <f t="shared" si="7"/>
        <v>H268L2</v>
      </c>
      <c r="P9" s="4" t="str">
        <f t="shared" si="8"/>
        <v>H268</v>
      </c>
      <c r="Q9" s="4" t="str">
        <f t="shared" si="9"/>
        <v>CHPpl_</v>
      </c>
      <c r="R9" s="4">
        <f t="shared" si="10"/>
        <v>274.08778519418473</v>
      </c>
      <c r="S9" s="23" t="str">
        <f t="shared" si="11"/>
        <v>H268L3</v>
      </c>
      <c r="T9" s="4" t="str">
        <f t="shared" si="12"/>
        <v>H268</v>
      </c>
      <c r="U9" s="4" t="str">
        <f t="shared" si="13"/>
        <v>TerHea</v>
      </c>
      <c r="V9" s="4">
        <f t="shared" si="14"/>
        <v>9999</v>
      </c>
      <c r="W9" s="23">
        <f>VLOOKUP(A9,[1]SummaryTable!$A$2:$F$359,4,FALSE)</f>
        <v>553.92999999999995</v>
      </c>
      <c r="AA9" s="2"/>
    </row>
    <row r="10" spans="1:27" x14ac:dyDescent="0.25">
      <c r="A10" s="14" t="s">
        <v>325</v>
      </c>
      <c r="B10" s="14" t="str">
        <f t="shared" si="0"/>
        <v>H326</v>
      </c>
      <c r="C10" s="14">
        <v>8</v>
      </c>
      <c r="D10" s="61">
        <v>21</v>
      </c>
      <c r="E10" s="15">
        <f>VLOOKUP(A10,[1]SummaryTable!$A$2:$F$359,2,FALSE)</f>
        <v>6279434.0733405501</v>
      </c>
      <c r="F10" s="15">
        <f>VLOOKUP(A10,[1]SummaryTable!$A$2:$F$359,3,FALSE)</f>
        <v>583418.888945285</v>
      </c>
      <c r="G10" s="62">
        <f t="shared" si="1"/>
        <v>637.07999999999993</v>
      </c>
      <c r="H10" s="4">
        <f>VLOOKUP(A10,[1]SummaryTable!$A$2:$F$359,5,FALSE)</f>
        <v>0.52461777242838126</v>
      </c>
      <c r="I10" s="4">
        <f>VLOOKUP(A10,[1]SummaryTable!$A$2:$F$359,6,FALSE)</f>
        <v>0.47538222757161874</v>
      </c>
      <c r="J10" s="4" t="str">
        <f>IF(I10&gt;0.1,[2]Processes!$A$6,[2]Processes!$A$5)</f>
        <v>Heatpl</v>
      </c>
      <c r="K10" s="23" t="str">
        <f t="shared" si="3"/>
        <v>H326L1</v>
      </c>
      <c r="L10" s="4" t="str">
        <f t="shared" si="4"/>
        <v>H326</v>
      </c>
      <c r="M10" s="4" t="str">
        <f t="shared" si="5"/>
        <v>Heatpl</v>
      </c>
      <c r="N10" s="4">
        <f t="shared" si="6"/>
        <v>637.07999999999993</v>
      </c>
      <c r="O10" s="23" t="str">
        <f t="shared" si="7"/>
        <v>H326L2</v>
      </c>
      <c r="P10" s="4" t="str">
        <f t="shared" si="8"/>
        <v>H326</v>
      </c>
      <c r="Q10" s="4" t="str">
        <f t="shared" si="9"/>
        <v>CHPpl_</v>
      </c>
      <c r="R10" s="4">
        <f t="shared" si="10"/>
        <v>302.85650954132683</v>
      </c>
      <c r="S10" s="23" t="str">
        <f t="shared" si="11"/>
        <v>H326L3</v>
      </c>
      <c r="T10" s="4" t="str">
        <f t="shared" si="12"/>
        <v>H326</v>
      </c>
      <c r="U10" s="4" t="str">
        <f t="shared" si="13"/>
        <v>TerHea</v>
      </c>
      <c r="V10" s="4">
        <f t="shared" si="14"/>
        <v>9999</v>
      </c>
      <c r="W10" s="23">
        <f>VLOOKUP(A10,[1]SummaryTable!$A$2:$F$359,4,FALSE)</f>
        <v>530.9</v>
      </c>
      <c r="AA10" s="2"/>
    </row>
    <row r="11" spans="1:27" x14ac:dyDescent="0.25">
      <c r="A11" s="14" t="s">
        <v>273</v>
      </c>
      <c r="B11" s="14" t="str">
        <f t="shared" si="0"/>
        <v>H274</v>
      </c>
      <c r="C11" s="14">
        <v>14</v>
      </c>
      <c r="D11" s="61">
        <v>23</v>
      </c>
      <c r="E11" s="15">
        <f>VLOOKUP(A11,[1]SummaryTable!$A$2:$F$359,2,FALSE)</f>
        <v>6396012.8478683997</v>
      </c>
      <c r="F11" s="15">
        <f>VLOOKUP(A11,[1]SummaryTable!$A$2:$F$359,3,FALSE)</f>
        <v>376954.59363541898</v>
      </c>
      <c r="G11" s="62">
        <f t="shared" si="1"/>
        <v>621.86340000000018</v>
      </c>
      <c r="H11" s="4">
        <f>VLOOKUP(A11,[1]SummaryTable!$A$2:$F$359,5,FALSE)</f>
        <v>0.74670371010023717</v>
      </c>
      <c r="I11" s="4">
        <f>VLOOKUP(A11,[1]SummaryTable!$A$2:$F$359,6,FALSE)</f>
        <v>0.25329628989976283</v>
      </c>
      <c r="J11" s="4" t="str">
        <f>IF(I11&gt;0.1,[2]Processes!$A$6,[2]Processes!$A$5)</f>
        <v>Heatpl</v>
      </c>
      <c r="K11" s="23" t="str">
        <f t="shared" si="3"/>
        <v>H274L1</v>
      </c>
      <c r="L11" s="4" t="str">
        <f t="shared" si="4"/>
        <v>H274</v>
      </c>
      <c r="M11" s="4" t="str">
        <f t="shared" si="5"/>
        <v>Heatpl</v>
      </c>
      <c r="N11" s="4">
        <f t="shared" si="6"/>
        <v>621.86340000000018</v>
      </c>
      <c r="O11" s="23" t="str">
        <f t="shared" si="7"/>
        <v>H274L2</v>
      </c>
      <c r="P11" s="4" t="str">
        <f t="shared" si="8"/>
        <v>H274</v>
      </c>
      <c r="Q11" s="4" t="str">
        <f t="shared" si="9"/>
        <v>CHPpl_</v>
      </c>
      <c r="R11" s="4">
        <f t="shared" si="10"/>
        <v>157.51569204445221</v>
      </c>
      <c r="S11" s="23" t="str">
        <f t="shared" si="11"/>
        <v>H274L3</v>
      </c>
      <c r="T11" s="4" t="str">
        <f t="shared" si="12"/>
        <v>H274</v>
      </c>
      <c r="U11" s="4" t="str">
        <f t="shared" si="13"/>
        <v>TerHea</v>
      </c>
      <c r="V11" s="4">
        <f t="shared" si="14"/>
        <v>9999</v>
      </c>
      <c r="W11" s="23">
        <f>VLOOKUP(A11,[1]SummaryTable!$A$2:$F$359,4,FALSE)</f>
        <v>518.21950000000015</v>
      </c>
      <c r="AA11" s="2"/>
    </row>
    <row r="12" spans="1:27" x14ac:dyDescent="0.25">
      <c r="A12" s="14" t="s">
        <v>71</v>
      </c>
      <c r="B12" s="14" t="str">
        <f t="shared" si="0"/>
        <v>H72</v>
      </c>
      <c r="C12" s="14">
        <v>24</v>
      </c>
      <c r="D12" s="61">
        <v>33</v>
      </c>
      <c r="E12" s="15">
        <f>VLOOKUP(A12,[1]SummaryTable!$A$2:$F$359,2,FALSE)</f>
        <v>7094648.9431786397</v>
      </c>
      <c r="F12" s="15">
        <f>VLOOKUP(A12,[1]SummaryTable!$A$2:$F$359,3,FALSE)</f>
        <v>765953.48217487405</v>
      </c>
      <c r="G12" s="62">
        <f t="shared" si="1"/>
        <v>588.94799999999998</v>
      </c>
      <c r="H12" s="4">
        <f>VLOOKUP(A12,[1]SummaryTable!$A$2:$F$359,5,FALSE)</f>
        <v>0.58862122573559827</v>
      </c>
      <c r="I12" s="4">
        <f>VLOOKUP(A12,[1]SummaryTable!$A$2:$F$359,6,FALSE)</f>
        <v>0.41137877426440173</v>
      </c>
      <c r="J12" s="4" t="str">
        <f>IF(I12&gt;0.1,[2]Processes!$A$6,[2]Processes!$A$5)</f>
        <v>Heatpl</v>
      </c>
      <c r="K12" s="23" t="str">
        <f t="shared" si="3"/>
        <v>H72L1</v>
      </c>
      <c r="L12" s="4" t="str">
        <f t="shared" si="4"/>
        <v>H72</v>
      </c>
      <c r="M12" s="4" t="str">
        <f t="shared" si="5"/>
        <v>Heatpl</v>
      </c>
      <c r="N12" s="4">
        <f t="shared" si="6"/>
        <v>588.94799999999998</v>
      </c>
      <c r="O12" s="23" t="str">
        <f t="shared" si="7"/>
        <v>H72L2</v>
      </c>
      <c r="P12" s="4" t="str">
        <f t="shared" si="8"/>
        <v>H72</v>
      </c>
      <c r="Q12" s="4" t="str">
        <f t="shared" si="9"/>
        <v>CHPpl_</v>
      </c>
      <c r="R12" s="4">
        <f t="shared" si="10"/>
        <v>242.28070634547086</v>
      </c>
      <c r="S12" s="23" t="str">
        <f t="shared" si="11"/>
        <v>H72L3</v>
      </c>
      <c r="T12" s="4" t="str">
        <f t="shared" si="12"/>
        <v>H72</v>
      </c>
      <c r="U12" s="4" t="str">
        <f t="shared" si="13"/>
        <v>TerHea</v>
      </c>
      <c r="V12" s="4">
        <f t="shared" si="14"/>
        <v>9999</v>
      </c>
      <c r="W12" s="23">
        <f>VLOOKUP(A12,[1]SummaryTable!$A$2:$F$359,4,FALSE)</f>
        <v>490.78999999999996</v>
      </c>
      <c r="AA12" s="2"/>
    </row>
    <row r="13" spans="1:27" x14ac:dyDescent="0.25">
      <c r="A13" s="14" t="s">
        <v>347</v>
      </c>
      <c r="B13" s="14" t="str">
        <f t="shared" si="0"/>
        <v>H348</v>
      </c>
      <c r="C13" s="14">
        <v>12</v>
      </c>
      <c r="D13" s="61">
        <v>22</v>
      </c>
      <c r="E13" s="15">
        <f>VLOOKUP(A13,[1]SummaryTable!$A$2:$F$359,2,FALSE)</f>
        <v>6209659.44064881</v>
      </c>
      <c r="F13" s="15">
        <f>VLOOKUP(A13,[1]SummaryTable!$A$2:$F$359,3,FALSE)</f>
        <v>356474.53024613601</v>
      </c>
      <c r="G13" s="62">
        <f t="shared" si="1"/>
        <v>564.4799999999999</v>
      </c>
      <c r="H13" s="4">
        <f>VLOOKUP(A13,[1]SummaryTable!$A$2:$F$359,5,FALSE)</f>
        <v>0.48830678506210662</v>
      </c>
      <c r="I13" s="4">
        <f>VLOOKUP(A13,[1]SummaryTable!$A$2:$F$359,6,FALSE)</f>
        <v>0.51169321493789344</v>
      </c>
      <c r="J13" s="4" t="str">
        <f>IF(I13&gt;0.1,[2]Processes!$A$6,[2]Processes!$A$5)</f>
        <v>Heatpl</v>
      </c>
      <c r="K13" s="23" t="str">
        <f t="shared" si="3"/>
        <v>H348L1</v>
      </c>
      <c r="L13" s="4" t="str">
        <f t="shared" si="4"/>
        <v>H348</v>
      </c>
      <c r="M13" s="4" t="str">
        <f t="shared" si="5"/>
        <v>Heatpl</v>
      </c>
      <c r="N13" s="4">
        <f t="shared" si="6"/>
        <v>564.4799999999999</v>
      </c>
      <c r="O13" s="23" t="str">
        <f t="shared" si="7"/>
        <v>H348L2</v>
      </c>
      <c r="P13" s="4" t="str">
        <f t="shared" si="8"/>
        <v>H348</v>
      </c>
      <c r="Q13" s="4" t="str">
        <f t="shared" si="9"/>
        <v>CHPpl_</v>
      </c>
      <c r="R13" s="4">
        <f t="shared" si="10"/>
        <v>288.84058596814202</v>
      </c>
      <c r="S13" s="23" t="str">
        <f t="shared" si="11"/>
        <v>H348L3</v>
      </c>
      <c r="T13" s="4" t="str">
        <f t="shared" si="12"/>
        <v>H348</v>
      </c>
      <c r="U13" s="4" t="str">
        <f t="shared" si="13"/>
        <v>TerHea</v>
      </c>
      <c r="V13" s="4">
        <f t="shared" si="14"/>
        <v>9999</v>
      </c>
      <c r="W13" s="23">
        <f>VLOOKUP(A13,[1]SummaryTable!$A$2:$F$359,4,FALSE)</f>
        <v>470.4</v>
      </c>
      <c r="AA13" s="2"/>
    </row>
    <row r="14" spans="1:27" x14ac:dyDescent="0.25">
      <c r="A14" s="14" t="s">
        <v>349</v>
      </c>
      <c r="B14" s="14" t="str">
        <f t="shared" si="0"/>
        <v>H350</v>
      </c>
      <c r="C14" s="14">
        <v>12</v>
      </c>
      <c r="D14" s="61">
        <v>22</v>
      </c>
      <c r="E14" s="15">
        <f>VLOOKUP(A14,[1]SummaryTable!$A$2:$F$359,2,FALSE)</f>
        <v>6207231.7792394096</v>
      </c>
      <c r="F14" s="15">
        <f>VLOOKUP(A14,[1]SummaryTable!$A$2:$F$359,3,FALSE)</f>
        <v>447164.46725695097</v>
      </c>
      <c r="G14" s="62">
        <f t="shared" si="1"/>
        <v>530.66039999999998</v>
      </c>
      <c r="H14" s="4">
        <f>VLOOKUP(A14,[1]SummaryTable!$A$2:$F$359,5,FALSE)</f>
        <v>0.61084259347199799</v>
      </c>
      <c r="I14" s="4">
        <f>VLOOKUP(A14,[1]SummaryTable!$A$2:$F$359,6,FALSE)</f>
        <v>0.38915740652800201</v>
      </c>
      <c r="J14" s="4" t="str">
        <f>IF(I14&gt;0.1,[2]Processes!$A$6,[2]Processes!$A$5)</f>
        <v>Heatpl</v>
      </c>
      <c r="K14" s="23" t="str">
        <f t="shared" si="3"/>
        <v>H350L1</v>
      </c>
      <c r="L14" s="4" t="str">
        <f t="shared" si="4"/>
        <v>H350</v>
      </c>
      <c r="M14" s="4" t="str">
        <f t="shared" si="5"/>
        <v>Heatpl</v>
      </c>
      <c r="N14" s="4">
        <f t="shared" si="6"/>
        <v>530.66039999999998</v>
      </c>
      <c r="O14" s="23" t="str">
        <f t="shared" si="7"/>
        <v>H350L2</v>
      </c>
      <c r="P14" s="4" t="str">
        <f t="shared" si="8"/>
        <v>H350</v>
      </c>
      <c r="Q14" s="4" t="str">
        <f t="shared" si="9"/>
        <v>CHPpl_</v>
      </c>
      <c r="R14" s="4">
        <f t="shared" si="10"/>
        <v>206.51042501111215</v>
      </c>
      <c r="S14" s="23" t="str">
        <f t="shared" si="11"/>
        <v>H350L3</v>
      </c>
      <c r="T14" s="4" t="str">
        <f t="shared" si="12"/>
        <v>H350</v>
      </c>
      <c r="U14" s="4" t="str">
        <f t="shared" si="13"/>
        <v>TerHea</v>
      </c>
      <c r="V14" s="4">
        <f t="shared" si="14"/>
        <v>9999</v>
      </c>
      <c r="W14" s="23">
        <f>VLOOKUP(A14,[1]SummaryTable!$A$2:$F$359,4,FALSE)</f>
        <v>442.21699999999998</v>
      </c>
      <c r="AA14" s="2"/>
    </row>
    <row r="15" spans="1:27" x14ac:dyDescent="0.25">
      <c r="A15" s="14" t="s">
        <v>157</v>
      </c>
      <c r="B15" s="14" t="str">
        <f t="shared" si="0"/>
        <v>H158</v>
      </c>
      <c r="C15" s="14">
        <v>19</v>
      </c>
      <c r="D15" s="61">
        <v>12</v>
      </c>
      <c r="E15" s="15">
        <f>VLOOKUP(A15,[1]SummaryTable!$A$2:$F$359,2,FALSE)</f>
        <v>6608483.1389010502</v>
      </c>
      <c r="F15" s="15">
        <f>VLOOKUP(A15,[1]SummaryTable!$A$2:$F$359,3,FALSE)</f>
        <v>587306.32478014496</v>
      </c>
      <c r="G15" s="62">
        <f t="shared" si="1"/>
        <v>524.19595799999991</v>
      </c>
      <c r="H15" s="4">
        <f>VLOOKUP(A15,[1]SummaryTable!$A$2:$F$359,5,FALSE)</f>
        <v>0.93967468629427409</v>
      </c>
      <c r="I15" s="4">
        <f>VLOOKUP(A15,[1]SummaryTable!$A$2:$F$359,6,FALSE)</f>
        <v>6.0325313705725914E-2</v>
      </c>
      <c r="J15" s="4" t="str">
        <f>IF(I15&gt;0.1,[2]Processes!$A$6,[2]Processes!$A$5)</f>
        <v>Sawmal</v>
      </c>
      <c r="K15" s="23" t="str">
        <f t="shared" si="3"/>
        <v>H158L1</v>
      </c>
      <c r="L15" s="4" t="str">
        <f t="shared" si="4"/>
        <v>H158</v>
      </c>
      <c r="M15" s="4" t="str">
        <f t="shared" si="5"/>
        <v>Heatpl</v>
      </c>
      <c r="N15" s="4">
        <f t="shared" si="6"/>
        <v>524.19595799999991</v>
      </c>
      <c r="O15" s="23" t="str">
        <f t="shared" si="7"/>
        <v>-</v>
      </c>
      <c r="P15" s="4" t="str">
        <f t="shared" si="8"/>
        <v>-</v>
      </c>
      <c r="Q15" s="4" t="str">
        <f t="shared" si="9"/>
        <v>-</v>
      </c>
      <c r="R15" s="4">
        <f t="shared" si="10"/>
        <v>0</v>
      </c>
      <c r="S15" s="23" t="str">
        <f t="shared" si="11"/>
        <v>H158L3</v>
      </c>
      <c r="T15" s="4" t="str">
        <f t="shared" si="12"/>
        <v>H158</v>
      </c>
      <c r="U15" s="4" t="str">
        <f t="shared" si="13"/>
        <v>TerHea</v>
      </c>
      <c r="V15" s="4">
        <f t="shared" si="14"/>
        <v>9999</v>
      </c>
      <c r="W15" s="23">
        <f>VLOOKUP(A15,[1]SummaryTable!$A$2:$F$359,4,FALSE)</f>
        <v>436.82996499999996</v>
      </c>
      <c r="AA15" s="2"/>
    </row>
    <row r="16" spans="1:27" x14ac:dyDescent="0.25">
      <c r="A16" s="14" t="s">
        <v>351</v>
      </c>
      <c r="B16" s="14" t="str">
        <f t="shared" si="0"/>
        <v>H352</v>
      </c>
      <c r="C16" s="14">
        <v>12</v>
      </c>
      <c r="D16" s="61">
        <v>22</v>
      </c>
      <c r="E16" s="15">
        <f>VLOOKUP(A16,[1]SummaryTable!$A$2:$F$359,2,FALSE)</f>
        <v>6186114.0410754401</v>
      </c>
      <c r="F16" s="15">
        <f>VLOOKUP(A16,[1]SummaryTable!$A$2:$F$359,3,FALSE)</f>
        <v>393352.932309417</v>
      </c>
      <c r="G16" s="62">
        <f t="shared" si="1"/>
        <v>501.10667999999993</v>
      </c>
      <c r="H16" s="4">
        <f>VLOOKUP(A16,[1]SummaryTable!$A$2:$F$359,5,FALSE)</f>
        <v>0.56368676541266938</v>
      </c>
      <c r="I16" s="4">
        <f>VLOOKUP(A16,[1]SummaryTable!$A$2:$F$359,6,FALSE)</f>
        <v>0.43631323458733062</v>
      </c>
      <c r="J16" s="4" t="str">
        <f>IF(I16&gt;0.1,[2]Processes!$A$6,[2]Processes!$A$5)</f>
        <v>Heatpl</v>
      </c>
      <c r="K16" s="23" t="str">
        <f t="shared" si="3"/>
        <v>H352L1</v>
      </c>
      <c r="L16" s="4" t="str">
        <f t="shared" si="4"/>
        <v>H352</v>
      </c>
      <c r="M16" s="4" t="str">
        <f t="shared" si="5"/>
        <v>Heatpl</v>
      </c>
      <c r="N16" s="4">
        <f t="shared" si="6"/>
        <v>501.10667999999993</v>
      </c>
      <c r="O16" s="23" t="str">
        <f t="shared" si="7"/>
        <v>H352L2</v>
      </c>
      <c r="P16" s="4" t="str">
        <f t="shared" si="8"/>
        <v>H352</v>
      </c>
      <c r="Q16" s="4" t="str">
        <f t="shared" si="9"/>
        <v>CHPpl_</v>
      </c>
      <c r="R16" s="4">
        <f t="shared" si="10"/>
        <v>218.63947642411839</v>
      </c>
      <c r="S16" s="23" t="str">
        <f t="shared" si="11"/>
        <v>H352L3</v>
      </c>
      <c r="T16" s="4" t="str">
        <f t="shared" si="12"/>
        <v>H352</v>
      </c>
      <c r="U16" s="4" t="str">
        <f t="shared" si="13"/>
        <v>TerHea</v>
      </c>
      <c r="V16" s="4">
        <f t="shared" si="14"/>
        <v>9999</v>
      </c>
      <c r="W16" s="23">
        <f>VLOOKUP(A16,[1]SummaryTable!$A$2:$F$359,4,FALSE)</f>
        <v>417.58889999999997</v>
      </c>
    </row>
    <row r="17" spans="1:23" x14ac:dyDescent="0.25">
      <c r="A17" s="14" t="s">
        <v>59</v>
      </c>
      <c r="B17" s="14" t="str">
        <f t="shared" si="0"/>
        <v>H60</v>
      </c>
      <c r="C17" s="14">
        <v>24</v>
      </c>
      <c r="D17" s="61">
        <v>33</v>
      </c>
      <c r="E17" s="15">
        <f>VLOOKUP(A17,[1]SummaryTable!$A$2:$F$359,2,FALSE)</f>
        <v>7195510.4721916895</v>
      </c>
      <c r="F17" s="15">
        <f>VLOOKUP(A17,[1]SummaryTable!$A$2:$F$359,3,FALSE)</f>
        <v>782863.70452663803</v>
      </c>
      <c r="G17" s="62">
        <f t="shared" si="1"/>
        <v>486.6304799856</v>
      </c>
      <c r="H17" s="4">
        <f>VLOOKUP(A17,[1]SummaryTable!$A$2:$F$359,5,FALSE)</f>
        <v>0.52925059627770477</v>
      </c>
      <c r="I17" s="4">
        <f>VLOOKUP(A17,[1]SummaryTable!$A$2:$F$359,6,FALSE)</f>
        <v>0.47074940372229523</v>
      </c>
      <c r="J17" s="4" t="str">
        <f>IF(I17&gt;0.1,[2]Processes!$A$6,[2]Processes!$A$5)</f>
        <v>Heatpl</v>
      </c>
      <c r="K17" s="23" t="str">
        <f t="shared" si="3"/>
        <v>H60L1</v>
      </c>
      <c r="L17" s="4" t="str">
        <f t="shared" si="4"/>
        <v>H60</v>
      </c>
      <c r="M17" s="4" t="str">
        <f t="shared" si="5"/>
        <v>Heatpl</v>
      </c>
      <c r="N17" s="4">
        <f t="shared" si="6"/>
        <v>486.6304799856</v>
      </c>
      <c r="O17" s="23" t="str">
        <f t="shared" si="7"/>
        <v>H60L2</v>
      </c>
      <c r="P17" s="4" t="str">
        <f t="shared" si="8"/>
        <v>H60</v>
      </c>
      <c r="Q17" s="4" t="str">
        <f t="shared" si="9"/>
        <v>CHPpl_</v>
      </c>
      <c r="R17" s="4">
        <f t="shared" si="10"/>
        <v>229.08100828631552</v>
      </c>
      <c r="S17" s="23" t="str">
        <f t="shared" si="11"/>
        <v>H60L3</v>
      </c>
      <c r="T17" s="4" t="str">
        <f t="shared" si="12"/>
        <v>H60</v>
      </c>
      <c r="U17" s="4" t="str">
        <f t="shared" si="13"/>
        <v>TerHea</v>
      </c>
      <c r="V17" s="4">
        <f t="shared" si="14"/>
        <v>9999</v>
      </c>
      <c r="W17" s="23">
        <f>VLOOKUP(A17,[1]SummaryTable!$A$2:$F$359,4,FALSE)</f>
        <v>405.525399988</v>
      </c>
    </row>
    <row r="18" spans="1:23" x14ac:dyDescent="0.25">
      <c r="A18" s="14" t="s">
        <v>121</v>
      </c>
      <c r="B18" s="14" t="str">
        <f t="shared" si="0"/>
        <v>H122</v>
      </c>
      <c r="C18" s="14">
        <v>20</v>
      </c>
      <c r="D18" s="61">
        <v>31</v>
      </c>
      <c r="E18" s="15">
        <f>VLOOKUP(A18,[1]SummaryTable!$A$2:$F$359,2,FALSE)</f>
        <v>6717141.6776961703</v>
      </c>
      <c r="F18" s="15">
        <f>VLOOKUP(A18,[1]SummaryTable!$A$2:$F$359,3,FALSE)</f>
        <v>534120.68538649299</v>
      </c>
      <c r="G18" s="62">
        <f t="shared" si="1"/>
        <v>395.37600000000003</v>
      </c>
      <c r="H18" s="4">
        <f>VLOOKUP(A18,[1]SummaryTable!$A$2:$F$359,5,FALSE)</f>
        <v>0.61998728302997752</v>
      </c>
      <c r="I18" s="4">
        <f>VLOOKUP(A18,[1]SummaryTable!$A$2:$F$359,6,FALSE)</f>
        <v>0.38001271697002248</v>
      </c>
      <c r="J18" s="4" t="str">
        <f>IF(I18&gt;0.1,[2]Processes!$A$6,[2]Processes!$A$5)</f>
        <v>Heatpl</v>
      </c>
      <c r="K18" s="23" t="str">
        <f t="shared" si="3"/>
        <v>H122L1</v>
      </c>
      <c r="L18" s="4" t="str">
        <f t="shared" si="4"/>
        <v>H122</v>
      </c>
      <c r="M18" s="4" t="str">
        <f t="shared" si="5"/>
        <v>Heatpl</v>
      </c>
      <c r="N18" s="4">
        <f t="shared" si="6"/>
        <v>395.37600000000003</v>
      </c>
      <c r="O18" s="23" t="str">
        <f t="shared" si="7"/>
        <v>H122L2</v>
      </c>
      <c r="P18" s="4" t="str">
        <f t="shared" si="8"/>
        <v>H122</v>
      </c>
      <c r="Q18" s="4" t="str">
        <f t="shared" si="9"/>
        <v>CHPpl_</v>
      </c>
      <c r="R18" s="4">
        <f t="shared" si="10"/>
        <v>150.24790798473961</v>
      </c>
      <c r="S18" s="23" t="str">
        <f t="shared" si="11"/>
        <v>H122L3</v>
      </c>
      <c r="T18" s="4" t="str">
        <f t="shared" si="12"/>
        <v>H122</v>
      </c>
      <c r="U18" s="4" t="str">
        <f t="shared" si="13"/>
        <v>TerHea</v>
      </c>
      <c r="V18" s="4">
        <f t="shared" si="14"/>
        <v>9999</v>
      </c>
      <c r="W18" s="23">
        <f>VLOOKUP(A18,[1]SummaryTable!$A$2:$F$359,4,FALSE)</f>
        <v>329.48</v>
      </c>
    </row>
    <row r="19" spans="1:23" x14ac:dyDescent="0.25">
      <c r="A19" s="14" t="s">
        <v>268</v>
      </c>
      <c r="B19" s="14" t="str">
        <f t="shared" si="0"/>
        <v>H269</v>
      </c>
      <c r="C19" s="14">
        <v>14</v>
      </c>
      <c r="D19" s="61">
        <v>23</v>
      </c>
      <c r="E19" s="15">
        <f>VLOOKUP(A19,[1]SummaryTable!$A$2:$F$359,2,FALSE)</f>
        <v>6399426.5803876603</v>
      </c>
      <c r="F19" s="15">
        <f>VLOOKUP(A19,[1]SummaryTable!$A$2:$F$359,3,FALSE)</f>
        <v>327716.38782402303</v>
      </c>
      <c r="G19" s="62">
        <f t="shared" si="1"/>
        <v>378.92459999999994</v>
      </c>
      <c r="H19" s="4">
        <f>VLOOKUP(A19,[1]SummaryTable!$A$2:$F$359,5,FALSE)</f>
        <v>0.86455079068250307</v>
      </c>
      <c r="I19" s="4">
        <f>VLOOKUP(A19,[1]SummaryTable!$A$2:$F$359,6,FALSE)</f>
        <v>0.13544920931749693</v>
      </c>
      <c r="J19" s="4" t="str">
        <f>IF(I19&gt;0.1,[2]Processes!$A$6,[2]Processes!$A$5)</f>
        <v>Heatpl</v>
      </c>
      <c r="K19" s="23" t="str">
        <f t="shared" si="3"/>
        <v>H269L1</v>
      </c>
      <c r="L19" s="4" t="str">
        <f t="shared" si="4"/>
        <v>H269</v>
      </c>
      <c r="M19" s="4" t="str">
        <f t="shared" si="5"/>
        <v>Heatpl</v>
      </c>
      <c r="N19" s="4">
        <f t="shared" si="6"/>
        <v>378.92459999999994</v>
      </c>
      <c r="O19" s="23" t="str">
        <f t="shared" si="7"/>
        <v>-</v>
      </c>
      <c r="P19" s="4" t="str">
        <f t="shared" si="8"/>
        <v>-</v>
      </c>
      <c r="Q19" s="4" t="str">
        <f t="shared" si="9"/>
        <v>-</v>
      </c>
      <c r="R19" s="4">
        <f t="shared" si="10"/>
        <v>0</v>
      </c>
      <c r="S19" s="23" t="str">
        <f t="shared" si="11"/>
        <v>H269L3</v>
      </c>
      <c r="T19" s="4" t="str">
        <f t="shared" si="12"/>
        <v>H269</v>
      </c>
      <c r="U19" s="4" t="str">
        <f t="shared" si="13"/>
        <v>TerHea</v>
      </c>
      <c r="V19" s="4">
        <f t="shared" si="14"/>
        <v>9999</v>
      </c>
      <c r="W19" s="23">
        <f>VLOOKUP(A19,[1]SummaryTable!$A$2:$F$359,4,FALSE)</f>
        <v>315.77049999999997</v>
      </c>
    </row>
    <row r="20" spans="1:23" x14ac:dyDescent="0.25">
      <c r="A20" s="14" t="s">
        <v>116</v>
      </c>
      <c r="B20" s="14" t="str">
        <f t="shared" si="0"/>
        <v>H117</v>
      </c>
      <c r="C20" s="14">
        <v>21</v>
      </c>
      <c r="D20" s="61">
        <v>31</v>
      </c>
      <c r="E20" s="15">
        <f>VLOOKUP(A20,[1]SummaryTable!$A$2:$F$359,2,FALSE)</f>
        <v>6727738.3617179804</v>
      </c>
      <c r="F20" s="15">
        <f>VLOOKUP(A20,[1]SummaryTable!$A$2:$F$359,3,FALSE)</f>
        <v>617468.97245594196</v>
      </c>
      <c r="G20" s="62">
        <f t="shared" si="1"/>
        <v>369.44664</v>
      </c>
      <c r="H20" s="4">
        <f>VLOOKUP(A20,[1]SummaryTable!$A$2:$F$359,5,FALSE)</f>
        <v>0.66110109616556434</v>
      </c>
      <c r="I20" s="4">
        <f>VLOOKUP(A20,[1]SummaryTable!$A$2:$F$359,6,FALSE)</f>
        <v>0.33889890383443566</v>
      </c>
      <c r="J20" s="4" t="str">
        <f>IF(I20&gt;0.1,[2]Processes!$A$6,[2]Processes!$A$5)</f>
        <v>Heatpl</v>
      </c>
      <c r="K20" s="23" t="str">
        <f t="shared" si="3"/>
        <v>H117L1</v>
      </c>
      <c r="L20" s="4" t="str">
        <f t="shared" si="4"/>
        <v>H117</v>
      </c>
      <c r="M20" s="4" t="str">
        <f t="shared" si="5"/>
        <v>Heatpl</v>
      </c>
      <c r="N20" s="4">
        <f t="shared" si="6"/>
        <v>369.44664</v>
      </c>
      <c r="O20" s="23" t="str">
        <f t="shared" si="7"/>
        <v>H117L2</v>
      </c>
      <c r="P20" s="4" t="str">
        <f t="shared" si="8"/>
        <v>H117</v>
      </c>
      <c r="Q20" s="4" t="str">
        <f t="shared" si="9"/>
        <v>CHPpl_</v>
      </c>
      <c r="R20" s="4">
        <f t="shared" si="10"/>
        <v>125.20506132131537</v>
      </c>
      <c r="S20" s="23" t="str">
        <f t="shared" si="11"/>
        <v>H117L3</v>
      </c>
      <c r="T20" s="4" t="str">
        <f t="shared" si="12"/>
        <v>H117</v>
      </c>
      <c r="U20" s="4" t="str">
        <f t="shared" si="13"/>
        <v>TerHea</v>
      </c>
      <c r="V20" s="4">
        <f t="shared" si="14"/>
        <v>9999</v>
      </c>
      <c r="W20" s="23">
        <f>VLOOKUP(A20,[1]SummaryTable!$A$2:$F$359,4,FALSE)</f>
        <v>307.87220000000002</v>
      </c>
    </row>
    <row r="21" spans="1:23" x14ac:dyDescent="0.25">
      <c r="A21" s="14" t="s">
        <v>192</v>
      </c>
      <c r="B21" s="14" t="str">
        <f t="shared" si="0"/>
        <v>H193</v>
      </c>
      <c r="C21" s="14">
        <v>1</v>
      </c>
      <c r="D21" s="61">
        <v>12</v>
      </c>
      <c r="E21" s="15">
        <f>VLOOKUP(A21,[1]SummaryTable!$A$2:$F$359,2,FALSE)</f>
        <v>6563596.8155395696</v>
      </c>
      <c r="F21" s="15">
        <f>VLOOKUP(A21,[1]SummaryTable!$A$2:$F$359,3,FALSE)</f>
        <v>671486.37453514605</v>
      </c>
      <c r="G21" s="62">
        <f t="shared" si="1"/>
        <v>357.4734522</v>
      </c>
      <c r="H21" s="4">
        <f>VLOOKUP(A21,[1]SummaryTable!$A$2:$F$359,5,FALSE)</f>
        <v>0.47454721322475912</v>
      </c>
      <c r="I21" s="4">
        <f>VLOOKUP(A21,[1]SummaryTable!$A$2:$F$359,6,FALSE)</f>
        <v>0.52545278677524088</v>
      </c>
      <c r="J21" s="4" t="str">
        <f>IF(I21&gt;0.1,[2]Processes!$A$6,[2]Processes!$A$5)</f>
        <v>Heatpl</v>
      </c>
      <c r="K21" s="23" t="str">
        <f t="shared" si="3"/>
        <v>H193L1</v>
      </c>
      <c r="L21" s="4" t="str">
        <f t="shared" si="4"/>
        <v>H193</v>
      </c>
      <c r="M21" s="4" t="str">
        <f t="shared" si="5"/>
        <v>Heatpl</v>
      </c>
      <c r="N21" s="4">
        <f t="shared" si="6"/>
        <v>357.4734522</v>
      </c>
      <c r="O21" s="23" t="str">
        <f t="shared" si="7"/>
        <v>H193L2</v>
      </c>
      <c r="P21" s="4" t="str">
        <f t="shared" si="8"/>
        <v>H193</v>
      </c>
      <c r="Q21" s="4" t="str">
        <f t="shared" si="9"/>
        <v>CHPpl_</v>
      </c>
      <c r="R21" s="4">
        <f t="shared" si="10"/>
        <v>187.83542165665585</v>
      </c>
      <c r="S21" s="23" t="str">
        <f t="shared" si="11"/>
        <v>H193L3</v>
      </c>
      <c r="T21" s="4" t="str">
        <f t="shared" si="12"/>
        <v>H193</v>
      </c>
      <c r="U21" s="4" t="str">
        <f t="shared" si="13"/>
        <v>TerHea</v>
      </c>
      <c r="V21" s="4">
        <f t="shared" si="14"/>
        <v>9999</v>
      </c>
      <c r="W21" s="23">
        <f>VLOOKUP(A21,[1]SummaryTable!$A$2:$F$359,4,FALSE)</f>
        <v>297.8945435</v>
      </c>
    </row>
    <row r="22" spans="1:23" x14ac:dyDescent="0.25">
      <c r="A22" s="14" t="s">
        <v>235</v>
      </c>
      <c r="B22" s="14" t="str">
        <f t="shared" si="0"/>
        <v>H236</v>
      </c>
      <c r="C22" s="14">
        <v>14</v>
      </c>
      <c r="D22" s="61">
        <v>23</v>
      </c>
      <c r="E22" s="15">
        <f>VLOOKUP(A22,[1]SummaryTable!$A$2:$F$359,2,FALSE)</f>
        <v>6459951.5511551704</v>
      </c>
      <c r="F22" s="15">
        <f>VLOOKUP(A22,[1]SummaryTable!$A$2:$F$359,3,FALSE)</f>
        <v>341575.48158309702</v>
      </c>
      <c r="G22" s="62">
        <f t="shared" si="1"/>
        <v>356.88023999999996</v>
      </c>
      <c r="H22" s="4">
        <f>VLOOKUP(A22,[1]SummaryTable!$A$2:$F$359,5,FALSE)</f>
        <v>0.92817715597650596</v>
      </c>
      <c r="I22" s="4">
        <f>VLOOKUP(A22,[1]SummaryTable!$A$2:$F$359,6,FALSE)</f>
        <v>7.1822844023494037E-2</v>
      </c>
      <c r="J22" s="4" t="str">
        <f>IF(I22&gt;0.1,[2]Processes!$A$6,[2]Processes!$A$5)</f>
        <v>Sawmal</v>
      </c>
      <c r="K22" s="23" t="str">
        <f t="shared" si="3"/>
        <v>H236L1</v>
      </c>
      <c r="L22" s="4" t="str">
        <f t="shared" si="4"/>
        <v>H236</v>
      </c>
      <c r="M22" s="4" t="str">
        <f t="shared" si="5"/>
        <v>Heatpl</v>
      </c>
      <c r="N22" s="4">
        <f t="shared" si="6"/>
        <v>356.88023999999996</v>
      </c>
      <c r="O22" s="23" t="str">
        <f t="shared" si="7"/>
        <v>-</v>
      </c>
      <c r="P22" s="4" t="str">
        <f t="shared" si="8"/>
        <v>-</v>
      </c>
      <c r="Q22" s="4" t="str">
        <f t="shared" si="9"/>
        <v>-</v>
      </c>
      <c r="R22" s="4">
        <f t="shared" si="10"/>
        <v>0</v>
      </c>
      <c r="S22" s="23" t="str">
        <f t="shared" si="11"/>
        <v>H236L3</v>
      </c>
      <c r="T22" s="4" t="str">
        <f t="shared" si="12"/>
        <v>H236</v>
      </c>
      <c r="U22" s="4" t="str">
        <f t="shared" si="13"/>
        <v>TerHea</v>
      </c>
      <c r="V22" s="4">
        <f t="shared" si="14"/>
        <v>9999</v>
      </c>
      <c r="W22" s="23">
        <f>VLOOKUP(A22,[1]SummaryTable!$A$2:$F$359,4,FALSE)</f>
        <v>297.40019999999998</v>
      </c>
    </row>
    <row r="23" spans="1:23" x14ac:dyDescent="0.25">
      <c r="A23" s="14" t="s">
        <v>230</v>
      </c>
      <c r="B23" s="14" t="str">
        <f t="shared" si="0"/>
        <v>H231</v>
      </c>
      <c r="C23" s="14">
        <v>14</v>
      </c>
      <c r="D23" s="61">
        <v>23</v>
      </c>
      <c r="E23" s="15">
        <f>VLOOKUP(A23,[1]SummaryTable!$A$2:$F$359,2,FALSE)</f>
        <v>6465572.8515754398</v>
      </c>
      <c r="F23" s="15">
        <f>VLOOKUP(A23,[1]SummaryTable!$A$2:$F$359,3,FALSE)</f>
        <v>431618.73514961201</v>
      </c>
      <c r="G23" s="62">
        <f t="shared" si="1"/>
        <v>351.45240000000001</v>
      </c>
      <c r="H23" s="4">
        <f>VLOOKUP(A23,[1]SummaryTable!$A$2:$F$359,5,FALSE)</f>
        <v>0.83668967966183871</v>
      </c>
      <c r="I23" s="4">
        <f>VLOOKUP(A23,[1]SummaryTable!$A$2:$F$359,6,FALSE)</f>
        <v>0.16331032033816129</v>
      </c>
      <c r="J23" s="4" t="str">
        <f>IF(I23&gt;0.1,[2]Processes!$A$6,[2]Processes!$A$5)</f>
        <v>Heatpl</v>
      </c>
      <c r="K23" s="23" t="str">
        <f t="shared" si="3"/>
        <v>H231L1</v>
      </c>
      <c r="L23" s="4" t="str">
        <f t="shared" si="4"/>
        <v>H231</v>
      </c>
      <c r="M23" s="4" t="str">
        <f t="shared" si="5"/>
        <v>Heatpl</v>
      </c>
      <c r="N23" s="4">
        <f t="shared" si="6"/>
        <v>351.45240000000001</v>
      </c>
      <c r="O23" s="23" t="str">
        <f t="shared" si="7"/>
        <v>-</v>
      </c>
      <c r="P23" s="4" t="str">
        <f t="shared" si="8"/>
        <v>-</v>
      </c>
      <c r="Q23" s="4" t="str">
        <f t="shared" si="9"/>
        <v>-</v>
      </c>
      <c r="R23" s="4">
        <f t="shared" si="10"/>
        <v>0</v>
      </c>
      <c r="S23" s="23" t="str">
        <f t="shared" si="11"/>
        <v>H231L3</v>
      </c>
      <c r="T23" s="4" t="str">
        <f t="shared" si="12"/>
        <v>H231</v>
      </c>
      <c r="U23" s="4" t="str">
        <f t="shared" si="13"/>
        <v>TerHea</v>
      </c>
      <c r="V23" s="4">
        <f t="shared" si="14"/>
        <v>9999</v>
      </c>
      <c r="W23" s="23">
        <f>VLOOKUP(A23,[1]SummaryTable!$A$2:$F$359,4,FALSE)</f>
        <v>292.87700000000001</v>
      </c>
    </row>
    <row r="24" spans="1:23" x14ac:dyDescent="0.25">
      <c r="A24" s="14" t="s">
        <v>340</v>
      </c>
      <c r="B24" s="14" t="str">
        <f t="shared" si="0"/>
        <v>H341</v>
      </c>
      <c r="C24" s="14">
        <v>10</v>
      </c>
      <c r="D24" s="61">
        <v>22</v>
      </c>
      <c r="E24" s="15">
        <f>VLOOKUP(A24,[1]SummaryTable!$A$2:$F$359,2,FALSE)</f>
        <v>6223069.3778121201</v>
      </c>
      <c r="F24" s="15">
        <f>VLOOKUP(A24,[1]SummaryTable!$A$2:$F$359,3,FALSE)</f>
        <v>536318.67544215603</v>
      </c>
      <c r="G24" s="62">
        <f t="shared" si="1"/>
        <v>316.94867999999997</v>
      </c>
      <c r="H24" s="4">
        <f>VLOOKUP(A24,[1]SummaryTable!$A$2:$F$359,5,FALSE)</f>
        <v>0.67834452563919578</v>
      </c>
      <c r="I24" s="4">
        <f>VLOOKUP(A24,[1]SummaryTable!$A$2:$F$359,6,FALSE)</f>
        <v>0.32165547436080422</v>
      </c>
      <c r="J24" s="4" t="str">
        <f>IF(I24&gt;0.1,[2]Processes!$A$6,[2]Processes!$A$5)</f>
        <v>Heatpl</v>
      </c>
      <c r="K24" s="23" t="str">
        <f t="shared" si="3"/>
        <v>H341L1</v>
      </c>
      <c r="L24" s="4" t="str">
        <f t="shared" si="4"/>
        <v>H341</v>
      </c>
      <c r="M24" s="4" t="str">
        <f t="shared" si="5"/>
        <v>Heatpl</v>
      </c>
      <c r="N24" s="4">
        <f t="shared" si="6"/>
        <v>316.94867999999997</v>
      </c>
      <c r="O24" s="23" t="str">
        <f t="shared" si="7"/>
        <v>H341L2</v>
      </c>
      <c r="P24" s="4" t="str">
        <f t="shared" si="8"/>
        <v>H341</v>
      </c>
      <c r="Q24" s="4" t="str">
        <f t="shared" si="9"/>
        <v>CHPpl_</v>
      </c>
      <c r="R24" s="4">
        <f t="shared" si="10"/>
        <v>101.94827801343072</v>
      </c>
      <c r="S24" s="23" t="str">
        <f t="shared" si="11"/>
        <v>H341L3</v>
      </c>
      <c r="T24" s="4" t="str">
        <f t="shared" si="12"/>
        <v>H341</v>
      </c>
      <c r="U24" s="4" t="str">
        <f t="shared" si="13"/>
        <v>TerHea</v>
      </c>
      <c r="V24" s="4">
        <f t="shared" si="14"/>
        <v>9999</v>
      </c>
      <c r="W24" s="23">
        <f>VLOOKUP(A24,[1]SummaryTable!$A$2:$F$359,4,FALSE)</f>
        <v>264.12389999999999</v>
      </c>
    </row>
    <row r="25" spans="1:23" x14ac:dyDescent="0.25">
      <c r="A25" s="14" t="s">
        <v>79</v>
      </c>
      <c r="B25" s="14" t="str">
        <f t="shared" si="0"/>
        <v>H80</v>
      </c>
      <c r="C25" s="14">
        <v>22</v>
      </c>
      <c r="D25" s="61">
        <v>12</v>
      </c>
      <c r="E25" s="15">
        <f>VLOOKUP(A25,[1]SummaryTable!$A$2:$F$359,2,FALSE)</f>
        <v>7023179.7510742899</v>
      </c>
      <c r="F25" s="15">
        <f>VLOOKUP(A25,[1]SummaryTable!$A$2:$F$359,3,FALSE)</f>
        <v>686143.26990073896</v>
      </c>
      <c r="G25" s="62">
        <f t="shared" si="1"/>
        <v>314.1203999999999</v>
      </c>
      <c r="H25" s="4">
        <f>VLOOKUP(A25,[1]SummaryTable!$A$2:$F$359,5,FALSE)</f>
        <v>0.41535050120717598</v>
      </c>
      <c r="I25" s="4">
        <f>VLOOKUP(A25,[1]SummaryTable!$A$2:$F$359,6,FALSE)</f>
        <v>0.58464949879282402</v>
      </c>
      <c r="J25" s="4" t="str">
        <f>IF(I25&gt;0.1,[2]Processes!$A$6,[2]Processes!$A$5)</f>
        <v>Heatpl</v>
      </c>
      <c r="K25" s="23" t="str">
        <f t="shared" si="3"/>
        <v>H80L1</v>
      </c>
      <c r="L25" s="4" t="str">
        <f t="shared" si="4"/>
        <v>H80</v>
      </c>
      <c r="M25" s="4" t="str">
        <f t="shared" si="5"/>
        <v>Heatpl</v>
      </c>
      <c r="N25" s="4">
        <f t="shared" si="6"/>
        <v>314.1203999999999</v>
      </c>
      <c r="O25" s="23" t="str">
        <f t="shared" si="7"/>
        <v>H80L2</v>
      </c>
      <c r="P25" s="4" t="str">
        <f t="shared" si="8"/>
        <v>H80</v>
      </c>
      <c r="Q25" s="4" t="str">
        <f t="shared" si="9"/>
        <v>CHPpl_</v>
      </c>
      <c r="R25" s="4">
        <f t="shared" si="10"/>
        <v>183.65033442060135</v>
      </c>
      <c r="S25" s="23" t="str">
        <f t="shared" si="11"/>
        <v>H80L3</v>
      </c>
      <c r="T25" s="4" t="str">
        <f t="shared" si="12"/>
        <v>H80</v>
      </c>
      <c r="U25" s="4" t="str">
        <f t="shared" si="13"/>
        <v>TerHea</v>
      </c>
      <c r="V25" s="4">
        <f t="shared" si="14"/>
        <v>9999</v>
      </c>
      <c r="W25" s="23">
        <f>VLOOKUP(A25,[1]SummaryTable!$A$2:$F$359,4,FALSE)</f>
        <v>261.76699999999994</v>
      </c>
    </row>
    <row r="26" spans="1:23" x14ac:dyDescent="0.25">
      <c r="A26" s="14" t="s">
        <v>277</v>
      </c>
      <c r="B26" s="14" t="str">
        <f t="shared" si="0"/>
        <v>H278</v>
      </c>
      <c r="C26" s="14">
        <v>14</v>
      </c>
      <c r="D26" s="61">
        <v>23</v>
      </c>
      <c r="E26" s="15">
        <f>VLOOKUP(A26,[1]SummaryTable!$A$2:$F$359,2,FALSE)</f>
        <v>6390244.9749262398</v>
      </c>
      <c r="F26" s="15">
        <f>VLOOKUP(A26,[1]SummaryTable!$A$2:$F$359,3,FALSE)</f>
        <v>322019.97547272302</v>
      </c>
      <c r="G26" s="62">
        <f t="shared" si="1"/>
        <v>309.33384000000001</v>
      </c>
      <c r="H26" s="4">
        <f>VLOOKUP(A26,[1]SummaryTable!$A$2:$F$359,5,FALSE)</f>
        <v>0.51033299040419089</v>
      </c>
      <c r="I26" s="4">
        <f>VLOOKUP(A26,[1]SummaryTable!$A$2:$F$359,6,FALSE)</f>
        <v>0.48966700959580911</v>
      </c>
      <c r="J26" s="4" t="str">
        <f>IF(I26&gt;0.1,[2]Processes!$A$6,[2]Processes!$A$5)</f>
        <v>Heatpl</v>
      </c>
      <c r="K26" s="23" t="str">
        <f t="shared" si="3"/>
        <v>H278L1</v>
      </c>
      <c r="L26" s="4" t="str">
        <f t="shared" si="4"/>
        <v>H278</v>
      </c>
      <c r="M26" s="4" t="str">
        <f t="shared" si="5"/>
        <v>Heatpl</v>
      </c>
      <c r="N26" s="4">
        <f t="shared" si="6"/>
        <v>309.33384000000001</v>
      </c>
      <c r="O26" s="23" t="str">
        <f t="shared" si="7"/>
        <v>H278L2</v>
      </c>
      <c r="P26" s="4" t="str">
        <f t="shared" si="8"/>
        <v>H278</v>
      </c>
      <c r="Q26" s="4" t="str">
        <f t="shared" si="9"/>
        <v>CHPpl_</v>
      </c>
      <c r="R26" s="4">
        <f t="shared" si="10"/>
        <v>151.47057639958848</v>
      </c>
      <c r="S26" s="23" t="str">
        <f t="shared" si="11"/>
        <v>H278L3</v>
      </c>
      <c r="T26" s="4" t="str">
        <f t="shared" si="12"/>
        <v>H278</v>
      </c>
      <c r="U26" s="4" t="str">
        <f t="shared" si="13"/>
        <v>TerHea</v>
      </c>
      <c r="V26" s="4">
        <f t="shared" si="14"/>
        <v>9999</v>
      </c>
      <c r="W26" s="23">
        <f>VLOOKUP(A26,[1]SummaryTable!$A$2:$F$359,4,FALSE)</f>
        <v>257.77820000000003</v>
      </c>
    </row>
    <row r="27" spans="1:23" x14ac:dyDescent="0.25">
      <c r="A27" s="14" t="s">
        <v>191</v>
      </c>
      <c r="B27" s="14" t="str">
        <f t="shared" si="0"/>
        <v>H192</v>
      </c>
      <c r="C27" s="14">
        <v>1</v>
      </c>
      <c r="D27" s="61">
        <v>12</v>
      </c>
      <c r="E27" s="15">
        <f>VLOOKUP(A27,[1]SummaryTable!$A$2:$F$359,2,FALSE)</f>
        <v>6563947.8330924697</v>
      </c>
      <c r="F27" s="15">
        <f>VLOOKUP(A27,[1]SummaryTable!$A$2:$F$359,3,FALSE)</f>
        <v>649828.96672664199</v>
      </c>
      <c r="G27" s="62">
        <f t="shared" si="1"/>
        <v>299.83404767999997</v>
      </c>
      <c r="H27" s="4">
        <f>VLOOKUP(A27,[1]SummaryTable!$A$2:$F$359,5,FALSE)</f>
        <v>0.47417560510342727</v>
      </c>
      <c r="I27" s="4">
        <f>VLOOKUP(A27,[1]SummaryTable!$A$2:$F$359,6,FALSE)</f>
        <v>0.52582439489657273</v>
      </c>
      <c r="J27" s="4" t="str">
        <f>IF(I27&gt;0.1,[2]Processes!$A$6,[2]Processes!$A$5)</f>
        <v>Heatpl</v>
      </c>
      <c r="K27" s="23" t="str">
        <f t="shared" si="3"/>
        <v>H192L1</v>
      </c>
      <c r="L27" s="4" t="str">
        <f t="shared" si="4"/>
        <v>H192</v>
      </c>
      <c r="M27" s="4" t="str">
        <f t="shared" si="5"/>
        <v>Heatpl</v>
      </c>
      <c r="N27" s="4">
        <f t="shared" si="6"/>
        <v>299.83404767999997</v>
      </c>
      <c r="O27" s="23" t="str">
        <f t="shared" si="7"/>
        <v>H192L2</v>
      </c>
      <c r="P27" s="4" t="str">
        <f t="shared" si="8"/>
        <v>H192</v>
      </c>
      <c r="Q27" s="4" t="str">
        <f t="shared" si="9"/>
        <v>CHPpl_</v>
      </c>
      <c r="R27" s="4">
        <f t="shared" si="10"/>
        <v>157.66005669072612</v>
      </c>
      <c r="S27" s="23" t="str">
        <f t="shared" si="11"/>
        <v>H192L3</v>
      </c>
      <c r="T27" s="4" t="str">
        <f t="shared" si="12"/>
        <v>H192</v>
      </c>
      <c r="U27" s="4" t="str">
        <f t="shared" si="13"/>
        <v>TerHea</v>
      </c>
      <c r="V27" s="4">
        <f t="shared" si="14"/>
        <v>9999</v>
      </c>
      <c r="W27" s="23">
        <f>VLOOKUP(A27,[1]SummaryTable!$A$2:$F$359,4,FALSE)</f>
        <v>249.8617064</v>
      </c>
    </row>
    <row r="28" spans="1:23" x14ac:dyDescent="0.25">
      <c r="A28" s="14" t="s">
        <v>269</v>
      </c>
      <c r="B28" s="14" t="str">
        <f t="shared" si="0"/>
        <v>H270</v>
      </c>
      <c r="C28" s="14">
        <v>14</v>
      </c>
      <c r="D28" s="61">
        <v>23</v>
      </c>
      <c r="E28" s="15">
        <f>VLOOKUP(A28,[1]SummaryTable!$A$2:$F$359,2,FALSE)</f>
        <v>6399426.5803876603</v>
      </c>
      <c r="F28" s="15">
        <f>VLOOKUP(A28,[1]SummaryTable!$A$2:$F$359,3,FALSE)</f>
        <v>327716.38782402303</v>
      </c>
      <c r="G28" s="62">
        <f t="shared" si="1"/>
        <v>291.30600000000004</v>
      </c>
      <c r="H28" s="4">
        <f>VLOOKUP(A28,[1]SummaryTable!$A$2:$F$359,5,FALSE)</f>
        <v>0.80478340391174674</v>
      </c>
      <c r="I28" s="4">
        <f>VLOOKUP(A28,[1]SummaryTable!$A$2:$F$359,6,FALSE)</f>
        <v>0.19521659608825326</v>
      </c>
      <c r="J28" s="4" t="str">
        <f>IF(I28&gt;0.1,[2]Processes!$A$6,[2]Processes!$A$5)</f>
        <v>Heatpl</v>
      </c>
      <c r="K28" s="23" t="str">
        <f t="shared" si="3"/>
        <v>H270L1</v>
      </c>
      <c r="L28" s="4" t="str">
        <f t="shared" si="4"/>
        <v>H270</v>
      </c>
      <c r="M28" s="4" t="str">
        <f t="shared" si="5"/>
        <v>Heatpl</v>
      </c>
      <c r="N28" s="4">
        <f t="shared" si="6"/>
        <v>291.30600000000004</v>
      </c>
      <c r="O28" s="23" t="str">
        <f t="shared" si="7"/>
        <v>-</v>
      </c>
      <c r="P28" s="4" t="str">
        <f t="shared" si="8"/>
        <v>-</v>
      </c>
      <c r="Q28" s="4" t="str">
        <f t="shared" si="9"/>
        <v>-</v>
      </c>
      <c r="R28" s="4">
        <f t="shared" si="10"/>
        <v>0</v>
      </c>
      <c r="S28" s="23" t="str">
        <f t="shared" si="11"/>
        <v>H270L3</v>
      </c>
      <c r="T28" s="4" t="str">
        <f t="shared" si="12"/>
        <v>H270</v>
      </c>
      <c r="U28" s="4" t="str">
        <f t="shared" si="13"/>
        <v>TerHea</v>
      </c>
      <c r="V28" s="4">
        <f t="shared" si="14"/>
        <v>9999</v>
      </c>
      <c r="W28" s="23">
        <f>VLOOKUP(A28,[1]SummaryTable!$A$2:$F$359,4,FALSE)</f>
        <v>242.75500000000002</v>
      </c>
    </row>
    <row r="29" spans="1:23" x14ac:dyDescent="0.25">
      <c r="A29" s="14" t="s">
        <v>80</v>
      </c>
      <c r="B29" s="14" t="str">
        <f t="shared" si="0"/>
        <v>H81</v>
      </c>
      <c r="C29" s="14">
        <v>22</v>
      </c>
      <c r="D29" s="61">
        <v>12</v>
      </c>
      <c r="E29" s="15">
        <f>VLOOKUP(A29,[1]SummaryTable!$A$2:$F$359,2,FALSE)</f>
        <v>7023179.7510742899</v>
      </c>
      <c r="F29" s="15">
        <f>VLOOKUP(A29,[1]SummaryTable!$A$2:$F$359,3,FALSE)</f>
        <v>686143.26990073896</v>
      </c>
      <c r="G29" s="62">
        <f t="shared" si="1"/>
        <v>277.23843599999998</v>
      </c>
      <c r="H29" s="4">
        <f>VLOOKUP(A29,[1]SummaryTable!$A$2:$F$359,5,FALSE)</f>
        <v>1</v>
      </c>
      <c r="I29" s="4">
        <f>VLOOKUP(A29,[1]SummaryTable!$A$2:$F$359,6,FALSE)</f>
        <v>0</v>
      </c>
      <c r="J29" s="4" t="str">
        <f>IF(I29&gt;0.1,[2]Processes!$A$6,[2]Processes!$A$5)</f>
        <v>Sawmal</v>
      </c>
      <c r="K29" s="23" t="str">
        <f t="shared" si="3"/>
        <v>H81L1</v>
      </c>
      <c r="L29" s="4" t="str">
        <f t="shared" si="4"/>
        <v>H81</v>
      </c>
      <c r="M29" s="4" t="str">
        <f t="shared" si="5"/>
        <v>Heatpl</v>
      </c>
      <c r="N29" s="4">
        <f t="shared" si="6"/>
        <v>277.23843599999998</v>
      </c>
      <c r="O29" s="23" t="str">
        <f t="shared" si="7"/>
        <v>-</v>
      </c>
      <c r="P29" s="4" t="str">
        <f t="shared" si="8"/>
        <v>-</v>
      </c>
      <c r="Q29" s="4" t="str">
        <f t="shared" si="9"/>
        <v>-</v>
      </c>
      <c r="R29" s="4">
        <f t="shared" si="10"/>
        <v>0</v>
      </c>
      <c r="S29" s="23" t="str">
        <f t="shared" si="11"/>
        <v>H81L3</v>
      </c>
      <c r="T29" s="4" t="str">
        <f t="shared" si="12"/>
        <v>H81</v>
      </c>
      <c r="U29" s="4" t="str">
        <f t="shared" si="13"/>
        <v>TerHea</v>
      </c>
      <c r="V29" s="4">
        <f t="shared" si="14"/>
        <v>9999</v>
      </c>
      <c r="W29" s="23">
        <f>VLOOKUP(A29,[1]SummaryTable!$A$2:$F$359,4,FALSE)</f>
        <v>231.03202999999999</v>
      </c>
    </row>
    <row r="30" spans="1:23" x14ac:dyDescent="0.25">
      <c r="A30" s="14" t="s">
        <v>297</v>
      </c>
      <c r="B30" s="14" t="str">
        <f t="shared" si="0"/>
        <v>H298</v>
      </c>
      <c r="C30" s="14">
        <v>6</v>
      </c>
      <c r="D30" s="61">
        <v>21</v>
      </c>
      <c r="E30" s="15">
        <f>VLOOKUP(A30,[1]SummaryTable!$A$2:$F$359,2,FALSE)</f>
        <v>6362096.1051759897</v>
      </c>
      <c r="F30" s="15">
        <f>VLOOKUP(A30,[1]SummaryTable!$A$2:$F$359,3,FALSE)</f>
        <v>504914.14497717301</v>
      </c>
      <c r="G30" s="62">
        <f t="shared" si="1"/>
        <v>264.78794640000001</v>
      </c>
      <c r="H30" s="4">
        <f>VLOOKUP(A30,[1]SummaryTable!$A$2:$F$359,5,FALSE)</f>
        <v>1</v>
      </c>
      <c r="I30" s="4">
        <f>VLOOKUP(A30,[1]SummaryTable!$A$2:$F$359,6,FALSE)</f>
        <v>0</v>
      </c>
      <c r="J30" s="4" t="str">
        <f>IF(I30&gt;0.1,[2]Processes!$A$6,[2]Processes!$A$5)</f>
        <v>Sawmal</v>
      </c>
      <c r="K30" s="23" t="str">
        <f t="shared" si="3"/>
        <v>H298L1</v>
      </c>
      <c r="L30" s="4" t="str">
        <f t="shared" si="4"/>
        <v>H298</v>
      </c>
      <c r="M30" s="4" t="str">
        <f t="shared" si="5"/>
        <v>Heatpl</v>
      </c>
      <c r="N30" s="4">
        <f t="shared" si="6"/>
        <v>264.78794640000001</v>
      </c>
      <c r="O30" s="23" t="str">
        <f t="shared" si="7"/>
        <v>-</v>
      </c>
      <c r="P30" s="4" t="str">
        <f t="shared" si="8"/>
        <v>-</v>
      </c>
      <c r="Q30" s="4" t="str">
        <f t="shared" si="9"/>
        <v>-</v>
      </c>
      <c r="R30" s="4">
        <f t="shared" si="10"/>
        <v>0</v>
      </c>
      <c r="S30" s="23" t="str">
        <f t="shared" si="11"/>
        <v>H298L3</v>
      </c>
      <c r="T30" s="4" t="str">
        <f t="shared" si="12"/>
        <v>H298</v>
      </c>
      <c r="U30" s="4" t="str">
        <f t="shared" si="13"/>
        <v>TerHea</v>
      </c>
      <c r="V30" s="4">
        <f t="shared" si="14"/>
        <v>9999</v>
      </c>
      <c r="W30" s="23">
        <f>VLOOKUP(A30,[1]SummaryTable!$A$2:$F$359,4,FALSE)</f>
        <v>220.656622</v>
      </c>
    </row>
    <row r="31" spans="1:23" x14ac:dyDescent="0.25">
      <c r="A31" s="14" t="s">
        <v>234</v>
      </c>
      <c r="B31" s="14" t="str">
        <f t="shared" si="0"/>
        <v>H235</v>
      </c>
      <c r="C31" s="14">
        <v>5</v>
      </c>
      <c r="D31" s="61">
        <v>12</v>
      </c>
      <c r="E31" s="15">
        <f>VLOOKUP(A31,[1]SummaryTable!$A$2:$F$359,2,FALSE)</f>
        <v>6462620.61407845</v>
      </c>
      <c r="F31" s="15">
        <f>VLOOKUP(A31,[1]SummaryTable!$A$2:$F$359,3,FALSE)</f>
        <v>507869.87634178298</v>
      </c>
      <c r="G31" s="62">
        <f t="shared" si="1"/>
        <v>258.01442400000002</v>
      </c>
      <c r="H31" s="4">
        <f>VLOOKUP(A31,[1]SummaryTable!$A$2:$F$359,5,FALSE)</f>
        <v>0.64334736566185613</v>
      </c>
      <c r="I31" s="4">
        <f>VLOOKUP(A31,[1]SummaryTable!$A$2:$F$359,6,FALSE)</f>
        <v>0.35665263433814387</v>
      </c>
      <c r="J31" s="4" t="str">
        <f>IF(I31&gt;0.1,[2]Processes!$A$6,[2]Processes!$A$5)</f>
        <v>Heatpl</v>
      </c>
      <c r="K31" s="23" t="str">
        <f t="shared" si="3"/>
        <v>H235L1</v>
      </c>
      <c r="L31" s="4" t="str">
        <f t="shared" si="4"/>
        <v>H235</v>
      </c>
      <c r="M31" s="4" t="str">
        <f t="shared" si="5"/>
        <v>Heatpl</v>
      </c>
      <c r="N31" s="4">
        <f t="shared" si="6"/>
        <v>258.01442400000002</v>
      </c>
      <c r="O31" s="23" t="str">
        <f t="shared" si="7"/>
        <v>-</v>
      </c>
      <c r="P31" s="4" t="str">
        <f t="shared" si="8"/>
        <v>-</v>
      </c>
      <c r="Q31" s="4" t="str">
        <f t="shared" si="9"/>
        <v>-</v>
      </c>
      <c r="R31" s="4">
        <f t="shared" si="10"/>
        <v>0</v>
      </c>
      <c r="S31" s="23" t="str">
        <f t="shared" si="11"/>
        <v>H235L3</v>
      </c>
      <c r="T31" s="4" t="str">
        <f t="shared" si="12"/>
        <v>H235</v>
      </c>
      <c r="U31" s="4" t="str">
        <f t="shared" si="13"/>
        <v>TerHea</v>
      </c>
      <c r="V31" s="4">
        <f t="shared" si="14"/>
        <v>9999</v>
      </c>
      <c r="W31" s="23">
        <f>VLOOKUP(A31,[1]SummaryTable!$A$2:$F$359,4,FALSE)</f>
        <v>215.01202000000001</v>
      </c>
    </row>
    <row r="32" spans="1:23" x14ac:dyDescent="0.25">
      <c r="A32" s="14" t="s">
        <v>218</v>
      </c>
      <c r="B32" s="14" t="str">
        <f t="shared" si="0"/>
        <v>H219</v>
      </c>
      <c r="C32" s="14">
        <v>5</v>
      </c>
      <c r="D32" s="61">
        <v>12</v>
      </c>
      <c r="E32" s="15">
        <f>VLOOKUP(A32,[1]SummaryTable!$A$2:$F$359,2,FALSE)</f>
        <v>6486497.2079723701</v>
      </c>
      <c r="F32" s="15">
        <f>VLOOKUP(A32,[1]SummaryTable!$A$2:$F$359,3,FALSE)</f>
        <v>502872.31564512203</v>
      </c>
      <c r="G32" s="62">
        <f t="shared" si="1"/>
        <v>233.73597360000002</v>
      </c>
      <c r="H32" s="4">
        <f>VLOOKUP(A32,[1]SummaryTable!$A$2:$F$359,5,FALSE)</f>
        <v>0.84221299063402377</v>
      </c>
      <c r="I32" s="4">
        <f>VLOOKUP(A32,[1]SummaryTable!$A$2:$F$359,6,FALSE)</f>
        <v>0.15778700936597623</v>
      </c>
      <c r="J32" s="4" t="str">
        <f>IF(I32&gt;0.1,[2]Processes!$A$6,[2]Processes!$A$5)</f>
        <v>Heatpl</v>
      </c>
      <c r="K32" s="23" t="str">
        <f t="shared" si="3"/>
        <v>H219L1</v>
      </c>
      <c r="L32" s="4" t="str">
        <f t="shared" si="4"/>
        <v>H219</v>
      </c>
      <c r="M32" s="4" t="str">
        <f t="shared" si="5"/>
        <v>Heatpl</v>
      </c>
      <c r="N32" s="4">
        <f t="shared" si="6"/>
        <v>233.73597360000002</v>
      </c>
      <c r="O32" s="23" t="str">
        <f t="shared" si="7"/>
        <v>-</v>
      </c>
      <c r="P32" s="4" t="str">
        <f t="shared" si="8"/>
        <v>-</v>
      </c>
      <c r="Q32" s="4" t="str">
        <f t="shared" si="9"/>
        <v>-</v>
      </c>
      <c r="R32" s="4">
        <f t="shared" si="10"/>
        <v>0</v>
      </c>
      <c r="S32" s="23" t="str">
        <f t="shared" si="11"/>
        <v>H219L3</v>
      </c>
      <c r="T32" s="4" t="str">
        <f t="shared" si="12"/>
        <v>H219</v>
      </c>
      <c r="U32" s="4" t="str">
        <f t="shared" si="13"/>
        <v>TerHea</v>
      </c>
      <c r="V32" s="4">
        <f t="shared" si="14"/>
        <v>9999</v>
      </c>
      <c r="W32" s="23">
        <f>VLOOKUP(A32,[1]SummaryTable!$A$2:$F$359,4,FALSE)</f>
        <v>194.77997800000003</v>
      </c>
    </row>
    <row r="33" spans="1:23" x14ac:dyDescent="0.25">
      <c r="A33" s="14" t="s">
        <v>177</v>
      </c>
      <c r="B33" s="14" t="str">
        <f t="shared" si="0"/>
        <v>H178</v>
      </c>
      <c r="C33" s="14">
        <v>1</v>
      </c>
      <c r="D33" s="61">
        <v>12</v>
      </c>
      <c r="E33" s="15">
        <f>VLOOKUP(A33,[1]SummaryTable!$A$2:$F$359,2,FALSE)</f>
        <v>6584117.3427056</v>
      </c>
      <c r="F33" s="15">
        <f>VLOOKUP(A33,[1]SummaryTable!$A$2:$F$359,3,FALSE)</f>
        <v>668508.46280014899</v>
      </c>
      <c r="G33" s="62">
        <f t="shared" si="1"/>
        <v>231.04799999999997</v>
      </c>
      <c r="H33" s="4">
        <f>VLOOKUP(A33,[1]SummaryTable!$A$2:$F$359,5,FALSE)</f>
        <v>1</v>
      </c>
      <c r="I33" s="4">
        <f>VLOOKUP(A33,[1]SummaryTable!$A$2:$F$359,6,FALSE)</f>
        <v>0</v>
      </c>
      <c r="J33" s="4" t="str">
        <f>IF(I33&gt;0.1,[2]Processes!$A$6,[2]Processes!$A$5)</f>
        <v>Sawmal</v>
      </c>
      <c r="K33" s="23" t="str">
        <f t="shared" si="3"/>
        <v>H178L1</v>
      </c>
      <c r="L33" s="4" t="str">
        <f t="shared" si="4"/>
        <v>H178</v>
      </c>
      <c r="M33" s="4" t="str">
        <f t="shared" si="5"/>
        <v>Heatpl</v>
      </c>
      <c r="N33" s="4">
        <f t="shared" si="6"/>
        <v>231.04799999999997</v>
      </c>
      <c r="O33" s="23" t="str">
        <f t="shared" si="7"/>
        <v>-</v>
      </c>
      <c r="P33" s="4" t="str">
        <f t="shared" si="8"/>
        <v>-</v>
      </c>
      <c r="Q33" s="4" t="str">
        <f t="shared" si="9"/>
        <v>-</v>
      </c>
      <c r="R33" s="4">
        <f t="shared" si="10"/>
        <v>0</v>
      </c>
      <c r="S33" s="23" t="str">
        <f t="shared" si="11"/>
        <v>H178L3</v>
      </c>
      <c r="T33" s="4" t="str">
        <f t="shared" si="12"/>
        <v>H178</v>
      </c>
      <c r="U33" s="4" t="str">
        <f t="shared" si="13"/>
        <v>TerHea</v>
      </c>
      <c r="V33" s="4">
        <f t="shared" si="14"/>
        <v>9999</v>
      </c>
      <c r="W33" s="23">
        <f>VLOOKUP(A33,[1]SummaryTable!$A$2:$F$359,4,FALSE)</f>
        <v>192.54</v>
      </c>
    </row>
    <row r="34" spans="1:23" x14ac:dyDescent="0.25">
      <c r="A34" s="14" t="s">
        <v>146</v>
      </c>
      <c r="B34" s="14" t="str">
        <f t="shared" si="0"/>
        <v>H147</v>
      </c>
      <c r="C34" s="14">
        <v>19</v>
      </c>
      <c r="D34" s="61">
        <v>12</v>
      </c>
      <c r="E34" s="15">
        <f>VLOOKUP(A34,[1]SummaryTable!$A$2:$F$359,2,FALSE)</f>
        <v>6642989.4577388</v>
      </c>
      <c r="F34" s="15">
        <f>VLOOKUP(A34,[1]SummaryTable!$A$2:$F$359,3,FALSE)</f>
        <v>589874.97796123801</v>
      </c>
      <c r="G34" s="62">
        <f t="shared" si="1"/>
        <v>229.83766800000001</v>
      </c>
      <c r="H34" s="4">
        <f>VLOOKUP(A34,[1]SummaryTable!$A$2:$F$359,5,FALSE)</f>
        <v>0.77286040235805542</v>
      </c>
      <c r="I34" s="4">
        <f>VLOOKUP(A34,[1]SummaryTable!$A$2:$F$359,6,FALSE)</f>
        <v>0.22713959764194458</v>
      </c>
      <c r="J34" s="4" t="str">
        <f>IF(I34&gt;0.1,[2]Processes!$A$6,[2]Processes!$A$5)</f>
        <v>Heatpl</v>
      </c>
      <c r="K34" s="23" t="str">
        <f t="shared" si="3"/>
        <v>H147L1</v>
      </c>
      <c r="L34" s="4" t="str">
        <f t="shared" si="4"/>
        <v>H147</v>
      </c>
      <c r="M34" s="4" t="str">
        <f t="shared" si="5"/>
        <v>Heatpl</v>
      </c>
      <c r="N34" s="4">
        <f t="shared" si="6"/>
        <v>229.83766800000001</v>
      </c>
      <c r="O34" s="23" t="str">
        <f t="shared" si="7"/>
        <v>-</v>
      </c>
      <c r="P34" s="4" t="str">
        <f t="shared" si="8"/>
        <v>-</v>
      </c>
      <c r="Q34" s="4" t="str">
        <f t="shared" si="9"/>
        <v>-</v>
      </c>
      <c r="R34" s="4">
        <f t="shared" si="10"/>
        <v>0</v>
      </c>
      <c r="S34" s="23" t="str">
        <f t="shared" si="11"/>
        <v>H147L3</v>
      </c>
      <c r="T34" s="4" t="str">
        <f t="shared" si="12"/>
        <v>H147</v>
      </c>
      <c r="U34" s="4" t="str">
        <f t="shared" si="13"/>
        <v>TerHea</v>
      </c>
      <c r="V34" s="4">
        <f t="shared" si="14"/>
        <v>9999</v>
      </c>
      <c r="W34" s="23">
        <f>VLOOKUP(A34,[1]SummaryTable!$A$2:$F$359,4,FALSE)</f>
        <v>191.53139000000002</v>
      </c>
    </row>
    <row r="35" spans="1:23" x14ac:dyDescent="0.25">
      <c r="A35" s="14" t="s">
        <v>324</v>
      </c>
      <c r="B35" s="14" t="str">
        <f t="shared" si="0"/>
        <v>H325</v>
      </c>
      <c r="C35" s="14">
        <v>13</v>
      </c>
      <c r="D35" s="61">
        <v>23</v>
      </c>
      <c r="E35" s="15">
        <f>VLOOKUP(A35,[1]SummaryTable!$A$2:$F$359,2,FALSE)</f>
        <v>6278949.4599451302</v>
      </c>
      <c r="F35" s="15">
        <f>VLOOKUP(A35,[1]SummaryTable!$A$2:$F$359,3,FALSE)</f>
        <v>369277.24178992398</v>
      </c>
      <c r="G35" s="62">
        <f t="shared" si="1"/>
        <v>228.59988000000001</v>
      </c>
      <c r="H35" s="4">
        <f>VLOOKUP(A35,[1]SummaryTable!$A$2:$F$359,5,FALSE)</f>
        <v>0.80097259383026531</v>
      </c>
      <c r="I35" s="4">
        <f>VLOOKUP(A35,[1]SummaryTable!$A$2:$F$359,6,FALSE)</f>
        <v>0.19902740616973469</v>
      </c>
      <c r="J35" s="4" t="str">
        <f>IF(I35&gt;0.1,[2]Processes!$A$6,[2]Processes!$A$5)</f>
        <v>Heatpl</v>
      </c>
      <c r="K35" s="23" t="str">
        <f t="shared" si="3"/>
        <v>H325L1</v>
      </c>
      <c r="L35" s="4" t="str">
        <f t="shared" si="4"/>
        <v>H325</v>
      </c>
      <c r="M35" s="4" t="str">
        <f t="shared" si="5"/>
        <v>Heatpl</v>
      </c>
      <c r="N35" s="4">
        <f t="shared" si="6"/>
        <v>228.59988000000001</v>
      </c>
      <c r="O35" s="23" t="str">
        <f t="shared" si="7"/>
        <v>-</v>
      </c>
      <c r="P35" s="4" t="str">
        <f t="shared" si="8"/>
        <v>-</v>
      </c>
      <c r="Q35" s="4" t="str">
        <f t="shared" si="9"/>
        <v>-</v>
      </c>
      <c r="R35" s="4">
        <f t="shared" si="10"/>
        <v>0</v>
      </c>
      <c r="S35" s="23" t="str">
        <f t="shared" si="11"/>
        <v>H325L3</v>
      </c>
      <c r="T35" s="4" t="str">
        <f t="shared" si="12"/>
        <v>H325</v>
      </c>
      <c r="U35" s="4" t="str">
        <f t="shared" si="13"/>
        <v>TerHea</v>
      </c>
      <c r="V35" s="4">
        <f t="shared" si="14"/>
        <v>9999</v>
      </c>
      <c r="W35" s="23">
        <f>VLOOKUP(A35,[1]SummaryTable!$A$2:$F$359,4,FALSE)</f>
        <v>190.49990000000003</v>
      </c>
    </row>
    <row r="36" spans="1:23" x14ac:dyDescent="0.25">
      <c r="A36" s="14" t="s">
        <v>284</v>
      </c>
      <c r="B36" s="14" t="str">
        <f t="shared" si="0"/>
        <v>H285</v>
      </c>
      <c r="C36" s="14">
        <v>6</v>
      </c>
      <c r="D36" s="61">
        <v>21</v>
      </c>
      <c r="E36" s="15">
        <f>VLOOKUP(A36,[1]SummaryTable!$A$2:$F$359,2,FALSE)</f>
        <v>6387699.7217788901</v>
      </c>
      <c r="F36" s="15">
        <f>VLOOKUP(A36,[1]SummaryTable!$A$2:$F$359,3,FALSE)</f>
        <v>481853.649697032</v>
      </c>
      <c r="G36" s="62">
        <f t="shared" si="1"/>
        <v>225.54791999999998</v>
      </c>
      <c r="H36" s="4">
        <f>VLOOKUP(A36,[1]SummaryTable!$A$2:$F$359,5,FALSE)</f>
        <v>0.6894161236363946</v>
      </c>
      <c r="I36" s="4">
        <f>VLOOKUP(A36,[1]SummaryTable!$A$2:$F$359,6,FALSE)</f>
        <v>0.3105838763636054</v>
      </c>
      <c r="J36" s="4" t="str">
        <f>IF(I36&gt;0.1,[2]Processes!$A$6,[2]Processes!$A$5)</f>
        <v>Heatpl</v>
      </c>
      <c r="K36" s="23" t="str">
        <f t="shared" si="3"/>
        <v>H285L1</v>
      </c>
      <c r="L36" s="4" t="str">
        <f t="shared" si="4"/>
        <v>H285</v>
      </c>
      <c r="M36" s="4" t="str">
        <f t="shared" si="5"/>
        <v>Heatpl</v>
      </c>
      <c r="N36" s="4">
        <f t="shared" si="6"/>
        <v>225.54791999999998</v>
      </c>
      <c r="O36" s="23" t="str">
        <f t="shared" si="7"/>
        <v>-</v>
      </c>
      <c r="P36" s="4" t="str">
        <f t="shared" si="8"/>
        <v>-</v>
      </c>
      <c r="Q36" s="4" t="str">
        <f t="shared" si="9"/>
        <v>-</v>
      </c>
      <c r="R36" s="4">
        <f t="shared" si="10"/>
        <v>0</v>
      </c>
      <c r="S36" s="23" t="str">
        <f t="shared" si="11"/>
        <v>H285L3</v>
      </c>
      <c r="T36" s="4" t="str">
        <f t="shared" si="12"/>
        <v>H285</v>
      </c>
      <c r="U36" s="4" t="str">
        <f t="shared" si="13"/>
        <v>TerHea</v>
      </c>
      <c r="V36" s="4">
        <f t="shared" si="14"/>
        <v>9999</v>
      </c>
      <c r="W36" s="23">
        <f>VLOOKUP(A36,[1]SummaryTable!$A$2:$F$359,4,FALSE)</f>
        <v>187.95659999999998</v>
      </c>
    </row>
    <row r="37" spans="1:23" x14ac:dyDescent="0.25">
      <c r="A37" s="14" t="s">
        <v>124</v>
      </c>
      <c r="B37" s="14" t="str">
        <f t="shared" si="0"/>
        <v>H125</v>
      </c>
      <c r="C37" s="14">
        <v>20</v>
      </c>
      <c r="D37" s="61">
        <v>31</v>
      </c>
      <c r="E37" s="15">
        <f>VLOOKUP(A37,[1]SummaryTable!$A$2:$F$359,2,FALSE)</f>
        <v>6703253.3517492404</v>
      </c>
      <c r="F37" s="15">
        <f>VLOOKUP(A37,[1]SummaryTable!$A$2:$F$359,3,FALSE)</f>
        <v>523528.32386231399</v>
      </c>
      <c r="G37" s="62">
        <f t="shared" si="1"/>
        <v>219.69119999999998</v>
      </c>
      <c r="H37" s="4">
        <f>VLOOKUP(A37,[1]SummaryTable!$A$2:$F$359,5,FALSE)</f>
        <v>1</v>
      </c>
      <c r="I37" s="4">
        <f>VLOOKUP(A37,[1]SummaryTable!$A$2:$F$359,6,FALSE)</f>
        <v>0</v>
      </c>
      <c r="J37" s="4" t="str">
        <f>IF(I37&gt;0.1,[2]Processes!$A$6,[2]Processes!$A$5)</f>
        <v>Sawmal</v>
      </c>
      <c r="K37" s="23" t="str">
        <f t="shared" si="3"/>
        <v>H125L1</v>
      </c>
      <c r="L37" s="4" t="str">
        <f t="shared" si="4"/>
        <v>H125</v>
      </c>
      <c r="M37" s="4" t="str">
        <f t="shared" si="5"/>
        <v>Heatpl</v>
      </c>
      <c r="N37" s="4">
        <f t="shared" si="6"/>
        <v>219.69119999999998</v>
      </c>
      <c r="O37" s="23" t="str">
        <f t="shared" si="7"/>
        <v>-</v>
      </c>
      <c r="P37" s="4" t="str">
        <f t="shared" si="8"/>
        <v>-</v>
      </c>
      <c r="Q37" s="4" t="str">
        <f t="shared" si="9"/>
        <v>-</v>
      </c>
      <c r="R37" s="4">
        <f t="shared" si="10"/>
        <v>0</v>
      </c>
      <c r="S37" s="23" t="str">
        <f t="shared" si="11"/>
        <v>H125L3</v>
      </c>
      <c r="T37" s="4" t="str">
        <f t="shared" si="12"/>
        <v>H125</v>
      </c>
      <c r="U37" s="4" t="str">
        <f t="shared" si="13"/>
        <v>TerHea</v>
      </c>
      <c r="V37" s="4">
        <f t="shared" si="14"/>
        <v>9999</v>
      </c>
      <c r="W37" s="23">
        <f>VLOOKUP(A37,[1]SummaryTable!$A$2:$F$359,4,FALSE)</f>
        <v>183.07599999999999</v>
      </c>
    </row>
    <row r="38" spans="1:23" x14ac:dyDescent="0.25">
      <c r="A38" s="14" t="s">
        <v>109</v>
      </c>
      <c r="B38" s="14" t="str">
        <f t="shared" si="0"/>
        <v>H110</v>
      </c>
      <c r="C38" s="14">
        <v>21</v>
      </c>
      <c r="D38" s="61">
        <v>31</v>
      </c>
      <c r="E38" s="15">
        <f>VLOOKUP(A38,[1]SummaryTable!$A$2:$F$359,2,FALSE)</f>
        <v>6796930.7098859204</v>
      </c>
      <c r="F38" s="15">
        <f>VLOOKUP(A38,[1]SummaryTable!$A$2:$F$359,3,FALSE)</f>
        <v>608974.08294069802</v>
      </c>
      <c r="G38" s="62">
        <f t="shared" si="1"/>
        <v>217.75320000000002</v>
      </c>
      <c r="H38" s="4">
        <f>VLOOKUP(A38,[1]SummaryTable!$A$2:$F$359,5,FALSE)</f>
        <v>0.5892260087511435</v>
      </c>
      <c r="I38" s="4">
        <f>VLOOKUP(A38,[1]SummaryTable!$A$2:$F$359,6,FALSE)</f>
        <v>0.4107739912488565</v>
      </c>
      <c r="J38" s="4" t="str">
        <f>IF(I38&gt;0.1,[2]Processes!$A$6,[2]Processes!$A$5)</f>
        <v>Heatpl</v>
      </c>
      <c r="K38" s="23" t="str">
        <f t="shared" si="3"/>
        <v>H110L1</v>
      </c>
      <c r="L38" s="4" t="str">
        <f t="shared" si="4"/>
        <v>H110</v>
      </c>
      <c r="M38" s="4" t="str">
        <f t="shared" si="5"/>
        <v>Heatpl</v>
      </c>
      <c r="N38" s="4">
        <f t="shared" si="6"/>
        <v>217.75320000000002</v>
      </c>
      <c r="O38" s="23" t="str">
        <f t="shared" si="7"/>
        <v>-</v>
      </c>
      <c r="P38" s="4" t="str">
        <f t="shared" si="8"/>
        <v>-</v>
      </c>
      <c r="Q38" s="4" t="str">
        <f t="shared" si="9"/>
        <v>-</v>
      </c>
      <c r="R38" s="4">
        <f t="shared" si="10"/>
        <v>0</v>
      </c>
      <c r="S38" s="23" t="str">
        <f t="shared" si="11"/>
        <v>H110L3</v>
      </c>
      <c r="T38" s="4" t="str">
        <f t="shared" si="12"/>
        <v>H110</v>
      </c>
      <c r="U38" s="4" t="str">
        <f t="shared" si="13"/>
        <v>TerHea</v>
      </c>
      <c r="V38" s="4">
        <f t="shared" si="14"/>
        <v>9999</v>
      </c>
      <c r="W38" s="23">
        <f>VLOOKUP(A38,[1]SummaryTable!$A$2:$F$359,4,FALSE)</f>
        <v>181.46100000000001</v>
      </c>
    </row>
    <row r="39" spans="1:23" x14ac:dyDescent="0.25">
      <c r="A39" s="14" t="s">
        <v>149</v>
      </c>
      <c r="B39" s="14" t="str">
        <f t="shared" si="0"/>
        <v>H150</v>
      </c>
      <c r="C39" s="14">
        <v>1</v>
      </c>
      <c r="D39" s="61">
        <v>12</v>
      </c>
      <c r="E39" s="15">
        <f>VLOOKUP(A39,[1]SummaryTable!$A$2:$F$359,2,FALSE)</f>
        <v>6630873.0497755902</v>
      </c>
      <c r="F39" s="15">
        <f>VLOOKUP(A39,[1]SummaryTable!$A$2:$F$359,3,FALSE)</f>
        <v>707919.87262874795</v>
      </c>
      <c r="G39" s="62">
        <f t="shared" si="1"/>
        <v>211.46695200000002</v>
      </c>
      <c r="H39" s="4">
        <f>VLOOKUP(A39,[1]SummaryTable!$A$2:$F$359,5,FALSE)</f>
        <v>0.70496629676888656</v>
      </c>
      <c r="I39" s="4">
        <f>VLOOKUP(A39,[1]SummaryTable!$A$2:$F$359,6,FALSE)</f>
        <v>0.29503370323111344</v>
      </c>
      <c r="J39" s="4" t="str">
        <f>IF(I39&gt;0.1,[2]Processes!$A$6,[2]Processes!$A$5)</f>
        <v>Heatpl</v>
      </c>
      <c r="K39" s="23" t="str">
        <f t="shared" si="3"/>
        <v>H150L1</v>
      </c>
      <c r="L39" s="4" t="str">
        <f t="shared" si="4"/>
        <v>H150</v>
      </c>
      <c r="M39" s="4" t="str">
        <f t="shared" si="5"/>
        <v>Heatpl</v>
      </c>
      <c r="N39" s="4">
        <f t="shared" si="6"/>
        <v>211.46695200000002</v>
      </c>
      <c r="O39" s="23" t="str">
        <f t="shared" si="7"/>
        <v>-</v>
      </c>
      <c r="P39" s="4" t="str">
        <f t="shared" si="8"/>
        <v>-</v>
      </c>
      <c r="Q39" s="4" t="str">
        <f t="shared" si="9"/>
        <v>-</v>
      </c>
      <c r="R39" s="4">
        <f t="shared" si="10"/>
        <v>0</v>
      </c>
      <c r="S39" s="23" t="str">
        <f t="shared" si="11"/>
        <v>H150L3</v>
      </c>
      <c r="T39" s="4" t="str">
        <f t="shared" si="12"/>
        <v>H150</v>
      </c>
      <c r="U39" s="4" t="str">
        <f t="shared" si="13"/>
        <v>TerHea</v>
      </c>
      <c r="V39" s="4">
        <f t="shared" si="14"/>
        <v>9999</v>
      </c>
      <c r="W39" s="23">
        <f>VLOOKUP(A39,[1]SummaryTable!$A$2:$F$359,4,FALSE)</f>
        <v>176.22246000000001</v>
      </c>
    </row>
    <row r="40" spans="1:23" x14ac:dyDescent="0.25">
      <c r="A40" s="14" t="s">
        <v>250</v>
      </c>
      <c r="B40" s="14" t="str">
        <f t="shared" si="0"/>
        <v>H251</v>
      </c>
      <c r="C40" s="14">
        <v>6</v>
      </c>
      <c r="D40" s="61">
        <v>21</v>
      </c>
      <c r="E40" s="15">
        <f>VLOOKUP(A40,[1]SummaryTable!$A$2:$F$359,2,FALSE)</f>
        <v>6430124.87155052</v>
      </c>
      <c r="F40" s="15">
        <f>VLOOKUP(A40,[1]SummaryTable!$A$2:$F$359,3,FALSE)</f>
        <v>498891.72700252797</v>
      </c>
      <c r="G40" s="62">
        <f t="shared" si="1"/>
        <v>210.98399999999998</v>
      </c>
      <c r="H40" s="4">
        <f>VLOOKUP(A40,[1]SummaryTable!$A$2:$F$359,5,FALSE)</f>
        <v>0.67260224887812037</v>
      </c>
      <c r="I40" s="4">
        <f>VLOOKUP(A40,[1]SummaryTable!$A$2:$F$359,6,FALSE)</f>
        <v>0.32739775112187963</v>
      </c>
      <c r="J40" s="4" t="str">
        <f>IF(I40&gt;0.1,[2]Processes!$A$6,[2]Processes!$A$5)</f>
        <v>Heatpl</v>
      </c>
      <c r="K40" s="23" t="str">
        <f t="shared" si="3"/>
        <v>H251L1</v>
      </c>
      <c r="L40" s="4" t="str">
        <f t="shared" si="4"/>
        <v>H251</v>
      </c>
      <c r="M40" s="4" t="str">
        <f t="shared" si="5"/>
        <v>Heatpl</v>
      </c>
      <c r="N40" s="4">
        <f t="shared" si="6"/>
        <v>210.98399999999998</v>
      </c>
      <c r="O40" s="23" t="str">
        <f t="shared" si="7"/>
        <v>-</v>
      </c>
      <c r="P40" s="4" t="str">
        <f t="shared" si="8"/>
        <v>-</v>
      </c>
      <c r="Q40" s="4" t="str">
        <f t="shared" si="9"/>
        <v>-</v>
      </c>
      <c r="R40" s="4">
        <f t="shared" si="10"/>
        <v>0</v>
      </c>
      <c r="S40" s="23" t="str">
        <f t="shared" si="11"/>
        <v>H251L3</v>
      </c>
      <c r="T40" s="4" t="str">
        <f t="shared" si="12"/>
        <v>H251</v>
      </c>
      <c r="U40" s="4" t="str">
        <f t="shared" si="13"/>
        <v>TerHea</v>
      </c>
      <c r="V40" s="4">
        <f t="shared" si="14"/>
        <v>9999</v>
      </c>
      <c r="W40" s="23">
        <f>VLOOKUP(A40,[1]SummaryTable!$A$2:$F$359,4,FALSE)</f>
        <v>175.82</v>
      </c>
    </row>
    <row r="41" spans="1:23" x14ac:dyDescent="0.25">
      <c r="A41" s="14" t="s">
        <v>95</v>
      </c>
      <c r="B41" s="14" t="str">
        <f t="shared" si="0"/>
        <v>H96</v>
      </c>
      <c r="C41" s="14">
        <v>22</v>
      </c>
      <c r="D41" s="61">
        <v>12</v>
      </c>
      <c r="E41" s="15">
        <f>VLOOKUP(A41,[1]SummaryTable!$A$2:$F$359,2,FALSE)</f>
        <v>6918943.8991992101</v>
      </c>
      <c r="F41" s="15">
        <f>VLOOKUP(A41,[1]SummaryTable!$A$2:$F$359,3,FALSE)</f>
        <v>619728.125165315</v>
      </c>
      <c r="G41" s="62">
        <f t="shared" si="1"/>
        <v>206.4504</v>
      </c>
      <c r="H41" s="4">
        <f>VLOOKUP(A41,[1]SummaryTable!$A$2:$F$359,5,FALSE)</f>
        <v>1</v>
      </c>
      <c r="I41" s="4">
        <f>VLOOKUP(A41,[1]SummaryTable!$A$2:$F$359,6,FALSE)</f>
        <v>0</v>
      </c>
      <c r="J41" s="4" t="str">
        <f>IF(I41&gt;0.1,[2]Processes!$A$6,[2]Processes!$A$5)</f>
        <v>Sawmal</v>
      </c>
      <c r="K41" s="23" t="str">
        <f t="shared" si="3"/>
        <v>H96L1</v>
      </c>
      <c r="L41" s="4" t="str">
        <f t="shared" si="4"/>
        <v>H96</v>
      </c>
      <c r="M41" s="4" t="str">
        <f t="shared" si="5"/>
        <v>Heatpl</v>
      </c>
      <c r="N41" s="4">
        <f t="shared" si="6"/>
        <v>206.4504</v>
      </c>
      <c r="O41" s="23" t="str">
        <f t="shared" si="7"/>
        <v>-</v>
      </c>
      <c r="P41" s="4" t="str">
        <f t="shared" si="8"/>
        <v>-</v>
      </c>
      <c r="Q41" s="4" t="str">
        <f t="shared" si="9"/>
        <v>-</v>
      </c>
      <c r="R41" s="4">
        <f t="shared" si="10"/>
        <v>0</v>
      </c>
      <c r="S41" s="23" t="str">
        <f t="shared" si="11"/>
        <v>H96L3</v>
      </c>
      <c r="T41" s="4" t="str">
        <f t="shared" si="12"/>
        <v>H96</v>
      </c>
      <c r="U41" s="4" t="str">
        <f t="shared" si="13"/>
        <v>TerHea</v>
      </c>
      <c r="V41" s="4">
        <f t="shared" si="14"/>
        <v>9999</v>
      </c>
      <c r="W41" s="23">
        <f>VLOOKUP(A41,[1]SummaryTable!$A$2:$F$359,4,FALSE)</f>
        <v>172.042</v>
      </c>
    </row>
    <row r="42" spans="1:23" x14ac:dyDescent="0.25">
      <c r="A42" s="14" t="s">
        <v>303</v>
      </c>
      <c r="B42" s="14" t="str">
        <f t="shared" si="0"/>
        <v>H304</v>
      </c>
      <c r="C42" s="14">
        <v>8</v>
      </c>
      <c r="D42" s="61">
        <v>21</v>
      </c>
      <c r="E42" s="15">
        <f>VLOOKUP(A42,[1]SummaryTable!$A$2:$F$359,2,FALSE)</f>
        <v>6346912.8316198997</v>
      </c>
      <c r="F42" s="15">
        <f>VLOOKUP(A42,[1]SummaryTable!$A$2:$F$359,3,FALSE)</f>
        <v>588119.36217856803</v>
      </c>
      <c r="G42" s="62">
        <f t="shared" si="1"/>
        <v>205.32003600000004</v>
      </c>
      <c r="H42" s="4">
        <f>VLOOKUP(A42,[1]SummaryTable!$A$2:$F$359,5,FALSE)</f>
        <v>0.83323110328441619</v>
      </c>
      <c r="I42" s="4">
        <f>VLOOKUP(A42,[1]SummaryTable!$A$2:$F$359,6,FALSE)</f>
        <v>0.16676889671558381</v>
      </c>
      <c r="J42" s="4" t="str">
        <f>IF(I42&gt;0.1,[2]Processes!$A$6,[2]Processes!$A$5)</f>
        <v>Heatpl</v>
      </c>
      <c r="K42" s="23" t="str">
        <f t="shared" si="3"/>
        <v>H304L1</v>
      </c>
      <c r="L42" s="4" t="str">
        <f t="shared" si="4"/>
        <v>H304</v>
      </c>
      <c r="M42" s="4" t="str">
        <f t="shared" si="5"/>
        <v>Heatpl</v>
      </c>
      <c r="N42" s="4">
        <f t="shared" si="6"/>
        <v>205.32003600000004</v>
      </c>
      <c r="O42" s="23" t="str">
        <f t="shared" si="7"/>
        <v>-</v>
      </c>
      <c r="P42" s="4" t="str">
        <f t="shared" si="8"/>
        <v>-</v>
      </c>
      <c r="Q42" s="4" t="str">
        <f t="shared" si="9"/>
        <v>-</v>
      </c>
      <c r="R42" s="4">
        <f t="shared" si="10"/>
        <v>0</v>
      </c>
      <c r="S42" s="23" t="str">
        <f t="shared" si="11"/>
        <v>H304L3</v>
      </c>
      <c r="T42" s="4" t="str">
        <f t="shared" si="12"/>
        <v>H304</v>
      </c>
      <c r="U42" s="4" t="str">
        <f t="shared" si="13"/>
        <v>TerHea</v>
      </c>
      <c r="V42" s="4">
        <f t="shared" si="14"/>
        <v>9999</v>
      </c>
      <c r="W42" s="23">
        <f>VLOOKUP(A42,[1]SummaryTable!$A$2:$F$359,4,FALSE)</f>
        <v>171.10003000000003</v>
      </c>
    </row>
    <row r="43" spans="1:23" x14ac:dyDescent="0.25">
      <c r="A43" s="14" t="s">
        <v>292</v>
      </c>
      <c r="B43" s="14" t="str">
        <f t="shared" si="0"/>
        <v>H293</v>
      </c>
      <c r="C43" s="14">
        <v>8</v>
      </c>
      <c r="D43" s="61">
        <v>21</v>
      </c>
      <c r="E43" s="15">
        <f>VLOOKUP(A43,[1]SummaryTable!$A$2:$F$359,2,FALSE)</f>
        <v>6371179.2605691804</v>
      </c>
      <c r="F43" s="15">
        <f>VLOOKUP(A43,[1]SummaryTable!$A$2:$F$359,3,FALSE)</f>
        <v>550607.23748044798</v>
      </c>
      <c r="G43" s="62">
        <f t="shared" si="1"/>
        <v>201.07439999999997</v>
      </c>
      <c r="H43" s="4">
        <f>VLOOKUP(A43,[1]SummaryTable!$A$2:$F$359,5,FALSE)</f>
        <v>0.59012412764154376</v>
      </c>
      <c r="I43" s="4">
        <f>VLOOKUP(A43,[1]SummaryTable!$A$2:$F$359,6,FALSE)</f>
        <v>0.40987587235845624</v>
      </c>
      <c r="J43" s="4" t="str">
        <f>IF(I43&gt;0.1,[2]Processes!$A$6,[2]Processes!$A$5)</f>
        <v>Heatpl</v>
      </c>
      <c r="K43" s="23" t="str">
        <f t="shared" si="3"/>
        <v>H293L1</v>
      </c>
      <c r="L43" s="4" t="str">
        <f t="shared" si="4"/>
        <v>H293</v>
      </c>
      <c r="M43" s="4" t="str">
        <f t="shared" si="5"/>
        <v>Heatpl</v>
      </c>
      <c r="N43" s="4">
        <f t="shared" si="6"/>
        <v>201.07439999999997</v>
      </c>
      <c r="O43" s="23" t="str">
        <f t="shared" si="7"/>
        <v>-</v>
      </c>
      <c r="P43" s="4" t="str">
        <f t="shared" si="8"/>
        <v>-</v>
      </c>
      <c r="Q43" s="4" t="str">
        <f t="shared" si="9"/>
        <v>-</v>
      </c>
      <c r="R43" s="4">
        <f t="shared" si="10"/>
        <v>0</v>
      </c>
      <c r="S43" s="23" t="str">
        <f t="shared" si="11"/>
        <v>H293L3</v>
      </c>
      <c r="T43" s="4" t="str">
        <f t="shared" si="12"/>
        <v>H293</v>
      </c>
      <c r="U43" s="4" t="str">
        <f t="shared" si="13"/>
        <v>TerHea</v>
      </c>
      <c r="V43" s="4">
        <f t="shared" si="14"/>
        <v>9999</v>
      </c>
      <c r="W43" s="23">
        <f>VLOOKUP(A43,[1]SummaryTable!$A$2:$F$359,4,FALSE)</f>
        <v>167.56199999999998</v>
      </c>
    </row>
    <row r="44" spans="1:23" x14ac:dyDescent="0.25">
      <c r="A44" s="14" t="s">
        <v>305</v>
      </c>
      <c r="B44" s="14" t="str">
        <f t="shared" si="0"/>
        <v>H306</v>
      </c>
      <c r="C44" s="14">
        <v>6</v>
      </c>
      <c r="D44" s="61">
        <v>21</v>
      </c>
      <c r="E44" s="15">
        <f>VLOOKUP(A44,[1]SummaryTable!$A$2:$F$359,2,FALSE)</f>
        <v>6336406.8961287299</v>
      </c>
      <c r="F44" s="15">
        <f>VLOOKUP(A44,[1]SummaryTable!$A$2:$F$359,3,FALSE)</f>
        <v>441484.62247094</v>
      </c>
      <c r="G44" s="62">
        <f t="shared" si="1"/>
        <v>200.63402399999998</v>
      </c>
      <c r="H44" s="4">
        <f>VLOOKUP(A44,[1]SummaryTable!$A$2:$F$359,5,FALSE)</f>
        <v>0.78797210603458145</v>
      </c>
      <c r="I44" s="4">
        <f>VLOOKUP(A44,[1]SummaryTable!$A$2:$F$359,6,FALSE)</f>
        <v>0.21202789396541855</v>
      </c>
      <c r="J44" s="4" t="str">
        <f>IF(I44&gt;0.1,[2]Processes!$A$6,[2]Processes!$A$5)</f>
        <v>Heatpl</v>
      </c>
      <c r="K44" s="23" t="str">
        <f t="shared" si="3"/>
        <v>H306L1</v>
      </c>
      <c r="L44" s="4" t="str">
        <f t="shared" si="4"/>
        <v>H306</v>
      </c>
      <c r="M44" s="4" t="str">
        <f t="shared" si="5"/>
        <v>Heatpl</v>
      </c>
      <c r="N44" s="4">
        <f t="shared" si="6"/>
        <v>200.63402399999998</v>
      </c>
      <c r="O44" s="23" t="str">
        <f t="shared" si="7"/>
        <v>-</v>
      </c>
      <c r="P44" s="4" t="str">
        <f t="shared" si="8"/>
        <v>-</v>
      </c>
      <c r="Q44" s="4" t="str">
        <f t="shared" si="9"/>
        <v>-</v>
      </c>
      <c r="R44" s="4">
        <f t="shared" si="10"/>
        <v>0</v>
      </c>
      <c r="S44" s="23" t="str">
        <f t="shared" si="11"/>
        <v>H306L3</v>
      </c>
      <c r="T44" s="4" t="str">
        <f t="shared" si="12"/>
        <v>H306</v>
      </c>
      <c r="U44" s="4" t="str">
        <f t="shared" si="13"/>
        <v>TerHea</v>
      </c>
      <c r="V44" s="4">
        <f t="shared" si="14"/>
        <v>9999</v>
      </c>
      <c r="W44" s="23">
        <f>VLOOKUP(A44,[1]SummaryTable!$A$2:$F$359,4,FALSE)</f>
        <v>167.19502</v>
      </c>
    </row>
    <row r="45" spans="1:23" x14ac:dyDescent="0.25">
      <c r="A45" s="14" t="s">
        <v>63</v>
      </c>
      <c r="B45" s="14" t="str">
        <f t="shared" si="0"/>
        <v>H64</v>
      </c>
      <c r="C45" s="14">
        <v>24</v>
      </c>
      <c r="D45" s="61">
        <v>33</v>
      </c>
      <c r="E45" s="15">
        <f>VLOOKUP(A45,[1]SummaryTable!$A$2:$F$359,2,FALSE)</f>
        <v>7168357.5145948399</v>
      </c>
      <c r="F45" s="15">
        <f>VLOOKUP(A45,[1]SummaryTable!$A$2:$F$359,3,FALSE)</f>
        <v>675507.21505889902</v>
      </c>
      <c r="G45" s="62">
        <f t="shared" si="1"/>
        <v>192.30426960119999</v>
      </c>
      <c r="H45" s="4">
        <f>VLOOKUP(A45,[1]SummaryTable!$A$2:$F$359,5,FALSE)</f>
        <v>0.52073476749085212</v>
      </c>
      <c r="I45" s="4">
        <f>VLOOKUP(A45,[1]SummaryTable!$A$2:$F$359,6,FALSE)</f>
        <v>0.47926523250914788</v>
      </c>
      <c r="J45" s="4" t="str">
        <f>IF(I45&gt;0.1,[2]Processes!$A$6,[2]Processes!$A$5)</f>
        <v>Heatpl</v>
      </c>
      <c r="K45" s="23" t="str">
        <f t="shared" si="3"/>
        <v>H64L1</v>
      </c>
      <c r="L45" s="4" t="str">
        <f t="shared" si="4"/>
        <v>H64</v>
      </c>
      <c r="M45" s="4" t="str">
        <f t="shared" si="5"/>
        <v>Heatpl</v>
      </c>
      <c r="N45" s="4">
        <f t="shared" si="6"/>
        <v>192.30426960119999</v>
      </c>
      <c r="O45" s="23" t="str">
        <f t="shared" si="7"/>
        <v>-</v>
      </c>
      <c r="P45" s="4" t="str">
        <f t="shared" si="8"/>
        <v>-</v>
      </c>
      <c r="Q45" s="4" t="str">
        <f t="shared" si="9"/>
        <v>-</v>
      </c>
      <c r="R45" s="4">
        <f t="shared" si="10"/>
        <v>0</v>
      </c>
      <c r="S45" s="23" t="str">
        <f t="shared" si="11"/>
        <v>H64L3</v>
      </c>
      <c r="T45" s="4" t="str">
        <f t="shared" si="12"/>
        <v>H64</v>
      </c>
      <c r="U45" s="4" t="str">
        <f t="shared" si="13"/>
        <v>TerHea</v>
      </c>
      <c r="V45" s="4">
        <f t="shared" si="14"/>
        <v>9999</v>
      </c>
      <c r="W45" s="23">
        <f>VLOOKUP(A45,[1]SummaryTable!$A$2:$F$359,4,FALSE)</f>
        <v>160.25355800099999</v>
      </c>
    </row>
    <row r="46" spans="1:23" x14ac:dyDescent="0.25">
      <c r="A46" s="14" t="s">
        <v>193</v>
      </c>
      <c r="B46" s="14" t="str">
        <f t="shared" si="0"/>
        <v>H194</v>
      </c>
      <c r="C46" s="14">
        <v>1</v>
      </c>
      <c r="D46" s="61">
        <v>12</v>
      </c>
      <c r="E46" s="15">
        <f>VLOOKUP(A46,[1]SummaryTable!$A$2:$F$359,2,FALSE)</f>
        <v>6562978.7153409896</v>
      </c>
      <c r="F46" s="15">
        <f>VLOOKUP(A46,[1]SummaryTable!$A$2:$F$359,3,FALSE)</f>
        <v>679242.60432613804</v>
      </c>
      <c r="G46" s="62">
        <f t="shared" si="1"/>
        <v>188.55599999999998</v>
      </c>
      <c r="H46" s="4">
        <f>VLOOKUP(A46,[1]SummaryTable!$A$2:$F$359,5,FALSE)</f>
        <v>1</v>
      </c>
      <c r="I46" s="4">
        <f>VLOOKUP(A46,[1]SummaryTable!$A$2:$F$359,6,FALSE)</f>
        <v>0</v>
      </c>
      <c r="J46" s="4" t="str">
        <f>IF(I46&gt;0.1,[2]Processes!$A$6,[2]Processes!$A$5)</f>
        <v>Sawmal</v>
      </c>
      <c r="K46" s="23" t="str">
        <f t="shared" si="3"/>
        <v>H194L1</v>
      </c>
      <c r="L46" s="4" t="str">
        <f t="shared" si="4"/>
        <v>H194</v>
      </c>
      <c r="M46" s="4" t="str">
        <f t="shared" si="5"/>
        <v>Heatpl</v>
      </c>
      <c r="N46" s="4">
        <f t="shared" si="6"/>
        <v>188.55599999999998</v>
      </c>
      <c r="O46" s="23" t="str">
        <f t="shared" si="7"/>
        <v>-</v>
      </c>
      <c r="P46" s="4" t="str">
        <f t="shared" si="8"/>
        <v>-</v>
      </c>
      <c r="Q46" s="4" t="str">
        <f t="shared" si="9"/>
        <v>-</v>
      </c>
      <c r="R46" s="4">
        <f t="shared" si="10"/>
        <v>0</v>
      </c>
      <c r="S46" s="23" t="str">
        <f t="shared" si="11"/>
        <v>H194L3</v>
      </c>
      <c r="T46" s="4" t="str">
        <f t="shared" si="12"/>
        <v>H194</v>
      </c>
      <c r="U46" s="4" t="str">
        <f t="shared" si="13"/>
        <v>TerHea</v>
      </c>
      <c r="V46" s="4">
        <f t="shared" si="14"/>
        <v>9999</v>
      </c>
      <c r="W46" s="23">
        <f>VLOOKUP(A46,[1]SummaryTable!$A$2:$F$359,4,FALSE)</f>
        <v>157.13</v>
      </c>
    </row>
    <row r="47" spans="1:23" x14ac:dyDescent="0.25">
      <c r="A47" s="14" t="s">
        <v>89</v>
      </c>
      <c r="B47" s="14" t="str">
        <f t="shared" si="0"/>
        <v>H90</v>
      </c>
      <c r="C47" s="14">
        <v>22</v>
      </c>
      <c r="D47" s="61">
        <v>12</v>
      </c>
      <c r="E47" s="15">
        <f>VLOOKUP(A47,[1]SummaryTable!$A$2:$F$359,2,FALSE)</f>
        <v>6947331.4436209798</v>
      </c>
      <c r="F47" s="15">
        <f>VLOOKUP(A47,[1]SummaryTable!$A$2:$F$359,3,FALSE)</f>
        <v>650596.03464276297</v>
      </c>
      <c r="G47" s="62">
        <f t="shared" si="1"/>
        <v>183.48</v>
      </c>
      <c r="H47" s="4">
        <f>VLOOKUP(A47,[1]SummaryTable!$A$2:$F$359,5,FALSE)</f>
        <v>0.65333653802133396</v>
      </c>
      <c r="I47" s="4">
        <f>VLOOKUP(A47,[1]SummaryTable!$A$2:$F$359,6,FALSE)</f>
        <v>0.34666346197866604</v>
      </c>
      <c r="J47" s="4" t="str">
        <f>IF(I47&gt;0.1,[2]Processes!$A$6,[2]Processes!$A$5)</f>
        <v>Heatpl</v>
      </c>
      <c r="K47" s="23" t="str">
        <f t="shared" si="3"/>
        <v>H90L1</v>
      </c>
      <c r="L47" s="4" t="str">
        <f t="shared" si="4"/>
        <v>H90</v>
      </c>
      <c r="M47" s="4" t="str">
        <f t="shared" si="5"/>
        <v>Heatpl</v>
      </c>
      <c r="N47" s="4">
        <f t="shared" si="6"/>
        <v>183.48</v>
      </c>
      <c r="O47" s="23" t="str">
        <f t="shared" si="7"/>
        <v>-</v>
      </c>
      <c r="P47" s="4" t="str">
        <f t="shared" si="8"/>
        <v>-</v>
      </c>
      <c r="Q47" s="4" t="str">
        <f t="shared" si="9"/>
        <v>-</v>
      </c>
      <c r="R47" s="4">
        <f t="shared" si="10"/>
        <v>0</v>
      </c>
      <c r="S47" s="23" t="str">
        <f t="shared" si="11"/>
        <v>H90L3</v>
      </c>
      <c r="T47" s="4" t="str">
        <f t="shared" si="12"/>
        <v>H90</v>
      </c>
      <c r="U47" s="4" t="str">
        <f t="shared" si="13"/>
        <v>TerHea</v>
      </c>
      <c r="V47" s="4">
        <f t="shared" si="14"/>
        <v>9999</v>
      </c>
      <c r="W47" s="23">
        <f>VLOOKUP(A47,[1]SummaryTable!$A$2:$F$359,4,FALSE)</f>
        <v>152.9</v>
      </c>
    </row>
    <row r="48" spans="1:23" x14ac:dyDescent="0.25">
      <c r="A48" s="14" t="s">
        <v>282</v>
      </c>
      <c r="B48" s="14" t="str">
        <f t="shared" si="0"/>
        <v>H283</v>
      </c>
      <c r="C48" s="14">
        <v>8</v>
      </c>
      <c r="D48" s="61">
        <v>21</v>
      </c>
      <c r="E48" s="15">
        <f>VLOOKUP(A48,[1]SummaryTable!$A$2:$F$359,2,FALSE)</f>
        <v>6390619.7473151702</v>
      </c>
      <c r="F48" s="15">
        <f>VLOOKUP(A48,[1]SummaryTable!$A$2:$F$359,3,FALSE)</f>
        <v>550556.26446403097</v>
      </c>
      <c r="G48" s="62">
        <f t="shared" si="1"/>
        <v>181.89959999999999</v>
      </c>
      <c r="H48" s="4">
        <f>VLOOKUP(A48,[1]SummaryTable!$A$2:$F$359,5,FALSE)</f>
        <v>0.64642866463478987</v>
      </c>
      <c r="I48" s="4">
        <f>VLOOKUP(A48,[1]SummaryTable!$A$2:$F$359,6,FALSE)</f>
        <v>0.35357133536521013</v>
      </c>
      <c r="J48" s="4" t="str">
        <f>IF(I48&gt;0.1,[2]Processes!$A$6,[2]Processes!$A$5)</f>
        <v>Heatpl</v>
      </c>
      <c r="K48" s="23" t="str">
        <f t="shared" si="3"/>
        <v>H283L1</v>
      </c>
      <c r="L48" s="4" t="str">
        <f t="shared" si="4"/>
        <v>H283</v>
      </c>
      <c r="M48" s="4" t="str">
        <f t="shared" si="5"/>
        <v>Heatpl</v>
      </c>
      <c r="N48" s="4">
        <f t="shared" si="6"/>
        <v>181.89959999999999</v>
      </c>
      <c r="O48" s="23" t="str">
        <f t="shared" si="7"/>
        <v>-</v>
      </c>
      <c r="P48" s="4" t="str">
        <f t="shared" si="8"/>
        <v>-</v>
      </c>
      <c r="Q48" s="4" t="str">
        <f t="shared" si="9"/>
        <v>-</v>
      </c>
      <c r="R48" s="4">
        <f t="shared" si="10"/>
        <v>0</v>
      </c>
      <c r="S48" s="23" t="str">
        <f t="shared" si="11"/>
        <v>H283L3</v>
      </c>
      <c r="T48" s="4" t="str">
        <f t="shared" si="12"/>
        <v>H283</v>
      </c>
      <c r="U48" s="4" t="str">
        <f t="shared" si="13"/>
        <v>TerHea</v>
      </c>
      <c r="V48" s="4">
        <f t="shared" si="14"/>
        <v>9999</v>
      </c>
      <c r="W48" s="23">
        <f>VLOOKUP(A48,[1]SummaryTable!$A$2:$F$359,4,FALSE)</f>
        <v>151.583</v>
      </c>
    </row>
    <row r="49" spans="1:23" x14ac:dyDescent="0.25">
      <c r="A49" s="14" t="s">
        <v>280</v>
      </c>
      <c r="B49" s="14" t="str">
        <f t="shared" si="0"/>
        <v>H281</v>
      </c>
      <c r="C49" s="14">
        <v>9</v>
      </c>
      <c r="D49" s="61">
        <v>21</v>
      </c>
      <c r="E49" s="15">
        <f>VLOOKUP(A49,[1]SummaryTable!$A$2:$F$359,2,FALSE)</f>
        <v>6393875.2845315002</v>
      </c>
      <c r="F49" s="15">
        <f>VLOOKUP(A49,[1]SummaryTable!$A$2:$F$359,3,FALSE)</f>
        <v>696684.75313160999</v>
      </c>
      <c r="G49" s="62">
        <f t="shared" si="1"/>
        <v>177.22199999999995</v>
      </c>
      <c r="H49" s="4">
        <f>VLOOKUP(A49,[1]SummaryTable!$A$2:$F$359,5,FALSE)</f>
        <v>1</v>
      </c>
      <c r="I49" s="4">
        <f>VLOOKUP(A49,[1]SummaryTable!$A$2:$F$359,6,FALSE)</f>
        <v>0</v>
      </c>
      <c r="J49" s="4" t="str">
        <f>IF(I49&gt;0.1,[2]Processes!$A$6,[2]Processes!$A$5)</f>
        <v>Sawmal</v>
      </c>
      <c r="K49" s="23" t="str">
        <f t="shared" si="3"/>
        <v>H281L1</v>
      </c>
      <c r="L49" s="4" t="str">
        <f t="shared" si="4"/>
        <v>H281</v>
      </c>
      <c r="M49" s="4" t="str">
        <f t="shared" si="5"/>
        <v>Heatpl</v>
      </c>
      <c r="N49" s="4">
        <f t="shared" si="6"/>
        <v>177.22199999999995</v>
      </c>
      <c r="O49" s="23" t="str">
        <f t="shared" si="7"/>
        <v>-</v>
      </c>
      <c r="P49" s="4" t="str">
        <f t="shared" si="8"/>
        <v>-</v>
      </c>
      <c r="Q49" s="4" t="str">
        <f t="shared" si="9"/>
        <v>-</v>
      </c>
      <c r="R49" s="4">
        <f t="shared" si="10"/>
        <v>0</v>
      </c>
      <c r="S49" s="23" t="str">
        <f t="shared" si="11"/>
        <v>H281L3</v>
      </c>
      <c r="T49" s="4" t="str">
        <f t="shared" si="12"/>
        <v>H281</v>
      </c>
      <c r="U49" s="4" t="str">
        <f t="shared" si="13"/>
        <v>TerHea</v>
      </c>
      <c r="V49" s="4">
        <f t="shared" si="14"/>
        <v>9999</v>
      </c>
      <c r="W49" s="23">
        <f>VLOOKUP(A49,[1]SummaryTable!$A$2:$F$359,4,FALSE)</f>
        <v>147.68499999999997</v>
      </c>
    </row>
    <row r="50" spans="1:23" x14ac:dyDescent="0.25">
      <c r="A50" s="14" t="s">
        <v>288</v>
      </c>
      <c r="B50" s="14" t="str">
        <f t="shared" si="0"/>
        <v>H289</v>
      </c>
      <c r="C50" s="14">
        <v>14</v>
      </c>
      <c r="D50" s="61">
        <v>23</v>
      </c>
      <c r="E50" s="15">
        <f>VLOOKUP(A50,[1]SummaryTable!$A$2:$F$359,2,FALSE)</f>
        <v>6373017.6287777796</v>
      </c>
      <c r="F50" s="15">
        <f>VLOOKUP(A50,[1]SummaryTable!$A$2:$F$359,3,FALSE)</f>
        <v>359452.17676144902</v>
      </c>
      <c r="G50" s="62">
        <f t="shared" si="1"/>
        <v>170.1</v>
      </c>
      <c r="H50" s="4">
        <f>VLOOKUP(A50,[1]SummaryTable!$A$2:$F$359,5,FALSE)</f>
        <v>0.81054306495192263</v>
      </c>
      <c r="I50" s="4">
        <f>VLOOKUP(A50,[1]SummaryTable!$A$2:$F$359,6,FALSE)</f>
        <v>0.18945693504807737</v>
      </c>
      <c r="J50" s="4" t="str">
        <f>IF(I50&gt;0.1,[2]Processes!$A$6,[2]Processes!$A$5)</f>
        <v>Heatpl</v>
      </c>
      <c r="K50" s="23" t="str">
        <f t="shared" si="3"/>
        <v>H289L1</v>
      </c>
      <c r="L50" s="4" t="str">
        <f t="shared" si="4"/>
        <v>H289</v>
      </c>
      <c r="M50" s="4" t="str">
        <f t="shared" si="5"/>
        <v>Heatpl</v>
      </c>
      <c r="N50" s="4">
        <f t="shared" si="6"/>
        <v>170.1</v>
      </c>
      <c r="O50" s="23" t="str">
        <f t="shared" si="7"/>
        <v>-</v>
      </c>
      <c r="P50" s="4" t="str">
        <f t="shared" si="8"/>
        <v>-</v>
      </c>
      <c r="Q50" s="4" t="str">
        <f t="shared" si="9"/>
        <v>-</v>
      </c>
      <c r="R50" s="4">
        <f t="shared" si="10"/>
        <v>0</v>
      </c>
      <c r="S50" s="23" t="str">
        <f t="shared" si="11"/>
        <v>H289L3</v>
      </c>
      <c r="T50" s="4" t="str">
        <f t="shared" si="12"/>
        <v>H289</v>
      </c>
      <c r="U50" s="4" t="str">
        <f t="shared" si="13"/>
        <v>TerHea</v>
      </c>
      <c r="V50" s="4">
        <f t="shared" si="14"/>
        <v>9999</v>
      </c>
      <c r="W50" s="23">
        <f>VLOOKUP(A50,[1]SummaryTable!$A$2:$F$359,4,FALSE)</f>
        <v>141.75</v>
      </c>
    </row>
    <row r="51" spans="1:23" x14ac:dyDescent="0.25">
      <c r="A51" s="14" t="s">
        <v>245</v>
      </c>
      <c r="B51" s="14" t="str">
        <f t="shared" si="0"/>
        <v>H246</v>
      </c>
      <c r="C51" s="14">
        <v>14</v>
      </c>
      <c r="D51" s="61">
        <v>23</v>
      </c>
      <c r="E51" s="15">
        <f>VLOOKUP(A51,[1]SummaryTable!$A$2:$F$359,2,FALSE)</f>
        <v>6445873.5732541904</v>
      </c>
      <c r="F51" s="15">
        <f>VLOOKUP(A51,[1]SummaryTable!$A$2:$F$359,3,FALSE)</f>
        <v>414902.14150154399</v>
      </c>
      <c r="G51" s="62">
        <f t="shared" si="1"/>
        <v>165.36</v>
      </c>
      <c r="H51" s="4">
        <f>VLOOKUP(A51,[1]SummaryTable!$A$2:$F$359,5,FALSE)</f>
        <v>0.79407544212306147</v>
      </c>
      <c r="I51" s="4">
        <f>VLOOKUP(A51,[1]SummaryTable!$A$2:$F$359,6,FALSE)</f>
        <v>0.20592455787693853</v>
      </c>
      <c r="J51" s="4" t="str">
        <f>IF(I51&gt;0.1,[2]Processes!$A$6,[2]Processes!$A$5)</f>
        <v>Heatpl</v>
      </c>
      <c r="K51" s="23" t="str">
        <f t="shared" si="3"/>
        <v>H246L1</v>
      </c>
      <c r="L51" s="4" t="str">
        <f t="shared" si="4"/>
        <v>H246</v>
      </c>
      <c r="M51" s="4" t="str">
        <f t="shared" si="5"/>
        <v>Heatpl</v>
      </c>
      <c r="N51" s="4">
        <f t="shared" si="6"/>
        <v>165.36</v>
      </c>
      <c r="O51" s="23" t="str">
        <f t="shared" si="7"/>
        <v>-</v>
      </c>
      <c r="P51" s="4" t="str">
        <f t="shared" si="8"/>
        <v>-</v>
      </c>
      <c r="Q51" s="4" t="str">
        <f t="shared" si="9"/>
        <v>-</v>
      </c>
      <c r="R51" s="4">
        <f t="shared" si="10"/>
        <v>0</v>
      </c>
      <c r="S51" s="23" t="str">
        <f t="shared" si="11"/>
        <v>H246L3</v>
      </c>
      <c r="T51" s="4" t="str">
        <f t="shared" si="12"/>
        <v>H246</v>
      </c>
      <c r="U51" s="4" t="str">
        <f t="shared" si="13"/>
        <v>TerHea</v>
      </c>
      <c r="V51" s="4">
        <f t="shared" si="14"/>
        <v>9999</v>
      </c>
      <c r="W51" s="23">
        <f>VLOOKUP(A51,[1]SummaryTable!$A$2:$F$359,4,FALSE)</f>
        <v>137.80000000000001</v>
      </c>
    </row>
    <row r="52" spans="1:23" x14ac:dyDescent="0.25">
      <c r="A52" s="14" t="s">
        <v>220</v>
      </c>
      <c r="B52" s="14" t="str">
        <f t="shared" si="0"/>
        <v>H221</v>
      </c>
      <c r="C52" s="14">
        <v>14</v>
      </c>
      <c r="D52" s="61">
        <v>23</v>
      </c>
      <c r="E52" s="15">
        <f>VLOOKUP(A52,[1]SummaryTable!$A$2:$F$359,2,FALSE)</f>
        <v>6484777.7908117501</v>
      </c>
      <c r="F52" s="15">
        <f>VLOOKUP(A52,[1]SummaryTable!$A$2:$F$359,3,FALSE)</f>
        <v>410580.86241337197</v>
      </c>
      <c r="G52" s="62">
        <f t="shared" si="1"/>
        <v>161.47799999999998</v>
      </c>
      <c r="H52" s="4">
        <f>VLOOKUP(A52,[1]SummaryTable!$A$2:$F$359,5,FALSE)</f>
        <v>1</v>
      </c>
      <c r="I52" s="4">
        <f>VLOOKUP(A52,[1]SummaryTable!$A$2:$F$359,6,FALSE)</f>
        <v>0</v>
      </c>
      <c r="J52" s="4" t="str">
        <f>IF(I52&gt;0.1,[2]Processes!$A$6,[2]Processes!$A$5)</f>
        <v>Sawmal</v>
      </c>
      <c r="K52" s="23" t="str">
        <f t="shared" si="3"/>
        <v>H221L1</v>
      </c>
      <c r="L52" s="4" t="str">
        <f t="shared" si="4"/>
        <v>H221</v>
      </c>
      <c r="M52" s="4" t="str">
        <f t="shared" si="5"/>
        <v>Heatpl</v>
      </c>
      <c r="N52" s="4">
        <f t="shared" si="6"/>
        <v>161.47799999999998</v>
      </c>
      <c r="O52" s="23" t="str">
        <f t="shared" si="7"/>
        <v>-</v>
      </c>
      <c r="P52" s="4" t="str">
        <f t="shared" si="8"/>
        <v>-</v>
      </c>
      <c r="Q52" s="4" t="str">
        <f t="shared" si="9"/>
        <v>-</v>
      </c>
      <c r="R52" s="4">
        <f t="shared" si="10"/>
        <v>0</v>
      </c>
      <c r="S52" s="23" t="str">
        <f t="shared" si="11"/>
        <v>H221L3</v>
      </c>
      <c r="T52" s="4" t="str">
        <f t="shared" si="12"/>
        <v>H221</v>
      </c>
      <c r="U52" s="4" t="str">
        <f t="shared" si="13"/>
        <v>TerHea</v>
      </c>
      <c r="V52" s="4">
        <f t="shared" si="14"/>
        <v>9999</v>
      </c>
      <c r="W52" s="23">
        <f>VLOOKUP(A52,[1]SummaryTable!$A$2:$F$359,4,FALSE)</f>
        <v>134.565</v>
      </c>
    </row>
    <row r="53" spans="1:23" x14ac:dyDescent="0.25">
      <c r="A53" s="14" t="s">
        <v>337</v>
      </c>
      <c r="B53" s="14" t="str">
        <f t="shared" si="0"/>
        <v>H338</v>
      </c>
      <c r="C53" s="14">
        <v>10</v>
      </c>
      <c r="D53" s="61">
        <v>22</v>
      </c>
      <c r="E53" s="15">
        <f>VLOOKUP(A53,[1]SummaryTable!$A$2:$F$359,2,FALSE)</f>
        <v>6227215.51808515</v>
      </c>
      <c r="F53" s="15">
        <f>VLOOKUP(A53,[1]SummaryTable!$A$2:$F$359,3,FALSE)</f>
        <v>517551.47744656203</v>
      </c>
      <c r="G53" s="62">
        <f t="shared" si="1"/>
        <v>159.60018000000002</v>
      </c>
      <c r="H53" s="4">
        <f>VLOOKUP(A53,[1]SummaryTable!$A$2:$F$359,5,FALSE)</f>
        <v>1</v>
      </c>
      <c r="I53" s="4">
        <f>VLOOKUP(A53,[1]SummaryTable!$A$2:$F$359,6,FALSE)</f>
        <v>0</v>
      </c>
      <c r="J53" s="4" t="str">
        <f>IF(I53&gt;0.1,[2]Processes!$A$6,[2]Processes!$A$5)</f>
        <v>Sawmal</v>
      </c>
      <c r="K53" s="23" t="str">
        <f t="shared" si="3"/>
        <v>H338L1</v>
      </c>
      <c r="L53" s="4" t="str">
        <f t="shared" si="4"/>
        <v>H338</v>
      </c>
      <c r="M53" s="4" t="str">
        <f t="shared" si="5"/>
        <v>Heatpl</v>
      </c>
      <c r="N53" s="4">
        <f t="shared" si="6"/>
        <v>159.60018000000002</v>
      </c>
      <c r="O53" s="23" t="str">
        <f t="shared" si="7"/>
        <v>-</v>
      </c>
      <c r="P53" s="4" t="str">
        <f t="shared" si="8"/>
        <v>-</v>
      </c>
      <c r="Q53" s="4" t="str">
        <f t="shared" si="9"/>
        <v>-</v>
      </c>
      <c r="R53" s="4">
        <f t="shared" si="10"/>
        <v>0</v>
      </c>
      <c r="S53" s="23" t="str">
        <f t="shared" si="11"/>
        <v>H338L3</v>
      </c>
      <c r="T53" s="4" t="str">
        <f t="shared" si="12"/>
        <v>H338</v>
      </c>
      <c r="U53" s="4" t="str">
        <f t="shared" si="13"/>
        <v>TerHea</v>
      </c>
      <c r="V53" s="4">
        <f t="shared" si="14"/>
        <v>9999</v>
      </c>
      <c r="W53" s="23">
        <f>VLOOKUP(A53,[1]SummaryTable!$A$2:$F$359,4,FALSE)</f>
        <v>133.00015000000002</v>
      </c>
    </row>
    <row r="54" spans="1:23" x14ac:dyDescent="0.25">
      <c r="A54" s="14" t="s">
        <v>40</v>
      </c>
      <c r="B54" s="14" t="str">
        <f t="shared" si="0"/>
        <v>H41</v>
      </c>
      <c r="C54" s="14">
        <v>25</v>
      </c>
      <c r="D54" s="61">
        <v>33</v>
      </c>
      <c r="E54" s="15">
        <f>VLOOKUP(A54,[1]SummaryTable!$A$2:$F$359,2,FALSE)</f>
        <v>7462379.1219927296</v>
      </c>
      <c r="F54" s="15">
        <f>VLOOKUP(A54,[1]SummaryTable!$A$2:$F$359,3,FALSE)</f>
        <v>744888.21263924905</v>
      </c>
      <c r="G54" s="62">
        <f t="shared" si="1"/>
        <v>155.04000000000002</v>
      </c>
      <c r="H54" s="4">
        <f>VLOOKUP(A54,[1]SummaryTable!$A$2:$F$359,5,FALSE)</f>
        <v>0.6968481668098544</v>
      </c>
      <c r="I54" s="4">
        <f>VLOOKUP(A54,[1]SummaryTable!$A$2:$F$359,6,FALSE)</f>
        <v>0.3031518331901456</v>
      </c>
      <c r="J54" s="4" t="str">
        <f>IF(I54&gt;0.1,[2]Processes!$A$6,[2]Processes!$A$5)</f>
        <v>Heatpl</v>
      </c>
      <c r="K54" s="23" t="str">
        <f t="shared" si="3"/>
        <v>H41L1</v>
      </c>
      <c r="L54" s="4" t="str">
        <f t="shared" si="4"/>
        <v>H41</v>
      </c>
      <c r="M54" s="4" t="str">
        <f t="shared" si="5"/>
        <v>Heatpl</v>
      </c>
      <c r="N54" s="4">
        <f t="shared" si="6"/>
        <v>155.04000000000002</v>
      </c>
      <c r="O54" s="23" t="str">
        <f t="shared" si="7"/>
        <v>-</v>
      </c>
      <c r="P54" s="4" t="str">
        <f t="shared" si="8"/>
        <v>-</v>
      </c>
      <c r="Q54" s="4" t="str">
        <f t="shared" si="9"/>
        <v>-</v>
      </c>
      <c r="R54" s="4">
        <f t="shared" si="10"/>
        <v>0</v>
      </c>
      <c r="S54" s="23" t="str">
        <f t="shared" si="11"/>
        <v>H41L3</v>
      </c>
      <c r="T54" s="4" t="str">
        <f t="shared" si="12"/>
        <v>H41</v>
      </c>
      <c r="U54" s="4" t="str">
        <f t="shared" si="13"/>
        <v>TerHea</v>
      </c>
      <c r="V54" s="4">
        <f t="shared" si="14"/>
        <v>9999</v>
      </c>
      <c r="W54" s="23">
        <f>VLOOKUP(A54,[1]SummaryTable!$A$2:$F$359,4,FALSE)</f>
        <v>129.20000000000002</v>
      </c>
    </row>
    <row r="55" spans="1:23" x14ac:dyDescent="0.25">
      <c r="A55" s="14" t="s">
        <v>43</v>
      </c>
      <c r="B55" s="14" t="str">
        <f t="shared" si="0"/>
        <v>H44</v>
      </c>
      <c r="C55" s="14">
        <v>25</v>
      </c>
      <c r="D55" s="61">
        <v>33</v>
      </c>
      <c r="E55" s="15">
        <f>VLOOKUP(A55,[1]SummaryTable!$A$2:$F$359,2,FALSE)</f>
        <v>7330532.6122062001</v>
      </c>
      <c r="F55" s="15">
        <f>VLOOKUP(A55,[1]SummaryTable!$A$2:$F$359,3,FALSE)</f>
        <v>872321.234530741</v>
      </c>
      <c r="G55" s="62">
        <f t="shared" si="1"/>
        <v>153.43439999999998</v>
      </c>
      <c r="H55" s="4">
        <f>VLOOKUP(A55,[1]SummaryTable!$A$2:$F$359,5,FALSE)</f>
        <v>1</v>
      </c>
      <c r="I55" s="4">
        <f>VLOOKUP(A55,[1]SummaryTable!$A$2:$F$359,6,FALSE)</f>
        <v>0</v>
      </c>
      <c r="J55" s="4" t="str">
        <f>IF(I55&gt;0.1,[2]Processes!$A$6,[2]Processes!$A$5)</f>
        <v>Sawmal</v>
      </c>
      <c r="K55" s="23" t="str">
        <f t="shared" si="3"/>
        <v>H44L1</v>
      </c>
      <c r="L55" s="4" t="str">
        <f t="shared" si="4"/>
        <v>H44</v>
      </c>
      <c r="M55" s="4" t="str">
        <f t="shared" si="5"/>
        <v>Heatpl</v>
      </c>
      <c r="N55" s="4">
        <f t="shared" si="6"/>
        <v>153.43439999999998</v>
      </c>
      <c r="O55" s="23" t="str">
        <f t="shared" si="7"/>
        <v>-</v>
      </c>
      <c r="P55" s="4" t="str">
        <f t="shared" si="8"/>
        <v>-</v>
      </c>
      <c r="Q55" s="4" t="str">
        <f t="shared" si="9"/>
        <v>-</v>
      </c>
      <c r="R55" s="4">
        <f t="shared" si="10"/>
        <v>0</v>
      </c>
      <c r="S55" s="23" t="str">
        <f t="shared" si="11"/>
        <v>H44L3</v>
      </c>
      <c r="T55" s="4" t="str">
        <f t="shared" si="12"/>
        <v>H44</v>
      </c>
      <c r="U55" s="4" t="str">
        <f t="shared" si="13"/>
        <v>TerHea</v>
      </c>
      <c r="V55" s="4">
        <f t="shared" si="14"/>
        <v>9999</v>
      </c>
      <c r="W55" s="23">
        <f>VLOOKUP(A55,[1]SummaryTable!$A$2:$F$359,4,FALSE)</f>
        <v>127.86199999999999</v>
      </c>
    </row>
    <row r="56" spans="1:23" x14ac:dyDescent="0.25">
      <c r="A56" s="14" t="s">
        <v>289</v>
      </c>
      <c r="B56" s="14" t="str">
        <f t="shared" si="0"/>
        <v>H290</v>
      </c>
      <c r="C56" s="14">
        <v>13</v>
      </c>
      <c r="D56" s="61">
        <v>23</v>
      </c>
      <c r="E56" s="15">
        <f>VLOOKUP(A56,[1]SummaryTable!$A$2:$F$359,2,FALSE)</f>
        <v>6371469.3583102701</v>
      </c>
      <c r="F56" s="15">
        <f>VLOOKUP(A56,[1]SummaryTable!$A$2:$F$359,3,FALSE)</f>
        <v>325100.49856703402</v>
      </c>
      <c r="G56" s="62">
        <f t="shared" si="1"/>
        <v>152.43600000000001</v>
      </c>
      <c r="H56" s="4">
        <f>VLOOKUP(A56,[1]SummaryTable!$A$2:$F$359,5,FALSE)</f>
        <v>1</v>
      </c>
      <c r="I56" s="4">
        <f>VLOOKUP(A56,[1]SummaryTable!$A$2:$F$359,6,FALSE)</f>
        <v>0</v>
      </c>
      <c r="J56" s="4" t="str">
        <f>IF(I56&gt;0.1,[2]Processes!$A$6,[2]Processes!$A$5)</f>
        <v>Sawmal</v>
      </c>
      <c r="K56" s="23" t="str">
        <f t="shared" si="3"/>
        <v>H290L1</v>
      </c>
      <c r="L56" s="4" t="str">
        <f t="shared" si="4"/>
        <v>H290</v>
      </c>
      <c r="M56" s="4" t="str">
        <f t="shared" si="5"/>
        <v>Heatpl</v>
      </c>
      <c r="N56" s="4">
        <f t="shared" si="6"/>
        <v>152.43600000000001</v>
      </c>
      <c r="O56" s="23" t="str">
        <f t="shared" si="7"/>
        <v>-</v>
      </c>
      <c r="P56" s="4" t="str">
        <f t="shared" si="8"/>
        <v>-</v>
      </c>
      <c r="Q56" s="4" t="str">
        <f t="shared" si="9"/>
        <v>-</v>
      </c>
      <c r="R56" s="4">
        <f t="shared" si="10"/>
        <v>0</v>
      </c>
      <c r="S56" s="23" t="str">
        <f t="shared" si="11"/>
        <v>H290L3</v>
      </c>
      <c r="T56" s="4" t="str">
        <f t="shared" si="12"/>
        <v>H290</v>
      </c>
      <c r="U56" s="4" t="str">
        <f t="shared" si="13"/>
        <v>TerHea</v>
      </c>
      <c r="V56" s="4">
        <f t="shared" si="14"/>
        <v>9999</v>
      </c>
      <c r="W56" s="23">
        <f>VLOOKUP(A56,[1]SummaryTable!$A$2:$F$359,4,FALSE)</f>
        <v>127.03</v>
      </c>
    </row>
    <row r="57" spans="1:23" x14ac:dyDescent="0.25">
      <c r="A57" s="14" t="s">
        <v>253</v>
      </c>
      <c r="B57" s="14" t="str">
        <f t="shared" si="0"/>
        <v>H254</v>
      </c>
      <c r="C57" s="14">
        <v>14</v>
      </c>
      <c r="D57" s="61">
        <v>23</v>
      </c>
      <c r="E57" s="15">
        <f>VLOOKUP(A57,[1]SummaryTable!$A$2:$F$359,2,FALSE)</f>
        <v>6419358.5435363296</v>
      </c>
      <c r="F57" s="15">
        <f>VLOOKUP(A57,[1]SummaryTable!$A$2:$F$359,3,FALSE)</f>
        <v>353874.31957456702</v>
      </c>
      <c r="G57" s="62">
        <f t="shared" si="1"/>
        <v>149.82</v>
      </c>
      <c r="H57" s="4">
        <f>VLOOKUP(A57,[1]SummaryTable!$A$2:$F$359,5,FALSE)</f>
        <v>1</v>
      </c>
      <c r="I57" s="4">
        <f>VLOOKUP(A57,[1]SummaryTable!$A$2:$F$359,6,FALSE)</f>
        <v>0</v>
      </c>
      <c r="J57" s="4" t="str">
        <f>IF(I57&gt;0.1,[2]Processes!$A$6,[2]Processes!$A$5)</f>
        <v>Sawmal</v>
      </c>
      <c r="K57" s="23" t="str">
        <f t="shared" si="3"/>
        <v>H254L1</v>
      </c>
      <c r="L57" s="4" t="str">
        <f t="shared" si="4"/>
        <v>H254</v>
      </c>
      <c r="M57" s="4" t="str">
        <f t="shared" si="5"/>
        <v>Heatpl</v>
      </c>
      <c r="N57" s="4">
        <f t="shared" si="6"/>
        <v>149.82</v>
      </c>
      <c r="O57" s="23" t="str">
        <f t="shared" si="7"/>
        <v>-</v>
      </c>
      <c r="P57" s="4" t="str">
        <f t="shared" si="8"/>
        <v>-</v>
      </c>
      <c r="Q57" s="4" t="str">
        <f t="shared" si="9"/>
        <v>-</v>
      </c>
      <c r="R57" s="4">
        <f t="shared" si="10"/>
        <v>0</v>
      </c>
      <c r="S57" s="23" t="str">
        <f t="shared" si="11"/>
        <v>H254L3</v>
      </c>
      <c r="T57" s="4" t="str">
        <f t="shared" si="12"/>
        <v>H254</v>
      </c>
      <c r="U57" s="4" t="str">
        <f t="shared" si="13"/>
        <v>TerHea</v>
      </c>
      <c r="V57" s="4">
        <f t="shared" si="14"/>
        <v>9999</v>
      </c>
      <c r="W57" s="23">
        <f>VLOOKUP(A57,[1]SummaryTable!$A$2:$F$359,4,FALSE)</f>
        <v>124.85</v>
      </c>
    </row>
    <row r="58" spans="1:23" x14ac:dyDescent="0.25">
      <c r="A58" s="14" t="s">
        <v>120</v>
      </c>
      <c r="B58" s="14" t="str">
        <f t="shared" si="0"/>
        <v>H121</v>
      </c>
      <c r="C58" s="14">
        <v>21</v>
      </c>
      <c r="D58" s="61">
        <v>31</v>
      </c>
      <c r="E58" s="15">
        <f>VLOOKUP(A58,[1]SummaryTable!$A$2:$F$359,2,FALSE)</f>
        <v>6720597.4634619802</v>
      </c>
      <c r="F58" s="15">
        <f>VLOOKUP(A58,[1]SummaryTable!$A$2:$F$359,3,FALSE)</f>
        <v>597127.44264675095</v>
      </c>
      <c r="G58" s="62">
        <f t="shared" si="1"/>
        <v>148.92839999999998</v>
      </c>
      <c r="H58" s="4">
        <f>VLOOKUP(A58,[1]SummaryTable!$A$2:$F$359,5,FALSE)</f>
        <v>1</v>
      </c>
      <c r="I58" s="4">
        <f>VLOOKUP(A58,[1]SummaryTable!$A$2:$F$359,6,FALSE)</f>
        <v>0</v>
      </c>
      <c r="J58" s="4" t="str">
        <f>IF(I58&gt;0.1,[2]Processes!$A$6,[2]Processes!$A$5)</f>
        <v>Sawmal</v>
      </c>
      <c r="K58" s="23" t="str">
        <f t="shared" si="3"/>
        <v>H121L1</v>
      </c>
      <c r="L58" s="4" t="str">
        <f t="shared" si="4"/>
        <v>H121</v>
      </c>
      <c r="M58" s="4" t="str">
        <f t="shared" si="5"/>
        <v>Heatpl</v>
      </c>
      <c r="N58" s="4">
        <f t="shared" si="6"/>
        <v>148.92839999999998</v>
      </c>
      <c r="O58" s="23" t="str">
        <f t="shared" si="7"/>
        <v>-</v>
      </c>
      <c r="P58" s="4" t="str">
        <f t="shared" si="8"/>
        <v>-</v>
      </c>
      <c r="Q58" s="4" t="str">
        <f t="shared" si="9"/>
        <v>-</v>
      </c>
      <c r="R58" s="4">
        <f t="shared" si="10"/>
        <v>0</v>
      </c>
      <c r="S58" s="23" t="str">
        <f t="shared" si="11"/>
        <v>H121L3</v>
      </c>
      <c r="T58" s="4" t="str">
        <f t="shared" si="12"/>
        <v>H121</v>
      </c>
      <c r="U58" s="4" t="str">
        <f t="shared" si="13"/>
        <v>TerHea</v>
      </c>
      <c r="V58" s="4">
        <f t="shared" si="14"/>
        <v>9999</v>
      </c>
      <c r="W58" s="23">
        <f>VLOOKUP(A58,[1]SummaryTable!$A$2:$F$359,4,FALSE)</f>
        <v>124.107</v>
      </c>
    </row>
    <row r="59" spans="1:23" x14ac:dyDescent="0.25">
      <c r="A59" s="14" t="s">
        <v>357</v>
      </c>
      <c r="B59" s="14" t="str">
        <f t="shared" si="0"/>
        <v>H358</v>
      </c>
      <c r="C59" s="14">
        <v>12</v>
      </c>
      <c r="D59" s="61">
        <v>22</v>
      </c>
      <c r="E59" s="15">
        <f>VLOOKUP(A59,[1]SummaryTable!$A$2:$F$359,2,FALSE)</f>
        <v>6140289.5495965099</v>
      </c>
      <c r="F59" s="15">
        <f>VLOOKUP(A59,[1]SummaryTable!$A$2:$F$359,3,FALSE)</f>
        <v>425565.96006899403</v>
      </c>
      <c r="G59" s="62">
        <f t="shared" si="1"/>
        <v>145.91559599999999</v>
      </c>
      <c r="H59" s="4">
        <f>VLOOKUP(A59,[1]SummaryTable!$A$2:$F$359,5,FALSE)</f>
        <v>1</v>
      </c>
      <c r="I59" s="4">
        <f>VLOOKUP(A59,[1]SummaryTable!$A$2:$F$359,6,FALSE)</f>
        <v>0</v>
      </c>
      <c r="J59" s="4" t="str">
        <f>IF(I59&gt;0.1,[2]Processes!$A$6,[2]Processes!$A$5)</f>
        <v>Sawmal</v>
      </c>
      <c r="K59" s="23" t="str">
        <f t="shared" si="3"/>
        <v>H358L1</v>
      </c>
      <c r="L59" s="4" t="str">
        <f t="shared" si="4"/>
        <v>H358</v>
      </c>
      <c r="M59" s="4" t="str">
        <f t="shared" si="5"/>
        <v>Heatpl</v>
      </c>
      <c r="N59" s="4">
        <f t="shared" si="6"/>
        <v>145.91559599999999</v>
      </c>
      <c r="O59" s="23" t="str">
        <f t="shared" si="7"/>
        <v>-</v>
      </c>
      <c r="P59" s="4" t="str">
        <f t="shared" si="8"/>
        <v>-</v>
      </c>
      <c r="Q59" s="4" t="str">
        <f t="shared" si="9"/>
        <v>-</v>
      </c>
      <c r="R59" s="4">
        <f t="shared" si="10"/>
        <v>0</v>
      </c>
      <c r="S59" s="23" t="str">
        <f t="shared" si="11"/>
        <v>H358L3</v>
      </c>
      <c r="T59" s="4" t="str">
        <f t="shared" si="12"/>
        <v>H358</v>
      </c>
      <c r="U59" s="4" t="str">
        <f t="shared" si="13"/>
        <v>TerHea</v>
      </c>
      <c r="V59" s="4">
        <f t="shared" si="14"/>
        <v>9999</v>
      </c>
      <c r="W59" s="23">
        <f>VLOOKUP(A59,[1]SummaryTable!$A$2:$F$359,4,FALSE)</f>
        <v>121.59632999999999</v>
      </c>
    </row>
    <row r="60" spans="1:23" x14ac:dyDescent="0.25">
      <c r="A60" s="14" t="s">
        <v>353</v>
      </c>
      <c r="B60" s="14" t="str">
        <f t="shared" si="0"/>
        <v>H354</v>
      </c>
      <c r="C60" s="14">
        <v>12</v>
      </c>
      <c r="D60" s="61">
        <v>22</v>
      </c>
      <c r="E60" s="15">
        <f>VLOOKUP(A60,[1]SummaryTable!$A$2:$F$359,2,FALSE)</f>
        <v>6160983.9632025696</v>
      </c>
      <c r="F60" s="15">
        <f>VLOOKUP(A60,[1]SummaryTable!$A$2:$F$359,3,FALSE)</f>
        <v>374189.214127841</v>
      </c>
      <c r="G60" s="62">
        <f t="shared" si="1"/>
        <v>145.08000000000001</v>
      </c>
      <c r="H60" s="4">
        <f>VLOOKUP(A60,[1]SummaryTable!$A$2:$F$359,5,FALSE)</f>
        <v>1</v>
      </c>
      <c r="I60" s="4">
        <f>VLOOKUP(A60,[1]SummaryTable!$A$2:$F$359,6,FALSE)</f>
        <v>0</v>
      </c>
      <c r="J60" s="4" t="str">
        <f>IF(I60&gt;0.1,[2]Processes!$A$6,[2]Processes!$A$5)</f>
        <v>Sawmal</v>
      </c>
      <c r="K60" s="23" t="str">
        <f t="shared" si="3"/>
        <v>H354L1</v>
      </c>
      <c r="L60" s="4" t="str">
        <f t="shared" si="4"/>
        <v>H354</v>
      </c>
      <c r="M60" s="4" t="str">
        <f t="shared" si="5"/>
        <v>Heatpl</v>
      </c>
      <c r="N60" s="4">
        <f t="shared" si="6"/>
        <v>145.08000000000001</v>
      </c>
      <c r="O60" s="23" t="str">
        <f t="shared" si="7"/>
        <v>-</v>
      </c>
      <c r="P60" s="4" t="str">
        <f t="shared" si="8"/>
        <v>-</v>
      </c>
      <c r="Q60" s="4" t="str">
        <f t="shared" si="9"/>
        <v>-</v>
      </c>
      <c r="R60" s="4">
        <f t="shared" si="10"/>
        <v>0</v>
      </c>
      <c r="S60" s="23" t="str">
        <f t="shared" si="11"/>
        <v>H354L3</v>
      </c>
      <c r="T60" s="4" t="str">
        <f t="shared" si="12"/>
        <v>H354</v>
      </c>
      <c r="U60" s="4" t="str">
        <f t="shared" si="13"/>
        <v>TerHea</v>
      </c>
      <c r="V60" s="4">
        <f t="shared" si="14"/>
        <v>9999</v>
      </c>
      <c r="W60" s="23">
        <f>VLOOKUP(A60,[1]SummaryTable!$A$2:$F$359,4,FALSE)</f>
        <v>120.9</v>
      </c>
    </row>
    <row r="61" spans="1:23" x14ac:dyDescent="0.25">
      <c r="A61" s="14" t="s">
        <v>52</v>
      </c>
      <c r="B61" s="14" t="str">
        <f t="shared" si="0"/>
        <v>H53</v>
      </c>
      <c r="C61" s="14">
        <v>24</v>
      </c>
      <c r="D61" s="61">
        <v>33</v>
      </c>
      <c r="E61" s="15">
        <f>VLOOKUP(A61,[1]SummaryTable!$A$2:$F$359,2,FALSE)</f>
        <v>7234011.5230320496</v>
      </c>
      <c r="F61" s="15">
        <f>VLOOKUP(A61,[1]SummaryTable!$A$2:$F$359,3,FALSE)</f>
        <v>675171.99812517199</v>
      </c>
      <c r="G61" s="62">
        <f t="shared" si="1"/>
        <v>141.63444960000001</v>
      </c>
      <c r="H61" s="4">
        <f>VLOOKUP(A61,[1]SummaryTable!$A$2:$F$359,5,FALSE)</f>
        <v>0.66583575721461574</v>
      </c>
      <c r="I61" s="4">
        <f>VLOOKUP(A61,[1]SummaryTable!$A$2:$F$359,6,FALSE)</f>
        <v>0.33416424278538426</v>
      </c>
      <c r="J61" s="4" t="str">
        <f>IF(I61&gt;0.1,[2]Processes!$A$6,[2]Processes!$A$5)</f>
        <v>Heatpl</v>
      </c>
      <c r="K61" s="23" t="str">
        <f t="shared" si="3"/>
        <v>H53L1</v>
      </c>
      <c r="L61" s="4" t="str">
        <f t="shared" si="4"/>
        <v>H53</v>
      </c>
      <c r="M61" s="4" t="str">
        <f t="shared" si="5"/>
        <v>Heatpl</v>
      </c>
      <c r="N61" s="4">
        <f t="shared" si="6"/>
        <v>141.63444960000001</v>
      </c>
      <c r="O61" s="23" t="str">
        <f t="shared" si="7"/>
        <v>-</v>
      </c>
      <c r="P61" s="4" t="str">
        <f t="shared" si="8"/>
        <v>-</v>
      </c>
      <c r="Q61" s="4" t="str">
        <f t="shared" si="9"/>
        <v>-</v>
      </c>
      <c r="R61" s="4">
        <f t="shared" si="10"/>
        <v>0</v>
      </c>
      <c r="S61" s="23" t="str">
        <f t="shared" si="11"/>
        <v>H53L3</v>
      </c>
      <c r="T61" s="4" t="str">
        <f t="shared" si="12"/>
        <v>H53</v>
      </c>
      <c r="U61" s="4" t="str">
        <f t="shared" si="13"/>
        <v>TerHea</v>
      </c>
      <c r="V61" s="4">
        <f t="shared" si="14"/>
        <v>9999</v>
      </c>
      <c r="W61" s="23">
        <f>VLOOKUP(A61,[1]SummaryTable!$A$2:$F$359,4,FALSE)</f>
        <v>118.02870800000002</v>
      </c>
    </row>
    <row r="62" spans="1:23" x14ac:dyDescent="0.25">
      <c r="A62" s="14" t="s">
        <v>178</v>
      </c>
      <c r="B62" s="14" t="str">
        <f t="shared" si="0"/>
        <v>H179</v>
      </c>
      <c r="C62" s="14">
        <v>19</v>
      </c>
      <c r="D62" s="61">
        <v>12</v>
      </c>
      <c r="E62" s="15">
        <f>VLOOKUP(A62,[1]SummaryTable!$A$2:$F$359,2,FALSE)</f>
        <v>6582451.2161913197</v>
      </c>
      <c r="F62" s="15">
        <f>VLOOKUP(A62,[1]SummaryTable!$A$2:$F$359,3,FALSE)</f>
        <v>548039.13636567502</v>
      </c>
      <c r="G62" s="62">
        <f t="shared" si="1"/>
        <v>126.24</v>
      </c>
      <c r="H62" s="4">
        <f>VLOOKUP(A62,[1]SummaryTable!$A$2:$F$359,5,FALSE)</f>
        <v>1</v>
      </c>
      <c r="I62" s="4">
        <f>VLOOKUP(A62,[1]SummaryTable!$A$2:$F$359,6,FALSE)</f>
        <v>0</v>
      </c>
      <c r="J62" s="4" t="str">
        <f>IF(I62&gt;0.1,[2]Processes!$A$6,[2]Processes!$A$5)</f>
        <v>Sawmal</v>
      </c>
      <c r="K62" s="23" t="str">
        <f t="shared" si="3"/>
        <v>H179L1</v>
      </c>
      <c r="L62" s="4" t="str">
        <f t="shared" si="4"/>
        <v>H179</v>
      </c>
      <c r="M62" s="4" t="str">
        <f t="shared" si="5"/>
        <v>Heatpl</v>
      </c>
      <c r="N62" s="4">
        <f t="shared" si="6"/>
        <v>126.24</v>
      </c>
      <c r="O62" s="23" t="str">
        <f t="shared" si="7"/>
        <v>-</v>
      </c>
      <c r="P62" s="4" t="str">
        <f t="shared" si="8"/>
        <v>-</v>
      </c>
      <c r="Q62" s="4" t="str">
        <f t="shared" si="9"/>
        <v>-</v>
      </c>
      <c r="R62" s="4">
        <f t="shared" si="10"/>
        <v>0</v>
      </c>
      <c r="S62" s="23" t="str">
        <f t="shared" si="11"/>
        <v>H179L3</v>
      </c>
      <c r="T62" s="4" t="str">
        <f t="shared" si="12"/>
        <v>H179</v>
      </c>
      <c r="U62" s="4" t="str">
        <f t="shared" si="13"/>
        <v>TerHea</v>
      </c>
      <c r="V62" s="4">
        <f t="shared" si="14"/>
        <v>9999</v>
      </c>
      <c r="W62" s="23">
        <f>VLOOKUP(A62,[1]SummaryTable!$A$2:$F$359,4,FALSE)</f>
        <v>105.2</v>
      </c>
    </row>
    <row r="63" spans="1:23" x14ac:dyDescent="0.25">
      <c r="A63" s="14" t="s">
        <v>155</v>
      </c>
      <c r="B63" s="14" t="str">
        <f t="shared" si="0"/>
        <v>H156</v>
      </c>
      <c r="C63" s="14">
        <v>17</v>
      </c>
      <c r="D63" s="61">
        <v>31</v>
      </c>
      <c r="E63" s="15">
        <f>VLOOKUP(A63,[1]SummaryTable!$A$2:$F$359,2,FALSE)</f>
        <v>6611451.2513030497</v>
      </c>
      <c r="F63" s="15">
        <f>VLOOKUP(A63,[1]SummaryTable!$A$2:$F$359,3,FALSE)</f>
        <v>364318.97513904201</v>
      </c>
      <c r="G63" s="62">
        <f t="shared" si="1"/>
        <v>120.84</v>
      </c>
      <c r="H63" s="4">
        <f>VLOOKUP(A63,[1]SummaryTable!$A$2:$F$359,5,FALSE)</f>
        <v>1</v>
      </c>
      <c r="I63" s="4">
        <f>VLOOKUP(A63,[1]SummaryTable!$A$2:$F$359,6,FALSE)</f>
        <v>0</v>
      </c>
      <c r="J63" s="4" t="str">
        <f>IF(I63&gt;0.1,[2]Processes!$A$6,[2]Processes!$A$5)</f>
        <v>Sawmal</v>
      </c>
      <c r="K63" s="23" t="str">
        <f t="shared" si="3"/>
        <v>H156L1</v>
      </c>
      <c r="L63" s="4" t="str">
        <f t="shared" si="4"/>
        <v>H156</v>
      </c>
      <c r="M63" s="4" t="str">
        <f t="shared" si="5"/>
        <v>Heatpl</v>
      </c>
      <c r="N63" s="4">
        <f t="shared" si="6"/>
        <v>120.84</v>
      </c>
      <c r="O63" s="23" t="str">
        <f t="shared" si="7"/>
        <v>-</v>
      </c>
      <c r="P63" s="4" t="str">
        <f t="shared" si="8"/>
        <v>-</v>
      </c>
      <c r="Q63" s="4" t="str">
        <f t="shared" si="9"/>
        <v>-</v>
      </c>
      <c r="R63" s="4">
        <f t="shared" si="10"/>
        <v>0</v>
      </c>
      <c r="S63" s="23" t="str">
        <f t="shared" si="11"/>
        <v>H156L3</v>
      </c>
      <c r="T63" s="4" t="str">
        <f t="shared" si="12"/>
        <v>H156</v>
      </c>
      <c r="U63" s="4" t="str">
        <f t="shared" si="13"/>
        <v>TerHea</v>
      </c>
      <c r="V63" s="4">
        <f t="shared" si="14"/>
        <v>9999</v>
      </c>
      <c r="W63" s="23">
        <f>VLOOKUP(A63,[1]SummaryTable!$A$2:$F$359,4,FALSE)</f>
        <v>100.7</v>
      </c>
    </row>
    <row r="64" spans="1:23" x14ac:dyDescent="0.25">
      <c r="A64" s="14" t="s">
        <v>187</v>
      </c>
      <c r="B64" s="14" t="str">
        <f t="shared" si="0"/>
        <v>H188</v>
      </c>
      <c r="C64" s="14">
        <v>17</v>
      </c>
      <c r="D64" s="61">
        <v>31</v>
      </c>
      <c r="E64" s="15">
        <f>VLOOKUP(A64,[1]SummaryTable!$A$2:$F$359,2,FALSE)</f>
        <v>6572729.1151620001</v>
      </c>
      <c r="F64" s="15">
        <f>VLOOKUP(A64,[1]SummaryTable!$A$2:$F$359,3,FALSE)</f>
        <v>449311.39347196801</v>
      </c>
      <c r="G64" s="62">
        <f t="shared" si="1"/>
        <v>120.37319999999998</v>
      </c>
      <c r="H64" s="4">
        <f>VLOOKUP(A64,[1]SummaryTable!$A$2:$F$359,5,FALSE)</f>
        <v>1</v>
      </c>
      <c r="I64" s="4">
        <f>VLOOKUP(A64,[1]SummaryTable!$A$2:$F$359,6,FALSE)</f>
        <v>0</v>
      </c>
      <c r="J64" s="4" t="str">
        <f>IF(I64&gt;0.1,[2]Processes!$A$6,[2]Processes!$A$5)</f>
        <v>Sawmal</v>
      </c>
      <c r="K64" s="23" t="str">
        <f t="shared" si="3"/>
        <v>H188L1</v>
      </c>
      <c r="L64" s="4" t="str">
        <f t="shared" si="4"/>
        <v>H188</v>
      </c>
      <c r="M64" s="4" t="str">
        <f t="shared" si="5"/>
        <v>Heatpl</v>
      </c>
      <c r="N64" s="4">
        <f t="shared" si="6"/>
        <v>120.37319999999998</v>
      </c>
      <c r="O64" s="23" t="str">
        <f t="shared" si="7"/>
        <v>-</v>
      </c>
      <c r="P64" s="4" t="str">
        <f t="shared" si="8"/>
        <v>-</v>
      </c>
      <c r="Q64" s="4" t="str">
        <f t="shared" si="9"/>
        <v>-</v>
      </c>
      <c r="R64" s="4">
        <f t="shared" si="10"/>
        <v>0</v>
      </c>
      <c r="S64" s="23" t="str">
        <f t="shared" si="11"/>
        <v>H188L3</v>
      </c>
      <c r="T64" s="4" t="str">
        <f t="shared" si="12"/>
        <v>H188</v>
      </c>
      <c r="U64" s="4" t="str">
        <f t="shared" si="13"/>
        <v>TerHea</v>
      </c>
      <c r="V64" s="4">
        <f t="shared" si="14"/>
        <v>9999</v>
      </c>
      <c r="W64" s="23">
        <f>VLOOKUP(A64,[1]SummaryTable!$A$2:$F$359,4,FALSE)</f>
        <v>100.31099999999999</v>
      </c>
    </row>
    <row r="65" spans="1:23" x14ac:dyDescent="0.25">
      <c r="A65" s="14" t="s">
        <v>256</v>
      </c>
      <c r="B65" s="14" t="str">
        <f t="shared" si="0"/>
        <v>H257</v>
      </c>
      <c r="C65" s="14">
        <v>14</v>
      </c>
      <c r="D65" s="61">
        <v>23</v>
      </c>
      <c r="E65" s="15">
        <f>VLOOKUP(A65,[1]SummaryTable!$A$2:$F$359,2,FALSE)</f>
        <v>6414195.3380078897</v>
      </c>
      <c r="F65" s="15">
        <f>VLOOKUP(A65,[1]SummaryTable!$A$2:$F$359,3,FALSE)</f>
        <v>320182.59453473199</v>
      </c>
      <c r="G65" s="62">
        <f t="shared" si="1"/>
        <v>119.75999999999999</v>
      </c>
      <c r="H65" s="4">
        <f>VLOOKUP(A65,[1]SummaryTable!$A$2:$F$359,5,FALSE)</f>
        <v>0.76461758900211418</v>
      </c>
      <c r="I65" s="4">
        <f>VLOOKUP(A65,[1]SummaryTable!$A$2:$F$359,6,FALSE)</f>
        <v>0.23538241099788582</v>
      </c>
      <c r="J65" s="4" t="str">
        <f>IF(I65&gt;0.1,[2]Processes!$A$6,[2]Processes!$A$5)</f>
        <v>Heatpl</v>
      </c>
      <c r="K65" s="23" t="str">
        <f t="shared" si="3"/>
        <v>H257L1</v>
      </c>
      <c r="L65" s="4" t="str">
        <f t="shared" si="4"/>
        <v>H257</v>
      </c>
      <c r="M65" s="4" t="str">
        <f t="shared" si="5"/>
        <v>Heatpl</v>
      </c>
      <c r="N65" s="4">
        <f t="shared" si="6"/>
        <v>119.75999999999999</v>
      </c>
      <c r="O65" s="23" t="str">
        <f t="shared" si="7"/>
        <v>-</v>
      </c>
      <c r="P65" s="4" t="str">
        <f t="shared" si="8"/>
        <v>-</v>
      </c>
      <c r="Q65" s="4" t="str">
        <f t="shared" si="9"/>
        <v>-</v>
      </c>
      <c r="R65" s="4">
        <f t="shared" si="10"/>
        <v>0</v>
      </c>
      <c r="S65" s="23" t="str">
        <f t="shared" si="11"/>
        <v>H257L3</v>
      </c>
      <c r="T65" s="4" t="str">
        <f t="shared" si="12"/>
        <v>H257</v>
      </c>
      <c r="U65" s="4" t="str">
        <f t="shared" si="13"/>
        <v>TerHea</v>
      </c>
      <c r="V65" s="4">
        <f t="shared" si="14"/>
        <v>9999</v>
      </c>
      <c r="W65" s="23">
        <f>VLOOKUP(A65,[1]SummaryTable!$A$2:$F$359,4,FALSE)</f>
        <v>99.8</v>
      </c>
    </row>
    <row r="66" spans="1:23" x14ac:dyDescent="0.25">
      <c r="A66" s="14" t="s">
        <v>342</v>
      </c>
      <c r="B66" s="14" t="str">
        <f t="shared" si="0"/>
        <v>H343</v>
      </c>
      <c r="C66" s="14">
        <v>12</v>
      </c>
      <c r="D66" s="61">
        <v>22</v>
      </c>
      <c r="E66" s="15">
        <f>VLOOKUP(A66,[1]SummaryTable!$A$2:$F$359,2,FALSE)</f>
        <v>6221422.07753463</v>
      </c>
      <c r="F66" s="15">
        <f>VLOOKUP(A66,[1]SummaryTable!$A$2:$F$359,3,FALSE)</f>
        <v>423171.42182152101</v>
      </c>
      <c r="G66" s="62">
        <f t="shared" si="1"/>
        <v>114.96</v>
      </c>
      <c r="H66" s="4">
        <f>VLOOKUP(A66,[1]SummaryTable!$A$2:$F$359,5,FALSE)</f>
        <v>1</v>
      </c>
      <c r="I66" s="4">
        <f>VLOOKUP(A66,[1]SummaryTable!$A$2:$F$359,6,FALSE)</f>
        <v>0</v>
      </c>
      <c r="J66" s="4" t="str">
        <f>IF(I66&gt;0.1,[2]Processes!$A$6,[2]Processes!$A$5)</f>
        <v>Sawmal</v>
      </c>
      <c r="K66" s="23" t="str">
        <f t="shared" si="3"/>
        <v>H343L1</v>
      </c>
      <c r="L66" s="4" t="str">
        <f t="shared" si="4"/>
        <v>H343</v>
      </c>
      <c r="M66" s="4" t="str">
        <f t="shared" si="5"/>
        <v>Heatpl</v>
      </c>
      <c r="N66" s="4">
        <f t="shared" si="6"/>
        <v>114.96</v>
      </c>
      <c r="O66" s="23" t="str">
        <f t="shared" si="7"/>
        <v>-</v>
      </c>
      <c r="P66" s="4" t="str">
        <f t="shared" si="8"/>
        <v>-</v>
      </c>
      <c r="Q66" s="4" t="str">
        <f t="shared" si="9"/>
        <v>-</v>
      </c>
      <c r="R66" s="4">
        <f t="shared" si="10"/>
        <v>0</v>
      </c>
      <c r="S66" s="23" t="str">
        <f t="shared" si="11"/>
        <v>H343L3</v>
      </c>
      <c r="T66" s="4" t="str">
        <f t="shared" si="12"/>
        <v>H343</v>
      </c>
      <c r="U66" s="4" t="str">
        <f t="shared" si="13"/>
        <v>TerHea</v>
      </c>
      <c r="V66" s="4">
        <f t="shared" si="14"/>
        <v>9999</v>
      </c>
      <c r="W66" s="23">
        <f>VLOOKUP(A66,[1]SummaryTable!$A$2:$F$359,4,FALSE)</f>
        <v>95.8</v>
      </c>
    </row>
    <row r="67" spans="1:23" x14ac:dyDescent="0.25">
      <c r="A67" s="14" t="s">
        <v>228</v>
      </c>
      <c r="B67" s="14" t="str">
        <f t="shared" ref="B67:B130" si="15">A67</f>
        <v>H229</v>
      </c>
      <c r="C67" s="14">
        <v>14</v>
      </c>
      <c r="D67" s="61">
        <v>23</v>
      </c>
      <c r="E67" s="15">
        <f>VLOOKUP(A67,[1]SummaryTable!$A$2:$F$359,2,FALSE)</f>
        <v>6469257.7166812401</v>
      </c>
      <c r="F67" s="15">
        <f>VLOOKUP(A67,[1]SummaryTable!$A$2:$F$359,3,FALSE)</f>
        <v>408972.83531492401</v>
      </c>
      <c r="G67" s="62">
        <f t="shared" ref="G67:G130" si="16">1.2*W67</f>
        <v>111.6</v>
      </c>
      <c r="H67" s="4">
        <f>VLOOKUP(A67,[1]SummaryTable!$A$2:$F$359,5,FALSE)</f>
        <v>1</v>
      </c>
      <c r="I67" s="4">
        <f>VLOOKUP(A67,[1]SummaryTable!$A$2:$F$359,6,FALSE)</f>
        <v>0</v>
      </c>
      <c r="J67" s="4" t="str">
        <f>IF(I67&gt;0.1,[2]Processes!$A$6,[2]Processes!$A$5)</f>
        <v>Sawmal</v>
      </c>
      <c r="K67" s="23" t="str">
        <f t="shared" si="3"/>
        <v>H229L1</v>
      </c>
      <c r="L67" s="4" t="str">
        <f t="shared" si="4"/>
        <v>H229</v>
      </c>
      <c r="M67" s="4" t="str">
        <f t="shared" si="5"/>
        <v>Heatpl</v>
      </c>
      <c r="N67" s="4">
        <f t="shared" si="6"/>
        <v>111.6</v>
      </c>
      <c r="O67" s="23" t="str">
        <f t="shared" si="7"/>
        <v>-</v>
      </c>
      <c r="P67" s="4" t="str">
        <f t="shared" si="8"/>
        <v>-</v>
      </c>
      <c r="Q67" s="4" t="str">
        <f t="shared" si="9"/>
        <v>-</v>
      </c>
      <c r="R67" s="4">
        <f t="shared" si="10"/>
        <v>0</v>
      </c>
      <c r="S67" s="23" t="str">
        <f t="shared" si="11"/>
        <v>H229L3</v>
      </c>
      <c r="T67" s="4" t="str">
        <f t="shared" si="12"/>
        <v>H229</v>
      </c>
      <c r="U67" s="4" t="str">
        <f t="shared" si="13"/>
        <v>TerHea</v>
      </c>
      <c r="V67" s="4">
        <f t="shared" si="14"/>
        <v>9999</v>
      </c>
      <c r="W67" s="23">
        <f>VLOOKUP(A67,[1]SummaryTable!$A$2:$F$359,4,FALSE)</f>
        <v>93</v>
      </c>
    </row>
    <row r="68" spans="1:23" x14ac:dyDescent="0.25">
      <c r="A68" s="14" t="s">
        <v>147</v>
      </c>
      <c r="B68" s="14" t="str">
        <f t="shared" si="15"/>
        <v>H148</v>
      </c>
      <c r="C68" s="14">
        <v>3</v>
      </c>
      <c r="D68" s="61">
        <v>12</v>
      </c>
      <c r="E68" s="15">
        <f>VLOOKUP(A68,[1]SummaryTable!$A$2:$F$359,2,FALSE)</f>
        <v>6638186.9166061301</v>
      </c>
      <c r="F68" s="15">
        <f>VLOOKUP(A68,[1]SummaryTable!$A$2:$F$359,3,FALSE)</f>
        <v>648120.36922178103</v>
      </c>
      <c r="G68" s="62">
        <f t="shared" si="16"/>
        <v>109.57680036000001</v>
      </c>
      <c r="H68" s="4">
        <f>VLOOKUP(A68,[1]SummaryTable!$A$2:$F$359,5,FALSE)</f>
        <v>0.59125042788835203</v>
      </c>
      <c r="I68" s="4">
        <f>VLOOKUP(A68,[1]SummaryTable!$A$2:$F$359,6,FALSE)</f>
        <v>0.40874957211164797</v>
      </c>
      <c r="J68" s="4" t="str">
        <f>IF(I68&gt;0.1,[2]Processes!$A$6,[2]Processes!$A$5)</f>
        <v>Heatpl</v>
      </c>
      <c r="K68" s="23" t="str">
        <f t="shared" ref="K68:K131" si="17">IF(G68&gt;$N$1,$A68&amp;"L"&amp;K$1,"-")</f>
        <v>H148L1</v>
      </c>
      <c r="L68" s="4" t="str">
        <f t="shared" ref="L68:L131" si="18">IF(K68="-","-",$A68)</f>
        <v>H148</v>
      </c>
      <c r="M68" s="4" t="str">
        <f t="shared" ref="M68:M131" si="19">IF(L68="-","-","Heatpl")</f>
        <v>Heatpl</v>
      </c>
      <c r="N68" s="4">
        <f t="shared" ref="N68:N131" si="20">IF(M68="-",0,G68)</f>
        <v>109.57680036000001</v>
      </c>
      <c r="O68" s="23" t="str">
        <f t="shared" ref="O68:O131" si="21">IF(G68*I68&gt;$N$1,$A68&amp;"L"&amp;O$1,"-")</f>
        <v>-</v>
      </c>
      <c r="P68" s="4" t="str">
        <f t="shared" ref="P68:P131" si="22">IF(O68="-","-",A68)</f>
        <v>-</v>
      </c>
      <c r="Q68" s="4" t="str">
        <f t="shared" ref="Q68:Q131" si="23">IF(P68="-","-","CHPpl_")</f>
        <v>-</v>
      </c>
      <c r="R68" s="4">
        <f t="shared" ref="R68:R131" si="24">IF(Q68="-",0,G68*I68)</f>
        <v>0</v>
      </c>
      <c r="S68" s="23" t="str">
        <f t="shared" ref="S68:S131" si="25">IF(G68&gt;$N$1,$A68&amp;"L"&amp;S$1,"-")</f>
        <v>H148L3</v>
      </c>
      <c r="T68" s="4" t="str">
        <f t="shared" ref="T68:T131" si="26">IF(S68="-","-",$A68)</f>
        <v>H148</v>
      </c>
      <c r="U68" s="4" t="str">
        <f t="shared" ref="U68:U131" si="27">IF(T68="-","-","TerHea")</f>
        <v>TerHea</v>
      </c>
      <c r="V68" s="4">
        <f t="shared" ref="V68:V131" si="28">IF(U68="-",0,9999)</f>
        <v>9999</v>
      </c>
      <c r="W68" s="23">
        <f>VLOOKUP(A68,[1]SummaryTable!$A$2:$F$359,4,FALSE)</f>
        <v>91.314000300000004</v>
      </c>
    </row>
    <row r="69" spans="1:23" x14ac:dyDescent="0.25">
      <c r="A69" s="14" t="s">
        <v>136</v>
      </c>
      <c r="B69" s="14" t="str">
        <f t="shared" si="15"/>
        <v>H137</v>
      </c>
      <c r="C69" s="14">
        <v>17</v>
      </c>
      <c r="D69" s="61">
        <v>31</v>
      </c>
      <c r="E69" s="15">
        <f>VLOOKUP(A69,[1]SummaryTable!$A$2:$F$359,2,FALSE)</f>
        <v>6664634.4130483801</v>
      </c>
      <c r="F69" s="15">
        <f>VLOOKUP(A69,[1]SummaryTable!$A$2:$F$359,3,FALSE)</f>
        <v>388648.04353927402</v>
      </c>
      <c r="G69" s="62">
        <f t="shared" si="16"/>
        <v>105.69959999999999</v>
      </c>
      <c r="H69" s="4">
        <f>VLOOKUP(A69,[1]SummaryTable!$A$2:$F$359,5,FALSE)</f>
        <v>1</v>
      </c>
      <c r="I69" s="4">
        <f>VLOOKUP(A69,[1]SummaryTable!$A$2:$F$359,6,FALSE)</f>
        <v>0</v>
      </c>
      <c r="J69" s="4" t="str">
        <f>IF(I69&gt;0.1,[2]Processes!$A$6,[2]Processes!$A$5)</f>
        <v>Sawmal</v>
      </c>
      <c r="K69" s="23" t="str">
        <f t="shared" si="17"/>
        <v>H137L1</v>
      </c>
      <c r="L69" s="4" t="str">
        <f t="shared" si="18"/>
        <v>H137</v>
      </c>
      <c r="M69" s="4" t="str">
        <f t="shared" si="19"/>
        <v>Heatpl</v>
      </c>
      <c r="N69" s="4">
        <f t="shared" si="20"/>
        <v>105.69959999999999</v>
      </c>
      <c r="O69" s="23" t="str">
        <f t="shared" si="21"/>
        <v>-</v>
      </c>
      <c r="P69" s="4" t="str">
        <f t="shared" si="22"/>
        <v>-</v>
      </c>
      <c r="Q69" s="4" t="str">
        <f t="shared" si="23"/>
        <v>-</v>
      </c>
      <c r="R69" s="4">
        <f t="shared" si="24"/>
        <v>0</v>
      </c>
      <c r="S69" s="23" t="str">
        <f t="shared" si="25"/>
        <v>H137L3</v>
      </c>
      <c r="T69" s="4" t="str">
        <f t="shared" si="26"/>
        <v>H137</v>
      </c>
      <c r="U69" s="4" t="str">
        <f t="shared" si="27"/>
        <v>TerHea</v>
      </c>
      <c r="V69" s="4">
        <f t="shared" si="28"/>
        <v>9999</v>
      </c>
      <c r="W69" s="23">
        <f>VLOOKUP(A69,[1]SummaryTable!$A$2:$F$359,4,FALSE)</f>
        <v>88.082999999999998</v>
      </c>
    </row>
    <row r="70" spans="1:23" x14ac:dyDescent="0.25">
      <c r="A70" s="14" t="s">
        <v>270</v>
      </c>
      <c r="B70" s="14" t="str">
        <f t="shared" si="15"/>
        <v>H271</v>
      </c>
      <c r="C70" s="14">
        <v>8</v>
      </c>
      <c r="D70" s="61">
        <v>21</v>
      </c>
      <c r="E70" s="15">
        <f>VLOOKUP(A70,[1]SummaryTable!$A$2:$F$359,2,FALSE)</f>
        <v>6401950.7936748099</v>
      </c>
      <c r="F70" s="15">
        <f>VLOOKUP(A70,[1]SummaryTable!$A$2:$F$359,3,FALSE)</f>
        <v>597630.43629741098</v>
      </c>
      <c r="G70" s="62">
        <f t="shared" si="16"/>
        <v>105.19919999999999</v>
      </c>
      <c r="H70" s="4">
        <f>VLOOKUP(A70,[1]SummaryTable!$A$2:$F$359,5,FALSE)</f>
        <v>1</v>
      </c>
      <c r="I70" s="4">
        <f>VLOOKUP(A70,[1]SummaryTable!$A$2:$F$359,6,FALSE)</f>
        <v>0</v>
      </c>
      <c r="J70" s="4" t="str">
        <f>IF(I70&gt;0.1,[2]Processes!$A$6,[2]Processes!$A$5)</f>
        <v>Sawmal</v>
      </c>
      <c r="K70" s="23" t="str">
        <f t="shared" si="17"/>
        <v>H271L1</v>
      </c>
      <c r="L70" s="4" t="str">
        <f t="shared" si="18"/>
        <v>H271</v>
      </c>
      <c r="M70" s="4" t="str">
        <f t="shared" si="19"/>
        <v>Heatpl</v>
      </c>
      <c r="N70" s="4">
        <f t="shared" si="20"/>
        <v>105.19919999999999</v>
      </c>
      <c r="O70" s="23" t="str">
        <f t="shared" si="21"/>
        <v>-</v>
      </c>
      <c r="P70" s="4" t="str">
        <f t="shared" si="22"/>
        <v>-</v>
      </c>
      <c r="Q70" s="4" t="str">
        <f t="shared" si="23"/>
        <v>-</v>
      </c>
      <c r="R70" s="4">
        <f t="shared" si="24"/>
        <v>0</v>
      </c>
      <c r="S70" s="23" t="str">
        <f t="shared" si="25"/>
        <v>H271L3</v>
      </c>
      <c r="T70" s="4" t="str">
        <f t="shared" si="26"/>
        <v>H271</v>
      </c>
      <c r="U70" s="4" t="str">
        <f t="shared" si="27"/>
        <v>TerHea</v>
      </c>
      <c r="V70" s="4">
        <f t="shared" si="28"/>
        <v>9999</v>
      </c>
      <c r="W70" s="23">
        <f>VLOOKUP(A70,[1]SummaryTable!$A$2:$F$359,4,FALSE)</f>
        <v>87.665999999999997</v>
      </c>
    </row>
    <row r="71" spans="1:23" x14ac:dyDescent="0.25">
      <c r="A71" s="14" t="s">
        <v>156</v>
      </c>
      <c r="B71" s="14" t="str">
        <f t="shared" si="15"/>
        <v>H157</v>
      </c>
      <c r="C71" s="14">
        <v>3</v>
      </c>
      <c r="D71" s="61">
        <v>12</v>
      </c>
      <c r="E71" s="15">
        <f>VLOOKUP(A71,[1]SummaryTable!$A$2:$F$359,2,FALSE)</f>
        <v>6612180.9258937398</v>
      </c>
      <c r="F71" s="15">
        <f>VLOOKUP(A71,[1]SummaryTable!$A$2:$F$359,3,FALSE)</f>
        <v>617580.05346963799</v>
      </c>
      <c r="G71" s="62">
        <f t="shared" si="16"/>
        <v>104.39999999999999</v>
      </c>
      <c r="H71" s="4">
        <f>VLOOKUP(A71,[1]SummaryTable!$A$2:$F$359,5,FALSE)</f>
        <v>0.71325846829346784</v>
      </c>
      <c r="I71" s="4">
        <f>VLOOKUP(A71,[1]SummaryTable!$A$2:$F$359,6,FALSE)</f>
        <v>0.28674153170653216</v>
      </c>
      <c r="J71" s="4" t="str">
        <f>IF(I71&gt;0.1,[2]Processes!$A$6,[2]Processes!$A$5)</f>
        <v>Heatpl</v>
      </c>
      <c r="K71" s="23" t="str">
        <f t="shared" si="17"/>
        <v>H157L1</v>
      </c>
      <c r="L71" s="4" t="str">
        <f t="shared" si="18"/>
        <v>H157</v>
      </c>
      <c r="M71" s="4" t="str">
        <f t="shared" si="19"/>
        <v>Heatpl</v>
      </c>
      <c r="N71" s="4">
        <f t="shared" si="20"/>
        <v>104.39999999999999</v>
      </c>
      <c r="O71" s="23" t="str">
        <f t="shared" si="21"/>
        <v>-</v>
      </c>
      <c r="P71" s="4" t="str">
        <f t="shared" si="22"/>
        <v>-</v>
      </c>
      <c r="Q71" s="4" t="str">
        <f t="shared" si="23"/>
        <v>-</v>
      </c>
      <c r="R71" s="4">
        <f t="shared" si="24"/>
        <v>0</v>
      </c>
      <c r="S71" s="23" t="str">
        <f t="shared" si="25"/>
        <v>H157L3</v>
      </c>
      <c r="T71" s="4" t="str">
        <f t="shared" si="26"/>
        <v>H157</v>
      </c>
      <c r="U71" s="4" t="str">
        <f t="shared" si="27"/>
        <v>TerHea</v>
      </c>
      <c r="V71" s="4">
        <f t="shared" si="28"/>
        <v>9999</v>
      </c>
      <c r="W71" s="23">
        <f>VLOOKUP(A71,[1]SummaryTable!$A$2:$F$359,4,FALSE)</f>
        <v>87</v>
      </c>
    </row>
    <row r="72" spans="1:23" x14ac:dyDescent="0.25">
      <c r="A72" s="14" t="s">
        <v>215</v>
      </c>
      <c r="B72" s="14" t="str">
        <f t="shared" si="15"/>
        <v>H216</v>
      </c>
      <c r="C72" s="14">
        <v>5</v>
      </c>
      <c r="D72" s="61">
        <v>12</v>
      </c>
      <c r="E72" s="15">
        <f>VLOOKUP(A72,[1]SummaryTable!$A$2:$F$359,2,FALSE)</f>
        <v>6494326.8668242795</v>
      </c>
      <c r="F72" s="15">
        <f>VLOOKUP(A72,[1]SummaryTable!$A$2:$F$359,3,FALSE)</f>
        <v>568914.189517722</v>
      </c>
      <c r="G72" s="62">
        <f t="shared" si="16"/>
        <v>101.16000000000001</v>
      </c>
      <c r="H72" s="4">
        <f>VLOOKUP(A72,[1]SummaryTable!$A$2:$F$359,5,FALSE)</f>
        <v>0.57355784628889328</v>
      </c>
      <c r="I72" s="4">
        <f>VLOOKUP(A72,[1]SummaryTable!$A$2:$F$359,6,FALSE)</f>
        <v>0.42644215371110672</v>
      </c>
      <c r="J72" s="4" t="str">
        <f>IF(I72&gt;0.1,[2]Processes!$A$6,[2]Processes!$A$5)</f>
        <v>Heatpl</v>
      </c>
      <c r="K72" s="23" t="str">
        <f t="shared" si="17"/>
        <v>H216L1</v>
      </c>
      <c r="L72" s="4" t="str">
        <f t="shared" si="18"/>
        <v>H216</v>
      </c>
      <c r="M72" s="4" t="str">
        <f t="shared" si="19"/>
        <v>Heatpl</v>
      </c>
      <c r="N72" s="4">
        <f t="shared" si="20"/>
        <v>101.16000000000001</v>
      </c>
      <c r="O72" s="23" t="str">
        <f t="shared" si="21"/>
        <v>-</v>
      </c>
      <c r="P72" s="4" t="str">
        <f t="shared" si="22"/>
        <v>-</v>
      </c>
      <c r="Q72" s="4" t="str">
        <f t="shared" si="23"/>
        <v>-</v>
      </c>
      <c r="R72" s="4">
        <f t="shared" si="24"/>
        <v>0</v>
      </c>
      <c r="S72" s="23" t="str">
        <f t="shared" si="25"/>
        <v>H216L3</v>
      </c>
      <c r="T72" s="4" t="str">
        <f t="shared" si="26"/>
        <v>H216</v>
      </c>
      <c r="U72" s="4" t="str">
        <f t="shared" si="27"/>
        <v>TerHea</v>
      </c>
      <c r="V72" s="4">
        <f t="shared" si="28"/>
        <v>9999</v>
      </c>
      <c r="W72" s="23">
        <f>VLOOKUP(A72,[1]SummaryTable!$A$2:$F$359,4,FALSE)</f>
        <v>84.300000000000011</v>
      </c>
    </row>
    <row r="73" spans="1:23" x14ac:dyDescent="0.25">
      <c r="A73" s="14" t="s">
        <v>144</v>
      </c>
      <c r="B73" s="14" t="str">
        <f t="shared" si="15"/>
        <v>H145</v>
      </c>
      <c r="C73" s="14">
        <v>19</v>
      </c>
      <c r="D73" s="61">
        <v>12</v>
      </c>
      <c r="E73" s="15">
        <f>VLOOKUP(A73,[1]SummaryTable!$A$2:$F$359,2,FALSE)</f>
        <v>6648911.5233588396</v>
      </c>
      <c r="F73" s="15">
        <f>VLOOKUP(A73,[1]SummaryTable!$A$2:$F$359,3,FALSE)</f>
        <v>545536.30476547405</v>
      </c>
      <c r="G73" s="62">
        <f t="shared" si="16"/>
        <v>99.206399999999988</v>
      </c>
      <c r="H73" s="4">
        <f>VLOOKUP(A73,[1]SummaryTable!$A$2:$F$359,5,FALSE)</f>
        <v>1</v>
      </c>
      <c r="I73" s="4">
        <f>VLOOKUP(A73,[1]SummaryTable!$A$2:$F$359,6,FALSE)</f>
        <v>0</v>
      </c>
      <c r="J73" s="4" t="str">
        <f>IF(I73&gt;0.1,[2]Processes!$A$6,[2]Processes!$A$5)</f>
        <v>Sawmal</v>
      </c>
      <c r="K73" s="23" t="str">
        <f t="shared" si="17"/>
        <v>-</v>
      </c>
      <c r="L73" s="4" t="str">
        <f t="shared" si="18"/>
        <v>-</v>
      </c>
      <c r="M73" s="4" t="str">
        <f t="shared" si="19"/>
        <v>-</v>
      </c>
      <c r="N73" s="4">
        <f t="shared" si="20"/>
        <v>0</v>
      </c>
      <c r="O73" s="23" t="str">
        <f t="shared" si="21"/>
        <v>-</v>
      </c>
      <c r="P73" s="4" t="str">
        <f t="shared" si="22"/>
        <v>-</v>
      </c>
      <c r="Q73" s="4" t="str">
        <f t="shared" si="23"/>
        <v>-</v>
      </c>
      <c r="R73" s="4">
        <f t="shared" si="24"/>
        <v>0</v>
      </c>
      <c r="S73" s="23" t="str">
        <f t="shared" si="25"/>
        <v>-</v>
      </c>
      <c r="T73" s="4" t="str">
        <f t="shared" si="26"/>
        <v>-</v>
      </c>
      <c r="U73" s="4" t="str">
        <f t="shared" si="27"/>
        <v>-</v>
      </c>
      <c r="V73" s="4">
        <f t="shared" si="28"/>
        <v>0</v>
      </c>
      <c r="W73" s="23">
        <f>VLOOKUP(A73,[1]SummaryTable!$A$2:$F$359,4,FALSE)</f>
        <v>82.671999999999997</v>
      </c>
    </row>
    <row r="74" spans="1:23" x14ac:dyDescent="0.25">
      <c r="A74" s="14" t="s">
        <v>11</v>
      </c>
      <c r="B74" s="14" t="str">
        <f t="shared" si="15"/>
        <v>H12</v>
      </c>
      <c r="C74" s="14">
        <v>1</v>
      </c>
      <c r="D74" s="61">
        <v>12</v>
      </c>
      <c r="E74" s="15">
        <f>VLOOKUP(A74,[1]SummaryTable!$A$2:$F$359,2,FALSE)</f>
        <v>6594491.4330000002</v>
      </c>
      <c r="F74" s="15">
        <f>VLOOKUP(A74,[1]SummaryTable!$A$2:$F$359,3,FALSE)</f>
        <v>672744.73</v>
      </c>
      <c r="G74" s="62">
        <f t="shared" si="16"/>
        <v>94.44</v>
      </c>
      <c r="H74" s="4">
        <f>VLOOKUP(A74,[1]SummaryTable!$A$2:$F$359,5,FALSE)</f>
        <v>1</v>
      </c>
      <c r="I74" s="4">
        <f>VLOOKUP(A74,[1]SummaryTable!$A$2:$F$359,6,FALSE)</f>
        <v>0</v>
      </c>
      <c r="J74" s="4" t="str">
        <f>IF(I74&gt;0.1,[2]Processes!$A$6,[2]Processes!$A$5)</f>
        <v>Sawmal</v>
      </c>
      <c r="K74" s="23" t="str">
        <f t="shared" si="17"/>
        <v>-</v>
      </c>
      <c r="L74" s="4" t="str">
        <f t="shared" si="18"/>
        <v>-</v>
      </c>
      <c r="M74" s="4" t="str">
        <f t="shared" si="19"/>
        <v>-</v>
      </c>
      <c r="N74" s="4">
        <f t="shared" si="20"/>
        <v>0</v>
      </c>
      <c r="O74" s="23" t="str">
        <f t="shared" si="21"/>
        <v>-</v>
      </c>
      <c r="P74" s="4" t="str">
        <f t="shared" si="22"/>
        <v>-</v>
      </c>
      <c r="Q74" s="4" t="str">
        <f t="shared" si="23"/>
        <v>-</v>
      </c>
      <c r="R74" s="4">
        <f t="shared" si="24"/>
        <v>0</v>
      </c>
      <c r="S74" s="23" t="str">
        <f t="shared" si="25"/>
        <v>-</v>
      </c>
      <c r="T74" s="4" t="str">
        <f t="shared" si="26"/>
        <v>-</v>
      </c>
      <c r="U74" s="4" t="str">
        <f t="shared" si="27"/>
        <v>-</v>
      </c>
      <c r="V74" s="4">
        <f t="shared" si="28"/>
        <v>0</v>
      </c>
      <c r="W74" s="23">
        <f>VLOOKUP(A74,[1]SummaryTable!$A$2:$F$359,4,FALSE)</f>
        <v>78.7</v>
      </c>
    </row>
    <row r="75" spans="1:23" x14ac:dyDescent="0.25">
      <c r="A75" s="14" t="s">
        <v>317</v>
      </c>
      <c r="B75" s="14" t="str">
        <f t="shared" si="15"/>
        <v>H318</v>
      </c>
      <c r="C75" s="14">
        <v>7</v>
      </c>
      <c r="D75" s="61">
        <v>21</v>
      </c>
      <c r="E75" s="15">
        <f>VLOOKUP(A75,[1]SummaryTable!$A$2:$F$359,2,FALSE)</f>
        <v>6303994.9319403097</v>
      </c>
      <c r="F75" s="15">
        <f>VLOOKUP(A75,[1]SummaryTable!$A$2:$F$359,3,FALSE)</f>
        <v>472683.46364800801</v>
      </c>
      <c r="G75" s="62">
        <f t="shared" si="16"/>
        <v>93.6</v>
      </c>
      <c r="H75" s="4">
        <f>VLOOKUP(A75,[1]SummaryTable!$A$2:$F$359,5,FALSE)</f>
        <v>1</v>
      </c>
      <c r="I75" s="4">
        <f>VLOOKUP(A75,[1]SummaryTable!$A$2:$F$359,6,FALSE)</f>
        <v>0</v>
      </c>
      <c r="J75" s="4" t="str">
        <f>IF(I75&gt;0.1,[2]Processes!$A$6,[2]Processes!$A$5)</f>
        <v>Sawmal</v>
      </c>
      <c r="K75" s="23" t="str">
        <f t="shared" si="17"/>
        <v>-</v>
      </c>
      <c r="L75" s="4" t="str">
        <f t="shared" si="18"/>
        <v>-</v>
      </c>
      <c r="M75" s="4" t="str">
        <f t="shared" si="19"/>
        <v>-</v>
      </c>
      <c r="N75" s="4">
        <f t="shared" si="20"/>
        <v>0</v>
      </c>
      <c r="O75" s="23" t="str">
        <f t="shared" si="21"/>
        <v>-</v>
      </c>
      <c r="P75" s="4" t="str">
        <f t="shared" si="22"/>
        <v>-</v>
      </c>
      <c r="Q75" s="4" t="str">
        <f t="shared" si="23"/>
        <v>-</v>
      </c>
      <c r="R75" s="4">
        <f t="shared" si="24"/>
        <v>0</v>
      </c>
      <c r="S75" s="23" t="str">
        <f t="shared" si="25"/>
        <v>-</v>
      </c>
      <c r="T75" s="4" t="str">
        <f t="shared" si="26"/>
        <v>-</v>
      </c>
      <c r="U75" s="4" t="str">
        <f t="shared" si="27"/>
        <v>-</v>
      </c>
      <c r="V75" s="4">
        <f t="shared" si="28"/>
        <v>0</v>
      </c>
      <c r="W75" s="23">
        <f>VLOOKUP(A75,[1]SummaryTable!$A$2:$F$359,4,FALSE)</f>
        <v>78</v>
      </c>
    </row>
    <row r="76" spans="1:23" x14ac:dyDescent="0.25">
      <c r="A76" s="14" t="s">
        <v>153</v>
      </c>
      <c r="B76" s="14" t="str">
        <f t="shared" si="15"/>
        <v>H154</v>
      </c>
      <c r="C76" s="14">
        <v>3</v>
      </c>
      <c r="D76" s="61">
        <v>12</v>
      </c>
      <c r="E76" s="15">
        <f>VLOOKUP(A76,[1]SummaryTable!$A$2:$F$359,2,FALSE)</f>
        <v>6623813.0982177798</v>
      </c>
      <c r="F76" s="15">
        <f>VLOOKUP(A76,[1]SummaryTable!$A$2:$F$359,3,FALSE)</f>
        <v>656788.65622894198</v>
      </c>
      <c r="G76" s="62">
        <f t="shared" si="16"/>
        <v>92.507999999999996</v>
      </c>
      <c r="H76" s="4">
        <f>VLOOKUP(A76,[1]SummaryTable!$A$2:$F$359,5,FALSE)</f>
        <v>1</v>
      </c>
      <c r="I76" s="4">
        <f>VLOOKUP(A76,[1]SummaryTable!$A$2:$F$359,6,FALSE)</f>
        <v>0</v>
      </c>
      <c r="J76" s="4" t="str">
        <f>IF(I76&gt;0.1,[2]Processes!$A$6,[2]Processes!$A$5)</f>
        <v>Sawmal</v>
      </c>
      <c r="K76" s="23" t="str">
        <f t="shared" si="17"/>
        <v>-</v>
      </c>
      <c r="L76" s="4" t="str">
        <f t="shared" si="18"/>
        <v>-</v>
      </c>
      <c r="M76" s="4" t="str">
        <f t="shared" si="19"/>
        <v>-</v>
      </c>
      <c r="N76" s="4">
        <f t="shared" si="20"/>
        <v>0</v>
      </c>
      <c r="O76" s="23" t="str">
        <f t="shared" si="21"/>
        <v>-</v>
      </c>
      <c r="P76" s="4" t="str">
        <f t="shared" si="22"/>
        <v>-</v>
      </c>
      <c r="Q76" s="4" t="str">
        <f t="shared" si="23"/>
        <v>-</v>
      </c>
      <c r="R76" s="4">
        <f t="shared" si="24"/>
        <v>0</v>
      </c>
      <c r="S76" s="23" t="str">
        <f t="shared" si="25"/>
        <v>-</v>
      </c>
      <c r="T76" s="4" t="str">
        <f t="shared" si="26"/>
        <v>-</v>
      </c>
      <c r="U76" s="4" t="str">
        <f t="shared" si="27"/>
        <v>-</v>
      </c>
      <c r="V76" s="4">
        <f t="shared" si="28"/>
        <v>0</v>
      </c>
      <c r="W76" s="23">
        <f>VLOOKUP(A76,[1]SummaryTable!$A$2:$F$359,4,FALSE)</f>
        <v>77.09</v>
      </c>
    </row>
    <row r="77" spans="1:23" x14ac:dyDescent="0.25">
      <c r="A77" s="14" t="s">
        <v>72</v>
      </c>
      <c r="B77" s="14" t="str">
        <f t="shared" si="15"/>
        <v>H73</v>
      </c>
      <c r="C77" s="14">
        <v>23</v>
      </c>
      <c r="D77" s="61">
        <v>12</v>
      </c>
      <c r="E77" s="15">
        <f>VLOOKUP(A77,[1]SummaryTable!$A$2:$F$359,2,FALSE)</f>
        <v>7079590.11681074</v>
      </c>
      <c r="F77" s="15">
        <f>VLOOKUP(A77,[1]SummaryTable!$A$2:$F$359,3,FALSE)</f>
        <v>529967.46783154097</v>
      </c>
      <c r="G77" s="62">
        <f t="shared" si="16"/>
        <v>91.44</v>
      </c>
      <c r="H77" s="4">
        <f>VLOOKUP(A77,[1]SummaryTable!$A$2:$F$359,5,FALSE)</f>
        <v>1</v>
      </c>
      <c r="I77" s="4">
        <f>VLOOKUP(A77,[1]SummaryTable!$A$2:$F$359,6,FALSE)</f>
        <v>0</v>
      </c>
      <c r="J77" s="4" t="str">
        <f>IF(I77&gt;0.1,[2]Processes!$A$6,[2]Processes!$A$5)</f>
        <v>Sawmal</v>
      </c>
      <c r="K77" s="23" t="str">
        <f t="shared" si="17"/>
        <v>-</v>
      </c>
      <c r="L77" s="4" t="str">
        <f t="shared" si="18"/>
        <v>-</v>
      </c>
      <c r="M77" s="4" t="str">
        <f t="shared" si="19"/>
        <v>-</v>
      </c>
      <c r="N77" s="4">
        <f t="shared" si="20"/>
        <v>0</v>
      </c>
      <c r="O77" s="23" t="str">
        <f t="shared" si="21"/>
        <v>-</v>
      </c>
      <c r="P77" s="4" t="str">
        <f t="shared" si="22"/>
        <v>-</v>
      </c>
      <c r="Q77" s="4" t="str">
        <f t="shared" si="23"/>
        <v>-</v>
      </c>
      <c r="R77" s="4">
        <f t="shared" si="24"/>
        <v>0</v>
      </c>
      <c r="S77" s="23" t="str">
        <f t="shared" si="25"/>
        <v>-</v>
      </c>
      <c r="T77" s="4" t="str">
        <f t="shared" si="26"/>
        <v>-</v>
      </c>
      <c r="U77" s="4" t="str">
        <f t="shared" si="27"/>
        <v>-</v>
      </c>
      <c r="V77" s="4">
        <f t="shared" si="28"/>
        <v>0</v>
      </c>
      <c r="W77" s="23">
        <f>VLOOKUP(A77,[1]SummaryTable!$A$2:$F$359,4,FALSE)</f>
        <v>76.2</v>
      </c>
    </row>
    <row r="78" spans="1:23" x14ac:dyDescent="0.25">
      <c r="A78" s="14" t="s">
        <v>101</v>
      </c>
      <c r="B78" s="14" t="str">
        <f t="shared" si="15"/>
        <v>H102</v>
      </c>
      <c r="C78" s="14">
        <v>21</v>
      </c>
      <c r="D78" s="61">
        <v>31</v>
      </c>
      <c r="E78" s="15">
        <f>VLOOKUP(A78,[1]SummaryTable!$A$2:$F$359,2,FALSE)</f>
        <v>6854073.6633401401</v>
      </c>
      <c r="F78" s="15">
        <f>VLOOKUP(A78,[1]SummaryTable!$A$2:$F$359,3,FALSE)</f>
        <v>557759.26579993102</v>
      </c>
      <c r="G78" s="62">
        <f t="shared" si="16"/>
        <v>88.079999999999984</v>
      </c>
      <c r="H78" s="4">
        <f>VLOOKUP(A78,[1]SummaryTable!$A$2:$F$359,5,FALSE)</f>
        <v>1</v>
      </c>
      <c r="I78" s="4">
        <f>VLOOKUP(A78,[1]SummaryTable!$A$2:$F$359,6,FALSE)</f>
        <v>0</v>
      </c>
      <c r="J78" s="4" t="str">
        <f>IF(I78&gt;0.1,[2]Processes!$A$6,[2]Processes!$A$5)</f>
        <v>Sawmal</v>
      </c>
      <c r="K78" s="23" t="str">
        <f t="shared" si="17"/>
        <v>-</v>
      </c>
      <c r="L78" s="4" t="str">
        <f t="shared" si="18"/>
        <v>-</v>
      </c>
      <c r="M78" s="4" t="str">
        <f t="shared" si="19"/>
        <v>-</v>
      </c>
      <c r="N78" s="4">
        <f t="shared" si="20"/>
        <v>0</v>
      </c>
      <c r="O78" s="23" t="str">
        <f t="shared" si="21"/>
        <v>-</v>
      </c>
      <c r="P78" s="4" t="str">
        <f t="shared" si="22"/>
        <v>-</v>
      </c>
      <c r="Q78" s="4" t="str">
        <f t="shared" si="23"/>
        <v>-</v>
      </c>
      <c r="R78" s="4">
        <f t="shared" si="24"/>
        <v>0</v>
      </c>
      <c r="S78" s="23" t="str">
        <f t="shared" si="25"/>
        <v>-</v>
      </c>
      <c r="T78" s="4" t="str">
        <f t="shared" si="26"/>
        <v>-</v>
      </c>
      <c r="U78" s="4" t="str">
        <f t="shared" si="27"/>
        <v>-</v>
      </c>
      <c r="V78" s="4">
        <f t="shared" si="28"/>
        <v>0</v>
      </c>
      <c r="W78" s="23">
        <f>VLOOKUP(A78,[1]SummaryTable!$A$2:$F$359,4,FALSE)</f>
        <v>73.399999999999991</v>
      </c>
    </row>
    <row r="79" spans="1:23" x14ac:dyDescent="0.25">
      <c r="A79" s="14" t="s">
        <v>316</v>
      </c>
      <c r="B79" s="14" t="str">
        <f t="shared" si="15"/>
        <v>H317</v>
      </c>
      <c r="C79" s="14">
        <v>13</v>
      </c>
      <c r="D79" s="61">
        <v>22</v>
      </c>
      <c r="E79" s="15">
        <f>VLOOKUP(A79,[1]SummaryTable!$A$2:$F$359,2,FALSE)</f>
        <v>6305569.94905023</v>
      </c>
      <c r="F79" s="15">
        <f>VLOOKUP(A79,[1]SummaryTable!$A$2:$F$359,3,FALSE)</f>
        <v>347111.46899296099</v>
      </c>
      <c r="G79" s="62">
        <f t="shared" si="16"/>
        <v>85.886399999999995</v>
      </c>
      <c r="H79" s="4">
        <f>VLOOKUP(A79,[1]SummaryTable!$A$2:$F$359,5,FALSE)</f>
        <v>1</v>
      </c>
      <c r="I79" s="4">
        <f>VLOOKUP(A79,[1]SummaryTable!$A$2:$F$359,6,FALSE)</f>
        <v>0</v>
      </c>
      <c r="J79" s="4" t="str">
        <f>IF(I79&gt;0.1,[2]Processes!$A$6,[2]Processes!$A$5)</f>
        <v>Sawmal</v>
      </c>
      <c r="K79" s="23" t="str">
        <f t="shared" si="17"/>
        <v>-</v>
      </c>
      <c r="L79" s="4" t="str">
        <f t="shared" si="18"/>
        <v>-</v>
      </c>
      <c r="M79" s="4" t="str">
        <f t="shared" si="19"/>
        <v>-</v>
      </c>
      <c r="N79" s="4">
        <f t="shared" si="20"/>
        <v>0</v>
      </c>
      <c r="O79" s="23" t="str">
        <f t="shared" si="21"/>
        <v>-</v>
      </c>
      <c r="P79" s="4" t="str">
        <f t="shared" si="22"/>
        <v>-</v>
      </c>
      <c r="Q79" s="4" t="str">
        <f t="shared" si="23"/>
        <v>-</v>
      </c>
      <c r="R79" s="4">
        <f t="shared" si="24"/>
        <v>0</v>
      </c>
      <c r="S79" s="23" t="str">
        <f t="shared" si="25"/>
        <v>-</v>
      </c>
      <c r="T79" s="4" t="str">
        <f t="shared" si="26"/>
        <v>-</v>
      </c>
      <c r="U79" s="4" t="str">
        <f t="shared" si="27"/>
        <v>-</v>
      </c>
      <c r="V79" s="4">
        <f t="shared" si="28"/>
        <v>0</v>
      </c>
      <c r="W79" s="23">
        <f>VLOOKUP(A79,[1]SummaryTable!$A$2:$F$359,4,FALSE)</f>
        <v>71.572000000000003</v>
      </c>
    </row>
    <row r="80" spans="1:23" x14ac:dyDescent="0.25">
      <c r="A80" s="14" t="s">
        <v>131</v>
      </c>
      <c r="B80" s="14" t="str">
        <f t="shared" si="15"/>
        <v>H132</v>
      </c>
      <c r="C80" s="14">
        <v>20</v>
      </c>
      <c r="D80" s="61">
        <v>31</v>
      </c>
      <c r="E80" s="15">
        <f>VLOOKUP(A80,[1]SummaryTable!$A$2:$F$359,2,FALSE)</f>
        <v>6681433.9039958296</v>
      </c>
      <c r="F80" s="15">
        <f>VLOOKUP(A80,[1]SummaryTable!$A$2:$F$359,3,FALSE)</f>
        <v>554152.73182229802</v>
      </c>
      <c r="G80" s="62">
        <f t="shared" si="16"/>
        <v>85.800120000000007</v>
      </c>
      <c r="H80" s="4">
        <f>VLOOKUP(A80,[1]SummaryTable!$A$2:$F$359,5,FALSE)</f>
        <v>0.82516912327222935</v>
      </c>
      <c r="I80" s="4">
        <f>VLOOKUP(A80,[1]SummaryTable!$A$2:$F$359,6,FALSE)</f>
        <v>0.17483087672777065</v>
      </c>
      <c r="J80" s="4" t="str">
        <f>IF(I80&gt;0.1,[2]Processes!$A$6,[2]Processes!$A$5)</f>
        <v>Heatpl</v>
      </c>
      <c r="K80" s="23" t="str">
        <f t="shared" si="17"/>
        <v>-</v>
      </c>
      <c r="L80" s="4" t="str">
        <f t="shared" si="18"/>
        <v>-</v>
      </c>
      <c r="M80" s="4" t="str">
        <f t="shared" si="19"/>
        <v>-</v>
      </c>
      <c r="N80" s="4">
        <f t="shared" si="20"/>
        <v>0</v>
      </c>
      <c r="O80" s="23" t="str">
        <f t="shared" si="21"/>
        <v>-</v>
      </c>
      <c r="P80" s="4" t="str">
        <f t="shared" si="22"/>
        <v>-</v>
      </c>
      <c r="Q80" s="4" t="str">
        <f t="shared" si="23"/>
        <v>-</v>
      </c>
      <c r="R80" s="4">
        <f t="shared" si="24"/>
        <v>0</v>
      </c>
      <c r="S80" s="23" t="str">
        <f t="shared" si="25"/>
        <v>-</v>
      </c>
      <c r="T80" s="4" t="str">
        <f t="shared" si="26"/>
        <v>-</v>
      </c>
      <c r="U80" s="4" t="str">
        <f t="shared" si="27"/>
        <v>-</v>
      </c>
      <c r="V80" s="4">
        <f t="shared" si="28"/>
        <v>0</v>
      </c>
      <c r="W80" s="23">
        <f>VLOOKUP(A80,[1]SummaryTable!$A$2:$F$359,4,FALSE)</f>
        <v>71.500100000000003</v>
      </c>
    </row>
    <row r="81" spans="1:23" x14ac:dyDescent="0.25">
      <c r="A81" s="14" t="s">
        <v>209</v>
      </c>
      <c r="B81" s="14" t="str">
        <f t="shared" si="15"/>
        <v>H210</v>
      </c>
      <c r="C81" s="14">
        <v>4</v>
      </c>
      <c r="D81" s="61">
        <v>12</v>
      </c>
      <c r="E81" s="15">
        <f>VLOOKUP(A81,[1]SummaryTable!$A$2:$F$359,2,FALSE)</f>
        <v>6514490.23109926</v>
      </c>
      <c r="F81" s="15">
        <f>VLOOKUP(A81,[1]SummaryTable!$A$2:$F$359,3,FALSE)</f>
        <v>617018.51149125304</v>
      </c>
      <c r="G81" s="62">
        <f t="shared" si="16"/>
        <v>84.951599999999985</v>
      </c>
      <c r="H81" s="4">
        <f>VLOOKUP(A81,[1]SummaryTable!$A$2:$F$359,5,FALSE)</f>
        <v>0.7916221713704551</v>
      </c>
      <c r="I81" s="4">
        <f>VLOOKUP(A81,[1]SummaryTable!$A$2:$F$359,6,FALSE)</f>
        <v>0.2083778286295449</v>
      </c>
      <c r="J81" s="4" t="str">
        <f>IF(I81&gt;0.1,[2]Processes!$A$6,[2]Processes!$A$5)</f>
        <v>Heatpl</v>
      </c>
      <c r="K81" s="23" t="str">
        <f t="shared" si="17"/>
        <v>-</v>
      </c>
      <c r="L81" s="4" t="str">
        <f t="shared" si="18"/>
        <v>-</v>
      </c>
      <c r="M81" s="4" t="str">
        <f t="shared" si="19"/>
        <v>-</v>
      </c>
      <c r="N81" s="4">
        <f t="shared" si="20"/>
        <v>0</v>
      </c>
      <c r="O81" s="23" t="str">
        <f t="shared" si="21"/>
        <v>-</v>
      </c>
      <c r="P81" s="4" t="str">
        <f t="shared" si="22"/>
        <v>-</v>
      </c>
      <c r="Q81" s="4" t="str">
        <f t="shared" si="23"/>
        <v>-</v>
      </c>
      <c r="R81" s="4">
        <f t="shared" si="24"/>
        <v>0</v>
      </c>
      <c r="S81" s="23" t="str">
        <f t="shared" si="25"/>
        <v>-</v>
      </c>
      <c r="T81" s="4" t="str">
        <f t="shared" si="26"/>
        <v>-</v>
      </c>
      <c r="U81" s="4" t="str">
        <f t="shared" si="27"/>
        <v>-</v>
      </c>
      <c r="V81" s="4">
        <f t="shared" si="28"/>
        <v>0</v>
      </c>
      <c r="W81" s="23">
        <f>VLOOKUP(A81,[1]SummaryTable!$A$2:$F$359,4,FALSE)</f>
        <v>70.792999999999992</v>
      </c>
    </row>
    <row r="82" spans="1:23" x14ac:dyDescent="0.25">
      <c r="A82" s="14" t="s">
        <v>122</v>
      </c>
      <c r="B82" s="14" t="str">
        <f t="shared" si="15"/>
        <v>H123</v>
      </c>
      <c r="C82" s="14">
        <v>21</v>
      </c>
      <c r="D82" s="61">
        <v>31</v>
      </c>
      <c r="E82" s="15">
        <f>VLOOKUP(A82,[1]SummaryTable!$A$2:$F$359,2,FALSE)</f>
        <v>6711958.3935811296</v>
      </c>
      <c r="F82" s="15">
        <f>VLOOKUP(A82,[1]SummaryTable!$A$2:$F$359,3,FALSE)</f>
        <v>570757.32503488101</v>
      </c>
      <c r="G82" s="62">
        <f t="shared" si="16"/>
        <v>84.049176000000003</v>
      </c>
      <c r="H82" s="4">
        <f>VLOOKUP(A82,[1]SummaryTable!$A$2:$F$359,5,FALSE)</f>
        <v>1</v>
      </c>
      <c r="I82" s="4">
        <f>VLOOKUP(A82,[1]SummaryTable!$A$2:$F$359,6,FALSE)</f>
        <v>0</v>
      </c>
      <c r="J82" s="4" t="str">
        <f>IF(I82&gt;0.1,[2]Processes!$A$6,[2]Processes!$A$5)</f>
        <v>Sawmal</v>
      </c>
      <c r="K82" s="23" t="str">
        <f t="shared" si="17"/>
        <v>-</v>
      </c>
      <c r="L82" s="4" t="str">
        <f t="shared" si="18"/>
        <v>-</v>
      </c>
      <c r="M82" s="4" t="str">
        <f t="shared" si="19"/>
        <v>-</v>
      </c>
      <c r="N82" s="4">
        <f t="shared" si="20"/>
        <v>0</v>
      </c>
      <c r="O82" s="23" t="str">
        <f t="shared" si="21"/>
        <v>-</v>
      </c>
      <c r="P82" s="4" t="str">
        <f t="shared" si="22"/>
        <v>-</v>
      </c>
      <c r="Q82" s="4" t="str">
        <f t="shared" si="23"/>
        <v>-</v>
      </c>
      <c r="R82" s="4">
        <f t="shared" si="24"/>
        <v>0</v>
      </c>
      <c r="S82" s="23" t="str">
        <f t="shared" si="25"/>
        <v>-</v>
      </c>
      <c r="T82" s="4" t="str">
        <f t="shared" si="26"/>
        <v>-</v>
      </c>
      <c r="U82" s="4" t="str">
        <f t="shared" si="27"/>
        <v>-</v>
      </c>
      <c r="V82" s="4">
        <f t="shared" si="28"/>
        <v>0</v>
      </c>
      <c r="W82" s="23">
        <f>VLOOKUP(A82,[1]SummaryTable!$A$2:$F$359,4,FALSE)</f>
        <v>70.040980000000005</v>
      </c>
    </row>
    <row r="83" spans="1:23" x14ac:dyDescent="0.25">
      <c r="A83" s="14" t="s">
        <v>322</v>
      </c>
      <c r="B83" s="14" t="str">
        <f t="shared" si="15"/>
        <v>H323</v>
      </c>
      <c r="C83" s="14">
        <v>8</v>
      </c>
      <c r="D83" s="61">
        <v>21</v>
      </c>
      <c r="E83" s="15">
        <f>VLOOKUP(A83,[1]SummaryTable!$A$2:$F$359,2,FALSE)</f>
        <v>6287735.79245626</v>
      </c>
      <c r="F83" s="15">
        <f>VLOOKUP(A83,[1]SummaryTable!$A$2:$F$359,3,FALSE)</f>
        <v>555460.11254990404</v>
      </c>
      <c r="G83" s="62">
        <f t="shared" si="16"/>
        <v>84</v>
      </c>
      <c r="H83" s="4">
        <f>VLOOKUP(A83,[1]SummaryTable!$A$2:$F$359,5,FALSE)</f>
        <v>0.67563749089298719</v>
      </c>
      <c r="I83" s="4">
        <f>VLOOKUP(A83,[1]SummaryTable!$A$2:$F$359,6,FALSE)</f>
        <v>0.32436250910701281</v>
      </c>
      <c r="J83" s="4" t="str">
        <f>IF(I83&gt;0.1,[2]Processes!$A$6,[2]Processes!$A$5)</f>
        <v>Heatpl</v>
      </c>
      <c r="K83" s="23" t="str">
        <f t="shared" si="17"/>
        <v>-</v>
      </c>
      <c r="L83" s="4" t="str">
        <f t="shared" si="18"/>
        <v>-</v>
      </c>
      <c r="M83" s="4" t="str">
        <f t="shared" si="19"/>
        <v>-</v>
      </c>
      <c r="N83" s="4">
        <f t="shared" si="20"/>
        <v>0</v>
      </c>
      <c r="O83" s="23" t="str">
        <f t="shared" si="21"/>
        <v>-</v>
      </c>
      <c r="P83" s="4" t="str">
        <f t="shared" si="22"/>
        <v>-</v>
      </c>
      <c r="Q83" s="4" t="str">
        <f t="shared" si="23"/>
        <v>-</v>
      </c>
      <c r="R83" s="4">
        <f t="shared" si="24"/>
        <v>0</v>
      </c>
      <c r="S83" s="23" t="str">
        <f t="shared" si="25"/>
        <v>-</v>
      </c>
      <c r="T83" s="4" t="str">
        <f t="shared" si="26"/>
        <v>-</v>
      </c>
      <c r="U83" s="4" t="str">
        <f t="shared" si="27"/>
        <v>-</v>
      </c>
      <c r="V83" s="4">
        <f t="shared" si="28"/>
        <v>0</v>
      </c>
      <c r="W83" s="23">
        <f>VLOOKUP(A83,[1]SummaryTable!$A$2:$F$359,4,FALSE)</f>
        <v>70</v>
      </c>
    </row>
    <row r="84" spans="1:23" x14ac:dyDescent="0.25">
      <c r="A84" s="14" t="s">
        <v>159</v>
      </c>
      <c r="B84" s="14" t="str">
        <f t="shared" si="15"/>
        <v>H160</v>
      </c>
      <c r="C84" s="14">
        <v>1</v>
      </c>
      <c r="D84" s="61">
        <v>12</v>
      </c>
      <c r="E84" s="15">
        <f>VLOOKUP(A84,[1]SummaryTable!$A$2:$F$359,2,FALSE)</f>
        <v>6608111.97583206</v>
      </c>
      <c r="F84" s="15">
        <f>VLOOKUP(A84,[1]SummaryTable!$A$2:$F$359,3,FALSE)</f>
        <v>687916.32336416002</v>
      </c>
      <c r="G84" s="62">
        <f t="shared" si="16"/>
        <v>83.759999999999991</v>
      </c>
      <c r="H84" s="4">
        <f>VLOOKUP(A84,[1]SummaryTable!$A$2:$F$359,5,FALSE)</f>
        <v>1</v>
      </c>
      <c r="I84" s="4">
        <f>VLOOKUP(A84,[1]SummaryTable!$A$2:$F$359,6,FALSE)</f>
        <v>0</v>
      </c>
      <c r="J84" s="4" t="str">
        <f>IF(I84&gt;0.1,[2]Processes!$A$6,[2]Processes!$A$5)</f>
        <v>Sawmal</v>
      </c>
      <c r="K84" s="23" t="str">
        <f t="shared" si="17"/>
        <v>-</v>
      </c>
      <c r="L84" s="4" t="str">
        <f t="shared" si="18"/>
        <v>-</v>
      </c>
      <c r="M84" s="4" t="str">
        <f t="shared" si="19"/>
        <v>-</v>
      </c>
      <c r="N84" s="4">
        <f t="shared" si="20"/>
        <v>0</v>
      </c>
      <c r="O84" s="23" t="str">
        <f t="shared" si="21"/>
        <v>-</v>
      </c>
      <c r="P84" s="4" t="str">
        <f t="shared" si="22"/>
        <v>-</v>
      </c>
      <c r="Q84" s="4" t="str">
        <f t="shared" si="23"/>
        <v>-</v>
      </c>
      <c r="R84" s="4">
        <f t="shared" si="24"/>
        <v>0</v>
      </c>
      <c r="S84" s="23" t="str">
        <f t="shared" si="25"/>
        <v>-</v>
      </c>
      <c r="T84" s="4" t="str">
        <f t="shared" si="26"/>
        <v>-</v>
      </c>
      <c r="U84" s="4" t="str">
        <f t="shared" si="27"/>
        <v>-</v>
      </c>
      <c r="V84" s="4">
        <f t="shared" si="28"/>
        <v>0</v>
      </c>
      <c r="W84" s="23">
        <f>VLOOKUP(A84,[1]SummaryTable!$A$2:$F$359,4,FALSE)</f>
        <v>69.8</v>
      </c>
    </row>
    <row r="85" spans="1:23" x14ac:dyDescent="0.25">
      <c r="A85" s="14" t="s">
        <v>225</v>
      </c>
      <c r="B85" s="14" t="str">
        <f t="shared" si="15"/>
        <v>H226</v>
      </c>
      <c r="C85" s="14">
        <v>14</v>
      </c>
      <c r="D85" s="61">
        <v>23</v>
      </c>
      <c r="E85" s="15">
        <f>VLOOKUP(A85,[1]SummaryTable!$A$2:$F$359,2,FALSE)</f>
        <v>6475349.2023807801</v>
      </c>
      <c r="F85" s="15">
        <f>VLOOKUP(A85,[1]SummaryTable!$A$2:$F$359,3,FALSE)</f>
        <v>450013.61398812197</v>
      </c>
      <c r="G85" s="62">
        <f t="shared" si="16"/>
        <v>83.279999999999987</v>
      </c>
      <c r="H85" s="4">
        <f>VLOOKUP(A85,[1]SummaryTable!$A$2:$F$359,5,FALSE)</f>
        <v>1</v>
      </c>
      <c r="I85" s="4">
        <f>VLOOKUP(A85,[1]SummaryTable!$A$2:$F$359,6,FALSE)</f>
        <v>0</v>
      </c>
      <c r="J85" s="4" t="str">
        <f>IF(I85&gt;0.1,[2]Processes!$A$6,[2]Processes!$A$5)</f>
        <v>Sawmal</v>
      </c>
      <c r="K85" s="23" t="str">
        <f t="shared" si="17"/>
        <v>-</v>
      </c>
      <c r="L85" s="4" t="str">
        <f t="shared" si="18"/>
        <v>-</v>
      </c>
      <c r="M85" s="4" t="str">
        <f t="shared" si="19"/>
        <v>-</v>
      </c>
      <c r="N85" s="4">
        <f t="shared" si="20"/>
        <v>0</v>
      </c>
      <c r="O85" s="23" t="str">
        <f t="shared" si="21"/>
        <v>-</v>
      </c>
      <c r="P85" s="4" t="str">
        <f t="shared" si="22"/>
        <v>-</v>
      </c>
      <c r="Q85" s="4" t="str">
        <f t="shared" si="23"/>
        <v>-</v>
      </c>
      <c r="R85" s="4">
        <f t="shared" si="24"/>
        <v>0</v>
      </c>
      <c r="S85" s="23" t="str">
        <f t="shared" si="25"/>
        <v>-</v>
      </c>
      <c r="T85" s="4" t="str">
        <f t="shared" si="26"/>
        <v>-</v>
      </c>
      <c r="U85" s="4" t="str">
        <f t="shared" si="27"/>
        <v>-</v>
      </c>
      <c r="V85" s="4">
        <f t="shared" si="28"/>
        <v>0</v>
      </c>
      <c r="W85" s="23">
        <f>VLOOKUP(A85,[1]SummaryTable!$A$2:$F$359,4,FALSE)</f>
        <v>69.399999999999991</v>
      </c>
    </row>
    <row r="86" spans="1:23" x14ac:dyDescent="0.25">
      <c r="A86" s="14" t="s">
        <v>84</v>
      </c>
      <c r="B86" s="14" t="str">
        <f t="shared" si="15"/>
        <v>H85</v>
      </c>
      <c r="C86" s="14">
        <v>22</v>
      </c>
      <c r="D86" s="61">
        <v>12</v>
      </c>
      <c r="E86" s="15">
        <f>VLOOKUP(A86,[1]SummaryTable!$A$2:$F$359,2,FALSE)</f>
        <v>7005141.6711281398</v>
      </c>
      <c r="F86" s="15">
        <f>VLOOKUP(A86,[1]SummaryTable!$A$2:$F$359,3,FALSE)</f>
        <v>614504.20641886396</v>
      </c>
      <c r="G86" s="62">
        <f t="shared" si="16"/>
        <v>82.32</v>
      </c>
      <c r="H86" s="4">
        <f>VLOOKUP(A86,[1]SummaryTable!$A$2:$F$359,5,FALSE)</f>
        <v>1</v>
      </c>
      <c r="I86" s="4">
        <f>VLOOKUP(A86,[1]SummaryTable!$A$2:$F$359,6,FALSE)</f>
        <v>0</v>
      </c>
      <c r="J86" s="4" t="str">
        <f>IF(I86&gt;0.1,[2]Processes!$A$6,[2]Processes!$A$5)</f>
        <v>Sawmal</v>
      </c>
      <c r="K86" s="23" t="str">
        <f t="shared" si="17"/>
        <v>-</v>
      </c>
      <c r="L86" s="4" t="str">
        <f t="shared" si="18"/>
        <v>-</v>
      </c>
      <c r="M86" s="4" t="str">
        <f t="shared" si="19"/>
        <v>-</v>
      </c>
      <c r="N86" s="4">
        <f t="shared" si="20"/>
        <v>0</v>
      </c>
      <c r="O86" s="23" t="str">
        <f t="shared" si="21"/>
        <v>-</v>
      </c>
      <c r="P86" s="4" t="str">
        <f t="shared" si="22"/>
        <v>-</v>
      </c>
      <c r="Q86" s="4" t="str">
        <f t="shared" si="23"/>
        <v>-</v>
      </c>
      <c r="R86" s="4">
        <f t="shared" si="24"/>
        <v>0</v>
      </c>
      <c r="S86" s="23" t="str">
        <f t="shared" si="25"/>
        <v>-</v>
      </c>
      <c r="T86" s="4" t="str">
        <f t="shared" si="26"/>
        <v>-</v>
      </c>
      <c r="U86" s="4" t="str">
        <f t="shared" si="27"/>
        <v>-</v>
      </c>
      <c r="V86" s="4">
        <f t="shared" si="28"/>
        <v>0</v>
      </c>
      <c r="W86" s="23">
        <f>VLOOKUP(A86,[1]SummaryTable!$A$2:$F$359,4,FALSE)</f>
        <v>68.599999999999994</v>
      </c>
    </row>
    <row r="87" spans="1:23" x14ac:dyDescent="0.25">
      <c r="A87" s="14" t="s">
        <v>113</v>
      </c>
      <c r="B87" s="14" t="str">
        <f t="shared" si="15"/>
        <v>H114</v>
      </c>
      <c r="C87" s="14">
        <v>20</v>
      </c>
      <c r="D87" s="61">
        <v>31</v>
      </c>
      <c r="E87" s="15">
        <f>VLOOKUP(A87,[1]SummaryTable!$A$2:$F$359,2,FALSE)</f>
        <v>6760757.82706038</v>
      </c>
      <c r="F87" s="15">
        <f>VLOOKUP(A87,[1]SummaryTable!$A$2:$F$359,3,FALSE)</f>
        <v>475228.300052704</v>
      </c>
      <c r="G87" s="62">
        <f t="shared" si="16"/>
        <v>81.769199999999998</v>
      </c>
      <c r="H87" s="4">
        <f>VLOOKUP(A87,[1]SummaryTable!$A$2:$F$359,5,FALSE)</f>
        <v>1</v>
      </c>
      <c r="I87" s="4">
        <f>VLOOKUP(A87,[1]SummaryTable!$A$2:$F$359,6,FALSE)</f>
        <v>0</v>
      </c>
      <c r="J87" s="4" t="str">
        <f>IF(I87&gt;0.1,[2]Processes!$A$6,[2]Processes!$A$5)</f>
        <v>Sawmal</v>
      </c>
      <c r="K87" s="23" t="str">
        <f t="shared" si="17"/>
        <v>-</v>
      </c>
      <c r="L87" s="4" t="str">
        <f t="shared" si="18"/>
        <v>-</v>
      </c>
      <c r="M87" s="4" t="str">
        <f t="shared" si="19"/>
        <v>-</v>
      </c>
      <c r="N87" s="4">
        <f t="shared" si="20"/>
        <v>0</v>
      </c>
      <c r="O87" s="23" t="str">
        <f t="shared" si="21"/>
        <v>-</v>
      </c>
      <c r="P87" s="4" t="str">
        <f t="shared" si="22"/>
        <v>-</v>
      </c>
      <c r="Q87" s="4" t="str">
        <f t="shared" si="23"/>
        <v>-</v>
      </c>
      <c r="R87" s="4">
        <f t="shared" si="24"/>
        <v>0</v>
      </c>
      <c r="S87" s="23" t="str">
        <f t="shared" si="25"/>
        <v>-</v>
      </c>
      <c r="T87" s="4" t="str">
        <f t="shared" si="26"/>
        <v>-</v>
      </c>
      <c r="U87" s="4" t="str">
        <f t="shared" si="27"/>
        <v>-</v>
      </c>
      <c r="V87" s="4">
        <f t="shared" si="28"/>
        <v>0</v>
      </c>
      <c r="W87" s="23">
        <f>VLOOKUP(A87,[1]SummaryTable!$A$2:$F$359,4,FALSE)</f>
        <v>68.141000000000005</v>
      </c>
    </row>
    <row r="88" spans="1:23" x14ac:dyDescent="0.25">
      <c r="A88" s="14" t="s">
        <v>77</v>
      </c>
      <c r="B88" s="14" t="str">
        <f t="shared" si="15"/>
        <v>H78</v>
      </c>
      <c r="C88" s="14">
        <v>23</v>
      </c>
      <c r="D88" s="61">
        <v>12</v>
      </c>
      <c r="E88" s="15">
        <f>VLOOKUP(A88,[1]SummaryTable!$A$2:$F$359,2,FALSE)</f>
        <v>7027605.24470188</v>
      </c>
      <c r="F88" s="15">
        <f>VLOOKUP(A88,[1]SummaryTable!$A$2:$F$359,3,FALSE)</f>
        <v>404332.631066042</v>
      </c>
      <c r="G88" s="62">
        <f t="shared" si="16"/>
        <v>81.599999999999994</v>
      </c>
      <c r="H88" s="4">
        <f>VLOOKUP(A88,[1]SummaryTable!$A$2:$F$359,5,FALSE)</f>
        <v>1</v>
      </c>
      <c r="I88" s="4">
        <f>VLOOKUP(A88,[1]SummaryTable!$A$2:$F$359,6,FALSE)</f>
        <v>0</v>
      </c>
      <c r="J88" s="4" t="str">
        <f>IF(I88&gt;0.1,[2]Processes!$A$6,[2]Processes!$A$5)</f>
        <v>Sawmal</v>
      </c>
      <c r="K88" s="23" t="str">
        <f t="shared" si="17"/>
        <v>-</v>
      </c>
      <c r="L88" s="4" t="str">
        <f t="shared" si="18"/>
        <v>-</v>
      </c>
      <c r="M88" s="4" t="str">
        <f t="shared" si="19"/>
        <v>-</v>
      </c>
      <c r="N88" s="4">
        <f t="shared" si="20"/>
        <v>0</v>
      </c>
      <c r="O88" s="23" t="str">
        <f t="shared" si="21"/>
        <v>-</v>
      </c>
      <c r="P88" s="4" t="str">
        <f t="shared" si="22"/>
        <v>-</v>
      </c>
      <c r="Q88" s="4" t="str">
        <f t="shared" si="23"/>
        <v>-</v>
      </c>
      <c r="R88" s="4">
        <f t="shared" si="24"/>
        <v>0</v>
      </c>
      <c r="S88" s="23" t="str">
        <f t="shared" si="25"/>
        <v>-</v>
      </c>
      <c r="T88" s="4" t="str">
        <f t="shared" si="26"/>
        <v>-</v>
      </c>
      <c r="U88" s="4" t="str">
        <f t="shared" si="27"/>
        <v>-</v>
      </c>
      <c r="V88" s="4">
        <f t="shared" si="28"/>
        <v>0</v>
      </c>
      <c r="W88" s="23">
        <f>VLOOKUP(A88,[1]SummaryTable!$A$2:$F$359,4,FALSE)</f>
        <v>68</v>
      </c>
    </row>
    <row r="89" spans="1:23" x14ac:dyDescent="0.25">
      <c r="A89" s="14" t="s">
        <v>278</v>
      </c>
      <c r="B89" s="14" t="str">
        <f t="shared" si="15"/>
        <v>H279</v>
      </c>
      <c r="C89" s="14">
        <v>14</v>
      </c>
      <c r="D89" s="61">
        <v>23</v>
      </c>
      <c r="E89" s="15">
        <f>VLOOKUP(A89,[1]SummaryTable!$A$2:$F$359,2,FALSE)</f>
        <v>6390244.9749262398</v>
      </c>
      <c r="F89" s="15">
        <f>VLOOKUP(A89,[1]SummaryTable!$A$2:$F$359,3,FALSE)</f>
        <v>322019.97547272302</v>
      </c>
      <c r="G89" s="62">
        <f t="shared" si="16"/>
        <v>78.601200000000006</v>
      </c>
      <c r="H89" s="4">
        <f>VLOOKUP(A89,[1]SummaryTable!$A$2:$F$359,5,FALSE)</f>
        <v>0.46132637171384072</v>
      </c>
      <c r="I89" s="4">
        <f>VLOOKUP(A89,[1]SummaryTable!$A$2:$F$359,6,FALSE)</f>
        <v>0.53867362828615928</v>
      </c>
      <c r="J89" s="4" t="str">
        <f>IF(I89&gt;0.1,[2]Processes!$A$6,[2]Processes!$A$5)</f>
        <v>Heatpl</v>
      </c>
      <c r="K89" s="23" t="str">
        <f t="shared" si="17"/>
        <v>-</v>
      </c>
      <c r="L89" s="4" t="str">
        <f t="shared" si="18"/>
        <v>-</v>
      </c>
      <c r="M89" s="4" t="str">
        <f t="shared" si="19"/>
        <v>-</v>
      </c>
      <c r="N89" s="4">
        <f t="shared" si="20"/>
        <v>0</v>
      </c>
      <c r="O89" s="23" t="str">
        <f t="shared" si="21"/>
        <v>-</v>
      </c>
      <c r="P89" s="4" t="str">
        <f t="shared" si="22"/>
        <v>-</v>
      </c>
      <c r="Q89" s="4" t="str">
        <f t="shared" si="23"/>
        <v>-</v>
      </c>
      <c r="R89" s="4">
        <f t="shared" si="24"/>
        <v>0</v>
      </c>
      <c r="S89" s="23" t="str">
        <f t="shared" si="25"/>
        <v>-</v>
      </c>
      <c r="T89" s="4" t="str">
        <f t="shared" si="26"/>
        <v>-</v>
      </c>
      <c r="U89" s="4" t="str">
        <f t="shared" si="27"/>
        <v>-</v>
      </c>
      <c r="V89" s="4">
        <f t="shared" si="28"/>
        <v>0</v>
      </c>
      <c r="W89" s="23">
        <f>VLOOKUP(A89,[1]SummaryTable!$A$2:$F$359,4,FALSE)</f>
        <v>65.501000000000005</v>
      </c>
    </row>
    <row r="90" spans="1:23" x14ac:dyDescent="0.25">
      <c r="A90" s="14" t="s">
        <v>327</v>
      </c>
      <c r="B90" s="14" t="str">
        <f t="shared" si="15"/>
        <v>H328</v>
      </c>
      <c r="C90" s="14">
        <v>7</v>
      </c>
      <c r="D90" s="61">
        <v>21</v>
      </c>
      <c r="E90" s="15">
        <f>VLOOKUP(A90,[1]SummaryTable!$A$2:$F$359,2,FALSE)</f>
        <v>6265690.23511016</v>
      </c>
      <c r="F90" s="15">
        <f>VLOOKUP(A90,[1]SummaryTable!$A$2:$F$359,3,FALSE)</f>
        <v>446717.06497844099</v>
      </c>
      <c r="G90" s="79">
        <v>500</v>
      </c>
      <c r="H90" s="4">
        <f>VLOOKUP(A90,[1]SummaryTable!$A$2:$F$359,5,FALSE)</f>
        <v>1</v>
      </c>
      <c r="I90" s="4">
        <f>VLOOKUP(A90,[1]SummaryTable!$A$2:$F$359,6,FALSE)</f>
        <v>0</v>
      </c>
      <c r="J90" s="4" t="str">
        <f>IF(I90&gt;0.1,[2]Processes!$A$6,[2]Processes!$A$5)</f>
        <v>Sawmal</v>
      </c>
      <c r="K90" s="23" t="str">
        <f t="shared" si="17"/>
        <v>H328L1</v>
      </c>
      <c r="L90" s="4" t="str">
        <f t="shared" si="18"/>
        <v>H328</v>
      </c>
      <c r="M90" s="4" t="s">
        <v>799</v>
      </c>
      <c r="N90" s="4">
        <f t="shared" si="20"/>
        <v>500</v>
      </c>
      <c r="O90" s="23" t="str">
        <f>IF(G90&gt;$N$1,$A90&amp;"L"&amp;O$1,"-")</f>
        <v>H328L2</v>
      </c>
      <c r="P90" s="4" t="str">
        <f t="shared" ref="P90" si="29">IF(O90="-","-",$A90)</f>
        <v>H328</v>
      </c>
      <c r="Q90" s="4" t="str">
        <f>IF(P90="-","-","TerPal")</f>
        <v>TerPal</v>
      </c>
      <c r="R90" s="4">
        <f t="shared" ref="R90" si="30">IF(Q90="-",0,9999)</f>
        <v>9999</v>
      </c>
      <c r="S90" s="23" t="str">
        <f t="shared" si="25"/>
        <v>H328L3</v>
      </c>
      <c r="T90" s="4" t="str">
        <f t="shared" si="26"/>
        <v>H328</v>
      </c>
      <c r="U90" s="4" t="str">
        <f t="shared" si="27"/>
        <v>TerHea</v>
      </c>
      <c r="V90" s="4">
        <v>0</v>
      </c>
      <c r="W90" s="23">
        <f>VLOOKUP(A90,[1]SummaryTable!$A$2:$F$359,4,FALSE)</f>
        <v>65.45</v>
      </c>
    </row>
    <row r="91" spans="1:23" x14ac:dyDescent="0.25">
      <c r="A91" s="14" t="s">
        <v>128</v>
      </c>
      <c r="B91" s="14" t="str">
        <f t="shared" si="15"/>
        <v>H129</v>
      </c>
      <c r="C91" s="14">
        <v>3</v>
      </c>
      <c r="D91" s="61">
        <v>12</v>
      </c>
      <c r="E91" s="15">
        <f>VLOOKUP(A91,[1]SummaryTable!$A$2:$F$359,2,FALSE)</f>
        <v>6691845.8553862302</v>
      </c>
      <c r="F91" s="15">
        <f>VLOOKUP(A91,[1]SummaryTable!$A$2:$F$359,3,FALSE)</f>
        <v>638746.24942327302</v>
      </c>
      <c r="G91" s="62">
        <f t="shared" si="16"/>
        <v>78.36</v>
      </c>
      <c r="H91" s="4">
        <f>VLOOKUP(A91,[1]SummaryTable!$A$2:$F$359,5,FALSE)</f>
        <v>1</v>
      </c>
      <c r="I91" s="4">
        <f>VLOOKUP(A91,[1]SummaryTable!$A$2:$F$359,6,FALSE)</f>
        <v>0</v>
      </c>
      <c r="J91" s="4" t="str">
        <f>IF(I91&gt;0.1,[2]Processes!$A$6,[2]Processes!$A$5)</f>
        <v>Sawmal</v>
      </c>
      <c r="K91" s="23" t="str">
        <f t="shared" si="17"/>
        <v>-</v>
      </c>
      <c r="L91" s="4" t="str">
        <f t="shared" si="18"/>
        <v>-</v>
      </c>
      <c r="M91" s="4" t="str">
        <f t="shared" si="19"/>
        <v>-</v>
      </c>
      <c r="N91" s="4">
        <f t="shared" si="20"/>
        <v>0</v>
      </c>
      <c r="O91" s="23" t="str">
        <f t="shared" si="21"/>
        <v>-</v>
      </c>
      <c r="P91" s="4" t="str">
        <f t="shared" si="22"/>
        <v>-</v>
      </c>
      <c r="Q91" s="4" t="str">
        <f t="shared" si="23"/>
        <v>-</v>
      </c>
      <c r="R91" s="4">
        <f t="shared" si="24"/>
        <v>0</v>
      </c>
      <c r="S91" s="23" t="str">
        <f t="shared" si="25"/>
        <v>-</v>
      </c>
      <c r="T91" s="4" t="str">
        <f t="shared" si="26"/>
        <v>-</v>
      </c>
      <c r="U91" s="4" t="str">
        <f t="shared" si="27"/>
        <v>-</v>
      </c>
      <c r="V91" s="4">
        <f t="shared" si="28"/>
        <v>0</v>
      </c>
      <c r="W91" s="23">
        <f>VLOOKUP(A91,[1]SummaryTable!$A$2:$F$359,4,FALSE)</f>
        <v>65.3</v>
      </c>
    </row>
    <row r="92" spans="1:23" x14ac:dyDescent="0.25">
      <c r="A92" s="14" t="s">
        <v>130</v>
      </c>
      <c r="B92" s="14" t="str">
        <f t="shared" si="15"/>
        <v>H131</v>
      </c>
      <c r="C92" s="14">
        <v>20</v>
      </c>
      <c r="D92" s="61">
        <v>31</v>
      </c>
      <c r="E92" s="15">
        <f>VLOOKUP(A92,[1]SummaryTable!$A$2:$F$359,2,FALSE)</f>
        <v>6688463.8942728098</v>
      </c>
      <c r="F92" s="15">
        <f>VLOOKUP(A92,[1]SummaryTable!$A$2:$F$359,3,FALSE)</f>
        <v>540832.811241035</v>
      </c>
      <c r="G92" s="62">
        <f t="shared" si="16"/>
        <v>76.31989200000001</v>
      </c>
      <c r="H92" s="4">
        <f>VLOOKUP(A92,[1]SummaryTable!$A$2:$F$359,5,FALSE)</f>
        <v>0.79200281882759227</v>
      </c>
      <c r="I92" s="4">
        <f>VLOOKUP(A92,[1]SummaryTable!$A$2:$F$359,6,FALSE)</f>
        <v>0.20799718117240773</v>
      </c>
      <c r="J92" s="4" t="str">
        <f>IF(I92&gt;0.1,[2]Processes!$A$6,[2]Processes!$A$5)</f>
        <v>Heatpl</v>
      </c>
      <c r="K92" s="23" t="str">
        <f t="shared" si="17"/>
        <v>-</v>
      </c>
      <c r="L92" s="4" t="str">
        <f t="shared" si="18"/>
        <v>-</v>
      </c>
      <c r="M92" s="4" t="str">
        <f t="shared" si="19"/>
        <v>-</v>
      </c>
      <c r="N92" s="4">
        <f t="shared" si="20"/>
        <v>0</v>
      </c>
      <c r="O92" s="23" t="str">
        <f t="shared" si="21"/>
        <v>-</v>
      </c>
      <c r="P92" s="4" t="str">
        <f t="shared" si="22"/>
        <v>-</v>
      </c>
      <c r="Q92" s="4" t="str">
        <f t="shared" si="23"/>
        <v>-</v>
      </c>
      <c r="R92" s="4">
        <f t="shared" si="24"/>
        <v>0</v>
      </c>
      <c r="S92" s="23" t="str">
        <f t="shared" si="25"/>
        <v>-</v>
      </c>
      <c r="T92" s="4" t="str">
        <f t="shared" si="26"/>
        <v>-</v>
      </c>
      <c r="U92" s="4" t="str">
        <f t="shared" si="27"/>
        <v>-</v>
      </c>
      <c r="V92" s="4">
        <f t="shared" si="28"/>
        <v>0</v>
      </c>
      <c r="W92" s="23">
        <f>VLOOKUP(A92,[1]SummaryTable!$A$2:$F$359,4,FALSE)</f>
        <v>63.599910000000008</v>
      </c>
    </row>
    <row r="93" spans="1:23" x14ac:dyDescent="0.25">
      <c r="A93" s="14" t="s">
        <v>320</v>
      </c>
      <c r="B93" s="14" t="str">
        <f t="shared" si="15"/>
        <v>H321</v>
      </c>
      <c r="C93" s="14">
        <v>7</v>
      </c>
      <c r="D93" s="61">
        <v>21</v>
      </c>
      <c r="E93" s="15">
        <f>VLOOKUP(A93,[1]SummaryTable!$A$2:$F$359,2,FALSE)</f>
        <v>6296442.2703860402</v>
      </c>
      <c r="F93" s="15">
        <f>VLOOKUP(A93,[1]SummaryTable!$A$2:$F$359,3,FALSE)</f>
        <v>435031.37375332299</v>
      </c>
      <c r="G93" s="62">
        <f t="shared" si="16"/>
        <v>75.023999999999987</v>
      </c>
      <c r="H93" s="4">
        <f>VLOOKUP(A93,[1]SummaryTable!$A$2:$F$359,5,FALSE)</f>
        <v>0.88197725564210427</v>
      </c>
      <c r="I93" s="4">
        <f>VLOOKUP(A93,[1]SummaryTable!$A$2:$F$359,6,FALSE)</f>
        <v>0.11802274435789573</v>
      </c>
      <c r="J93" s="4" t="str">
        <f>IF(I93&gt;0.1,[2]Processes!$A$6,[2]Processes!$A$5)</f>
        <v>Heatpl</v>
      </c>
      <c r="K93" s="23" t="str">
        <f t="shared" si="17"/>
        <v>-</v>
      </c>
      <c r="L93" s="4" t="str">
        <f t="shared" si="18"/>
        <v>-</v>
      </c>
      <c r="M93" s="4" t="str">
        <f t="shared" si="19"/>
        <v>-</v>
      </c>
      <c r="N93" s="4">
        <f t="shared" si="20"/>
        <v>0</v>
      </c>
      <c r="O93" s="23" t="str">
        <f t="shared" si="21"/>
        <v>-</v>
      </c>
      <c r="P93" s="4" t="str">
        <f t="shared" si="22"/>
        <v>-</v>
      </c>
      <c r="Q93" s="4" t="str">
        <f t="shared" si="23"/>
        <v>-</v>
      </c>
      <c r="R93" s="4">
        <f t="shared" si="24"/>
        <v>0</v>
      </c>
      <c r="S93" s="23" t="str">
        <f t="shared" si="25"/>
        <v>-</v>
      </c>
      <c r="T93" s="4" t="str">
        <f t="shared" si="26"/>
        <v>-</v>
      </c>
      <c r="U93" s="4" t="str">
        <f t="shared" si="27"/>
        <v>-</v>
      </c>
      <c r="V93" s="4">
        <f t="shared" si="28"/>
        <v>0</v>
      </c>
      <c r="W93" s="23">
        <f>VLOOKUP(A93,[1]SummaryTable!$A$2:$F$359,4,FALSE)</f>
        <v>62.519999999999996</v>
      </c>
    </row>
    <row r="94" spans="1:23" x14ac:dyDescent="0.25">
      <c r="A94" s="14" t="s">
        <v>346</v>
      </c>
      <c r="B94" s="14" t="str">
        <f t="shared" si="15"/>
        <v>H347</v>
      </c>
      <c r="C94" s="14">
        <v>12</v>
      </c>
      <c r="D94" s="61">
        <v>22</v>
      </c>
      <c r="E94" s="15">
        <f>VLOOKUP(A94,[1]SummaryTable!$A$2:$F$359,2,FALSE)</f>
        <v>6212137.4166017501</v>
      </c>
      <c r="F94" s="15">
        <f>VLOOKUP(A94,[1]SummaryTable!$A$2:$F$359,3,FALSE)</f>
        <v>390477.74247858702</v>
      </c>
      <c r="G94" s="62">
        <f t="shared" si="16"/>
        <v>73.896000000000001</v>
      </c>
      <c r="H94" s="4">
        <f>VLOOKUP(A94,[1]SummaryTable!$A$2:$F$359,5,FALSE)</f>
        <v>1</v>
      </c>
      <c r="I94" s="4">
        <f>VLOOKUP(A94,[1]SummaryTable!$A$2:$F$359,6,FALSE)</f>
        <v>0</v>
      </c>
      <c r="J94" s="4" t="str">
        <f>IF(I94&gt;0.1,[2]Processes!$A$6,[2]Processes!$A$5)</f>
        <v>Sawmal</v>
      </c>
      <c r="K94" s="23" t="str">
        <f t="shared" si="17"/>
        <v>-</v>
      </c>
      <c r="L94" s="4" t="str">
        <f t="shared" si="18"/>
        <v>-</v>
      </c>
      <c r="M94" s="4" t="str">
        <f t="shared" si="19"/>
        <v>-</v>
      </c>
      <c r="N94" s="4">
        <f t="shared" si="20"/>
        <v>0</v>
      </c>
      <c r="O94" s="23" t="str">
        <f t="shared" si="21"/>
        <v>-</v>
      </c>
      <c r="P94" s="4" t="str">
        <f t="shared" si="22"/>
        <v>-</v>
      </c>
      <c r="Q94" s="4" t="str">
        <f t="shared" si="23"/>
        <v>-</v>
      </c>
      <c r="R94" s="4">
        <f t="shared" si="24"/>
        <v>0</v>
      </c>
      <c r="S94" s="23" t="str">
        <f t="shared" si="25"/>
        <v>-</v>
      </c>
      <c r="T94" s="4" t="str">
        <f t="shared" si="26"/>
        <v>-</v>
      </c>
      <c r="U94" s="4" t="str">
        <f t="shared" si="27"/>
        <v>-</v>
      </c>
      <c r="V94" s="4">
        <f t="shared" si="28"/>
        <v>0</v>
      </c>
      <c r="W94" s="23">
        <f>VLOOKUP(A94,[1]SummaryTable!$A$2:$F$359,4,FALSE)</f>
        <v>61.58</v>
      </c>
    </row>
    <row r="95" spans="1:23" x14ac:dyDescent="0.25">
      <c r="A95" s="14" t="s">
        <v>226</v>
      </c>
      <c r="B95" s="14" t="str">
        <f t="shared" si="15"/>
        <v>H227</v>
      </c>
      <c r="C95" s="14">
        <v>5</v>
      </c>
      <c r="D95" s="61">
        <v>12</v>
      </c>
      <c r="E95" s="15">
        <f>VLOOKUP(A95,[1]SummaryTable!$A$2:$F$359,2,FALSE)</f>
        <v>6473956.0641298797</v>
      </c>
      <c r="F95" s="15">
        <f>VLOOKUP(A95,[1]SummaryTable!$A$2:$F$359,3,FALSE)</f>
        <v>538345.82955567096</v>
      </c>
      <c r="G95" s="62">
        <f t="shared" si="16"/>
        <v>72.48</v>
      </c>
      <c r="H95" s="4">
        <f>VLOOKUP(A95,[1]SummaryTable!$A$2:$F$359,5,FALSE)</f>
        <v>0.60429463088359459</v>
      </c>
      <c r="I95" s="4">
        <f>VLOOKUP(A95,[1]SummaryTable!$A$2:$F$359,6,FALSE)</f>
        <v>0.39570536911640541</v>
      </c>
      <c r="J95" s="4" t="str">
        <f>IF(I95&gt;0.1,[2]Processes!$A$6,[2]Processes!$A$5)</f>
        <v>Heatpl</v>
      </c>
      <c r="K95" s="23" t="str">
        <f t="shared" si="17"/>
        <v>-</v>
      </c>
      <c r="L95" s="4" t="str">
        <f t="shared" si="18"/>
        <v>-</v>
      </c>
      <c r="M95" s="4" t="str">
        <f t="shared" si="19"/>
        <v>-</v>
      </c>
      <c r="N95" s="4">
        <f t="shared" si="20"/>
        <v>0</v>
      </c>
      <c r="O95" s="23" t="str">
        <f t="shared" si="21"/>
        <v>-</v>
      </c>
      <c r="P95" s="4" t="str">
        <f t="shared" si="22"/>
        <v>-</v>
      </c>
      <c r="Q95" s="4" t="str">
        <f t="shared" si="23"/>
        <v>-</v>
      </c>
      <c r="R95" s="4">
        <f t="shared" si="24"/>
        <v>0</v>
      </c>
      <c r="S95" s="23" t="str">
        <f t="shared" si="25"/>
        <v>-</v>
      </c>
      <c r="T95" s="4" t="str">
        <f t="shared" si="26"/>
        <v>-</v>
      </c>
      <c r="U95" s="4" t="str">
        <f t="shared" si="27"/>
        <v>-</v>
      </c>
      <c r="V95" s="4">
        <f t="shared" si="28"/>
        <v>0</v>
      </c>
      <c r="W95" s="23">
        <f>VLOOKUP(A95,[1]SummaryTable!$A$2:$F$359,4,FALSE)</f>
        <v>60.400000000000006</v>
      </c>
    </row>
    <row r="96" spans="1:23" x14ac:dyDescent="0.25">
      <c r="A96" s="14" t="s">
        <v>298</v>
      </c>
      <c r="B96" s="14" t="str">
        <f t="shared" si="15"/>
        <v>H299</v>
      </c>
      <c r="C96" s="14">
        <v>6</v>
      </c>
      <c r="D96" s="61">
        <v>21</v>
      </c>
      <c r="E96" s="15">
        <f>VLOOKUP(A96,[1]SummaryTable!$A$2:$F$359,2,FALSE)</f>
        <v>6359357.2461358896</v>
      </c>
      <c r="F96" s="15">
        <f>VLOOKUP(A96,[1]SummaryTable!$A$2:$F$359,3,FALSE)</f>
        <v>480048.90657875699</v>
      </c>
      <c r="G96" s="62">
        <f t="shared" si="16"/>
        <v>70.172399999999996</v>
      </c>
      <c r="H96" s="4">
        <f>VLOOKUP(A96,[1]SummaryTable!$A$2:$F$359,5,FALSE)</f>
        <v>1</v>
      </c>
      <c r="I96" s="4">
        <f>VLOOKUP(A96,[1]SummaryTable!$A$2:$F$359,6,FALSE)</f>
        <v>0</v>
      </c>
      <c r="J96" s="4" t="str">
        <f>IF(I96&gt;0.1,[2]Processes!$A$6,[2]Processes!$A$5)</f>
        <v>Sawmal</v>
      </c>
      <c r="K96" s="23" t="str">
        <f t="shared" si="17"/>
        <v>-</v>
      </c>
      <c r="L96" s="4" t="str">
        <f t="shared" si="18"/>
        <v>-</v>
      </c>
      <c r="M96" s="4" t="str">
        <f t="shared" si="19"/>
        <v>-</v>
      </c>
      <c r="N96" s="4">
        <f t="shared" si="20"/>
        <v>0</v>
      </c>
      <c r="O96" s="23" t="str">
        <f t="shared" si="21"/>
        <v>-</v>
      </c>
      <c r="P96" s="4" t="str">
        <f t="shared" si="22"/>
        <v>-</v>
      </c>
      <c r="Q96" s="4" t="str">
        <f t="shared" si="23"/>
        <v>-</v>
      </c>
      <c r="R96" s="4">
        <f t="shared" si="24"/>
        <v>0</v>
      </c>
      <c r="S96" s="23" t="str">
        <f t="shared" si="25"/>
        <v>-</v>
      </c>
      <c r="T96" s="4" t="str">
        <f t="shared" si="26"/>
        <v>-</v>
      </c>
      <c r="U96" s="4" t="str">
        <f t="shared" si="27"/>
        <v>-</v>
      </c>
      <c r="V96" s="4">
        <f t="shared" si="28"/>
        <v>0</v>
      </c>
      <c r="W96" s="23">
        <f>VLOOKUP(A96,[1]SummaryTable!$A$2:$F$359,4,FALSE)</f>
        <v>58.477000000000004</v>
      </c>
    </row>
    <row r="97" spans="1:23" x14ac:dyDescent="0.25">
      <c r="A97" s="14" t="s">
        <v>355</v>
      </c>
      <c r="B97" s="14" t="str">
        <f t="shared" si="15"/>
        <v>H356</v>
      </c>
      <c r="C97" s="14">
        <v>12</v>
      </c>
      <c r="D97" s="61">
        <v>22</v>
      </c>
      <c r="E97" s="15">
        <f>VLOOKUP(A97,[1]SummaryTable!$A$2:$F$359,2,FALSE)</f>
        <v>6154231.9055916602</v>
      </c>
      <c r="F97" s="15">
        <f>VLOOKUP(A97,[1]SummaryTable!$A$2:$F$359,3,FALSE)</f>
        <v>459316.28717159299</v>
      </c>
      <c r="G97" s="62">
        <f t="shared" si="16"/>
        <v>64.08</v>
      </c>
      <c r="H97" s="4">
        <f>VLOOKUP(A97,[1]SummaryTable!$A$2:$F$359,5,FALSE)</f>
        <v>1</v>
      </c>
      <c r="I97" s="4">
        <f>VLOOKUP(A97,[1]SummaryTable!$A$2:$F$359,6,FALSE)</f>
        <v>0</v>
      </c>
      <c r="J97" s="4" t="str">
        <f>IF(I97&gt;0.1,[2]Processes!$A$6,[2]Processes!$A$5)</f>
        <v>Sawmal</v>
      </c>
      <c r="K97" s="23" t="str">
        <f t="shared" si="17"/>
        <v>-</v>
      </c>
      <c r="L97" s="4" t="str">
        <f t="shared" si="18"/>
        <v>-</v>
      </c>
      <c r="M97" s="4" t="str">
        <f t="shared" si="19"/>
        <v>-</v>
      </c>
      <c r="N97" s="4">
        <f t="shared" si="20"/>
        <v>0</v>
      </c>
      <c r="O97" s="23" t="str">
        <f t="shared" si="21"/>
        <v>-</v>
      </c>
      <c r="P97" s="4" t="str">
        <f t="shared" si="22"/>
        <v>-</v>
      </c>
      <c r="Q97" s="4" t="str">
        <f t="shared" si="23"/>
        <v>-</v>
      </c>
      <c r="R97" s="4">
        <f t="shared" si="24"/>
        <v>0</v>
      </c>
      <c r="S97" s="23" t="str">
        <f t="shared" si="25"/>
        <v>-</v>
      </c>
      <c r="T97" s="4" t="str">
        <f t="shared" si="26"/>
        <v>-</v>
      </c>
      <c r="U97" s="4" t="str">
        <f t="shared" si="27"/>
        <v>-</v>
      </c>
      <c r="V97" s="4">
        <f t="shared" si="28"/>
        <v>0</v>
      </c>
      <c r="W97" s="23">
        <f>VLOOKUP(A97,[1]SummaryTable!$A$2:$F$359,4,FALSE)</f>
        <v>53.4</v>
      </c>
    </row>
    <row r="98" spans="1:23" x14ac:dyDescent="0.25">
      <c r="A98" s="14" t="s">
        <v>326</v>
      </c>
      <c r="B98" s="14" t="str">
        <f t="shared" si="15"/>
        <v>H327</v>
      </c>
      <c r="C98" s="14">
        <v>8</v>
      </c>
      <c r="D98" s="61">
        <v>21</v>
      </c>
      <c r="E98" s="15">
        <f>VLOOKUP(A98,[1]SummaryTable!$A$2:$F$359,2,FALSE)</f>
        <v>6274174.0054459097</v>
      </c>
      <c r="F98" s="15">
        <f>VLOOKUP(A98,[1]SummaryTable!$A$2:$F$359,3,FALSE)</f>
        <v>533012.65348677803</v>
      </c>
      <c r="G98" s="62">
        <f t="shared" si="16"/>
        <v>63.72</v>
      </c>
      <c r="H98" s="4">
        <f>VLOOKUP(A98,[1]SummaryTable!$A$2:$F$359,5,FALSE)</f>
        <v>1</v>
      </c>
      <c r="I98" s="4">
        <f>VLOOKUP(A98,[1]SummaryTable!$A$2:$F$359,6,FALSE)</f>
        <v>0</v>
      </c>
      <c r="J98" s="4" t="str">
        <f>IF(I98&gt;0.1,[2]Processes!$A$6,[2]Processes!$A$5)</f>
        <v>Sawmal</v>
      </c>
      <c r="K98" s="23" t="str">
        <f t="shared" si="17"/>
        <v>-</v>
      </c>
      <c r="L98" s="4" t="str">
        <f t="shared" si="18"/>
        <v>-</v>
      </c>
      <c r="M98" s="4" t="str">
        <f t="shared" si="19"/>
        <v>-</v>
      </c>
      <c r="N98" s="4">
        <f t="shared" si="20"/>
        <v>0</v>
      </c>
      <c r="O98" s="23" t="str">
        <f t="shared" si="21"/>
        <v>-</v>
      </c>
      <c r="P98" s="4" t="str">
        <f t="shared" si="22"/>
        <v>-</v>
      </c>
      <c r="Q98" s="4" t="str">
        <f t="shared" si="23"/>
        <v>-</v>
      </c>
      <c r="R98" s="4">
        <f t="shared" si="24"/>
        <v>0</v>
      </c>
      <c r="S98" s="23" t="str">
        <f t="shared" si="25"/>
        <v>-</v>
      </c>
      <c r="T98" s="4" t="str">
        <f t="shared" si="26"/>
        <v>-</v>
      </c>
      <c r="U98" s="4" t="str">
        <f t="shared" si="27"/>
        <v>-</v>
      </c>
      <c r="V98" s="4">
        <f t="shared" si="28"/>
        <v>0</v>
      </c>
      <c r="W98" s="23">
        <f>VLOOKUP(A98,[1]SummaryTable!$A$2:$F$359,4,FALSE)</f>
        <v>53.1</v>
      </c>
    </row>
    <row r="99" spans="1:23" x14ac:dyDescent="0.25">
      <c r="A99" s="14" t="s">
        <v>140</v>
      </c>
      <c r="B99" s="14" t="str">
        <f t="shared" si="15"/>
        <v>H141</v>
      </c>
      <c r="C99" s="14">
        <v>17</v>
      </c>
      <c r="D99" s="61">
        <v>31</v>
      </c>
      <c r="E99" s="15">
        <f>VLOOKUP(A99,[1]SummaryTable!$A$2:$F$359,2,FALSE)</f>
        <v>6656628.1682370203</v>
      </c>
      <c r="F99" s="15">
        <f>VLOOKUP(A99,[1]SummaryTable!$A$2:$F$359,3,FALSE)</f>
        <v>429620.08588173299</v>
      </c>
      <c r="G99" s="62">
        <f t="shared" si="16"/>
        <v>62.16</v>
      </c>
      <c r="H99" s="4">
        <f>VLOOKUP(A99,[1]SummaryTable!$A$2:$F$359,5,FALSE)</f>
        <v>1</v>
      </c>
      <c r="I99" s="4">
        <f>VLOOKUP(A99,[1]SummaryTable!$A$2:$F$359,6,FALSE)</f>
        <v>0</v>
      </c>
      <c r="J99" s="4" t="str">
        <f>IF(I99&gt;0.1,[2]Processes!$A$6,[2]Processes!$A$5)</f>
        <v>Sawmal</v>
      </c>
      <c r="K99" s="23" t="str">
        <f t="shared" si="17"/>
        <v>-</v>
      </c>
      <c r="L99" s="4" t="str">
        <f t="shared" si="18"/>
        <v>-</v>
      </c>
      <c r="M99" s="4" t="str">
        <f t="shared" si="19"/>
        <v>-</v>
      </c>
      <c r="N99" s="4">
        <f t="shared" si="20"/>
        <v>0</v>
      </c>
      <c r="O99" s="23" t="str">
        <f t="shared" si="21"/>
        <v>-</v>
      </c>
      <c r="P99" s="4" t="str">
        <f t="shared" si="22"/>
        <v>-</v>
      </c>
      <c r="Q99" s="4" t="str">
        <f t="shared" si="23"/>
        <v>-</v>
      </c>
      <c r="R99" s="4">
        <f t="shared" si="24"/>
        <v>0</v>
      </c>
      <c r="S99" s="23" t="str">
        <f t="shared" si="25"/>
        <v>-</v>
      </c>
      <c r="T99" s="4" t="str">
        <f t="shared" si="26"/>
        <v>-</v>
      </c>
      <c r="U99" s="4" t="str">
        <f t="shared" si="27"/>
        <v>-</v>
      </c>
      <c r="V99" s="4">
        <f t="shared" si="28"/>
        <v>0</v>
      </c>
      <c r="W99" s="23">
        <f>VLOOKUP(A99,[1]SummaryTable!$A$2:$F$359,4,FALSE)</f>
        <v>51.8</v>
      </c>
    </row>
    <row r="100" spans="1:23" x14ac:dyDescent="0.25">
      <c r="A100" s="14" t="s">
        <v>229</v>
      </c>
      <c r="B100" s="14" t="str">
        <f t="shared" si="15"/>
        <v>H230</v>
      </c>
      <c r="C100" s="14">
        <v>14</v>
      </c>
      <c r="D100" s="61">
        <v>23</v>
      </c>
      <c r="E100" s="15">
        <f>VLOOKUP(A100,[1]SummaryTable!$A$2:$F$359,2,FALSE)</f>
        <v>6467420.7700494602</v>
      </c>
      <c r="F100" s="15">
        <f>VLOOKUP(A100,[1]SummaryTable!$A$2:$F$359,3,FALSE)</f>
        <v>321004.390855101</v>
      </c>
      <c r="G100" s="62">
        <f t="shared" si="16"/>
        <v>61.272523200000002</v>
      </c>
      <c r="H100" s="4">
        <f>VLOOKUP(A100,[1]SummaryTable!$A$2:$F$359,5,FALSE)</f>
        <v>1</v>
      </c>
      <c r="I100" s="4">
        <f>VLOOKUP(A100,[1]SummaryTable!$A$2:$F$359,6,FALSE)</f>
        <v>0</v>
      </c>
      <c r="J100" s="4" t="str">
        <f>IF(I100&gt;0.1,[2]Processes!$A$6,[2]Processes!$A$5)</f>
        <v>Sawmal</v>
      </c>
      <c r="K100" s="23" t="str">
        <f t="shared" si="17"/>
        <v>-</v>
      </c>
      <c r="L100" s="4" t="str">
        <f t="shared" si="18"/>
        <v>-</v>
      </c>
      <c r="M100" s="4" t="str">
        <f t="shared" si="19"/>
        <v>-</v>
      </c>
      <c r="N100" s="4">
        <f t="shared" si="20"/>
        <v>0</v>
      </c>
      <c r="O100" s="23" t="str">
        <f t="shared" si="21"/>
        <v>-</v>
      </c>
      <c r="P100" s="4" t="str">
        <f t="shared" si="22"/>
        <v>-</v>
      </c>
      <c r="Q100" s="4" t="str">
        <f t="shared" si="23"/>
        <v>-</v>
      </c>
      <c r="R100" s="4">
        <f t="shared" si="24"/>
        <v>0</v>
      </c>
      <c r="S100" s="23" t="str">
        <f t="shared" si="25"/>
        <v>-</v>
      </c>
      <c r="T100" s="4" t="str">
        <f t="shared" si="26"/>
        <v>-</v>
      </c>
      <c r="U100" s="4" t="str">
        <f t="shared" si="27"/>
        <v>-</v>
      </c>
      <c r="V100" s="4">
        <f t="shared" si="28"/>
        <v>0</v>
      </c>
      <c r="W100" s="23">
        <f>VLOOKUP(A100,[1]SummaryTable!$A$2:$F$359,4,FALSE)</f>
        <v>51.060436000000003</v>
      </c>
    </row>
    <row r="101" spans="1:23" x14ac:dyDescent="0.25">
      <c r="A101" s="14" t="s">
        <v>201</v>
      </c>
      <c r="B101" s="14" t="str">
        <f t="shared" si="15"/>
        <v>H202</v>
      </c>
      <c r="C101" s="14">
        <v>4</v>
      </c>
      <c r="D101" s="61">
        <v>12</v>
      </c>
      <c r="E101" s="15">
        <f>VLOOKUP(A101,[1]SummaryTable!$A$2:$F$359,2,FALSE)</f>
        <v>6539363.08786688</v>
      </c>
      <c r="F101" s="15">
        <f>VLOOKUP(A101,[1]SummaryTable!$A$2:$F$359,3,FALSE)</f>
        <v>569401.82564115396</v>
      </c>
      <c r="G101" s="62">
        <f t="shared" si="16"/>
        <v>59.879951999999996</v>
      </c>
      <c r="H101" s="4">
        <f>VLOOKUP(A101,[1]SummaryTable!$A$2:$F$359,5,FALSE)</f>
        <v>0.926674893629301</v>
      </c>
      <c r="I101" s="4">
        <f>VLOOKUP(A101,[1]SummaryTable!$A$2:$F$359,6,FALSE)</f>
        <v>7.3325106370699E-2</v>
      </c>
      <c r="J101" s="4" t="str">
        <f>IF(I101&gt;0.1,[2]Processes!$A$6,[2]Processes!$A$5)</f>
        <v>Sawmal</v>
      </c>
      <c r="K101" s="23" t="str">
        <f t="shared" si="17"/>
        <v>-</v>
      </c>
      <c r="L101" s="4" t="str">
        <f t="shared" si="18"/>
        <v>-</v>
      </c>
      <c r="M101" s="4" t="str">
        <f t="shared" si="19"/>
        <v>-</v>
      </c>
      <c r="N101" s="4">
        <f t="shared" si="20"/>
        <v>0</v>
      </c>
      <c r="O101" s="23" t="str">
        <f t="shared" si="21"/>
        <v>-</v>
      </c>
      <c r="P101" s="4" t="str">
        <f t="shared" si="22"/>
        <v>-</v>
      </c>
      <c r="Q101" s="4" t="str">
        <f t="shared" si="23"/>
        <v>-</v>
      </c>
      <c r="R101" s="4">
        <f t="shared" si="24"/>
        <v>0</v>
      </c>
      <c r="S101" s="23" t="str">
        <f t="shared" si="25"/>
        <v>-</v>
      </c>
      <c r="T101" s="4" t="str">
        <f t="shared" si="26"/>
        <v>-</v>
      </c>
      <c r="U101" s="4" t="str">
        <f t="shared" si="27"/>
        <v>-</v>
      </c>
      <c r="V101" s="4">
        <f t="shared" si="28"/>
        <v>0</v>
      </c>
      <c r="W101" s="23">
        <f>VLOOKUP(A101,[1]SummaryTable!$A$2:$F$359,4,FALSE)</f>
        <v>49.89996</v>
      </c>
    </row>
    <row r="102" spans="1:23" x14ac:dyDescent="0.25">
      <c r="A102" s="14" t="s">
        <v>179</v>
      </c>
      <c r="B102" s="14" t="str">
        <f t="shared" si="15"/>
        <v>H180</v>
      </c>
      <c r="C102" s="14">
        <v>4</v>
      </c>
      <c r="D102" s="61">
        <v>12</v>
      </c>
      <c r="E102" s="15">
        <f>VLOOKUP(A102,[1]SummaryTable!$A$2:$F$359,2,FALSE)</f>
        <v>6582933.0809581401</v>
      </c>
      <c r="F102" s="15">
        <f>VLOOKUP(A102,[1]SummaryTable!$A$2:$F$359,3,FALSE)</f>
        <v>615148.41691129596</v>
      </c>
      <c r="G102" s="62">
        <f t="shared" si="16"/>
        <v>59.61204</v>
      </c>
      <c r="H102" s="4">
        <f>VLOOKUP(A102,[1]SummaryTable!$A$2:$F$359,5,FALSE)</f>
        <v>0.92862954605386328</v>
      </c>
      <c r="I102" s="4">
        <f>VLOOKUP(A102,[1]SummaryTable!$A$2:$F$359,6,FALSE)</f>
        <v>7.1370453946136725E-2</v>
      </c>
      <c r="J102" s="4" t="str">
        <f>IF(I102&gt;0.1,[2]Processes!$A$6,[2]Processes!$A$5)</f>
        <v>Sawmal</v>
      </c>
      <c r="K102" s="23" t="str">
        <f t="shared" si="17"/>
        <v>-</v>
      </c>
      <c r="L102" s="4" t="str">
        <f t="shared" si="18"/>
        <v>-</v>
      </c>
      <c r="M102" s="4" t="str">
        <f t="shared" si="19"/>
        <v>-</v>
      </c>
      <c r="N102" s="4">
        <f t="shared" si="20"/>
        <v>0</v>
      </c>
      <c r="O102" s="23" t="str">
        <f t="shared" si="21"/>
        <v>-</v>
      </c>
      <c r="P102" s="4" t="str">
        <f t="shared" si="22"/>
        <v>-</v>
      </c>
      <c r="Q102" s="4" t="str">
        <f t="shared" si="23"/>
        <v>-</v>
      </c>
      <c r="R102" s="4">
        <f t="shared" si="24"/>
        <v>0</v>
      </c>
      <c r="S102" s="23" t="str">
        <f t="shared" si="25"/>
        <v>-</v>
      </c>
      <c r="T102" s="4" t="str">
        <f t="shared" si="26"/>
        <v>-</v>
      </c>
      <c r="U102" s="4" t="str">
        <f t="shared" si="27"/>
        <v>-</v>
      </c>
      <c r="V102" s="4">
        <f t="shared" si="28"/>
        <v>0</v>
      </c>
      <c r="W102" s="23">
        <f>VLOOKUP(A102,[1]SummaryTable!$A$2:$F$359,4,FALSE)</f>
        <v>49.676700000000004</v>
      </c>
    </row>
    <row r="103" spans="1:23" x14ac:dyDescent="0.25">
      <c r="A103" s="14" t="s">
        <v>344</v>
      </c>
      <c r="B103" s="14" t="str">
        <f t="shared" si="15"/>
        <v>H345</v>
      </c>
      <c r="C103" s="14">
        <v>12</v>
      </c>
      <c r="D103" s="61">
        <v>22</v>
      </c>
      <c r="E103" s="15">
        <f>VLOOKUP(A103,[1]SummaryTable!$A$2:$F$359,2,FALSE)</f>
        <v>6219123.6683906</v>
      </c>
      <c r="F103" s="15">
        <f>VLOOKUP(A103,[1]SummaryTable!$A$2:$F$359,3,FALSE)</f>
        <v>400550.08068270597</v>
      </c>
      <c r="G103" s="62">
        <f t="shared" si="16"/>
        <v>57.588000000000001</v>
      </c>
      <c r="H103" s="4">
        <f>VLOOKUP(A103,[1]SummaryTable!$A$2:$F$359,5,FALSE)</f>
        <v>1</v>
      </c>
      <c r="I103" s="4">
        <f>VLOOKUP(A103,[1]SummaryTable!$A$2:$F$359,6,FALSE)</f>
        <v>0</v>
      </c>
      <c r="J103" s="4" t="str">
        <f>IF(I103&gt;0.1,[2]Processes!$A$6,[2]Processes!$A$5)</f>
        <v>Sawmal</v>
      </c>
      <c r="K103" s="23" t="str">
        <f t="shared" si="17"/>
        <v>-</v>
      </c>
      <c r="L103" s="4" t="str">
        <f t="shared" si="18"/>
        <v>-</v>
      </c>
      <c r="M103" s="4" t="str">
        <f t="shared" si="19"/>
        <v>-</v>
      </c>
      <c r="N103" s="4">
        <f t="shared" si="20"/>
        <v>0</v>
      </c>
      <c r="O103" s="23" t="str">
        <f t="shared" si="21"/>
        <v>-</v>
      </c>
      <c r="P103" s="4" t="str">
        <f t="shared" si="22"/>
        <v>-</v>
      </c>
      <c r="Q103" s="4" t="str">
        <f t="shared" si="23"/>
        <v>-</v>
      </c>
      <c r="R103" s="4">
        <f t="shared" si="24"/>
        <v>0</v>
      </c>
      <c r="S103" s="23" t="str">
        <f t="shared" si="25"/>
        <v>-</v>
      </c>
      <c r="T103" s="4" t="str">
        <f t="shared" si="26"/>
        <v>-</v>
      </c>
      <c r="U103" s="4" t="str">
        <f t="shared" si="27"/>
        <v>-</v>
      </c>
      <c r="V103" s="4">
        <f t="shared" si="28"/>
        <v>0</v>
      </c>
      <c r="W103" s="23">
        <f>VLOOKUP(A103,[1]SummaryTable!$A$2:$F$359,4,FALSE)</f>
        <v>47.99</v>
      </c>
    </row>
    <row r="104" spans="1:23" x14ac:dyDescent="0.25">
      <c r="A104" s="14" t="s">
        <v>174</v>
      </c>
      <c r="B104" s="14" t="str">
        <f t="shared" si="15"/>
        <v>H175</v>
      </c>
      <c r="C104" s="14">
        <v>1</v>
      </c>
      <c r="D104" s="61">
        <v>12</v>
      </c>
      <c r="E104" s="15">
        <f>VLOOKUP(A104,[1]SummaryTable!$A$2:$F$359,2,FALSE)</f>
        <v>6588250.2417551801</v>
      </c>
      <c r="F104" s="15">
        <f>VLOOKUP(A104,[1]SummaryTable!$A$2:$F$359,3,FALSE)</f>
        <v>663030.31727310398</v>
      </c>
      <c r="G104" s="62">
        <f t="shared" si="16"/>
        <v>56.4</v>
      </c>
      <c r="H104" s="4">
        <f>VLOOKUP(A104,[1]SummaryTable!$A$2:$F$359,5,FALSE)</f>
        <v>1</v>
      </c>
      <c r="I104" s="4">
        <f>VLOOKUP(A104,[1]SummaryTable!$A$2:$F$359,6,FALSE)</f>
        <v>0</v>
      </c>
      <c r="J104" s="4" t="str">
        <f>IF(I104&gt;0.1,[2]Processes!$A$6,[2]Processes!$A$5)</f>
        <v>Sawmal</v>
      </c>
      <c r="K104" s="23" t="str">
        <f t="shared" si="17"/>
        <v>-</v>
      </c>
      <c r="L104" s="4" t="str">
        <f t="shared" si="18"/>
        <v>-</v>
      </c>
      <c r="M104" s="4" t="str">
        <f t="shared" si="19"/>
        <v>-</v>
      </c>
      <c r="N104" s="4">
        <f t="shared" si="20"/>
        <v>0</v>
      </c>
      <c r="O104" s="23" t="str">
        <f t="shared" si="21"/>
        <v>-</v>
      </c>
      <c r="P104" s="4" t="str">
        <f t="shared" si="22"/>
        <v>-</v>
      </c>
      <c r="Q104" s="4" t="str">
        <f t="shared" si="23"/>
        <v>-</v>
      </c>
      <c r="R104" s="4">
        <f t="shared" si="24"/>
        <v>0</v>
      </c>
      <c r="S104" s="23" t="str">
        <f t="shared" si="25"/>
        <v>-</v>
      </c>
      <c r="T104" s="4" t="str">
        <f t="shared" si="26"/>
        <v>-</v>
      </c>
      <c r="U104" s="4" t="str">
        <f t="shared" si="27"/>
        <v>-</v>
      </c>
      <c r="V104" s="4">
        <f t="shared" si="28"/>
        <v>0</v>
      </c>
      <c r="W104" s="23">
        <f>VLOOKUP(A104,[1]SummaryTable!$A$2:$F$359,4,FALSE)</f>
        <v>47</v>
      </c>
    </row>
    <row r="105" spans="1:23" x14ac:dyDescent="0.25">
      <c r="A105" s="14" t="s">
        <v>182</v>
      </c>
      <c r="B105" s="14" t="str">
        <f t="shared" si="15"/>
        <v>H183</v>
      </c>
      <c r="C105" s="14">
        <v>1</v>
      </c>
      <c r="D105" s="61">
        <v>12</v>
      </c>
      <c r="E105" s="15">
        <f>VLOOKUP(A105,[1]SummaryTable!$A$2:$F$359,2,FALSE)</f>
        <v>6581384.0617712401</v>
      </c>
      <c r="F105" s="15">
        <f>VLOOKUP(A105,[1]SummaryTable!$A$2:$F$359,3,FALSE)</f>
        <v>692633.83456328104</v>
      </c>
      <c r="G105" s="62">
        <f t="shared" si="16"/>
        <v>56.363999999999997</v>
      </c>
      <c r="H105" s="4">
        <f>VLOOKUP(A105,[1]SummaryTable!$A$2:$F$359,5,FALSE)</f>
        <v>1</v>
      </c>
      <c r="I105" s="4">
        <f>VLOOKUP(A105,[1]SummaryTable!$A$2:$F$359,6,FALSE)</f>
        <v>0</v>
      </c>
      <c r="J105" s="4" t="str">
        <f>IF(I105&gt;0.1,[2]Processes!$A$6,[2]Processes!$A$5)</f>
        <v>Sawmal</v>
      </c>
      <c r="K105" s="23" t="str">
        <f t="shared" si="17"/>
        <v>-</v>
      </c>
      <c r="L105" s="4" t="str">
        <f t="shared" si="18"/>
        <v>-</v>
      </c>
      <c r="M105" s="4" t="str">
        <f t="shared" si="19"/>
        <v>-</v>
      </c>
      <c r="N105" s="4">
        <f t="shared" si="20"/>
        <v>0</v>
      </c>
      <c r="O105" s="23" t="str">
        <f t="shared" si="21"/>
        <v>-</v>
      </c>
      <c r="P105" s="4" t="str">
        <f t="shared" si="22"/>
        <v>-</v>
      </c>
      <c r="Q105" s="4" t="str">
        <f t="shared" si="23"/>
        <v>-</v>
      </c>
      <c r="R105" s="4">
        <f t="shared" si="24"/>
        <v>0</v>
      </c>
      <c r="S105" s="23" t="str">
        <f t="shared" si="25"/>
        <v>-</v>
      </c>
      <c r="T105" s="4" t="str">
        <f t="shared" si="26"/>
        <v>-</v>
      </c>
      <c r="U105" s="4" t="str">
        <f t="shared" si="27"/>
        <v>-</v>
      </c>
      <c r="V105" s="4">
        <f t="shared" si="28"/>
        <v>0</v>
      </c>
      <c r="W105" s="23">
        <f>VLOOKUP(A105,[1]SummaryTable!$A$2:$F$359,4,FALSE)</f>
        <v>46.97</v>
      </c>
    </row>
    <row r="106" spans="1:23" x14ac:dyDescent="0.25">
      <c r="A106" s="14" t="s">
        <v>106</v>
      </c>
      <c r="B106" s="14" t="str">
        <f t="shared" si="15"/>
        <v>H107</v>
      </c>
      <c r="C106" s="14">
        <v>21</v>
      </c>
      <c r="D106" s="61">
        <v>31</v>
      </c>
      <c r="E106" s="15">
        <f>VLOOKUP(A106,[1]SummaryTable!$A$2:$F$359,2,FALSE)</f>
        <v>6803247.0547590898</v>
      </c>
      <c r="F106" s="15">
        <f>VLOOKUP(A106,[1]SummaryTable!$A$2:$F$359,3,FALSE)</f>
        <v>543724.78329123696</v>
      </c>
      <c r="G106" s="62">
        <f t="shared" si="16"/>
        <v>54.217799999999997</v>
      </c>
      <c r="H106" s="4">
        <f>VLOOKUP(A106,[1]SummaryTable!$A$2:$F$359,5,FALSE)</f>
        <v>1</v>
      </c>
      <c r="I106" s="4">
        <f>VLOOKUP(A106,[1]SummaryTable!$A$2:$F$359,6,FALSE)</f>
        <v>0</v>
      </c>
      <c r="J106" s="4" t="str">
        <f>IF(I106&gt;0.1,[2]Processes!$A$6,[2]Processes!$A$5)</f>
        <v>Sawmal</v>
      </c>
      <c r="K106" s="23" t="str">
        <f t="shared" si="17"/>
        <v>-</v>
      </c>
      <c r="L106" s="4" t="str">
        <f t="shared" si="18"/>
        <v>-</v>
      </c>
      <c r="M106" s="4" t="str">
        <f t="shared" si="19"/>
        <v>-</v>
      </c>
      <c r="N106" s="4">
        <f t="shared" si="20"/>
        <v>0</v>
      </c>
      <c r="O106" s="23" t="str">
        <f t="shared" si="21"/>
        <v>-</v>
      </c>
      <c r="P106" s="4" t="str">
        <f t="shared" si="22"/>
        <v>-</v>
      </c>
      <c r="Q106" s="4" t="str">
        <f t="shared" si="23"/>
        <v>-</v>
      </c>
      <c r="R106" s="4">
        <f t="shared" si="24"/>
        <v>0</v>
      </c>
      <c r="S106" s="23" t="str">
        <f t="shared" si="25"/>
        <v>-</v>
      </c>
      <c r="T106" s="4" t="str">
        <f t="shared" si="26"/>
        <v>-</v>
      </c>
      <c r="U106" s="4" t="str">
        <f t="shared" si="27"/>
        <v>-</v>
      </c>
      <c r="V106" s="4">
        <f t="shared" si="28"/>
        <v>0</v>
      </c>
      <c r="W106" s="23">
        <f>VLOOKUP(A106,[1]SummaryTable!$A$2:$F$359,4,FALSE)</f>
        <v>45.1815</v>
      </c>
    </row>
    <row r="107" spans="1:23" x14ac:dyDescent="0.25">
      <c r="A107" s="14" t="s">
        <v>238</v>
      </c>
      <c r="B107" s="14" t="str">
        <f t="shared" si="15"/>
        <v>H239</v>
      </c>
      <c r="C107" s="14">
        <v>14</v>
      </c>
      <c r="D107" s="61">
        <v>23</v>
      </c>
      <c r="E107" s="15">
        <f>VLOOKUP(A107,[1]SummaryTable!$A$2:$F$359,2,FALSE)</f>
        <v>6456080.9095016504</v>
      </c>
      <c r="F107" s="15">
        <f>VLOOKUP(A107,[1]SummaryTable!$A$2:$F$359,3,FALSE)</f>
        <v>380334.58423816698</v>
      </c>
      <c r="G107" s="62">
        <f t="shared" si="16"/>
        <v>53.247384000000004</v>
      </c>
      <c r="H107" s="4">
        <f>VLOOKUP(A107,[1]SummaryTable!$A$2:$F$359,5,FALSE)</f>
        <v>1</v>
      </c>
      <c r="I107" s="4">
        <f>VLOOKUP(A107,[1]SummaryTable!$A$2:$F$359,6,FALSE)</f>
        <v>0</v>
      </c>
      <c r="J107" s="4" t="str">
        <f>IF(I107&gt;0.1,[2]Processes!$A$6,[2]Processes!$A$5)</f>
        <v>Sawmal</v>
      </c>
      <c r="K107" s="23" t="str">
        <f t="shared" si="17"/>
        <v>-</v>
      </c>
      <c r="L107" s="4" t="str">
        <f t="shared" si="18"/>
        <v>-</v>
      </c>
      <c r="M107" s="4" t="str">
        <f t="shared" si="19"/>
        <v>-</v>
      </c>
      <c r="N107" s="4">
        <f t="shared" si="20"/>
        <v>0</v>
      </c>
      <c r="O107" s="23" t="str">
        <f t="shared" si="21"/>
        <v>-</v>
      </c>
      <c r="P107" s="4" t="str">
        <f t="shared" si="22"/>
        <v>-</v>
      </c>
      <c r="Q107" s="4" t="str">
        <f t="shared" si="23"/>
        <v>-</v>
      </c>
      <c r="R107" s="4">
        <f t="shared" si="24"/>
        <v>0</v>
      </c>
      <c r="S107" s="23" t="str">
        <f t="shared" si="25"/>
        <v>-</v>
      </c>
      <c r="T107" s="4" t="str">
        <f t="shared" si="26"/>
        <v>-</v>
      </c>
      <c r="U107" s="4" t="str">
        <f t="shared" si="27"/>
        <v>-</v>
      </c>
      <c r="V107" s="4">
        <f t="shared" si="28"/>
        <v>0</v>
      </c>
      <c r="W107" s="23">
        <f>VLOOKUP(A107,[1]SummaryTable!$A$2:$F$359,4,FALSE)</f>
        <v>44.372820000000004</v>
      </c>
    </row>
    <row r="108" spans="1:23" x14ac:dyDescent="0.25">
      <c r="A108" s="14" t="s">
        <v>332</v>
      </c>
      <c r="B108" s="14" t="str">
        <f t="shared" si="15"/>
        <v>H333</v>
      </c>
      <c r="C108" s="14">
        <v>10</v>
      </c>
      <c r="D108" s="61">
        <v>22</v>
      </c>
      <c r="E108" s="15">
        <f>VLOOKUP(A108,[1]SummaryTable!$A$2:$F$359,2,FALSE)</f>
        <v>6235053.9696700601</v>
      </c>
      <c r="F108" s="15">
        <f>VLOOKUP(A108,[1]SummaryTable!$A$2:$F$359,3,FALSE)</f>
        <v>470672.33724211802</v>
      </c>
      <c r="G108" s="62">
        <f t="shared" si="16"/>
        <v>53.195999999999998</v>
      </c>
      <c r="H108" s="4">
        <f>VLOOKUP(A108,[1]SummaryTable!$A$2:$F$359,5,FALSE)</f>
        <v>1</v>
      </c>
      <c r="I108" s="4">
        <f>VLOOKUP(A108,[1]SummaryTable!$A$2:$F$359,6,FALSE)</f>
        <v>0</v>
      </c>
      <c r="J108" s="4" t="str">
        <f>IF(I108&gt;0.1,[2]Processes!$A$6,[2]Processes!$A$5)</f>
        <v>Sawmal</v>
      </c>
      <c r="K108" s="23" t="str">
        <f t="shared" si="17"/>
        <v>-</v>
      </c>
      <c r="L108" s="4" t="str">
        <f t="shared" si="18"/>
        <v>-</v>
      </c>
      <c r="M108" s="4" t="str">
        <f t="shared" si="19"/>
        <v>-</v>
      </c>
      <c r="N108" s="4">
        <f t="shared" si="20"/>
        <v>0</v>
      </c>
      <c r="O108" s="23" t="str">
        <f t="shared" si="21"/>
        <v>-</v>
      </c>
      <c r="P108" s="4" t="str">
        <f t="shared" si="22"/>
        <v>-</v>
      </c>
      <c r="Q108" s="4" t="str">
        <f t="shared" si="23"/>
        <v>-</v>
      </c>
      <c r="R108" s="4">
        <f t="shared" si="24"/>
        <v>0</v>
      </c>
      <c r="S108" s="23" t="str">
        <f t="shared" si="25"/>
        <v>-</v>
      </c>
      <c r="T108" s="4" t="str">
        <f t="shared" si="26"/>
        <v>-</v>
      </c>
      <c r="U108" s="4" t="str">
        <f t="shared" si="27"/>
        <v>-</v>
      </c>
      <c r="V108" s="4">
        <f t="shared" si="28"/>
        <v>0</v>
      </c>
      <c r="W108" s="23">
        <f>VLOOKUP(A108,[1]SummaryTable!$A$2:$F$359,4,FALSE)</f>
        <v>44.33</v>
      </c>
    </row>
    <row r="109" spans="1:23" x14ac:dyDescent="0.25">
      <c r="A109" s="14" t="s">
        <v>190</v>
      </c>
      <c r="B109" s="14" t="str">
        <f t="shared" si="15"/>
        <v>H191</v>
      </c>
      <c r="C109" s="14">
        <v>18</v>
      </c>
      <c r="D109" s="61">
        <v>12</v>
      </c>
      <c r="E109" s="15">
        <f>VLOOKUP(A109,[1]SummaryTable!$A$2:$F$359,2,FALSE)</f>
        <v>6563924.7894626204</v>
      </c>
      <c r="F109" s="15">
        <f>VLOOKUP(A109,[1]SummaryTable!$A$2:$F$359,3,FALSE)</f>
        <v>467500.55891205597</v>
      </c>
      <c r="G109" s="62">
        <f t="shared" si="16"/>
        <v>52.853999999999999</v>
      </c>
      <c r="H109" s="4">
        <f>VLOOKUP(A109,[1]SummaryTable!$A$2:$F$359,5,FALSE)</f>
        <v>1</v>
      </c>
      <c r="I109" s="4">
        <f>VLOOKUP(A109,[1]SummaryTable!$A$2:$F$359,6,FALSE)</f>
        <v>0</v>
      </c>
      <c r="J109" s="4" t="str">
        <f>IF(I109&gt;0.1,[2]Processes!$A$6,[2]Processes!$A$5)</f>
        <v>Sawmal</v>
      </c>
      <c r="K109" s="23" t="str">
        <f t="shared" si="17"/>
        <v>-</v>
      </c>
      <c r="L109" s="4" t="str">
        <f t="shared" si="18"/>
        <v>-</v>
      </c>
      <c r="M109" s="4" t="str">
        <f t="shared" si="19"/>
        <v>-</v>
      </c>
      <c r="N109" s="4">
        <f t="shared" si="20"/>
        <v>0</v>
      </c>
      <c r="O109" s="23" t="str">
        <f t="shared" si="21"/>
        <v>-</v>
      </c>
      <c r="P109" s="4" t="str">
        <f t="shared" si="22"/>
        <v>-</v>
      </c>
      <c r="Q109" s="4" t="str">
        <f t="shared" si="23"/>
        <v>-</v>
      </c>
      <c r="R109" s="4">
        <f t="shared" si="24"/>
        <v>0</v>
      </c>
      <c r="S109" s="23" t="str">
        <f t="shared" si="25"/>
        <v>-</v>
      </c>
      <c r="T109" s="4" t="str">
        <f t="shared" si="26"/>
        <v>-</v>
      </c>
      <c r="U109" s="4" t="str">
        <f t="shared" si="27"/>
        <v>-</v>
      </c>
      <c r="V109" s="4">
        <f t="shared" si="28"/>
        <v>0</v>
      </c>
      <c r="W109" s="23">
        <f>VLOOKUP(A109,[1]SummaryTable!$A$2:$F$359,4,FALSE)</f>
        <v>44.045000000000002</v>
      </c>
    </row>
    <row r="110" spans="1:23" x14ac:dyDescent="0.25">
      <c r="A110" s="14" t="s">
        <v>41</v>
      </c>
      <c r="B110" s="14" t="str">
        <f t="shared" si="15"/>
        <v>H42</v>
      </c>
      <c r="C110" s="14">
        <v>25</v>
      </c>
      <c r="D110" s="61">
        <v>33</v>
      </c>
      <c r="E110" s="15">
        <f>VLOOKUP(A110,[1]SummaryTable!$A$2:$F$359,2,FALSE)</f>
        <v>7395466.4754984798</v>
      </c>
      <c r="F110" s="15">
        <f>VLOOKUP(A110,[1]SummaryTable!$A$2:$F$359,3,FALSE)</f>
        <v>714800.57508422097</v>
      </c>
      <c r="G110" s="62">
        <f t="shared" si="16"/>
        <v>52.8</v>
      </c>
      <c r="H110" s="4">
        <f>VLOOKUP(A110,[1]SummaryTable!$A$2:$F$359,5,FALSE)</f>
        <v>1</v>
      </c>
      <c r="I110" s="4">
        <f>VLOOKUP(A110,[1]SummaryTable!$A$2:$F$359,6,FALSE)</f>
        <v>0</v>
      </c>
      <c r="J110" s="4" t="str">
        <f>IF(I110&gt;0.1,[2]Processes!$A$6,[2]Processes!$A$5)</f>
        <v>Sawmal</v>
      </c>
      <c r="K110" s="23" t="str">
        <f t="shared" si="17"/>
        <v>-</v>
      </c>
      <c r="L110" s="4" t="str">
        <f t="shared" si="18"/>
        <v>-</v>
      </c>
      <c r="M110" s="4" t="str">
        <f t="shared" si="19"/>
        <v>-</v>
      </c>
      <c r="N110" s="4">
        <f t="shared" si="20"/>
        <v>0</v>
      </c>
      <c r="O110" s="23" t="str">
        <f t="shared" si="21"/>
        <v>-</v>
      </c>
      <c r="P110" s="4" t="str">
        <f t="shared" si="22"/>
        <v>-</v>
      </c>
      <c r="Q110" s="4" t="str">
        <f t="shared" si="23"/>
        <v>-</v>
      </c>
      <c r="R110" s="4">
        <f t="shared" si="24"/>
        <v>0</v>
      </c>
      <c r="S110" s="23" t="str">
        <f t="shared" si="25"/>
        <v>-</v>
      </c>
      <c r="T110" s="4" t="str">
        <f t="shared" si="26"/>
        <v>-</v>
      </c>
      <c r="U110" s="4" t="str">
        <f t="shared" si="27"/>
        <v>-</v>
      </c>
      <c r="V110" s="4">
        <f t="shared" si="28"/>
        <v>0</v>
      </c>
      <c r="W110" s="23">
        <f>VLOOKUP(A110,[1]SummaryTable!$A$2:$F$359,4,FALSE)</f>
        <v>44</v>
      </c>
    </row>
    <row r="111" spans="1:23" x14ac:dyDescent="0.25">
      <c r="A111" s="14" t="s">
        <v>54</v>
      </c>
      <c r="B111" s="14" t="str">
        <f t="shared" si="15"/>
        <v>H55</v>
      </c>
      <c r="C111" s="14">
        <v>24</v>
      </c>
      <c r="D111" s="61">
        <v>33</v>
      </c>
      <c r="E111" s="15">
        <f>VLOOKUP(A111,[1]SummaryTable!$A$2:$F$359,2,FALSE)</f>
        <v>7219718.5976614896</v>
      </c>
      <c r="F111" s="15">
        <f>VLOOKUP(A111,[1]SummaryTable!$A$2:$F$359,3,FALSE)</f>
        <v>599326.87958215806</v>
      </c>
      <c r="G111" s="62">
        <f t="shared" si="16"/>
        <v>52.354799999999997</v>
      </c>
      <c r="H111" s="4">
        <f>VLOOKUP(A111,[1]SummaryTable!$A$2:$F$359,5,FALSE)</f>
        <v>1</v>
      </c>
      <c r="I111" s="4">
        <f>VLOOKUP(A111,[1]SummaryTable!$A$2:$F$359,6,FALSE)</f>
        <v>0</v>
      </c>
      <c r="J111" s="4" t="str">
        <f>IF(I111&gt;0.1,[2]Processes!$A$6,[2]Processes!$A$5)</f>
        <v>Sawmal</v>
      </c>
      <c r="K111" s="23" t="str">
        <f t="shared" si="17"/>
        <v>-</v>
      </c>
      <c r="L111" s="4" t="str">
        <f t="shared" si="18"/>
        <v>-</v>
      </c>
      <c r="M111" s="4" t="str">
        <f t="shared" si="19"/>
        <v>-</v>
      </c>
      <c r="N111" s="4">
        <f t="shared" si="20"/>
        <v>0</v>
      </c>
      <c r="O111" s="23" t="str">
        <f t="shared" si="21"/>
        <v>-</v>
      </c>
      <c r="P111" s="4" t="str">
        <f t="shared" si="22"/>
        <v>-</v>
      </c>
      <c r="Q111" s="4" t="str">
        <f t="shared" si="23"/>
        <v>-</v>
      </c>
      <c r="R111" s="4">
        <f t="shared" si="24"/>
        <v>0</v>
      </c>
      <c r="S111" s="23" t="str">
        <f t="shared" si="25"/>
        <v>-</v>
      </c>
      <c r="T111" s="4" t="str">
        <f t="shared" si="26"/>
        <v>-</v>
      </c>
      <c r="U111" s="4" t="str">
        <f t="shared" si="27"/>
        <v>-</v>
      </c>
      <c r="V111" s="4">
        <f t="shared" si="28"/>
        <v>0</v>
      </c>
      <c r="W111" s="23">
        <f>VLOOKUP(A111,[1]SummaryTable!$A$2:$F$359,4,FALSE)</f>
        <v>43.628999999999998</v>
      </c>
    </row>
    <row r="112" spans="1:23" x14ac:dyDescent="0.25">
      <c r="A112" s="14" t="s">
        <v>237</v>
      </c>
      <c r="B112" s="14" t="str">
        <f t="shared" si="15"/>
        <v>H238</v>
      </c>
      <c r="C112" s="14">
        <v>14</v>
      </c>
      <c r="D112" s="61">
        <v>23</v>
      </c>
      <c r="E112" s="15">
        <f>VLOOKUP(A112,[1]SummaryTable!$A$2:$F$359,2,FALSE)</f>
        <v>6459858.0717770597</v>
      </c>
      <c r="F112" s="15">
        <f>VLOOKUP(A112,[1]SummaryTable!$A$2:$F$359,3,FALSE)</f>
        <v>458310.85179008899</v>
      </c>
      <c r="G112" s="62">
        <f t="shared" si="16"/>
        <v>51.359999999999992</v>
      </c>
      <c r="H112" s="4">
        <f>VLOOKUP(A112,[1]SummaryTable!$A$2:$F$359,5,FALSE)</f>
        <v>1</v>
      </c>
      <c r="I112" s="4">
        <f>VLOOKUP(A112,[1]SummaryTable!$A$2:$F$359,6,FALSE)</f>
        <v>0</v>
      </c>
      <c r="J112" s="4" t="str">
        <f>IF(I112&gt;0.1,[2]Processes!$A$6,[2]Processes!$A$5)</f>
        <v>Sawmal</v>
      </c>
      <c r="K112" s="23" t="str">
        <f t="shared" si="17"/>
        <v>-</v>
      </c>
      <c r="L112" s="4" t="str">
        <f t="shared" si="18"/>
        <v>-</v>
      </c>
      <c r="M112" s="4" t="str">
        <f t="shared" si="19"/>
        <v>-</v>
      </c>
      <c r="N112" s="4">
        <f t="shared" si="20"/>
        <v>0</v>
      </c>
      <c r="O112" s="23" t="str">
        <f t="shared" si="21"/>
        <v>-</v>
      </c>
      <c r="P112" s="4" t="str">
        <f t="shared" si="22"/>
        <v>-</v>
      </c>
      <c r="Q112" s="4" t="str">
        <f t="shared" si="23"/>
        <v>-</v>
      </c>
      <c r="R112" s="4">
        <f t="shared" si="24"/>
        <v>0</v>
      </c>
      <c r="S112" s="23" t="str">
        <f t="shared" si="25"/>
        <v>-</v>
      </c>
      <c r="T112" s="4" t="str">
        <f t="shared" si="26"/>
        <v>-</v>
      </c>
      <c r="U112" s="4" t="str">
        <f t="shared" si="27"/>
        <v>-</v>
      </c>
      <c r="V112" s="4">
        <f t="shared" si="28"/>
        <v>0</v>
      </c>
      <c r="W112" s="23">
        <f>VLOOKUP(A112,[1]SummaryTable!$A$2:$F$359,4,FALSE)</f>
        <v>42.8</v>
      </c>
    </row>
    <row r="113" spans="1:23" x14ac:dyDescent="0.25">
      <c r="A113" s="14" t="s">
        <v>199</v>
      </c>
      <c r="B113" s="14" t="str">
        <f t="shared" si="15"/>
        <v>H200</v>
      </c>
      <c r="C113" s="14">
        <v>14</v>
      </c>
      <c r="D113" s="61">
        <v>23</v>
      </c>
      <c r="E113" s="15">
        <f>VLOOKUP(A113,[1]SummaryTable!$A$2:$F$359,2,FALSE)</f>
        <v>6544397.8065401101</v>
      </c>
      <c r="F113" s="15">
        <f>VLOOKUP(A113,[1]SummaryTable!$A$2:$F$359,3,FALSE)</f>
        <v>367986.565930599</v>
      </c>
      <c r="G113" s="62">
        <f t="shared" si="16"/>
        <v>51.083999999999996</v>
      </c>
      <c r="H113" s="4">
        <f>VLOOKUP(A113,[1]SummaryTable!$A$2:$F$359,5,FALSE)</f>
        <v>1</v>
      </c>
      <c r="I113" s="4">
        <f>VLOOKUP(A113,[1]SummaryTable!$A$2:$F$359,6,FALSE)</f>
        <v>0</v>
      </c>
      <c r="J113" s="4" t="str">
        <f>IF(I113&gt;0.1,[2]Processes!$A$6,[2]Processes!$A$5)</f>
        <v>Sawmal</v>
      </c>
      <c r="K113" s="23" t="str">
        <f t="shared" si="17"/>
        <v>-</v>
      </c>
      <c r="L113" s="4" t="str">
        <f t="shared" si="18"/>
        <v>-</v>
      </c>
      <c r="M113" s="4" t="str">
        <f t="shared" si="19"/>
        <v>-</v>
      </c>
      <c r="N113" s="4">
        <f t="shared" si="20"/>
        <v>0</v>
      </c>
      <c r="O113" s="23" t="str">
        <f t="shared" si="21"/>
        <v>-</v>
      </c>
      <c r="P113" s="4" t="str">
        <f t="shared" si="22"/>
        <v>-</v>
      </c>
      <c r="Q113" s="4" t="str">
        <f t="shared" si="23"/>
        <v>-</v>
      </c>
      <c r="R113" s="4">
        <f t="shared" si="24"/>
        <v>0</v>
      </c>
      <c r="S113" s="23" t="str">
        <f t="shared" si="25"/>
        <v>-</v>
      </c>
      <c r="T113" s="4" t="str">
        <f t="shared" si="26"/>
        <v>-</v>
      </c>
      <c r="U113" s="4" t="str">
        <f t="shared" si="27"/>
        <v>-</v>
      </c>
      <c r="V113" s="4">
        <f t="shared" si="28"/>
        <v>0</v>
      </c>
      <c r="W113" s="23">
        <f>VLOOKUP(A113,[1]SummaryTable!$A$2:$F$359,4,FALSE)</f>
        <v>42.57</v>
      </c>
    </row>
    <row r="114" spans="1:23" x14ac:dyDescent="0.25">
      <c r="A114" s="14" t="s">
        <v>165</v>
      </c>
      <c r="B114" s="14" t="str">
        <f t="shared" si="15"/>
        <v>H166</v>
      </c>
      <c r="C114" s="14">
        <v>1</v>
      </c>
      <c r="D114" s="61">
        <v>12</v>
      </c>
      <c r="E114" s="15">
        <f>VLOOKUP(A114,[1]SummaryTable!$A$2:$F$359,2,FALSE)</f>
        <v>6599637.5391512904</v>
      </c>
      <c r="F114" s="15">
        <f>VLOOKUP(A114,[1]SummaryTable!$A$2:$F$359,3,FALSE)</f>
        <v>649538.68097547803</v>
      </c>
      <c r="G114" s="62">
        <f t="shared" si="16"/>
        <v>48.480000000000004</v>
      </c>
      <c r="H114" s="4">
        <f>VLOOKUP(A114,[1]SummaryTable!$A$2:$F$359,5,FALSE)</f>
        <v>1</v>
      </c>
      <c r="I114" s="4">
        <f>VLOOKUP(A114,[1]SummaryTable!$A$2:$F$359,6,FALSE)</f>
        <v>0</v>
      </c>
      <c r="J114" s="4" t="str">
        <f>IF(I114&gt;0.1,[2]Processes!$A$6,[2]Processes!$A$5)</f>
        <v>Sawmal</v>
      </c>
      <c r="K114" s="23" t="str">
        <f t="shared" si="17"/>
        <v>-</v>
      </c>
      <c r="L114" s="4" t="str">
        <f t="shared" si="18"/>
        <v>-</v>
      </c>
      <c r="M114" s="4" t="str">
        <f t="shared" si="19"/>
        <v>-</v>
      </c>
      <c r="N114" s="4">
        <f t="shared" si="20"/>
        <v>0</v>
      </c>
      <c r="O114" s="23" t="str">
        <f t="shared" si="21"/>
        <v>-</v>
      </c>
      <c r="P114" s="4" t="str">
        <f t="shared" si="22"/>
        <v>-</v>
      </c>
      <c r="Q114" s="4" t="str">
        <f t="shared" si="23"/>
        <v>-</v>
      </c>
      <c r="R114" s="4">
        <f t="shared" si="24"/>
        <v>0</v>
      </c>
      <c r="S114" s="23" t="str">
        <f t="shared" si="25"/>
        <v>-</v>
      </c>
      <c r="T114" s="4" t="str">
        <f t="shared" si="26"/>
        <v>-</v>
      </c>
      <c r="U114" s="4" t="str">
        <f t="shared" si="27"/>
        <v>-</v>
      </c>
      <c r="V114" s="4">
        <f t="shared" si="28"/>
        <v>0</v>
      </c>
      <c r="W114" s="23">
        <f>VLOOKUP(A114,[1]SummaryTable!$A$2:$F$359,4,FALSE)</f>
        <v>40.400000000000006</v>
      </c>
    </row>
    <row r="115" spans="1:23" x14ac:dyDescent="0.25">
      <c r="A115" s="14" t="s">
        <v>115</v>
      </c>
      <c r="B115" s="14" t="str">
        <f t="shared" si="15"/>
        <v>H116</v>
      </c>
      <c r="C115" s="14">
        <v>20</v>
      </c>
      <c r="D115" s="61">
        <v>31</v>
      </c>
      <c r="E115" s="15">
        <f>VLOOKUP(A115,[1]SummaryTable!$A$2:$F$359,2,FALSE)</f>
        <v>6730908.7539162198</v>
      </c>
      <c r="F115" s="15">
        <f>VLOOKUP(A115,[1]SummaryTable!$A$2:$F$359,3,FALSE)</f>
        <v>500195.14087190601</v>
      </c>
      <c r="G115" s="62">
        <f t="shared" si="16"/>
        <v>48.001199999999997</v>
      </c>
      <c r="H115" s="4">
        <f>VLOOKUP(A115,[1]SummaryTable!$A$2:$F$359,5,FALSE)</f>
        <v>1</v>
      </c>
      <c r="I115" s="4">
        <f>VLOOKUP(A115,[1]SummaryTable!$A$2:$F$359,6,FALSE)</f>
        <v>0</v>
      </c>
      <c r="J115" s="4" t="str">
        <f>IF(I115&gt;0.1,[2]Processes!$A$6,[2]Processes!$A$5)</f>
        <v>Sawmal</v>
      </c>
      <c r="K115" s="23" t="str">
        <f t="shared" si="17"/>
        <v>-</v>
      </c>
      <c r="L115" s="4" t="str">
        <f t="shared" si="18"/>
        <v>-</v>
      </c>
      <c r="M115" s="4" t="str">
        <f t="shared" si="19"/>
        <v>-</v>
      </c>
      <c r="N115" s="4">
        <f t="shared" si="20"/>
        <v>0</v>
      </c>
      <c r="O115" s="23" t="str">
        <f t="shared" si="21"/>
        <v>-</v>
      </c>
      <c r="P115" s="4" t="str">
        <f t="shared" si="22"/>
        <v>-</v>
      </c>
      <c r="Q115" s="4" t="str">
        <f t="shared" si="23"/>
        <v>-</v>
      </c>
      <c r="R115" s="4">
        <f t="shared" si="24"/>
        <v>0</v>
      </c>
      <c r="S115" s="23" t="str">
        <f t="shared" si="25"/>
        <v>-</v>
      </c>
      <c r="T115" s="4" t="str">
        <f t="shared" si="26"/>
        <v>-</v>
      </c>
      <c r="U115" s="4" t="str">
        <f t="shared" si="27"/>
        <v>-</v>
      </c>
      <c r="V115" s="4">
        <f t="shared" si="28"/>
        <v>0</v>
      </c>
      <c r="W115" s="23">
        <f>VLOOKUP(A115,[1]SummaryTable!$A$2:$F$359,4,FALSE)</f>
        <v>40.000999999999998</v>
      </c>
    </row>
    <row r="116" spans="1:23" x14ac:dyDescent="0.25">
      <c r="A116" s="14" t="s">
        <v>27</v>
      </c>
      <c r="B116" s="14" t="str">
        <f t="shared" si="15"/>
        <v>H28</v>
      </c>
      <c r="C116" s="14">
        <v>8</v>
      </c>
      <c r="D116" s="61">
        <v>21</v>
      </c>
      <c r="E116" s="15">
        <f>VLOOKUP(A116,[1]SummaryTable!$A$2:$F$359,2,FALSE)</f>
        <v>6372078.0240000002</v>
      </c>
      <c r="F116" s="15">
        <f>VLOOKUP(A116,[1]SummaryTable!$A$2:$F$359,3,FALSE)</f>
        <v>549539.21400000004</v>
      </c>
      <c r="G116" s="62">
        <f t="shared" si="16"/>
        <v>47.872799999999998</v>
      </c>
      <c r="H116" s="4">
        <f>VLOOKUP(A116,[1]SummaryTable!$A$2:$F$359,5,FALSE)</f>
        <v>1</v>
      </c>
      <c r="I116" s="4">
        <f>VLOOKUP(A116,[1]SummaryTable!$A$2:$F$359,6,FALSE)</f>
        <v>0</v>
      </c>
      <c r="J116" s="4" t="str">
        <f>IF(I116&gt;0.1,[2]Processes!$A$6,[2]Processes!$A$5)</f>
        <v>Sawmal</v>
      </c>
      <c r="K116" s="23" t="str">
        <f t="shared" si="17"/>
        <v>-</v>
      </c>
      <c r="L116" s="4" t="str">
        <f t="shared" si="18"/>
        <v>-</v>
      </c>
      <c r="M116" s="4" t="str">
        <f t="shared" si="19"/>
        <v>-</v>
      </c>
      <c r="N116" s="4">
        <f t="shared" si="20"/>
        <v>0</v>
      </c>
      <c r="O116" s="23" t="str">
        <f t="shared" si="21"/>
        <v>-</v>
      </c>
      <c r="P116" s="4" t="str">
        <f t="shared" si="22"/>
        <v>-</v>
      </c>
      <c r="Q116" s="4" t="str">
        <f t="shared" si="23"/>
        <v>-</v>
      </c>
      <c r="R116" s="4">
        <f t="shared" si="24"/>
        <v>0</v>
      </c>
      <c r="S116" s="23" t="str">
        <f t="shared" si="25"/>
        <v>-</v>
      </c>
      <c r="T116" s="4" t="str">
        <f t="shared" si="26"/>
        <v>-</v>
      </c>
      <c r="U116" s="4" t="str">
        <f t="shared" si="27"/>
        <v>-</v>
      </c>
      <c r="V116" s="4">
        <f t="shared" si="28"/>
        <v>0</v>
      </c>
      <c r="W116" s="23">
        <f>VLOOKUP(A116,[1]SummaryTable!$A$2:$F$359,4,FALSE)</f>
        <v>39.893999999999998</v>
      </c>
    </row>
    <row r="117" spans="1:23" x14ac:dyDescent="0.25">
      <c r="A117" s="14" t="s">
        <v>211</v>
      </c>
      <c r="B117" s="14" t="str">
        <f t="shared" si="15"/>
        <v>H212</v>
      </c>
      <c r="C117" s="14">
        <v>5</v>
      </c>
      <c r="D117" s="61">
        <v>12</v>
      </c>
      <c r="E117" s="15">
        <f>VLOOKUP(A117,[1]SummaryTable!$A$2:$F$359,2,FALSE)</f>
        <v>6505697.2930237101</v>
      </c>
      <c r="F117" s="15">
        <f>VLOOKUP(A117,[1]SummaryTable!$A$2:$F$359,3,FALSE)</f>
        <v>546600.07211426401</v>
      </c>
      <c r="G117" s="62">
        <f t="shared" si="16"/>
        <v>46.440000000000005</v>
      </c>
      <c r="H117" s="4">
        <f>VLOOKUP(A117,[1]SummaryTable!$A$2:$F$359,5,FALSE)</f>
        <v>1</v>
      </c>
      <c r="I117" s="4">
        <f>VLOOKUP(A117,[1]SummaryTable!$A$2:$F$359,6,FALSE)</f>
        <v>0</v>
      </c>
      <c r="J117" s="4" t="str">
        <f>IF(I117&gt;0.1,[2]Processes!$A$6,[2]Processes!$A$5)</f>
        <v>Sawmal</v>
      </c>
      <c r="K117" s="23" t="str">
        <f t="shared" si="17"/>
        <v>-</v>
      </c>
      <c r="L117" s="4" t="str">
        <f t="shared" si="18"/>
        <v>-</v>
      </c>
      <c r="M117" s="4" t="str">
        <f t="shared" si="19"/>
        <v>-</v>
      </c>
      <c r="N117" s="4">
        <f t="shared" si="20"/>
        <v>0</v>
      </c>
      <c r="O117" s="23" t="str">
        <f t="shared" si="21"/>
        <v>-</v>
      </c>
      <c r="P117" s="4" t="str">
        <f t="shared" si="22"/>
        <v>-</v>
      </c>
      <c r="Q117" s="4" t="str">
        <f t="shared" si="23"/>
        <v>-</v>
      </c>
      <c r="R117" s="4">
        <f t="shared" si="24"/>
        <v>0</v>
      </c>
      <c r="S117" s="23" t="str">
        <f t="shared" si="25"/>
        <v>-</v>
      </c>
      <c r="T117" s="4" t="str">
        <f t="shared" si="26"/>
        <v>-</v>
      </c>
      <c r="U117" s="4" t="str">
        <f t="shared" si="27"/>
        <v>-</v>
      </c>
      <c r="V117" s="4">
        <f t="shared" si="28"/>
        <v>0</v>
      </c>
      <c r="W117" s="23">
        <f>VLOOKUP(A117,[1]SummaryTable!$A$2:$F$359,4,FALSE)</f>
        <v>38.700000000000003</v>
      </c>
    </row>
    <row r="118" spans="1:23" x14ac:dyDescent="0.25">
      <c r="A118" s="14" t="s">
        <v>168</v>
      </c>
      <c r="B118" s="14" t="str">
        <f t="shared" si="15"/>
        <v>H169</v>
      </c>
      <c r="C118" s="14">
        <v>1</v>
      </c>
      <c r="D118" s="61">
        <v>12</v>
      </c>
      <c r="E118" s="15">
        <f>VLOOKUP(A118,[1]SummaryTable!$A$2:$F$359,2,FALSE)</f>
        <v>6596166.6428046003</v>
      </c>
      <c r="F118" s="15">
        <f>VLOOKUP(A118,[1]SummaryTable!$A$2:$F$359,3,FALSE)</f>
        <v>655840.61270447995</v>
      </c>
      <c r="G118" s="62">
        <f t="shared" si="16"/>
        <v>46.32</v>
      </c>
      <c r="H118" s="4">
        <f>VLOOKUP(A118,[1]SummaryTable!$A$2:$F$359,5,FALSE)</f>
        <v>1</v>
      </c>
      <c r="I118" s="4">
        <f>VLOOKUP(A118,[1]SummaryTable!$A$2:$F$359,6,FALSE)</f>
        <v>0</v>
      </c>
      <c r="J118" s="4" t="str">
        <f>IF(I118&gt;0.1,[2]Processes!$A$6,[2]Processes!$A$5)</f>
        <v>Sawmal</v>
      </c>
      <c r="K118" s="23" t="str">
        <f t="shared" si="17"/>
        <v>-</v>
      </c>
      <c r="L118" s="4" t="str">
        <f t="shared" si="18"/>
        <v>-</v>
      </c>
      <c r="M118" s="4" t="str">
        <f t="shared" si="19"/>
        <v>-</v>
      </c>
      <c r="N118" s="4">
        <f t="shared" si="20"/>
        <v>0</v>
      </c>
      <c r="O118" s="23" t="str">
        <f t="shared" si="21"/>
        <v>-</v>
      </c>
      <c r="P118" s="4" t="str">
        <f t="shared" si="22"/>
        <v>-</v>
      </c>
      <c r="Q118" s="4" t="str">
        <f t="shared" si="23"/>
        <v>-</v>
      </c>
      <c r="R118" s="4">
        <f t="shared" si="24"/>
        <v>0</v>
      </c>
      <c r="S118" s="23" t="str">
        <f t="shared" si="25"/>
        <v>-</v>
      </c>
      <c r="T118" s="4" t="str">
        <f t="shared" si="26"/>
        <v>-</v>
      </c>
      <c r="U118" s="4" t="str">
        <f t="shared" si="27"/>
        <v>-</v>
      </c>
      <c r="V118" s="4">
        <f t="shared" si="28"/>
        <v>0</v>
      </c>
      <c r="W118" s="23">
        <f>VLOOKUP(A118,[1]SummaryTable!$A$2:$F$359,4,FALSE)</f>
        <v>38.6</v>
      </c>
    </row>
    <row r="119" spans="1:23" x14ac:dyDescent="0.25">
      <c r="A119" s="14" t="s">
        <v>163</v>
      </c>
      <c r="B119" s="14" t="str">
        <f t="shared" si="15"/>
        <v>H164</v>
      </c>
      <c r="C119" s="14">
        <v>1</v>
      </c>
      <c r="D119" s="61">
        <v>12</v>
      </c>
      <c r="E119" s="15">
        <f>VLOOKUP(A119,[1]SummaryTable!$A$2:$F$359,2,FALSE)</f>
        <v>6603514.86436076</v>
      </c>
      <c r="F119" s="15">
        <f>VLOOKUP(A119,[1]SummaryTable!$A$2:$F$359,3,FALSE)</f>
        <v>674176.27276112896</v>
      </c>
      <c r="G119" s="62">
        <f t="shared" si="16"/>
        <v>44.4</v>
      </c>
      <c r="H119" s="4">
        <f>VLOOKUP(A119,[1]SummaryTable!$A$2:$F$359,5,FALSE)</f>
        <v>1</v>
      </c>
      <c r="I119" s="4">
        <f>VLOOKUP(A119,[1]SummaryTable!$A$2:$F$359,6,FALSE)</f>
        <v>0</v>
      </c>
      <c r="J119" s="4" t="str">
        <f>IF(I119&gt;0.1,[2]Processes!$A$6,[2]Processes!$A$5)</f>
        <v>Sawmal</v>
      </c>
      <c r="K119" s="23" t="str">
        <f t="shared" si="17"/>
        <v>-</v>
      </c>
      <c r="L119" s="4" t="str">
        <f t="shared" si="18"/>
        <v>-</v>
      </c>
      <c r="M119" s="4" t="str">
        <f t="shared" si="19"/>
        <v>-</v>
      </c>
      <c r="N119" s="4">
        <f t="shared" si="20"/>
        <v>0</v>
      </c>
      <c r="O119" s="23" t="str">
        <f t="shared" si="21"/>
        <v>-</v>
      </c>
      <c r="P119" s="4" t="str">
        <f t="shared" si="22"/>
        <v>-</v>
      </c>
      <c r="Q119" s="4" t="str">
        <f t="shared" si="23"/>
        <v>-</v>
      </c>
      <c r="R119" s="4">
        <f t="shared" si="24"/>
        <v>0</v>
      </c>
      <c r="S119" s="23" t="str">
        <f t="shared" si="25"/>
        <v>-</v>
      </c>
      <c r="T119" s="4" t="str">
        <f t="shared" si="26"/>
        <v>-</v>
      </c>
      <c r="U119" s="4" t="str">
        <f t="shared" si="27"/>
        <v>-</v>
      </c>
      <c r="V119" s="4">
        <f t="shared" si="28"/>
        <v>0</v>
      </c>
      <c r="W119" s="23">
        <f>VLOOKUP(A119,[1]SummaryTable!$A$2:$F$359,4,FALSE)</f>
        <v>37</v>
      </c>
    </row>
    <row r="120" spans="1:23" x14ac:dyDescent="0.25">
      <c r="A120" s="14" t="s">
        <v>3</v>
      </c>
      <c r="B120" s="14" t="str">
        <f t="shared" si="15"/>
        <v>H4</v>
      </c>
      <c r="C120" s="14">
        <v>22</v>
      </c>
      <c r="D120" s="61">
        <v>12</v>
      </c>
      <c r="E120" s="15">
        <f>VLOOKUP(A120,[1]SummaryTable!$A$2:$F$359,2,FALSE)</f>
        <v>6980892.1189999999</v>
      </c>
      <c r="F120" s="15">
        <f>VLOOKUP(A120,[1]SummaryTable!$A$2:$F$359,3,FALSE)</f>
        <v>643439.22699999996</v>
      </c>
      <c r="G120" s="62">
        <f t="shared" si="16"/>
        <v>44.258399999999995</v>
      </c>
      <c r="H120" s="4">
        <f>VLOOKUP(A120,[1]SummaryTable!$A$2:$F$359,5,FALSE)</f>
        <v>1</v>
      </c>
      <c r="I120" s="4">
        <f>VLOOKUP(A120,[1]SummaryTable!$A$2:$F$359,6,FALSE)</f>
        <v>0</v>
      </c>
      <c r="J120" s="4" t="str">
        <f>IF(I120&gt;0.1,[2]Processes!$A$6,[2]Processes!$A$5)</f>
        <v>Sawmal</v>
      </c>
      <c r="K120" s="23" t="str">
        <f t="shared" si="17"/>
        <v>-</v>
      </c>
      <c r="L120" s="4" t="str">
        <f t="shared" si="18"/>
        <v>-</v>
      </c>
      <c r="M120" s="4" t="str">
        <f t="shared" si="19"/>
        <v>-</v>
      </c>
      <c r="N120" s="4">
        <f t="shared" si="20"/>
        <v>0</v>
      </c>
      <c r="O120" s="23" t="str">
        <f t="shared" si="21"/>
        <v>-</v>
      </c>
      <c r="P120" s="4" t="str">
        <f t="shared" si="22"/>
        <v>-</v>
      </c>
      <c r="Q120" s="4" t="str">
        <f t="shared" si="23"/>
        <v>-</v>
      </c>
      <c r="R120" s="4">
        <f t="shared" si="24"/>
        <v>0</v>
      </c>
      <c r="S120" s="23" t="str">
        <f t="shared" si="25"/>
        <v>-</v>
      </c>
      <c r="T120" s="4" t="str">
        <f t="shared" si="26"/>
        <v>-</v>
      </c>
      <c r="U120" s="4" t="str">
        <f t="shared" si="27"/>
        <v>-</v>
      </c>
      <c r="V120" s="4">
        <f t="shared" si="28"/>
        <v>0</v>
      </c>
      <c r="W120" s="23">
        <f>VLOOKUP(A120,[1]SummaryTable!$A$2:$F$359,4,FALSE)</f>
        <v>36.881999999999998</v>
      </c>
    </row>
    <row r="121" spans="1:23" x14ac:dyDescent="0.25">
      <c r="A121" s="14" t="s">
        <v>202</v>
      </c>
      <c r="B121" s="14" t="str">
        <f t="shared" si="15"/>
        <v>H203</v>
      </c>
      <c r="C121" s="14">
        <v>18</v>
      </c>
      <c r="D121" s="61">
        <v>12</v>
      </c>
      <c r="E121" s="15">
        <f>VLOOKUP(A121,[1]SummaryTable!$A$2:$F$359,2,FALSE)</f>
        <v>6536372.1978897704</v>
      </c>
      <c r="F121" s="15">
        <f>VLOOKUP(A121,[1]SummaryTable!$A$2:$F$359,3,FALSE)</f>
        <v>477986.29937446897</v>
      </c>
      <c r="G121" s="62">
        <f t="shared" si="16"/>
        <v>44.226000000000006</v>
      </c>
      <c r="H121" s="4">
        <f>VLOOKUP(A121,[1]SummaryTable!$A$2:$F$359,5,FALSE)</f>
        <v>1</v>
      </c>
      <c r="I121" s="4">
        <f>VLOOKUP(A121,[1]SummaryTable!$A$2:$F$359,6,FALSE)</f>
        <v>0</v>
      </c>
      <c r="J121" s="4" t="str">
        <f>IF(I121&gt;0.1,[2]Processes!$A$6,[2]Processes!$A$5)</f>
        <v>Sawmal</v>
      </c>
      <c r="K121" s="23" t="str">
        <f t="shared" si="17"/>
        <v>-</v>
      </c>
      <c r="L121" s="4" t="str">
        <f t="shared" si="18"/>
        <v>-</v>
      </c>
      <c r="M121" s="4" t="str">
        <f t="shared" si="19"/>
        <v>-</v>
      </c>
      <c r="N121" s="4">
        <f t="shared" si="20"/>
        <v>0</v>
      </c>
      <c r="O121" s="23" t="str">
        <f t="shared" si="21"/>
        <v>-</v>
      </c>
      <c r="P121" s="4" t="str">
        <f t="shared" si="22"/>
        <v>-</v>
      </c>
      <c r="Q121" s="4" t="str">
        <f t="shared" si="23"/>
        <v>-</v>
      </c>
      <c r="R121" s="4">
        <f t="shared" si="24"/>
        <v>0</v>
      </c>
      <c r="S121" s="23" t="str">
        <f t="shared" si="25"/>
        <v>-</v>
      </c>
      <c r="T121" s="4" t="str">
        <f t="shared" si="26"/>
        <v>-</v>
      </c>
      <c r="U121" s="4" t="str">
        <f t="shared" si="27"/>
        <v>-</v>
      </c>
      <c r="V121" s="4">
        <f t="shared" si="28"/>
        <v>0</v>
      </c>
      <c r="W121" s="23">
        <f>VLOOKUP(A121,[1]SummaryTable!$A$2:$F$359,4,FALSE)</f>
        <v>36.855000000000004</v>
      </c>
    </row>
    <row r="122" spans="1:23" x14ac:dyDescent="0.25">
      <c r="A122" s="14" t="s">
        <v>300</v>
      </c>
      <c r="B122" s="14" t="str">
        <f t="shared" si="15"/>
        <v>H301</v>
      </c>
      <c r="C122" s="14">
        <v>6</v>
      </c>
      <c r="D122" s="61">
        <v>21</v>
      </c>
      <c r="E122" s="15">
        <f>VLOOKUP(A122,[1]SummaryTable!$A$2:$F$359,2,FALSE)</f>
        <v>6348732.2803024901</v>
      </c>
      <c r="F122" s="15">
        <f>VLOOKUP(A122,[1]SummaryTable!$A$2:$F$359,3,FALSE)</f>
        <v>412342.86302056297</v>
      </c>
      <c r="G122" s="62">
        <f t="shared" si="16"/>
        <v>43.9116</v>
      </c>
      <c r="H122" s="4">
        <f>VLOOKUP(A122,[1]SummaryTable!$A$2:$F$359,5,FALSE)</f>
        <v>1</v>
      </c>
      <c r="I122" s="4">
        <f>VLOOKUP(A122,[1]SummaryTable!$A$2:$F$359,6,FALSE)</f>
        <v>0</v>
      </c>
      <c r="J122" s="4" t="str">
        <f>IF(I122&gt;0.1,[2]Processes!$A$6,[2]Processes!$A$5)</f>
        <v>Sawmal</v>
      </c>
      <c r="K122" s="23" t="str">
        <f t="shared" si="17"/>
        <v>-</v>
      </c>
      <c r="L122" s="4" t="str">
        <f t="shared" si="18"/>
        <v>-</v>
      </c>
      <c r="M122" s="4" t="str">
        <f t="shared" si="19"/>
        <v>-</v>
      </c>
      <c r="N122" s="4">
        <f t="shared" si="20"/>
        <v>0</v>
      </c>
      <c r="O122" s="23" t="str">
        <f t="shared" si="21"/>
        <v>-</v>
      </c>
      <c r="P122" s="4" t="str">
        <f t="shared" si="22"/>
        <v>-</v>
      </c>
      <c r="Q122" s="4" t="str">
        <f t="shared" si="23"/>
        <v>-</v>
      </c>
      <c r="R122" s="4">
        <f t="shared" si="24"/>
        <v>0</v>
      </c>
      <c r="S122" s="23" t="str">
        <f t="shared" si="25"/>
        <v>-</v>
      </c>
      <c r="T122" s="4" t="str">
        <f t="shared" si="26"/>
        <v>-</v>
      </c>
      <c r="U122" s="4" t="str">
        <f t="shared" si="27"/>
        <v>-</v>
      </c>
      <c r="V122" s="4">
        <f t="shared" si="28"/>
        <v>0</v>
      </c>
      <c r="W122" s="23">
        <f>VLOOKUP(A122,[1]SummaryTable!$A$2:$F$359,4,FALSE)</f>
        <v>36.593000000000004</v>
      </c>
    </row>
    <row r="123" spans="1:23" x14ac:dyDescent="0.25">
      <c r="A123" s="14" t="s">
        <v>23</v>
      </c>
      <c r="B123" s="14" t="str">
        <f t="shared" si="15"/>
        <v>H24</v>
      </c>
      <c r="C123" s="14">
        <v>6</v>
      </c>
      <c r="D123" s="61">
        <v>21</v>
      </c>
      <c r="E123" s="15">
        <f>VLOOKUP(A123,[1]SummaryTable!$A$2:$F$359,2,FALSE)</f>
        <v>6411344.2110000001</v>
      </c>
      <c r="F123" s="15">
        <f>VLOOKUP(A123,[1]SummaryTable!$A$2:$F$359,3,FALSE)</f>
        <v>489900.27500000002</v>
      </c>
      <c r="G123" s="62">
        <f t="shared" si="16"/>
        <v>43.476000000000006</v>
      </c>
      <c r="H123" s="4">
        <f>VLOOKUP(A123,[1]SummaryTable!$A$2:$F$359,5,FALSE)</f>
        <v>1</v>
      </c>
      <c r="I123" s="4">
        <f>VLOOKUP(A123,[1]SummaryTable!$A$2:$F$359,6,FALSE)</f>
        <v>0</v>
      </c>
      <c r="J123" s="4" t="str">
        <f>IF(I123&gt;0.1,[2]Processes!$A$6,[2]Processes!$A$5)</f>
        <v>Sawmal</v>
      </c>
      <c r="K123" s="23" t="str">
        <f t="shared" si="17"/>
        <v>-</v>
      </c>
      <c r="L123" s="4" t="str">
        <f t="shared" si="18"/>
        <v>-</v>
      </c>
      <c r="M123" s="4" t="str">
        <f t="shared" si="19"/>
        <v>-</v>
      </c>
      <c r="N123" s="4">
        <f t="shared" si="20"/>
        <v>0</v>
      </c>
      <c r="O123" s="23" t="str">
        <f t="shared" si="21"/>
        <v>-</v>
      </c>
      <c r="P123" s="4" t="str">
        <f t="shared" si="22"/>
        <v>-</v>
      </c>
      <c r="Q123" s="4" t="str">
        <f t="shared" si="23"/>
        <v>-</v>
      </c>
      <c r="R123" s="4">
        <f t="shared" si="24"/>
        <v>0</v>
      </c>
      <c r="S123" s="23" t="str">
        <f t="shared" si="25"/>
        <v>-</v>
      </c>
      <c r="T123" s="4" t="str">
        <f t="shared" si="26"/>
        <v>-</v>
      </c>
      <c r="U123" s="4" t="str">
        <f t="shared" si="27"/>
        <v>-</v>
      </c>
      <c r="V123" s="4">
        <f t="shared" si="28"/>
        <v>0</v>
      </c>
      <c r="W123" s="23">
        <f>VLOOKUP(A123,[1]SummaryTable!$A$2:$F$359,4,FALSE)</f>
        <v>36.230000000000004</v>
      </c>
    </row>
    <row r="124" spans="1:23" x14ac:dyDescent="0.25">
      <c r="A124" s="14" t="s">
        <v>134</v>
      </c>
      <c r="B124" s="14" t="str">
        <f t="shared" si="15"/>
        <v>H135</v>
      </c>
      <c r="C124" s="14">
        <v>20</v>
      </c>
      <c r="D124" s="61">
        <v>31</v>
      </c>
      <c r="E124" s="15">
        <f>VLOOKUP(A124,[1]SummaryTable!$A$2:$F$359,2,FALSE)</f>
        <v>6667107.08093738</v>
      </c>
      <c r="F124" s="15">
        <f>VLOOKUP(A124,[1]SummaryTable!$A$2:$F$359,3,FALSE)</f>
        <v>564713.68303619197</v>
      </c>
      <c r="G124" s="62">
        <f t="shared" si="16"/>
        <v>43.263671999999993</v>
      </c>
      <c r="H124" s="4">
        <f>VLOOKUP(A124,[1]SummaryTable!$A$2:$F$359,5,FALSE)</f>
        <v>1</v>
      </c>
      <c r="I124" s="4">
        <f>VLOOKUP(A124,[1]SummaryTable!$A$2:$F$359,6,FALSE)</f>
        <v>0</v>
      </c>
      <c r="J124" s="4" t="str">
        <f>IF(I124&gt;0.1,[2]Processes!$A$6,[2]Processes!$A$5)</f>
        <v>Sawmal</v>
      </c>
      <c r="K124" s="23" t="str">
        <f t="shared" si="17"/>
        <v>-</v>
      </c>
      <c r="L124" s="4" t="str">
        <f t="shared" si="18"/>
        <v>-</v>
      </c>
      <c r="M124" s="4" t="str">
        <f t="shared" si="19"/>
        <v>-</v>
      </c>
      <c r="N124" s="4">
        <f t="shared" si="20"/>
        <v>0</v>
      </c>
      <c r="O124" s="23" t="str">
        <f t="shared" si="21"/>
        <v>-</v>
      </c>
      <c r="P124" s="4" t="str">
        <f t="shared" si="22"/>
        <v>-</v>
      </c>
      <c r="Q124" s="4" t="str">
        <f t="shared" si="23"/>
        <v>-</v>
      </c>
      <c r="R124" s="4">
        <f t="shared" si="24"/>
        <v>0</v>
      </c>
      <c r="S124" s="23" t="str">
        <f t="shared" si="25"/>
        <v>-</v>
      </c>
      <c r="T124" s="4" t="str">
        <f t="shared" si="26"/>
        <v>-</v>
      </c>
      <c r="U124" s="4" t="str">
        <f t="shared" si="27"/>
        <v>-</v>
      </c>
      <c r="V124" s="4">
        <f t="shared" si="28"/>
        <v>0</v>
      </c>
      <c r="W124" s="23">
        <f>VLOOKUP(A124,[1]SummaryTable!$A$2:$F$359,4,FALSE)</f>
        <v>36.053059999999995</v>
      </c>
    </row>
    <row r="125" spans="1:23" x14ac:dyDescent="0.25">
      <c r="A125" s="14" t="s">
        <v>158</v>
      </c>
      <c r="B125" s="14" t="str">
        <f t="shared" si="15"/>
        <v>H159</v>
      </c>
      <c r="C125" s="14">
        <v>19</v>
      </c>
      <c r="D125" s="61">
        <v>12</v>
      </c>
      <c r="E125" s="15">
        <f>VLOOKUP(A125,[1]SummaryTable!$A$2:$F$359,2,FALSE)</f>
        <v>6608483.1389010502</v>
      </c>
      <c r="F125" s="15">
        <f>VLOOKUP(A125,[1]SummaryTable!$A$2:$F$359,3,FALSE)</f>
        <v>587306.32478014496</v>
      </c>
      <c r="G125" s="62">
        <f t="shared" si="16"/>
        <v>42.9291828</v>
      </c>
      <c r="H125" s="4">
        <f>VLOOKUP(A125,[1]SummaryTable!$A$2:$F$359,5,FALSE)</f>
        <v>0.56197011129376651</v>
      </c>
      <c r="I125" s="4">
        <f>VLOOKUP(A125,[1]SummaryTable!$A$2:$F$359,6,FALSE)</f>
        <v>0.43802988870623349</v>
      </c>
      <c r="J125" s="4" t="str">
        <f>IF(I125&gt;0.1,[2]Processes!$A$6,[2]Processes!$A$5)</f>
        <v>Heatpl</v>
      </c>
      <c r="K125" s="23" t="str">
        <f t="shared" si="17"/>
        <v>-</v>
      </c>
      <c r="L125" s="4" t="str">
        <f t="shared" si="18"/>
        <v>-</v>
      </c>
      <c r="M125" s="4" t="str">
        <f t="shared" si="19"/>
        <v>-</v>
      </c>
      <c r="N125" s="4">
        <f t="shared" si="20"/>
        <v>0</v>
      </c>
      <c r="O125" s="23" t="str">
        <f t="shared" si="21"/>
        <v>-</v>
      </c>
      <c r="P125" s="4" t="str">
        <f t="shared" si="22"/>
        <v>-</v>
      </c>
      <c r="Q125" s="4" t="str">
        <f t="shared" si="23"/>
        <v>-</v>
      </c>
      <c r="R125" s="4">
        <f t="shared" si="24"/>
        <v>0</v>
      </c>
      <c r="S125" s="23" t="str">
        <f t="shared" si="25"/>
        <v>-</v>
      </c>
      <c r="T125" s="4" t="str">
        <f t="shared" si="26"/>
        <v>-</v>
      </c>
      <c r="U125" s="4" t="str">
        <f t="shared" si="27"/>
        <v>-</v>
      </c>
      <c r="V125" s="4">
        <f t="shared" si="28"/>
        <v>0</v>
      </c>
      <c r="W125" s="23">
        <f>VLOOKUP(A125,[1]SummaryTable!$A$2:$F$359,4,FALSE)</f>
        <v>35.774318999999998</v>
      </c>
    </row>
    <row r="126" spans="1:23" x14ac:dyDescent="0.25">
      <c r="A126" s="14" t="s">
        <v>266</v>
      </c>
      <c r="B126" s="14" t="str">
        <f t="shared" si="15"/>
        <v>H267</v>
      </c>
      <c r="C126" s="14">
        <v>14</v>
      </c>
      <c r="D126" s="61">
        <v>23</v>
      </c>
      <c r="E126" s="15">
        <f>VLOOKUP(A126,[1]SummaryTable!$A$2:$F$359,2,FALSE)</f>
        <v>6402317.4830520796</v>
      </c>
      <c r="F126" s="15">
        <f>VLOOKUP(A126,[1]SummaryTable!$A$2:$F$359,3,FALSE)</f>
        <v>337831.27725552802</v>
      </c>
      <c r="G126" s="62">
        <f t="shared" si="16"/>
        <v>42.24</v>
      </c>
      <c r="H126" s="4">
        <f>VLOOKUP(A126,[1]SummaryTable!$A$2:$F$359,5,FALSE)</f>
        <v>1</v>
      </c>
      <c r="I126" s="4">
        <f>VLOOKUP(A126,[1]SummaryTable!$A$2:$F$359,6,FALSE)</f>
        <v>0</v>
      </c>
      <c r="J126" s="4" t="str">
        <f>IF(I126&gt;0.1,[2]Processes!$A$6,[2]Processes!$A$5)</f>
        <v>Sawmal</v>
      </c>
      <c r="K126" s="23" t="str">
        <f t="shared" si="17"/>
        <v>-</v>
      </c>
      <c r="L126" s="4" t="str">
        <f t="shared" si="18"/>
        <v>-</v>
      </c>
      <c r="M126" s="4" t="str">
        <f t="shared" si="19"/>
        <v>-</v>
      </c>
      <c r="N126" s="4">
        <f t="shared" si="20"/>
        <v>0</v>
      </c>
      <c r="O126" s="23" t="str">
        <f t="shared" si="21"/>
        <v>-</v>
      </c>
      <c r="P126" s="4" t="str">
        <f t="shared" si="22"/>
        <v>-</v>
      </c>
      <c r="Q126" s="4" t="str">
        <f t="shared" si="23"/>
        <v>-</v>
      </c>
      <c r="R126" s="4">
        <f t="shared" si="24"/>
        <v>0</v>
      </c>
      <c r="S126" s="23" t="str">
        <f t="shared" si="25"/>
        <v>-</v>
      </c>
      <c r="T126" s="4" t="str">
        <f t="shared" si="26"/>
        <v>-</v>
      </c>
      <c r="U126" s="4" t="str">
        <f t="shared" si="27"/>
        <v>-</v>
      </c>
      <c r="V126" s="4">
        <f t="shared" si="28"/>
        <v>0</v>
      </c>
      <c r="W126" s="23">
        <f>VLOOKUP(A126,[1]SummaryTable!$A$2:$F$359,4,FALSE)</f>
        <v>35.200000000000003</v>
      </c>
    </row>
    <row r="127" spans="1:23" x14ac:dyDescent="0.25">
      <c r="A127" s="14" t="s">
        <v>291</v>
      </c>
      <c r="B127" s="14" t="str">
        <f t="shared" si="15"/>
        <v>H292</v>
      </c>
      <c r="C127" s="14">
        <v>6</v>
      </c>
      <c r="D127" s="61">
        <v>21</v>
      </c>
      <c r="E127" s="15">
        <f>VLOOKUP(A127,[1]SummaryTable!$A$2:$F$359,2,FALSE)</f>
        <v>6370405.4441102399</v>
      </c>
      <c r="F127" s="15">
        <f>VLOOKUP(A127,[1]SummaryTable!$A$2:$F$359,3,FALSE)</f>
        <v>449091.39590796799</v>
      </c>
      <c r="G127" s="62">
        <f t="shared" si="16"/>
        <v>40.834799999999994</v>
      </c>
      <c r="H127" s="4">
        <f>VLOOKUP(A127,[1]SummaryTable!$A$2:$F$359,5,FALSE)</f>
        <v>1</v>
      </c>
      <c r="I127" s="4">
        <f>VLOOKUP(A127,[1]SummaryTable!$A$2:$F$359,6,FALSE)</f>
        <v>0</v>
      </c>
      <c r="J127" s="4" t="str">
        <f>IF(I127&gt;0.1,[2]Processes!$A$6,[2]Processes!$A$5)</f>
        <v>Sawmal</v>
      </c>
      <c r="K127" s="23" t="str">
        <f t="shared" si="17"/>
        <v>-</v>
      </c>
      <c r="L127" s="4" t="str">
        <f t="shared" si="18"/>
        <v>-</v>
      </c>
      <c r="M127" s="4" t="str">
        <f t="shared" si="19"/>
        <v>-</v>
      </c>
      <c r="N127" s="4">
        <f t="shared" si="20"/>
        <v>0</v>
      </c>
      <c r="O127" s="23" t="str">
        <f t="shared" si="21"/>
        <v>-</v>
      </c>
      <c r="P127" s="4" t="str">
        <f t="shared" si="22"/>
        <v>-</v>
      </c>
      <c r="Q127" s="4" t="str">
        <f t="shared" si="23"/>
        <v>-</v>
      </c>
      <c r="R127" s="4">
        <f t="shared" si="24"/>
        <v>0</v>
      </c>
      <c r="S127" s="23" t="str">
        <f t="shared" si="25"/>
        <v>-</v>
      </c>
      <c r="T127" s="4" t="str">
        <f t="shared" si="26"/>
        <v>-</v>
      </c>
      <c r="U127" s="4" t="str">
        <f t="shared" si="27"/>
        <v>-</v>
      </c>
      <c r="V127" s="4">
        <f t="shared" si="28"/>
        <v>0</v>
      </c>
      <c r="W127" s="23">
        <f>VLOOKUP(A127,[1]SummaryTable!$A$2:$F$359,4,FALSE)</f>
        <v>34.028999999999996</v>
      </c>
    </row>
    <row r="128" spans="1:23" x14ac:dyDescent="0.25">
      <c r="A128" s="14" t="s">
        <v>330</v>
      </c>
      <c r="B128" s="14" t="str">
        <f t="shared" si="15"/>
        <v>H331</v>
      </c>
      <c r="C128" s="14">
        <v>12</v>
      </c>
      <c r="D128" s="61">
        <v>22</v>
      </c>
      <c r="E128" s="15">
        <f>VLOOKUP(A128,[1]SummaryTable!$A$2:$F$359,2,FALSE)</f>
        <v>6235707.39867038</v>
      </c>
      <c r="F128" s="15">
        <f>VLOOKUP(A128,[1]SummaryTable!$A$2:$F$359,3,FALSE)</f>
        <v>393622.43818727101</v>
      </c>
      <c r="G128" s="62">
        <f t="shared" si="16"/>
        <v>40.462800000000001</v>
      </c>
      <c r="H128" s="4">
        <f>VLOOKUP(A128,[1]SummaryTable!$A$2:$F$359,5,FALSE)</f>
        <v>1</v>
      </c>
      <c r="I128" s="4">
        <f>VLOOKUP(A128,[1]SummaryTable!$A$2:$F$359,6,FALSE)</f>
        <v>0</v>
      </c>
      <c r="J128" s="4" t="str">
        <f>IF(I128&gt;0.1,[2]Processes!$A$6,[2]Processes!$A$5)</f>
        <v>Sawmal</v>
      </c>
      <c r="K128" s="23" t="str">
        <f t="shared" si="17"/>
        <v>-</v>
      </c>
      <c r="L128" s="4" t="str">
        <f t="shared" si="18"/>
        <v>-</v>
      </c>
      <c r="M128" s="4" t="str">
        <f t="shared" si="19"/>
        <v>-</v>
      </c>
      <c r="N128" s="4">
        <f t="shared" si="20"/>
        <v>0</v>
      </c>
      <c r="O128" s="23" t="str">
        <f t="shared" si="21"/>
        <v>-</v>
      </c>
      <c r="P128" s="4" t="str">
        <f t="shared" si="22"/>
        <v>-</v>
      </c>
      <c r="Q128" s="4" t="str">
        <f t="shared" si="23"/>
        <v>-</v>
      </c>
      <c r="R128" s="4">
        <f t="shared" si="24"/>
        <v>0</v>
      </c>
      <c r="S128" s="23" t="str">
        <f t="shared" si="25"/>
        <v>-</v>
      </c>
      <c r="T128" s="4" t="str">
        <f t="shared" si="26"/>
        <v>-</v>
      </c>
      <c r="U128" s="4" t="str">
        <f t="shared" si="27"/>
        <v>-</v>
      </c>
      <c r="V128" s="4">
        <f t="shared" si="28"/>
        <v>0</v>
      </c>
      <c r="W128" s="23">
        <f>VLOOKUP(A128,[1]SummaryTable!$A$2:$F$359,4,FALSE)</f>
        <v>33.719000000000001</v>
      </c>
    </row>
    <row r="129" spans="1:23" x14ac:dyDescent="0.25">
      <c r="A129" s="14" t="s">
        <v>194</v>
      </c>
      <c r="B129" s="14" t="str">
        <f t="shared" si="15"/>
        <v>H195</v>
      </c>
      <c r="C129" s="14">
        <v>17</v>
      </c>
      <c r="D129" s="61">
        <v>31</v>
      </c>
      <c r="E129" s="15">
        <f>VLOOKUP(A129,[1]SummaryTable!$A$2:$F$359,2,FALSE)</f>
        <v>6554483.0642691199</v>
      </c>
      <c r="F129" s="15">
        <f>VLOOKUP(A129,[1]SummaryTable!$A$2:$F$359,3,FALSE)</f>
        <v>380591.37503644498</v>
      </c>
      <c r="G129" s="62">
        <f t="shared" si="16"/>
        <v>39.824399999999997</v>
      </c>
      <c r="H129" s="4">
        <f>VLOOKUP(A129,[1]SummaryTable!$A$2:$F$359,5,FALSE)</f>
        <v>1</v>
      </c>
      <c r="I129" s="4">
        <f>VLOOKUP(A129,[1]SummaryTable!$A$2:$F$359,6,FALSE)</f>
        <v>0</v>
      </c>
      <c r="J129" s="4" t="str">
        <f>IF(I129&gt;0.1,[2]Processes!$A$6,[2]Processes!$A$5)</f>
        <v>Sawmal</v>
      </c>
      <c r="K129" s="23" t="str">
        <f t="shared" si="17"/>
        <v>-</v>
      </c>
      <c r="L129" s="4" t="str">
        <f t="shared" si="18"/>
        <v>-</v>
      </c>
      <c r="M129" s="4" t="str">
        <f t="shared" si="19"/>
        <v>-</v>
      </c>
      <c r="N129" s="4">
        <f t="shared" si="20"/>
        <v>0</v>
      </c>
      <c r="O129" s="23" t="str">
        <f t="shared" si="21"/>
        <v>-</v>
      </c>
      <c r="P129" s="4" t="str">
        <f t="shared" si="22"/>
        <v>-</v>
      </c>
      <c r="Q129" s="4" t="str">
        <f t="shared" si="23"/>
        <v>-</v>
      </c>
      <c r="R129" s="4">
        <f t="shared" si="24"/>
        <v>0</v>
      </c>
      <c r="S129" s="23" t="str">
        <f t="shared" si="25"/>
        <v>-</v>
      </c>
      <c r="T129" s="4" t="str">
        <f t="shared" si="26"/>
        <v>-</v>
      </c>
      <c r="U129" s="4" t="str">
        <f t="shared" si="27"/>
        <v>-</v>
      </c>
      <c r="V129" s="4">
        <f t="shared" si="28"/>
        <v>0</v>
      </c>
      <c r="W129" s="23">
        <f>VLOOKUP(A129,[1]SummaryTable!$A$2:$F$359,4,FALSE)</f>
        <v>33.186999999999998</v>
      </c>
    </row>
    <row r="130" spans="1:23" x14ac:dyDescent="0.25">
      <c r="A130" s="14" t="s">
        <v>162</v>
      </c>
      <c r="B130" s="14" t="str">
        <f t="shared" si="15"/>
        <v>H163</v>
      </c>
      <c r="C130" s="14">
        <v>3</v>
      </c>
      <c r="D130" s="61">
        <v>12</v>
      </c>
      <c r="E130" s="15">
        <f>VLOOKUP(A130,[1]SummaryTable!$A$2:$F$359,2,FALSE)</f>
        <v>6605018.2044927999</v>
      </c>
      <c r="F130" s="15">
        <f>VLOOKUP(A130,[1]SummaryTable!$A$2:$F$359,3,FALSE)</f>
        <v>641522.93889434997</v>
      </c>
      <c r="G130" s="62">
        <f t="shared" si="16"/>
        <v>38.5032</v>
      </c>
      <c r="H130" s="4">
        <f>VLOOKUP(A130,[1]SummaryTable!$A$2:$F$359,5,FALSE)</f>
        <v>1</v>
      </c>
      <c r="I130" s="4">
        <f>VLOOKUP(A130,[1]SummaryTable!$A$2:$F$359,6,FALSE)</f>
        <v>0</v>
      </c>
      <c r="J130" s="4" t="str">
        <f>IF(I130&gt;0.1,[2]Processes!$A$6,[2]Processes!$A$5)</f>
        <v>Sawmal</v>
      </c>
      <c r="K130" s="23" t="str">
        <f t="shared" si="17"/>
        <v>-</v>
      </c>
      <c r="L130" s="4" t="str">
        <f t="shared" si="18"/>
        <v>-</v>
      </c>
      <c r="M130" s="4" t="str">
        <f t="shared" si="19"/>
        <v>-</v>
      </c>
      <c r="N130" s="4">
        <f t="shared" si="20"/>
        <v>0</v>
      </c>
      <c r="O130" s="23" t="str">
        <f t="shared" si="21"/>
        <v>-</v>
      </c>
      <c r="P130" s="4" t="str">
        <f t="shared" si="22"/>
        <v>-</v>
      </c>
      <c r="Q130" s="4" t="str">
        <f t="shared" si="23"/>
        <v>-</v>
      </c>
      <c r="R130" s="4">
        <f t="shared" si="24"/>
        <v>0</v>
      </c>
      <c r="S130" s="23" t="str">
        <f t="shared" si="25"/>
        <v>-</v>
      </c>
      <c r="T130" s="4" t="str">
        <f t="shared" si="26"/>
        <v>-</v>
      </c>
      <c r="U130" s="4" t="str">
        <f t="shared" si="27"/>
        <v>-</v>
      </c>
      <c r="V130" s="4">
        <f t="shared" si="28"/>
        <v>0</v>
      </c>
      <c r="W130" s="23">
        <f>VLOOKUP(A130,[1]SummaryTable!$A$2:$F$359,4,FALSE)</f>
        <v>32.085999999999999</v>
      </c>
    </row>
    <row r="131" spans="1:23" x14ac:dyDescent="0.25">
      <c r="A131" s="14" t="s">
        <v>309</v>
      </c>
      <c r="B131" s="14" t="str">
        <f t="shared" ref="B131:B194" si="31">A131</f>
        <v>H310</v>
      </c>
      <c r="C131" s="14">
        <v>13</v>
      </c>
      <c r="D131" s="61">
        <v>23</v>
      </c>
      <c r="E131" s="15">
        <f>VLOOKUP(A131,[1]SummaryTable!$A$2:$F$359,2,FALSE)</f>
        <v>6327359.5072367797</v>
      </c>
      <c r="F131" s="15">
        <f>VLOOKUP(A131,[1]SummaryTable!$A$2:$F$359,3,FALSE)</f>
        <v>333543.60459167999</v>
      </c>
      <c r="G131" s="62">
        <f t="shared" ref="G131:G194" si="32">1.2*W131</f>
        <v>38.498399999999997</v>
      </c>
      <c r="H131" s="4">
        <f>VLOOKUP(A131,[1]SummaryTable!$A$2:$F$359,5,FALSE)</f>
        <v>1</v>
      </c>
      <c r="I131" s="4">
        <f>VLOOKUP(A131,[1]SummaryTable!$A$2:$F$359,6,FALSE)</f>
        <v>0</v>
      </c>
      <c r="J131" s="4" t="str">
        <f>IF(I131&gt;0.1,[2]Processes!$A$6,[2]Processes!$A$5)</f>
        <v>Sawmal</v>
      </c>
      <c r="K131" s="23" t="str">
        <f t="shared" si="17"/>
        <v>-</v>
      </c>
      <c r="L131" s="4" t="str">
        <f t="shared" si="18"/>
        <v>-</v>
      </c>
      <c r="M131" s="4" t="str">
        <f t="shared" si="19"/>
        <v>-</v>
      </c>
      <c r="N131" s="4">
        <f t="shared" si="20"/>
        <v>0</v>
      </c>
      <c r="O131" s="23" t="str">
        <f t="shared" si="21"/>
        <v>-</v>
      </c>
      <c r="P131" s="4" t="str">
        <f t="shared" si="22"/>
        <v>-</v>
      </c>
      <c r="Q131" s="4" t="str">
        <f t="shared" si="23"/>
        <v>-</v>
      </c>
      <c r="R131" s="4">
        <f t="shared" si="24"/>
        <v>0</v>
      </c>
      <c r="S131" s="23" t="str">
        <f t="shared" si="25"/>
        <v>-</v>
      </c>
      <c r="T131" s="4" t="str">
        <f t="shared" si="26"/>
        <v>-</v>
      </c>
      <c r="U131" s="4" t="str">
        <f t="shared" si="27"/>
        <v>-</v>
      </c>
      <c r="V131" s="4">
        <f t="shared" si="28"/>
        <v>0</v>
      </c>
      <c r="W131" s="23">
        <f>VLOOKUP(A131,[1]SummaryTable!$A$2:$F$359,4,FALSE)</f>
        <v>32.082000000000001</v>
      </c>
    </row>
    <row r="132" spans="1:23" x14ac:dyDescent="0.25">
      <c r="A132" s="14" t="s">
        <v>260</v>
      </c>
      <c r="B132" s="14" t="str">
        <f t="shared" si="31"/>
        <v>H261</v>
      </c>
      <c r="C132" s="14">
        <v>8</v>
      </c>
      <c r="D132" s="61">
        <v>21</v>
      </c>
      <c r="E132" s="15">
        <f>VLOOKUP(A132,[1]SummaryTable!$A$2:$F$359,2,FALSE)</f>
        <v>6417080.1208343301</v>
      </c>
      <c r="F132" s="15">
        <f>VLOOKUP(A132,[1]SummaryTable!$A$2:$F$359,3,FALSE)</f>
        <v>583212.86664115696</v>
      </c>
      <c r="G132" s="62">
        <f t="shared" si="32"/>
        <v>38.495999999999995</v>
      </c>
      <c r="H132" s="4">
        <f>VLOOKUP(A132,[1]SummaryTable!$A$2:$F$359,5,FALSE)</f>
        <v>1</v>
      </c>
      <c r="I132" s="4">
        <f>VLOOKUP(A132,[1]SummaryTable!$A$2:$F$359,6,FALSE)</f>
        <v>0</v>
      </c>
      <c r="J132" s="4" t="str">
        <f>IF(I132&gt;0.1,[2]Processes!$A$6,[2]Processes!$A$5)</f>
        <v>Sawmal</v>
      </c>
      <c r="K132" s="23" t="str">
        <f t="shared" ref="K132:K195" si="33">IF(G132&gt;$N$1,$A132&amp;"L"&amp;K$1,"-")</f>
        <v>-</v>
      </c>
      <c r="L132" s="4" t="str">
        <f t="shared" ref="L132:L195" si="34">IF(K132="-","-",$A132)</f>
        <v>-</v>
      </c>
      <c r="M132" s="4" t="str">
        <f t="shared" ref="M132:M195" si="35">IF(L132="-","-","Heatpl")</f>
        <v>-</v>
      </c>
      <c r="N132" s="4">
        <f t="shared" ref="N132:N195" si="36">IF(M132="-",0,G132)</f>
        <v>0</v>
      </c>
      <c r="O132" s="23" t="str">
        <f t="shared" ref="O132:O195" si="37">IF(G132*I132&gt;$N$1,$A132&amp;"L"&amp;O$1,"-")</f>
        <v>-</v>
      </c>
      <c r="P132" s="4" t="str">
        <f t="shared" ref="P132:P195" si="38">IF(O132="-","-",A132)</f>
        <v>-</v>
      </c>
      <c r="Q132" s="4" t="str">
        <f t="shared" ref="Q132:Q195" si="39">IF(P132="-","-","CHPpl_")</f>
        <v>-</v>
      </c>
      <c r="R132" s="4">
        <f t="shared" ref="R132:R195" si="40">IF(Q132="-",0,G132*I132)</f>
        <v>0</v>
      </c>
      <c r="S132" s="23" t="str">
        <f t="shared" ref="S132:S195" si="41">IF(G132&gt;$N$1,$A132&amp;"L"&amp;S$1,"-")</f>
        <v>-</v>
      </c>
      <c r="T132" s="4" t="str">
        <f t="shared" ref="T132:T195" si="42">IF(S132="-","-",$A132)</f>
        <v>-</v>
      </c>
      <c r="U132" s="4" t="str">
        <f t="shared" ref="U132:U195" si="43">IF(T132="-","-","TerHea")</f>
        <v>-</v>
      </c>
      <c r="V132" s="4">
        <f t="shared" ref="V132:V195" si="44">IF(U132="-",0,9999)</f>
        <v>0</v>
      </c>
      <c r="W132" s="23">
        <f>VLOOKUP(A132,[1]SummaryTable!$A$2:$F$359,4,FALSE)</f>
        <v>32.08</v>
      </c>
    </row>
    <row r="133" spans="1:23" x14ac:dyDescent="0.25">
      <c r="A133" s="14" t="s">
        <v>255</v>
      </c>
      <c r="B133" s="14" t="str">
        <f t="shared" si="31"/>
        <v>H256</v>
      </c>
      <c r="C133" s="14">
        <v>6</v>
      </c>
      <c r="D133" s="61">
        <v>21</v>
      </c>
      <c r="E133" s="15">
        <f>VLOOKUP(A133,[1]SummaryTable!$A$2:$F$359,2,FALSE)</f>
        <v>6415918.6282498799</v>
      </c>
      <c r="F133" s="15">
        <f>VLOOKUP(A133,[1]SummaryTable!$A$2:$F$359,3,FALSE)</f>
        <v>445356.41350173298</v>
      </c>
      <c r="G133" s="62">
        <f t="shared" si="32"/>
        <v>38.159999999999997</v>
      </c>
      <c r="H133" s="4">
        <f>VLOOKUP(A133,[1]SummaryTable!$A$2:$F$359,5,FALSE)</f>
        <v>1</v>
      </c>
      <c r="I133" s="4">
        <f>VLOOKUP(A133,[1]SummaryTable!$A$2:$F$359,6,FALSE)</f>
        <v>0</v>
      </c>
      <c r="J133" s="4" t="str">
        <f>IF(I133&gt;0.1,[2]Processes!$A$6,[2]Processes!$A$5)</f>
        <v>Sawmal</v>
      </c>
      <c r="K133" s="23" t="str">
        <f t="shared" si="33"/>
        <v>-</v>
      </c>
      <c r="L133" s="4" t="str">
        <f t="shared" si="34"/>
        <v>-</v>
      </c>
      <c r="M133" s="4" t="str">
        <f t="shared" si="35"/>
        <v>-</v>
      </c>
      <c r="N133" s="4">
        <f t="shared" si="36"/>
        <v>0</v>
      </c>
      <c r="O133" s="23" t="str">
        <f t="shared" si="37"/>
        <v>-</v>
      </c>
      <c r="P133" s="4" t="str">
        <f t="shared" si="38"/>
        <v>-</v>
      </c>
      <c r="Q133" s="4" t="str">
        <f t="shared" si="39"/>
        <v>-</v>
      </c>
      <c r="R133" s="4">
        <f t="shared" si="40"/>
        <v>0</v>
      </c>
      <c r="S133" s="23" t="str">
        <f t="shared" si="41"/>
        <v>-</v>
      </c>
      <c r="T133" s="4" t="str">
        <f t="shared" si="42"/>
        <v>-</v>
      </c>
      <c r="U133" s="4" t="str">
        <f t="shared" si="43"/>
        <v>-</v>
      </c>
      <c r="V133" s="4">
        <f t="shared" si="44"/>
        <v>0</v>
      </c>
      <c r="W133" s="23">
        <f>VLOOKUP(A133,[1]SummaryTable!$A$2:$F$359,4,FALSE)</f>
        <v>31.799999999999997</v>
      </c>
    </row>
    <row r="134" spans="1:23" x14ac:dyDescent="0.25">
      <c r="A134" s="14" t="s">
        <v>151</v>
      </c>
      <c r="B134" s="14" t="str">
        <f t="shared" si="31"/>
        <v>H152</v>
      </c>
      <c r="C134" s="14">
        <v>18</v>
      </c>
      <c r="D134" s="61">
        <v>12</v>
      </c>
      <c r="E134" s="15">
        <f>VLOOKUP(A134,[1]SummaryTable!$A$2:$F$359,2,FALSE)</f>
        <v>6624279.8196928604</v>
      </c>
      <c r="F134" s="15">
        <f>VLOOKUP(A134,[1]SummaryTable!$A$2:$F$359,3,FALSE)</f>
        <v>472912.375212855</v>
      </c>
      <c r="G134" s="62">
        <f t="shared" si="32"/>
        <v>38.1492</v>
      </c>
      <c r="H134" s="4">
        <f>VLOOKUP(A134,[1]SummaryTable!$A$2:$F$359,5,FALSE)</f>
        <v>1</v>
      </c>
      <c r="I134" s="4">
        <f>VLOOKUP(A134,[1]SummaryTable!$A$2:$F$359,6,FALSE)</f>
        <v>0</v>
      </c>
      <c r="J134" s="4" t="str">
        <f>IF(I134&gt;0.1,[2]Processes!$A$6,[2]Processes!$A$5)</f>
        <v>Sawmal</v>
      </c>
      <c r="K134" s="23" t="str">
        <f t="shared" si="33"/>
        <v>-</v>
      </c>
      <c r="L134" s="4" t="str">
        <f t="shared" si="34"/>
        <v>-</v>
      </c>
      <c r="M134" s="4" t="str">
        <f t="shared" si="35"/>
        <v>-</v>
      </c>
      <c r="N134" s="4">
        <f t="shared" si="36"/>
        <v>0</v>
      </c>
      <c r="O134" s="23" t="str">
        <f t="shared" si="37"/>
        <v>-</v>
      </c>
      <c r="P134" s="4" t="str">
        <f t="shared" si="38"/>
        <v>-</v>
      </c>
      <c r="Q134" s="4" t="str">
        <f t="shared" si="39"/>
        <v>-</v>
      </c>
      <c r="R134" s="4">
        <f t="shared" si="40"/>
        <v>0</v>
      </c>
      <c r="S134" s="23" t="str">
        <f t="shared" si="41"/>
        <v>-</v>
      </c>
      <c r="T134" s="4" t="str">
        <f t="shared" si="42"/>
        <v>-</v>
      </c>
      <c r="U134" s="4" t="str">
        <f t="shared" si="43"/>
        <v>-</v>
      </c>
      <c r="V134" s="4">
        <f t="shared" si="44"/>
        <v>0</v>
      </c>
      <c r="W134" s="23">
        <f>VLOOKUP(A134,[1]SummaryTable!$A$2:$F$359,4,FALSE)</f>
        <v>31.791</v>
      </c>
    </row>
    <row r="135" spans="1:23" x14ac:dyDescent="0.25">
      <c r="A135" s="14" t="s">
        <v>213</v>
      </c>
      <c r="B135" s="14" t="str">
        <f t="shared" si="31"/>
        <v>H214</v>
      </c>
      <c r="C135" s="14">
        <v>14</v>
      </c>
      <c r="D135" s="61">
        <v>23</v>
      </c>
      <c r="E135" s="15">
        <f>VLOOKUP(A135,[1]SummaryTable!$A$2:$F$359,2,FALSE)</f>
        <v>6504091.8743293602</v>
      </c>
      <c r="F135" s="15">
        <f>VLOOKUP(A135,[1]SummaryTable!$A$2:$F$359,3,FALSE)</f>
        <v>449156.725453989</v>
      </c>
      <c r="G135" s="62">
        <f t="shared" si="32"/>
        <v>36.069599999999994</v>
      </c>
      <c r="H135" s="4">
        <f>VLOOKUP(A135,[1]SummaryTable!$A$2:$F$359,5,FALSE)</f>
        <v>1</v>
      </c>
      <c r="I135" s="4">
        <f>VLOOKUP(A135,[1]SummaryTable!$A$2:$F$359,6,FALSE)</f>
        <v>0</v>
      </c>
      <c r="J135" s="4" t="str">
        <f>IF(I135&gt;0.1,[2]Processes!$A$6,[2]Processes!$A$5)</f>
        <v>Sawmal</v>
      </c>
      <c r="K135" s="23" t="str">
        <f t="shared" si="33"/>
        <v>-</v>
      </c>
      <c r="L135" s="4" t="str">
        <f t="shared" si="34"/>
        <v>-</v>
      </c>
      <c r="M135" s="4" t="str">
        <f t="shared" si="35"/>
        <v>-</v>
      </c>
      <c r="N135" s="4">
        <f t="shared" si="36"/>
        <v>0</v>
      </c>
      <c r="O135" s="23" t="str">
        <f t="shared" si="37"/>
        <v>-</v>
      </c>
      <c r="P135" s="4" t="str">
        <f t="shared" si="38"/>
        <v>-</v>
      </c>
      <c r="Q135" s="4" t="str">
        <f t="shared" si="39"/>
        <v>-</v>
      </c>
      <c r="R135" s="4">
        <f t="shared" si="40"/>
        <v>0</v>
      </c>
      <c r="S135" s="23" t="str">
        <f t="shared" si="41"/>
        <v>-</v>
      </c>
      <c r="T135" s="4" t="str">
        <f t="shared" si="42"/>
        <v>-</v>
      </c>
      <c r="U135" s="4" t="str">
        <f t="shared" si="43"/>
        <v>-</v>
      </c>
      <c r="V135" s="4">
        <f t="shared" si="44"/>
        <v>0</v>
      </c>
      <c r="W135" s="23">
        <f>VLOOKUP(A135,[1]SummaryTable!$A$2:$F$359,4,FALSE)</f>
        <v>30.057999999999996</v>
      </c>
    </row>
    <row r="136" spans="1:23" x14ac:dyDescent="0.25">
      <c r="A136" s="14" t="s">
        <v>44</v>
      </c>
      <c r="B136" s="14" t="str">
        <f t="shared" si="31"/>
        <v>H45</v>
      </c>
      <c r="C136" s="14">
        <v>25</v>
      </c>
      <c r="D136" s="61">
        <v>33</v>
      </c>
      <c r="E136" s="15">
        <f>VLOOKUP(A136,[1]SummaryTable!$A$2:$F$359,2,FALSE)</f>
        <v>7325572.6036253804</v>
      </c>
      <c r="F136" s="15">
        <f>VLOOKUP(A136,[1]SummaryTable!$A$2:$F$359,3,FALSE)</f>
        <v>831937.09170215903</v>
      </c>
      <c r="G136" s="62">
        <f t="shared" si="32"/>
        <v>35.76</v>
      </c>
      <c r="H136" s="4">
        <f>VLOOKUP(A136,[1]SummaryTable!$A$2:$F$359,5,FALSE)</f>
        <v>1</v>
      </c>
      <c r="I136" s="4">
        <f>VLOOKUP(A136,[1]SummaryTable!$A$2:$F$359,6,FALSE)</f>
        <v>0</v>
      </c>
      <c r="J136" s="4" t="str">
        <f>IF(I136&gt;0.1,[2]Processes!$A$6,[2]Processes!$A$5)</f>
        <v>Sawmal</v>
      </c>
      <c r="K136" s="23" t="str">
        <f t="shared" si="33"/>
        <v>-</v>
      </c>
      <c r="L136" s="4" t="str">
        <f t="shared" si="34"/>
        <v>-</v>
      </c>
      <c r="M136" s="4" t="str">
        <f t="shared" si="35"/>
        <v>-</v>
      </c>
      <c r="N136" s="4">
        <f t="shared" si="36"/>
        <v>0</v>
      </c>
      <c r="O136" s="23" t="str">
        <f t="shared" si="37"/>
        <v>-</v>
      </c>
      <c r="P136" s="4" t="str">
        <f t="shared" si="38"/>
        <v>-</v>
      </c>
      <c r="Q136" s="4" t="str">
        <f t="shared" si="39"/>
        <v>-</v>
      </c>
      <c r="R136" s="4">
        <f t="shared" si="40"/>
        <v>0</v>
      </c>
      <c r="S136" s="23" t="str">
        <f t="shared" si="41"/>
        <v>-</v>
      </c>
      <c r="T136" s="4" t="str">
        <f t="shared" si="42"/>
        <v>-</v>
      </c>
      <c r="U136" s="4" t="str">
        <f t="shared" si="43"/>
        <v>-</v>
      </c>
      <c r="V136" s="4">
        <f t="shared" si="44"/>
        <v>0</v>
      </c>
      <c r="W136" s="23">
        <f>VLOOKUP(A136,[1]SummaryTable!$A$2:$F$359,4,FALSE)</f>
        <v>29.8</v>
      </c>
    </row>
    <row r="137" spans="1:23" x14ac:dyDescent="0.25">
      <c r="A137" s="14" t="s">
        <v>283</v>
      </c>
      <c r="B137" s="14" t="str">
        <f t="shared" si="31"/>
        <v>H284</v>
      </c>
      <c r="C137" s="14">
        <v>6</v>
      </c>
      <c r="D137" s="61">
        <v>21</v>
      </c>
      <c r="E137" s="15">
        <f>VLOOKUP(A137,[1]SummaryTable!$A$2:$F$359,2,FALSE)</f>
        <v>6389606.7862068703</v>
      </c>
      <c r="F137" s="15">
        <f>VLOOKUP(A137,[1]SummaryTable!$A$2:$F$359,3,FALSE)</f>
        <v>498652.67005440302</v>
      </c>
      <c r="G137" s="62">
        <f t="shared" si="32"/>
        <v>35.435292000000004</v>
      </c>
      <c r="H137" s="4">
        <f>VLOOKUP(A137,[1]SummaryTable!$A$2:$F$359,5,FALSE)</f>
        <v>1</v>
      </c>
      <c r="I137" s="4">
        <f>VLOOKUP(A137,[1]SummaryTable!$A$2:$F$359,6,FALSE)</f>
        <v>0</v>
      </c>
      <c r="J137" s="4" t="str">
        <f>IF(I137&gt;0.1,[2]Processes!$A$6,[2]Processes!$A$5)</f>
        <v>Sawmal</v>
      </c>
      <c r="K137" s="23" t="str">
        <f t="shared" si="33"/>
        <v>-</v>
      </c>
      <c r="L137" s="4" t="str">
        <f t="shared" si="34"/>
        <v>-</v>
      </c>
      <c r="M137" s="4" t="str">
        <f t="shared" si="35"/>
        <v>-</v>
      </c>
      <c r="N137" s="4">
        <f t="shared" si="36"/>
        <v>0</v>
      </c>
      <c r="O137" s="23" t="str">
        <f t="shared" si="37"/>
        <v>-</v>
      </c>
      <c r="P137" s="4" t="str">
        <f t="shared" si="38"/>
        <v>-</v>
      </c>
      <c r="Q137" s="4" t="str">
        <f t="shared" si="39"/>
        <v>-</v>
      </c>
      <c r="R137" s="4">
        <f t="shared" si="40"/>
        <v>0</v>
      </c>
      <c r="S137" s="23" t="str">
        <f t="shared" si="41"/>
        <v>-</v>
      </c>
      <c r="T137" s="4" t="str">
        <f t="shared" si="42"/>
        <v>-</v>
      </c>
      <c r="U137" s="4" t="str">
        <f t="shared" si="43"/>
        <v>-</v>
      </c>
      <c r="V137" s="4">
        <f t="shared" si="44"/>
        <v>0</v>
      </c>
      <c r="W137" s="23">
        <f>VLOOKUP(A137,[1]SummaryTable!$A$2:$F$359,4,FALSE)</f>
        <v>29.529410000000002</v>
      </c>
    </row>
    <row r="138" spans="1:23" x14ac:dyDescent="0.25">
      <c r="A138" s="14" t="s">
        <v>241</v>
      </c>
      <c r="B138" s="14" t="str">
        <f t="shared" si="31"/>
        <v>H242</v>
      </c>
      <c r="C138" s="14">
        <v>5</v>
      </c>
      <c r="D138" s="61">
        <v>12</v>
      </c>
      <c r="E138" s="15">
        <f>VLOOKUP(A138,[1]SummaryTable!$A$2:$F$359,2,FALSE)</f>
        <v>6449611.4706640104</v>
      </c>
      <c r="F138" s="15">
        <f>VLOOKUP(A138,[1]SummaryTable!$A$2:$F$359,3,FALSE)</f>
        <v>492345.22179132001</v>
      </c>
      <c r="G138" s="62">
        <f t="shared" si="32"/>
        <v>34.995599999999996</v>
      </c>
      <c r="H138" s="4">
        <f>VLOOKUP(A138,[1]SummaryTable!$A$2:$F$359,5,FALSE)</f>
        <v>1</v>
      </c>
      <c r="I138" s="4">
        <f>VLOOKUP(A138,[1]SummaryTable!$A$2:$F$359,6,FALSE)</f>
        <v>0</v>
      </c>
      <c r="J138" s="4" t="str">
        <f>IF(I138&gt;0.1,[2]Processes!$A$6,[2]Processes!$A$5)</f>
        <v>Sawmal</v>
      </c>
      <c r="K138" s="23" t="str">
        <f t="shared" si="33"/>
        <v>-</v>
      </c>
      <c r="L138" s="4" t="str">
        <f t="shared" si="34"/>
        <v>-</v>
      </c>
      <c r="M138" s="4" t="str">
        <f t="shared" si="35"/>
        <v>-</v>
      </c>
      <c r="N138" s="4">
        <f t="shared" si="36"/>
        <v>0</v>
      </c>
      <c r="O138" s="23" t="str">
        <f t="shared" si="37"/>
        <v>-</v>
      </c>
      <c r="P138" s="4" t="str">
        <f t="shared" si="38"/>
        <v>-</v>
      </c>
      <c r="Q138" s="4" t="str">
        <f t="shared" si="39"/>
        <v>-</v>
      </c>
      <c r="R138" s="4">
        <f t="shared" si="40"/>
        <v>0</v>
      </c>
      <c r="S138" s="23" t="str">
        <f t="shared" si="41"/>
        <v>-</v>
      </c>
      <c r="T138" s="4" t="str">
        <f t="shared" si="42"/>
        <v>-</v>
      </c>
      <c r="U138" s="4" t="str">
        <f t="shared" si="43"/>
        <v>-</v>
      </c>
      <c r="V138" s="4">
        <f t="shared" si="44"/>
        <v>0</v>
      </c>
      <c r="W138" s="23">
        <f>VLOOKUP(A138,[1]SummaryTable!$A$2:$F$359,4,FALSE)</f>
        <v>29.163</v>
      </c>
    </row>
    <row r="139" spans="1:23" x14ac:dyDescent="0.25">
      <c r="A139" s="14" t="s">
        <v>118</v>
      </c>
      <c r="B139" s="14" t="str">
        <f t="shared" si="31"/>
        <v>H119</v>
      </c>
      <c r="C139" s="14">
        <v>20</v>
      </c>
      <c r="D139" s="61">
        <v>31</v>
      </c>
      <c r="E139" s="15">
        <f>VLOOKUP(A139,[1]SummaryTable!$A$2:$F$359,2,FALSE)</f>
        <v>6724292.0530103398</v>
      </c>
      <c r="F139" s="15">
        <f>VLOOKUP(A139,[1]SummaryTable!$A$2:$F$359,3,FALSE)</f>
        <v>429222.21765546099</v>
      </c>
      <c r="G139" s="62">
        <f t="shared" si="32"/>
        <v>34.92</v>
      </c>
      <c r="H139" s="4">
        <f>VLOOKUP(A139,[1]SummaryTable!$A$2:$F$359,5,FALSE)</f>
        <v>1</v>
      </c>
      <c r="I139" s="4">
        <f>VLOOKUP(A139,[1]SummaryTable!$A$2:$F$359,6,FALSE)</f>
        <v>0</v>
      </c>
      <c r="J139" s="4" t="str">
        <f>IF(I139&gt;0.1,[2]Processes!$A$6,[2]Processes!$A$5)</f>
        <v>Sawmal</v>
      </c>
      <c r="K139" s="23" t="str">
        <f t="shared" si="33"/>
        <v>-</v>
      </c>
      <c r="L139" s="4" t="str">
        <f t="shared" si="34"/>
        <v>-</v>
      </c>
      <c r="M139" s="4" t="str">
        <f t="shared" si="35"/>
        <v>-</v>
      </c>
      <c r="N139" s="4">
        <f t="shared" si="36"/>
        <v>0</v>
      </c>
      <c r="O139" s="23" t="str">
        <f t="shared" si="37"/>
        <v>-</v>
      </c>
      <c r="P139" s="4" t="str">
        <f t="shared" si="38"/>
        <v>-</v>
      </c>
      <c r="Q139" s="4" t="str">
        <f t="shared" si="39"/>
        <v>-</v>
      </c>
      <c r="R139" s="4">
        <f t="shared" si="40"/>
        <v>0</v>
      </c>
      <c r="S139" s="23" t="str">
        <f t="shared" si="41"/>
        <v>-</v>
      </c>
      <c r="T139" s="4" t="str">
        <f t="shared" si="42"/>
        <v>-</v>
      </c>
      <c r="U139" s="4" t="str">
        <f t="shared" si="43"/>
        <v>-</v>
      </c>
      <c r="V139" s="4">
        <f t="shared" si="44"/>
        <v>0</v>
      </c>
      <c r="W139" s="23">
        <f>VLOOKUP(A139,[1]SummaryTable!$A$2:$F$359,4,FALSE)</f>
        <v>29.1</v>
      </c>
    </row>
    <row r="140" spans="1:23" x14ac:dyDescent="0.25">
      <c r="A140" s="14" t="s">
        <v>242</v>
      </c>
      <c r="B140" s="14" t="str">
        <f t="shared" si="31"/>
        <v>H243</v>
      </c>
      <c r="C140" s="14">
        <v>5</v>
      </c>
      <c r="D140" s="61">
        <v>12</v>
      </c>
      <c r="E140" s="15">
        <f>VLOOKUP(A140,[1]SummaryTable!$A$2:$F$359,2,FALSE)</f>
        <v>6449761.8506036</v>
      </c>
      <c r="F140" s="15">
        <f>VLOOKUP(A140,[1]SummaryTable!$A$2:$F$359,3,FALSE)</f>
        <v>558752.36921642802</v>
      </c>
      <c r="G140" s="62">
        <f t="shared" si="32"/>
        <v>33.684708000000001</v>
      </c>
      <c r="H140" s="4">
        <f>VLOOKUP(A140,[1]SummaryTable!$A$2:$F$359,5,FALSE)</f>
        <v>1</v>
      </c>
      <c r="I140" s="4">
        <f>VLOOKUP(A140,[1]SummaryTable!$A$2:$F$359,6,FALSE)</f>
        <v>0</v>
      </c>
      <c r="J140" s="4" t="str">
        <f>IF(I140&gt;0.1,[2]Processes!$A$6,[2]Processes!$A$5)</f>
        <v>Sawmal</v>
      </c>
      <c r="K140" s="23" t="str">
        <f t="shared" si="33"/>
        <v>-</v>
      </c>
      <c r="L140" s="4" t="str">
        <f t="shared" si="34"/>
        <v>-</v>
      </c>
      <c r="M140" s="4" t="str">
        <f t="shared" si="35"/>
        <v>-</v>
      </c>
      <c r="N140" s="4">
        <f t="shared" si="36"/>
        <v>0</v>
      </c>
      <c r="O140" s="23" t="str">
        <f t="shared" si="37"/>
        <v>-</v>
      </c>
      <c r="P140" s="4" t="str">
        <f t="shared" si="38"/>
        <v>-</v>
      </c>
      <c r="Q140" s="4" t="str">
        <f t="shared" si="39"/>
        <v>-</v>
      </c>
      <c r="R140" s="4">
        <f t="shared" si="40"/>
        <v>0</v>
      </c>
      <c r="S140" s="23" t="str">
        <f t="shared" si="41"/>
        <v>-</v>
      </c>
      <c r="T140" s="4" t="str">
        <f t="shared" si="42"/>
        <v>-</v>
      </c>
      <c r="U140" s="4" t="str">
        <f t="shared" si="43"/>
        <v>-</v>
      </c>
      <c r="V140" s="4">
        <f t="shared" si="44"/>
        <v>0</v>
      </c>
      <c r="W140" s="23">
        <f>VLOOKUP(A140,[1]SummaryTable!$A$2:$F$359,4,FALSE)</f>
        <v>28.070590000000003</v>
      </c>
    </row>
    <row r="141" spans="1:23" x14ac:dyDescent="0.25">
      <c r="A141" s="14" t="s">
        <v>265</v>
      </c>
      <c r="B141" s="14" t="str">
        <f t="shared" si="31"/>
        <v>H266</v>
      </c>
      <c r="C141" s="14">
        <v>14</v>
      </c>
      <c r="D141" s="61">
        <v>23</v>
      </c>
      <c r="E141" s="15">
        <f>VLOOKUP(A141,[1]SummaryTable!$A$2:$F$359,2,FALSE)</f>
        <v>6403391.5254150396</v>
      </c>
      <c r="F141" s="15">
        <f>VLOOKUP(A141,[1]SummaryTable!$A$2:$F$359,3,FALSE)</f>
        <v>405695.59722574602</v>
      </c>
      <c r="G141" s="62">
        <f t="shared" si="32"/>
        <v>33.560904000000001</v>
      </c>
      <c r="H141" s="4">
        <f>VLOOKUP(A141,[1]SummaryTable!$A$2:$F$359,5,FALSE)</f>
        <v>1</v>
      </c>
      <c r="I141" s="4">
        <f>VLOOKUP(A141,[1]SummaryTable!$A$2:$F$359,6,FALSE)</f>
        <v>0</v>
      </c>
      <c r="J141" s="4" t="str">
        <f>IF(I141&gt;0.1,[2]Processes!$A$6,[2]Processes!$A$5)</f>
        <v>Sawmal</v>
      </c>
      <c r="K141" s="23" t="str">
        <f t="shared" si="33"/>
        <v>-</v>
      </c>
      <c r="L141" s="4" t="str">
        <f t="shared" si="34"/>
        <v>-</v>
      </c>
      <c r="M141" s="4" t="str">
        <f t="shared" si="35"/>
        <v>-</v>
      </c>
      <c r="N141" s="4">
        <f t="shared" si="36"/>
        <v>0</v>
      </c>
      <c r="O141" s="23" t="str">
        <f t="shared" si="37"/>
        <v>-</v>
      </c>
      <c r="P141" s="4" t="str">
        <f t="shared" si="38"/>
        <v>-</v>
      </c>
      <c r="Q141" s="4" t="str">
        <f t="shared" si="39"/>
        <v>-</v>
      </c>
      <c r="R141" s="4">
        <f t="shared" si="40"/>
        <v>0</v>
      </c>
      <c r="S141" s="23" t="str">
        <f t="shared" si="41"/>
        <v>-</v>
      </c>
      <c r="T141" s="4" t="str">
        <f t="shared" si="42"/>
        <v>-</v>
      </c>
      <c r="U141" s="4" t="str">
        <f t="shared" si="43"/>
        <v>-</v>
      </c>
      <c r="V141" s="4">
        <f t="shared" si="44"/>
        <v>0</v>
      </c>
      <c r="W141" s="23">
        <f>VLOOKUP(A141,[1]SummaryTable!$A$2:$F$359,4,FALSE)</f>
        <v>27.967420000000001</v>
      </c>
    </row>
    <row r="142" spans="1:23" x14ac:dyDescent="0.25">
      <c r="A142" s="14" t="s">
        <v>112</v>
      </c>
      <c r="B142" s="14" t="str">
        <f t="shared" si="31"/>
        <v>H113</v>
      </c>
      <c r="C142" s="14">
        <v>20</v>
      </c>
      <c r="D142" s="61">
        <v>31</v>
      </c>
      <c r="E142" s="15">
        <f>VLOOKUP(A142,[1]SummaryTable!$A$2:$F$359,2,FALSE)</f>
        <v>6773505.8276772201</v>
      </c>
      <c r="F142" s="15">
        <f>VLOOKUP(A142,[1]SummaryTable!$A$2:$F$359,3,FALSE)</f>
        <v>479596.61678931699</v>
      </c>
      <c r="G142" s="62">
        <f t="shared" si="32"/>
        <v>33.479999999999997</v>
      </c>
      <c r="H142" s="4">
        <f>VLOOKUP(A142,[1]SummaryTable!$A$2:$F$359,5,FALSE)</f>
        <v>1</v>
      </c>
      <c r="I142" s="4">
        <f>VLOOKUP(A142,[1]SummaryTable!$A$2:$F$359,6,FALSE)</f>
        <v>0</v>
      </c>
      <c r="J142" s="4" t="str">
        <f>IF(I142&gt;0.1,[2]Processes!$A$6,[2]Processes!$A$5)</f>
        <v>Sawmal</v>
      </c>
      <c r="K142" s="23" t="str">
        <f t="shared" si="33"/>
        <v>-</v>
      </c>
      <c r="L142" s="4" t="str">
        <f t="shared" si="34"/>
        <v>-</v>
      </c>
      <c r="M142" s="4" t="str">
        <f t="shared" si="35"/>
        <v>-</v>
      </c>
      <c r="N142" s="4">
        <f t="shared" si="36"/>
        <v>0</v>
      </c>
      <c r="O142" s="23" t="str">
        <f t="shared" si="37"/>
        <v>-</v>
      </c>
      <c r="P142" s="4" t="str">
        <f t="shared" si="38"/>
        <v>-</v>
      </c>
      <c r="Q142" s="4" t="str">
        <f t="shared" si="39"/>
        <v>-</v>
      </c>
      <c r="R142" s="4">
        <f t="shared" si="40"/>
        <v>0</v>
      </c>
      <c r="S142" s="23" t="str">
        <f t="shared" si="41"/>
        <v>-</v>
      </c>
      <c r="T142" s="4" t="str">
        <f t="shared" si="42"/>
        <v>-</v>
      </c>
      <c r="U142" s="4" t="str">
        <f t="shared" si="43"/>
        <v>-</v>
      </c>
      <c r="V142" s="4">
        <f t="shared" si="44"/>
        <v>0</v>
      </c>
      <c r="W142" s="23">
        <f>VLOOKUP(A142,[1]SummaryTable!$A$2:$F$359,4,FALSE)</f>
        <v>27.9</v>
      </c>
    </row>
    <row r="143" spans="1:23" x14ac:dyDescent="0.25">
      <c r="A143" s="14" t="s">
        <v>318</v>
      </c>
      <c r="B143" s="14" t="str">
        <f t="shared" si="31"/>
        <v>H319</v>
      </c>
      <c r="C143" s="14">
        <v>8</v>
      </c>
      <c r="D143" s="61">
        <v>21</v>
      </c>
      <c r="E143" s="15">
        <f>VLOOKUP(A143,[1]SummaryTable!$A$2:$F$359,2,FALSE)</f>
        <v>6304019.2809433499</v>
      </c>
      <c r="F143" s="15">
        <f>VLOOKUP(A143,[1]SummaryTable!$A$2:$F$359,3,FALSE)</f>
        <v>601462.81144965999</v>
      </c>
      <c r="G143" s="62">
        <f t="shared" si="32"/>
        <v>32.341200000000001</v>
      </c>
      <c r="H143" s="4">
        <f>VLOOKUP(A143,[1]SummaryTable!$A$2:$F$359,5,FALSE)</f>
        <v>1</v>
      </c>
      <c r="I143" s="4">
        <f>VLOOKUP(A143,[1]SummaryTable!$A$2:$F$359,6,FALSE)</f>
        <v>0</v>
      </c>
      <c r="J143" s="4" t="str">
        <f>IF(I143&gt;0.1,[2]Processes!$A$6,[2]Processes!$A$5)</f>
        <v>Sawmal</v>
      </c>
      <c r="K143" s="23" t="str">
        <f t="shared" si="33"/>
        <v>-</v>
      </c>
      <c r="L143" s="4" t="str">
        <f t="shared" si="34"/>
        <v>-</v>
      </c>
      <c r="M143" s="4" t="str">
        <f t="shared" si="35"/>
        <v>-</v>
      </c>
      <c r="N143" s="4">
        <f t="shared" si="36"/>
        <v>0</v>
      </c>
      <c r="O143" s="23" t="str">
        <f t="shared" si="37"/>
        <v>-</v>
      </c>
      <c r="P143" s="4" t="str">
        <f t="shared" si="38"/>
        <v>-</v>
      </c>
      <c r="Q143" s="4" t="str">
        <f t="shared" si="39"/>
        <v>-</v>
      </c>
      <c r="R143" s="4">
        <f t="shared" si="40"/>
        <v>0</v>
      </c>
      <c r="S143" s="23" t="str">
        <f t="shared" si="41"/>
        <v>-</v>
      </c>
      <c r="T143" s="4" t="str">
        <f t="shared" si="42"/>
        <v>-</v>
      </c>
      <c r="U143" s="4" t="str">
        <f t="shared" si="43"/>
        <v>-</v>
      </c>
      <c r="V143" s="4">
        <f t="shared" si="44"/>
        <v>0</v>
      </c>
      <c r="W143" s="23">
        <f>VLOOKUP(A143,[1]SummaryTable!$A$2:$F$359,4,FALSE)</f>
        <v>26.951000000000001</v>
      </c>
    </row>
    <row r="144" spans="1:23" x14ac:dyDescent="0.25">
      <c r="A144" s="14" t="s">
        <v>295</v>
      </c>
      <c r="B144" s="14" t="str">
        <f t="shared" si="31"/>
        <v>H296</v>
      </c>
      <c r="C144" s="14">
        <v>6</v>
      </c>
      <c r="D144" s="61">
        <v>21</v>
      </c>
      <c r="E144" s="15">
        <f>VLOOKUP(A144,[1]SummaryTable!$A$2:$F$359,2,FALSE)</f>
        <v>6362674.1413989598</v>
      </c>
      <c r="F144" s="15">
        <f>VLOOKUP(A144,[1]SummaryTable!$A$2:$F$359,3,FALSE)</f>
        <v>445501.680928924</v>
      </c>
      <c r="G144" s="62">
        <f t="shared" si="32"/>
        <v>31.921199999999999</v>
      </c>
      <c r="H144" s="4">
        <f>VLOOKUP(A144,[1]SummaryTable!$A$2:$F$359,5,FALSE)</f>
        <v>1</v>
      </c>
      <c r="I144" s="4">
        <f>VLOOKUP(A144,[1]SummaryTable!$A$2:$F$359,6,FALSE)</f>
        <v>0</v>
      </c>
      <c r="J144" s="4" t="str">
        <f>IF(I144&gt;0.1,[2]Processes!$A$6,[2]Processes!$A$5)</f>
        <v>Sawmal</v>
      </c>
      <c r="K144" s="23" t="str">
        <f t="shared" si="33"/>
        <v>-</v>
      </c>
      <c r="L144" s="4" t="str">
        <f t="shared" si="34"/>
        <v>-</v>
      </c>
      <c r="M144" s="4" t="str">
        <f t="shared" si="35"/>
        <v>-</v>
      </c>
      <c r="N144" s="4">
        <f t="shared" si="36"/>
        <v>0</v>
      </c>
      <c r="O144" s="23" t="str">
        <f t="shared" si="37"/>
        <v>-</v>
      </c>
      <c r="P144" s="4" t="str">
        <f t="shared" si="38"/>
        <v>-</v>
      </c>
      <c r="Q144" s="4" t="str">
        <f t="shared" si="39"/>
        <v>-</v>
      </c>
      <c r="R144" s="4">
        <f t="shared" si="40"/>
        <v>0</v>
      </c>
      <c r="S144" s="23" t="str">
        <f t="shared" si="41"/>
        <v>-</v>
      </c>
      <c r="T144" s="4" t="str">
        <f t="shared" si="42"/>
        <v>-</v>
      </c>
      <c r="U144" s="4" t="str">
        <f t="shared" si="43"/>
        <v>-</v>
      </c>
      <c r="V144" s="4">
        <f t="shared" si="44"/>
        <v>0</v>
      </c>
      <c r="W144" s="23">
        <f>VLOOKUP(A144,[1]SummaryTable!$A$2:$F$359,4,FALSE)</f>
        <v>26.600999999999999</v>
      </c>
    </row>
    <row r="145" spans="1:23" x14ac:dyDescent="0.25">
      <c r="A145" s="14" t="s">
        <v>334</v>
      </c>
      <c r="B145" s="14" t="str">
        <f t="shared" si="31"/>
        <v>H335</v>
      </c>
      <c r="C145" s="14">
        <v>10</v>
      </c>
      <c r="D145" s="61">
        <v>22</v>
      </c>
      <c r="E145" s="15">
        <f>VLOOKUP(A145,[1]SummaryTable!$A$2:$F$359,2,FALSE)</f>
        <v>6229184.9675980499</v>
      </c>
      <c r="F145" s="15">
        <f>VLOOKUP(A145,[1]SummaryTable!$A$2:$F$359,3,FALSE)</f>
        <v>507306.05280465202</v>
      </c>
      <c r="G145" s="62">
        <f t="shared" si="32"/>
        <v>31.799997599999998</v>
      </c>
      <c r="H145" s="4">
        <f>VLOOKUP(A145,[1]SummaryTable!$A$2:$F$359,5,FALSE)</f>
        <v>1</v>
      </c>
      <c r="I145" s="4">
        <f>VLOOKUP(A145,[1]SummaryTable!$A$2:$F$359,6,FALSE)</f>
        <v>0</v>
      </c>
      <c r="J145" s="4" t="str">
        <f>IF(I145&gt;0.1,[2]Processes!$A$6,[2]Processes!$A$5)</f>
        <v>Sawmal</v>
      </c>
      <c r="K145" s="23" t="str">
        <f t="shared" si="33"/>
        <v>-</v>
      </c>
      <c r="L145" s="4" t="str">
        <f t="shared" si="34"/>
        <v>-</v>
      </c>
      <c r="M145" s="4" t="str">
        <f t="shared" si="35"/>
        <v>-</v>
      </c>
      <c r="N145" s="4">
        <f t="shared" si="36"/>
        <v>0</v>
      </c>
      <c r="O145" s="23" t="str">
        <f t="shared" si="37"/>
        <v>-</v>
      </c>
      <c r="P145" s="4" t="str">
        <f t="shared" si="38"/>
        <v>-</v>
      </c>
      <c r="Q145" s="4" t="str">
        <f t="shared" si="39"/>
        <v>-</v>
      </c>
      <c r="R145" s="4">
        <f t="shared" si="40"/>
        <v>0</v>
      </c>
      <c r="S145" s="23" t="str">
        <f t="shared" si="41"/>
        <v>-</v>
      </c>
      <c r="T145" s="4" t="str">
        <f t="shared" si="42"/>
        <v>-</v>
      </c>
      <c r="U145" s="4" t="str">
        <f t="shared" si="43"/>
        <v>-</v>
      </c>
      <c r="V145" s="4">
        <f t="shared" si="44"/>
        <v>0</v>
      </c>
      <c r="W145" s="23">
        <f>VLOOKUP(A145,[1]SummaryTable!$A$2:$F$359,4,FALSE)</f>
        <v>26.499997999999998</v>
      </c>
    </row>
    <row r="146" spans="1:23" x14ac:dyDescent="0.25">
      <c r="A146" s="14" t="s">
        <v>254</v>
      </c>
      <c r="B146" s="14" t="str">
        <f t="shared" si="31"/>
        <v>H255</v>
      </c>
      <c r="C146" s="14">
        <v>6</v>
      </c>
      <c r="D146" s="61">
        <v>21</v>
      </c>
      <c r="E146" s="15">
        <f>VLOOKUP(A146,[1]SummaryTable!$A$2:$F$359,2,FALSE)</f>
        <v>6416824.0025974596</v>
      </c>
      <c r="F146" s="15">
        <f>VLOOKUP(A146,[1]SummaryTable!$A$2:$F$359,3,FALSE)</f>
        <v>433598.71472676197</v>
      </c>
      <c r="G146" s="62">
        <f t="shared" si="32"/>
        <v>31.68</v>
      </c>
      <c r="H146" s="4">
        <f>VLOOKUP(A146,[1]SummaryTable!$A$2:$F$359,5,FALSE)</f>
        <v>1</v>
      </c>
      <c r="I146" s="4">
        <f>VLOOKUP(A146,[1]SummaryTable!$A$2:$F$359,6,FALSE)</f>
        <v>0</v>
      </c>
      <c r="J146" s="4" t="str">
        <f>IF(I146&gt;0.1,[2]Processes!$A$6,[2]Processes!$A$5)</f>
        <v>Sawmal</v>
      </c>
      <c r="K146" s="23" t="str">
        <f t="shared" si="33"/>
        <v>-</v>
      </c>
      <c r="L146" s="4" t="str">
        <f t="shared" si="34"/>
        <v>-</v>
      </c>
      <c r="M146" s="4" t="str">
        <f t="shared" si="35"/>
        <v>-</v>
      </c>
      <c r="N146" s="4">
        <f t="shared" si="36"/>
        <v>0</v>
      </c>
      <c r="O146" s="23" t="str">
        <f t="shared" si="37"/>
        <v>-</v>
      </c>
      <c r="P146" s="4" t="str">
        <f t="shared" si="38"/>
        <v>-</v>
      </c>
      <c r="Q146" s="4" t="str">
        <f t="shared" si="39"/>
        <v>-</v>
      </c>
      <c r="R146" s="4">
        <f t="shared" si="40"/>
        <v>0</v>
      </c>
      <c r="S146" s="23" t="str">
        <f t="shared" si="41"/>
        <v>-</v>
      </c>
      <c r="T146" s="4" t="str">
        <f t="shared" si="42"/>
        <v>-</v>
      </c>
      <c r="U146" s="4" t="str">
        <f t="shared" si="43"/>
        <v>-</v>
      </c>
      <c r="V146" s="4">
        <f t="shared" si="44"/>
        <v>0</v>
      </c>
      <c r="W146" s="23">
        <f>VLOOKUP(A146,[1]SummaryTable!$A$2:$F$359,4,FALSE)</f>
        <v>26.400000000000002</v>
      </c>
    </row>
    <row r="147" spans="1:23" x14ac:dyDescent="0.25">
      <c r="A147" s="14" t="s">
        <v>206</v>
      </c>
      <c r="B147" s="14" t="str">
        <f t="shared" si="31"/>
        <v>H207</v>
      </c>
      <c r="C147" s="14">
        <v>1</v>
      </c>
      <c r="D147" s="61">
        <v>12</v>
      </c>
      <c r="E147" s="15">
        <f>VLOOKUP(A147,[1]SummaryTable!$A$2:$F$359,2,FALSE)</f>
        <v>6533451.9096664796</v>
      </c>
      <c r="F147" s="15">
        <f>VLOOKUP(A147,[1]SummaryTable!$A$2:$F$359,3,FALSE)</f>
        <v>670170.64406811504</v>
      </c>
      <c r="G147" s="62">
        <f t="shared" si="32"/>
        <v>31.558838399999996</v>
      </c>
      <c r="H147" s="4">
        <f>VLOOKUP(A147,[1]SummaryTable!$A$2:$F$359,5,FALSE)</f>
        <v>1</v>
      </c>
      <c r="I147" s="4">
        <f>VLOOKUP(A147,[1]SummaryTable!$A$2:$F$359,6,FALSE)</f>
        <v>0</v>
      </c>
      <c r="J147" s="4" t="str">
        <f>IF(I147&gt;0.1,[2]Processes!$A$6,[2]Processes!$A$5)</f>
        <v>Sawmal</v>
      </c>
      <c r="K147" s="23" t="str">
        <f t="shared" si="33"/>
        <v>-</v>
      </c>
      <c r="L147" s="4" t="str">
        <f t="shared" si="34"/>
        <v>-</v>
      </c>
      <c r="M147" s="4" t="str">
        <f t="shared" si="35"/>
        <v>-</v>
      </c>
      <c r="N147" s="4">
        <f t="shared" si="36"/>
        <v>0</v>
      </c>
      <c r="O147" s="23" t="str">
        <f t="shared" si="37"/>
        <v>-</v>
      </c>
      <c r="P147" s="4" t="str">
        <f t="shared" si="38"/>
        <v>-</v>
      </c>
      <c r="Q147" s="4" t="str">
        <f t="shared" si="39"/>
        <v>-</v>
      </c>
      <c r="R147" s="4">
        <f t="shared" si="40"/>
        <v>0</v>
      </c>
      <c r="S147" s="23" t="str">
        <f t="shared" si="41"/>
        <v>-</v>
      </c>
      <c r="T147" s="4" t="str">
        <f t="shared" si="42"/>
        <v>-</v>
      </c>
      <c r="U147" s="4" t="str">
        <f t="shared" si="43"/>
        <v>-</v>
      </c>
      <c r="V147" s="4">
        <f t="shared" si="44"/>
        <v>0</v>
      </c>
      <c r="W147" s="23">
        <f>VLOOKUP(A147,[1]SummaryTable!$A$2:$F$359,4,FALSE)</f>
        <v>26.299031999999997</v>
      </c>
    </row>
    <row r="148" spans="1:23" x14ac:dyDescent="0.25">
      <c r="A148" s="14" t="s">
        <v>21</v>
      </c>
      <c r="B148" s="14" t="str">
        <f t="shared" si="31"/>
        <v>H22</v>
      </c>
      <c r="C148" s="14">
        <v>14</v>
      </c>
      <c r="D148" s="61">
        <v>23</v>
      </c>
      <c r="E148" s="15">
        <f>VLOOKUP(A148,[1]SummaryTable!$A$2:$F$359,2,FALSE)</f>
        <v>6439280.6780000003</v>
      </c>
      <c r="F148" s="15">
        <f>VLOOKUP(A148,[1]SummaryTable!$A$2:$F$359,3,FALSE)</f>
        <v>383786.61</v>
      </c>
      <c r="G148" s="62">
        <f t="shared" si="32"/>
        <v>31.520519999999998</v>
      </c>
      <c r="H148" s="4">
        <f>VLOOKUP(A148,[1]SummaryTable!$A$2:$F$359,5,FALSE)</f>
        <v>1</v>
      </c>
      <c r="I148" s="4">
        <f>VLOOKUP(A148,[1]SummaryTable!$A$2:$F$359,6,FALSE)</f>
        <v>0</v>
      </c>
      <c r="J148" s="4" t="str">
        <f>IF(I148&gt;0.1,[2]Processes!$A$6,[2]Processes!$A$5)</f>
        <v>Sawmal</v>
      </c>
      <c r="K148" s="23" t="str">
        <f t="shared" si="33"/>
        <v>-</v>
      </c>
      <c r="L148" s="4" t="str">
        <f t="shared" si="34"/>
        <v>-</v>
      </c>
      <c r="M148" s="4" t="str">
        <f t="shared" si="35"/>
        <v>-</v>
      </c>
      <c r="N148" s="4">
        <f t="shared" si="36"/>
        <v>0</v>
      </c>
      <c r="O148" s="23" t="str">
        <f t="shared" si="37"/>
        <v>-</v>
      </c>
      <c r="P148" s="4" t="str">
        <f t="shared" si="38"/>
        <v>-</v>
      </c>
      <c r="Q148" s="4" t="str">
        <f t="shared" si="39"/>
        <v>-</v>
      </c>
      <c r="R148" s="4">
        <f t="shared" si="40"/>
        <v>0</v>
      </c>
      <c r="S148" s="23" t="str">
        <f t="shared" si="41"/>
        <v>-</v>
      </c>
      <c r="T148" s="4" t="str">
        <f t="shared" si="42"/>
        <v>-</v>
      </c>
      <c r="U148" s="4" t="str">
        <f t="shared" si="43"/>
        <v>-</v>
      </c>
      <c r="V148" s="4">
        <f t="shared" si="44"/>
        <v>0</v>
      </c>
      <c r="W148" s="23">
        <f>VLOOKUP(A148,[1]SummaryTable!$A$2:$F$359,4,FALSE)</f>
        <v>26.267099999999999</v>
      </c>
    </row>
    <row r="149" spans="1:23" x14ac:dyDescent="0.25">
      <c r="A149" s="14" t="s">
        <v>46</v>
      </c>
      <c r="B149" s="14" t="str">
        <f t="shared" si="31"/>
        <v>H47</v>
      </c>
      <c r="C149" s="14">
        <v>25</v>
      </c>
      <c r="D149" s="61">
        <v>33</v>
      </c>
      <c r="E149" s="15">
        <f>VLOOKUP(A149,[1]SummaryTable!$A$2:$F$359,2,FALSE)</f>
        <v>7294078.8309761696</v>
      </c>
      <c r="F149" s="15">
        <f>VLOOKUP(A149,[1]SummaryTable!$A$2:$F$359,3,FALSE)</f>
        <v>829831.23632208596</v>
      </c>
      <c r="G149" s="62">
        <f t="shared" si="32"/>
        <v>31.439999999999998</v>
      </c>
      <c r="H149" s="4">
        <f>VLOOKUP(A149,[1]SummaryTable!$A$2:$F$359,5,FALSE)</f>
        <v>1</v>
      </c>
      <c r="I149" s="4">
        <f>VLOOKUP(A149,[1]SummaryTable!$A$2:$F$359,6,FALSE)</f>
        <v>0</v>
      </c>
      <c r="J149" s="4" t="str">
        <f>IF(I149&gt;0.1,[2]Processes!$A$6,[2]Processes!$A$5)</f>
        <v>Sawmal</v>
      </c>
      <c r="K149" s="23" t="str">
        <f t="shared" si="33"/>
        <v>-</v>
      </c>
      <c r="L149" s="4" t="str">
        <f t="shared" si="34"/>
        <v>-</v>
      </c>
      <c r="M149" s="4" t="str">
        <f t="shared" si="35"/>
        <v>-</v>
      </c>
      <c r="N149" s="4">
        <f t="shared" si="36"/>
        <v>0</v>
      </c>
      <c r="O149" s="23" t="str">
        <f t="shared" si="37"/>
        <v>-</v>
      </c>
      <c r="P149" s="4" t="str">
        <f t="shared" si="38"/>
        <v>-</v>
      </c>
      <c r="Q149" s="4" t="str">
        <f t="shared" si="39"/>
        <v>-</v>
      </c>
      <c r="R149" s="4">
        <f t="shared" si="40"/>
        <v>0</v>
      </c>
      <c r="S149" s="23" t="str">
        <f t="shared" si="41"/>
        <v>-</v>
      </c>
      <c r="T149" s="4" t="str">
        <f t="shared" si="42"/>
        <v>-</v>
      </c>
      <c r="U149" s="4" t="str">
        <f t="shared" si="43"/>
        <v>-</v>
      </c>
      <c r="V149" s="4">
        <f t="shared" si="44"/>
        <v>0</v>
      </c>
      <c r="W149" s="23">
        <f>VLOOKUP(A149,[1]SummaryTable!$A$2:$F$359,4,FALSE)</f>
        <v>26.2</v>
      </c>
    </row>
    <row r="150" spans="1:23" x14ac:dyDescent="0.25">
      <c r="A150" s="14" t="s">
        <v>352</v>
      </c>
      <c r="B150" s="14" t="str">
        <f t="shared" si="31"/>
        <v>H353</v>
      </c>
      <c r="C150" s="14">
        <v>12</v>
      </c>
      <c r="D150" s="61">
        <v>22</v>
      </c>
      <c r="E150" s="15">
        <f>VLOOKUP(A150,[1]SummaryTable!$A$2:$F$359,2,FALSE)</f>
        <v>6165233.6077760598</v>
      </c>
      <c r="F150" s="15">
        <f>VLOOKUP(A150,[1]SummaryTable!$A$2:$F$359,3,FALSE)</f>
        <v>386048.65733774099</v>
      </c>
      <c r="G150" s="62">
        <f t="shared" si="32"/>
        <v>31.101599999999998</v>
      </c>
      <c r="H150" s="4">
        <f>VLOOKUP(A150,[1]SummaryTable!$A$2:$F$359,5,FALSE)</f>
        <v>1</v>
      </c>
      <c r="I150" s="4">
        <f>VLOOKUP(A150,[1]SummaryTable!$A$2:$F$359,6,FALSE)</f>
        <v>0</v>
      </c>
      <c r="J150" s="4" t="str">
        <f>IF(I150&gt;0.1,[2]Processes!$A$6,[2]Processes!$A$5)</f>
        <v>Sawmal</v>
      </c>
      <c r="K150" s="23" t="str">
        <f t="shared" si="33"/>
        <v>-</v>
      </c>
      <c r="L150" s="4" t="str">
        <f t="shared" si="34"/>
        <v>-</v>
      </c>
      <c r="M150" s="4" t="str">
        <f t="shared" si="35"/>
        <v>-</v>
      </c>
      <c r="N150" s="4">
        <f t="shared" si="36"/>
        <v>0</v>
      </c>
      <c r="O150" s="23" t="str">
        <f t="shared" si="37"/>
        <v>-</v>
      </c>
      <c r="P150" s="4" t="str">
        <f t="shared" si="38"/>
        <v>-</v>
      </c>
      <c r="Q150" s="4" t="str">
        <f t="shared" si="39"/>
        <v>-</v>
      </c>
      <c r="R150" s="4">
        <f t="shared" si="40"/>
        <v>0</v>
      </c>
      <c r="S150" s="23" t="str">
        <f t="shared" si="41"/>
        <v>-</v>
      </c>
      <c r="T150" s="4" t="str">
        <f t="shared" si="42"/>
        <v>-</v>
      </c>
      <c r="U150" s="4" t="str">
        <f t="shared" si="43"/>
        <v>-</v>
      </c>
      <c r="V150" s="4">
        <f t="shared" si="44"/>
        <v>0</v>
      </c>
      <c r="W150" s="23">
        <f>VLOOKUP(A150,[1]SummaryTable!$A$2:$F$359,4,FALSE)</f>
        <v>25.917999999999999</v>
      </c>
    </row>
    <row r="151" spans="1:23" x14ac:dyDescent="0.25">
      <c r="A151" s="14" t="s">
        <v>35</v>
      </c>
      <c r="B151" s="14" t="str">
        <f t="shared" si="31"/>
        <v>H36</v>
      </c>
      <c r="C151" s="14">
        <v>12</v>
      </c>
      <c r="D151" s="61">
        <v>22</v>
      </c>
      <c r="E151" s="15">
        <f>VLOOKUP(A151,[1]SummaryTable!$A$2:$F$359,2,FALSE)</f>
        <v>6218089.7850000001</v>
      </c>
      <c r="F151" s="15">
        <f>VLOOKUP(A151,[1]SummaryTable!$A$2:$F$359,3,FALSE)</f>
        <v>370458.94900000002</v>
      </c>
      <c r="G151" s="62">
        <f t="shared" si="32"/>
        <v>30.991199999999999</v>
      </c>
      <c r="H151" s="4">
        <f>VLOOKUP(A151,[1]SummaryTable!$A$2:$F$359,5,FALSE)</f>
        <v>1</v>
      </c>
      <c r="I151" s="4">
        <f>VLOOKUP(A151,[1]SummaryTable!$A$2:$F$359,6,FALSE)</f>
        <v>0</v>
      </c>
      <c r="J151" s="4" t="str">
        <f>IF(I151&gt;0.1,[2]Processes!$A$6,[2]Processes!$A$5)</f>
        <v>Sawmal</v>
      </c>
      <c r="K151" s="23" t="str">
        <f t="shared" si="33"/>
        <v>-</v>
      </c>
      <c r="L151" s="4" t="str">
        <f t="shared" si="34"/>
        <v>-</v>
      </c>
      <c r="M151" s="4" t="str">
        <f t="shared" si="35"/>
        <v>-</v>
      </c>
      <c r="N151" s="4">
        <f t="shared" si="36"/>
        <v>0</v>
      </c>
      <c r="O151" s="23" t="str">
        <f t="shared" si="37"/>
        <v>-</v>
      </c>
      <c r="P151" s="4" t="str">
        <f t="shared" si="38"/>
        <v>-</v>
      </c>
      <c r="Q151" s="4" t="str">
        <f t="shared" si="39"/>
        <v>-</v>
      </c>
      <c r="R151" s="4">
        <f t="shared" si="40"/>
        <v>0</v>
      </c>
      <c r="S151" s="23" t="str">
        <f t="shared" si="41"/>
        <v>-</v>
      </c>
      <c r="T151" s="4" t="str">
        <f t="shared" si="42"/>
        <v>-</v>
      </c>
      <c r="U151" s="4" t="str">
        <f t="shared" si="43"/>
        <v>-</v>
      </c>
      <c r="V151" s="4">
        <f t="shared" si="44"/>
        <v>0</v>
      </c>
      <c r="W151" s="23">
        <f>VLOOKUP(A151,[1]SummaryTable!$A$2:$F$359,4,FALSE)</f>
        <v>25.826000000000001</v>
      </c>
    </row>
    <row r="152" spans="1:23" x14ac:dyDescent="0.25">
      <c r="A152" s="14" t="s">
        <v>88</v>
      </c>
      <c r="B152" s="14" t="str">
        <f t="shared" si="31"/>
        <v>H89</v>
      </c>
      <c r="C152" s="14">
        <v>23</v>
      </c>
      <c r="D152" s="61">
        <v>12</v>
      </c>
      <c r="E152" s="15">
        <f>VLOOKUP(A152,[1]SummaryTable!$A$2:$F$359,2,FALSE)</f>
        <v>6955607.3430477204</v>
      </c>
      <c r="F152" s="15">
        <f>VLOOKUP(A152,[1]SummaryTable!$A$2:$F$359,3,FALSE)</f>
        <v>521729.179399329</v>
      </c>
      <c r="G152" s="62">
        <f t="shared" si="32"/>
        <v>30.96</v>
      </c>
      <c r="H152" s="4">
        <f>VLOOKUP(A152,[1]SummaryTable!$A$2:$F$359,5,FALSE)</f>
        <v>1</v>
      </c>
      <c r="I152" s="4">
        <f>VLOOKUP(A152,[1]SummaryTable!$A$2:$F$359,6,FALSE)</f>
        <v>0</v>
      </c>
      <c r="J152" s="4" t="str">
        <f>IF(I152&gt;0.1,[2]Processes!$A$6,[2]Processes!$A$5)</f>
        <v>Sawmal</v>
      </c>
      <c r="K152" s="23" t="str">
        <f t="shared" si="33"/>
        <v>-</v>
      </c>
      <c r="L152" s="4" t="str">
        <f t="shared" si="34"/>
        <v>-</v>
      </c>
      <c r="M152" s="4" t="str">
        <f t="shared" si="35"/>
        <v>-</v>
      </c>
      <c r="N152" s="4">
        <f t="shared" si="36"/>
        <v>0</v>
      </c>
      <c r="O152" s="23" t="str">
        <f t="shared" si="37"/>
        <v>-</v>
      </c>
      <c r="P152" s="4" t="str">
        <f t="shared" si="38"/>
        <v>-</v>
      </c>
      <c r="Q152" s="4" t="str">
        <f t="shared" si="39"/>
        <v>-</v>
      </c>
      <c r="R152" s="4">
        <f t="shared" si="40"/>
        <v>0</v>
      </c>
      <c r="S152" s="23" t="str">
        <f t="shared" si="41"/>
        <v>-</v>
      </c>
      <c r="T152" s="4" t="str">
        <f t="shared" si="42"/>
        <v>-</v>
      </c>
      <c r="U152" s="4" t="str">
        <f t="shared" si="43"/>
        <v>-</v>
      </c>
      <c r="V152" s="4">
        <f t="shared" si="44"/>
        <v>0</v>
      </c>
      <c r="W152" s="23">
        <f>VLOOKUP(A152,[1]SummaryTable!$A$2:$F$359,4,FALSE)</f>
        <v>25.8</v>
      </c>
    </row>
    <row r="153" spans="1:23" x14ac:dyDescent="0.25">
      <c r="A153" s="14" t="s">
        <v>110</v>
      </c>
      <c r="B153" s="14" t="str">
        <f t="shared" si="31"/>
        <v>H111</v>
      </c>
      <c r="C153" s="14">
        <v>21</v>
      </c>
      <c r="D153" s="61">
        <v>31</v>
      </c>
      <c r="E153" s="15">
        <f>VLOOKUP(A153,[1]SummaryTable!$A$2:$F$359,2,FALSE)</f>
        <v>6788204.0264717098</v>
      </c>
      <c r="F153" s="15">
        <f>VLOOKUP(A153,[1]SummaryTable!$A$2:$F$359,3,FALSE)</f>
        <v>584275.97883665503</v>
      </c>
      <c r="G153" s="62">
        <f t="shared" si="32"/>
        <v>30.9</v>
      </c>
      <c r="H153" s="4">
        <f>VLOOKUP(A153,[1]SummaryTable!$A$2:$F$359,5,FALSE)</f>
        <v>1</v>
      </c>
      <c r="I153" s="4">
        <f>VLOOKUP(A153,[1]SummaryTable!$A$2:$F$359,6,FALSE)</f>
        <v>0</v>
      </c>
      <c r="J153" s="4" t="str">
        <f>IF(I153&gt;0.1,[2]Processes!$A$6,[2]Processes!$A$5)</f>
        <v>Sawmal</v>
      </c>
      <c r="K153" s="23" t="str">
        <f t="shared" si="33"/>
        <v>-</v>
      </c>
      <c r="L153" s="4" t="str">
        <f t="shared" si="34"/>
        <v>-</v>
      </c>
      <c r="M153" s="4" t="str">
        <f t="shared" si="35"/>
        <v>-</v>
      </c>
      <c r="N153" s="4">
        <f t="shared" si="36"/>
        <v>0</v>
      </c>
      <c r="O153" s="23" t="str">
        <f t="shared" si="37"/>
        <v>-</v>
      </c>
      <c r="P153" s="4" t="str">
        <f t="shared" si="38"/>
        <v>-</v>
      </c>
      <c r="Q153" s="4" t="str">
        <f t="shared" si="39"/>
        <v>-</v>
      </c>
      <c r="R153" s="4">
        <f t="shared" si="40"/>
        <v>0</v>
      </c>
      <c r="S153" s="23" t="str">
        <f t="shared" si="41"/>
        <v>-</v>
      </c>
      <c r="T153" s="4" t="str">
        <f t="shared" si="42"/>
        <v>-</v>
      </c>
      <c r="U153" s="4" t="str">
        <f t="shared" si="43"/>
        <v>-</v>
      </c>
      <c r="V153" s="4">
        <f t="shared" si="44"/>
        <v>0</v>
      </c>
      <c r="W153" s="23">
        <f>VLOOKUP(A153,[1]SummaryTable!$A$2:$F$359,4,FALSE)</f>
        <v>25.75</v>
      </c>
    </row>
    <row r="154" spans="1:23" x14ac:dyDescent="0.25">
      <c r="A154" s="14" t="s">
        <v>173</v>
      </c>
      <c r="B154" s="14" t="str">
        <f t="shared" si="31"/>
        <v>H174</v>
      </c>
      <c r="C154" s="14">
        <v>1</v>
      </c>
      <c r="D154" s="61">
        <v>12</v>
      </c>
      <c r="E154" s="15">
        <f>VLOOKUP(A154,[1]SummaryTable!$A$2:$F$359,2,FALSE)</f>
        <v>6589922.8736690097</v>
      </c>
      <c r="F154" s="15">
        <f>VLOOKUP(A154,[1]SummaryTable!$A$2:$F$359,3,FALSE)</f>
        <v>690243.69264328701</v>
      </c>
      <c r="G154" s="62">
        <f t="shared" si="32"/>
        <v>30.479999999999997</v>
      </c>
      <c r="H154" s="4">
        <f>VLOOKUP(A154,[1]SummaryTable!$A$2:$F$359,5,FALSE)</f>
        <v>1</v>
      </c>
      <c r="I154" s="4">
        <f>VLOOKUP(A154,[1]SummaryTable!$A$2:$F$359,6,FALSE)</f>
        <v>0</v>
      </c>
      <c r="J154" s="4" t="str">
        <f>IF(I154&gt;0.1,[2]Processes!$A$6,[2]Processes!$A$5)</f>
        <v>Sawmal</v>
      </c>
      <c r="K154" s="23" t="str">
        <f t="shared" si="33"/>
        <v>-</v>
      </c>
      <c r="L154" s="4" t="str">
        <f t="shared" si="34"/>
        <v>-</v>
      </c>
      <c r="M154" s="4" t="str">
        <f t="shared" si="35"/>
        <v>-</v>
      </c>
      <c r="N154" s="4">
        <f t="shared" si="36"/>
        <v>0</v>
      </c>
      <c r="O154" s="23" t="str">
        <f t="shared" si="37"/>
        <v>-</v>
      </c>
      <c r="P154" s="4" t="str">
        <f t="shared" si="38"/>
        <v>-</v>
      </c>
      <c r="Q154" s="4" t="str">
        <f t="shared" si="39"/>
        <v>-</v>
      </c>
      <c r="R154" s="4">
        <f t="shared" si="40"/>
        <v>0</v>
      </c>
      <c r="S154" s="23" t="str">
        <f t="shared" si="41"/>
        <v>-</v>
      </c>
      <c r="T154" s="4" t="str">
        <f t="shared" si="42"/>
        <v>-</v>
      </c>
      <c r="U154" s="4" t="str">
        <f t="shared" si="43"/>
        <v>-</v>
      </c>
      <c r="V154" s="4">
        <f t="shared" si="44"/>
        <v>0</v>
      </c>
      <c r="W154" s="23">
        <f>VLOOKUP(A154,[1]SummaryTable!$A$2:$F$359,4,FALSE)</f>
        <v>25.4</v>
      </c>
    </row>
    <row r="155" spans="1:23" x14ac:dyDescent="0.25">
      <c r="A155" s="14" t="s">
        <v>350</v>
      </c>
      <c r="B155" s="14" t="str">
        <f t="shared" si="31"/>
        <v>H351</v>
      </c>
      <c r="C155" s="14">
        <v>12</v>
      </c>
      <c r="D155" s="61">
        <v>22</v>
      </c>
      <c r="E155" s="15">
        <f>VLOOKUP(A155,[1]SummaryTable!$A$2:$F$359,2,FALSE)</f>
        <v>6189770.4136367599</v>
      </c>
      <c r="F155" s="15">
        <f>VLOOKUP(A155,[1]SummaryTable!$A$2:$F$359,3,FALSE)</f>
        <v>364289.41447054502</v>
      </c>
      <c r="G155" s="62">
        <f t="shared" si="32"/>
        <v>30.24</v>
      </c>
      <c r="H155" s="4">
        <f>VLOOKUP(A155,[1]SummaryTable!$A$2:$F$359,5,FALSE)</f>
        <v>1</v>
      </c>
      <c r="I155" s="4">
        <f>VLOOKUP(A155,[1]SummaryTable!$A$2:$F$359,6,FALSE)</f>
        <v>0</v>
      </c>
      <c r="J155" s="4" t="str">
        <f>IF(I155&gt;0.1,[2]Processes!$A$6,[2]Processes!$A$5)</f>
        <v>Sawmal</v>
      </c>
      <c r="K155" s="23" t="str">
        <f t="shared" si="33"/>
        <v>-</v>
      </c>
      <c r="L155" s="4" t="str">
        <f t="shared" si="34"/>
        <v>-</v>
      </c>
      <c r="M155" s="4" t="str">
        <f t="shared" si="35"/>
        <v>-</v>
      </c>
      <c r="N155" s="4">
        <f t="shared" si="36"/>
        <v>0</v>
      </c>
      <c r="O155" s="23" t="str">
        <f t="shared" si="37"/>
        <v>-</v>
      </c>
      <c r="P155" s="4" t="str">
        <f t="shared" si="38"/>
        <v>-</v>
      </c>
      <c r="Q155" s="4" t="str">
        <f t="shared" si="39"/>
        <v>-</v>
      </c>
      <c r="R155" s="4">
        <f t="shared" si="40"/>
        <v>0</v>
      </c>
      <c r="S155" s="23" t="str">
        <f t="shared" si="41"/>
        <v>-</v>
      </c>
      <c r="T155" s="4" t="str">
        <f t="shared" si="42"/>
        <v>-</v>
      </c>
      <c r="U155" s="4" t="str">
        <f t="shared" si="43"/>
        <v>-</v>
      </c>
      <c r="V155" s="4">
        <f t="shared" si="44"/>
        <v>0</v>
      </c>
      <c r="W155" s="23">
        <f>VLOOKUP(A155,[1]SummaryTable!$A$2:$F$359,4,FALSE)</f>
        <v>25.2</v>
      </c>
    </row>
    <row r="156" spans="1:23" x14ac:dyDescent="0.25">
      <c r="A156" s="14" t="s">
        <v>98</v>
      </c>
      <c r="B156" s="14" t="str">
        <f t="shared" si="31"/>
        <v>H99</v>
      </c>
      <c r="C156" s="14">
        <v>22</v>
      </c>
      <c r="D156" s="61">
        <v>12</v>
      </c>
      <c r="E156" s="15">
        <f>VLOOKUP(A156,[1]SummaryTable!$A$2:$F$359,2,FALSE)</f>
        <v>6908751.5130666597</v>
      </c>
      <c r="F156" s="15">
        <f>VLOOKUP(A156,[1]SummaryTable!$A$2:$F$359,3,FALSE)</f>
        <v>623362.40935463004</v>
      </c>
      <c r="G156" s="62">
        <f t="shared" si="32"/>
        <v>29.935200000000002</v>
      </c>
      <c r="H156" s="4">
        <f>VLOOKUP(A156,[1]SummaryTable!$A$2:$F$359,5,FALSE)</f>
        <v>1</v>
      </c>
      <c r="I156" s="4">
        <f>VLOOKUP(A156,[1]SummaryTable!$A$2:$F$359,6,FALSE)</f>
        <v>0</v>
      </c>
      <c r="J156" s="4" t="str">
        <f>IF(I156&gt;0.1,[2]Processes!$A$6,[2]Processes!$A$5)</f>
        <v>Sawmal</v>
      </c>
      <c r="K156" s="23" t="str">
        <f t="shared" si="33"/>
        <v>-</v>
      </c>
      <c r="L156" s="4" t="str">
        <f t="shared" si="34"/>
        <v>-</v>
      </c>
      <c r="M156" s="4" t="str">
        <f t="shared" si="35"/>
        <v>-</v>
      </c>
      <c r="N156" s="4">
        <f t="shared" si="36"/>
        <v>0</v>
      </c>
      <c r="O156" s="23" t="str">
        <f t="shared" si="37"/>
        <v>-</v>
      </c>
      <c r="P156" s="4" t="str">
        <f t="shared" si="38"/>
        <v>-</v>
      </c>
      <c r="Q156" s="4" t="str">
        <f t="shared" si="39"/>
        <v>-</v>
      </c>
      <c r="R156" s="4">
        <f t="shared" si="40"/>
        <v>0</v>
      </c>
      <c r="S156" s="23" t="str">
        <f t="shared" si="41"/>
        <v>-</v>
      </c>
      <c r="T156" s="4" t="str">
        <f t="shared" si="42"/>
        <v>-</v>
      </c>
      <c r="U156" s="4" t="str">
        <f t="shared" si="43"/>
        <v>-</v>
      </c>
      <c r="V156" s="4">
        <f t="shared" si="44"/>
        <v>0</v>
      </c>
      <c r="W156" s="23">
        <f>VLOOKUP(A156,[1]SummaryTable!$A$2:$F$359,4,FALSE)</f>
        <v>24.946000000000002</v>
      </c>
    </row>
    <row r="157" spans="1:23" x14ac:dyDescent="0.25">
      <c r="A157" s="14" t="s">
        <v>252</v>
      </c>
      <c r="B157" s="14" t="str">
        <f t="shared" si="31"/>
        <v>H253</v>
      </c>
      <c r="C157" s="14">
        <v>5</v>
      </c>
      <c r="D157" s="61">
        <v>12</v>
      </c>
      <c r="E157" s="15">
        <f>VLOOKUP(A157,[1]SummaryTable!$A$2:$F$359,2,FALSE)</f>
        <v>6425428.0269822301</v>
      </c>
      <c r="F157" s="15">
        <f>VLOOKUP(A157,[1]SummaryTable!$A$2:$F$359,3,FALSE)</f>
        <v>537555.60749056505</v>
      </c>
      <c r="G157" s="62">
        <f t="shared" si="32"/>
        <v>29.788199999999996</v>
      </c>
      <c r="H157" s="4">
        <f>VLOOKUP(A157,[1]SummaryTable!$A$2:$F$359,5,FALSE)</f>
        <v>1</v>
      </c>
      <c r="I157" s="4">
        <f>VLOOKUP(A157,[1]SummaryTable!$A$2:$F$359,6,FALSE)</f>
        <v>0</v>
      </c>
      <c r="J157" s="4" t="str">
        <f>IF(I157&gt;0.1,[2]Processes!$A$6,[2]Processes!$A$5)</f>
        <v>Sawmal</v>
      </c>
      <c r="K157" s="23" t="str">
        <f t="shared" si="33"/>
        <v>-</v>
      </c>
      <c r="L157" s="4" t="str">
        <f t="shared" si="34"/>
        <v>-</v>
      </c>
      <c r="M157" s="4" t="str">
        <f t="shared" si="35"/>
        <v>-</v>
      </c>
      <c r="N157" s="4">
        <f t="shared" si="36"/>
        <v>0</v>
      </c>
      <c r="O157" s="23" t="str">
        <f t="shared" si="37"/>
        <v>-</v>
      </c>
      <c r="P157" s="4" t="str">
        <f t="shared" si="38"/>
        <v>-</v>
      </c>
      <c r="Q157" s="4" t="str">
        <f t="shared" si="39"/>
        <v>-</v>
      </c>
      <c r="R157" s="4">
        <f t="shared" si="40"/>
        <v>0</v>
      </c>
      <c r="S157" s="23" t="str">
        <f t="shared" si="41"/>
        <v>-</v>
      </c>
      <c r="T157" s="4" t="str">
        <f t="shared" si="42"/>
        <v>-</v>
      </c>
      <c r="U157" s="4" t="str">
        <f t="shared" si="43"/>
        <v>-</v>
      </c>
      <c r="V157" s="4">
        <f t="shared" si="44"/>
        <v>0</v>
      </c>
      <c r="W157" s="23">
        <f>VLOOKUP(A157,[1]SummaryTable!$A$2:$F$359,4,FALSE)</f>
        <v>24.823499999999999</v>
      </c>
    </row>
    <row r="158" spans="1:23" x14ac:dyDescent="0.25">
      <c r="A158" s="14" t="s">
        <v>81</v>
      </c>
      <c r="B158" s="14" t="str">
        <f t="shared" si="31"/>
        <v>H82</v>
      </c>
      <c r="C158" s="14">
        <v>23</v>
      </c>
      <c r="D158" s="61">
        <v>12</v>
      </c>
      <c r="E158" s="15">
        <f>VLOOKUP(A158,[1]SummaryTable!$A$2:$F$359,2,FALSE)</f>
        <v>7019269.40801581</v>
      </c>
      <c r="F158" s="15">
        <f>VLOOKUP(A158,[1]SummaryTable!$A$2:$F$359,3,FALSE)</f>
        <v>472418.776527151</v>
      </c>
      <c r="G158" s="62">
        <f t="shared" si="32"/>
        <v>29.216519999999996</v>
      </c>
      <c r="H158" s="4">
        <f>VLOOKUP(A158,[1]SummaryTable!$A$2:$F$359,5,FALSE)</f>
        <v>1</v>
      </c>
      <c r="I158" s="4">
        <f>VLOOKUP(A158,[1]SummaryTable!$A$2:$F$359,6,FALSE)</f>
        <v>0</v>
      </c>
      <c r="J158" s="4" t="str">
        <f>IF(I158&gt;0.1,[2]Processes!$A$6,[2]Processes!$A$5)</f>
        <v>Sawmal</v>
      </c>
      <c r="K158" s="23" t="str">
        <f t="shared" si="33"/>
        <v>-</v>
      </c>
      <c r="L158" s="4" t="str">
        <f t="shared" si="34"/>
        <v>-</v>
      </c>
      <c r="M158" s="4" t="str">
        <f t="shared" si="35"/>
        <v>-</v>
      </c>
      <c r="N158" s="4">
        <f t="shared" si="36"/>
        <v>0</v>
      </c>
      <c r="O158" s="23" t="str">
        <f t="shared" si="37"/>
        <v>-</v>
      </c>
      <c r="P158" s="4" t="str">
        <f t="shared" si="38"/>
        <v>-</v>
      </c>
      <c r="Q158" s="4" t="str">
        <f t="shared" si="39"/>
        <v>-</v>
      </c>
      <c r="R158" s="4">
        <f t="shared" si="40"/>
        <v>0</v>
      </c>
      <c r="S158" s="23" t="str">
        <f t="shared" si="41"/>
        <v>-</v>
      </c>
      <c r="T158" s="4" t="str">
        <f t="shared" si="42"/>
        <v>-</v>
      </c>
      <c r="U158" s="4" t="str">
        <f t="shared" si="43"/>
        <v>-</v>
      </c>
      <c r="V158" s="4">
        <f t="shared" si="44"/>
        <v>0</v>
      </c>
      <c r="W158" s="23">
        <f>VLOOKUP(A158,[1]SummaryTable!$A$2:$F$359,4,FALSE)</f>
        <v>24.347099999999998</v>
      </c>
    </row>
    <row r="159" spans="1:23" x14ac:dyDescent="0.25">
      <c r="A159" s="14" t="s">
        <v>341</v>
      </c>
      <c r="B159" s="14" t="str">
        <f t="shared" si="31"/>
        <v>H342</v>
      </c>
      <c r="C159" s="14">
        <v>12</v>
      </c>
      <c r="D159" s="61">
        <v>22</v>
      </c>
      <c r="E159" s="15">
        <f>VLOOKUP(A159,[1]SummaryTable!$A$2:$F$359,2,FALSE)</f>
        <v>6221609.8224939797</v>
      </c>
      <c r="F159" s="15">
        <f>VLOOKUP(A159,[1]SummaryTable!$A$2:$F$359,3,FALSE)</f>
        <v>413151.92461101199</v>
      </c>
      <c r="G159" s="62">
        <f t="shared" si="32"/>
        <v>28.92</v>
      </c>
      <c r="H159" s="4">
        <f>VLOOKUP(A159,[1]SummaryTable!$A$2:$F$359,5,FALSE)</f>
        <v>1</v>
      </c>
      <c r="I159" s="4">
        <f>VLOOKUP(A159,[1]SummaryTable!$A$2:$F$359,6,FALSE)</f>
        <v>0</v>
      </c>
      <c r="J159" s="4" t="str">
        <f>IF(I159&gt;0.1,[2]Processes!$A$6,[2]Processes!$A$5)</f>
        <v>Sawmal</v>
      </c>
      <c r="K159" s="23" t="str">
        <f t="shared" si="33"/>
        <v>-</v>
      </c>
      <c r="L159" s="4" t="str">
        <f t="shared" si="34"/>
        <v>-</v>
      </c>
      <c r="M159" s="4" t="str">
        <f t="shared" si="35"/>
        <v>-</v>
      </c>
      <c r="N159" s="4">
        <f t="shared" si="36"/>
        <v>0</v>
      </c>
      <c r="O159" s="23" t="str">
        <f t="shared" si="37"/>
        <v>-</v>
      </c>
      <c r="P159" s="4" t="str">
        <f t="shared" si="38"/>
        <v>-</v>
      </c>
      <c r="Q159" s="4" t="str">
        <f t="shared" si="39"/>
        <v>-</v>
      </c>
      <c r="R159" s="4">
        <f t="shared" si="40"/>
        <v>0</v>
      </c>
      <c r="S159" s="23" t="str">
        <f t="shared" si="41"/>
        <v>-</v>
      </c>
      <c r="T159" s="4" t="str">
        <f t="shared" si="42"/>
        <v>-</v>
      </c>
      <c r="U159" s="4" t="str">
        <f t="shared" si="43"/>
        <v>-</v>
      </c>
      <c r="V159" s="4">
        <f t="shared" si="44"/>
        <v>0</v>
      </c>
      <c r="W159" s="23">
        <f>VLOOKUP(A159,[1]SummaryTable!$A$2:$F$359,4,FALSE)</f>
        <v>24.1</v>
      </c>
    </row>
    <row r="160" spans="1:23" x14ac:dyDescent="0.25">
      <c r="A160" s="14" t="s">
        <v>145</v>
      </c>
      <c r="B160" s="14" t="str">
        <f t="shared" si="31"/>
        <v>H146</v>
      </c>
      <c r="C160" s="14">
        <v>3</v>
      </c>
      <c r="D160" s="61">
        <v>12</v>
      </c>
      <c r="E160" s="15">
        <f>VLOOKUP(A160,[1]SummaryTable!$A$2:$F$359,2,FALSE)</f>
        <v>6649821.6294332296</v>
      </c>
      <c r="F160" s="15">
        <f>VLOOKUP(A160,[1]SummaryTable!$A$2:$F$359,3,FALSE)</f>
        <v>651152.04095974402</v>
      </c>
      <c r="G160" s="62">
        <f t="shared" si="32"/>
        <v>28.439999999999998</v>
      </c>
      <c r="H160" s="4">
        <f>VLOOKUP(A160,[1]SummaryTable!$A$2:$F$359,5,FALSE)</f>
        <v>1</v>
      </c>
      <c r="I160" s="4">
        <f>VLOOKUP(A160,[1]SummaryTable!$A$2:$F$359,6,FALSE)</f>
        <v>0</v>
      </c>
      <c r="J160" s="4" t="str">
        <f>IF(I160&gt;0.1,[2]Processes!$A$6,[2]Processes!$A$5)</f>
        <v>Sawmal</v>
      </c>
      <c r="K160" s="23" t="str">
        <f t="shared" si="33"/>
        <v>-</v>
      </c>
      <c r="L160" s="4" t="str">
        <f t="shared" si="34"/>
        <v>-</v>
      </c>
      <c r="M160" s="4" t="str">
        <f t="shared" si="35"/>
        <v>-</v>
      </c>
      <c r="N160" s="4">
        <f t="shared" si="36"/>
        <v>0</v>
      </c>
      <c r="O160" s="23" t="str">
        <f t="shared" si="37"/>
        <v>-</v>
      </c>
      <c r="P160" s="4" t="str">
        <f t="shared" si="38"/>
        <v>-</v>
      </c>
      <c r="Q160" s="4" t="str">
        <f t="shared" si="39"/>
        <v>-</v>
      </c>
      <c r="R160" s="4">
        <f t="shared" si="40"/>
        <v>0</v>
      </c>
      <c r="S160" s="23" t="str">
        <f t="shared" si="41"/>
        <v>-</v>
      </c>
      <c r="T160" s="4" t="str">
        <f t="shared" si="42"/>
        <v>-</v>
      </c>
      <c r="U160" s="4" t="str">
        <f t="shared" si="43"/>
        <v>-</v>
      </c>
      <c r="V160" s="4">
        <f t="shared" si="44"/>
        <v>0</v>
      </c>
      <c r="W160" s="23">
        <f>VLOOKUP(A160,[1]SummaryTable!$A$2:$F$359,4,FALSE)</f>
        <v>23.7</v>
      </c>
    </row>
    <row r="161" spans="1:23" x14ac:dyDescent="0.25">
      <c r="A161" s="14" t="s">
        <v>207</v>
      </c>
      <c r="B161" s="14" t="str">
        <f t="shared" si="31"/>
        <v>H208</v>
      </c>
      <c r="C161" s="14">
        <v>4</v>
      </c>
      <c r="D161" s="61">
        <v>12</v>
      </c>
      <c r="E161" s="15">
        <f>VLOOKUP(A161,[1]SummaryTable!$A$2:$F$359,2,FALSE)</f>
        <v>6530893.2141135</v>
      </c>
      <c r="F161" s="15">
        <f>VLOOKUP(A161,[1]SummaryTable!$A$2:$F$359,3,FALSE)</f>
        <v>646853.669883052</v>
      </c>
      <c r="G161" s="62">
        <f t="shared" si="32"/>
        <v>28.163999999999998</v>
      </c>
      <c r="H161" s="4">
        <f>VLOOKUP(A161,[1]SummaryTable!$A$2:$F$359,5,FALSE)</f>
        <v>1</v>
      </c>
      <c r="I161" s="4">
        <f>VLOOKUP(A161,[1]SummaryTable!$A$2:$F$359,6,FALSE)</f>
        <v>0</v>
      </c>
      <c r="J161" s="4" t="str">
        <f>IF(I161&gt;0.1,[2]Processes!$A$6,[2]Processes!$A$5)</f>
        <v>Sawmal</v>
      </c>
      <c r="K161" s="23" t="str">
        <f t="shared" si="33"/>
        <v>-</v>
      </c>
      <c r="L161" s="4" t="str">
        <f t="shared" si="34"/>
        <v>-</v>
      </c>
      <c r="M161" s="4" t="str">
        <f t="shared" si="35"/>
        <v>-</v>
      </c>
      <c r="N161" s="4">
        <f t="shared" si="36"/>
        <v>0</v>
      </c>
      <c r="O161" s="23" t="str">
        <f t="shared" si="37"/>
        <v>-</v>
      </c>
      <c r="P161" s="4" t="str">
        <f t="shared" si="38"/>
        <v>-</v>
      </c>
      <c r="Q161" s="4" t="str">
        <f t="shared" si="39"/>
        <v>-</v>
      </c>
      <c r="R161" s="4">
        <f t="shared" si="40"/>
        <v>0</v>
      </c>
      <c r="S161" s="23" t="str">
        <f t="shared" si="41"/>
        <v>-</v>
      </c>
      <c r="T161" s="4" t="str">
        <f t="shared" si="42"/>
        <v>-</v>
      </c>
      <c r="U161" s="4" t="str">
        <f t="shared" si="43"/>
        <v>-</v>
      </c>
      <c r="V161" s="4">
        <f t="shared" si="44"/>
        <v>0</v>
      </c>
      <c r="W161" s="23">
        <f>VLOOKUP(A161,[1]SummaryTable!$A$2:$F$359,4,FALSE)</f>
        <v>23.47</v>
      </c>
    </row>
    <row r="162" spans="1:23" x14ac:dyDescent="0.25">
      <c r="A162" s="14" t="s">
        <v>321</v>
      </c>
      <c r="B162" s="14" t="str">
        <f t="shared" si="31"/>
        <v>H322</v>
      </c>
      <c r="C162" s="14">
        <v>7</v>
      </c>
      <c r="D162" s="61">
        <v>21</v>
      </c>
      <c r="E162" s="15">
        <f>VLOOKUP(A162,[1]SummaryTable!$A$2:$F$359,2,FALSE)</f>
        <v>6291209.5754656</v>
      </c>
      <c r="F162" s="15">
        <f>VLOOKUP(A162,[1]SummaryTable!$A$2:$F$359,3,FALSE)</f>
        <v>466615.57397045498</v>
      </c>
      <c r="G162" s="62">
        <f t="shared" si="32"/>
        <v>27.36</v>
      </c>
      <c r="H162" s="4">
        <f>VLOOKUP(A162,[1]SummaryTable!$A$2:$F$359,5,FALSE)</f>
        <v>1</v>
      </c>
      <c r="I162" s="4">
        <f>VLOOKUP(A162,[1]SummaryTable!$A$2:$F$359,6,FALSE)</f>
        <v>0</v>
      </c>
      <c r="J162" s="4" t="str">
        <f>IF(I162&gt;0.1,[2]Processes!$A$6,[2]Processes!$A$5)</f>
        <v>Sawmal</v>
      </c>
      <c r="K162" s="23" t="str">
        <f t="shared" si="33"/>
        <v>-</v>
      </c>
      <c r="L162" s="4" t="str">
        <f t="shared" si="34"/>
        <v>-</v>
      </c>
      <c r="M162" s="4" t="str">
        <f t="shared" si="35"/>
        <v>-</v>
      </c>
      <c r="N162" s="4">
        <f t="shared" si="36"/>
        <v>0</v>
      </c>
      <c r="O162" s="23" t="str">
        <f t="shared" si="37"/>
        <v>-</v>
      </c>
      <c r="P162" s="4" t="str">
        <f t="shared" si="38"/>
        <v>-</v>
      </c>
      <c r="Q162" s="4" t="str">
        <f t="shared" si="39"/>
        <v>-</v>
      </c>
      <c r="R162" s="4">
        <f t="shared" si="40"/>
        <v>0</v>
      </c>
      <c r="S162" s="23" t="str">
        <f t="shared" si="41"/>
        <v>-</v>
      </c>
      <c r="T162" s="4" t="str">
        <f t="shared" si="42"/>
        <v>-</v>
      </c>
      <c r="U162" s="4" t="str">
        <f t="shared" si="43"/>
        <v>-</v>
      </c>
      <c r="V162" s="4">
        <f t="shared" si="44"/>
        <v>0</v>
      </c>
      <c r="W162" s="23">
        <f>VLOOKUP(A162,[1]SummaryTable!$A$2:$F$359,4,FALSE)</f>
        <v>22.8</v>
      </c>
    </row>
    <row r="163" spans="1:23" x14ac:dyDescent="0.25">
      <c r="A163" s="14" t="s">
        <v>262</v>
      </c>
      <c r="B163" s="14" t="str">
        <f t="shared" si="31"/>
        <v>H263</v>
      </c>
      <c r="C163" s="14">
        <v>14</v>
      </c>
      <c r="D163" s="61">
        <v>23</v>
      </c>
      <c r="E163" s="15">
        <f>VLOOKUP(A163,[1]SummaryTable!$A$2:$F$359,2,FALSE)</f>
        <v>6407817.9585601501</v>
      </c>
      <c r="F163" s="15">
        <f>VLOOKUP(A163,[1]SummaryTable!$A$2:$F$359,3,FALSE)</f>
        <v>381577.62101621699</v>
      </c>
      <c r="G163" s="62">
        <f t="shared" si="32"/>
        <v>26.831999999999997</v>
      </c>
      <c r="H163" s="4">
        <f>VLOOKUP(A163,[1]SummaryTable!$A$2:$F$359,5,FALSE)</f>
        <v>1</v>
      </c>
      <c r="I163" s="4">
        <f>VLOOKUP(A163,[1]SummaryTable!$A$2:$F$359,6,FALSE)</f>
        <v>0</v>
      </c>
      <c r="J163" s="4" t="str">
        <f>IF(I163&gt;0.1,[2]Processes!$A$6,[2]Processes!$A$5)</f>
        <v>Sawmal</v>
      </c>
      <c r="K163" s="23" t="str">
        <f t="shared" si="33"/>
        <v>-</v>
      </c>
      <c r="L163" s="4" t="str">
        <f t="shared" si="34"/>
        <v>-</v>
      </c>
      <c r="M163" s="4" t="str">
        <f t="shared" si="35"/>
        <v>-</v>
      </c>
      <c r="N163" s="4">
        <f t="shared" si="36"/>
        <v>0</v>
      </c>
      <c r="O163" s="23" t="str">
        <f t="shared" si="37"/>
        <v>-</v>
      </c>
      <c r="P163" s="4" t="str">
        <f t="shared" si="38"/>
        <v>-</v>
      </c>
      <c r="Q163" s="4" t="str">
        <f t="shared" si="39"/>
        <v>-</v>
      </c>
      <c r="R163" s="4">
        <f t="shared" si="40"/>
        <v>0</v>
      </c>
      <c r="S163" s="23" t="str">
        <f t="shared" si="41"/>
        <v>-</v>
      </c>
      <c r="T163" s="4" t="str">
        <f t="shared" si="42"/>
        <v>-</v>
      </c>
      <c r="U163" s="4" t="str">
        <f t="shared" si="43"/>
        <v>-</v>
      </c>
      <c r="V163" s="4">
        <f t="shared" si="44"/>
        <v>0</v>
      </c>
      <c r="W163" s="23">
        <f>VLOOKUP(A163,[1]SummaryTable!$A$2:$F$359,4,FALSE)</f>
        <v>22.36</v>
      </c>
    </row>
    <row r="164" spans="1:23" x14ac:dyDescent="0.25">
      <c r="A164" s="14" t="s">
        <v>30</v>
      </c>
      <c r="B164" s="14" t="str">
        <f t="shared" si="31"/>
        <v>H31</v>
      </c>
      <c r="C164" s="14">
        <v>7</v>
      </c>
      <c r="D164" s="61">
        <v>21</v>
      </c>
      <c r="E164" s="15">
        <f>VLOOKUP(A164,[1]SummaryTable!$A$2:$F$359,2,FALSE)</f>
        <v>6313847.4469999997</v>
      </c>
      <c r="F164" s="15">
        <f>VLOOKUP(A164,[1]SummaryTable!$A$2:$F$359,3,FALSE)</f>
        <v>518094.09299999999</v>
      </c>
      <c r="G164" s="62">
        <f t="shared" si="32"/>
        <v>26.16</v>
      </c>
      <c r="H164" s="4">
        <f>VLOOKUP(A164,[1]SummaryTable!$A$2:$F$359,5,FALSE)</f>
        <v>1</v>
      </c>
      <c r="I164" s="4">
        <f>VLOOKUP(A164,[1]SummaryTable!$A$2:$F$359,6,FALSE)</f>
        <v>0</v>
      </c>
      <c r="J164" s="4" t="str">
        <f>IF(I164&gt;0.1,[2]Processes!$A$6,[2]Processes!$A$5)</f>
        <v>Sawmal</v>
      </c>
      <c r="K164" s="23" t="str">
        <f t="shared" si="33"/>
        <v>-</v>
      </c>
      <c r="L164" s="4" t="str">
        <f t="shared" si="34"/>
        <v>-</v>
      </c>
      <c r="M164" s="4" t="str">
        <f t="shared" si="35"/>
        <v>-</v>
      </c>
      <c r="N164" s="4">
        <f t="shared" si="36"/>
        <v>0</v>
      </c>
      <c r="O164" s="23" t="str">
        <f t="shared" si="37"/>
        <v>-</v>
      </c>
      <c r="P164" s="4" t="str">
        <f t="shared" si="38"/>
        <v>-</v>
      </c>
      <c r="Q164" s="4" t="str">
        <f t="shared" si="39"/>
        <v>-</v>
      </c>
      <c r="R164" s="4">
        <f t="shared" si="40"/>
        <v>0</v>
      </c>
      <c r="S164" s="23" t="str">
        <f t="shared" si="41"/>
        <v>-</v>
      </c>
      <c r="T164" s="4" t="str">
        <f t="shared" si="42"/>
        <v>-</v>
      </c>
      <c r="U164" s="4" t="str">
        <f t="shared" si="43"/>
        <v>-</v>
      </c>
      <c r="V164" s="4">
        <f t="shared" si="44"/>
        <v>0</v>
      </c>
      <c r="W164" s="23">
        <f>VLOOKUP(A164,[1]SummaryTable!$A$2:$F$359,4,FALSE)</f>
        <v>21.8</v>
      </c>
    </row>
    <row r="165" spans="1:23" x14ac:dyDescent="0.25">
      <c r="A165" s="14" t="s">
        <v>243</v>
      </c>
      <c r="B165" s="14" t="str">
        <f t="shared" si="31"/>
        <v>H244</v>
      </c>
      <c r="C165" s="14">
        <v>5</v>
      </c>
      <c r="D165" s="61">
        <v>12</v>
      </c>
      <c r="E165" s="15">
        <f>VLOOKUP(A165,[1]SummaryTable!$A$2:$F$359,2,FALSE)</f>
        <v>6448376.0865532197</v>
      </c>
      <c r="F165" s="15">
        <f>VLOOKUP(A165,[1]SummaryTable!$A$2:$F$359,3,FALSE)</f>
        <v>502557.275187577</v>
      </c>
      <c r="G165" s="62">
        <f t="shared" si="32"/>
        <v>26.04</v>
      </c>
      <c r="H165" s="4">
        <f>VLOOKUP(A165,[1]SummaryTable!$A$2:$F$359,5,FALSE)</f>
        <v>1</v>
      </c>
      <c r="I165" s="4">
        <f>VLOOKUP(A165,[1]SummaryTable!$A$2:$F$359,6,FALSE)</f>
        <v>0</v>
      </c>
      <c r="J165" s="4" t="str">
        <f>IF(I165&gt;0.1,[2]Processes!$A$6,[2]Processes!$A$5)</f>
        <v>Sawmal</v>
      </c>
      <c r="K165" s="23" t="str">
        <f t="shared" si="33"/>
        <v>-</v>
      </c>
      <c r="L165" s="4" t="str">
        <f t="shared" si="34"/>
        <v>-</v>
      </c>
      <c r="M165" s="4" t="str">
        <f t="shared" si="35"/>
        <v>-</v>
      </c>
      <c r="N165" s="4">
        <f t="shared" si="36"/>
        <v>0</v>
      </c>
      <c r="O165" s="23" t="str">
        <f t="shared" si="37"/>
        <v>-</v>
      </c>
      <c r="P165" s="4" t="str">
        <f t="shared" si="38"/>
        <v>-</v>
      </c>
      <c r="Q165" s="4" t="str">
        <f t="shared" si="39"/>
        <v>-</v>
      </c>
      <c r="R165" s="4">
        <f t="shared" si="40"/>
        <v>0</v>
      </c>
      <c r="S165" s="23" t="str">
        <f t="shared" si="41"/>
        <v>-</v>
      </c>
      <c r="T165" s="4" t="str">
        <f t="shared" si="42"/>
        <v>-</v>
      </c>
      <c r="U165" s="4" t="str">
        <f t="shared" si="43"/>
        <v>-</v>
      </c>
      <c r="V165" s="4">
        <f t="shared" si="44"/>
        <v>0</v>
      </c>
      <c r="W165" s="23">
        <f>VLOOKUP(A165,[1]SummaryTable!$A$2:$F$359,4,FALSE)</f>
        <v>21.7</v>
      </c>
    </row>
    <row r="166" spans="1:23" x14ac:dyDescent="0.25">
      <c r="A166" s="14" t="s">
        <v>176</v>
      </c>
      <c r="B166" s="14" t="str">
        <f t="shared" si="31"/>
        <v>H177</v>
      </c>
      <c r="C166" s="14">
        <v>19</v>
      </c>
      <c r="D166" s="61">
        <v>12</v>
      </c>
      <c r="E166" s="15">
        <f>VLOOKUP(A166,[1]SummaryTable!$A$2:$F$359,2,FALSE)</f>
        <v>6585991.0794471595</v>
      </c>
      <c r="F166" s="15">
        <f>VLOOKUP(A166,[1]SummaryTable!$A$2:$F$359,3,FALSE)</f>
        <v>562145.06770080398</v>
      </c>
      <c r="G166" s="62">
        <f t="shared" si="32"/>
        <v>26.015999999999998</v>
      </c>
      <c r="H166" s="4">
        <f>VLOOKUP(A166,[1]SummaryTable!$A$2:$F$359,5,FALSE)</f>
        <v>1</v>
      </c>
      <c r="I166" s="4">
        <f>VLOOKUP(A166,[1]SummaryTable!$A$2:$F$359,6,FALSE)</f>
        <v>0</v>
      </c>
      <c r="J166" s="4" t="str">
        <f>IF(I166&gt;0.1,[2]Processes!$A$6,[2]Processes!$A$5)</f>
        <v>Sawmal</v>
      </c>
      <c r="K166" s="23" t="str">
        <f t="shared" si="33"/>
        <v>-</v>
      </c>
      <c r="L166" s="4" t="str">
        <f t="shared" si="34"/>
        <v>-</v>
      </c>
      <c r="M166" s="4" t="str">
        <f t="shared" si="35"/>
        <v>-</v>
      </c>
      <c r="N166" s="4">
        <f t="shared" si="36"/>
        <v>0</v>
      </c>
      <c r="O166" s="23" t="str">
        <f t="shared" si="37"/>
        <v>-</v>
      </c>
      <c r="P166" s="4" t="str">
        <f t="shared" si="38"/>
        <v>-</v>
      </c>
      <c r="Q166" s="4" t="str">
        <f t="shared" si="39"/>
        <v>-</v>
      </c>
      <c r="R166" s="4">
        <f t="shared" si="40"/>
        <v>0</v>
      </c>
      <c r="S166" s="23" t="str">
        <f t="shared" si="41"/>
        <v>-</v>
      </c>
      <c r="T166" s="4" t="str">
        <f t="shared" si="42"/>
        <v>-</v>
      </c>
      <c r="U166" s="4" t="str">
        <f t="shared" si="43"/>
        <v>-</v>
      </c>
      <c r="V166" s="4">
        <f t="shared" si="44"/>
        <v>0</v>
      </c>
      <c r="W166" s="23">
        <f>VLOOKUP(A166,[1]SummaryTable!$A$2:$F$359,4,FALSE)</f>
        <v>21.68</v>
      </c>
    </row>
    <row r="167" spans="1:23" x14ac:dyDescent="0.25">
      <c r="A167" s="14" t="s">
        <v>286</v>
      </c>
      <c r="B167" s="14" t="str">
        <f t="shared" si="31"/>
        <v>H287</v>
      </c>
      <c r="C167" s="14">
        <v>6</v>
      </c>
      <c r="D167" s="61">
        <v>21</v>
      </c>
      <c r="E167" s="15">
        <f>VLOOKUP(A167,[1]SummaryTable!$A$2:$F$359,2,FALSE)</f>
        <v>6383077.3420703895</v>
      </c>
      <c r="F167" s="15">
        <f>VLOOKUP(A167,[1]SummaryTable!$A$2:$F$359,3,FALSE)</f>
        <v>534762.88197148102</v>
      </c>
      <c r="G167" s="62">
        <f t="shared" si="32"/>
        <v>25.344000000000001</v>
      </c>
      <c r="H167" s="4">
        <f>VLOOKUP(A167,[1]SummaryTable!$A$2:$F$359,5,FALSE)</f>
        <v>1</v>
      </c>
      <c r="I167" s="4">
        <f>VLOOKUP(A167,[1]SummaryTable!$A$2:$F$359,6,FALSE)</f>
        <v>0</v>
      </c>
      <c r="J167" s="4" t="str">
        <f>IF(I167&gt;0.1,[2]Processes!$A$6,[2]Processes!$A$5)</f>
        <v>Sawmal</v>
      </c>
      <c r="K167" s="23" t="str">
        <f t="shared" si="33"/>
        <v>-</v>
      </c>
      <c r="L167" s="4" t="str">
        <f t="shared" si="34"/>
        <v>-</v>
      </c>
      <c r="M167" s="4" t="str">
        <f t="shared" si="35"/>
        <v>-</v>
      </c>
      <c r="N167" s="4">
        <f t="shared" si="36"/>
        <v>0</v>
      </c>
      <c r="O167" s="23" t="str">
        <f t="shared" si="37"/>
        <v>-</v>
      </c>
      <c r="P167" s="4" t="str">
        <f t="shared" si="38"/>
        <v>-</v>
      </c>
      <c r="Q167" s="4" t="str">
        <f t="shared" si="39"/>
        <v>-</v>
      </c>
      <c r="R167" s="4">
        <f t="shared" si="40"/>
        <v>0</v>
      </c>
      <c r="S167" s="23" t="str">
        <f t="shared" si="41"/>
        <v>-</v>
      </c>
      <c r="T167" s="4" t="str">
        <f t="shared" si="42"/>
        <v>-</v>
      </c>
      <c r="U167" s="4" t="str">
        <f t="shared" si="43"/>
        <v>-</v>
      </c>
      <c r="V167" s="4">
        <f t="shared" si="44"/>
        <v>0</v>
      </c>
      <c r="W167" s="23">
        <f>VLOOKUP(A167,[1]SummaryTable!$A$2:$F$359,4,FALSE)</f>
        <v>21.12</v>
      </c>
    </row>
    <row r="168" spans="1:23" x14ac:dyDescent="0.25">
      <c r="A168" s="14" t="s">
        <v>64</v>
      </c>
      <c r="B168" s="14" t="str">
        <f t="shared" si="31"/>
        <v>H65</v>
      </c>
      <c r="C168" s="14">
        <v>24</v>
      </c>
      <c r="D168" s="61">
        <v>33</v>
      </c>
      <c r="E168" s="15">
        <f>VLOOKUP(A168,[1]SummaryTable!$A$2:$F$359,2,FALSE)</f>
        <v>7167786.47631317</v>
      </c>
      <c r="F168" s="15">
        <f>VLOOKUP(A168,[1]SummaryTable!$A$2:$F$359,3,FALSE)</f>
        <v>771224.84560757503</v>
      </c>
      <c r="G168" s="62">
        <f t="shared" si="32"/>
        <v>24.937584000000001</v>
      </c>
      <c r="H168" s="4">
        <f>VLOOKUP(A168,[1]SummaryTable!$A$2:$F$359,5,FALSE)</f>
        <v>1</v>
      </c>
      <c r="I168" s="4">
        <f>VLOOKUP(A168,[1]SummaryTable!$A$2:$F$359,6,FALSE)</f>
        <v>0</v>
      </c>
      <c r="J168" s="4" t="str">
        <f>IF(I168&gt;0.1,[2]Processes!$A$6,[2]Processes!$A$5)</f>
        <v>Sawmal</v>
      </c>
      <c r="K168" s="23" t="str">
        <f t="shared" si="33"/>
        <v>-</v>
      </c>
      <c r="L168" s="4" t="str">
        <f t="shared" si="34"/>
        <v>-</v>
      </c>
      <c r="M168" s="4" t="str">
        <f t="shared" si="35"/>
        <v>-</v>
      </c>
      <c r="N168" s="4">
        <f t="shared" si="36"/>
        <v>0</v>
      </c>
      <c r="O168" s="23" t="str">
        <f t="shared" si="37"/>
        <v>-</v>
      </c>
      <c r="P168" s="4" t="str">
        <f t="shared" si="38"/>
        <v>-</v>
      </c>
      <c r="Q168" s="4" t="str">
        <f t="shared" si="39"/>
        <v>-</v>
      </c>
      <c r="R168" s="4">
        <f t="shared" si="40"/>
        <v>0</v>
      </c>
      <c r="S168" s="23" t="str">
        <f t="shared" si="41"/>
        <v>-</v>
      </c>
      <c r="T168" s="4" t="str">
        <f t="shared" si="42"/>
        <v>-</v>
      </c>
      <c r="U168" s="4" t="str">
        <f t="shared" si="43"/>
        <v>-</v>
      </c>
      <c r="V168" s="4">
        <f t="shared" si="44"/>
        <v>0</v>
      </c>
      <c r="W168" s="23">
        <f>VLOOKUP(A168,[1]SummaryTable!$A$2:$F$359,4,FALSE)</f>
        <v>20.781320000000001</v>
      </c>
    </row>
    <row r="169" spans="1:23" x14ac:dyDescent="0.25">
      <c r="A169" s="14" t="s">
        <v>105</v>
      </c>
      <c r="B169" s="14" t="str">
        <f t="shared" si="31"/>
        <v>H106</v>
      </c>
      <c r="C169" s="14">
        <v>21</v>
      </c>
      <c r="D169" s="61">
        <v>31</v>
      </c>
      <c r="E169" s="15">
        <f>VLOOKUP(A169,[1]SummaryTable!$A$2:$F$359,2,FALSE)</f>
        <v>6814567.6877298597</v>
      </c>
      <c r="F169" s="15">
        <f>VLOOKUP(A169,[1]SummaryTable!$A$2:$F$359,3,FALSE)</f>
        <v>573408.23071963701</v>
      </c>
      <c r="G169" s="62">
        <f t="shared" si="32"/>
        <v>24.407999999999998</v>
      </c>
      <c r="H169" s="4">
        <f>VLOOKUP(A169,[1]SummaryTable!$A$2:$F$359,5,FALSE)</f>
        <v>1</v>
      </c>
      <c r="I169" s="4">
        <f>VLOOKUP(A169,[1]SummaryTable!$A$2:$F$359,6,FALSE)</f>
        <v>0</v>
      </c>
      <c r="J169" s="4" t="str">
        <f>IF(I169&gt;0.1,[2]Processes!$A$6,[2]Processes!$A$5)</f>
        <v>Sawmal</v>
      </c>
      <c r="K169" s="23" t="str">
        <f t="shared" si="33"/>
        <v>-</v>
      </c>
      <c r="L169" s="4" t="str">
        <f t="shared" si="34"/>
        <v>-</v>
      </c>
      <c r="M169" s="4" t="str">
        <f t="shared" si="35"/>
        <v>-</v>
      </c>
      <c r="N169" s="4">
        <f t="shared" si="36"/>
        <v>0</v>
      </c>
      <c r="O169" s="23" t="str">
        <f t="shared" si="37"/>
        <v>-</v>
      </c>
      <c r="P169" s="4" t="str">
        <f t="shared" si="38"/>
        <v>-</v>
      </c>
      <c r="Q169" s="4" t="str">
        <f t="shared" si="39"/>
        <v>-</v>
      </c>
      <c r="R169" s="4">
        <f t="shared" si="40"/>
        <v>0</v>
      </c>
      <c r="S169" s="23" t="str">
        <f t="shared" si="41"/>
        <v>-</v>
      </c>
      <c r="T169" s="4" t="str">
        <f t="shared" si="42"/>
        <v>-</v>
      </c>
      <c r="U169" s="4" t="str">
        <f t="shared" si="43"/>
        <v>-</v>
      </c>
      <c r="V169" s="4">
        <f t="shared" si="44"/>
        <v>0</v>
      </c>
      <c r="W169" s="23">
        <f>VLOOKUP(A169,[1]SummaryTable!$A$2:$F$359,4,FALSE)</f>
        <v>20.34</v>
      </c>
    </row>
    <row r="170" spans="1:23" x14ac:dyDescent="0.25">
      <c r="A170" s="14" t="s">
        <v>45</v>
      </c>
      <c r="B170" s="14" t="str">
        <f t="shared" si="31"/>
        <v>H46</v>
      </c>
      <c r="C170" s="14">
        <v>25</v>
      </c>
      <c r="D170" s="61">
        <v>33</v>
      </c>
      <c r="E170" s="15">
        <f>VLOOKUP(A170,[1]SummaryTable!$A$2:$F$359,2,FALSE)</f>
        <v>7319794.3061899701</v>
      </c>
      <c r="F170" s="15">
        <f>VLOOKUP(A170,[1]SummaryTable!$A$2:$F$359,3,FALSE)</f>
        <v>807418.76492992905</v>
      </c>
      <c r="G170" s="62">
        <f t="shared" si="32"/>
        <v>24</v>
      </c>
      <c r="H170" s="4">
        <f>VLOOKUP(A170,[1]SummaryTable!$A$2:$F$359,5,FALSE)</f>
        <v>1</v>
      </c>
      <c r="I170" s="4">
        <f>VLOOKUP(A170,[1]SummaryTable!$A$2:$F$359,6,FALSE)</f>
        <v>0</v>
      </c>
      <c r="J170" s="4" t="str">
        <f>IF(I170&gt;0.1,[2]Processes!$A$6,[2]Processes!$A$5)</f>
        <v>Sawmal</v>
      </c>
      <c r="K170" s="23" t="str">
        <f t="shared" si="33"/>
        <v>-</v>
      </c>
      <c r="L170" s="4" t="str">
        <f t="shared" si="34"/>
        <v>-</v>
      </c>
      <c r="M170" s="4" t="str">
        <f t="shared" si="35"/>
        <v>-</v>
      </c>
      <c r="N170" s="4">
        <f t="shared" si="36"/>
        <v>0</v>
      </c>
      <c r="O170" s="23" t="str">
        <f t="shared" si="37"/>
        <v>-</v>
      </c>
      <c r="P170" s="4" t="str">
        <f t="shared" si="38"/>
        <v>-</v>
      </c>
      <c r="Q170" s="4" t="str">
        <f t="shared" si="39"/>
        <v>-</v>
      </c>
      <c r="R170" s="4">
        <f t="shared" si="40"/>
        <v>0</v>
      </c>
      <c r="S170" s="23" t="str">
        <f t="shared" si="41"/>
        <v>-</v>
      </c>
      <c r="T170" s="4" t="str">
        <f t="shared" si="42"/>
        <v>-</v>
      </c>
      <c r="U170" s="4" t="str">
        <f t="shared" si="43"/>
        <v>-</v>
      </c>
      <c r="V170" s="4">
        <f t="shared" si="44"/>
        <v>0</v>
      </c>
      <c r="W170" s="23">
        <f>VLOOKUP(A170,[1]SummaryTable!$A$2:$F$359,4,FALSE)</f>
        <v>20</v>
      </c>
    </row>
    <row r="171" spans="1:23" x14ac:dyDescent="0.25">
      <c r="A171" s="14" t="s">
        <v>208</v>
      </c>
      <c r="B171" s="14" t="str">
        <f t="shared" si="31"/>
        <v>H209</v>
      </c>
      <c r="C171" s="14">
        <v>18</v>
      </c>
      <c r="D171" s="61">
        <v>12</v>
      </c>
      <c r="E171" s="15">
        <f>VLOOKUP(A171,[1]SummaryTable!$A$2:$F$359,2,FALSE)</f>
        <v>6524331.4128970001</v>
      </c>
      <c r="F171" s="15">
        <f>VLOOKUP(A171,[1]SummaryTable!$A$2:$F$359,3,FALSE)</f>
        <v>494466.28884902399</v>
      </c>
      <c r="G171" s="62">
        <f t="shared" si="32"/>
        <v>23.711999999999996</v>
      </c>
      <c r="H171" s="4">
        <f>VLOOKUP(A171,[1]SummaryTable!$A$2:$F$359,5,FALSE)</f>
        <v>1</v>
      </c>
      <c r="I171" s="4">
        <f>VLOOKUP(A171,[1]SummaryTable!$A$2:$F$359,6,FALSE)</f>
        <v>0</v>
      </c>
      <c r="J171" s="4" t="str">
        <f>IF(I171&gt;0.1,[2]Processes!$A$6,[2]Processes!$A$5)</f>
        <v>Sawmal</v>
      </c>
      <c r="K171" s="23" t="str">
        <f t="shared" si="33"/>
        <v>-</v>
      </c>
      <c r="L171" s="4" t="str">
        <f t="shared" si="34"/>
        <v>-</v>
      </c>
      <c r="M171" s="4" t="str">
        <f t="shared" si="35"/>
        <v>-</v>
      </c>
      <c r="N171" s="4">
        <f t="shared" si="36"/>
        <v>0</v>
      </c>
      <c r="O171" s="23" t="str">
        <f t="shared" si="37"/>
        <v>-</v>
      </c>
      <c r="P171" s="4" t="str">
        <f t="shared" si="38"/>
        <v>-</v>
      </c>
      <c r="Q171" s="4" t="str">
        <f t="shared" si="39"/>
        <v>-</v>
      </c>
      <c r="R171" s="4">
        <f t="shared" si="40"/>
        <v>0</v>
      </c>
      <c r="S171" s="23" t="str">
        <f t="shared" si="41"/>
        <v>-</v>
      </c>
      <c r="T171" s="4" t="str">
        <f t="shared" si="42"/>
        <v>-</v>
      </c>
      <c r="U171" s="4" t="str">
        <f t="shared" si="43"/>
        <v>-</v>
      </c>
      <c r="V171" s="4">
        <f t="shared" si="44"/>
        <v>0</v>
      </c>
      <c r="W171" s="23">
        <f>VLOOKUP(A171,[1]SummaryTable!$A$2:$F$359,4,FALSE)</f>
        <v>19.759999999999998</v>
      </c>
    </row>
    <row r="172" spans="1:23" x14ac:dyDescent="0.25">
      <c r="A172" s="14" t="s">
        <v>150</v>
      </c>
      <c r="B172" s="14" t="str">
        <f t="shared" si="31"/>
        <v>H151</v>
      </c>
      <c r="C172" s="14">
        <v>1</v>
      </c>
      <c r="D172" s="61">
        <v>12</v>
      </c>
      <c r="E172" s="15">
        <f>VLOOKUP(A172,[1]SummaryTable!$A$2:$F$359,2,FALSE)</f>
        <v>6628183.9426062601</v>
      </c>
      <c r="F172" s="15">
        <f>VLOOKUP(A172,[1]SummaryTable!$A$2:$F$359,3,FALSE)</f>
        <v>688815.20608888101</v>
      </c>
      <c r="G172" s="62">
        <f t="shared" si="32"/>
        <v>23.642400000000002</v>
      </c>
      <c r="H172" s="4">
        <f>VLOOKUP(A172,[1]SummaryTable!$A$2:$F$359,5,FALSE)</f>
        <v>1</v>
      </c>
      <c r="I172" s="4">
        <f>VLOOKUP(A172,[1]SummaryTable!$A$2:$F$359,6,FALSE)</f>
        <v>0</v>
      </c>
      <c r="J172" s="4" t="str">
        <f>IF(I172&gt;0.1,[2]Processes!$A$6,[2]Processes!$A$5)</f>
        <v>Sawmal</v>
      </c>
      <c r="K172" s="23" t="str">
        <f t="shared" si="33"/>
        <v>-</v>
      </c>
      <c r="L172" s="4" t="str">
        <f t="shared" si="34"/>
        <v>-</v>
      </c>
      <c r="M172" s="4" t="str">
        <f t="shared" si="35"/>
        <v>-</v>
      </c>
      <c r="N172" s="4">
        <f t="shared" si="36"/>
        <v>0</v>
      </c>
      <c r="O172" s="23" t="str">
        <f t="shared" si="37"/>
        <v>-</v>
      </c>
      <c r="P172" s="4" t="str">
        <f t="shared" si="38"/>
        <v>-</v>
      </c>
      <c r="Q172" s="4" t="str">
        <f t="shared" si="39"/>
        <v>-</v>
      </c>
      <c r="R172" s="4">
        <f t="shared" si="40"/>
        <v>0</v>
      </c>
      <c r="S172" s="23" t="str">
        <f t="shared" si="41"/>
        <v>-</v>
      </c>
      <c r="T172" s="4" t="str">
        <f t="shared" si="42"/>
        <v>-</v>
      </c>
      <c r="U172" s="4" t="str">
        <f t="shared" si="43"/>
        <v>-</v>
      </c>
      <c r="V172" s="4">
        <f t="shared" si="44"/>
        <v>0</v>
      </c>
      <c r="W172" s="23">
        <f>VLOOKUP(A172,[1]SummaryTable!$A$2:$F$359,4,FALSE)</f>
        <v>19.702000000000002</v>
      </c>
    </row>
    <row r="173" spans="1:23" x14ac:dyDescent="0.25">
      <c r="A173" s="14" t="s">
        <v>12</v>
      </c>
      <c r="B173" s="14" t="str">
        <f t="shared" si="31"/>
        <v>H13</v>
      </c>
      <c r="C173" s="14">
        <v>17</v>
      </c>
      <c r="D173" s="61">
        <v>31</v>
      </c>
      <c r="E173" s="15">
        <f>VLOOKUP(A173,[1]SummaryTable!$A$2:$F$359,2,FALSE)</f>
        <v>6585451.3830000004</v>
      </c>
      <c r="F173" s="15">
        <f>VLOOKUP(A173,[1]SummaryTable!$A$2:$F$359,3,FALSE)</f>
        <v>335186.60399999999</v>
      </c>
      <c r="G173" s="62">
        <f t="shared" si="32"/>
        <v>23.597759999999997</v>
      </c>
      <c r="H173" s="4">
        <f>VLOOKUP(A173,[1]SummaryTable!$A$2:$F$359,5,FALSE)</f>
        <v>1</v>
      </c>
      <c r="I173" s="4">
        <f>VLOOKUP(A173,[1]SummaryTable!$A$2:$F$359,6,FALSE)</f>
        <v>0</v>
      </c>
      <c r="J173" s="4" t="str">
        <f>IF(I173&gt;0.1,[2]Processes!$A$6,[2]Processes!$A$5)</f>
        <v>Sawmal</v>
      </c>
      <c r="K173" s="23" t="str">
        <f t="shared" si="33"/>
        <v>-</v>
      </c>
      <c r="L173" s="4" t="str">
        <f t="shared" si="34"/>
        <v>-</v>
      </c>
      <c r="M173" s="4" t="str">
        <f t="shared" si="35"/>
        <v>-</v>
      </c>
      <c r="N173" s="4">
        <f t="shared" si="36"/>
        <v>0</v>
      </c>
      <c r="O173" s="23" t="str">
        <f t="shared" si="37"/>
        <v>-</v>
      </c>
      <c r="P173" s="4" t="str">
        <f t="shared" si="38"/>
        <v>-</v>
      </c>
      <c r="Q173" s="4" t="str">
        <f t="shared" si="39"/>
        <v>-</v>
      </c>
      <c r="R173" s="4">
        <f t="shared" si="40"/>
        <v>0</v>
      </c>
      <c r="S173" s="23" t="str">
        <f t="shared" si="41"/>
        <v>-</v>
      </c>
      <c r="T173" s="4" t="str">
        <f t="shared" si="42"/>
        <v>-</v>
      </c>
      <c r="U173" s="4" t="str">
        <f t="shared" si="43"/>
        <v>-</v>
      </c>
      <c r="V173" s="4">
        <f t="shared" si="44"/>
        <v>0</v>
      </c>
      <c r="W173" s="23">
        <f>VLOOKUP(A173,[1]SummaryTable!$A$2:$F$359,4,FALSE)</f>
        <v>19.6648</v>
      </c>
    </row>
    <row r="174" spans="1:23" x14ac:dyDescent="0.25">
      <c r="A174" s="14" t="s">
        <v>108</v>
      </c>
      <c r="B174" s="14" t="str">
        <f t="shared" si="31"/>
        <v>H109</v>
      </c>
      <c r="C174" s="14">
        <v>21</v>
      </c>
      <c r="D174" s="61">
        <v>31</v>
      </c>
      <c r="E174" s="15">
        <f>VLOOKUP(A174,[1]SummaryTable!$A$2:$F$359,2,FALSE)</f>
        <v>6800103.9986759303</v>
      </c>
      <c r="F174" s="15">
        <f>VLOOKUP(A174,[1]SummaryTable!$A$2:$F$359,3,FALSE)</f>
        <v>557243.57020522095</v>
      </c>
      <c r="G174" s="62">
        <f t="shared" si="32"/>
        <v>22.92</v>
      </c>
      <c r="H174" s="4">
        <f>VLOOKUP(A174,[1]SummaryTable!$A$2:$F$359,5,FALSE)</f>
        <v>1</v>
      </c>
      <c r="I174" s="4">
        <f>VLOOKUP(A174,[1]SummaryTable!$A$2:$F$359,6,FALSE)</f>
        <v>0</v>
      </c>
      <c r="J174" s="4" t="str">
        <f>IF(I174&gt;0.1,[2]Processes!$A$6,[2]Processes!$A$5)</f>
        <v>Sawmal</v>
      </c>
      <c r="K174" s="23" t="str">
        <f t="shared" si="33"/>
        <v>-</v>
      </c>
      <c r="L174" s="4" t="str">
        <f t="shared" si="34"/>
        <v>-</v>
      </c>
      <c r="M174" s="4" t="str">
        <f t="shared" si="35"/>
        <v>-</v>
      </c>
      <c r="N174" s="4">
        <f t="shared" si="36"/>
        <v>0</v>
      </c>
      <c r="O174" s="23" t="str">
        <f t="shared" si="37"/>
        <v>-</v>
      </c>
      <c r="P174" s="4" t="str">
        <f t="shared" si="38"/>
        <v>-</v>
      </c>
      <c r="Q174" s="4" t="str">
        <f t="shared" si="39"/>
        <v>-</v>
      </c>
      <c r="R174" s="4">
        <f t="shared" si="40"/>
        <v>0</v>
      </c>
      <c r="S174" s="23" t="str">
        <f t="shared" si="41"/>
        <v>-</v>
      </c>
      <c r="T174" s="4" t="str">
        <f t="shared" si="42"/>
        <v>-</v>
      </c>
      <c r="U174" s="4" t="str">
        <f t="shared" si="43"/>
        <v>-</v>
      </c>
      <c r="V174" s="4">
        <f t="shared" si="44"/>
        <v>0</v>
      </c>
      <c r="W174" s="23">
        <f>VLOOKUP(A174,[1]SummaryTable!$A$2:$F$359,4,FALSE)</f>
        <v>19.100000000000001</v>
      </c>
    </row>
    <row r="175" spans="1:23" x14ac:dyDescent="0.25">
      <c r="A175" s="14" t="s">
        <v>138</v>
      </c>
      <c r="B175" s="14" t="str">
        <f t="shared" si="31"/>
        <v>H139</v>
      </c>
      <c r="C175" s="14">
        <v>20</v>
      </c>
      <c r="D175" s="61">
        <v>31</v>
      </c>
      <c r="E175" s="15">
        <f>VLOOKUP(A175,[1]SummaryTable!$A$2:$F$359,2,FALSE)</f>
        <v>6665447.3156382795</v>
      </c>
      <c r="F175" s="15">
        <f>VLOOKUP(A175,[1]SummaryTable!$A$2:$F$359,3,FALSE)</f>
        <v>523077.75479307701</v>
      </c>
      <c r="G175" s="62">
        <f t="shared" si="32"/>
        <v>22.903199999999998</v>
      </c>
      <c r="H175" s="4">
        <f>VLOOKUP(A175,[1]SummaryTable!$A$2:$F$359,5,FALSE)</f>
        <v>1</v>
      </c>
      <c r="I175" s="4">
        <f>VLOOKUP(A175,[1]SummaryTable!$A$2:$F$359,6,FALSE)</f>
        <v>0</v>
      </c>
      <c r="J175" s="4" t="str">
        <f>IF(I175&gt;0.1,[2]Processes!$A$6,[2]Processes!$A$5)</f>
        <v>Sawmal</v>
      </c>
      <c r="K175" s="23" t="str">
        <f t="shared" si="33"/>
        <v>-</v>
      </c>
      <c r="L175" s="4" t="str">
        <f t="shared" si="34"/>
        <v>-</v>
      </c>
      <c r="M175" s="4" t="str">
        <f t="shared" si="35"/>
        <v>-</v>
      </c>
      <c r="N175" s="4">
        <f t="shared" si="36"/>
        <v>0</v>
      </c>
      <c r="O175" s="23" t="str">
        <f t="shared" si="37"/>
        <v>-</v>
      </c>
      <c r="P175" s="4" t="str">
        <f t="shared" si="38"/>
        <v>-</v>
      </c>
      <c r="Q175" s="4" t="str">
        <f t="shared" si="39"/>
        <v>-</v>
      </c>
      <c r="R175" s="4">
        <f t="shared" si="40"/>
        <v>0</v>
      </c>
      <c r="S175" s="23" t="str">
        <f t="shared" si="41"/>
        <v>-</v>
      </c>
      <c r="T175" s="4" t="str">
        <f t="shared" si="42"/>
        <v>-</v>
      </c>
      <c r="U175" s="4" t="str">
        <f t="shared" si="43"/>
        <v>-</v>
      </c>
      <c r="V175" s="4">
        <f t="shared" si="44"/>
        <v>0</v>
      </c>
      <c r="W175" s="23">
        <f>VLOOKUP(A175,[1]SummaryTable!$A$2:$F$359,4,FALSE)</f>
        <v>19.085999999999999</v>
      </c>
    </row>
    <row r="176" spans="1:23" x14ac:dyDescent="0.25">
      <c r="A176" s="14" t="s">
        <v>311</v>
      </c>
      <c r="B176" s="14" t="str">
        <f t="shared" si="31"/>
        <v>H312</v>
      </c>
      <c r="C176" s="14">
        <v>7</v>
      </c>
      <c r="D176" s="61">
        <v>21</v>
      </c>
      <c r="E176" s="15">
        <f>VLOOKUP(A176,[1]SummaryTable!$A$2:$F$359,2,FALSE)</f>
        <v>6322210.1718534296</v>
      </c>
      <c r="F176" s="15">
        <f>VLOOKUP(A176,[1]SummaryTable!$A$2:$F$359,3,FALSE)</f>
        <v>503453.78740332898</v>
      </c>
      <c r="G176" s="62">
        <f t="shared" si="32"/>
        <v>22.844399999999997</v>
      </c>
      <c r="H176" s="4">
        <f>VLOOKUP(A176,[1]SummaryTable!$A$2:$F$359,5,FALSE)</f>
        <v>1</v>
      </c>
      <c r="I176" s="4">
        <f>VLOOKUP(A176,[1]SummaryTable!$A$2:$F$359,6,FALSE)</f>
        <v>0</v>
      </c>
      <c r="J176" s="4" t="str">
        <f>IF(I176&gt;0.1,[2]Processes!$A$6,[2]Processes!$A$5)</f>
        <v>Sawmal</v>
      </c>
      <c r="K176" s="23" t="str">
        <f t="shared" si="33"/>
        <v>-</v>
      </c>
      <c r="L176" s="4" t="str">
        <f t="shared" si="34"/>
        <v>-</v>
      </c>
      <c r="M176" s="4" t="str">
        <f t="shared" si="35"/>
        <v>-</v>
      </c>
      <c r="N176" s="4">
        <f t="shared" si="36"/>
        <v>0</v>
      </c>
      <c r="O176" s="23" t="str">
        <f t="shared" si="37"/>
        <v>-</v>
      </c>
      <c r="P176" s="4" t="str">
        <f t="shared" si="38"/>
        <v>-</v>
      </c>
      <c r="Q176" s="4" t="str">
        <f t="shared" si="39"/>
        <v>-</v>
      </c>
      <c r="R176" s="4">
        <f t="shared" si="40"/>
        <v>0</v>
      </c>
      <c r="S176" s="23" t="str">
        <f t="shared" si="41"/>
        <v>-</v>
      </c>
      <c r="T176" s="4" t="str">
        <f t="shared" si="42"/>
        <v>-</v>
      </c>
      <c r="U176" s="4" t="str">
        <f t="shared" si="43"/>
        <v>-</v>
      </c>
      <c r="V176" s="4">
        <f t="shared" si="44"/>
        <v>0</v>
      </c>
      <c r="W176" s="23">
        <f>VLOOKUP(A176,[1]SummaryTable!$A$2:$F$359,4,FALSE)</f>
        <v>19.036999999999999</v>
      </c>
    </row>
    <row r="177" spans="1:23" x14ac:dyDescent="0.25">
      <c r="A177" s="14" t="s">
        <v>195</v>
      </c>
      <c r="B177" s="14" t="str">
        <f t="shared" si="31"/>
        <v>H196</v>
      </c>
      <c r="C177" s="14">
        <v>4</v>
      </c>
      <c r="D177" s="61">
        <v>12</v>
      </c>
      <c r="E177" s="15">
        <f>VLOOKUP(A177,[1]SummaryTable!$A$2:$F$359,2,FALSE)</f>
        <v>6554766.5836405298</v>
      </c>
      <c r="F177" s="15">
        <f>VLOOKUP(A177,[1]SummaryTable!$A$2:$F$359,3,FALSE)</f>
        <v>599428.932628109</v>
      </c>
      <c r="G177" s="62">
        <f t="shared" si="32"/>
        <v>22.56</v>
      </c>
      <c r="H177" s="4">
        <f>VLOOKUP(A177,[1]SummaryTable!$A$2:$F$359,5,FALSE)</f>
        <v>1</v>
      </c>
      <c r="I177" s="4">
        <f>VLOOKUP(A177,[1]SummaryTable!$A$2:$F$359,6,FALSE)</f>
        <v>0</v>
      </c>
      <c r="J177" s="4" t="str">
        <f>IF(I177&gt;0.1,[2]Processes!$A$6,[2]Processes!$A$5)</f>
        <v>Sawmal</v>
      </c>
      <c r="K177" s="23" t="str">
        <f t="shared" si="33"/>
        <v>-</v>
      </c>
      <c r="L177" s="4" t="str">
        <f t="shared" si="34"/>
        <v>-</v>
      </c>
      <c r="M177" s="4" t="str">
        <f t="shared" si="35"/>
        <v>-</v>
      </c>
      <c r="N177" s="4">
        <f t="shared" si="36"/>
        <v>0</v>
      </c>
      <c r="O177" s="23" t="str">
        <f t="shared" si="37"/>
        <v>-</v>
      </c>
      <c r="P177" s="4" t="str">
        <f t="shared" si="38"/>
        <v>-</v>
      </c>
      <c r="Q177" s="4" t="str">
        <f t="shared" si="39"/>
        <v>-</v>
      </c>
      <c r="R177" s="4">
        <f t="shared" si="40"/>
        <v>0</v>
      </c>
      <c r="S177" s="23" t="str">
        <f t="shared" si="41"/>
        <v>-</v>
      </c>
      <c r="T177" s="4" t="str">
        <f t="shared" si="42"/>
        <v>-</v>
      </c>
      <c r="U177" s="4" t="str">
        <f t="shared" si="43"/>
        <v>-</v>
      </c>
      <c r="V177" s="4">
        <f t="shared" si="44"/>
        <v>0</v>
      </c>
      <c r="W177" s="23">
        <f>VLOOKUP(A177,[1]SummaryTable!$A$2:$F$359,4,FALSE)</f>
        <v>18.8</v>
      </c>
    </row>
    <row r="178" spans="1:23" x14ac:dyDescent="0.25">
      <c r="A178" s="14" t="s">
        <v>137</v>
      </c>
      <c r="B178" s="14" t="str">
        <f t="shared" si="31"/>
        <v>H138</v>
      </c>
      <c r="C178" s="14">
        <v>20</v>
      </c>
      <c r="D178" s="61">
        <v>31</v>
      </c>
      <c r="E178" s="15">
        <f>VLOOKUP(A178,[1]SummaryTable!$A$2:$F$359,2,FALSE)</f>
        <v>6665938.37373849</v>
      </c>
      <c r="F178" s="15">
        <f>VLOOKUP(A178,[1]SummaryTable!$A$2:$F$359,3,FALSE)</f>
        <v>510235.09590710601</v>
      </c>
      <c r="G178" s="62">
        <f t="shared" si="32"/>
        <v>22.558799999999998</v>
      </c>
      <c r="H178" s="4">
        <f>VLOOKUP(A178,[1]SummaryTable!$A$2:$F$359,5,FALSE)</f>
        <v>1</v>
      </c>
      <c r="I178" s="4">
        <f>VLOOKUP(A178,[1]SummaryTable!$A$2:$F$359,6,FALSE)</f>
        <v>0</v>
      </c>
      <c r="J178" s="4" t="str">
        <f>IF(I178&gt;0.1,[2]Processes!$A$6,[2]Processes!$A$5)</f>
        <v>Sawmal</v>
      </c>
      <c r="K178" s="23" t="str">
        <f t="shared" si="33"/>
        <v>-</v>
      </c>
      <c r="L178" s="4" t="str">
        <f t="shared" si="34"/>
        <v>-</v>
      </c>
      <c r="M178" s="4" t="str">
        <f t="shared" si="35"/>
        <v>-</v>
      </c>
      <c r="N178" s="4">
        <f t="shared" si="36"/>
        <v>0</v>
      </c>
      <c r="O178" s="23" t="str">
        <f t="shared" si="37"/>
        <v>-</v>
      </c>
      <c r="P178" s="4" t="str">
        <f t="shared" si="38"/>
        <v>-</v>
      </c>
      <c r="Q178" s="4" t="str">
        <f t="shared" si="39"/>
        <v>-</v>
      </c>
      <c r="R178" s="4">
        <f t="shared" si="40"/>
        <v>0</v>
      </c>
      <c r="S178" s="23" t="str">
        <f t="shared" si="41"/>
        <v>-</v>
      </c>
      <c r="T178" s="4" t="str">
        <f t="shared" si="42"/>
        <v>-</v>
      </c>
      <c r="U178" s="4" t="str">
        <f t="shared" si="43"/>
        <v>-</v>
      </c>
      <c r="V178" s="4">
        <f t="shared" si="44"/>
        <v>0</v>
      </c>
      <c r="W178" s="23">
        <f>VLOOKUP(A178,[1]SummaryTable!$A$2:$F$359,4,FALSE)</f>
        <v>18.798999999999999</v>
      </c>
    </row>
    <row r="179" spans="1:23" x14ac:dyDescent="0.25">
      <c r="A179" s="14" t="s">
        <v>221</v>
      </c>
      <c r="B179" s="14" t="str">
        <f t="shared" si="31"/>
        <v>H222</v>
      </c>
      <c r="C179" s="14">
        <v>14</v>
      </c>
      <c r="D179" s="61">
        <v>23</v>
      </c>
      <c r="E179" s="15">
        <f>VLOOKUP(A179,[1]SummaryTable!$A$2:$F$359,2,FALSE)</f>
        <v>6485102.3089768998</v>
      </c>
      <c r="F179" s="15">
        <f>VLOOKUP(A179,[1]SummaryTable!$A$2:$F$359,3,FALSE)</f>
        <v>471518.83771762502</v>
      </c>
      <c r="G179" s="62">
        <f t="shared" si="32"/>
        <v>22.023600000000002</v>
      </c>
      <c r="H179" s="4">
        <f>VLOOKUP(A179,[1]SummaryTable!$A$2:$F$359,5,FALSE)</f>
        <v>1</v>
      </c>
      <c r="I179" s="4">
        <f>VLOOKUP(A179,[1]SummaryTable!$A$2:$F$359,6,FALSE)</f>
        <v>0</v>
      </c>
      <c r="J179" s="4" t="str">
        <f>IF(I179&gt;0.1,[2]Processes!$A$6,[2]Processes!$A$5)</f>
        <v>Sawmal</v>
      </c>
      <c r="K179" s="23" t="str">
        <f t="shared" si="33"/>
        <v>-</v>
      </c>
      <c r="L179" s="4" t="str">
        <f t="shared" si="34"/>
        <v>-</v>
      </c>
      <c r="M179" s="4" t="str">
        <f t="shared" si="35"/>
        <v>-</v>
      </c>
      <c r="N179" s="4">
        <f t="shared" si="36"/>
        <v>0</v>
      </c>
      <c r="O179" s="23" t="str">
        <f t="shared" si="37"/>
        <v>-</v>
      </c>
      <c r="P179" s="4" t="str">
        <f t="shared" si="38"/>
        <v>-</v>
      </c>
      <c r="Q179" s="4" t="str">
        <f t="shared" si="39"/>
        <v>-</v>
      </c>
      <c r="R179" s="4">
        <f t="shared" si="40"/>
        <v>0</v>
      </c>
      <c r="S179" s="23" t="str">
        <f t="shared" si="41"/>
        <v>-</v>
      </c>
      <c r="T179" s="4" t="str">
        <f t="shared" si="42"/>
        <v>-</v>
      </c>
      <c r="U179" s="4" t="str">
        <f t="shared" si="43"/>
        <v>-</v>
      </c>
      <c r="V179" s="4">
        <f t="shared" si="44"/>
        <v>0</v>
      </c>
      <c r="W179" s="23">
        <f>VLOOKUP(A179,[1]SummaryTable!$A$2:$F$359,4,FALSE)</f>
        <v>18.353000000000002</v>
      </c>
    </row>
    <row r="180" spans="1:23" x14ac:dyDescent="0.25">
      <c r="A180" s="14" t="s">
        <v>169</v>
      </c>
      <c r="B180" s="14" t="str">
        <f t="shared" si="31"/>
        <v>H170</v>
      </c>
      <c r="C180" s="14">
        <v>1</v>
      </c>
      <c r="D180" s="61">
        <v>12</v>
      </c>
      <c r="E180" s="15">
        <f>VLOOKUP(A180,[1]SummaryTable!$A$2:$F$359,2,FALSE)</f>
        <v>6592745.79653644</v>
      </c>
      <c r="F180" s="15">
        <f>VLOOKUP(A180,[1]SummaryTable!$A$2:$F$359,3,FALSE)</f>
        <v>672954.13078504696</v>
      </c>
      <c r="G180" s="62">
        <f t="shared" si="32"/>
        <v>21.204000000000001</v>
      </c>
      <c r="H180" s="4">
        <f>VLOOKUP(A180,[1]SummaryTable!$A$2:$F$359,5,FALSE)</f>
        <v>1</v>
      </c>
      <c r="I180" s="4">
        <f>VLOOKUP(A180,[1]SummaryTable!$A$2:$F$359,6,FALSE)</f>
        <v>0</v>
      </c>
      <c r="J180" s="4" t="str">
        <f>IF(I180&gt;0.1,[2]Processes!$A$6,[2]Processes!$A$5)</f>
        <v>Sawmal</v>
      </c>
      <c r="K180" s="23" t="str">
        <f t="shared" si="33"/>
        <v>-</v>
      </c>
      <c r="L180" s="4" t="str">
        <f t="shared" si="34"/>
        <v>-</v>
      </c>
      <c r="M180" s="4" t="str">
        <f t="shared" si="35"/>
        <v>-</v>
      </c>
      <c r="N180" s="4">
        <f t="shared" si="36"/>
        <v>0</v>
      </c>
      <c r="O180" s="23" t="str">
        <f t="shared" si="37"/>
        <v>-</v>
      </c>
      <c r="P180" s="4" t="str">
        <f t="shared" si="38"/>
        <v>-</v>
      </c>
      <c r="Q180" s="4" t="str">
        <f t="shared" si="39"/>
        <v>-</v>
      </c>
      <c r="R180" s="4">
        <f t="shared" si="40"/>
        <v>0</v>
      </c>
      <c r="S180" s="23" t="str">
        <f t="shared" si="41"/>
        <v>-</v>
      </c>
      <c r="T180" s="4" t="str">
        <f t="shared" si="42"/>
        <v>-</v>
      </c>
      <c r="U180" s="4" t="str">
        <f t="shared" si="43"/>
        <v>-</v>
      </c>
      <c r="V180" s="4">
        <f t="shared" si="44"/>
        <v>0</v>
      </c>
      <c r="W180" s="23">
        <f>VLOOKUP(A180,[1]SummaryTable!$A$2:$F$359,4,FALSE)</f>
        <v>17.670000000000002</v>
      </c>
    </row>
    <row r="181" spans="1:23" x14ac:dyDescent="0.25">
      <c r="A181" s="14" t="s">
        <v>19</v>
      </c>
      <c r="B181" s="14" t="str">
        <f t="shared" si="31"/>
        <v>H20</v>
      </c>
      <c r="C181" s="14">
        <v>5</v>
      </c>
      <c r="D181" s="61">
        <v>12</v>
      </c>
      <c r="E181" s="15">
        <f>VLOOKUP(A181,[1]SummaryTable!$A$2:$F$359,2,FALSE)</f>
        <v>6452722.7529999996</v>
      </c>
      <c r="F181" s="15">
        <f>VLOOKUP(A181,[1]SummaryTable!$A$2:$F$359,3,FALSE)</f>
        <v>593948.35900000005</v>
      </c>
      <c r="G181" s="62">
        <f t="shared" si="32"/>
        <v>20.620799999999999</v>
      </c>
      <c r="H181" s="4">
        <f>VLOOKUP(A181,[1]SummaryTable!$A$2:$F$359,5,FALSE)</f>
        <v>1</v>
      </c>
      <c r="I181" s="4">
        <f>VLOOKUP(A181,[1]SummaryTable!$A$2:$F$359,6,FALSE)</f>
        <v>0</v>
      </c>
      <c r="J181" s="4" t="str">
        <f>IF(I181&gt;0.1,[2]Processes!$A$6,[2]Processes!$A$5)</f>
        <v>Sawmal</v>
      </c>
      <c r="K181" s="23" t="str">
        <f t="shared" si="33"/>
        <v>-</v>
      </c>
      <c r="L181" s="4" t="str">
        <f t="shared" si="34"/>
        <v>-</v>
      </c>
      <c r="M181" s="4" t="str">
        <f t="shared" si="35"/>
        <v>-</v>
      </c>
      <c r="N181" s="4">
        <f t="shared" si="36"/>
        <v>0</v>
      </c>
      <c r="O181" s="23" t="str">
        <f t="shared" si="37"/>
        <v>-</v>
      </c>
      <c r="P181" s="4" t="str">
        <f t="shared" si="38"/>
        <v>-</v>
      </c>
      <c r="Q181" s="4" t="str">
        <f t="shared" si="39"/>
        <v>-</v>
      </c>
      <c r="R181" s="4">
        <f t="shared" si="40"/>
        <v>0</v>
      </c>
      <c r="S181" s="23" t="str">
        <f t="shared" si="41"/>
        <v>-</v>
      </c>
      <c r="T181" s="4" t="str">
        <f t="shared" si="42"/>
        <v>-</v>
      </c>
      <c r="U181" s="4" t="str">
        <f t="shared" si="43"/>
        <v>-</v>
      </c>
      <c r="V181" s="4">
        <f t="shared" si="44"/>
        <v>0</v>
      </c>
      <c r="W181" s="23">
        <f>VLOOKUP(A181,[1]SummaryTable!$A$2:$F$359,4,FALSE)</f>
        <v>17.184000000000001</v>
      </c>
    </row>
    <row r="182" spans="1:23" x14ac:dyDescent="0.25">
      <c r="A182" s="14" t="s">
        <v>31</v>
      </c>
      <c r="B182" s="14" t="str">
        <f t="shared" si="31"/>
        <v>H32</v>
      </c>
      <c r="C182" s="14">
        <v>8</v>
      </c>
      <c r="D182" s="61">
        <v>21</v>
      </c>
      <c r="E182" s="15">
        <f>VLOOKUP(A182,[1]SummaryTable!$A$2:$F$359,2,FALSE)</f>
        <v>6252488.9979999997</v>
      </c>
      <c r="F182" s="15">
        <f>VLOOKUP(A182,[1]SummaryTable!$A$2:$F$359,3,FALSE)</f>
        <v>561689.89300000004</v>
      </c>
      <c r="G182" s="62">
        <f t="shared" si="32"/>
        <v>20.53332</v>
      </c>
      <c r="H182" s="4">
        <f>VLOOKUP(A182,[1]SummaryTable!$A$2:$F$359,5,FALSE)</f>
        <v>1</v>
      </c>
      <c r="I182" s="4">
        <f>VLOOKUP(A182,[1]SummaryTable!$A$2:$F$359,6,FALSE)</f>
        <v>0</v>
      </c>
      <c r="J182" s="4" t="str">
        <f>IF(I182&gt;0.1,[2]Processes!$A$6,[2]Processes!$A$5)</f>
        <v>Sawmal</v>
      </c>
      <c r="K182" s="23" t="str">
        <f t="shared" si="33"/>
        <v>-</v>
      </c>
      <c r="L182" s="4" t="str">
        <f t="shared" si="34"/>
        <v>-</v>
      </c>
      <c r="M182" s="4" t="str">
        <f t="shared" si="35"/>
        <v>-</v>
      </c>
      <c r="N182" s="4">
        <f t="shared" si="36"/>
        <v>0</v>
      </c>
      <c r="O182" s="23" t="str">
        <f t="shared" si="37"/>
        <v>-</v>
      </c>
      <c r="P182" s="4" t="str">
        <f t="shared" si="38"/>
        <v>-</v>
      </c>
      <c r="Q182" s="4" t="str">
        <f t="shared" si="39"/>
        <v>-</v>
      </c>
      <c r="R182" s="4">
        <f t="shared" si="40"/>
        <v>0</v>
      </c>
      <c r="S182" s="23" t="str">
        <f t="shared" si="41"/>
        <v>-</v>
      </c>
      <c r="T182" s="4" t="str">
        <f t="shared" si="42"/>
        <v>-</v>
      </c>
      <c r="U182" s="4" t="str">
        <f t="shared" si="43"/>
        <v>-</v>
      </c>
      <c r="V182" s="4">
        <f t="shared" si="44"/>
        <v>0</v>
      </c>
      <c r="W182" s="23">
        <f>VLOOKUP(A182,[1]SummaryTable!$A$2:$F$359,4,FALSE)</f>
        <v>17.1111</v>
      </c>
    </row>
    <row r="183" spans="1:23" x14ac:dyDescent="0.25">
      <c r="A183" s="14" t="s">
        <v>240</v>
      </c>
      <c r="B183" s="14" t="str">
        <f t="shared" si="31"/>
        <v>H241</v>
      </c>
      <c r="C183" s="14">
        <v>5</v>
      </c>
      <c r="D183" s="61">
        <v>12</v>
      </c>
      <c r="E183" s="15">
        <f>VLOOKUP(A183,[1]SummaryTable!$A$2:$F$359,2,FALSE)</f>
        <v>6451565.5104311304</v>
      </c>
      <c r="F183" s="15">
        <f>VLOOKUP(A183,[1]SummaryTable!$A$2:$F$359,3,FALSE)</f>
        <v>478870.94186812697</v>
      </c>
      <c r="G183" s="62">
        <f t="shared" si="32"/>
        <v>20.220000000000002</v>
      </c>
      <c r="H183" s="4">
        <f>VLOOKUP(A183,[1]SummaryTable!$A$2:$F$359,5,FALSE)</f>
        <v>1</v>
      </c>
      <c r="I183" s="4">
        <f>VLOOKUP(A183,[1]SummaryTable!$A$2:$F$359,6,FALSE)</f>
        <v>0</v>
      </c>
      <c r="J183" s="4" t="str">
        <f>IF(I183&gt;0.1,[2]Processes!$A$6,[2]Processes!$A$5)</f>
        <v>Sawmal</v>
      </c>
      <c r="K183" s="23" t="str">
        <f t="shared" si="33"/>
        <v>-</v>
      </c>
      <c r="L183" s="4" t="str">
        <f t="shared" si="34"/>
        <v>-</v>
      </c>
      <c r="M183" s="4" t="str">
        <f t="shared" si="35"/>
        <v>-</v>
      </c>
      <c r="N183" s="4">
        <f t="shared" si="36"/>
        <v>0</v>
      </c>
      <c r="O183" s="23" t="str">
        <f t="shared" si="37"/>
        <v>-</v>
      </c>
      <c r="P183" s="4" t="str">
        <f t="shared" si="38"/>
        <v>-</v>
      </c>
      <c r="Q183" s="4" t="str">
        <f t="shared" si="39"/>
        <v>-</v>
      </c>
      <c r="R183" s="4">
        <f t="shared" si="40"/>
        <v>0</v>
      </c>
      <c r="S183" s="23" t="str">
        <f t="shared" si="41"/>
        <v>-</v>
      </c>
      <c r="T183" s="4" t="str">
        <f t="shared" si="42"/>
        <v>-</v>
      </c>
      <c r="U183" s="4" t="str">
        <f t="shared" si="43"/>
        <v>-</v>
      </c>
      <c r="V183" s="4">
        <f t="shared" si="44"/>
        <v>0</v>
      </c>
      <c r="W183" s="23">
        <f>VLOOKUP(A183,[1]SummaryTable!$A$2:$F$359,4,FALSE)</f>
        <v>16.850000000000001</v>
      </c>
    </row>
    <row r="184" spans="1:23" x14ac:dyDescent="0.25">
      <c r="A184" s="14" t="s">
        <v>160</v>
      </c>
      <c r="B184" s="14" t="str">
        <f t="shared" si="31"/>
        <v>H161</v>
      </c>
      <c r="C184" s="14">
        <v>19</v>
      </c>
      <c r="D184" s="61">
        <v>12</v>
      </c>
      <c r="E184" s="15">
        <f>VLOOKUP(A184,[1]SummaryTable!$A$2:$F$359,2,FALSE)</f>
        <v>6605601.0157614499</v>
      </c>
      <c r="F184" s="15">
        <f>VLOOKUP(A184,[1]SummaryTable!$A$2:$F$359,3,FALSE)</f>
        <v>547531.54421394598</v>
      </c>
      <c r="G184" s="62">
        <f t="shared" si="32"/>
        <v>19.559999999999999</v>
      </c>
      <c r="H184" s="4">
        <f>VLOOKUP(A184,[1]SummaryTable!$A$2:$F$359,5,FALSE)</f>
        <v>1</v>
      </c>
      <c r="I184" s="4">
        <f>VLOOKUP(A184,[1]SummaryTable!$A$2:$F$359,6,FALSE)</f>
        <v>0</v>
      </c>
      <c r="J184" s="4" t="str">
        <f>IF(I184&gt;0.1,[2]Processes!$A$6,[2]Processes!$A$5)</f>
        <v>Sawmal</v>
      </c>
      <c r="K184" s="23" t="str">
        <f t="shared" si="33"/>
        <v>-</v>
      </c>
      <c r="L184" s="4" t="str">
        <f t="shared" si="34"/>
        <v>-</v>
      </c>
      <c r="M184" s="4" t="str">
        <f t="shared" si="35"/>
        <v>-</v>
      </c>
      <c r="N184" s="4">
        <f t="shared" si="36"/>
        <v>0</v>
      </c>
      <c r="O184" s="23" t="str">
        <f t="shared" si="37"/>
        <v>-</v>
      </c>
      <c r="P184" s="4" t="str">
        <f t="shared" si="38"/>
        <v>-</v>
      </c>
      <c r="Q184" s="4" t="str">
        <f t="shared" si="39"/>
        <v>-</v>
      </c>
      <c r="R184" s="4">
        <f t="shared" si="40"/>
        <v>0</v>
      </c>
      <c r="S184" s="23" t="str">
        <f t="shared" si="41"/>
        <v>-</v>
      </c>
      <c r="T184" s="4" t="str">
        <f t="shared" si="42"/>
        <v>-</v>
      </c>
      <c r="U184" s="4" t="str">
        <f t="shared" si="43"/>
        <v>-</v>
      </c>
      <c r="V184" s="4">
        <f t="shared" si="44"/>
        <v>0</v>
      </c>
      <c r="W184" s="23">
        <f>VLOOKUP(A184,[1]SummaryTable!$A$2:$F$359,4,FALSE)</f>
        <v>16.3</v>
      </c>
    </row>
    <row r="185" spans="1:23" x14ac:dyDescent="0.25">
      <c r="A185" s="14" t="s">
        <v>217</v>
      </c>
      <c r="B185" s="14" t="str">
        <f t="shared" si="31"/>
        <v>H218</v>
      </c>
      <c r="C185" s="14">
        <v>5</v>
      </c>
      <c r="D185" s="61">
        <v>12</v>
      </c>
      <c r="E185" s="15">
        <f>VLOOKUP(A185,[1]SummaryTable!$A$2:$F$359,2,FALSE)</f>
        <v>6489358.4530394701</v>
      </c>
      <c r="F185" s="15">
        <f>VLOOKUP(A185,[1]SummaryTable!$A$2:$F$359,3,FALSE)</f>
        <v>516384.234400735</v>
      </c>
      <c r="G185" s="62">
        <f t="shared" si="32"/>
        <v>19.523999999999997</v>
      </c>
      <c r="H185" s="4">
        <f>VLOOKUP(A185,[1]SummaryTable!$A$2:$F$359,5,FALSE)</f>
        <v>1</v>
      </c>
      <c r="I185" s="4">
        <f>VLOOKUP(A185,[1]SummaryTable!$A$2:$F$359,6,FALSE)</f>
        <v>0</v>
      </c>
      <c r="J185" s="4" t="str">
        <f>IF(I185&gt;0.1,[2]Processes!$A$6,[2]Processes!$A$5)</f>
        <v>Sawmal</v>
      </c>
      <c r="K185" s="23" t="str">
        <f t="shared" si="33"/>
        <v>-</v>
      </c>
      <c r="L185" s="4" t="str">
        <f t="shared" si="34"/>
        <v>-</v>
      </c>
      <c r="M185" s="4" t="str">
        <f t="shared" si="35"/>
        <v>-</v>
      </c>
      <c r="N185" s="4">
        <f t="shared" si="36"/>
        <v>0</v>
      </c>
      <c r="O185" s="23" t="str">
        <f t="shared" si="37"/>
        <v>-</v>
      </c>
      <c r="P185" s="4" t="str">
        <f t="shared" si="38"/>
        <v>-</v>
      </c>
      <c r="Q185" s="4" t="str">
        <f t="shared" si="39"/>
        <v>-</v>
      </c>
      <c r="R185" s="4">
        <f t="shared" si="40"/>
        <v>0</v>
      </c>
      <c r="S185" s="23" t="str">
        <f t="shared" si="41"/>
        <v>-</v>
      </c>
      <c r="T185" s="4" t="str">
        <f t="shared" si="42"/>
        <v>-</v>
      </c>
      <c r="U185" s="4" t="str">
        <f t="shared" si="43"/>
        <v>-</v>
      </c>
      <c r="V185" s="4">
        <f t="shared" si="44"/>
        <v>0</v>
      </c>
      <c r="W185" s="23">
        <f>VLOOKUP(A185,[1]SummaryTable!$A$2:$F$359,4,FALSE)</f>
        <v>16.27</v>
      </c>
    </row>
    <row r="186" spans="1:23" x14ac:dyDescent="0.25">
      <c r="A186" s="14" t="s">
        <v>68</v>
      </c>
      <c r="B186" s="14" t="str">
        <f t="shared" si="31"/>
        <v>H69</v>
      </c>
      <c r="C186" s="14">
        <v>24</v>
      </c>
      <c r="D186" s="61">
        <v>33</v>
      </c>
      <c r="E186" s="15">
        <f>VLOOKUP(A186,[1]SummaryTable!$A$2:$F$359,2,FALSE)</f>
        <v>7128297.0903356997</v>
      </c>
      <c r="F186" s="15">
        <f>VLOOKUP(A186,[1]SummaryTable!$A$2:$F$359,3,FALSE)</f>
        <v>728917.067823419</v>
      </c>
      <c r="G186" s="62">
        <f t="shared" si="32"/>
        <v>19.494</v>
      </c>
      <c r="H186" s="4">
        <f>VLOOKUP(A186,[1]SummaryTable!$A$2:$F$359,5,FALSE)</f>
        <v>1</v>
      </c>
      <c r="I186" s="4">
        <f>VLOOKUP(A186,[1]SummaryTable!$A$2:$F$359,6,FALSE)</f>
        <v>0</v>
      </c>
      <c r="J186" s="4" t="str">
        <f>IF(I186&gt;0.1,[2]Processes!$A$6,[2]Processes!$A$5)</f>
        <v>Sawmal</v>
      </c>
      <c r="K186" s="23" t="str">
        <f t="shared" si="33"/>
        <v>-</v>
      </c>
      <c r="L186" s="4" t="str">
        <f t="shared" si="34"/>
        <v>-</v>
      </c>
      <c r="M186" s="4" t="str">
        <f t="shared" si="35"/>
        <v>-</v>
      </c>
      <c r="N186" s="4">
        <f t="shared" si="36"/>
        <v>0</v>
      </c>
      <c r="O186" s="23" t="str">
        <f t="shared" si="37"/>
        <v>-</v>
      </c>
      <c r="P186" s="4" t="str">
        <f t="shared" si="38"/>
        <v>-</v>
      </c>
      <c r="Q186" s="4" t="str">
        <f t="shared" si="39"/>
        <v>-</v>
      </c>
      <c r="R186" s="4">
        <f t="shared" si="40"/>
        <v>0</v>
      </c>
      <c r="S186" s="23" t="str">
        <f t="shared" si="41"/>
        <v>-</v>
      </c>
      <c r="T186" s="4" t="str">
        <f t="shared" si="42"/>
        <v>-</v>
      </c>
      <c r="U186" s="4" t="str">
        <f t="shared" si="43"/>
        <v>-</v>
      </c>
      <c r="V186" s="4">
        <f t="shared" si="44"/>
        <v>0</v>
      </c>
      <c r="W186" s="23">
        <f>VLOOKUP(A186,[1]SummaryTable!$A$2:$F$359,4,FALSE)</f>
        <v>16.245000000000001</v>
      </c>
    </row>
    <row r="187" spans="1:23" x14ac:dyDescent="0.25">
      <c r="A187" s="14" t="s">
        <v>133</v>
      </c>
      <c r="B187" s="14" t="str">
        <f t="shared" si="31"/>
        <v>H134</v>
      </c>
      <c r="C187" s="14">
        <v>17</v>
      </c>
      <c r="D187" s="61">
        <v>31</v>
      </c>
      <c r="E187" s="15">
        <f>VLOOKUP(A187,[1]SummaryTable!$A$2:$F$359,2,FALSE)</f>
        <v>6670628.6277071498</v>
      </c>
      <c r="F187" s="15">
        <f>VLOOKUP(A187,[1]SummaryTable!$A$2:$F$359,3,FALSE)</f>
        <v>416483.947296525</v>
      </c>
      <c r="G187" s="62">
        <f t="shared" si="32"/>
        <v>19.331999999999997</v>
      </c>
      <c r="H187" s="4">
        <f>VLOOKUP(A187,[1]SummaryTable!$A$2:$F$359,5,FALSE)</f>
        <v>1</v>
      </c>
      <c r="I187" s="4">
        <f>VLOOKUP(A187,[1]SummaryTable!$A$2:$F$359,6,FALSE)</f>
        <v>0</v>
      </c>
      <c r="J187" s="4" t="str">
        <f>IF(I187&gt;0.1,[2]Processes!$A$6,[2]Processes!$A$5)</f>
        <v>Sawmal</v>
      </c>
      <c r="K187" s="23" t="str">
        <f t="shared" si="33"/>
        <v>-</v>
      </c>
      <c r="L187" s="4" t="str">
        <f t="shared" si="34"/>
        <v>-</v>
      </c>
      <c r="M187" s="4" t="str">
        <f t="shared" si="35"/>
        <v>-</v>
      </c>
      <c r="N187" s="4">
        <f t="shared" si="36"/>
        <v>0</v>
      </c>
      <c r="O187" s="23" t="str">
        <f t="shared" si="37"/>
        <v>-</v>
      </c>
      <c r="P187" s="4" t="str">
        <f t="shared" si="38"/>
        <v>-</v>
      </c>
      <c r="Q187" s="4" t="str">
        <f t="shared" si="39"/>
        <v>-</v>
      </c>
      <c r="R187" s="4">
        <f t="shared" si="40"/>
        <v>0</v>
      </c>
      <c r="S187" s="23" t="str">
        <f t="shared" si="41"/>
        <v>-</v>
      </c>
      <c r="T187" s="4" t="str">
        <f t="shared" si="42"/>
        <v>-</v>
      </c>
      <c r="U187" s="4" t="str">
        <f t="shared" si="43"/>
        <v>-</v>
      </c>
      <c r="V187" s="4">
        <f t="shared" si="44"/>
        <v>0</v>
      </c>
      <c r="W187" s="23">
        <f>VLOOKUP(A187,[1]SummaryTable!$A$2:$F$359,4,FALSE)</f>
        <v>16.11</v>
      </c>
    </row>
    <row r="188" spans="1:23" x14ac:dyDescent="0.25">
      <c r="A188" s="14" t="s">
        <v>102</v>
      </c>
      <c r="B188" s="14" t="str">
        <f t="shared" si="31"/>
        <v>H103</v>
      </c>
      <c r="C188" s="14">
        <v>21</v>
      </c>
      <c r="D188" s="61">
        <v>31</v>
      </c>
      <c r="E188" s="15">
        <f>VLOOKUP(A188,[1]SummaryTable!$A$2:$F$359,2,FALSE)</f>
        <v>6852109.8797692498</v>
      </c>
      <c r="F188" s="15">
        <f>VLOOKUP(A188,[1]SummaryTable!$A$2:$F$359,3,FALSE)</f>
        <v>582556.74089487398</v>
      </c>
      <c r="G188" s="62">
        <f t="shared" si="32"/>
        <v>19.013999999999999</v>
      </c>
      <c r="H188" s="4">
        <f>VLOOKUP(A188,[1]SummaryTable!$A$2:$F$359,5,FALSE)</f>
        <v>1</v>
      </c>
      <c r="I188" s="4">
        <f>VLOOKUP(A188,[1]SummaryTable!$A$2:$F$359,6,FALSE)</f>
        <v>0</v>
      </c>
      <c r="J188" s="4" t="str">
        <f>IF(I188&gt;0.1,[2]Processes!$A$6,[2]Processes!$A$5)</f>
        <v>Sawmal</v>
      </c>
      <c r="K188" s="23" t="str">
        <f t="shared" si="33"/>
        <v>-</v>
      </c>
      <c r="L188" s="4" t="str">
        <f t="shared" si="34"/>
        <v>-</v>
      </c>
      <c r="M188" s="4" t="str">
        <f t="shared" si="35"/>
        <v>-</v>
      </c>
      <c r="N188" s="4">
        <f t="shared" si="36"/>
        <v>0</v>
      </c>
      <c r="O188" s="23" t="str">
        <f t="shared" si="37"/>
        <v>-</v>
      </c>
      <c r="P188" s="4" t="str">
        <f t="shared" si="38"/>
        <v>-</v>
      </c>
      <c r="Q188" s="4" t="str">
        <f t="shared" si="39"/>
        <v>-</v>
      </c>
      <c r="R188" s="4">
        <f t="shared" si="40"/>
        <v>0</v>
      </c>
      <c r="S188" s="23" t="str">
        <f t="shared" si="41"/>
        <v>-</v>
      </c>
      <c r="T188" s="4" t="str">
        <f t="shared" si="42"/>
        <v>-</v>
      </c>
      <c r="U188" s="4" t="str">
        <f t="shared" si="43"/>
        <v>-</v>
      </c>
      <c r="V188" s="4">
        <f t="shared" si="44"/>
        <v>0</v>
      </c>
      <c r="W188" s="23">
        <f>VLOOKUP(A188,[1]SummaryTable!$A$2:$F$359,4,FALSE)</f>
        <v>15.845000000000001</v>
      </c>
    </row>
    <row r="189" spans="1:23" x14ac:dyDescent="0.25">
      <c r="A189" s="14" t="s">
        <v>247</v>
      </c>
      <c r="B189" s="14" t="str">
        <f t="shared" si="31"/>
        <v>H248</v>
      </c>
      <c r="C189" s="14">
        <v>14</v>
      </c>
      <c r="D189" s="61">
        <v>23</v>
      </c>
      <c r="E189" s="15">
        <f>VLOOKUP(A189,[1]SummaryTable!$A$2:$F$359,2,FALSE)</f>
        <v>6441087.4295596099</v>
      </c>
      <c r="F189" s="15">
        <f>VLOOKUP(A189,[1]SummaryTable!$A$2:$F$359,3,FALSE)</f>
        <v>331675.80442229699</v>
      </c>
      <c r="G189" s="62">
        <f t="shared" si="32"/>
        <v>18.96</v>
      </c>
      <c r="H189" s="4">
        <f>VLOOKUP(A189,[1]SummaryTable!$A$2:$F$359,5,FALSE)</f>
        <v>1</v>
      </c>
      <c r="I189" s="4">
        <f>VLOOKUP(A189,[1]SummaryTable!$A$2:$F$359,6,FALSE)</f>
        <v>0</v>
      </c>
      <c r="J189" s="4" t="str">
        <f>IF(I189&gt;0.1,[2]Processes!$A$6,[2]Processes!$A$5)</f>
        <v>Sawmal</v>
      </c>
      <c r="K189" s="23" t="str">
        <f t="shared" si="33"/>
        <v>-</v>
      </c>
      <c r="L189" s="4" t="str">
        <f t="shared" si="34"/>
        <v>-</v>
      </c>
      <c r="M189" s="4" t="str">
        <f t="shared" si="35"/>
        <v>-</v>
      </c>
      <c r="N189" s="4">
        <f t="shared" si="36"/>
        <v>0</v>
      </c>
      <c r="O189" s="23" t="str">
        <f t="shared" si="37"/>
        <v>-</v>
      </c>
      <c r="P189" s="4" t="str">
        <f t="shared" si="38"/>
        <v>-</v>
      </c>
      <c r="Q189" s="4" t="str">
        <f t="shared" si="39"/>
        <v>-</v>
      </c>
      <c r="R189" s="4">
        <f t="shared" si="40"/>
        <v>0</v>
      </c>
      <c r="S189" s="23" t="str">
        <f t="shared" si="41"/>
        <v>-</v>
      </c>
      <c r="T189" s="4" t="str">
        <f t="shared" si="42"/>
        <v>-</v>
      </c>
      <c r="U189" s="4" t="str">
        <f t="shared" si="43"/>
        <v>-</v>
      </c>
      <c r="V189" s="4">
        <f t="shared" si="44"/>
        <v>0</v>
      </c>
      <c r="W189" s="23">
        <f>VLOOKUP(A189,[1]SummaryTable!$A$2:$F$359,4,FALSE)</f>
        <v>15.8</v>
      </c>
    </row>
    <row r="190" spans="1:23" x14ac:dyDescent="0.25">
      <c r="A190" s="14" t="s">
        <v>313</v>
      </c>
      <c r="B190" s="14" t="str">
        <f t="shared" si="31"/>
        <v>H314</v>
      </c>
      <c r="C190" s="14">
        <v>7</v>
      </c>
      <c r="D190" s="61">
        <v>21</v>
      </c>
      <c r="E190" s="15">
        <f>VLOOKUP(A190,[1]SummaryTable!$A$2:$F$359,2,FALSE)</f>
        <v>6316003.2256627101</v>
      </c>
      <c r="F190" s="15">
        <f>VLOOKUP(A190,[1]SummaryTable!$A$2:$F$359,3,FALSE)</f>
        <v>474130.20103655901</v>
      </c>
      <c r="G190" s="62">
        <f t="shared" si="32"/>
        <v>18.96</v>
      </c>
      <c r="H190" s="4">
        <f>VLOOKUP(A190,[1]SummaryTable!$A$2:$F$359,5,FALSE)</f>
        <v>1</v>
      </c>
      <c r="I190" s="4">
        <f>VLOOKUP(A190,[1]SummaryTable!$A$2:$F$359,6,FALSE)</f>
        <v>0</v>
      </c>
      <c r="J190" s="4" t="str">
        <f>IF(I190&gt;0.1,[2]Processes!$A$6,[2]Processes!$A$5)</f>
        <v>Sawmal</v>
      </c>
      <c r="K190" s="23" t="str">
        <f t="shared" si="33"/>
        <v>-</v>
      </c>
      <c r="L190" s="4" t="str">
        <f t="shared" si="34"/>
        <v>-</v>
      </c>
      <c r="M190" s="4" t="str">
        <f t="shared" si="35"/>
        <v>-</v>
      </c>
      <c r="N190" s="4">
        <f t="shared" si="36"/>
        <v>0</v>
      </c>
      <c r="O190" s="23" t="str">
        <f t="shared" si="37"/>
        <v>-</v>
      </c>
      <c r="P190" s="4" t="str">
        <f t="shared" si="38"/>
        <v>-</v>
      </c>
      <c r="Q190" s="4" t="str">
        <f t="shared" si="39"/>
        <v>-</v>
      </c>
      <c r="R190" s="4">
        <f t="shared" si="40"/>
        <v>0</v>
      </c>
      <c r="S190" s="23" t="str">
        <f t="shared" si="41"/>
        <v>-</v>
      </c>
      <c r="T190" s="4" t="str">
        <f t="shared" si="42"/>
        <v>-</v>
      </c>
      <c r="U190" s="4" t="str">
        <f t="shared" si="43"/>
        <v>-</v>
      </c>
      <c r="V190" s="4">
        <f t="shared" si="44"/>
        <v>0</v>
      </c>
      <c r="W190" s="23">
        <f>VLOOKUP(A190,[1]SummaryTable!$A$2:$F$359,4,FALSE)</f>
        <v>15.8</v>
      </c>
    </row>
    <row r="191" spans="1:23" x14ac:dyDescent="0.25">
      <c r="A191" s="14" t="s">
        <v>139</v>
      </c>
      <c r="B191" s="14" t="str">
        <f t="shared" si="31"/>
        <v>H140</v>
      </c>
      <c r="C191" s="14">
        <v>1</v>
      </c>
      <c r="D191" s="61">
        <v>12</v>
      </c>
      <c r="E191" s="15">
        <f>VLOOKUP(A191,[1]SummaryTable!$A$2:$F$359,2,FALSE)</f>
        <v>6662829.7938500196</v>
      </c>
      <c r="F191" s="15">
        <f>VLOOKUP(A191,[1]SummaryTable!$A$2:$F$359,3,FALSE)</f>
        <v>700201.39924883202</v>
      </c>
      <c r="G191" s="62">
        <f t="shared" si="32"/>
        <v>18.552</v>
      </c>
      <c r="H191" s="4">
        <f>VLOOKUP(A191,[1]SummaryTable!$A$2:$F$359,5,FALSE)</f>
        <v>1</v>
      </c>
      <c r="I191" s="4">
        <f>VLOOKUP(A191,[1]SummaryTable!$A$2:$F$359,6,FALSE)</f>
        <v>0</v>
      </c>
      <c r="J191" s="4" t="str">
        <f>IF(I191&gt;0.1,[2]Processes!$A$6,[2]Processes!$A$5)</f>
        <v>Sawmal</v>
      </c>
      <c r="K191" s="23" t="str">
        <f t="shared" si="33"/>
        <v>-</v>
      </c>
      <c r="L191" s="4" t="str">
        <f t="shared" si="34"/>
        <v>-</v>
      </c>
      <c r="M191" s="4" t="str">
        <f t="shared" si="35"/>
        <v>-</v>
      </c>
      <c r="N191" s="4">
        <f t="shared" si="36"/>
        <v>0</v>
      </c>
      <c r="O191" s="23" t="str">
        <f t="shared" si="37"/>
        <v>-</v>
      </c>
      <c r="P191" s="4" t="str">
        <f t="shared" si="38"/>
        <v>-</v>
      </c>
      <c r="Q191" s="4" t="str">
        <f t="shared" si="39"/>
        <v>-</v>
      </c>
      <c r="R191" s="4">
        <f t="shared" si="40"/>
        <v>0</v>
      </c>
      <c r="S191" s="23" t="str">
        <f t="shared" si="41"/>
        <v>-</v>
      </c>
      <c r="T191" s="4" t="str">
        <f t="shared" si="42"/>
        <v>-</v>
      </c>
      <c r="U191" s="4" t="str">
        <f t="shared" si="43"/>
        <v>-</v>
      </c>
      <c r="V191" s="4">
        <f t="shared" si="44"/>
        <v>0</v>
      </c>
      <c r="W191" s="23">
        <f>VLOOKUP(A191,[1]SummaryTable!$A$2:$F$359,4,FALSE)</f>
        <v>15.46</v>
      </c>
    </row>
    <row r="192" spans="1:23" x14ac:dyDescent="0.25">
      <c r="A192" s="14" t="s">
        <v>272</v>
      </c>
      <c r="B192" s="14" t="str">
        <f t="shared" si="31"/>
        <v>H273</v>
      </c>
      <c r="C192" s="14">
        <v>8</v>
      </c>
      <c r="D192" s="61">
        <v>21</v>
      </c>
      <c r="E192" s="15">
        <f>VLOOKUP(A192,[1]SummaryTable!$A$2:$F$359,2,FALSE)</f>
        <v>6398243.1091877697</v>
      </c>
      <c r="F192" s="15">
        <f>VLOOKUP(A192,[1]SummaryTable!$A$2:$F$359,3,FALSE)</f>
        <v>547420.52113624895</v>
      </c>
      <c r="G192" s="62">
        <f t="shared" si="32"/>
        <v>18.515999999999998</v>
      </c>
      <c r="H192" s="4">
        <f>VLOOKUP(A192,[1]SummaryTable!$A$2:$F$359,5,FALSE)</f>
        <v>1</v>
      </c>
      <c r="I192" s="4">
        <f>VLOOKUP(A192,[1]SummaryTable!$A$2:$F$359,6,FALSE)</f>
        <v>0</v>
      </c>
      <c r="J192" s="4" t="str">
        <f>IF(I192&gt;0.1,[2]Processes!$A$6,[2]Processes!$A$5)</f>
        <v>Sawmal</v>
      </c>
      <c r="K192" s="23" t="str">
        <f t="shared" si="33"/>
        <v>-</v>
      </c>
      <c r="L192" s="4" t="str">
        <f t="shared" si="34"/>
        <v>-</v>
      </c>
      <c r="M192" s="4" t="str">
        <f t="shared" si="35"/>
        <v>-</v>
      </c>
      <c r="N192" s="4">
        <f t="shared" si="36"/>
        <v>0</v>
      </c>
      <c r="O192" s="23" t="str">
        <f t="shared" si="37"/>
        <v>-</v>
      </c>
      <c r="P192" s="4" t="str">
        <f t="shared" si="38"/>
        <v>-</v>
      </c>
      <c r="Q192" s="4" t="str">
        <f t="shared" si="39"/>
        <v>-</v>
      </c>
      <c r="R192" s="4">
        <f t="shared" si="40"/>
        <v>0</v>
      </c>
      <c r="S192" s="23" t="str">
        <f t="shared" si="41"/>
        <v>-</v>
      </c>
      <c r="T192" s="4" t="str">
        <f t="shared" si="42"/>
        <v>-</v>
      </c>
      <c r="U192" s="4" t="str">
        <f t="shared" si="43"/>
        <v>-</v>
      </c>
      <c r="V192" s="4">
        <f t="shared" si="44"/>
        <v>0</v>
      </c>
      <c r="W192" s="23">
        <f>VLOOKUP(A192,[1]SummaryTable!$A$2:$F$359,4,FALSE)</f>
        <v>15.43</v>
      </c>
    </row>
    <row r="193" spans="1:23" x14ac:dyDescent="0.25">
      <c r="A193" s="14" t="s">
        <v>97</v>
      </c>
      <c r="B193" s="14" t="str">
        <f t="shared" si="31"/>
        <v>H98</v>
      </c>
      <c r="C193" s="14">
        <v>22</v>
      </c>
      <c r="D193" s="61">
        <v>12</v>
      </c>
      <c r="E193" s="15">
        <f>VLOOKUP(A193,[1]SummaryTable!$A$2:$F$359,2,FALSE)</f>
        <v>6914403.0578819597</v>
      </c>
      <c r="F193" s="15">
        <f>VLOOKUP(A193,[1]SummaryTable!$A$2:$F$359,3,FALSE)</f>
        <v>606266.91047619504</v>
      </c>
      <c r="G193" s="62">
        <f t="shared" si="32"/>
        <v>18.511199999999999</v>
      </c>
      <c r="H193" s="4">
        <f>VLOOKUP(A193,[1]SummaryTable!$A$2:$F$359,5,FALSE)</f>
        <v>1</v>
      </c>
      <c r="I193" s="4">
        <f>VLOOKUP(A193,[1]SummaryTable!$A$2:$F$359,6,FALSE)</f>
        <v>0</v>
      </c>
      <c r="J193" s="4" t="str">
        <f>IF(I193&gt;0.1,[2]Processes!$A$6,[2]Processes!$A$5)</f>
        <v>Sawmal</v>
      </c>
      <c r="K193" s="23" t="str">
        <f t="shared" si="33"/>
        <v>-</v>
      </c>
      <c r="L193" s="4" t="str">
        <f t="shared" si="34"/>
        <v>-</v>
      </c>
      <c r="M193" s="4" t="str">
        <f t="shared" si="35"/>
        <v>-</v>
      </c>
      <c r="N193" s="4">
        <f t="shared" si="36"/>
        <v>0</v>
      </c>
      <c r="O193" s="23" t="str">
        <f t="shared" si="37"/>
        <v>-</v>
      </c>
      <c r="P193" s="4" t="str">
        <f t="shared" si="38"/>
        <v>-</v>
      </c>
      <c r="Q193" s="4" t="str">
        <f t="shared" si="39"/>
        <v>-</v>
      </c>
      <c r="R193" s="4">
        <f t="shared" si="40"/>
        <v>0</v>
      </c>
      <c r="S193" s="23" t="str">
        <f t="shared" si="41"/>
        <v>-</v>
      </c>
      <c r="T193" s="4" t="str">
        <f t="shared" si="42"/>
        <v>-</v>
      </c>
      <c r="U193" s="4" t="str">
        <f t="shared" si="43"/>
        <v>-</v>
      </c>
      <c r="V193" s="4">
        <f t="shared" si="44"/>
        <v>0</v>
      </c>
      <c r="W193" s="23">
        <f>VLOOKUP(A193,[1]SummaryTable!$A$2:$F$359,4,FALSE)</f>
        <v>15.426</v>
      </c>
    </row>
    <row r="194" spans="1:23" x14ac:dyDescent="0.25">
      <c r="A194" s="14" t="s">
        <v>251</v>
      </c>
      <c r="B194" s="14" t="str">
        <f t="shared" si="31"/>
        <v>H252</v>
      </c>
      <c r="C194" s="14">
        <v>6</v>
      </c>
      <c r="D194" s="61">
        <v>21</v>
      </c>
      <c r="E194" s="15">
        <f>VLOOKUP(A194,[1]SummaryTable!$A$2:$F$359,2,FALSE)</f>
        <v>6428636.01133746</v>
      </c>
      <c r="F194" s="15">
        <f>VLOOKUP(A194,[1]SummaryTable!$A$2:$F$359,3,FALSE)</f>
        <v>468371.14864293899</v>
      </c>
      <c r="G194" s="62">
        <f t="shared" si="32"/>
        <v>18.384</v>
      </c>
      <c r="H194" s="4">
        <f>VLOOKUP(A194,[1]SummaryTable!$A$2:$F$359,5,FALSE)</f>
        <v>1</v>
      </c>
      <c r="I194" s="4">
        <f>VLOOKUP(A194,[1]SummaryTable!$A$2:$F$359,6,FALSE)</f>
        <v>0</v>
      </c>
      <c r="J194" s="4" t="str">
        <f>IF(I194&gt;0.1,[2]Processes!$A$6,[2]Processes!$A$5)</f>
        <v>Sawmal</v>
      </c>
      <c r="K194" s="23" t="str">
        <f t="shared" si="33"/>
        <v>-</v>
      </c>
      <c r="L194" s="4" t="str">
        <f t="shared" si="34"/>
        <v>-</v>
      </c>
      <c r="M194" s="4" t="str">
        <f t="shared" si="35"/>
        <v>-</v>
      </c>
      <c r="N194" s="4">
        <f t="shared" si="36"/>
        <v>0</v>
      </c>
      <c r="O194" s="23" t="str">
        <f t="shared" si="37"/>
        <v>-</v>
      </c>
      <c r="P194" s="4" t="str">
        <f t="shared" si="38"/>
        <v>-</v>
      </c>
      <c r="Q194" s="4" t="str">
        <f t="shared" si="39"/>
        <v>-</v>
      </c>
      <c r="R194" s="4">
        <f t="shared" si="40"/>
        <v>0</v>
      </c>
      <c r="S194" s="23" t="str">
        <f t="shared" si="41"/>
        <v>-</v>
      </c>
      <c r="T194" s="4" t="str">
        <f t="shared" si="42"/>
        <v>-</v>
      </c>
      <c r="U194" s="4" t="str">
        <f t="shared" si="43"/>
        <v>-</v>
      </c>
      <c r="V194" s="4">
        <f t="shared" si="44"/>
        <v>0</v>
      </c>
      <c r="W194" s="23">
        <f>VLOOKUP(A194,[1]SummaryTable!$A$2:$F$359,4,FALSE)</f>
        <v>15.32</v>
      </c>
    </row>
    <row r="195" spans="1:23" x14ac:dyDescent="0.25">
      <c r="A195" s="14" t="s">
        <v>333</v>
      </c>
      <c r="B195" s="14" t="str">
        <f t="shared" ref="B195:B258" si="45">A195</f>
        <v>H334</v>
      </c>
      <c r="C195" s="14">
        <v>12</v>
      </c>
      <c r="D195" s="61">
        <v>22</v>
      </c>
      <c r="E195" s="15">
        <f>VLOOKUP(A195,[1]SummaryTable!$A$2:$F$359,2,FALSE)</f>
        <v>6232065.1327845203</v>
      </c>
      <c r="F195" s="15">
        <f>VLOOKUP(A195,[1]SummaryTable!$A$2:$F$359,3,FALSE)</f>
        <v>367225.67568171502</v>
      </c>
      <c r="G195" s="62">
        <f t="shared" ref="G195:G258" si="46">1.2*W195</f>
        <v>18.3432</v>
      </c>
      <c r="H195" s="4">
        <f>VLOOKUP(A195,[1]SummaryTable!$A$2:$F$359,5,FALSE)</f>
        <v>1</v>
      </c>
      <c r="I195" s="4">
        <f>VLOOKUP(A195,[1]SummaryTable!$A$2:$F$359,6,FALSE)</f>
        <v>0</v>
      </c>
      <c r="J195" s="4" t="str">
        <f>IF(I195&gt;0.1,[2]Processes!$A$6,[2]Processes!$A$5)</f>
        <v>Sawmal</v>
      </c>
      <c r="K195" s="23" t="str">
        <f t="shared" si="33"/>
        <v>-</v>
      </c>
      <c r="L195" s="4" t="str">
        <f t="shared" si="34"/>
        <v>-</v>
      </c>
      <c r="M195" s="4" t="str">
        <f t="shared" si="35"/>
        <v>-</v>
      </c>
      <c r="N195" s="4">
        <f t="shared" si="36"/>
        <v>0</v>
      </c>
      <c r="O195" s="23" t="str">
        <f t="shared" si="37"/>
        <v>-</v>
      </c>
      <c r="P195" s="4" t="str">
        <f t="shared" si="38"/>
        <v>-</v>
      </c>
      <c r="Q195" s="4" t="str">
        <f t="shared" si="39"/>
        <v>-</v>
      </c>
      <c r="R195" s="4">
        <f t="shared" si="40"/>
        <v>0</v>
      </c>
      <c r="S195" s="23" t="str">
        <f t="shared" si="41"/>
        <v>-</v>
      </c>
      <c r="T195" s="4" t="str">
        <f t="shared" si="42"/>
        <v>-</v>
      </c>
      <c r="U195" s="4" t="str">
        <f t="shared" si="43"/>
        <v>-</v>
      </c>
      <c r="V195" s="4">
        <f t="shared" si="44"/>
        <v>0</v>
      </c>
      <c r="W195" s="23">
        <f>VLOOKUP(A195,[1]SummaryTable!$A$2:$F$359,4,FALSE)</f>
        <v>15.286000000000001</v>
      </c>
    </row>
    <row r="196" spans="1:23" x14ac:dyDescent="0.25">
      <c r="A196" s="14" t="s">
        <v>244</v>
      </c>
      <c r="B196" s="14" t="str">
        <f t="shared" si="45"/>
        <v>H245</v>
      </c>
      <c r="C196" s="14">
        <v>14</v>
      </c>
      <c r="D196" s="61">
        <v>23</v>
      </c>
      <c r="E196" s="15">
        <f>VLOOKUP(A196,[1]SummaryTable!$A$2:$F$359,2,FALSE)</f>
        <v>6446505.7736899303</v>
      </c>
      <c r="F196" s="15">
        <f>VLOOKUP(A196,[1]SummaryTable!$A$2:$F$359,3,FALSE)</f>
        <v>438850.873369804</v>
      </c>
      <c r="G196" s="62">
        <f t="shared" si="46"/>
        <v>18.16356</v>
      </c>
      <c r="H196" s="4">
        <f>VLOOKUP(A196,[1]SummaryTable!$A$2:$F$359,5,FALSE)</f>
        <v>1</v>
      </c>
      <c r="I196" s="4">
        <f>VLOOKUP(A196,[1]SummaryTable!$A$2:$F$359,6,FALSE)</f>
        <v>0</v>
      </c>
      <c r="J196" s="4" t="str">
        <f>IF(I196&gt;0.1,[2]Processes!$A$6,[2]Processes!$A$5)</f>
        <v>Sawmal</v>
      </c>
      <c r="K196" s="23" t="str">
        <f t="shared" ref="K196:K259" si="47">IF(G196&gt;$N$1,$A196&amp;"L"&amp;K$1,"-")</f>
        <v>-</v>
      </c>
      <c r="L196" s="4" t="str">
        <f t="shared" ref="L196:L259" si="48">IF(K196="-","-",$A196)</f>
        <v>-</v>
      </c>
      <c r="M196" s="4" t="str">
        <f t="shared" ref="M196:M259" si="49">IF(L196="-","-","Heatpl")</f>
        <v>-</v>
      </c>
      <c r="N196" s="4">
        <f t="shared" ref="N196:N259" si="50">IF(M196="-",0,G196)</f>
        <v>0</v>
      </c>
      <c r="O196" s="23" t="str">
        <f t="shared" ref="O196:O259" si="51">IF(G196*I196&gt;$N$1,$A196&amp;"L"&amp;O$1,"-")</f>
        <v>-</v>
      </c>
      <c r="P196" s="4" t="str">
        <f t="shared" ref="P196:P259" si="52">IF(O196="-","-",A196)</f>
        <v>-</v>
      </c>
      <c r="Q196" s="4" t="str">
        <f t="shared" ref="Q196:Q259" si="53">IF(P196="-","-","CHPpl_")</f>
        <v>-</v>
      </c>
      <c r="R196" s="4">
        <f t="shared" ref="R196:R259" si="54">IF(Q196="-",0,G196*I196)</f>
        <v>0</v>
      </c>
      <c r="S196" s="23" t="str">
        <f t="shared" ref="S196:S259" si="55">IF(G196&gt;$N$1,$A196&amp;"L"&amp;S$1,"-")</f>
        <v>-</v>
      </c>
      <c r="T196" s="4" t="str">
        <f t="shared" ref="T196:T259" si="56">IF(S196="-","-",$A196)</f>
        <v>-</v>
      </c>
      <c r="U196" s="4" t="str">
        <f t="shared" ref="U196:U259" si="57">IF(T196="-","-","TerHea")</f>
        <v>-</v>
      </c>
      <c r="V196" s="4">
        <f t="shared" ref="V196:V259" si="58">IF(U196="-",0,9999)</f>
        <v>0</v>
      </c>
      <c r="W196" s="23">
        <f>VLOOKUP(A196,[1]SummaryTable!$A$2:$F$359,4,FALSE)</f>
        <v>15.1363</v>
      </c>
    </row>
    <row r="197" spans="1:23" x14ac:dyDescent="0.25">
      <c r="A197" s="14" t="s">
        <v>279</v>
      </c>
      <c r="B197" s="14" t="str">
        <f t="shared" si="45"/>
        <v>H280</v>
      </c>
      <c r="C197" s="14">
        <v>14</v>
      </c>
      <c r="D197" s="61">
        <v>23</v>
      </c>
      <c r="E197" s="15">
        <f>VLOOKUP(A197,[1]SummaryTable!$A$2:$F$359,2,FALSE)</f>
        <v>6390244.9749262398</v>
      </c>
      <c r="F197" s="15">
        <f>VLOOKUP(A197,[1]SummaryTable!$A$2:$F$359,3,FALSE)</f>
        <v>322019.97547272302</v>
      </c>
      <c r="G197" s="62">
        <f t="shared" si="46"/>
        <v>17.7852</v>
      </c>
      <c r="H197" s="4">
        <f>VLOOKUP(A197,[1]SummaryTable!$A$2:$F$359,5,FALSE)</f>
        <v>0.46127681824315203</v>
      </c>
      <c r="I197" s="4">
        <f>VLOOKUP(A197,[1]SummaryTable!$A$2:$F$359,6,FALSE)</f>
        <v>0.53872318175684797</v>
      </c>
      <c r="J197" s="4" t="str">
        <f>IF(I197&gt;0.1,[2]Processes!$A$6,[2]Processes!$A$5)</f>
        <v>Heatpl</v>
      </c>
      <c r="K197" s="23" t="str">
        <f t="shared" si="47"/>
        <v>-</v>
      </c>
      <c r="L197" s="4" t="str">
        <f t="shared" si="48"/>
        <v>-</v>
      </c>
      <c r="M197" s="4" t="str">
        <f t="shared" si="49"/>
        <v>-</v>
      </c>
      <c r="N197" s="4">
        <f t="shared" si="50"/>
        <v>0</v>
      </c>
      <c r="O197" s="23" t="str">
        <f t="shared" si="51"/>
        <v>-</v>
      </c>
      <c r="P197" s="4" t="str">
        <f t="shared" si="52"/>
        <v>-</v>
      </c>
      <c r="Q197" s="4" t="str">
        <f t="shared" si="53"/>
        <v>-</v>
      </c>
      <c r="R197" s="4">
        <f t="shared" si="54"/>
        <v>0</v>
      </c>
      <c r="S197" s="23" t="str">
        <f t="shared" si="55"/>
        <v>-</v>
      </c>
      <c r="T197" s="4" t="str">
        <f t="shared" si="56"/>
        <v>-</v>
      </c>
      <c r="U197" s="4" t="str">
        <f t="shared" si="57"/>
        <v>-</v>
      </c>
      <c r="V197" s="4">
        <f t="shared" si="58"/>
        <v>0</v>
      </c>
      <c r="W197" s="23">
        <f>VLOOKUP(A197,[1]SummaryTable!$A$2:$F$359,4,FALSE)</f>
        <v>14.821000000000002</v>
      </c>
    </row>
    <row r="198" spans="1:23" x14ac:dyDescent="0.25">
      <c r="A198" s="14" t="s">
        <v>132</v>
      </c>
      <c r="B198" s="14" t="str">
        <f t="shared" si="45"/>
        <v>H133</v>
      </c>
      <c r="C198" s="14">
        <v>3</v>
      </c>
      <c r="D198" s="61">
        <v>12</v>
      </c>
      <c r="E198" s="15">
        <f>VLOOKUP(A198,[1]SummaryTable!$A$2:$F$359,2,FALSE)</f>
        <v>6675852.5992757902</v>
      </c>
      <c r="F198" s="15">
        <f>VLOOKUP(A198,[1]SummaryTable!$A$2:$F$359,3,FALSE)</f>
        <v>676351.917701951</v>
      </c>
      <c r="G198" s="62">
        <f t="shared" si="46"/>
        <v>17.555999999999997</v>
      </c>
      <c r="H198" s="4">
        <f>VLOOKUP(A198,[1]SummaryTable!$A$2:$F$359,5,FALSE)</f>
        <v>1</v>
      </c>
      <c r="I198" s="4">
        <f>VLOOKUP(A198,[1]SummaryTable!$A$2:$F$359,6,FALSE)</f>
        <v>0</v>
      </c>
      <c r="J198" s="4" t="str">
        <f>IF(I198&gt;0.1,[2]Processes!$A$6,[2]Processes!$A$5)</f>
        <v>Sawmal</v>
      </c>
      <c r="K198" s="23" t="str">
        <f t="shared" si="47"/>
        <v>-</v>
      </c>
      <c r="L198" s="4" t="str">
        <f t="shared" si="48"/>
        <v>-</v>
      </c>
      <c r="M198" s="4" t="str">
        <f t="shared" si="49"/>
        <v>-</v>
      </c>
      <c r="N198" s="4">
        <f t="shared" si="50"/>
        <v>0</v>
      </c>
      <c r="O198" s="23" t="str">
        <f t="shared" si="51"/>
        <v>-</v>
      </c>
      <c r="P198" s="4" t="str">
        <f t="shared" si="52"/>
        <v>-</v>
      </c>
      <c r="Q198" s="4" t="str">
        <f t="shared" si="53"/>
        <v>-</v>
      </c>
      <c r="R198" s="4">
        <f t="shared" si="54"/>
        <v>0</v>
      </c>
      <c r="S198" s="23" t="str">
        <f t="shared" si="55"/>
        <v>-</v>
      </c>
      <c r="T198" s="4" t="str">
        <f t="shared" si="56"/>
        <v>-</v>
      </c>
      <c r="U198" s="4" t="str">
        <f t="shared" si="57"/>
        <v>-</v>
      </c>
      <c r="V198" s="4">
        <f t="shared" si="58"/>
        <v>0</v>
      </c>
      <c r="W198" s="23">
        <f>VLOOKUP(A198,[1]SummaryTable!$A$2:$F$359,4,FALSE)</f>
        <v>14.629999999999999</v>
      </c>
    </row>
    <row r="199" spans="1:23" x14ac:dyDescent="0.25">
      <c r="A199" s="14" t="s">
        <v>148</v>
      </c>
      <c r="B199" s="14" t="str">
        <f t="shared" si="45"/>
        <v>H149</v>
      </c>
      <c r="C199" s="14">
        <v>18</v>
      </c>
      <c r="D199" s="61">
        <v>12</v>
      </c>
      <c r="E199" s="15">
        <f>VLOOKUP(A199,[1]SummaryTable!$A$2:$F$359,2,FALSE)</f>
        <v>6634405.5210155305</v>
      </c>
      <c r="F199" s="15">
        <f>VLOOKUP(A199,[1]SummaryTable!$A$2:$F$359,3,FALSE)</f>
        <v>501138.68473782501</v>
      </c>
      <c r="G199" s="62">
        <f t="shared" si="46"/>
        <v>17.511599999999998</v>
      </c>
      <c r="H199" s="4">
        <f>VLOOKUP(A199,[1]SummaryTable!$A$2:$F$359,5,FALSE)</f>
        <v>1</v>
      </c>
      <c r="I199" s="4">
        <f>VLOOKUP(A199,[1]SummaryTable!$A$2:$F$359,6,FALSE)</f>
        <v>0</v>
      </c>
      <c r="J199" s="4" t="str">
        <f>IF(I199&gt;0.1,[2]Processes!$A$6,[2]Processes!$A$5)</f>
        <v>Sawmal</v>
      </c>
      <c r="K199" s="23" t="str">
        <f t="shared" si="47"/>
        <v>-</v>
      </c>
      <c r="L199" s="4" t="str">
        <f t="shared" si="48"/>
        <v>-</v>
      </c>
      <c r="M199" s="4" t="str">
        <f t="shared" si="49"/>
        <v>-</v>
      </c>
      <c r="N199" s="4">
        <f t="shared" si="50"/>
        <v>0</v>
      </c>
      <c r="O199" s="23" t="str">
        <f t="shared" si="51"/>
        <v>-</v>
      </c>
      <c r="P199" s="4" t="str">
        <f t="shared" si="52"/>
        <v>-</v>
      </c>
      <c r="Q199" s="4" t="str">
        <f t="shared" si="53"/>
        <v>-</v>
      </c>
      <c r="R199" s="4">
        <f t="shared" si="54"/>
        <v>0</v>
      </c>
      <c r="S199" s="23" t="str">
        <f t="shared" si="55"/>
        <v>-</v>
      </c>
      <c r="T199" s="4" t="str">
        <f t="shared" si="56"/>
        <v>-</v>
      </c>
      <c r="U199" s="4" t="str">
        <f t="shared" si="57"/>
        <v>-</v>
      </c>
      <c r="V199" s="4">
        <f t="shared" si="58"/>
        <v>0</v>
      </c>
      <c r="W199" s="23">
        <f>VLOOKUP(A199,[1]SummaryTable!$A$2:$F$359,4,FALSE)</f>
        <v>14.593</v>
      </c>
    </row>
    <row r="200" spans="1:23" x14ac:dyDescent="0.25">
      <c r="A200" s="14" t="s">
        <v>302</v>
      </c>
      <c r="B200" s="14" t="str">
        <f t="shared" si="45"/>
        <v>H303</v>
      </c>
      <c r="C200" s="14">
        <v>9</v>
      </c>
      <c r="D200" s="61">
        <v>21</v>
      </c>
      <c r="E200" s="15">
        <f>VLOOKUP(A200,[1]SummaryTable!$A$2:$F$359,2,FALSE)</f>
        <v>6349339.7329245703</v>
      </c>
      <c r="F200" s="15">
        <f>VLOOKUP(A200,[1]SummaryTable!$A$2:$F$359,3,FALSE)</f>
        <v>704082.54934203404</v>
      </c>
      <c r="G200" s="62">
        <f t="shared" si="46"/>
        <v>16.6188</v>
      </c>
      <c r="H200" s="4">
        <f>VLOOKUP(A200,[1]SummaryTable!$A$2:$F$359,5,FALSE)</f>
        <v>1</v>
      </c>
      <c r="I200" s="4">
        <f>VLOOKUP(A200,[1]SummaryTable!$A$2:$F$359,6,FALSE)</f>
        <v>0</v>
      </c>
      <c r="J200" s="4" t="str">
        <f>IF(I200&gt;0.1,[2]Processes!$A$6,[2]Processes!$A$5)</f>
        <v>Sawmal</v>
      </c>
      <c r="K200" s="23" t="str">
        <f t="shared" si="47"/>
        <v>-</v>
      </c>
      <c r="L200" s="4" t="str">
        <f t="shared" si="48"/>
        <v>-</v>
      </c>
      <c r="M200" s="4" t="str">
        <f t="shared" si="49"/>
        <v>-</v>
      </c>
      <c r="N200" s="4">
        <f t="shared" si="50"/>
        <v>0</v>
      </c>
      <c r="O200" s="23" t="str">
        <f t="shared" si="51"/>
        <v>-</v>
      </c>
      <c r="P200" s="4" t="str">
        <f t="shared" si="52"/>
        <v>-</v>
      </c>
      <c r="Q200" s="4" t="str">
        <f t="shared" si="53"/>
        <v>-</v>
      </c>
      <c r="R200" s="4">
        <f t="shared" si="54"/>
        <v>0</v>
      </c>
      <c r="S200" s="23" t="str">
        <f t="shared" si="55"/>
        <v>-</v>
      </c>
      <c r="T200" s="4" t="str">
        <f t="shared" si="56"/>
        <v>-</v>
      </c>
      <c r="U200" s="4" t="str">
        <f t="shared" si="57"/>
        <v>-</v>
      </c>
      <c r="V200" s="4">
        <f t="shared" si="58"/>
        <v>0</v>
      </c>
      <c r="W200" s="23">
        <f>VLOOKUP(A200,[1]SummaryTable!$A$2:$F$359,4,FALSE)</f>
        <v>13.849</v>
      </c>
    </row>
    <row r="201" spans="1:23" x14ac:dyDescent="0.25">
      <c r="A201" s="14" t="s">
        <v>315</v>
      </c>
      <c r="B201" s="14" t="str">
        <f t="shared" si="45"/>
        <v>H316</v>
      </c>
      <c r="C201" s="14">
        <v>6</v>
      </c>
      <c r="D201" s="61">
        <v>21</v>
      </c>
      <c r="E201" s="15">
        <f>VLOOKUP(A201,[1]SummaryTable!$A$2:$F$359,2,FALSE)</f>
        <v>6313037.5949919997</v>
      </c>
      <c r="F201" s="15">
        <f>VLOOKUP(A201,[1]SummaryTable!$A$2:$F$359,3,FALSE)</f>
        <v>458133.70998258202</v>
      </c>
      <c r="G201" s="62">
        <f t="shared" si="46"/>
        <v>16.423079999999999</v>
      </c>
      <c r="H201" s="4">
        <f>VLOOKUP(A201,[1]SummaryTable!$A$2:$F$359,5,FALSE)</f>
        <v>1</v>
      </c>
      <c r="I201" s="4">
        <f>VLOOKUP(A201,[1]SummaryTable!$A$2:$F$359,6,FALSE)</f>
        <v>0</v>
      </c>
      <c r="J201" s="4" t="str">
        <f>IF(I201&gt;0.1,[2]Processes!$A$6,[2]Processes!$A$5)</f>
        <v>Sawmal</v>
      </c>
      <c r="K201" s="23" t="str">
        <f t="shared" si="47"/>
        <v>-</v>
      </c>
      <c r="L201" s="4" t="str">
        <f t="shared" si="48"/>
        <v>-</v>
      </c>
      <c r="M201" s="4" t="str">
        <f t="shared" si="49"/>
        <v>-</v>
      </c>
      <c r="N201" s="4">
        <f t="shared" si="50"/>
        <v>0</v>
      </c>
      <c r="O201" s="23" t="str">
        <f t="shared" si="51"/>
        <v>-</v>
      </c>
      <c r="P201" s="4" t="str">
        <f t="shared" si="52"/>
        <v>-</v>
      </c>
      <c r="Q201" s="4" t="str">
        <f t="shared" si="53"/>
        <v>-</v>
      </c>
      <c r="R201" s="4">
        <f t="shared" si="54"/>
        <v>0</v>
      </c>
      <c r="S201" s="23" t="str">
        <f t="shared" si="55"/>
        <v>-</v>
      </c>
      <c r="T201" s="4" t="str">
        <f t="shared" si="56"/>
        <v>-</v>
      </c>
      <c r="U201" s="4" t="str">
        <f t="shared" si="57"/>
        <v>-</v>
      </c>
      <c r="V201" s="4">
        <f t="shared" si="58"/>
        <v>0</v>
      </c>
      <c r="W201" s="23">
        <f>VLOOKUP(A201,[1]SummaryTable!$A$2:$F$359,4,FALSE)</f>
        <v>13.6859</v>
      </c>
    </row>
    <row r="202" spans="1:23" x14ac:dyDescent="0.25">
      <c r="A202" s="14" t="s">
        <v>87</v>
      </c>
      <c r="B202" s="14" t="str">
        <f t="shared" si="45"/>
        <v>H88</v>
      </c>
      <c r="C202" s="14">
        <v>23</v>
      </c>
      <c r="D202" s="61">
        <v>12</v>
      </c>
      <c r="E202" s="15">
        <f>VLOOKUP(A202,[1]SummaryTable!$A$2:$F$359,2,FALSE)</f>
        <v>6960354.9330147803</v>
      </c>
      <c r="F202" s="15">
        <f>VLOOKUP(A202,[1]SummaryTable!$A$2:$F$359,3,FALSE)</f>
        <v>470775.69610058499</v>
      </c>
      <c r="G202" s="62">
        <f t="shared" si="46"/>
        <v>16.3188</v>
      </c>
      <c r="H202" s="4">
        <f>VLOOKUP(A202,[1]SummaryTable!$A$2:$F$359,5,FALSE)</f>
        <v>1</v>
      </c>
      <c r="I202" s="4">
        <f>VLOOKUP(A202,[1]SummaryTable!$A$2:$F$359,6,FALSE)</f>
        <v>0</v>
      </c>
      <c r="J202" s="4" t="str">
        <f>IF(I202&gt;0.1,[2]Processes!$A$6,[2]Processes!$A$5)</f>
        <v>Sawmal</v>
      </c>
      <c r="K202" s="23" t="str">
        <f t="shared" si="47"/>
        <v>-</v>
      </c>
      <c r="L202" s="4" t="str">
        <f t="shared" si="48"/>
        <v>-</v>
      </c>
      <c r="M202" s="4" t="str">
        <f t="shared" si="49"/>
        <v>-</v>
      </c>
      <c r="N202" s="4">
        <f t="shared" si="50"/>
        <v>0</v>
      </c>
      <c r="O202" s="23" t="str">
        <f t="shared" si="51"/>
        <v>-</v>
      </c>
      <c r="P202" s="4" t="str">
        <f t="shared" si="52"/>
        <v>-</v>
      </c>
      <c r="Q202" s="4" t="str">
        <f t="shared" si="53"/>
        <v>-</v>
      </c>
      <c r="R202" s="4">
        <f t="shared" si="54"/>
        <v>0</v>
      </c>
      <c r="S202" s="23" t="str">
        <f t="shared" si="55"/>
        <v>-</v>
      </c>
      <c r="T202" s="4" t="str">
        <f t="shared" si="56"/>
        <v>-</v>
      </c>
      <c r="U202" s="4" t="str">
        <f t="shared" si="57"/>
        <v>-</v>
      </c>
      <c r="V202" s="4">
        <f t="shared" si="58"/>
        <v>0</v>
      </c>
      <c r="W202" s="23">
        <f>VLOOKUP(A202,[1]SummaryTable!$A$2:$F$359,4,FALSE)</f>
        <v>13.599</v>
      </c>
    </row>
    <row r="203" spans="1:23" x14ac:dyDescent="0.25">
      <c r="A203" s="14" t="s">
        <v>141</v>
      </c>
      <c r="B203" s="14" t="str">
        <f t="shared" si="45"/>
        <v>H142</v>
      </c>
      <c r="C203" s="14">
        <v>18</v>
      </c>
      <c r="D203" s="61">
        <v>31</v>
      </c>
      <c r="E203" s="15">
        <f>VLOOKUP(A203,[1]SummaryTable!$A$2:$F$359,2,FALSE)</f>
        <v>6657418.8429515902</v>
      </c>
      <c r="F203" s="15">
        <f>VLOOKUP(A203,[1]SummaryTable!$A$2:$F$359,3,FALSE)</f>
        <v>499703.75409351801</v>
      </c>
      <c r="G203" s="62">
        <f t="shared" si="46"/>
        <v>16.081199999999999</v>
      </c>
      <c r="H203" s="4">
        <f>VLOOKUP(A203,[1]SummaryTable!$A$2:$F$359,5,FALSE)</f>
        <v>1</v>
      </c>
      <c r="I203" s="4">
        <f>VLOOKUP(A203,[1]SummaryTable!$A$2:$F$359,6,FALSE)</f>
        <v>0</v>
      </c>
      <c r="J203" s="4" t="str">
        <f>IF(I203&gt;0.1,[2]Processes!$A$6,[2]Processes!$A$5)</f>
        <v>Sawmal</v>
      </c>
      <c r="K203" s="23" t="str">
        <f t="shared" si="47"/>
        <v>-</v>
      </c>
      <c r="L203" s="4" t="str">
        <f t="shared" si="48"/>
        <v>-</v>
      </c>
      <c r="M203" s="4" t="str">
        <f t="shared" si="49"/>
        <v>-</v>
      </c>
      <c r="N203" s="4">
        <f t="shared" si="50"/>
        <v>0</v>
      </c>
      <c r="O203" s="23" t="str">
        <f t="shared" si="51"/>
        <v>-</v>
      </c>
      <c r="P203" s="4" t="str">
        <f t="shared" si="52"/>
        <v>-</v>
      </c>
      <c r="Q203" s="4" t="str">
        <f t="shared" si="53"/>
        <v>-</v>
      </c>
      <c r="R203" s="4">
        <f t="shared" si="54"/>
        <v>0</v>
      </c>
      <c r="S203" s="23" t="str">
        <f t="shared" si="55"/>
        <v>-</v>
      </c>
      <c r="T203" s="4" t="str">
        <f t="shared" si="56"/>
        <v>-</v>
      </c>
      <c r="U203" s="4" t="str">
        <f t="shared" si="57"/>
        <v>-</v>
      </c>
      <c r="V203" s="4">
        <f t="shared" si="58"/>
        <v>0</v>
      </c>
      <c r="W203" s="23">
        <f>VLOOKUP(A203,[1]SummaryTable!$A$2:$F$359,4,FALSE)</f>
        <v>13.401</v>
      </c>
    </row>
    <row r="204" spans="1:23" x14ac:dyDescent="0.25">
      <c r="A204" s="14" t="s">
        <v>119</v>
      </c>
      <c r="B204" s="14" t="str">
        <f t="shared" si="45"/>
        <v>H120</v>
      </c>
      <c r="C204" s="14">
        <v>20</v>
      </c>
      <c r="D204" s="61">
        <v>31</v>
      </c>
      <c r="E204" s="15">
        <f>VLOOKUP(A204,[1]SummaryTable!$A$2:$F$359,2,FALSE)</f>
        <v>6724492.4034554204</v>
      </c>
      <c r="F204" s="15">
        <f>VLOOKUP(A204,[1]SummaryTable!$A$2:$F$359,3,FALSE)</f>
        <v>505115.17485771899</v>
      </c>
      <c r="G204" s="62">
        <f t="shared" si="46"/>
        <v>16.014119999999998</v>
      </c>
      <c r="H204" s="4">
        <f>VLOOKUP(A204,[1]SummaryTable!$A$2:$F$359,5,FALSE)</f>
        <v>1</v>
      </c>
      <c r="I204" s="4">
        <f>VLOOKUP(A204,[1]SummaryTable!$A$2:$F$359,6,FALSE)</f>
        <v>0</v>
      </c>
      <c r="J204" s="4" t="str">
        <f>IF(I204&gt;0.1,[2]Processes!$A$6,[2]Processes!$A$5)</f>
        <v>Sawmal</v>
      </c>
      <c r="K204" s="23" t="str">
        <f t="shared" si="47"/>
        <v>-</v>
      </c>
      <c r="L204" s="4" t="str">
        <f t="shared" si="48"/>
        <v>-</v>
      </c>
      <c r="M204" s="4" t="str">
        <f t="shared" si="49"/>
        <v>-</v>
      </c>
      <c r="N204" s="4">
        <f t="shared" si="50"/>
        <v>0</v>
      </c>
      <c r="O204" s="23" t="str">
        <f t="shared" si="51"/>
        <v>-</v>
      </c>
      <c r="P204" s="4" t="str">
        <f t="shared" si="52"/>
        <v>-</v>
      </c>
      <c r="Q204" s="4" t="str">
        <f t="shared" si="53"/>
        <v>-</v>
      </c>
      <c r="R204" s="4">
        <f t="shared" si="54"/>
        <v>0</v>
      </c>
      <c r="S204" s="23" t="str">
        <f t="shared" si="55"/>
        <v>-</v>
      </c>
      <c r="T204" s="4" t="str">
        <f t="shared" si="56"/>
        <v>-</v>
      </c>
      <c r="U204" s="4" t="str">
        <f t="shared" si="57"/>
        <v>-</v>
      </c>
      <c r="V204" s="4">
        <f t="shared" si="58"/>
        <v>0</v>
      </c>
      <c r="W204" s="23">
        <f>VLOOKUP(A204,[1]SummaryTable!$A$2:$F$359,4,FALSE)</f>
        <v>13.3451</v>
      </c>
    </row>
    <row r="205" spans="1:23" x14ac:dyDescent="0.25">
      <c r="A205" s="14" t="s">
        <v>55</v>
      </c>
      <c r="B205" s="14" t="str">
        <f t="shared" si="45"/>
        <v>H56</v>
      </c>
      <c r="C205" s="14">
        <v>24</v>
      </c>
      <c r="D205" s="61">
        <v>33</v>
      </c>
      <c r="E205" s="15">
        <f>VLOOKUP(A205,[1]SummaryTable!$A$2:$F$359,2,FALSE)</f>
        <v>7218860.33294586</v>
      </c>
      <c r="F205" s="15">
        <f>VLOOKUP(A205,[1]SummaryTable!$A$2:$F$359,3,FALSE)</f>
        <v>792310.96931451501</v>
      </c>
      <c r="G205" s="62">
        <f t="shared" si="46"/>
        <v>15.8292</v>
      </c>
      <c r="H205" s="4">
        <f>VLOOKUP(A205,[1]SummaryTable!$A$2:$F$359,5,FALSE)</f>
        <v>1</v>
      </c>
      <c r="I205" s="4">
        <f>VLOOKUP(A205,[1]SummaryTable!$A$2:$F$359,6,FALSE)</f>
        <v>0</v>
      </c>
      <c r="J205" s="4" t="str">
        <f>IF(I205&gt;0.1,[2]Processes!$A$6,[2]Processes!$A$5)</f>
        <v>Sawmal</v>
      </c>
      <c r="K205" s="23" t="str">
        <f t="shared" si="47"/>
        <v>-</v>
      </c>
      <c r="L205" s="4" t="str">
        <f t="shared" si="48"/>
        <v>-</v>
      </c>
      <c r="M205" s="4" t="str">
        <f t="shared" si="49"/>
        <v>-</v>
      </c>
      <c r="N205" s="4">
        <f t="shared" si="50"/>
        <v>0</v>
      </c>
      <c r="O205" s="23" t="str">
        <f t="shared" si="51"/>
        <v>-</v>
      </c>
      <c r="P205" s="4" t="str">
        <f t="shared" si="52"/>
        <v>-</v>
      </c>
      <c r="Q205" s="4" t="str">
        <f t="shared" si="53"/>
        <v>-</v>
      </c>
      <c r="R205" s="4">
        <f t="shared" si="54"/>
        <v>0</v>
      </c>
      <c r="S205" s="23" t="str">
        <f t="shared" si="55"/>
        <v>-</v>
      </c>
      <c r="T205" s="4" t="str">
        <f t="shared" si="56"/>
        <v>-</v>
      </c>
      <c r="U205" s="4" t="str">
        <f t="shared" si="57"/>
        <v>-</v>
      </c>
      <c r="V205" s="4">
        <f t="shared" si="58"/>
        <v>0</v>
      </c>
      <c r="W205" s="23">
        <f>VLOOKUP(A205,[1]SummaryTable!$A$2:$F$359,4,FALSE)</f>
        <v>13.191000000000001</v>
      </c>
    </row>
    <row r="206" spans="1:23" x14ac:dyDescent="0.25">
      <c r="A206" s="14" t="s">
        <v>329</v>
      </c>
      <c r="B206" s="14" t="str">
        <f t="shared" si="45"/>
        <v>H330</v>
      </c>
      <c r="C206" s="14">
        <v>12</v>
      </c>
      <c r="D206" s="61">
        <v>22</v>
      </c>
      <c r="E206" s="15">
        <f>VLOOKUP(A206,[1]SummaryTable!$A$2:$F$359,2,FALSE)</f>
        <v>6239587.7344139097</v>
      </c>
      <c r="F206" s="15">
        <f>VLOOKUP(A206,[1]SummaryTable!$A$2:$F$359,3,FALSE)</f>
        <v>362327.16454720701</v>
      </c>
      <c r="G206" s="62">
        <f t="shared" si="46"/>
        <v>15.827999999999999</v>
      </c>
      <c r="H206" s="4">
        <f>VLOOKUP(A206,[1]SummaryTable!$A$2:$F$359,5,FALSE)</f>
        <v>1</v>
      </c>
      <c r="I206" s="4">
        <f>VLOOKUP(A206,[1]SummaryTable!$A$2:$F$359,6,FALSE)</f>
        <v>0</v>
      </c>
      <c r="J206" s="4" t="str">
        <f>IF(I206&gt;0.1,[2]Processes!$A$6,[2]Processes!$A$5)</f>
        <v>Sawmal</v>
      </c>
      <c r="K206" s="23" t="str">
        <f t="shared" si="47"/>
        <v>-</v>
      </c>
      <c r="L206" s="4" t="str">
        <f t="shared" si="48"/>
        <v>-</v>
      </c>
      <c r="M206" s="4" t="str">
        <f t="shared" si="49"/>
        <v>-</v>
      </c>
      <c r="N206" s="4">
        <f t="shared" si="50"/>
        <v>0</v>
      </c>
      <c r="O206" s="23" t="str">
        <f t="shared" si="51"/>
        <v>-</v>
      </c>
      <c r="P206" s="4" t="str">
        <f t="shared" si="52"/>
        <v>-</v>
      </c>
      <c r="Q206" s="4" t="str">
        <f t="shared" si="53"/>
        <v>-</v>
      </c>
      <c r="R206" s="4">
        <f t="shared" si="54"/>
        <v>0</v>
      </c>
      <c r="S206" s="23" t="str">
        <f t="shared" si="55"/>
        <v>-</v>
      </c>
      <c r="T206" s="4" t="str">
        <f t="shared" si="56"/>
        <v>-</v>
      </c>
      <c r="U206" s="4" t="str">
        <f t="shared" si="57"/>
        <v>-</v>
      </c>
      <c r="V206" s="4">
        <f t="shared" si="58"/>
        <v>0</v>
      </c>
      <c r="W206" s="23">
        <f>VLOOKUP(A206,[1]SummaryTable!$A$2:$F$359,4,FALSE)</f>
        <v>13.19</v>
      </c>
    </row>
    <row r="207" spans="1:23" x14ac:dyDescent="0.25">
      <c r="A207" s="14" t="s">
        <v>100</v>
      </c>
      <c r="B207" s="14" t="str">
        <f t="shared" si="45"/>
        <v>H101</v>
      </c>
      <c r="C207" s="14">
        <v>21</v>
      </c>
      <c r="D207" s="61">
        <v>31</v>
      </c>
      <c r="E207" s="15">
        <f>VLOOKUP(A207,[1]SummaryTable!$A$2:$F$359,2,FALSE)</f>
        <v>6854124.6075927401</v>
      </c>
      <c r="F207" s="15">
        <f>VLOOKUP(A207,[1]SummaryTable!$A$2:$F$359,3,FALSE)</f>
        <v>561785.47139009601</v>
      </c>
      <c r="G207" s="62">
        <f t="shared" si="46"/>
        <v>15.36</v>
      </c>
      <c r="H207" s="4">
        <f>VLOOKUP(A207,[1]SummaryTable!$A$2:$F$359,5,FALSE)</f>
        <v>1</v>
      </c>
      <c r="I207" s="4">
        <f>VLOOKUP(A207,[1]SummaryTable!$A$2:$F$359,6,FALSE)</f>
        <v>0</v>
      </c>
      <c r="J207" s="4" t="str">
        <f>IF(I207&gt;0.1,[2]Processes!$A$6,[2]Processes!$A$5)</f>
        <v>Sawmal</v>
      </c>
      <c r="K207" s="23" t="str">
        <f t="shared" si="47"/>
        <v>-</v>
      </c>
      <c r="L207" s="4" t="str">
        <f t="shared" si="48"/>
        <v>-</v>
      </c>
      <c r="M207" s="4" t="str">
        <f t="shared" si="49"/>
        <v>-</v>
      </c>
      <c r="N207" s="4">
        <f t="shared" si="50"/>
        <v>0</v>
      </c>
      <c r="O207" s="23" t="str">
        <f t="shared" si="51"/>
        <v>-</v>
      </c>
      <c r="P207" s="4" t="str">
        <f t="shared" si="52"/>
        <v>-</v>
      </c>
      <c r="Q207" s="4" t="str">
        <f t="shared" si="53"/>
        <v>-</v>
      </c>
      <c r="R207" s="4">
        <f t="shared" si="54"/>
        <v>0</v>
      </c>
      <c r="S207" s="23" t="str">
        <f t="shared" si="55"/>
        <v>-</v>
      </c>
      <c r="T207" s="4" t="str">
        <f t="shared" si="56"/>
        <v>-</v>
      </c>
      <c r="U207" s="4" t="str">
        <f t="shared" si="57"/>
        <v>-</v>
      </c>
      <c r="V207" s="4">
        <f t="shared" si="58"/>
        <v>0</v>
      </c>
      <c r="W207" s="23">
        <f>VLOOKUP(A207,[1]SummaryTable!$A$2:$F$359,4,FALSE)</f>
        <v>12.8</v>
      </c>
    </row>
    <row r="208" spans="1:23" x14ac:dyDescent="0.25">
      <c r="A208" s="14" t="s">
        <v>67</v>
      </c>
      <c r="B208" s="14" t="str">
        <f t="shared" si="45"/>
        <v>H68</v>
      </c>
      <c r="C208" s="14">
        <v>24</v>
      </c>
      <c r="D208" s="61">
        <v>33</v>
      </c>
      <c r="E208" s="15">
        <f>VLOOKUP(A208,[1]SummaryTable!$A$2:$F$359,2,FALSE)</f>
        <v>7132640.7423807001</v>
      </c>
      <c r="F208" s="15">
        <f>VLOOKUP(A208,[1]SummaryTable!$A$2:$F$359,3,FALSE)</f>
        <v>784244.50010876299</v>
      </c>
      <c r="G208" s="62">
        <f t="shared" si="46"/>
        <v>15.203999999999999</v>
      </c>
      <c r="H208" s="4">
        <f>VLOOKUP(A208,[1]SummaryTable!$A$2:$F$359,5,FALSE)</f>
        <v>1</v>
      </c>
      <c r="I208" s="4">
        <f>VLOOKUP(A208,[1]SummaryTable!$A$2:$F$359,6,FALSE)</f>
        <v>0</v>
      </c>
      <c r="J208" s="4" t="str">
        <f>IF(I208&gt;0.1,[2]Processes!$A$6,[2]Processes!$A$5)</f>
        <v>Sawmal</v>
      </c>
      <c r="K208" s="23" t="str">
        <f t="shared" si="47"/>
        <v>-</v>
      </c>
      <c r="L208" s="4" t="str">
        <f t="shared" si="48"/>
        <v>-</v>
      </c>
      <c r="M208" s="4" t="str">
        <f t="shared" si="49"/>
        <v>-</v>
      </c>
      <c r="N208" s="4">
        <f t="shared" si="50"/>
        <v>0</v>
      </c>
      <c r="O208" s="23" t="str">
        <f t="shared" si="51"/>
        <v>-</v>
      </c>
      <c r="P208" s="4" t="str">
        <f t="shared" si="52"/>
        <v>-</v>
      </c>
      <c r="Q208" s="4" t="str">
        <f t="shared" si="53"/>
        <v>-</v>
      </c>
      <c r="R208" s="4">
        <f t="shared" si="54"/>
        <v>0</v>
      </c>
      <c r="S208" s="23" t="str">
        <f t="shared" si="55"/>
        <v>-</v>
      </c>
      <c r="T208" s="4" t="str">
        <f t="shared" si="56"/>
        <v>-</v>
      </c>
      <c r="U208" s="4" t="str">
        <f t="shared" si="57"/>
        <v>-</v>
      </c>
      <c r="V208" s="4">
        <f t="shared" si="58"/>
        <v>0</v>
      </c>
      <c r="W208" s="23">
        <f>VLOOKUP(A208,[1]SummaryTable!$A$2:$F$359,4,FALSE)</f>
        <v>12.67</v>
      </c>
    </row>
    <row r="209" spans="1:23" x14ac:dyDescent="0.25">
      <c r="A209" s="14" t="s">
        <v>312</v>
      </c>
      <c r="B209" s="14" t="str">
        <f t="shared" si="45"/>
        <v>H313</v>
      </c>
      <c r="C209" s="14">
        <v>7</v>
      </c>
      <c r="D209" s="61">
        <v>21</v>
      </c>
      <c r="E209" s="15">
        <f>VLOOKUP(A209,[1]SummaryTable!$A$2:$F$359,2,FALSE)</f>
        <v>6318215.5972801298</v>
      </c>
      <c r="F209" s="15">
        <f>VLOOKUP(A209,[1]SummaryTable!$A$2:$F$359,3,FALSE)</f>
        <v>493628.57354031398</v>
      </c>
      <c r="G209" s="62">
        <f t="shared" si="46"/>
        <v>15.1968</v>
      </c>
      <c r="H209" s="4">
        <f>VLOOKUP(A209,[1]SummaryTable!$A$2:$F$359,5,FALSE)</f>
        <v>1</v>
      </c>
      <c r="I209" s="4">
        <f>VLOOKUP(A209,[1]SummaryTable!$A$2:$F$359,6,FALSE)</f>
        <v>0</v>
      </c>
      <c r="J209" s="4" t="str">
        <f>IF(I209&gt;0.1,[2]Processes!$A$6,[2]Processes!$A$5)</f>
        <v>Sawmal</v>
      </c>
      <c r="K209" s="23" t="str">
        <f t="shared" si="47"/>
        <v>-</v>
      </c>
      <c r="L209" s="4" t="str">
        <f t="shared" si="48"/>
        <v>-</v>
      </c>
      <c r="M209" s="4" t="str">
        <f t="shared" si="49"/>
        <v>-</v>
      </c>
      <c r="N209" s="4">
        <f t="shared" si="50"/>
        <v>0</v>
      </c>
      <c r="O209" s="23" t="str">
        <f t="shared" si="51"/>
        <v>-</v>
      </c>
      <c r="P209" s="4" t="str">
        <f t="shared" si="52"/>
        <v>-</v>
      </c>
      <c r="Q209" s="4" t="str">
        <f t="shared" si="53"/>
        <v>-</v>
      </c>
      <c r="R209" s="4">
        <f t="shared" si="54"/>
        <v>0</v>
      </c>
      <c r="S209" s="23" t="str">
        <f t="shared" si="55"/>
        <v>-</v>
      </c>
      <c r="T209" s="4" t="str">
        <f t="shared" si="56"/>
        <v>-</v>
      </c>
      <c r="U209" s="4" t="str">
        <f t="shared" si="57"/>
        <v>-</v>
      </c>
      <c r="V209" s="4">
        <f t="shared" si="58"/>
        <v>0</v>
      </c>
      <c r="W209" s="23">
        <f>VLOOKUP(A209,[1]SummaryTable!$A$2:$F$359,4,FALSE)</f>
        <v>12.664</v>
      </c>
    </row>
    <row r="210" spans="1:23" x14ac:dyDescent="0.25">
      <c r="A210" s="14" t="s">
        <v>232</v>
      </c>
      <c r="B210" s="14" t="str">
        <f t="shared" si="45"/>
        <v>H233</v>
      </c>
      <c r="C210" s="14">
        <v>14</v>
      </c>
      <c r="D210" s="61">
        <v>23</v>
      </c>
      <c r="E210" s="15">
        <f>VLOOKUP(A210,[1]SummaryTable!$A$2:$F$359,2,FALSE)</f>
        <v>6464761.5283474699</v>
      </c>
      <c r="F210" s="15">
        <f>VLOOKUP(A210,[1]SummaryTable!$A$2:$F$359,3,FALSE)</f>
        <v>431311.59354498098</v>
      </c>
      <c r="G210" s="62">
        <f t="shared" si="46"/>
        <v>15.12</v>
      </c>
      <c r="H210" s="4">
        <f>VLOOKUP(A210,[1]SummaryTable!$A$2:$F$359,5,FALSE)</f>
        <v>1</v>
      </c>
      <c r="I210" s="4">
        <f>VLOOKUP(A210,[1]SummaryTable!$A$2:$F$359,6,FALSE)</f>
        <v>0</v>
      </c>
      <c r="J210" s="4" t="str">
        <f>IF(I210&gt;0.1,[2]Processes!$A$6,[2]Processes!$A$5)</f>
        <v>Sawmal</v>
      </c>
      <c r="K210" s="23" t="str">
        <f t="shared" si="47"/>
        <v>-</v>
      </c>
      <c r="L210" s="4" t="str">
        <f t="shared" si="48"/>
        <v>-</v>
      </c>
      <c r="M210" s="4" t="str">
        <f t="shared" si="49"/>
        <v>-</v>
      </c>
      <c r="N210" s="4">
        <f t="shared" si="50"/>
        <v>0</v>
      </c>
      <c r="O210" s="23" t="str">
        <f t="shared" si="51"/>
        <v>-</v>
      </c>
      <c r="P210" s="4" t="str">
        <f t="shared" si="52"/>
        <v>-</v>
      </c>
      <c r="Q210" s="4" t="str">
        <f t="shared" si="53"/>
        <v>-</v>
      </c>
      <c r="R210" s="4">
        <f t="shared" si="54"/>
        <v>0</v>
      </c>
      <c r="S210" s="23" t="str">
        <f t="shared" si="55"/>
        <v>-</v>
      </c>
      <c r="T210" s="4" t="str">
        <f t="shared" si="56"/>
        <v>-</v>
      </c>
      <c r="U210" s="4" t="str">
        <f t="shared" si="57"/>
        <v>-</v>
      </c>
      <c r="V210" s="4">
        <f t="shared" si="58"/>
        <v>0</v>
      </c>
      <c r="W210" s="23">
        <f>VLOOKUP(A210,[1]SummaryTable!$A$2:$F$359,4,FALSE)</f>
        <v>12.6</v>
      </c>
    </row>
    <row r="211" spans="1:23" x14ac:dyDescent="0.25">
      <c r="A211" s="14" t="s">
        <v>34</v>
      </c>
      <c r="B211" s="14" t="str">
        <f t="shared" si="45"/>
        <v>H35</v>
      </c>
      <c r="C211" s="14">
        <v>12</v>
      </c>
      <c r="D211" s="61">
        <v>22</v>
      </c>
      <c r="E211" s="15">
        <f>VLOOKUP(A211,[1]SummaryTable!$A$2:$F$359,2,FALSE)</f>
        <v>6219139.8820000002</v>
      </c>
      <c r="F211" s="15">
        <f>VLOOKUP(A211,[1]SummaryTable!$A$2:$F$359,3,FALSE)</f>
        <v>432014.66700000002</v>
      </c>
      <c r="G211" s="62">
        <f t="shared" si="46"/>
        <v>14.735999999999999</v>
      </c>
      <c r="H211" s="4">
        <f>VLOOKUP(A211,[1]SummaryTable!$A$2:$F$359,5,FALSE)</f>
        <v>1</v>
      </c>
      <c r="I211" s="4">
        <f>VLOOKUP(A211,[1]SummaryTable!$A$2:$F$359,6,FALSE)</f>
        <v>0</v>
      </c>
      <c r="J211" s="4" t="str">
        <f>IF(I211&gt;0.1,[2]Processes!$A$6,[2]Processes!$A$5)</f>
        <v>Sawmal</v>
      </c>
      <c r="K211" s="23" t="str">
        <f t="shared" si="47"/>
        <v>-</v>
      </c>
      <c r="L211" s="4" t="str">
        <f t="shared" si="48"/>
        <v>-</v>
      </c>
      <c r="M211" s="4" t="str">
        <f t="shared" si="49"/>
        <v>-</v>
      </c>
      <c r="N211" s="4">
        <f t="shared" si="50"/>
        <v>0</v>
      </c>
      <c r="O211" s="23" t="str">
        <f t="shared" si="51"/>
        <v>-</v>
      </c>
      <c r="P211" s="4" t="str">
        <f t="shared" si="52"/>
        <v>-</v>
      </c>
      <c r="Q211" s="4" t="str">
        <f t="shared" si="53"/>
        <v>-</v>
      </c>
      <c r="R211" s="4">
        <f t="shared" si="54"/>
        <v>0</v>
      </c>
      <c r="S211" s="23" t="str">
        <f t="shared" si="55"/>
        <v>-</v>
      </c>
      <c r="T211" s="4" t="str">
        <f t="shared" si="56"/>
        <v>-</v>
      </c>
      <c r="U211" s="4" t="str">
        <f t="shared" si="57"/>
        <v>-</v>
      </c>
      <c r="V211" s="4">
        <f t="shared" si="58"/>
        <v>0</v>
      </c>
      <c r="W211" s="23">
        <f>VLOOKUP(A211,[1]SummaryTable!$A$2:$F$359,4,FALSE)</f>
        <v>12.28</v>
      </c>
    </row>
    <row r="212" spans="1:23" x14ac:dyDescent="0.25">
      <c r="A212" s="14" t="s">
        <v>38</v>
      </c>
      <c r="B212" s="14" t="str">
        <f t="shared" si="45"/>
        <v>H39</v>
      </c>
      <c r="C212" s="14">
        <v>25</v>
      </c>
      <c r="D212" s="61">
        <v>33</v>
      </c>
      <c r="E212" s="15">
        <f>VLOOKUP(A212,[1]SummaryTable!$A$2:$F$359,2,FALSE)</f>
        <v>7536378.6312776404</v>
      </c>
      <c r="F212" s="15">
        <f>VLOOKUP(A212,[1]SummaryTable!$A$2:$F$359,3,FALSE)</f>
        <v>720454.14612082299</v>
      </c>
      <c r="G212" s="62">
        <f t="shared" si="46"/>
        <v>14.680795199999999</v>
      </c>
      <c r="H212" s="4">
        <f>VLOOKUP(A212,[1]SummaryTable!$A$2:$F$359,5,FALSE)</f>
        <v>1</v>
      </c>
      <c r="I212" s="4">
        <f>VLOOKUP(A212,[1]SummaryTable!$A$2:$F$359,6,FALSE)</f>
        <v>0</v>
      </c>
      <c r="J212" s="4" t="str">
        <f>IF(I212&gt;0.1,[2]Processes!$A$6,[2]Processes!$A$5)</f>
        <v>Sawmal</v>
      </c>
      <c r="K212" s="23" t="str">
        <f t="shared" si="47"/>
        <v>-</v>
      </c>
      <c r="L212" s="4" t="str">
        <f t="shared" si="48"/>
        <v>-</v>
      </c>
      <c r="M212" s="4" t="str">
        <f t="shared" si="49"/>
        <v>-</v>
      </c>
      <c r="N212" s="4">
        <f t="shared" si="50"/>
        <v>0</v>
      </c>
      <c r="O212" s="23" t="str">
        <f t="shared" si="51"/>
        <v>-</v>
      </c>
      <c r="P212" s="4" t="str">
        <f t="shared" si="52"/>
        <v>-</v>
      </c>
      <c r="Q212" s="4" t="str">
        <f t="shared" si="53"/>
        <v>-</v>
      </c>
      <c r="R212" s="4">
        <f t="shared" si="54"/>
        <v>0</v>
      </c>
      <c r="S212" s="23" t="str">
        <f t="shared" si="55"/>
        <v>-</v>
      </c>
      <c r="T212" s="4" t="str">
        <f t="shared" si="56"/>
        <v>-</v>
      </c>
      <c r="U212" s="4" t="str">
        <f t="shared" si="57"/>
        <v>-</v>
      </c>
      <c r="V212" s="4">
        <f t="shared" si="58"/>
        <v>0</v>
      </c>
      <c r="W212" s="23">
        <f>VLOOKUP(A212,[1]SummaryTable!$A$2:$F$359,4,FALSE)</f>
        <v>12.233995999999999</v>
      </c>
    </row>
    <row r="213" spans="1:23" x14ac:dyDescent="0.25">
      <c r="A213" s="14" t="s">
        <v>231</v>
      </c>
      <c r="B213" s="14" t="str">
        <f t="shared" si="45"/>
        <v>H232</v>
      </c>
      <c r="C213" s="14">
        <v>14</v>
      </c>
      <c r="D213" s="61">
        <v>23</v>
      </c>
      <c r="E213" s="15">
        <f>VLOOKUP(A213,[1]SummaryTable!$A$2:$F$359,2,FALSE)</f>
        <v>6464315.9262228701</v>
      </c>
      <c r="F213" s="15">
        <f>VLOOKUP(A213,[1]SummaryTable!$A$2:$F$359,3,FALSE)</f>
        <v>364161.15732390399</v>
      </c>
      <c r="G213" s="62">
        <f t="shared" si="46"/>
        <v>14.568</v>
      </c>
      <c r="H213" s="4">
        <f>VLOOKUP(A213,[1]SummaryTable!$A$2:$F$359,5,FALSE)</f>
        <v>1</v>
      </c>
      <c r="I213" s="4">
        <f>VLOOKUP(A213,[1]SummaryTable!$A$2:$F$359,6,FALSE)</f>
        <v>0</v>
      </c>
      <c r="J213" s="4" t="str">
        <f>IF(I213&gt;0.1,[2]Processes!$A$6,[2]Processes!$A$5)</f>
        <v>Sawmal</v>
      </c>
      <c r="K213" s="23" t="str">
        <f t="shared" si="47"/>
        <v>-</v>
      </c>
      <c r="L213" s="4" t="str">
        <f t="shared" si="48"/>
        <v>-</v>
      </c>
      <c r="M213" s="4" t="str">
        <f t="shared" si="49"/>
        <v>-</v>
      </c>
      <c r="N213" s="4">
        <f t="shared" si="50"/>
        <v>0</v>
      </c>
      <c r="O213" s="23" t="str">
        <f t="shared" si="51"/>
        <v>-</v>
      </c>
      <c r="P213" s="4" t="str">
        <f t="shared" si="52"/>
        <v>-</v>
      </c>
      <c r="Q213" s="4" t="str">
        <f t="shared" si="53"/>
        <v>-</v>
      </c>
      <c r="R213" s="4">
        <f t="shared" si="54"/>
        <v>0</v>
      </c>
      <c r="S213" s="23" t="str">
        <f t="shared" si="55"/>
        <v>-</v>
      </c>
      <c r="T213" s="4" t="str">
        <f t="shared" si="56"/>
        <v>-</v>
      </c>
      <c r="U213" s="4" t="str">
        <f t="shared" si="57"/>
        <v>-</v>
      </c>
      <c r="V213" s="4">
        <f t="shared" si="58"/>
        <v>0</v>
      </c>
      <c r="W213" s="23">
        <f>VLOOKUP(A213,[1]SummaryTable!$A$2:$F$359,4,FALSE)</f>
        <v>12.14</v>
      </c>
    </row>
    <row r="214" spans="1:23" x14ac:dyDescent="0.25">
      <c r="A214" s="14" t="s">
        <v>246</v>
      </c>
      <c r="B214" s="14" t="str">
        <f t="shared" si="45"/>
        <v>H247</v>
      </c>
      <c r="C214" s="14">
        <v>14</v>
      </c>
      <c r="D214" s="61">
        <v>23</v>
      </c>
      <c r="E214" s="15">
        <f>VLOOKUP(A214,[1]SummaryTable!$A$2:$F$359,2,FALSE)</f>
        <v>6441930.8082012003</v>
      </c>
      <c r="F214" s="15">
        <f>VLOOKUP(A214,[1]SummaryTable!$A$2:$F$359,3,FALSE)</f>
        <v>401975.35702913802</v>
      </c>
      <c r="G214" s="62">
        <f t="shared" si="46"/>
        <v>14.52</v>
      </c>
      <c r="H214" s="4">
        <f>VLOOKUP(A214,[1]SummaryTable!$A$2:$F$359,5,FALSE)</f>
        <v>1</v>
      </c>
      <c r="I214" s="4">
        <f>VLOOKUP(A214,[1]SummaryTable!$A$2:$F$359,6,FALSE)</f>
        <v>0</v>
      </c>
      <c r="J214" s="4" t="str">
        <f>IF(I214&gt;0.1,[2]Processes!$A$6,[2]Processes!$A$5)</f>
        <v>Sawmal</v>
      </c>
      <c r="K214" s="23" t="str">
        <f t="shared" si="47"/>
        <v>-</v>
      </c>
      <c r="L214" s="4" t="str">
        <f t="shared" si="48"/>
        <v>-</v>
      </c>
      <c r="M214" s="4" t="str">
        <f t="shared" si="49"/>
        <v>-</v>
      </c>
      <c r="N214" s="4">
        <f t="shared" si="50"/>
        <v>0</v>
      </c>
      <c r="O214" s="23" t="str">
        <f t="shared" si="51"/>
        <v>-</v>
      </c>
      <c r="P214" s="4" t="str">
        <f t="shared" si="52"/>
        <v>-</v>
      </c>
      <c r="Q214" s="4" t="str">
        <f t="shared" si="53"/>
        <v>-</v>
      </c>
      <c r="R214" s="4">
        <f t="shared" si="54"/>
        <v>0</v>
      </c>
      <c r="S214" s="23" t="str">
        <f t="shared" si="55"/>
        <v>-</v>
      </c>
      <c r="T214" s="4" t="str">
        <f t="shared" si="56"/>
        <v>-</v>
      </c>
      <c r="U214" s="4" t="str">
        <f t="shared" si="57"/>
        <v>-</v>
      </c>
      <c r="V214" s="4">
        <f t="shared" si="58"/>
        <v>0</v>
      </c>
      <c r="W214" s="23">
        <f>VLOOKUP(A214,[1]SummaryTable!$A$2:$F$359,4,FALSE)</f>
        <v>12.1</v>
      </c>
    </row>
    <row r="215" spans="1:23" x14ac:dyDescent="0.25">
      <c r="A215" s="14" t="s">
        <v>94</v>
      </c>
      <c r="B215" s="14" t="str">
        <f t="shared" si="45"/>
        <v>H95</v>
      </c>
      <c r="C215" s="14">
        <v>23</v>
      </c>
      <c r="D215" s="61">
        <v>12</v>
      </c>
      <c r="E215" s="15">
        <f>VLOOKUP(A215,[1]SummaryTable!$A$2:$F$359,2,FALSE)</f>
        <v>6922433.1680466896</v>
      </c>
      <c r="F215" s="15">
        <f>VLOOKUP(A215,[1]SummaryTable!$A$2:$F$359,3,FALSE)</f>
        <v>423657.70913802902</v>
      </c>
      <c r="G215" s="62">
        <f t="shared" si="46"/>
        <v>14.16</v>
      </c>
      <c r="H215" s="4">
        <f>VLOOKUP(A215,[1]SummaryTable!$A$2:$F$359,5,FALSE)</f>
        <v>1</v>
      </c>
      <c r="I215" s="4">
        <f>VLOOKUP(A215,[1]SummaryTable!$A$2:$F$359,6,FALSE)</f>
        <v>0</v>
      </c>
      <c r="J215" s="4" t="str">
        <f>IF(I215&gt;0.1,[2]Processes!$A$6,[2]Processes!$A$5)</f>
        <v>Sawmal</v>
      </c>
      <c r="K215" s="23" t="str">
        <f t="shared" si="47"/>
        <v>-</v>
      </c>
      <c r="L215" s="4" t="str">
        <f t="shared" si="48"/>
        <v>-</v>
      </c>
      <c r="M215" s="4" t="str">
        <f t="shared" si="49"/>
        <v>-</v>
      </c>
      <c r="N215" s="4">
        <f t="shared" si="50"/>
        <v>0</v>
      </c>
      <c r="O215" s="23" t="str">
        <f t="shared" si="51"/>
        <v>-</v>
      </c>
      <c r="P215" s="4" t="str">
        <f t="shared" si="52"/>
        <v>-</v>
      </c>
      <c r="Q215" s="4" t="str">
        <f t="shared" si="53"/>
        <v>-</v>
      </c>
      <c r="R215" s="4">
        <f t="shared" si="54"/>
        <v>0</v>
      </c>
      <c r="S215" s="23" t="str">
        <f t="shared" si="55"/>
        <v>-</v>
      </c>
      <c r="T215" s="4" t="str">
        <f t="shared" si="56"/>
        <v>-</v>
      </c>
      <c r="U215" s="4" t="str">
        <f t="shared" si="57"/>
        <v>-</v>
      </c>
      <c r="V215" s="4">
        <f t="shared" si="58"/>
        <v>0</v>
      </c>
      <c r="W215" s="23">
        <f>VLOOKUP(A215,[1]SummaryTable!$A$2:$F$359,4,FALSE)</f>
        <v>11.8</v>
      </c>
    </row>
    <row r="216" spans="1:23" x14ac:dyDescent="0.25">
      <c r="A216" s="14" t="s">
        <v>356</v>
      </c>
      <c r="B216" s="14" t="str">
        <f t="shared" si="45"/>
        <v>H357</v>
      </c>
      <c r="C216" s="14">
        <v>12</v>
      </c>
      <c r="D216" s="61">
        <v>22</v>
      </c>
      <c r="E216" s="15">
        <f>VLOOKUP(A216,[1]SummaryTable!$A$2:$F$359,2,FALSE)</f>
        <v>6146067.2146451101</v>
      </c>
      <c r="F216" s="15">
        <f>VLOOKUP(A216,[1]SummaryTable!$A$2:$F$359,3,FALSE)</f>
        <v>405251.63659581501</v>
      </c>
      <c r="G216" s="62">
        <f t="shared" si="46"/>
        <v>13.884</v>
      </c>
      <c r="H216" s="4">
        <f>VLOOKUP(A216,[1]SummaryTable!$A$2:$F$359,5,FALSE)</f>
        <v>1</v>
      </c>
      <c r="I216" s="4">
        <f>VLOOKUP(A216,[1]SummaryTable!$A$2:$F$359,6,FALSE)</f>
        <v>0</v>
      </c>
      <c r="J216" s="4" t="str">
        <f>IF(I216&gt;0.1,[2]Processes!$A$6,[2]Processes!$A$5)</f>
        <v>Sawmal</v>
      </c>
      <c r="K216" s="23" t="str">
        <f t="shared" si="47"/>
        <v>-</v>
      </c>
      <c r="L216" s="4" t="str">
        <f t="shared" si="48"/>
        <v>-</v>
      </c>
      <c r="M216" s="4" t="str">
        <f t="shared" si="49"/>
        <v>-</v>
      </c>
      <c r="N216" s="4">
        <f t="shared" si="50"/>
        <v>0</v>
      </c>
      <c r="O216" s="23" t="str">
        <f t="shared" si="51"/>
        <v>-</v>
      </c>
      <c r="P216" s="4" t="str">
        <f t="shared" si="52"/>
        <v>-</v>
      </c>
      <c r="Q216" s="4" t="str">
        <f t="shared" si="53"/>
        <v>-</v>
      </c>
      <c r="R216" s="4">
        <f t="shared" si="54"/>
        <v>0</v>
      </c>
      <c r="S216" s="23" t="str">
        <f t="shared" si="55"/>
        <v>-</v>
      </c>
      <c r="T216" s="4" t="str">
        <f t="shared" si="56"/>
        <v>-</v>
      </c>
      <c r="U216" s="4" t="str">
        <f t="shared" si="57"/>
        <v>-</v>
      </c>
      <c r="V216" s="4">
        <f t="shared" si="58"/>
        <v>0</v>
      </c>
      <c r="W216" s="23">
        <f>VLOOKUP(A216,[1]SummaryTable!$A$2:$F$359,4,FALSE)</f>
        <v>11.57</v>
      </c>
    </row>
    <row r="217" spans="1:23" x14ac:dyDescent="0.25">
      <c r="A217" s="14" t="s">
        <v>111</v>
      </c>
      <c r="B217" s="14" t="str">
        <f t="shared" si="45"/>
        <v>H112</v>
      </c>
      <c r="C217" s="14">
        <v>21</v>
      </c>
      <c r="D217" s="61">
        <v>31</v>
      </c>
      <c r="E217" s="15">
        <f>VLOOKUP(A217,[1]SummaryTable!$A$2:$F$359,2,FALSE)</f>
        <v>6787208.4719192097</v>
      </c>
      <c r="F217" s="15">
        <f>VLOOKUP(A217,[1]SummaryTable!$A$2:$F$359,3,FALSE)</f>
        <v>613550.01356131095</v>
      </c>
      <c r="G217" s="62">
        <f t="shared" si="46"/>
        <v>13.874879999999999</v>
      </c>
      <c r="H217" s="4">
        <f>VLOOKUP(A217,[1]SummaryTable!$A$2:$F$359,5,FALSE)</f>
        <v>1</v>
      </c>
      <c r="I217" s="4">
        <f>VLOOKUP(A217,[1]SummaryTable!$A$2:$F$359,6,FALSE)</f>
        <v>0</v>
      </c>
      <c r="J217" s="4" t="str">
        <f>IF(I217&gt;0.1,[2]Processes!$A$6,[2]Processes!$A$5)</f>
        <v>Sawmal</v>
      </c>
      <c r="K217" s="23" t="str">
        <f t="shared" si="47"/>
        <v>-</v>
      </c>
      <c r="L217" s="4" t="str">
        <f t="shared" si="48"/>
        <v>-</v>
      </c>
      <c r="M217" s="4" t="str">
        <f t="shared" si="49"/>
        <v>-</v>
      </c>
      <c r="N217" s="4">
        <f t="shared" si="50"/>
        <v>0</v>
      </c>
      <c r="O217" s="23" t="str">
        <f t="shared" si="51"/>
        <v>-</v>
      </c>
      <c r="P217" s="4" t="str">
        <f t="shared" si="52"/>
        <v>-</v>
      </c>
      <c r="Q217" s="4" t="str">
        <f t="shared" si="53"/>
        <v>-</v>
      </c>
      <c r="R217" s="4">
        <f t="shared" si="54"/>
        <v>0</v>
      </c>
      <c r="S217" s="23" t="str">
        <f t="shared" si="55"/>
        <v>-</v>
      </c>
      <c r="T217" s="4" t="str">
        <f t="shared" si="56"/>
        <v>-</v>
      </c>
      <c r="U217" s="4" t="str">
        <f t="shared" si="57"/>
        <v>-</v>
      </c>
      <c r="V217" s="4">
        <f t="shared" si="58"/>
        <v>0</v>
      </c>
      <c r="W217" s="23">
        <f>VLOOKUP(A217,[1]SummaryTable!$A$2:$F$359,4,FALSE)</f>
        <v>11.5624</v>
      </c>
    </row>
    <row r="218" spans="1:23" x14ac:dyDescent="0.25">
      <c r="A218" s="14" t="s">
        <v>339</v>
      </c>
      <c r="B218" s="14" t="str">
        <f t="shared" si="45"/>
        <v>H340</v>
      </c>
      <c r="C218" s="14">
        <v>10</v>
      </c>
      <c r="D218" s="61">
        <v>22</v>
      </c>
      <c r="E218" s="15">
        <f>VLOOKUP(A218,[1]SummaryTable!$A$2:$F$359,2,FALSE)</f>
        <v>6223333.05066879</v>
      </c>
      <c r="F218" s="15">
        <f>VLOOKUP(A218,[1]SummaryTable!$A$2:$F$359,3,FALSE)</f>
        <v>491568.303971624</v>
      </c>
      <c r="G218" s="62">
        <f t="shared" si="46"/>
        <v>13.712399999999999</v>
      </c>
      <c r="H218" s="4">
        <f>VLOOKUP(A218,[1]SummaryTable!$A$2:$F$359,5,FALSE)</f>
        <v>1</v>
      </c>
      <c r="I218" s="4">
        <f>VLOOKUP(A218,[1]SummaryTable!$A$2:$F$359,6,FALSE)</f>
        <v>0</v>
      </c>
      <c r="J218" s="4" t="str">
        <f>IF(I218&gt;0.1,[2]Processes!$A$6,[2]Processes!$A$5)</f>
        <v>Sawmal</v>
      </c>
      <c r="K218" s="23" t="str">
        <f t="shared" si="47"/>
        <v>-</v>
      </c>
      <c r="L218" s="4" t="str">
        <f t="shared" si="48"/>
        <v>-</v>
      </c>
      <c r="M218" s="4" t="str">
        <f t="shared" si="49"/>
        <v>-</v>
      </c>
      <c r="N218" s="4">
        <f t="shared" si="50"/>
        <v>0</v>
      </c>
      <c r="O218" s="23" t="str">
        <f t="shared" si="51"/>
        <v>-</v>
      </c>
      <c r="P218" s="4" t="str">
        <f t="shared" si="52"/>
        <v>-</v>
      </c>
      <c r="Q218" s="4" t="str">
        <f t="shared" si="53"/>
        <v>-</v>
      </c>
      <c r="R218" s="4">
        <f t="shared" si="54"/>
        <v>0</v>
      </c>
      <c r="S218" s="23" t="str">
        <f t="shared" si="55"/>
        <v>-</v>
      </c>
      <c r="T218" s="4" t="str">
        <f t="shared" si="56"/>
        <v>-</v>
      </c>
      <c r="U218" s="4" t="str">
        <f t="shared" si="57"/>
        <v>-</v>
      </c>
      <c r="V218" s="4">
        <f t="shared" si="58"/>
        <v>0</v>
      </c>
      <c r="W218" s="23">
        <f>VLOOKUP(A218,[1]SummaryTable!$A$2:$F$359,4,FALSE)</f>
        <v>11.427</v>
      </c>
    </row>
    <row r="219" spans="1:23" x14ac:dyDescent="0.25">
      <c r="A219" s="14" t="s">
        <v>261</v>
      </c>
      <c r="B219" s="14" t="str">
        <f t="shared" si="45"/>
        <v>H262</v>
      </c>
      <c r="C219" s="14">
        <v>14</v>
      </c>
      <c r="D219" s="61">
        <v>23</v>
      </c>
      <c r="E219" s="15">
        <f>VLOOKUP(A219,[1]SummaryTable!$A$2:$F$359,2,FALSE)</f>
        <v>6409781.2834823402</v>
      </c>
      <c r="F219" s="15">
        <f>VLOOKUP(A219,[1]SummaryTable!$A$2:$F$359,3,FALSE)</f>
        <v>339838.19322967302</v>
      </c>
      <c r="G219" s="62">
        <f t="shared" si="46"/>
        <v>13.679999999999998</v>
      </c>
      <c r="H219" s="4">
        <f>VLOOKUP(A219,[1]SummaryTable!$A$2:$F$359,5,FALSE)</f>
        <v>1</v>
      </c>
      <c r="I219" s="4">
        <f>VLOOKUP(A219,[1]SummaryTable!$A$2:$F$359,6,FALSE)</f>
        <v>0</v>
      </c>
      <c r="J219" s="4" t="str">
        <f>IF(I219&gt;0.1,[2]Processes!$A$6,[2]Processes!$A$5)</f>
        <v>Sawmal</v>
      </c>
      <c r="K219" s="23" t="str">
        <f t="shared" si="47"/>
        <v>-</v>
      </c>
      <c r="L219" s="4" t="str">
        <f t="shared" si="48"/>
        <v>-</v>
      </c>
      <c r="M219" s="4" t="str">
        <f t="shared" si="49"/>
        <v>-</v>
      </c>
      <c r="N219" s="4">
        <f t="shared" si="50"/>
        <v>0</v>
      </c>
      <c r="O219" s="23" t="str">
        <f t="shared" si="51"/>
        <v>-</v>
      </c>
      <c r="P219" s="4" t="str">
        <f t="shared" si="52"/>
        <v>-</v>
      </c>
      <c r="Q219" s="4" t="str">
        <f t="shared" si="53"/>
        <v>-</v>
      </c>
      <c r="R219" s="4">
        <f t="shared" si="54"/>
        <v>0</v>
      </c>
      <c r="S219" s="23" t="str">
        <f t="shared" si="55"/>
        <v>-</v>
      </c>
      <c r="T219" s="4" t="str">
        <f t="shared" si="56"/>
        <v>-</v>
      </c>
      <c r="U219" s="4" t="str">
        <f t="shared" si="57"/>
        <v>-</v>
      </c>
      <c r="V219" s="4">
        <f t="shared" si="58"/>
        <v>0</v>
      </c>
      <c r="W219" s="23">
        <f>VLOOKUP(A219,[1]SummaryTable!$A$2:$F$359,4,FALSE)</f>
        <v>11.399999999999999</v>
      </c>
    </row>
    <row r="220" spans="1:23" x14ac:dyDescent="0.25">
      <c r="A220" s="14" t="s">
        <v>161</v>
      </c>
      <c r="B220" s="14" t="str">
        <f t="shared" si="45"/>
        <v>H162</v>
      </c>
      <c r="C220" s="14">
        <v>18</v>
      </c>
      <c r="D220" s="61">
        <v>12</v>
      </c>
      <c r="E220" s="15">
        <f>VLOOKUP(A220,[1]SummaryTable!$A$2:$F$359,2,FALSE)</f>
        <v>6605142.1022052001</v>
      </c>
      <c r="F220" s="15">
        <f>VLOOKUP(A220,[1]SummaryTable!$A$2:$F$359,3,FALSE)</f>
        <v>512766.37462413998</v>
      </c>
      <c r="G220" s="62">
        <f t="shared" si="46"/>
        <v>13.384379999999998</v>
      </c>
      <c r="H220" s="4">
        <f>VLOOKUP(A220,[1]SummaryTable!$A$2:$F$359,5,FALSE)</f>
        <v>1</v>
      </c>
      <c r="I220" s="4">
        <f>VLOOKUP(A220,[1]SummaryTable!$A$2:$F$359,6,FALSE)</f>
        <v>0</v>
      </c>
      <c r="J220" s="4" t="str">
        <f>IF(I220&gt;0.1,[2]Processes!$A$6,[2]Processes!$A$5)</f>
        <v>Sawmal</v>
      </c>
      <c r="K220" s="23" t="str">
        <f t="shared" si="47"/>
        <v>-</v>
      </c>
      <c r="L220" s="4" t="str">
        <f t="shared" si="48"/>
        <v>-</v>
      </c>
      <c r="M220" s="4" t="str">
        <f t="shared" si="49"/>
        <v>-</v>
      </c>
      <c r="N220" s="4">
        <f t="shared" si="50"/>
        <v>0</v>
      </c>
      <c r="O220" s="23" t="str">
        <f t="shared" si="51"/>
        <v>-</v>
      </c>
      <c r="P220" s="4" t="str">
        <f t="shared" si="52"/>
        <v>-</v>
      </c>
      <c r="Q220" s="4" t="str">
        <f t="shared" si="53"/>
        <v>-</v>
      </c>
      <c r="R220" s="4">
        <f t="shared" si="54"/>
        <v>0</v>
      </c>
      <c r="S220" s="23" t="str">
        <f t="shared" si="55"/>
        <v>-</v>
      </c>
      <c r="T220" s="4" t="str">
        <f t="shared" si="56"/>
        <v>-</v>
      </c>
      <c r="U220" s="4" t="str">
        <f t="shared" si="57"/>
        <v>-</v>
      </c>
      <c r="V220" s="4">
        <f t="shared" si="58"/>
        <v>0</v>
      </c>
      <c r="W220" s="23">
        <f>VLOOKUP(A220,[1]SummaryTable!$A$2:$F$359,4,FALSE)</f>
        <v>11.153649999999999</v>
      </c>
    </row>
    <row r="221" spans="1:23" x14ac:dyDescent="0.25">
      <c r="A221" s="14" t="s">
        <v>290</v>
      </c>
      <c r="B221" s="14" t="str">
        <f t="shared" si="45"/>
        <v>H291</v>
      </c>
      <c r="C221" s="14">
        <v>6</v>
      </c>
      <c r="D221" s="61">
        <v>21</v>
      </c>
      <c r="E221" s="15">
        <f>VLOOKUP(A221,[1]SummaryTable!$A$2:$F$359,2,FALSE)</f>
        <v>6371647.5518515902</v>
      </c>
      <c r="F221" s="15">
        <f>VLOOKUP(A221,[1]SummaryTable!$A$2:$F$359,3,FALSE)</f>
        <v>482329.19816758001</v>
      </c>
      <c r="G221" s="62">
        <f t="shared" si="46"/>
        <v>13.092000000000001</v>
      </c>
      <c r="H221" s="4">
        <f>VLOOKUP(A221,[1]SummaryTable!$A$2:$F$359,5,FALSE)</f>
        <v>1</v>
      </c>
      <c r="I221" s="4">
        <f>VLOOKUP(A221,[1]SummaryTable!$A$2:$F$359,6,FALSE)</f>
        <v>0</v>
      </c>
      <c r="J221" s="4" t="str">
        <f>IF(I221&gt;0.1,[2]Processes!$A$6,[2]Processes!$A$5)</f>
        <v>Sawmal</v>
      </c>
      <c r="K221" s="23" t="str">
        <f t="shared" si="47"/>
        <v>-</v>
      </c>
      <c r="L221" s="4" t="str">
        <f t="shared" si="48"/>
        <v>-</v>
      </c>
      <c r="M221" s="4" t="str">
        <f t="shared" si="49"/>
        <v>-</v>
      </c>
      <c r="N221" s="4">
        <f t="shared" si="50"/>
        <v>0</v>
      </c>
      <c r="O221" s="23" t="str">
        <f t="shared" si="51"/>
        <v>-</v>
      </c>
      <c r="P221" s="4" t="str">
        <f t="shared" si="52"/>
        <v>-</v>
      </c>
      <c r="Q221" s="4" t="str">
        <f t="shared" si="53"/>
        <v>-</v>
      </c>
      <c r="R221" s="4">
        <f t="shared" si="54"/>
        <v>0</v>
      </c>
      <c r="S221" s="23" t="str">
        <f t="shared" si="55"/>
        <v>-</v>
      </c>
      <c r="T221" s="4" t="str">
        <f t="shared" si="56"/>
        <v>-</v>
      </c>
      <c r="U221" s="4" t="str">
        <f t="shared" si="57"/>
        <v>-</v>
      </c>
      <c r="V221" s="4">
        <f t="shared" si="58"/>
        <v>0</v>
      </c>
      <c r="W221" s="23">
        <f>VLOOKUP(A221,[1]SummaryTable!$A$2:$F$359,4,FALSE)</f>
        <v>10.91</v>
      </c>
    </row>
    <row r="222" spans="1:23" x14ac:dyDescent="0.25">
      <c r="A222" s="14" t="s">
        <v>20</v>
      </c>
      <c r="B222" s="14" t="str">
        <f t="shared" si="45"/>
        <v>H21</v>
      </c>
      <c r="C222" s="14">
        <v>14</v>
      </c>
      <c r="D222" s="61">
        <v>23</v>
      </c>
      <c r="E222" s="15">
        <f>VLOOKUP(A222,[1]SummaryTable!$A$2:$F$359,2,FALSE)</f>
        <v>6451778.9539999999</v>
      </c>
      <c r="F222" s="15">
        <f>VLOOKUP(A222,[1]SummaryTable!$A$2:$F$359,3,FALSE)</f>
        <v>365615.28700000001</v>
      </c>
      <c r="G222" s="62">
        <f t="shared" si="46"/>
        <v>12.839999999999998</v>
      </c>
      <c r="H222" s="4">
        <f>VLOOKUP(A222,[1]SummaryTable!$A$2:$F$359,5,FALSE)</f>
        <v>1</v>
      </c>
      <c r="I222" s="4">
        <f>VLOOKUP(A222,[1]SummaryTable!$A$2:$F$359,6,FALSE)</f>
        <v>0</v>
      </c>
      <c r="J222" s="4" t="str">
        <f>IF(I222&gt;0.1,[2]Processes!$A$6,[2]Processes!$A$5)</f>
        <v>Sawmal</v>
      </c>
      <c r="K222" s="23" t="str">
        <f t="shared" si="47"/>
        <v>-</v>
      </c>
      <c r="L222" s="4" t="str">
        <f t="shared" si="48"/>
        <v>-</v>
      </c>
      <c r="M222" s="4" t="str">
        <f t="shared" si="49"/>
        <v>-</v>
      </c>
      <c r="N222" s="4">
        <f t="shared" si="50"/>
        <v>0</v>
      </c>
      <c r="O222" s="23" t="str">
        <f t="shared" si="51"/>
        <v>-</v>
      </c>
      <c r="P222" s="4" t="str">
        <f t="shared" si="52"/>
        <v>-</v>
      </c>
      <c r="Q222" s="4" t="str">
        <f t="shared" si="53"/>
        <v>-</v>
      </c>
      <c r="R222" s="4">
        <f t="shared" si="54"/>
        <v>0</v>
      </c>
      <c r="S222" s="23" t="str">
        <f t="shared" si="55"/>
        <v>-</v>
      </c>
      <c r="T222" s="4" t="str">
        <f t="shared" si="56"/>
        <v>-</v>
      </c>
      <c r="U222" s="4" t="str">
        <f t="shared" si="57"/>
        <v>-</v>
      </c>
      <c r="V222" s="4">
        <f t="shared" si="58"/>
        <v>0</v>
      </c>
      <c r="W222" s="23">
        <f>VLOOKUP(A222,[1]SummaryTable!$A$2:$F$359,4,FALSE)</f>
        <v>10.7</v>
      </c>
    </row>
    <row r="223" spans="1:23" x14ac:dyDescent="0.25">
      <c r="A223" s="14" t="s">
        <v>69</v>
      </c>
      <c r="B223" s="14" t="str">
        <f t="shared" si="45"/>
        <v>H70</v>
      </c>
      <c r="C223" s="14">
        <v>24</v>
      </c>
      <c r="D223" s="61">
        <v>33</v>
      </c>
      <c r="E223" s="15">
        <f>VLOOKUP(A223,[1]SummaryTable!$A$2:$F$359,2,FALSE)</f>
        <v>7099526.10902989</v>
      </c>
      <c r="F223" s="15">
        <f>VLOOKUP(A223,[1]SummaryTable!$A$2:$F$359,3,FALSE)</f>
        <v>772319.20899318799</v>
      </c>
      <c r="G223" s="62">
        <f t="shared" si="46"/>
        <v>12.8118</v>
      </c>
      <c r="H223" s="4">
        <f>VLOOKUP(A223,[1]SummaryTable!$A$2:$F$359,5,FALSE)</f>
        <v>1</v>
      </c>
      <c r="I223" s="4">
        <f>VLOOKUP(A223,[1]SummaryTable!$A$2:$F$359,6,FALSE)</f>
        <v>0</v>
      </c>
      <c r="J223" s="4" t="str">
        <f>IF(I223&gt;0.1,[2]Processes!$A$6,[2]Processes!$A$5)</f>
        <v>Sawmal</v>
      </c>
      <c r="K223" s="23" t="str">
        <f t="shared" si="47"/>
        <v>-</v>
      </c>
      <c r="L223" s="4" t="str">
        <f t="shared" si="48"/>
        <v>-</v>
      </c>
      <c r="M223" s="4" t="str">
        <f t="shared" si="49"/>
        <v>-</v>
      </c>
      <c r="N223" s="4">
        <f t="shared" si="50"/>
        <v>0</v>
      </c>
      <c r="O223" s="23" t="str">
        <f t="shared" si="51"/>
        <v>-</v>
      </c>
      <c r="P223" s="4" t="str">
        <f t="shared" si="52"/>
        <v>-</v>
      </c>
      <c r="Q223" s="4" t="str">
        <f t="shared" si="53"/>
        <v>-</v>
      </c>
      <c r="R223" s="4">
        <f t="shared" si="54"/>
        <v>0</v>
      </c>
      <c r="S223" s="23" t="str">
        <f t="shared" si="55"/>
        <v>-</v>
      </c>
      <c r="T223" s="4" t="str">
        <f t="shared" si="56"/>
        <v>-</v>
      </c>
      <c r="U223" s="4" t="str">
        <f t="shared" si="57"/>
        <v>-</v>
      </c>
      <c r="V223" s="4">
        <f t="shared" si="58"/>
        <v>0</v>
      </c>
      <c r="W223" s="23">
        <f>VLOOKUP(A223,[1]SummaryTable!$A$2:$F$359,4,FALSE)</f>
        <v>10.676500000000001</v>
      </c>
    </row>
    <row r="224" spans="1:23" x14ac:dyDescent="0.25">
      <c r="A224" s="14" t="s">
        <v>204</v>
      </c>
      <c r="B224" s="14" t="str">
        <f t="shared" si="45"/>
        <v>H205</v>
      </c>
      <c r="C224" s="14">
        <v>4</v>
      </c>
      <c r="D224" s="61">
        <v>12</v>
      </c>
      <c r="E224" s="15">
        <f>VLOOKUP(A224,[1]SummaryTable!$A$2:$F$359,2,FALSE)</f>
        <v>6536367.1170061603</v>
      </c>
      <c r="F224" s="15">
        <f>VLOOKUP(A224,[1]SummaryTable!$A$2:$F$359,3,FALSE)</f>
        <v>643119.38442777004</v>
      </c>
      <c r="G224" s="62">
        <f t="shared" si="46"/>
        <v>12.72</v>
      </c>
      <c r="H224" s="4">
        <f>VLOOKUP(A224,[1]SummaryTable!$A$2:$F$359,5,FALSE)</f>
        <v>1</v>
      </c>
      <c r="I224" s="4">
        <f>VLOOKUP(A224,[1]SummaryTable!$A$2:$F$359,6,FALSE)</f>
        <v>0</v>
      </c>
      <c r="J224" s="4" t="str">
        <f>IF(I224&gt;0.1,[2]Processes!$A$6,[2]Processes!$A$5)</f>
        <v>Sawmal</v>
      </c>
      <c r="K224" s="23" t="str">
        <f t="shared" si="47"/>
        <v>-</v>
      </c>
      <c r="L224" s="4" t="str">
        <f t="shared" si="48"/>
        <v>-</v>
      </c>
      <c r="M224" s="4" t="str">
        <f t="shared" si="49"/>
        <v>-</v>
      </c>
      <c r="N224" s="4">
        <f t="shared" si="50"/>
        <v>0</v>
      </c>
      <c r="O224" s="23" t="str">
        <f t="shared" si="51"/>
        <v>-</v>
      </c>
      <c r="P224" s="4" t="str">
        <f t="shared" si="52"/>
        <v>-</v>
      </c>
      <c r="Q224" s="4" t="str">
        <f t="shared" si="53"/>
        <v>-</v>
      </c>
      <c r="R224" s="4">
        <f t="shared" si="54"/>
        <v>0</v>
      </c>
      <c r="S224" s="23" t="str">
        <f t="shared" si="55"/>
        <v>-</v>
      </c>
      <c r="T224" s="4" t="str">
        <f t="shared" si="56"/>
        <v>-</v>
      </c>
      <c r="U224" s="4" t="str">
        <f t="shared" si="57"/>
        <v>-</v>
      </c>
      <c r="V224" s="4">
        <f t="shared" si="58"/>
        <v>0</v>
      </c>
      <c r="W224" s="23">
        <f>VLOOKUP(A224,[1]SummaryTable!$A$2:$F$359,4,FALSE)</f>
        <v>10.600000000000001</v>
      </c>
    </row>
    <row r="225" spans="1:23" x14ac:dyDescent="0.25">
      <c r="A225" s="14" t="s">
        <v>56</v>
      </c>
      <c r="B225" s="14" t="str">
        <f t="shared" si="45"/>
        <v>H57</v>
      </c>
      <c r="C225" s="14">
        <v>24</v>
      </c>
      <c r="D225" s="61">
        <v>33</v>
      </c>
      <c r="E225" s="15">
        <f>VLOOKUP(A225,[1]SummaryTable!$A$2:$F$359,2,FALSE)</f>
        <v>7206633.0206192899</v>
      </c>
      <c r="F225" s="15">
        <f>VLOOKUP(A225,[1]SummaryTable!$A$2:$F$359,3,FALSE)</f>
        <v>711977.69406621403</v>
      </c>
      <c r="G225" s="62">
        <f t="shared" si="46"/>
        <v>12.5688</v>
      </c>
      <c r="H225" s="4">
        <f>VLOOKUP(A225,[1]SummaryTable!$A$2:$F$359,5,FALSE)</f>
        <v>1</v>
      </c>
      <c r="I225" s="4">
        <f>VLOOKUP(A225,[1]SummaryTable!$A$2:$F$359,6,FALSE)</f>
        <v>0</v>
      </c>
      <c r="J225" s="4" t="str">
        <f>IF(I225&gt;0.1,[2]Processes!$A$6,[2]Processes!$A$5)</f>
        <v>Sawmal</v>
      </c>
      <c r="K225" s="23" t="str">
        <f t="shared" si="47"/>
        <v>-</v>
      </c>
      <c r="L225" s="4" t="str">
        <f t="shared" si="48"/>
        <v>-</v>
      </c>
      <c r="M225" s="4" t="str">
        <f t="shared" si="49"/>
        <v>-</v>
      </c>
      <c r="N225" s="4">
        <f t="shared" si="50"/>
        <v>0</v>
      </c>
      <c r="O225" s="23" t="str">
        <f t="shared" si="51"/>
        <v>-</v>
      </c>
      <c r="P225" s="4" t="str">
        <f t="shared" si="52"/>
        <v>-</v>
      </c>
      <c r="Q225" s="4" t="str">
        <f t="shared" si="53"/>
        <v>-</v>
      </c>
      <c r="R225" s="4">
        <f t="shared" si="54"/>
        <v>0</v>
      </c>
      <c r="S225" s="23" t="str">
        <f t="shared" si="55"/>
        <v>-</v>
      </c>
      <c r="T225" s="4" t="str">
        <f t="shared" si="56"/>
        <v>-</v>
      </c>
      <c r="U225" s="4" t="str">
        <f t="shared" si="57"/>
        <v>-</v>
      </c>
      <c r="V225" s="4">
        <f t="shared" si="58"/>
        <v>0</v>
      </c>
      <c r="W225" s="23">
        <f>VLOOKUP(A225,[1]SummaryTable!$A$2:$F$359,4,FALSE)</f>
        <v>10.474</v>
      </c>
    </row>
    <row r="226" spans="1:23" x14ac:dyDescent="0.25">
      <c r="A226" s="14" t="s">
        <v>91</v>
      </c>
      <c r="B226" s="14" t="str">
        <f t="shared" si="45"/>
        <v>H92</v>
      </c>
      <c r="C226" s="14">
        <v>22</v>
      </c>
      <c r="D226" s="61">
        <v>12</v>
      </c>
      <c r="E226" s="15">
        <f>VLOOKUP(A226,[1]SummaryTable!$A$2:$F$359,2,FALSE)</f>
        <v>6930834.9004280604</v>
      </c>
      <c r="F226" s="15">
        <f>VLOOKUP(A226,[1]SummaryTable!$A$2:$F$359,3,FALSE)</f>
        <v>533618.03462249995</v>
      </c>
      <c r="G226" s="62">
        <f t="shared" si="46"/>
        <v>12.542399999999999</v>
      </c>
      <c r="H226" s="4">
        <f>VLOOKUP(A226,[1]SummaryTable!$A$2:$F$359,5,FALSE)</f>
        <v>1</v>
      </c>
      <c r="I226" s="4">
        <f>VLOOKUP(A226,[1]SummaryTable!$A$2:$F$359,6,FALSE)</f>
        <v>0</v>
      </c>
      <c r="J226" s="4" t="str">
        <f>IF(I226&gt;0.1,[2]Processes!$A$6,[2]Processes!$A$5)</f>
        <v>Sawmal</v>
      </c>
      <c r="K226" s="23" t="str">
        <f t="shared" si="47"/>
        <v>-</v>
      </c>
      <c r="L226" s="4" t="str">
        <f t="shared" si="48"/>
        <v>-</v>
      </c>
      <c r="M226" s="4" t="str">
        <f t="shared" si="49"/>
        <v>-</v>
      </c>
      <c r="N226" s="4">
        <f t="shared" si="50"/>
        <v>0</v>
      </c>
      <c r="O226" s="23" t="str">
        <f t="shared" si="51"/>
        <v>-</v>
      </c>
      <c r="P226" s="4" t="str">
        <f t="shared" si="52"/>
        <v>-</v>
      </c>
      <c r="Q226" s="4" t="str">
        <f t="shared" si="53"/>
        <v>-</v>
      </c>
      <c r="R226" s="4">
        <f t="shared" si="54"/>
        <v>0</v>
      </c>
      <c r="S226" s="23" t="str">
        <f t="shared" si="55"/>
        <v>-</v>
      </c>
      <c r="T226" s="4" t="str">
        <f t="shared" si="56"/>
        <v>-</v>
      </c>
      <c r="U226" s="4" t="str">
        <f t="shared" si="57"/>
        <v>-</v>
      </c>
      <c r="V226" s="4">
        <f t="shared" si="58"/>
        <v>0</v>
      </c>
      <c r="W226" s="23">
        <f>VLOOKUP(A226,[1]SummaryTable!$A$2:$F$359,4,FALSE)</f>
        <v>10.452</v>
      </c>
    </row>
    <row r="227" spans="1:23" x14ac:dyDescent="0.25">
      <c r="A227" s="14" t="s">
        <v>331</v>
      </c>
      <c r="B227" s="14" t="str">
        <f t="shared" si="45"/>
        <v>H332</v>
      </c>
      <c r="C227" s="14">
        <v>12</v>
      </c>
      <c r="D227" s="61">
        <v>22</v>
      </c>
      <c r="E227" s="15">
        <f>VLOOKUP(A227,[1]SummaryTable!$A$2:$F$359,2,FALSE)</f>
        <v>6235938.1438683802</v>
      </c>
      <c r="F227" s="15">
        <f>VLOOKUP(A227,[1]SummaryTable!$A$2:$F$359,3,FALSE)</f>
        <v>420761.66534899001</v>
      </c>
      <c r="G227" s="62">
        <f t="shared" si="46"/>
        <v>12.5076</v>
      </c>
      <c r="H227" s="4">
        <f>VLOOKUP(A227,[1]SummaryTable!$A$2:$F$359,5,FALSE)</f>
        <v>1</v>
      </c>
      <c r="I227" s="4">
        <f>VLOOKUP(A227,[1]SummaryTable!$A$2:$F$359,6,FALSE)</f>
        <v>0</v>
      </c>
      <c r="J227" s="4" t="str">
        <f>IF(I227&gt;0.1,[2]Processes!$A$6,[2]Processes!$A$5)</f>
        <v>Sawmal</v>
      </c>
      <c r="K227" s="23" t="str">
        <f t="shared" si="47"/>
        <v>-</v>
      </c>
      <c r="L227" s="4" t="str">
        <f t="shared" si="48"/>
        <v>-</v>
      </c>
      <c r="M227" s="4" t="str">
        <f t="shared" si="49"/>
        <v>-</v>
      </c>
      <c r="N227" s="4">
        <f t="shared" si="50"/>
        <v>0</v>
      </c>
      <c r="O227" s="23" t="str">
        <f t="shared" si="51"/>
        <v>-</v>
      </c>
      <c r="P227" s="4" t="str">
        <f t="shared" si="52"/>
        <v>-</v>
      </c>
      <c r="Q227" s="4" t="str">
        <f t="shared" si="53"/>
        <v>-</v>
      </c>
      <c r="R227" s="4">
        <f t="shared" si="54"/>
        <v>0</v>
      </c>
      <c r="S227" s="23" t="str">
        <f t="shared" si="55"/>
        <v>-</v>
      </c>
      <c r="T227" s="4" t="str">
        <f t="shared" si="56"/>
        <v>-</v>
      </c>
      <c r="U227" s="4" t="str">
        <f t="shared" si="57"/>
        <v>-</v>
      </c>
      <c r="V227" s="4">
        <f t="shared" si="58"/>
        <v>0</v>
      </c>
      <c r="W227" s="23">
        <f>VLOOKUP(A227,[1]SummaryTable!$A$2:$F$359,4,FALSE)</f>
        <v>10.423</v>
      </c>
    </row>
    <row r="228" spans="1:23" x14ac:dyDescent="0.25">
      <c r="A228" s="14" t="s">
        <v>275</v>
      </c>
      <c r="B228" s="14" t="str">
        <f t="shared" si="45"/>
        <v>H276</v>
      </c>
      <c r="C228" s="14">
        <v>8</v>
      </c>
      <c r="D228" s="61">
        <v>21</v>
      </c>
      <c r="E228" s="15">
        <f>VLOOKUP(A228,[1]SummaryTable!$A$2:$F$359,2,FALSE)</f>
        <v>6394971.3302746098</v>
      </c>
      <c r="F228" s="15">
        <f>VLOOKUP(A228,[1]SummaryTable!$A$2:$F$359,3,FALSE)</f>
        <v>579796.12184361997</v>
      </c>
      <c r="G228" s="62">
        <f t="shared" si="46"/>
        <v>12.4908</v>
      </c>
      <c r="H228" s="4">
        <f>VLOOKUP(A228,[1]SummaryTable!$A$2:$F$359,5,FALSE)</f>
        <v>1</v>
      </c>
      <c r="I228" s="4">
        <f>VLOOKUP(A228,[1]SummaryTable!$A$2:$F$359,6,FALSE)</f>
        <v>0</v>
      </c>
      <c r="J228" s="4" t="str">
        <f>IF(I228&gt;0.1,[2]Processes!$A$6,[2]Processes!$A$5)</f>
        <v>Sawmal</v>
      </c>
      <c r="K228" s="23" t="str">
        <f t="shared" si="47"/>
        <v>-</v>
      </c>
      <c r="L228" s="4" t="str">
        <f t="shared" si="48"/>
        <v>-</v>
      </c>
      <c r="M228" s="4" t="str">
        <f t="shared" si="49"/>
        <v>-</v>
      </c>
      <c r="N228" s="4">
        <f t="shared" si="50"/>
        <v>0</v>
      </c>
      <c r="O228" s="23" t="str">
        <f t="shared" si="51"/>
        <v>-</v>
      </c>
      <c r="P228" s="4" t="str">
        <f t="shared" si="52"/>
        <v>-</v>
      </c>
      <c r="Q228" s="4" t="str">
        <f t="shared" si="53"/>
        <v>-</v>
      </c>
      <c r="R228" s="4">
        <f t="shared" si="54"/>
        <v>0</v>
      </c>
      <c r="S228" s="23" t="str">
        <f t="shared" si="55"/>
        <v>-</v>
      </c>
      <c r="T228" s="4" t="str">
        <f t="shared" si="56"/>
        <v>-</v>
      </c>
      <c r="U228" s="4" t="str">
        <f t="shared" si="57"/>
        <v>-</v>
      </c>
      <c r="V228" s="4">
        <f t="shared" si="58"/>
        <v>0</v>
      </c>
      <c r="W228" s="23">
        <f>VLOOKUP(A228,[1]SummaryTable!$A$2:$F$359,4,FALSE)</f>
        <v>10.409000000000001</v>
      </c>
    </row>
    <row r="229" spans="1:23" x14ac:dyDescent="0.25">
      <c r="A229" s="14" t="s">
        <v>62</v>
      </c>
      <c r="B229" s="14" t="str">
        <f t="shared" si="45"/>
        <v>H63</v>
      </c>
      <c r="C229" s="14">
        <v>24</v>
      </c>
      <c r="D229" s="61">
        <v>33</v>
      </c>
      <c r="E229" s="15">
        <f>VLOOKUP(A229,[1]SummaryTable!$A$2:$F$359,2,FALSE)</f>
        <v>7182339.7855140297</v>
      </c>
      <c r="F229" s="15">
        <f>VLOOKUP(A229,[1]SummaryTable!$A$2:$F$359,3,FALSE)</f>
        <v>795837.67087232601</v>
      </c>
      <c r="G229" s="62">
        <f t="shared" si="46"/>
        <v>12.48</v>
      </c>
      <c r="H229" s="4">
        <f>VLOOKUP(A229,[1]SummaryTable!$A$2:$F$359,5,FALSE)</f>
        <v>1</v>
      </c>
      <c r="I229" s="4">
        <f>VLOOKUP(A229,[1]SummaryTable!$A$2:$F$359,6,FALSE)</f>
        <v>0</v>
      </c>
      <c r="J229" s="4" t="str">
        <f>IF(I229&gt;0.1,[2]Processes!$A$6,[2]Processes!$A$5)</f>
        <v>Sawmal</v>
      </c>
      <c r="K229" s="23" t="str">
        <f t="shared" si="47"/>
        <v>-</v>
      </c>
      <c r="L229" s="4" t="str">
        <f t="shared" si="48"/>
        <v>-</v>
      </c>
      <c r="M229" s="4" t="str">
        <f t="shared" si="49"/>
        <v>-</v>
      </c>
      <c r="N229" s="4">
        <f t="shared" si="50"/>
        <v>0</v>
      </c>
      <c r="O229" s="23" t="str">
        <f t="shared" si="51"/>
        <v>-</v>
      </c>
      <c r="P229" s="4" t="str">
        <f t="shared" si="52"/>
        <v>-</v>
      </c>
      <c r="Q229" s="4" t="str">
        <f t="shared" si="53"/>
        <v>-</v>
      </c>
      <c r="R229" s="4">
        <f t="shared" si="54"/>
        <v>0</v>
      </c>
      <c r="S229" s="23" t="str">
        <f t="shared" si="55"/>
        <v>-</v>
      </c>
      <c r="T229" s="4" t="str">
        <f t="shared" si="56"/>
        <v>-</v>
      </c>
      <c r="U229" s="4" t="str">
        <f t="shared" si="57"/>
        <v>-</v>
      </c>
      <c r="V229" s="4">
        <f t="shared" si="58"/>
        <v>0</v>
      </c>
      <c r="W229" s="23">
        <f>VLOOKUP(A229,[1]SummaryTable!$A$2:$F$359,4,FALSE)</f>
        <v>10.4</v>
      </c>
    </row>
    <row r="230" spans="1:23" x14ac:dyDescent="0.25">
      <c r="A230" s="14" t="s">
        <v>343</v>
      </c>
      <c r="B230" s="14" t="str">
        <f t="shared" si="45"/>
        <v>H344</v>
      </c>
      <c r="C230" s="14">
        <v>12</v>
      </c>
      <c r="D230" s="61">
        <v>22</v>
      </c>
      <c r="E230" s="15">
        <f>VLOOKUP(A230,[1]SummaryTable!$A$2:$F$359,2,FALSE)</f>
        <v>6221422.07753463</v>
      </c>
      <c r="F230" s="15">
        <f>VLOOKUP(A230,[1]SummaryTable!$A$2:$F$359,3,FALSE)</f>
        <v>423171.42182152101</v>
      </c>
      <c r="G230" s="62">
        <f t="shared" si="46"/>
        <v>12.384</v>
      </c>
      <c r="H230" s="4">
        <f>VLOOKUP(A230,[1]SummaryTable!$A$2:$F$359,5,FALSE)</f>
        <v>1</v>
      </c>
      <c r="I230" s="4">
        <f>VLOOKUP(A230,[1]SummaryTable!$A$2:$F$359,6,FALSE)</f>
        <v>0</v>
      </c>
      <c r="J230" s="4" t="str">
        <f>IF(I230&gt;0.1,[2]Processes!$A$6,[2]Processes!$A$5)</f>
        <v>Sawmal</v>
      </c>
      <c r="K230" s="23" t="str">
        <f t="shared" si="47"/>
        <v>-</v>
      </c>
      <c r="L230" s="4" t="str">
        <f t="shared" si="48"/>
        <v>-</v>
      </c>
      <c r="M230" s="4" t="str">
        <f t="shared" si="49"/>
        <v>-</v>
      </c>
      <c r="N230" s="4">
        <f t="shared" si="50"/>
        <v>0</v>
      </c>
      <c r="O230" s="23" t="str">
        <f t="shared" si="51"/>
        <v>-</v>
      </c>
      <c r="P230" s="4" t="str">
        <f t="shared" si="52"/>
        <v>-</v>
      </c>
      <c r="Q230" s="4" t="str">
        <f t="shared" si="53"/>
        <v>-</v>
      </c>
      <c r="R230" s="4">
        <f t="shared" si="54"/>
        <v>0</v>
      </c>
      <c r="S230" s="23" t="str">
        <f t="shared" si="55"/>
        <v>-</v>
      </c>
      <c r="T230" s="4" t="str">
        <f t="shared" si="56"/>
        <v>-</v>
      </c>
      <c r="U230" s="4" t="str">
        <f t="shared" si="57"/>
        <v>-</v>
      </c>
      <c r="V230" s="4">
        <f t="shared" si="58"/>
        <v>0</v>
      </c>
      <c r="W230" s="23">
        <f>VLOOKUP(A230,[1]SummaryTable!$A$2:$F$359,4,FALSE)</f>
        <v>10.32</v>
      </c>
    </row>
    <row r="231" spans="1:23" x14ac:dyDescent="0.25">
      <c r="A231" s="14" t="s">
        <v>216</v>
      </c>
      <c r="B231" s="14" t="str">
        <f t="shared" si="45"/>
        <v>H217</v>
      </c>
      <c r="C231" s="14">
        <v>5</v>
      </c>
      <c r="D231" s="61">
        <v>12</v>
      </c>
      <c r="E231" s="15">
        <f>VLOOKUP(A231,[1]SummaryTable!$A$2:$F$359,2,FALSE)</f>
        <v>6492173.5622671898</v>
      </c>
      <c r="F231" s="15">
        <f>VLOOKUP(A231,[1]SummaryTable!$A$2:$F$359,3,FALSE)</f>
        <v>554019.37479658204</v>
      </c>
      <c r="G231" s="62">
        <f t="shared" si="46"/>
        <v>12.282360000000001</v>
      </c>
      <c r="H231" s="4">
        <f>VLOOKUP(A231,[1]SummaryTable!$A$2:$F$359,5,FALSE)</f>
        <v>1</v>
      </c>
      <c r="I231" s="4">
        <f>VLOOKUP(A231,[1]SummaryTable!$A$2:$F$359,6,FALSE)</f>
        <v>0</v>
      </c>
      <c r="J231" s="4" t="str">
        <f>IF(I231&gt;0.1,[2]Processes!$A$6,[2]Processes!$A$5)</f>
        <v>Sawmal</v>
      </c>
      <c r="K231" s="23" t="str">
        <f t="shared" si="47"/>
        <v>-</v>
      </c>
      <c r="L231" s="4" t="str">
        <f t="shared" si="48"/>
        <v>-</v>
      </c>
      <c r="M231" s="4" t="str">
        <f t="shared" si="49"/>
        <v>-</v>
      </c>
      <c r="N231" s="4">
        <f t="shared" si="50"/>
        <v>0</v>
      </c>
      <c r="O231" s="23" t="str">
        <f t="shared" si="51"/>
        <v>-</v>
      </c>
      <c r="P231" s="4" t="str">
        <f t="shared" si="52"/>
        <v>-</v>
      </c>
      <c r="Q231" s="4" t="str">
        <f t="shared" si="53"/>
        <v>-</v>
      </c>
      <c r="R231" s="4">
        <f t="shared" si="54"/>
        <v>0</v>
      </c>
      <c r="S231" s="23" t="str">
        <f t="shared" si="55"/>
        <v>-</v>
      </c>
      <c r="T231" s="4" t="str">
        <f t="shared" si="56"/>
        <v>-</v>
      </c>
      <c r="U231" s="4" t="str">
        <f t="shared" si="57"/>
        <v>-</v>
      </c>
      <c r="V231" s="4">
        <f t="shared" si="58"/>
        <v>0</v>
      </c>
      <c r="W231" s="23">
        <f>VLOOKUP(A231,[1]SummaryTable!$A$2:$F$359,4,FALSE)</f>
        <v>10.235300000000001</v>
      </c>
    </row>
    <row r="232" spans="1:23" x14ac:dyDescent="0.25">
      <c r="A232" s="14" t="s">
        <v>8</v>
      </c>
      <c r="B232" s="14" t="str">
        <f t="shared" si="45"/>
        <v>H9</v>
      </c>
      <c r="C232" s="14">
        <v>3</v>
      </c>
      <c r="D232" s="61">
        <v>12</v>
      </c>
      <c r="E232" s="15">
        <f>VLOOKUP(A232,[1]SummaryTable!$A$2:$F$359,2,FALSE)</f>
        <v>6653097</v>
      </c>
      <c r="F232" s="15">
        <f>VLOOKUP(A232,[1]SummaryTable!$A$2:$F$359,3,FALSE)</f>
        <v>667295</v>
      </c>
      <c r="G232" s="62">
        <f t="shared" si="46"/>
        <v>11.944800000000001</v>
      </c>
      <c r="H232" s="4">
        <f>VLOOKUP(A232,[1]SummaryTable!$A$2:$F$359,5,FALSE)</f>
        <v>1</v>
      </c>
      <c r="I232" s="4">
        <f>VLOOKUP(A232,[1]SummaryTable!$A$2:$F$359,6,FALSE)</f>
        <v>0</v>
      </c>
      <c r="J232" s="4" t="str">
        <f>IF(I232&gt;0.1,[2]Processes!$A$6,[2]Processes!$A$5)</f>
        <v>Sawmal</v>
      </c>
      <c r="K232" s="23" t="str">
        <f t="shared" si="47"/>
        <v>-</v>
      </c>
      <c r="L232" s="4" t="str">
        <f t="shared" si="48"/>
        <v>-</v>
      </c>
      <c r="M232" s="4" t="str">
        <f t="shared" si="49"/>
        <v>-</v>
      </c>
      <c r="N232" s="4">
        <f t="shared" si="50"/>
        <v>0</v>
      </c>
      <c r="O232" s="23" t="str">
        <f t="shared" si="51"/>
        <v>-</v>
      </c>
      <c r="P232" s="4" t="str">
        <f t="shared" si="52"/>
        <v>-</v>
      </c>
      <c r="Q232" s="4" t="str">
        <f t="shared" si="53"/>
        <v>-</v>
      </c>
      <c r="R232" s="4">
        <f t="shared" si="54"/>
        <v>0</v>
      </c>
      <c r="S232" s="23" t="str">
        <f t="shared" si="55"/>
        <v>-</v>
      </c>
      <c r="T232" s="4" t="str">
        <f t="shared" si="56"/>
        <v>-</v>
      </c>
      <c r="U232" s="4" t="str">
        <f t="shared" si="57"/>
        <v>-</v>
      </c>
      <c r="V232" s="4">
        <f t="shared" si="58"/>
        <v>0</v>
      </c>
      <c r="W232" s="23">
        <f>VLOOKUP(A232,[1]SummaryTable!$A$2:$F$359,4,FALSE)</f>
        <v>9.9540000000000006</v>
      </c>
    </row>
    <row r="233" spans="1:23" x14ac:dyDescent="0.25">
      <c r="A233" s="14" t="s">
        <v>287</v>
      </c>
      <c r="B233" s="14" t="str">
        <f t="shared" si="45"/>
        <v>H288</v>
      </c>
      <c r="C233" s="14">
        <v>8</v>
      </c>
      <c r="D233" s="61">
        <v>21</v>
      </c>
      <c r="E233" s="15">
        <f>VLOOKUP(A233,[1]SummaryTable!$A$2:$F$359,2,FALSE)</f>
        <v>6381560.2825629301</v>
      </c>
      <c r="F233" s="15">
        <f>VLOOKUP(A233,[1]SummaryTable!$A$2:$F$359,3,FALSE)</f>
        <v>550537.96867340198</v>
      </c>
      <c r="G233" s="62">
        <f t="shared" si="46"/>
        <v>11.868</v>
      </c>
      <c r="H233" s="4">
        <f>VLOOKUP(A233,[1]SummaryTable!$A$2:$F$359,5,FALSE)</f>
        <v>1</v>
      </c>
      <c r="I233" s="4">
        <f>VLOOKUP(A233,[1]SummaryTable!$A$2:$F$359,6,FALSE)</f>
        <v>0</v>
      </c>
      <c r="J233" s="4" t="str">
        <f>IF(I233&gt;0.1,[2]Processes!$A$6,[2]Processes!$A$5)</f>
        <v>Sawmal</v>
      </c>
      <c r="K233" s="23" t="str">
        <f t="shared" si="47"/>
        <v>-</v>
      </c>
      <c r="L233" s="4" t="str">
        <f t="shared" si="48"/>
        <v>-</v>
      </c>
      <c r="M233" s="4" t="str">
        <f t="shared" si="49"/>
        <v>-</v>
      </c>
      <c r="N233" s="4">
        <f t="shared" si="50"/>
        <v>0</v>
      </c>
      <c r="O233" s="23" t="str">
        <f t="shared" si="51"/>
        <v>-</v>
      </c>
      <c r="P233" s="4" t="str">
        <f t="shared" si="52"/>
        <v>-</v>
      </c>
      <c r="Q233" s="4" t="str">
        <f t="shared" si="53"/>
        <v>-</v>
      </c>
      <c r="R233" s="4">
        <f t="shared" si="54"/>
        <v>0</v>
      </c>
      <c r="S233" s="23" t="str">
        <f t="shared" si="55"/>
        <v>-</v>
      </c>
      <c r="T233" s="4" t="str">
        <f t="shared" si="56"/>
        <v>-</v>
      </c>
      <c r="U233" s="4" t="str">
        <f t="shared" si="57"/>
        <v>-</v>
      </c>
      <c r="V233" s="4">
        <f t="shared" si="58"/>
        <v>0</v>
      </c>
      <c r="W233" s="23">
        <f>VLOOKUP(A233,[1]SummaryTable!$A$2:$F$359,4,FALSE)</f>
        <v>9.89</v>
      </c>
    </row>
    <row r="234" spans="1:23" x14ac:dyDescent="0.25">
      <c r="A234" s="14" t="s">
        <v>42</v>
      </c>
      <c r="B234" s="14" t="str">
        <f t="shared" si="45"/>
        <v>H43</v>
      </c>
      <c r="C234" s="14">
        <v>25</v>
      </c>
      <c r="D234" s="61">
        <v>33</v>
      </c>
      <c r="E234" s="15">
        <f>VLOOKUP(A234,[1]SummaryTable!$A$2:$F$359,2,FALSE)</f>
        <v>7333973.7305256696</v>
      </c>
      <c r="F234" s="15">
        <f>VLOOKUP(A234,[1]SummaryTable!$A$2:$F$359,3,FALSE)</f>
        <v>916014.46013194101</v>
      </c>
      <c r="G234" s="62">
        <f t="shared" si="46"/>
        <v>11.766</v>
      </c>
      <c r="H234" s="4">
        <f>VLOOKUP(A234,[1]SummaryTable!$A$2:$F$359,5,FALSE)</f>
        <v>1</v>
      </c>
      <c r="I234" s="4">
        <f>VLOOKUP(A234,[1]SummaryTable!$A$2:$F$359,6,FALSE)</f>
        <v>0</v>
      </c>
      <c r="J234" s="4" t="str">
        <f>IF(I234&gt;0.1,[2]Processes!$A$6,[2]Processes!$A$5)</f>
        <v>Sawmal</v>
      </c>
      <c r="K234" s="23" t="str">
        <f t="shared" si="47"/>
        <v>-</v>
      </c>
      <c r="L234" s="4" t="str">
        <f t="shared" si="48"/>
        <v>-</v>
      </c>
      <c r="M234" s="4" t="str">
        <f t="shared" si="49"/>
        <v>-</v>
      </c>
      <c r="N234" s="4">
        <f t="shared" si="50"/>
        <v>0</v>
      </c>
      <c r="O234" s="23" t="str">
        <f t="shared" si="51"/>
        <v>-</v>
      </c>
      <c r="P234" s="4" t="str">
        <f t="shared" si="52"/>
        <v>-</v>
      </c>
      <c r="Q234" s="4" t="str">
        <f t="shared" si="53"/>
        <v>-</v>
      </c>
      <c r="R234" s="4">
        <f t="shared" si="54"/>
        <v>0</v>
      </c>
      <c r="S234" s="23" t="str">
        <f t="shared" si="55"/>
        <v>-</v>
      </c>
      <c r="T234" s="4" t="str">
        <f t="shared" si="56"/>
        <v>-</v>
      </c>
      <c r="U234" s="4" t="str">
        <f t="shared" si="57"/>
        <v>-</v>
      </c>
      <c r="V234" s="4">
        <f t="shared" si="58"/>
        <v>0</v>
      </c>
      <c r="W234" s="23">
        <f>VLOOKUP(A234,[1]SummaryTable!$A$2:$F$359,4,FALSE)</f>
        <v>9.8049999999999997</v>
      </c>
    </row>
    <row r="235" spans="1:23" x14ac:dyDescent="0.25">
      <c r="A235" s="14" t="s">
        <v>323</v>
      </c>
      <c r="B235" s="14" t="str">
        <f t="shared" si="45"/>
        <v>H324</v>
      </c>
      <c r="C235" s="14">
        <v>7</v>
      </c>
      <c r="D235" s="61">
        <v>21</v>
      </c>
      <c r="E235" s="15">
        <f>VLOOKUP(A235,[1]SummaryTable!$A$2:$F$359,2,FALSE)</f>
        <v>6286887.6500553302</v>
      </c>
      <c r="F235" s="15">
        <f>VLOOKUP(A235,[1]SummaryTable!$A$2:$F$359,3,FALSE)</f>
        <v>495102.362734503</v>
      </c>
      <c r="G235" s="62">
        <f t="shared" si="46"/>
        <v>11.719199999999999</v>
      </c>
      <c r="H235" s="4">
        <f>VLOOKUP(A235,[1]SummaryTable!$A$2:$F$359,5,FALSE)</f>
        <v>1</v>
      </c>
      <c r="I235" s="4">
        <f>VLOOKUP(A235,[1]SummaryTable!$A$2:$F$359,6,FALSE)</f>
        <v>0</v>
      </c>
      <c r="J235" s="4" t="str">
        <f>IF(I235&gt;0.1,[2]Processes!$A$6,[2]Processes!$A$5)</f>
        <v>Sawmal</v>
      </c>
      <c r="K235" s="23" t="str">
        <f t="shared" si="47"/>
        <v>-</v>
      </c>
      <c r="L235" s="4" t="str">
        <f t="shared" si="48"/>
        <v>-</v>
      </c>
      <c r="M235" s="4" t="str">
        <f t="shared" si="49"/>
        <v>-</v>
      </c>
      <c r="N235" s="4">
        <f t="shared" si="50"/>
        <v>0</v>
      </c>
      <c r="O235" s="23" t="str">
        <f t="shared" si="51"/>
        <v>-</v>
      </c>
      <c r="P235" s="4" t="str">
        <f t="shared" si="52"/>
        <v>-</v>
      </c>
      <c r="Q235" s="4" t="str">
        <f t="shared" si="53"/>
        <v>-</v>
      </c>
      <c r="R235" s="4">
        <f t="shared" si="54"/>
        <v>0</v>
      </c>
      <c r="S235" s="23" t="str">
        <f t="shared" si="55"/>
        <v>-</v>
      </c>
      <c r="T235" s="4" t="str">
        <f t="shared" si="56"/>
        <v>-</v>
      </c>
      <c r="U235" s="4" t="str">
        <f t="shared" si="57"/>
        <v>-</v>
      </c>
      <c r="V235" s="4">
        <f t="shared" si="58"/>
        <v>0</v>
      </c>
      <c r="W235" s="23">
        <f>VLOOKUP(A235,[1]SummaryTable!$A$2:$F$359,4,FALSE)</f>
        <v>9.766</v>
      </c>
    </row>
    <row r="236" spans="1:23" x14ac:dyDescent="0.25">
      <c r="A236" s="14" t="s">
        <v>57</v>
      </c>
      <c r="B236" s="14" t="str">
        <f t="shared" si="45"/>
        <v>H58</v>
      </c>
      <c r="C236" s="14">
        <v>24</v>
      </c>
      <c r="D236" s="61">
        <v>33</v>
      </c>
      <c r="E236" s="15">
        <f>VLOOKUP(A236,[1]SummaryTable!$A$2:$F$359,2,FALSE)</f>
        <v>7205359.4751415402</v>
      </c>
      <c r="F236" s="15">
        <f>VLOOKUP(A236,[1]SummaryTable!$A$2:$F$359,3,FALSE)</f>
        <v>754791.61835204903</v>
      </c>
      <c r="G236" s="62">
        <f t="shared" si="46"/>
        <v>11.524799999999999</v>
      </c>
      <c r="H236" s="4">
        <f>VLOOKUP(A236,[1]SummaryTable!$A$2:$F$359,5,FALSE)</f>
        <v>1</v>
      </c>
      <c r="I236" s="4">
        <f>VLOOKUP(A236,[1]SummaryTable!$A$2:$F$359,6,FALSE)</f>
        <v>0</v>
      </c>
      <c r="J236" s="4" t="str">
        <f>IF(I236&gt;0.1,[2]Processes!$A$6,[2]Processes!$A$5)</f>
        <v>Sawmal</v>
      </c>
      <c r="K236" s="23" t="str">
        <f t="shared" si="47"/>
        <v>-</v>
      </c>
      <c r="L236" s="4" t="str">
        <f t="shared" si="48"/>
        <v>-</v>
      </c>
      <c r="M236" s="4" t="str">
        <f t="shared" si="49"/>
        <v>-</v>
      </c>
      <c r="N236" s="4">
        <f t="shared" si="50"/>
        <v>0</v>
      </c>
      <c r="O236" s="23" t="str">
        <f t="shared" si="51"/>
        <v>-</v>
      </c>
      <c r="P236" s="4" t="str">
        <f t="shared" si="52"/>
        <v>-</v>
      </c>
      <c r="Q236" s="4" t="str">
        <f t="shared" si="53"/>
        <v>-</v>
      </c>
      <c r="R236" s="4">
        <f t="shared" si="54"/>
        <v>0</v>
      </c>
      <c r="S236" s="23" t="str">
        <f t="shared" si="55"/>
        <v>-</v>
      </c>
      <c r="T236" s="4" t="str">
        <f t="shared" si="56"/>
        <v>-</v>
      </c>
      <c r="U236" s="4" t="str">
        <f t="shared" si="57"/>
        <v>-</v>
      </c>
      <c r="V236" s="4">
        <f t="shared" si="58"/>
        <v>0</v>
      </c>
      <c r="W236" s="23">
        <f>VLOOKUP(A236,[1]SummaryTable!$A$2:$F$359,4,FALSE)</f>
        <v>9.6039999999999992</v>
      </c>
    </row>
    <row r="237" spans="1:23" x14ac:dyDescent="0.25">
      <c r="A237" s="14" t="s">
        <v>17</v>
      </c>
      <c r="B237" s="14" t="str">
        <f t="shared" si="45"/>
        <v>H18</v>
      </c>
      <c r="C237" s="14">
        <v>14</v>
      </c>
      <c r="D237" s="61">
        <v>23</v>
      </c>
      <c r="E237" s="15">
        <f>VLOOKUP(A237,[1]SummaryTable!$A$2:$F$359,2,FALSE)</f>
        <v>6471649.6129999999</v>
      </c>
      <c r="F237" s="15">
        <f>VLOOKUP(A237,[1]SummaryTable!$A$2:$F$359,3,FALSE)</f>
        <v>324810.299</v>
      </c>
      <c r="G237" s="62">
        <f t="shared" si="46"/>
        <v>11.440800000000001</v>
      </c>
      <c r="H237" s="4">
        <f>VLOOKUP(A237,[1]SummaryTable!$A$2:$F$359,5,FALSE)</f>
        <v>1</v>
      </c>
      <c r="I237" s="4">
        <f>VLOOKUP(A237,[1]SummaryTable!$A$2:$F$359,6,FALSE)</f>
        <v>0</v>
      </c>
      <c r="J237" s="4" t="str">
        <f>IF(I237&gt;0.1,[2]Processes!$A$6,[2]Processes!$A$5)</f>
        <v>Sawmal</v>
      </c>
      <c r="K237" s="23" t="str">
        <f t="shared" si="47"/>
        <v>-</v>
      </c>
      <c r="L237" s="4" t="str">
        <f t="shared" si="48"/>
        <v>-</v>
      </c>
      <c r="M237" s="4" t="str">
        <f t="shared" si="49"/>
        <v>-</v>
      </c>
      <c r="N237" s="4">
        <f t="shared" si="50"/>
        <v>0</v>
      </c>
      <c r="O237" s="23" t="str">
        <f t="shared" si="51"/>
        <v>-</v>
      </c>
      <c r="P237" s="4" t="str">
        <f t="shared" si="52"/>
        <v>-</v>
      </c>
      <c r="Q237" s="4" t="str">
        <f t="shared" si="53"/>
        <v>-</v>
      </c>
      <c r="R237" s="4">
        <f t="shared" si="54"/>
        <v>0</v>
      </c>
      <c r="S237" s="23" t="str">
        <f t="shared" si="55"/>
        <v>-</v>
      </c>
      <c r="T237" s="4" t="str">
        <f t="shared" si="56"/>
        <v>-</v>
      </c>
      <c r="U237" s="4" t="str">
        <f t="shared" si="57"/>
        <v>-</v>
      </c>
      <c r="V237" s="4">
        <f t="shared" si="58"/>
        <v>0</v>
      </c>
      <c r="W237" s="23">
        <f>VLOOKUP(A237,[1]SummaryTable!$A$2:$F$359,4,FALSE)</f>
        <v>9.5340000000000007</v>
      </c>
    </row>
    <row r="238" spans="1:23" x14ac:dyDescent="0.25">
      <c r="A238" s="14" t="s">
        <v>263</v>
      </c>
      <c r="B238" s="14" t="str">
        <f t="shared" si="45"/>
        <v>H264</v>
      </c>
      <c r="C238" s="14">
        <v>14</v>
      </c>
      <c r="D238" s="61">
        <v>23</v>
      </c>
      <c r="E238" s="15">
        <f>VLOOKUP(A238,[1]SummaryTable!$A$2:$F$359,2,FALSE)</f>
        <v>6406265.9553795103</v>
      </c>
      <c r="F238" s="15">
        <f>VLOOKUP(A238,[1]SummaryTable!$A$2:$F$359,3,FALSE)</f>
        <v>343255.22999242297</v>
      </c>
      <c r="G238" s="62">
        <f t="shared" si="46"/>
        <v>10.92</v>
      </c>
      <c r="H238" s="4">
        <f>VLOOKUP(A238,[1]SummaryTable!$A$2:$F$359,5,FALSE)</f>
        <v>1</v>
      </c>
      <c r="I238" s="4">
        <f>VLOOKUP(A238,[1]SummaryTable!$A$2:$F$359,6,FALSE)</f>
        <v>0</v>
      </c>
      <c r="J238" s="4" t="str">
        <f>IF(I238&gt;0.1,[2]Processes!$A$6,[2]Processes!$A$5)</f>
        <v>Sawmal</v>
      </c>
      <c r="K238" s="23" t="str">
        <f t="shared" si="47"/>
        <v>-</v>
      </c>
      <c r="L238" s="4" t="str">
        <f t="shared" si="48"/>
        <v>-</v>
      </c>
      <c r="M238" s="4" t="str">
        <f t="shared" si="49"/>
        <v>-</v>
      </c>
      <c r="N238" s="4">
        <f t="shared" si="50"/>
        <v>0</v>
      </c>
      <c r="O238" s="23" t="str">
        <f t="shared" si="51"/>
        <v>-</v>
      </c>
      <c r="P238" s="4" t="str">
        <f t="shared" si="52"/>
        <v>-</v>
      </c>
      <c r="Q238" s="4" t="str">
        <f t="shared" si="53"/>
        <v>-</v>
      </c>
      <c r="R238" s="4">
        <f t="shared" si="54"/>
        <v>0</v>
      </c>
      <c r="S238" s="23" t="str">
        <f t="shared" si="55"/>
        <v>-</v>
      </c>
      <c r="T238" s="4" t="str">
        <f t="shared" si="56"/>
        <v>-</v>
      </c>
      <c r="U238" s="4" t="str">
        <f t="shared" si="57"/>
        <v>-</v>
      </c>
      <c r="V238" s="4">
        <f t="shared" si="58"/>
        <v>0</v>
      </c>
      <c r="W238" s="23">
        <f>VLOOKUP(A238,[1]SummaryTable!$A$2:$F$359,4,FALSE)</f>
        <v>9.1</v>
      </c>
    </row>
    <row r="239" spans="1:23" x14ac:dyDescent="0.25">
      <c r="A239" s="14" t="s">
        <v>205</v>
      </c>
      <c r="B239" s="14" t="str">
        <f t="shared" si="45"/>
        <v>H206</v>
      </c>
      <c r="C239" s="14">
        <v>14</v>
      </c>
      <c r="D239" s="61">
        <v>23</v>
      </c>
      <c r="E239" s="15">
        <f>VLOOKUP(A239,[1]SummaryTable!$A$2:$F$359,2,FALSE)</f>
        <v>6529753.4372647898</v>
      </c>
      <c r="F239" s="15">
        <f>VLOOKUP(A239,[1]SummaryTable!$A$2:$F$359,3,FALSE)</f>
        <v>323817.96305792301</v>
      </c>
      <c r="G239" s="62">
        <f t="shared" si="46"/>
        <v>10.799999999999999</v>
      </c>
      <c r="H239" s="4">
        <f>VLOOKUP(A239,[1]SummaryTable!$A$2:$F$359,5,FALSE)</f>
        <v>1</v>
      </c>
      <c r="I239" s="4">
        <f>VLOOKUP(A239,[1]SummaryTable!$A$2:$F$359,6,FALSE)</f>
        <v>0</v>
      </c>
      <c r="J239" s="4" t="str">
        <f>IF(I239&gt;0.1,[2]Processes!$A$6,[2]Processes!$A$5)</f>
        <v>Sawmal</v>
      </c>
      <c r="K239" s="23" t="str">
        <f t="shared" si="47"/>
        <v>-</v>
      </c>
      <c r="L239" s="4" t="str">
        <f t="shared" si="48"/>
        <v>-</v>
      </c>
      <c r="M239" s="4" t="str">
        <f t="shared" si="49"/>
        <v>-</v>
      </c>
      <c r="N239" s="4">
        <f t="shared" si="50"/>
        <v>0</v>
      </c>
      <c r="O239" s="23" t="str">
        <f t="shared" si="51"/>
        <v>-</v>
      </c>
      <c r="P239" s="4" t="str">
        <f t="shared" si="52"/>
        <v>-</v>
      </c>
      <c r="Q239" s="4" t="str">
        <f t="shared" si="53"/>
        <v>-</v>
      </c>
      <c r="R239" s="4">
        <f t="shared" si="54"/>
        <v>0</v>
      </c>
      <c r="S239" s="23" t="str">
        <f t="shared" si="55"/>
        <v>-</v>
      </c>
      <c r="T239" s="4" t="str">
        <f t="shared" si="56"/>
        <v>-</v>
      </c>
      <c r="U239" s="4" t="str">
        <f t="shared" si="57"/>
        <v>-</v>
      </c>
      <c r="V239" s="4">
        <f t="shared" si="58"/>
        <v>0</v>
      </c>
      <c r="W239" s="23">
        <f>VLOOKUP(A239,[1]SummaryTable!$A$2:$F$359,4,FALSE)</f>
        <v>9</v>
      </c>
    </row>
    <row r="240" spans="1:23" x14ac:dyDescent="0.25">
      <c r="A240" s="14" t="s">
        <v>222</v>
      </c>
      <c r="B240" s="14" t="str">
        <f t="shared" si="45"/>
        <v>H223</v>
      </c>
      <c r="C240" s="14">
        <v>14</v>
      </c>
      <c r="D240" s="61">
        <v>23</v>
      </c>
      <c r="E240" s="15">
        <f>VLOOKUP(A240,[1]SummaryTable!$A$2:$F$359,2,FALSE)</f>
        <v>6481556.3654090799</v>
      </c>
      <c r="F240" s="15">
        <f>VLOOKUP(A240,[1]SummaryTable!$A$2:$F$359,3,FALSE)</f>
        <v>306486.093435977</v>
      </c>
      <c r="G240" s="62">
        <f t="shared" si="46"/>
        <v>10.7532</v>
      </c>
      <c r="H240" s="4">
        <f>VLOOKUP(A240,[1]SummaryTable!$A$2:$F$359,5,FALSE)</f>
        <v>1</v>
      </c>
      <c r="I240" s="4">
        <f>VLOOKUP(A240,[1]SummaryTable!$A$2:$F$359,6,FALSE)</f>
        <v>0</v>
      </c>
      <c r="J240" s="4" t="str">
        <f>IF(I240&gt;0.1,[2]Processes!$A$6,[2]Processes!$A$5)</f>
        <v>Sawmal</v>
      </c>
      <c r="K240" s="23" t="str">
        <f t="shared" si="47"/>
        <v>-</v>
      </c>
      <c r="L240" s="4" t="str">
        <f t="shared" si="48"/>
        <v>-</v>
      </c>
      <c r="M240" s="4" t="str">
        <f t="shared" si="49"/>
        <v>-</v>
      </c>
      <c r="N240" s="4">
        <f t="shared" si="50"/>
        <v>0</v>
      </c>
      <c r="O240" s="23" t="str">
        <f t="shared" si="51"/>
        <v>-</v>
      </c>
      <c r="P240" s="4" t="str">
        <f t="shared" si="52"/>
        <v>-</v>
      </c>
      <c r="Q240" s="4" t="str">
        <f t="shared" si="53"/>
        <v>-</v>
      </c>
      <c r="R240" s="4">
        <f t="shared" si="54"/>
        <v>0</v>
      </c>
      <c r="S240" s="23" t="str">
        <f t="shared" si="55"/>
        <v>-</v>
      </c>
      <c r="T240" s="4" t="str">
        <f t="shared" si="56"/>
        <v>-</v>
      </c>
      <c r="U240" s="4" t="str">
        <f t="shared" si="57"/>
        <v>-</v>
      </c>
      <c r="V240" s="4">
        <f t="shared" si="58"/>
        <v>0</v>
      </c>
      <c r="W240" s="23">
        <f>VLOOKUP(A240,[1]SummaryTable!$A$2:$F$359,4,FALSE)</f>
        <v>8.9610000000000003</v>
      </c>
    </row>
    <row r="241" spans="1:23" x14ac:dyDescent="0.25">
      <c r="A241" s="14" t="s">
        <v>53</v>
      </c>
      <c r="B241" s="14" t="str">
        <f t="shared" si="45"/>
        <v>H54</v>
      </c>
      <c r="C241" s="14">
        <v>24</v>
      </c>
      <c r="D241" s="61">
        <v>33</v>
      </c>
      <c r="E241" s="15">
        <f>VLOOKUP(A241,[1]SummaryTable!$A$2:$F$359,2,FALSE)</f>
        <v>7224844.9929909203</v>
      </c>
      <c r="F241" s="15">
        <f>VLOOKUP(A241,[1]SummaryTable!$A$2:$F$359,3,FALSE)</f>
        <v>736835.84360822104</v>
      </c>
      <c r="G241" s="62">
        <f t="shared" si="46"/>
        <v>10.543199999999999</v>
      </c>
      <c r="H241" s="4">
        <f>VLOOKUP(A241,[1]SummaryTable!$A$2:$F$359,5,FALSE)</f>
        <v>1</v>
      </c>
      <c r="I241" s="4">
        <f>VLOOKUP(A241,[1]SummaryTable!$A$2:$F$359,6,FALSE)</f>
        <v>0</v>
      </c>
      <c r="J241" s="4" t="str">
        <f>IF(I241&gt;0.1,[2]Processes!$A$6,[2]Processes!$A$5)</f>
        <v>Sawmal</v>
      </c>
      <c r="K241" s="23" t="str">
        <f t="shared" si="47"/>
        <v>-</v>
      </c>
      <c r="L241" s="4" t="str">
        <f t="shared" si="48"/>
        <v>-</v>
      </c>
      <c r="M241" s="4" t="str">
        <f t="shared" si="49"/>
        <v>-</v>
      </c>
      <c r="N241" s="4">
        <f t="shared" si="50"/>
        <v>0</v>
      </c>
      <c r="O241" s="23" t="str">
        <f t="shared" si="51"/>
        <v>-</v>
      </c>
      <c r="P241" s="4" t="str">
        <f t="shared" si="52"/>
        <v>-</v>
      </c>
      <c r="Q241" s="4" t="str">
        <f t="shared" si="53"/>
        <v>-</v>
      </c>
      <c r="R241" s="4">
        <f t="shared" si="54"/>
        <v>0</v>
      </c>
      <c r="S241" s="23" t="str">
        <f t="shared" si="55"/>
        <v>-</v>
      </c>
      <c r="T241" s="4" t="str">
        <f t="shared" si="56"/>
        <v>-</v>
      </c>
      <c r="U241" s="4" t="str">
        <f t="shared" si="57"/>
        <v>-</v>
      </c>
      <c r="V241" s="4">
        <f t="shared" si="58"/>
        <v>0</v>
      </c>
      <c r="W241" s="23">
        <f>VLOOKUP(A241,[1]SummaryTable!$A$2:$F$359,4,FALSE)</f>
        <v>8.7859999999999996</v>
      </c>
    </row>
    <row r="242" spans="1:23" x14ac:dyDescent="0.25">
      <c r="A242" s="14" t="s">
        <v>39</v>
      </c>
      <c r="B242" s="14" t="str">
        <f t="shared" si="45"/>
        <v>H40</v>
      </c>
      <c r="C242" s="14">
        <v>25</v>
      </c>
      <c r="D242" s="61">
        <v>33</v>
      </c>
      <c r="E242" s="15">
        <f>VLOOKUP(A242,[1]SummaryTable!$A$2:$F$359,2,FALSE)</f>
        <v>7523305.48596936</v>
      </c>
      <c r="F242" s="15">
        <f>VLOOKUP(A242,[1]SummaryTable!$A$2:$F$359,3,FALSE)</f>
        <v>781021.04388917296</v>
      </c>
      <c r="G242" s="62">
        <f t="shared" si="46"/>
        <v>10.417199999999999</v>
      </c>
      <c r="H242" s="4">
        <f>VLOOKUP(A242,[1]SummaryTable!$A$2:$F$359,5,FALSE)</f>
        <v>1</v>
      </c>
      <c r="I242" s="4">
        <f>VLOOKUP(A242,[1]SummaryTable!$A$2:$F$359,6,FALSE)</f>
        <v>0</v>
      </c>
      <c r="J242" s="4" t="str">
        <f>IF(I242&gt;0.1,[2]Processes!$A$6,[2]Processes!$A$5)</f>
        <v>Sawmal</v>
      </c>
      <c r="K242" s="23" t="str">
        <f t="shared" si="47"/>
        <v>-</v>
      </c>
      <c r="L242" s="4" t="str">
        <f t="shared" si="48"/>
        <v>-</v>
      </c>
      <c r="M242" s="4" t="str">
        <f t="shared" si="49"/>
        <v>-</v>
      </c>
      <c r="N242" s="4">
        <f t="shared" si="50"/>
        <v>0</v>
      </c>
      <c r="O242" s="23" t="str">
        <f t="shared" si="51"/>
        <v>-</v>
      </c>
      <c r="P242" s="4" t="str">
        <f t="shared" si="52"/>
        <v>-</v>
      </c>
      <c r="Q242" s="4" t="str">
        <f t="shared" si="53"/>
        <v>-</v>
      </c>
      <c r="R242" s="4">
        <f t="shared" si="54"/>
        <v>0</v>
      </c>
      <c r="S242" s="23" t="str">
        <f t="shared" si="55"/>
        <v>-</v>
      </c>
      <c r="T242" s="4" t="str">
        <f t="shared" si="56"/>
        <v>-</v>
      </c>
      <c r="U242" s="4" t="str">
        <f t="shared" si="57"/>
        <v>-</v>
      </c>
      <c r="V242" s="4">
        <f t="shared" si="58"/>
        <v>0</v>
      </c>
      <c r="W242" s="23">
        <f>VLOOKUP(A242,[1]SummaryTable!$A$2:$F$359,4,FALSE)</f>
        <v>8.6809999999999992</v>
      </c>
    </row>
    <row r="243" spans="1:23" x14ac:dyDescent="0.25">
      <c r="A243" s="14" t="s">
        <v>354</v>
      </c>
      <c r="B243" s="14" t="str">
        <f t="shared" si="45"/>
        <v>H355</v>
      </c>
      <c r="C243" s="14">
        <v>12</v>
      </c>
      <c r="D243" s="61">
        <v>22</v>
      </c>
      <c r="E243" s="15">
        <f>VLOOKUP(A243,[1]SummaryTable!$A$2:$F$359,2,FALSE)</f>
        <v>6157377.8785137702</v>
      </c>
      <c r="F243" s="15">
        <f>VLOOKUP(A243,[1]SummaryTable!$A$2:$F$359,3,FALSE)</f>
        <v>385381.29239663301</v>
      </c>
      <c r="G243" s="62">
        <f t="shared" si="46"/>
        <v>10.319999999999999</v>
      </c>
      <c r="H243" s="4">
        <f>VLOOKUP(A243,[1]SummaryTable!$A$2:$F$359,5,FALSE)</f>
        <v>1</v>
      </c>
      <c r="I243" s="4">
        <f>VLOOKUP(A243,[1]SummaryTable!$A$2:$F$359,6,FALSE)</f>
        <v>0</v>
      </c>
      <c r="J243" s="4" t="str">
        <f>IF(I243&gt;0.1,[2]Processes!$A$6,[2]Processes!$A$5)</f>
        <v>Sawmal</v>
      </c>
      <c r="K243" s="23" t="str">
        <f t="shared" si="47"/>
        <v>-</v>
      </c>
      <c r="L243" s="4" t="str">
        <f t="shared" si="48"/>
        <v>-</v>
      </c>
      <c r="M243" s="4" t="str">
        <f t="shared" si="49"/>
        <v>-</v>
      </c>
      <c r="N243" s="4">
        <f t="shared" si="50"/>
        <v>0</v>
      </c>
      <c r="O243" s="23" t="str">
        <f t="shared" si="51"/>
        <v>-</v>
      </c>
      <c r="P243" s="4" t="str">
        <f t="shared" si="52"/>
        <v>-</v>
      </c>
      <c r="Q243" s="4" t="str">
        <f t="shared" si="53"/>
        <v>-</v>
      </c>
      <c r="R243" s="4">
        <f t="shared" si="54"/>
        <v>0</v>
      </c>
      <c r="S243" s="23" t="str">
        <f t="shared" si="55"/>
        <v>-</v>
      </c>
      <c r="T243" s="4" t="str">
        <f t="shared" si="56"/>
        <v>-</v>
      </c>
      <c r="U243" s="4" t="str">
        <f t="shared" si="57"/>
        <v>-</v>
      </c>
      <c r="V243" s="4">
        <f t="shared" si="58"/>
        <v>0</v>
      </c>
      <c r="W243" s="23">
        <f>VLOOKUP(A243,[1]SummaryTable!$A$2:$F$359,4,FALSE)</f>
        <v>8.6</v>
      </c>
    </row>
    <row r="244" spans="1:23" x14ac:dyDescent="0.25">
      <c r="A244" s="14" t="s">
        <v>103</v>
      </c>
      <c r="B244" s="14" t="str">
        <f t="shared" si="45"/>
        <v>H104</v>
      </c>
      <c r="C244" s="14">
        <v>21</v>
      </c>
      <c r="D244" s="61">
        <v>31</v>
      </c>
      <c r="E244" s="15">
        <f>VLOOKUP(A244,[1]SummaryTable!$A$2:$F$359,2,FALSE)</f>
        <v>6850014.7998528099</v>
      </c>
      <c r="F244" s="15">
        <f>VLOOKUP(A244,[1]SummaryTable!$A$2:$F$359,3,FALSE)</f>
        <v>544292.63212072605</v>
      </c>
      <c r="G244" s="62">
        <f t="shared" si="46"/>
        <v>10.08</v>
      </c>
      <c r="H244" s="4">
        <f>VLOOKUP(A244,[1]SummaryTable!$A$2:$F$359,5,FALSE)</f>
        <v>1</v>
      </c>
      <c r="I244" s="4">
        <f>VLOOKUP(A244,[1]SummaryTable!$A$2:$F$359,6,FALSE)</f>
        <v>0</v>
      </c>
      <c r="J244" s="4" t="str">
        <f>IF(I244&gt;0.1,[2]Processes!$A$6,[2]Processes!$A$5)</f>
        <v>Sawmal</v>
      </c>
      <c r="K244" s="23" t="str">
        <f t="shared" si="47"/>
        <v>-</v>
      </c>
      <c r="L244" s="4" t="str">
        <f t="shared" si="48"/>
        <v>-</v>
      </c>
      <c r="M244" s="4" t="str">
        <f t="shared" si="49"/>
        <v>-</v>
      </c>
      <c r="N244" s="4">
        <f t="shared" si="50"/>
        <v>0</v>
      </c>
      <c r="O244" s="23" t="str">
        <f t="shared" si="51"/>
        <v>-</v>
      </c>
      <c r="P244" s="4" t="str">
        <f t="shared" si="52"/>
        <v>-</v>
      </c>
      <c r="Q244" s="4" t="str">
        <f t="shared" si="53"/>
        <v>-</v>
      </c>
      <c r="R244" s="4">
        <f t="shared" si="54"/>
        <v>0</v>
      </c>
      <c r="S244" s="23" t="str">
        <f t="shared" si="55"/>
        <v>-</v>
      </c>
      <c r="T244" s="4" t="str">
        <f t="shared" si="56"/>
        <v>-</v>
      </c>
      <c r="U244" s="4" t="str">
        <f t="shared" si="57"/>
        <v>-</v>
      </c>
      <c r="V244" s="4">
        <f t="shared" si="58"/>
        <v>0</v>
      </c>
      <c r="W244" s="23">
        <f>VLOOKUP(A244,[1]SummaryTable!$A$2:$F$359,4,FALSE)</f>
        <v>8.4</v>
      </c>
    </row>
    <row r="245" spans="1:23" x14ac:dyDescent="0.25">
      <c r="A245" s="14" t="s">
        <v>90</v>
      </c>
      <c r="B245" s="14" t="str">
        <f t="shared" si="45"/>
        <v>H91</v>
      </c>
      <c r="C245" s="14">
        <v>23</v>
      </c>
      <c r="D245" s="61">
        <v>12</v>
      </c>
      <c r="E245" s="15">
        <f>VLOOKUP(A245,[1]SummaryTable!$A$2:$F$359,2,FALSE)</f>
        <v>6933270.52392813</v>
      </c>
      <c r="F245" s="15">
        <f>VLOOKUP(A245,[1]SummaryTable!$A$2:$F$359,3,FALSE)</f>
        <v>374036.78555148601</v>
      </c>
      <c r="G245" s="62">
        <f t="shared" si="46"/>
        <v>10.08</v>
      </c>
      <c r="H245" s="4">
        <f>VLOOKUP(A245,[1]SummaryTable!$A$2:$F$359,5,FALSE)</f>
        <v>1</v>
      </c>
      <c r="I245" s="4">
        <f>VLOOKUP(A245,[1]SummaryTable!$A$2:$F$359,6,FALSE)</f>
        <v>0</v>
      </c>
      <c r="J245" s="4" t="str">
        <f>IF(I245&gt;0.1,[2]Processes!$A$6,[2]Processes!$A$5)</f>
        <v>Sawmal</v>
      </c>
      <c r="K245" s="23" t="str">
        <f t="shared" si="47"/>
        <v>-</v>
      </c>
      <c r="L245" s="4" t="str">
        <f t="shared" si="48"/>
        <v>-</v>
      </c>
      <c r="M245" s="4" t="str">
        <f t="shared" si="49"/>
        <v>-</v>
      </c>
      <c r="N245" s="4">
        <f t="shared" si="50"/>
        <v>0</v>
      </c>
      <c r="O245" s="23" t="str">
        <f t="shared" si="51"/>
        <v>-</v>
      </c>
      <c r="P245" s="4" t="str">
        <f t="shared" si="52"/>
        <v>-</v>
      </c>
      <c r="Q245" s="4" t="str">
        <f t="shared" si="53"/>
        <v>-</v>
      </c>
      <c r="R245" s="4">
        <f t="shared" si="54"/>
        <v>0</v>
      </c>
      <c r="S245" s="23" t="str">
        <f t="shared" si="55"/>
        <v>-</v>
      </c>
      <c r="T245" s="4" t="str">
        <f t="shared" si="56"/>
        <v>-</v>
      </c>
      <c r="U245" s="4" t="str">
        <f t="shared" si="57"/>
        <v>-</v>
      </c>
      <c r="V245" s="4">
        <f t="shared" si="58"/>
        <v>0</v>
      </c>
      <c r="W245" s="23">
        <f>VLOOKUP(A245,[1]SummaryTable!$A$2:$F$359,4,FALSE)</f>
        <v>8.4</v>
      </c>
    </row>
    <row r="246" spans="1:23" x14ac:dyDescent="0.25">
      <c r="A246" s="14" t="s">
        <v>96</v>
      </c>
      <c r="B246" s="14" t="str">
        <f t="shared" si="45"/>
        <v>H97</v>
      </c>
      <c r="C246" s="14">
        <v>22</v>
      </c>
      <c r="D246" s="61">
        <v>12</v>
      </c>
      <c r="E246" s="15">
        <f>VLOOKUP(A246,[1]SummaryTable!$A$2:$F$359,2,FALSE)</f>
        <v>6918943.8991992101</v>
      </c>
      <c r="F246" s="15">
        <f>VLOOKUP(A246,[1]SummaryTable!$A$2:$F$359,3,FALSE)</f>
        <v>619728.125165315</v>
      </c>
      <c r="G246" s="62">
        <f t="shared" si="46"/>
        <v>9.8520000000000003</v>
      </c>
      <c r="H246" s="4">
        <f>VLOOKUP(A246,[1]SummaryTable!$A$2:$F$359,5,FALSE)</f>
        <v>1</v>
      </c>
      <c r="I246" s="4">
        <f>VLOOKUP(A246,[1]SummaryTable!$A$2:$F$359,6,FALSE)</f>
        <v>0</v>
      </c>
      <c r="J246" s="4" t="str">
        <f>IF(I246&gt;0.1,[2]Processes!$A$6,[2]Processes!$A$5)</f>
        <v>Sawmal</v>
      </c>
      <c r="K246" s="23" t="str">
        <f t="shared" si="47"/>
        <v>-</v>
      </c>
      <c r="L246" s="4" t="str">
        <f t="shared" si="48"/>
        <v>-</v>
      </c>
      <c r="M246" s="4" t="str">
        <f t="shared" si="49"/>
        <v>-</v>
      </c>
      <c r="N246" s="4">
        <f t="shared" si="50"/>
        <v>0</v>
      </c>
      <c r="O246" s="23" t="str">
        <f t="shared" si="51"/>
        <v>-</v>
      </c>
      <c r="P246" s="4" t="str">
        <f t="shared" si="52"/>
        <v>-</v>
      </c>
      <c r="Q246" s="4" t="str">
        <f t="shared" si="53"/>
        <v>-</v>
      </c>
      <c r="R246" s="4">
        <f t="shared" si="54"/>
        <v>0</v>
      </c>
      <c r="S246" s="23" t="str">
        <f t="shared" si="55"/>
        <v>-</v>
      </c>
      <c r="T246" s="4" t="str">
        <f t="shared" si="56"/>
        <v>-</v>
      </c>
      <c r="U246" s="4" t="str">
        <f t="shared" si="57"/>
        <v>-</v>
      </c>
      <c r="V246" s="4">
        <f t="shared" si="58"/>
        <v>0</v>
      </c>
      <c r="W246" s="23">
        <f>VLOOKUP(A246,[1]SummaryTable!$A$2:$F$359,4,FALSE)</f>
        <v>8.2100000000000009</v>
      </c>
    </row>
    <row r="247" spans="1:23" x14ac:dyDescent="0.25">
      <c r="A247" s="14" t="s">
        <v>126</v>
      </c>
      <c r="B247" s="14" t="str">
        <f t="shared" si="45"/>
        <v>H127</v>
      </c>
      <c r="C247" s="14">
        <v>20</v>
      </c>
      <c r="D247" s="61">
        <v>31</v>
      </c>
      <c r="E247" s="15">
        <f>VLOOKUP(A247,[1]SummaryTable!$A$2:$F$359,2,FALSE)</f>
        <v>6700678.4464994902</v>
      </c>
      <c r="F247" s="15">
        <f>VLOOKUP(A247,[1]SummaryTable!$A$2:$F$359,3,FALSE)</f>
        <v>557112.41095410695</v>
      </c>
      <c r="G247" s="62">
        <f t="shared" si="46"/>
        <v>9.8399999999999981</v>
      </c>
      <c r="H247" s="4">
        <f>VLOOKUP(A247,[1]SummaryTable!$A$2:$F$359,5,FALSE)</f>
        <v>1</v>
      </c>
      <c r="I247" s="4">
        <f>VLOOKUP(A247,[1]SummaryTable!$A$2:$F$359,6,FALSE)</f>
        <v>0</v>
      </c>
      <c r="J247" s="4" t="str">
        <f>IF(I247&gt;0.1,[2]Processes!$A$6,[2]Processes!$A$5)</f>
        <v>Sawmal</v>
      </c>
      <c r="K247" s="23" t="str">
        <f t="shared" si="47"/>
        <v>-</v>
      </c>
      <c r="L247" s="4" t="str">
        <f t="shared" si="48"/>
        <v>-</v>
      </c>
      <c r="M247" s="4" t="str">
        <f t="shared" si="49"/>
        <v>-</v>
      </c>
      <c r="N247" s="4">
        <f t="shared" si="50"/>
        <v>0</v>
      </c>
      <c r="O247" s="23" t="str">
        <f t="shared" si="51"/>
        <v>-</v>
      </c>
      <c r="P247" s="4" t="str">
        <f t="shared" si="52"/>
        <v>-</v>
      </c>
      <c r="Q247" s="4" t="str">
        <f t="shared" si="53"/>
        <v>-</v>
      </c>
      <c r="R247" s="4">
        <f t="shared" si="54"/>
        <v>0</v>
      </c>
      <c r="S247" s="23" t="str">
        <f t="shared" si="55"/>
        <v>-</v>
      </c>
      <c r="T247" s="4" t="str">
        <f t="shared" si="56"/>
        <v>-</v>
      </c>
      <c r="U247" s="4" t="str">
        <f t="shared" si="57"/>
        <v>-</v>
      </c>
      <c r="V247" s="4">
        <f t="shared" si="58"/>
        <v>0</v>
      </c>
      <c r="W247" s="23">
        <f>VLOOKUP(A247,[1]SummaryTable!$A$2:$F$359,4,FALSE)</f>
        <v>8.1999999999999993</v>
      </c>
    </row>
    <row r="248" spans="1:23" x14ac:dyDescent="0.25">
      <c r="A248" s="14" t="s">
        <v>93</v>
      </c>
      <c r="B248" s="14" t="str">
        <f t="shared" si="45"/>
        <v>H94</v>
      </c>
      <c r="C248" s="14">
        <v>22</v>
      </c>
      <c r="D248" s="61">
        <v>12</v>
      </c>
      <c r="E248" s="15">
        <f>VLOOKUP(A248,[1]SummaryTable!$A$2:$F$359,2,FALSE)</f>
        <v>6928774.4813777702</v>
      </c>
      <c r="F248" s="15">
        <f>VLOOKUP(A248,[1]SummaryTable!$A$2:$F$359,3,FALSE)</f>
        <v>559722.892512372</v>
      </c>
      <c r="G248" s="62">
        <f t="shared" si="46"/>
        <v>9.6120000000000001</v>
      </c>
      <c r="H248" s="4">
        <f>VLOOKUP(A248,[1]SummaryTable!$A$2:$F$359,5,FALSE)</f>
        <v>1</v>
      </c>
      <c r="I248" s="4">
        <f>VLOOKUP(A248,[1]SummaryTable!$A$2:$F$359,6,FALSE)</f>
        <v>0</v>
      </c>
      <c r="J248" s="4" t="str">
        <f>IF(I248&gt;0.1,[2]Processes!$A$6,[2]Processes!$A$5)</f>
        <v>Sawmal</v>
      </c>
      <c r="K248" s="23" t="str">
        <f t="shared" si="47"/>
        <v>-</v>
      </c>
      <c r="L248" s="4" t="str">
        <f t="shared" si="48"/>
        <v>-</v>
      </c>
      <c r="M248" s="4" t="str">
        <f t="shared" si="49"/>
        <v>-</v>
      </c>
      <c r="N248" s="4">
        <f t="shared" si="50"/>
        <v>0</v>
      </c>
      <c r="O248" s="23" t="str">
        <f t="shared" si="51"/>
        <v>-</v>
      </c>
      <c r="P248" s="4" t="str">
        <f t="shared" si="52"/>
        <v>-</v>
      </c>
      <c r="Q248" s="4" t="str">
        <f t="shared" si="53"/>
        <v>-</v>
      </c>
      <c r="R248" s="4">
        <f t="shared" si="54"/>
        <v>0</v>
      </c>
      <c r="S248" s="23" t="str">
        <f t="shared" si="55"/>
        <v>-</v>
      </c>
      <c r="T248" s="4" t="str">
        <f t="shared" si="56"/>
        <v>-</v>
      </c>
      <c r="U248" s="4" t="str">
        <f t="shared" si="57"/>
        <v>-</v>
      </c>
      <c r="V248" s="4">
        <f t="shared" si="58"/>
        <v>0</v>
      </c>
      <c r="W248" s="23">
        <f>VLOOKUP(A248,[1]SummaryTable!$A$2:$F$359,4,FALSE)</f>
        <v>8.01</v>
      </c>
    </row>
    <row r="249" spans="1:23" x14ac:dyDescent="0.25">
      <c r="A249" s="14" t="s">
        <v>73</v>
      </c>
      <c r="B249" s="14" t="str">
        <f t="shared" si="45"/>
        <v>H74</v>
      </c>
      <c r="C249" s="14">
        <v>22</v>
      </c>
      <c r="D249" s="61">
        <v>12</v>
      </c>
      <c r="E249" s="15">
        <f>VLOOKUP(A249,[1]SummaryTable!$A$2:$F$359,2,FALSE)</f>
        <v>7045206.4122289196</v>
      </c>
      <c r="F249" s="15">
        <f>VLOOKUP(A249,[1]SummaryTable!$A$2:$F$359,3,FALSE)</f>
        <v>573009.63925670704</v>
      </c>
      <c r="G249" s="62">
        <f t="shared" si="46"/>
        <v>9.6</v>
      </c>
      <c r="H249" s="4">
        <f>VLOOKUP(A249,[1]SummaryTable!$A$2:$F$359,5,FALSE)</f>
        <v>1</v>
      </c>
      <c r="I249" s="4">
        <f>VLOOKUP(A249,[1]SummaryTable!$A$2:$F$359,6,FALSE)</f>
        <v>0</v>
      </c>
      <c r="J249" s="4" t="str">
        <f>IF(I249&gt;0.1,[2]Processes!$A$6,[2]Processes!$A$5)</f>
        <v>Sawmal</v>
      </c>
      <c r="K249" s="23" t="str">
        <f t="shared" si="47"/>
        <v>-</v>
      </c>
      <c r="L249" s="4" t="str">
        <f t="shared" si="48"/>
        <v>-</v>
      </c>
      <c r="M249" s="4" t="str">
        <f t="shared" si="49"/>
        <v>-</v>
      </c>
      <c r="N249" s="4">
        <f t="shared" si="50"/>
        <v>0</v>
      </c>
      <c r="O249" s="23" t="str">
        <f t="shared" si="51"/>
        <v>-</v>
      </c>
      <c r="P249" s="4" t="str">
        <f t="shared" si="52"/>
        <v>-</v>
      </c>
      <c r="Q249" s="4" t="str">
        <f t="shared" si="53"/>
        <v>-</v>
      </c>
      <c r="R249" s="4">
        <f t="shared" si="54"/>
        <v>0</v>
      </c>
      <c r="S249" s="23" t="str">
        <f t="shared" si="55"/>
        <v>-</v>
      </c>
      <c r="T249" s="4" t="str">
        <f t="shared" si="56"/>
        <v>-</v>
      </c>
      <c r="U249" s="4" t="str">
        <f t="shared" si="57"/>
        <v>-</v>
      </c>
      <c r="V249" s="4">
        <f t="shared" si="58"/>
        <v>0</v>
      </c>
      <c r="W249" s="23">
        <f>VLOOKUP(A249,[1]SummaryTable!$A$2:$F$359,4,FALSE)</f>
        <v>8</v>
      </c>
    </row>
    <row r="250" spans="1:23" x14ac:dyDescent="0.25">
      <c r="A250" s="14" t="s">
        <v>299</v>
      </c>
      <c r="B250" s="14" t="str">
        <f t="shared" si="45"/>
        <v>H300</v>
      </c>
      <c r="C250" s="14">
        <v>14</v>
      </c>
      <c r="D250" s="61">
        <v>23</v>
      </c>
      <c r="E250" s="15">
        <f>VLOOKUP(A250,[1]SummaryTable!$A$2:$F$359,2,FALSE)</f>
        <v>6355874.6555752195</v>
      </c>
      <c r="F250" s="15">
        <f>VLOOKUP(A250,[1]SummaryTable!$A$2:$F$359,3,FALSE)</f>
        <v>347978.84727568203</v>
      </c>
      <c r="G250" s="62">
        <f t="shared" si="46"/>
        <v>9.3840000000000003</v>
      </c>
      <c r="H250" s="4">
        <f>VLOOKUP(A250,[1]SummaryTable!$A$2:$F$359,5,FALSE)</f>
        <v>1</v>
      </c>
      <c r="I250" s="4">
        <f>VLOOKUP(A250,[1]SummaryTable!$A$2:$F$359,6,FALSE)</f>
        <v>0</v>
      </c>
      <c r="J250" s="4" t="str">
        <f>IF(I250&gt;0.1,[2]Processes!$A$6,[2]Processes!$A$5)</f>
        <v>Sawmal</v>
      </c>
      <c r="K250" s="23" t="str">
        <f t="shared" si="47"/>
        <v>-</v>
      </c>
      <c r="L250" s="4" t="str">
        <f t="shared" si="48"/>
        <v>-</v>
      </c>
      <c r="M250" s="4" t="str">
        <f t="shared" si="49"/>
        <v>-</v>
      </c>
      <c r="N250" s="4">
        <f t="shared" si="50"/>
        <v>0</v>
      </c>
      <c r="O250" s="23" t="str">
        <f t="shared" si="51"/>
        <v>-</v>
      </c>
      <c r="P250" s="4" t="str">
        <f t="shared" si="52"/>
        <v>-</v>
      </c>
      <c r="Q250" s="4" t="str">
        <f t="shared" si="53"/>
        <v>-</v>
      </c>
      <c r="R250" s="4">
        <f t="shared" si="54"/>
        <v>0</v>
      </c>
      <c r="S250" s="23" t="str">
        <f t="shared" si="55"/>
        <v>-</v>
      </c>
      <c r="T250" s="4" t="str">
        <f t="shared" si="56"/>
        <v>-</v>
      </c>
      <c r="U250" s="4" t="str">
        <f t="shared" si="57"/>
        <v>-</v>
      </c>
      <c r="V250" s="4">
        <f t="shared" si="58"/>
        <v>0</v>
      </c>
      <c r="W250" s="23">
        <f>VLOOKUP(A250,[1]SummaryTable!$A$2:$F$359,4,FALSE)</f>
        <v>7.82</v>
      </c>
    </row>
    <row r="251" spans="1:23" x14ac:dyDescent="0.25">
      <c r="A251" s="14" t="s">
        <v>152</v>
      </c>
      <c r="B251" s="14" t="str">
        <f t="shared" si="45"/>
        <v>H153</v>
      </c>
      <c r="C251" s="14">
        <v>3</v>
      </c>
      <c r="D251" s="61">
        <v>12</v>
      </c>
      <c r="E251" s="15">
        <f>VLOOKUP(A251,[1]SummaryTable!$A$2:$F$359,2,FALSE)</f>
        <v>6624347.4314256301</v>
      </c>
      <c r="F251" s="15">
        <f>VLOOKUP(A251,[1]SummaryTable!$A$2:$F$359,3,FALSE)</f>
        <v>629853.48381119</v>
      </c>
      <c r="G251" s="62">
        <f t="shared" si="46"/>
        <v>8.9760000000000009</v>
      </c>
      <c r="H251" s="4">
        <f>VLOOKUP(A251,[1]SummaryTable!$A$2:$F$359,5,FALSE)</f>
        <v>1</v>
      </c>
      <c r="I251" s="4">
        <f>VLOOKUP(A251,[1]SummaryTable!$A$2:$F$359,6,FALSE)</f>
        <v>0</v>
      </c>
      <c r="J251" s="4" t="str">
        <f>IF(I251&gt;0.1,[2]Processes!$A$6,[2]Processes!$A$5)</f>
        <v>Sawmal</v>
      </c>
      <c r="K251" s="23" t="str">
        <f t="shared" si="47"/>
        <v>-</v>
      </c>
      <c r="L251" s="4" t="str">
        <f t="shared" si="48"/>
        <v>-</v>
      </c>
      <c r="M251" s="4" t="str">
        <f t="shared" si="49"/>
        <v>-</v>
      </c>
      <c r="N251" s="4">
        <f t="shared" si="50"/>
        <v>0</v>
      </c>
      <c r="O251" s="23" t="str">
        <f t="shared" si="51"/>
        <v>-</v>
      </c>
      <c r="P251" s="4" t="str">
        <f t="shared" si="52"/>
        <v>-</v>
      </c>
      <c r="Q251" s="4" t="str">
        <f t="shared" si="53"/>
        <v>-</v>
      </c>
      <c r="R251" s="4">
        <f t="shared" si="54"/>
        <v>0</v>
      </c>
      <c r="S251" s="23" t="str">
        <f t="shared" si="55"/>
        <v>-</v>
      </c>
      <c r="T251" s="4" t="str">
        <f t="shared" si="56"/>
        <v>-</v>
      </c>
      <c r="U251" s="4" t="str">
        <f t="shared" si="57"/>
        <v>-</v>
      </c>
      <c r="V251" s="4">
        <f t="shared" si="58"/>
        <v>0</v>
      </c>
      <c r="W251" s="23">
        <f>VLOOKUP(A251,[1]SummaryTable!$A$2:$F$359,4,FALSE)</f>
        <v>7.48</v>
      </c>
    </row>
    <row r="252" spans="1:23" x14ac:dyDescent="0.25">
      <c r="A252" s="14" t="s">
        <v>70</v>
      </c>
      <c r="B252" s="14" t="str">
        <f t="shared" si="45"/>
        <v>H71</v>
      </c>
      <c r="C252" s="14">
        <v>24</v>
      </c>
      <c r="D252" s="61">
        <v>33</v>
      </c>
      <c r="E252" s="15">
        <f>VLOOKUP(A252,[1]SummaryTable!$A$2:$F$359,2,FALSE)</f>
        <v>7096171.9199461704</v>
      </c>
      <c r="F252" s="15">
        <f>VLOOKUP(A252,[1]SummaryTable!$A$2:$F$359,3,FALSE)</f>
        <v>706541.11452506797</v>
      </c>
      <c r="G252" s="62">
        <f t="shared" si="46"/>
        <v>8.9675999999999991</v>
      </c>
      <c r="H252" s="4">
        <f>VLOOKUP(A252,[1]SummaryTable!$A$2:$F$359,5,FALSE)</f>
        <v>1</v>
      </c>
      <c r="I252" s="4">
        <f>VLOOKUP(A252,[1]SummaryTable!$A$2:$F$359,6,FALSE)</f>
        <v>0</v>
      </c>
      <c r="J252" s="4" t="str">
        <f>IF(I252&gt;0.1,[2]Processes!$A$6,[2]Processes!$A$5)</f>
        <v>Sawmal</v>
      </c>
      <c r="K252" s="23" t="str">
        <f t="shared" si="47"/>
        <v>-</v>
      </c>
      <c r="L252" s="4" t="str">
        <f t="shared" si="48"/>
        <v>-</v>
      </c>
      <c r="M252" s="4" t="str">
        <f t="shared" si="49"/>
        <v>-</v>
      </c>
      <c r="N252" s="4">
        <f t="shared" si="50"/>
        <v>0</v>
      </c>
      <c r="O252" s="23" t="str">
        <f t="shared" si="51"/>
        <v>-</v>
      </c>
      <c r="P252" s="4" t="str">
        <f t="shared" si="52"/>
        <v>-</v>
      </c>
      <c r="Q252" s="4" t="str">
        <f t="shared" si="53"/>
        <v>-</v>
      </c>
      <c r="R252" s="4">
        <f t="shared" si="54"/>
        <v>0</v>
      </c>
      <c r="S252" s="23" t="str">
        <f t="shared" si="55"/>
        <v>-</v>
      </c>
      <c r="T252" s="4" t="str">
        <f t="shared" si="56"/>
        <v>-</v>
      </c>
      <c r="U252" s="4" t="str">
        <f t="shared" si="57"/>
        <v>-</v>
      </c>
      <c r="V252" s="4">
        <f t="shared" si="58"/>
        <v>0</v>
      </c>
      <c r="W252" s="23">
        <f>VLOOKUP(A252,[1]SummaryTable!$A$2:$F$359,4,FALSE)</f>
        <v>7.4729999999999999</v>
      </c>
    </row>
    <row r="253" spans="1:23" x14ac:dyDescent="0.25">
      <c r="A253" s="14" t="s">
        <v>13</v>
      </c>
      <c r="B253" s="14" t="str">
        <f t="shared" si="45"/>
        <v>H14</v>
      </c>
      <c r="C253" s="14">
        <v>1</v>
      </c>
      <c r="D253" s="61">
        <v>12</v>
      </c>
      <c r="E253" s="15">
        <f>VLOOKUP(A253,[1]SummaryTable!$A$2:$F$359,2,FALSE)</f>
        <v>6574899.3859999999</v>
      </c>
      <c r="F253" s="15">
        <f>VLOOKUP(A253,[1]SummaryTable!$A$2:$F$359,3,FALSE)</f>
        <v>661411.40899999999</v>
      </c>
      <c r="G253" s="62">
        <f t="shared" si="46"/>
        <v>8.9280000000000008</v>
      </c>
      <c r="H253" s="4">
        <f>VLOOKUP(A253,[1]SummaryTable!$A$2:$F$359,5,FALSE)</f>
        <v>1</v>
      </c>
      <c r="I253" s="4">
        <f>VLOOKUP(A253,[1]SummaryTable!$A$2:$F$359,6,FALSE)</f>
        <v>0</v>
      </c>
      <c r="J253" s="4" t="str">
        <f>IF(I253&gt;0.1,[2]Processes!$A$6,[2]Processes!$A$5)</f>
        <v>Sawmal</v>
      </c>
      <c r="K253" s="23" t="str">
        <f t="shared" si="47"/>
        <v>-</v>
      </c>
      <c r="L253" s="4" t="str">
        <f t="shared" si="48"/>
        <v>-</v>
      </c>
      <c r="M253" s="4" t="str">
        <f t="shared" si="49"/>
        <v>-</v>
      </c>
      <c r="N253" s="4">
        <f t="shared" si="50"/>
        <v>0</v>
      </c>
      <c r="O253" s="23" t="str">
        <f t="shared" si="51"/>
        <v>-</v>
      </c>
      <c r="P253" s="4" t="str">
        <f t="shared" si="52"/>
        <v>-</v>
      </c>
      <c r="Q253" s="4" t="str">
        <f t="shared" si="53"/>
        <v>-</v>
      </c>
      <c r="R253" s="4">
        <f t="shared" si="54"/>
        <v>0</v>
      </c>
      <c r="S253" s="23" t="str">
        <f t="shared" si="55"/>
        <v>-</v>
      </c>
      <c r="T253" s="4" t="str">
        <f t="shared" si="56"/>
        <v>-</v>
      </c>
      <c r="U253" s="4" t="str">
        <f t="shared" si="57"/>
        <v>-</v>
      </c>
      <c r="V253" s="4">
        <f t="shared" si="58"/>
        <v>0</v>
      </c>
      <c r="W253" s="23">
        <f>VLOOKUP(A253,[1]SummaryTable!$A$2:$F$359,4,FALSE)</f>
        <v>7.44</v>
      </c>
    </row>
    <row r="254" spans="1:23" x14ac:dyDescent="0.25">
      <c r="A254" s="14" t="s">
        <v>86</v>
      </c>
      <c r="B254" s="14" t="str">
        <f t="shared" si="45"/>
        <v>H87</v>
      </c>
      <c r="C254" s="14">
        <v>22</v>
      </c>
      <c r="D254" s="61">
        <v>12</v>
      </c>
      <c r="E254" s="15">
        <f>VLOOKUP(A254,[1]SummaryTable!$A$2:$F$359,2,FALSE)</f>
        <v>6985874.0836693496</v>
      </c>
      <c r="F254" s="15">
        <f>VLOOKUP(A254,[1]SummaryTable!$A$2:$F$359,3,FALSE)</f>
        <v>635784.33820552495</v>
      </c>
      <c r="G254" s="62">
        <f t="shared" si="46"/>
        <v>8.8941119999999998</v>
      </c>
      <c r="H254" s="4">
        <f>VLOOKUP(A254,[1]SummaryTable!$A$2:$F$359,5,FALSE)</f>
        <v>1</v>
      </c>
      <c r="I254" s="4">
        <f>VLOOKUP(A254,[1]SummaryTable!$A$2:$F$359,6,FALSE)</f>
        <v>0</v>
      </c>
      <c r="J254" s="4" t="str">
        <f>IF(I254&gt;0.1,[2]Processes!$A$6,[2]Processes!$A$5)</f>
        <v>Sawmal</v>
      </c>
      <c r="K254" s="23" t="str">
        <f t="shared" si="47"/>
        <v>-</v>
      </c>
      <c r="L254" s="4" t="str">
        <f t="shared" si="48"/>
        <v>-</v>
      </c>
      <c r="M254" s="4" t="str">
        <f t="shared" si="49"/>
        <v>-</v>
      </c>
      <c r="N254" s="4">
        <f t="shared" si="50"/>
        <v>0</v>
      </c>
      <c r="O254" s="23" t="str">
        <f t="shared" si="51"/>
        <v>-</v>
      </c>
      <c r="P254" s="4" t="str">
        <f t="shared" si="52"/>
        <v>-</v>
      </c>
      <c r="Q254" s="4" t="str">
        <f t="shared" si="53"/>
        <v>-</v>
      </c>
      <c r="R254" s="4">
        <f t="shared" si="54"/>
        <v>0</v>
      </c>
      <c r="S254" s="23" t="str">
        <f t="shared" si="55"/>
        <v>-</v>
      </c>
      <c r="T254" s="4" t="str">
        <f t="shared" si="56"/>
        <v>-</v>
      </c>
      <c r="U254" s="4" t="str">
        <f t="shared" si="57"/>
        <v>-</v>
      </c>
      <c r="V254" s="4">
        <f t="shared" si="58"/>
        <v>0</v>
      </c>
      <c r="W254" s="23">
        <f>VLOOKUP(A254,[1]SummaryTable!$A$2:$F$359,4,FALSE)</f>
        <v>7.4117600000000001</v>
      </c>
    </row>
    <row r="255" spans="1:23" x14ac:dyDescent="0.25">
      <c r="A255" s="14" t="s">
        <v>82</v>
      </c>
      <c r="B255" s="14" t="str">
        <f t="shared" si="45"/>
        <v>H83</v>
      </c>
      <c r="C255" s="14">
        <v>22</v>
      </c>
      <c r="D255" s="61">
        <v>12</v>
      </c>
      <c r="E255" s="15">
        <f>VLOOKUP(A255,[1]SummaryTable!$A$2:$F$359,2,FALSE)</f>
        <v>7012284.6663164096</v>
      </c>
      <c r="F255" s="15">
        <f>VLOOKUP(A255,[1]SummaryTable!$A$2:$F$359,3,FALSE)</f>
        <v>676847.84024318203</v>
      </c>
      <c r="G255" s="62">
        <f t="shared" si="46"/>
        <v>8.8788</v>
      </c>
      <c r="H255" s="4">
        <f>VLOOKUP(A255,[1]SummaryTable!$A$2:$F$359,5,FALSE)</f>
        <v>1</v>
      </c>
      <c r="I255" s="4">
        <f>VLOOKUP(A255,[1]SummaryTable!$A$2:$F$359,6,FALSE)</f>
        <v>0</v>
      </c>
      <c r="J255" s="4" t="str">
        <f>IF(I255&gt;0.1,[2]Processes!$A$6,[2]Processes!$A$5)</f>
        <v>Sawmal</v>
      </c>
      <c r="K255" s="23" t="str">
        <f t="shared" si="47"/>
        <v>-</v>
      </c>
      <c r="L255" s="4" t="str">
        <f t="shared" si="48"/>
        <v>-</v>
      </c>
      <c r="M255" s="4" t="str">
        <f t="shared" si="49"/>
        <v>-</v>
      </c>
      <c r="N255" s="4">
        <f t="shared" si="50"/>
        <v>0</v>
      </c>
      <c r="O255" s="23" t="str">
        <f t="shared" si="51"/>
        <v>-</v>
      </c>
      <c r="P255" s="4" t="str">
        <f t="shared" si="52"/>
        <v>-</v>
      </c>
      <c r="Q255" s="4" t="str">
        <f t="shared" si="53"/>
        <v>-</v>
      </c>
      <c r="R255" s="4">
        <f t="shared" si="54"/>
        <v>0</v>
      </c>
      <c r="S255" s="23" t="str">
        <f t="shared" si="55"/>
        <v>-</v>
      </c>
      <c r="T255" s="4" t="str">
        <f t="shared" si="56"/>
        <v>-</v>
      </c>
      <c r="U255" s="4" t="str">
        <f t="shared" si="57"/>
        <v>-</v>
      </c>
      <c r="V255" s="4">
        <f t="shared" si="58"/>
        <v>0</v>
      </c>
      <c r="W255" s="23">
        <f>VLOOKUP(A255,[1]SummaryTable!$A$2:$F$359,4,FALSE)</f>
        <v>7.399</v>
      </c>
    </row>
    <row r="256" spans="1:23" x14ac:dyDescent="0.25">
      <c r="A256" s="14" t="s">
        <v>50</v>
      </c>
      <c r="B256" s="14" t="str">
        <f t="shared" si="45"/>
        <v>H51</v>
      </c>
      <c r="C256" s="14">
        <v>25</v>
      </c>
      <c r="D256" s="61">
        <v>33</v>
      </c>
      <c r="E256" s="15">
        <f>VLOOKUP(A256,[1]SummaryTable!$A$2:$F$359,2,FALSE)</f>
        <v>7272361.5634624604</v>
      </c>
      <c r="F256" s="15">
        <f>VLOOKUP(A256,[1]SummaryTable!$A$2:$F$359,3,FALSE)</f>
        <v>801206.53424791503</v>
      </c>
      <c r="G256" s="62">
        <f t="shared" si="46"/>
        <v>8.76</v>
      </c>
      <c r="H256" s="4">
        <f>VLOOKUP(A256,[1]SummaryTable!$A$2:$F$359,5,FALSE)</f>
        <v>1</v>
      </c>
      <c r="I256" s="4">
        <f>VLOOKUP(A256,[1]SummaryTable!$A$2:$F$359,6,FALSE)</f>
        <v>0</v>
      </c>
      <c r="J256" s="4" t="str">
        <f>IF(I256&gt;0.1,[2]Processes!$A$6,[2]Processes!$A$5)</f>
        <v>Sawmal</v>
      </c>
      <c r="K256" s="23" t="str">
        <f t="shared" si="47"/>
        <v>-</v>
      </c>
      <c r="L256" s="4" t="str">
        <f t="shared" si="48"/>
        <v>-</v>
      </c>
      <c r="M256" s="4" t="str">
        <f t="shared" si="49"/>
        <v>-</v>
      </c>
      <c r="N256" s="4">
        <f t="shared" si="50"/>
        <v>0</v>
      </c>
      <c r="O256" s="23" t="str">
        <f t="shared" si="51"/>
        <v>-</v>
      </c>
      <c r="P256" s="4" t="str">
        <f t="shared" si="52"/>
        <v>-</v>
      </c>
      <c r="Q256" s="4" t="str">
        <f t="shared" si="53"/>
        <v>-</v>
      </c>
      <c r="R256" s="4">
        <f t="shared" si="54"/>
        <v>0</v>
      </c>
      <c r="S256" s="23" t="str">
        <f t="shared" si="55"/>
        <v>-</v>
      </c>
      <c r="T256" s="4" t="str">
        <f t="shared" si="56"/>
        <v>-</v>
      </c>
      <c r="U256" s="4" t="str">
        <f t="shared" si="57"/>
        <v>-</v>
      </c>
      <c r="V256" s="4">
        <f t="shared" si="58"/>
        <v>0</v>
      </c>
      <c r="W256" s="23">
        <f>VLOOKUP(A256,[1]SummaryTable!$A$2:$F$359,4,FALSE)</f>
        <v>7.3</v>
      </c>
    </row>
    <row r="257" spans="1:23" x14ac:dyDescent="0.25">
      <c r="A257" s="14" t="s">
        <v>154</v>
      </c>
      <c r="B257" s="14" t="str">
        <f t="shared" si="45"/>
        <v>H155</v>
      </c>
      <c r="C257" s="14">
        <v>18</v>
      </c>
      <c r="D257" s="61">
        <v>12</v>
      </c>
      <c r="E257" s="15">
        <f>VLOOKUP(A257,[1]SummaryTable!$A$2:$F$359,2,FALSE)</f>
        <v>6616457.0644130902</v>
      </c>
      <c r="F257" s="15">
        <f>VLOOKUP(A257,[1]SummaryTable!$A$2:$F$359,3,FALSE)</f>
        <v>473835.13196000602</v>
      </c>
      <c r="G257" s="62">
        <f t="shared" si="46"/>
        <v>8.5440000000000005</v>
      </c>
      <c r="H257" s="4">
        <f>VLOOKUP(A257,[1]SummaryTable!$A$2:$F$359,5,FALSE)</f>
        <v>1</v>
      </c>
      <c r="I257" s="4">
        <f>VLOOKUP(A257,[1]SummaryTable!$A$2:$F$359,6,FALSE)</f>
        <v>0</v>
      </c>
      <c r="J257" s="4" t="str">
        <f>IF(I257&gt;0.1,[2]Processes!$A$6,[2]Processes!$A$5)</f>
        <v>Sawmal</v>
      </c>
      <c r="K257" s="23" t="str">
        <f t="shared" si="47"/>
        <v>-</v>
      </c>
      <c r="L257" s="4" t="str">
        <f t="shared" si="48"/>
        <v>-</v>
      </c>
      <c r="M257" s="4" t="str">
        <f t="shared" si="49"/>
        <v>-</v>
      </c>
      <c r="N257" s="4">
        <f t="shared" si="50"/>
        <v>0</v>
      </c>
      <c r="O257" s="23" t="str">
        <f t="shared" si="51"/>
        <v>-</v>
      </c>
      <c r="P257" s="4" t="str">
        <f t="shared" si="52"/>
        <v>-</v>
      </c>
      <c r="Q257" s="4" t="str">
        <f t="shared" si="53"/>
        <v>-</v>
      </c>
      <c r="R257" s="4">
        <f t="shared" si="54"/>
        <v>0</v>
      </c>
      <c r="S257" s="23" t="str">
        <f t="shared" si="55"/>
        <v>-</v>
      </c>
      <c r="T257" s="4" t="str">
        <f t="shared" si="56"/>
        <v>-</v>
      </c>
      <c r="U257" s="4" t="str">
        <f t="shared" si="57"/>
        <v>-</v>
      </c>
      <c r="V257" s="4">
        <f t="shared" si="58"/>
        <v>0</v>
      </c>
      <c r="W257" s="23">
        <f>VLOOKUP(A257,[1]SummaryTable!$A$2:$F$359,4,FALSE)</f>
        <v>7.12</v>
      </c>
    </row>
    <row r="258" spans="1:23" x14ac:dyDescent="0.25">
      <c r="A258" s="14" t="s">
        <v>58</v>
      </c>
      <c r="B258" s="14" t="str">
        <f t="shared" si="45"/>
        <v>H59</v>
      </c>
      <c r="C258" s="14">
        <v>24</v>
      </c>
      <c r="D258" s="61">
        <v>33</v>
      </c>
      <c r="E258" s="15">
        <f>VLOOKUP(A258,[1]SummaryTable!$A$2:$F$359,2,FALSE)</f>
        <v>7204409.79948272</v>
      </c>
      <c r="F258" s="15">
        <f>VLOOKUP(A258,[1]SummaryTable!$A$2:$F$359,3,FALSE)</f>
        <v>783492.127490315</v>
      </c>
      <c r="G258" s="62">
        <f t="shared" si="46"/>
        <v>8.3963999999999999</v>
      </c>
      <c r="H258" s="4">
        <f>VLOOKUP(A258,[1]SummaryTable!$A$2:$F$359,5,FALSE)</f>
        <v>1</v>
      </c>
      <c r="I258" s="4">
        <f>VLOOKUP(A258,[1]SummaryTable!$A$2:$F$359,6,FALSE)</f>
        <v>0</v>
      </c>
      <c r="J258" s="4" t="str">
        <f>IF(I258&gt;0.1,[2]Processes!$A$6,[2]Processes!$A$5)</f>
        <v>Sawmal</v>
      </c>
      <c r="K258" s="23" t="str">
        <f t="shared" si="47"/>
        <v>-</v>
      </c>
      <c r="L258" s="4" t="str">
        <f t="shared" si="48"/>
        <v>-</v>
      </c>
      <c r="M258" s="4" t="str">
        <f t="shared" si="49"/>
        <v>-</v>
      </c>
      <c r="N258" s="4">
        <f t="shared" si="50"/>
        <v>0</v>
      </c>
      <c r="O258" s="23" t="str">
        <f t="shared" si="51"/>
        <v>-</v>
      </c>
      <c r="P258" s="4" t="str">
        <f t="shared" si="52"/>
        <v>-</v>
      </c>
      <c r="Q258" s="4" t="str">
        <f t="shared" si="53"/>
        <v>-</v>
      </c>
      <c r="R258" s="4">
        <f t="shared" si="54"/>
        <v>0</v>
      </c>
      <c r="S258" s="23" t="str">
        <f t="shared" si="55"/>
        <v>-</v>
      </c>
      <c r="T258" s="4" t="str">
        <f t="shared" si="56"/>
        <v>-</v>
      </c>
      <c r="U258" s="4" t="str">
        <f t="shared" si="57"/>
        <v>-</v>
      </c>
      <c r="V258" s="4">
        <f t="shared" si="58"/>
        <v>0</v>
      </c>
      <c r="W258" s="23">
        <f>VLOOKUP(A258,[1]SummaryTable!$A$2:$F$359,4,FALSE)</f>
        <v>6.9969999999999999</v>
      </c>
    </row>
    <row r="259" spans="1:23" x14ac:dyDescent="0.25">
      <c r="A259" s="14" t="s">
        <v>338</v>
      </c>
      <c r="B259" s="14" t="str">
        <f t="shared" ref="B259:B322" si="59">A259</f>
        <v>H339</v>
      </c>
      <c r="C259" s="14">
        <v>10</v>
      </c>
      <c r="D259" s="61">
        <v>22</v>
      </c>
      <c r="E259" s="15">
        <f>VLOOKUP(A259,[1]SummaryTable!$A$2:$F$359,2,FALSE)</f>
        <v>6226065.7145263497</v>
      </c>
      <c r="F259" s="15">
        <f>VLOOKUP(A259,[1]SummaryTable!$A$2:$F$359,3,FALSE)</f>
        <v>553018.40628751903</v>
      </c>
      <c r="G259" s="62">
        <f t="shared" ref="G259:G322" si="60">1.2*W259</f>
        <v>8.3051999999999992</v>
      </c>
      <c r="H259" s="4">
        <f>VLOOKUP(A259,[1]SummaryTable!$A$2:$F$359,5,FALSE)</f>
        <v>1</v>
      </c>
      <c r="I259" s="4">
        <f>VLOOKUP(A259,[1]SummaryTable!$A$2:$F$359,6,FALSE)</f>
        <v>0</v>
      </c>
      <c r="J259" s="4" t="str">
        <f>IF(I259&gt;0.1,[2]Processes!$A$6,[2]Processes!$A$5)</f>
        <v>Sawmal</v>
      </c>
      <c r="K259" s="23" t="str">
        <f t="shared" si="47"/>
        <v>-</v>
      </c>
      <c r="L259" s="4" t="str">
        <f t="shared" si="48"/>
        <v>-</v>
      </c>
      <c r="M259" s="4" t="str">
        <f t="shared" si="49"/>
        <v>-</v>
      </c>
      <c r="N259" s="4">
        <f t="shared" si="50"/>
        <v>0</v>
      </c>
      <c r="O259" s="23" t="str">
        <f t="shared" si="51"/>
        <v>-</v>
      </c>
      <c r="P259" s="4" t="str">
        <f t="shared" si="52"/>
        <v>-</v>
      </c>
      <c r="Q259" s="4" t="str">
        <f t="shared" si="53"/>
        <v>-</v>
      </c>
      <c r="R259" s="4">
        <f t="shared" si="54"/>
        <v>0</v>
      </c>
      <c r="S259" s="23" t="str">
        <f t="shared" si="55"/>
        <v>-</v>
      </c>
      <c r="T259" s="4" t="str">
        <f t="shared" si="56"/>
        <v>-</v>
      </c>
      <c r="U259" s="4" t="str">
        <f t="shared" si="57"/>
        <v>-</v>
      </c>
      <c r="V259" s="4">
        <f t="shared" si="58"/>
        <v>0</v>
      </c>
      <c r="W259" s="23">
        <f>VLOOKUP(A259,[1]SummaryTable!$A$2:$F$359,4,FALSE)</f>
        <v>6.9210000000000003</v>
      </c>
    </row>
    <row r="260" spans="1:23" x14ac:dyDescent="0.25">
      <c r="A260" s="14" t="s">
        <v>310</v>
      </c>
      <c r="B260" s="14" t="str">
        <f t="shared" si="59"/>
        <v>H311</v>
      </c>
      <c r="C260" s="14">
        <v>13</v>
      </c>
      <c r="D260" s="61">
        <v>23</v>
      </c>
      <c r="E260" s="15">
        <f>VLOOKUP(A260,[1]SummaryTable!$A$2:$F$359,2,FALSE)</f>
        <v>6321931.3820939995</v>
      </c>
      <c r="F260" s="15">
        <f>VLOOKUP(A260,[1]SummaryTable!$A$2:$F$359,3,FALSE)</f>
        <v>342409.826033825</v>
      </c>
      <c r="G260" s="62">
        <f t="shared" si="60"/>
        <v>7.9643999999999995</v>
      </c>
      <c r="H260" s="4">
        <f>VLOOKUP(A260,[1]SummaryTable!$A$2:$F$359,5,FALSE)</f>
        <v>1</v>
      </c>
      <c r="I260" s="4">
        <f>VLOOKUP(A260,[1]SummaryTable!$A$2:$F$359,6,FALSE)</f>
        <v>0</v>
      </c>
      <c r="J260" s="4" t="str">
        <f>IF(I260&gt;0.1,[2]Processes!$A$6,[2]Processes!$A$5)</f>
        <v>Sawmal</v>
      </c>
      <c r="K260" s="23" t="str">
        <f t="shared" ref="K260:K323" si="61">IF(G260&gt;$N$1,$A260&amp;"L"&amp;K$1,"-")</f>
        <v>-</v>
      </c>
      <c r="L260" s="4" t="str">
        <f t="shared" ref="L260:L323" si="62">IF(K260="-","-",$A260)</f>
        <v>-</v>
      </c>
      <c r="M260" s="4" t="str">
        <f t="shared" ref="M260:M323" si="63">IF(L260="-","-","Heatpl")</f>
        <v>-</v>
      </c>
      <c r="N260" s="4">
        <f t="shared" ref="N260:N323" si="64">IF(M260="-",0,G260)</f>
        <v>0</v>
      </c>
      <c r="O260" s="23" t="str">
        <f t="shared" ref="O260:O323" si="65">IF(G260*I260&gt;$N$1,$A260&amp;"L"&amp;O$1,"-")</f>
        <v>-</v>
      </c>
      <c r="P260" s="4" t="str">
        <f t="shared" ref="P260:P323" si="66">IF(O260="-","-",A260)</f>
        <v>-</v>
      </c>
      <c r="Q260" s="4" t="str">
        <f t="shared" ref="Q260:Q323" si="67">IF(P260="-","-","CHPpl_")</f>
        <v>-</v>
      </c>
      <c r="R260" s="4">
        <f t="shared" ref="R260:R323" si="68">IF(Q260="-",0,G260*I260)</f>
        <v>0</v>
      </c>
      <c r="S260" s="23" t="str">
        <f t="shared" ref="S260:S323" si="69">IF(G260&gt;$N$1,$A260&amp;"L"&amp;S$1,"-")</f>
        <v>-</v>
      </c>
      <c r="T260" s="4" t="str">
        <f t="shared" ref="T260:T323" si="70">IF(S260="-","-",$A260)</f>
        <v>-</v>
      </c>
      <c r="U260" s="4" t="str">
        <f t="shared" ref="U260:U323" si="71">IF(T260="-","-","TerHea")</f>
        <v>-</v>
      </c>
      <c r="V260" s="4">
        <f t="shared" ref="V260:V323" si="72">IF(U260="-",0,9999)</f>
        <v>0</v>
      </c>
      <c r="W260" s="23">
        <f>VLOOKUP(A260,[1]SummaryTable!$A$2:$F$359,4,FALSE)</f>
        <v>6.6369999999999996</v>
      </c>
    </row>
    <row r="261" spans="1:23" x14ac:dyDescent="0.25">
      <c r="A261" s="14" t="s">
        <v>276</v>
      </c>
      <c r="B261" s="14" t="str">
        <f t="shared" si="59"/>
        <v>H277</v>
      </c>
      <c r="C261" s="14">
        <v>8</v>
      </c>
      <c r="D261" s="61">
        <v>21</v>
      </c>
      <c r="E261" s="15">
        <f>VLOOKUP(A261,[1]SummaryTable!$A$2:$F$359,2,FALSE)</f>
        <v>6394487.5239621401</v>
      </c>
      <c r="F261" s="15">
        <f>VLOOKUP(A261,[1]SummaryTable!$A$2:$F$359,3,FALSE)</f>
        <v>559713.52303320705</v>
      </c>
      <c r="G261" s="62">
        <f t="shared" si="60"/>
        <v>7.6068959999999999</v>
      </c>
      <c r="H261" s="4">
        <f>VLOOKUP(A261,[1]SummaryTable!$A$2:$F$359,5,FALSE)</f>
        <v>1</v>
      </c>
      <c r="I261" s="4">
        <f>VLOOKUP(A261,[1]SummaryTable!$A$2:$F$359,6,FALSE)</f>
        <v>0</v>
      </c>
      <c r="J261" s="4" t="str">
        <f>IF(I261&gt;0.1,[2]Processes!$A$6,[2]Processes!$A$5)</f>
        <v>Sawmal</v>
      </c>
      <c r="K261" s="23" t="str">
        <f t="shared" si="61"/>
        <v>-</v>
      </c>
      <c r="L261" s="4" t="str">
        <f t="shared" si="62"/>
        <v>-</v>
      </c>
      <c r="M261" s="4" t="str">
        <f t="shared" si="63"/>
        <v>-</v>
      </c>
      <c r="N261" s="4">
        <f t="shared" si="64"/>
        <v>0</v>
      </c>
      <c r="O261" s="23" t="str">
        <f t="shared" si="65"/>
        <v>-</v>
      </c>
      <c r="P261" s="4" t="str">
        <f t="shared" si="66"/>
        <v>-</v>
      </c>
      <c r="Q261" s="4" t="str">
        <f t="shared" si="67"/>
        <v>-</v>
      </c>
      <c r="R261" s="4">
        <f t="shared" si="68"/>
        <v>0</v>
      </c>
      <c r="S261" s="23" t="str">
        <f t="shared" si="69"/>
        <v>-</v>
      </c>
      <c r="T261" s="4" t="str">
        <f t="shared" si="70"/>
        <v>-</v>
      </c>
      <c r="U261" s="4" t="str">
        <f t="shared" si="71"/>
        <v>-</v>
      </c>
      <c r="V261" s="4">
        <f t="shared" si="72"/>
        <v>0</v>
      </c>
      <c r="W261" s="23">
        <f>VLOOKUP(A261,[1]SummaryTable!$A$2:$F$359,4,FALSE)</f>
        <v>6.33908</v>
      </c>
    </row>
    <row r="262" spans="1:23" x14ac:dyDescent="0.25">
      <c r="A262" s="14" t="s">
        <v>197</v>
      </c>
      <c r="B262" s="14" t="str">
        <f t="shared" si="59"/>
        <v>H198</v>
      </c>
      <c r="C262" s="14">
        <v>1</v>
      </c>
      <c r="D262" s="61">
        <v>12</v>
      </c>
      <c r="E262" s="15">
        <f>VLOOKUP(A262,[1]SummaryTable!$A$2:$F$359,2,FALSE)</f>
        <v>6553207.9145811498</v>
      </c>
      <c r="F262" s="15">
        <f>VLOOKUP(A262,[1]SummaryTable!$A$2:$F$359,3,FALSE)</f>
        <v>647184.29216249904</v>
      </c>
      <c r="G262" s="62">
        <f t="shared" si="60"/>
        <v>7.6067999999999998</v>
      </c>
      <c r="H262" s="4">
        <f>VLOOKUP(A262,[1]SummaryTable!$A$2:$F$359,5,FALSE)</f>
        <v>1</v>
      </c>
      <c r="I262" s="4">
        <f>VLOOKUP(A262,[1]SummaryTable!$A$2:$F$359,6,FALSE)</f>
        <v>0</v>
      </c>
      <c r="J262" s="4" t="str">
        <f>IF(I262&gt;0.1,[2]Processes!$A$6,[2]Processes!$A$5)</f>
        <v>Sawmal</v>
      </c>
      <c r="K262" s="23" t="str">
        <f t="shared" si="61"/>
        <v>-</v>
      </c>
      <c r="L262" s="4" t="str">
        <f t="shared" si="62"/>
        <v>-</v>
      </c>
      <c r="M262" s="4" t="str">
        <f t="shared" si="63"/>
        <v>-</v>
      </c>
      <c r="N262" s="4">
        <f t="shared" si="64"/>
        <v>0</v>
      </c>
      <c r="O262" s="23" t="str">
        <f t="shared" si="65"/>
        <v>-</v>
      </c>
      <c r="P262" s="4" t="str">
        <f t="shared" si="66"/>
        <v>-</v>
      </c>
      <c r="Q262" s="4" t="str">
        <f t="shared" si="67"/>
        <v>-</v>
      </c>
      <c r="R262" s="4">
        <f t="shared" si="68"/>
        <v>0</v>
      </c>
      <c r="S262" s="23" t="str">
        <f t="shared" si="69"/>
        <v>-</v>
      </c>
      <c r="T262" s="4" t="str">
        <f t="shared" si="70"/>
        <v>-</v>
      </c>
      <c r="U262" s="4" t="str">
        <f t="shared" si="71"/>
        <v>-</v>
      </c>
      <c r="V262" s="4">
        <f t="shared" si="72"/>
        <v>0</v>
      </c>
      <c r="W262" s="23">
        <f>VLOOKUP(A262,[1]SummaryTable!$A$2:$F$359,4,FALSE)</f>
        <v>6.3390000000000004</v>
      </c>
    </row>
    <row r="263" spans="1:23" x14ac:dyDescent="0.25">
      <c r="A263" s="14" t="s">
        <v>104</v>
      </c>
      <c r="B263" s="14" t="str">
        <f t="shared" si="59"/>
        <v>H105</v>
      </c>
      <c r="C263" s="14">
        <v>21</v>
      </c>
      <c r="D263" s="61">
        <v>31</v>
      </c>
      <c r="E263" s="15">
        <f>VLOOKUP(A263,[1]SummaryTable!$A$2:$F$359,2,FALSE)</f>
        <v>6842573.3693034099</v>
      </c>
      <c r="F263" s="15">
        <f>VLOOKUP(A263,[1]SummaryTable!$A$2:$F$359,3,FALSE)</f>
        <v>603527.67973249196</v>
      </c>
      <c r="G263" s="62">
        <f t="shared" si="60"/>
        <v>7.5456000000000003</v>
      </c>
      <c r="H263" s="4">
        <f>VLOOKUP(A263,[1]SummaryTable!$A$2:$F$359,5,FALSE)</f>
        <v>1</v>
      </c>
      <c r="I263" s="4">
        <f>VLOOKUP(A263,[1]SummaryTable!$A$2:$F$359,6,FALSE)</f>
        <v>0</v>
      </c>
      <c r="J263" s="4" t="str">
        <f>IF(I263&gt;0.1,[2]Processes!$A$6,[2]Processes!$A$5)</f>
        <v>Sawmal</v>
      </c>
      <c r="K263" s="23" t="str">
        <f t="shared" si="61"/>
        <v>-</v>
      </c>
      <c r="L263" s="4" t="str">
        <f t="shared" si="62"/>
        <v>-</v>
      </c>
      <c r="M263" s="4" t="str">
        <f t="shared" si="63"/>
        <v>-</v>
      </c>
      <c r="N263" s="4">
        <f t="shared" si="64"/>
        <v>0</v>
      </c>
      <c r="O263" s="23" t="str">
        <f t="shared" si="65"/>
        <v>-</v>
      </c>
      <c r="P263" s="4" t="str">
        <f t="shared" si="66"/>
        <v>-</v>
      </c>
      <c r="Q263" s="4" t="str">
        <f t="shared" si="67"/>
        <v>-</v>
      </c>
      <c r="R263" s="4">
        <f t="shared" si="68"/>
        <v>0</v>
      </c>
      <c r="S263" s="23" t="str">
        <f t="shared" si="69"/>
        <v>-</v>
      </c>
      <c r="T263" s="4" t="str">
        <f t="shared" si="70"/>
        <v>-</v>
      </c>
      <c r="U263" s="4" t="str">
        <f t="shared" si="71"/>
        <v>-</v>
      </c>
      <c r="V263" s="4">
        <f t="shared" si="72"/>
        <v>0</v>
      </c>
      <c r="W263" s="23">
        <f>VLOOKUP(A263,[1]SummaryTable!$A$2:$F$359,4,FALSE)</f>
        <v>6.2880000000000003</v>
      </c>
    </row>
    <row r="264" spans="1:23" x14ac:dyDescent="0.25">
      <c r="A264" s="14" t="s">
        <v>184</v>
      </c>
      <c r="B264" s="14" t="str">
        <f t="shared" si="59"/>
        <v>H185</v>
      </c>
      <c r="C264" s="14">
        <v>18</v>
      </c>
      <c r="D264" s="61">
        <v>12</v>
      </c>
      <c r="E264" s="15">
        <f>VLOOKUP(A264,[1]SummaryTable!$A$2:$F$359,2,FALSE)</f>
        <v>6574775.4137367699</v>
      </c>
      <c r="F264" s="15">
        <f>VLOOKUP(A264,[1]SummaryTable!$A$2:$F$359,3,FALSE)</f>
        <v>473439.92237568297</v>
      </c>
      <c r="G264" s="62">
        <f t="shared" si="60"/>
        <v>7.4975759999999996</v>
      </c>
      <c r="H264" s="4">
        <f>VLOOKUP(A264,[1]SummaryTable!$A$2:$F$359,5,FALSE)</f>
        <v>1</v>
      </c>
      <c r="I264" s="4">
        <f>VLOOKUP(A264,[1]SummaryTable!$A$2:$F$359,6,FALSE)</f>
        <v>0</v>
      </c>
      <c r="J264" s="4" t="str">
        <f>IF(I264&gt;0.1,[2]Processes!$A$6,[2]Processes!$A$5)</f>
        <v>Sawmal</v>
      </c>
      <c r="K264" s="23" t="str">
        <f t="shared" si="61"/>
        <v>-</v>
      </c>
      <c r="L264" s="4" t="str">
        <f t="shared" si="62"/>
        <v>-</v>
      </c>
      <c r="M264" s="4" t="str">
        <f t="shared" si="63"/>
        <v>-</v>
      </c>
      <c r="N264" s="4">
        <f t="shared" si="64"/>
        <v>0</v>
      </c>
      <c r="O264" s="23" t="str">
        <f t="shared" si="65"/>
        <v>-</v>
      </c>
      <c r="P264" s="4" t="str">
        <f t="shared" si="66"/>
        <v>-</v>
      </c>
      <c r="Q264" s="4" t="str">
        <f t="shared" si="67"/>
        <v>-</v>
      </c>
      <c r="R264" s="4">
        <f t="shared" si="68"/>
        <v>0</v>
      </c>
      <c r="S264" s="23" t="str">
        <f t="shared" si="69"/>
        <v>-</v>
      </c>
      <c r="T264" s="4" t="str">
        <f t="shared" si="70"/>
        <v>-</v>
      </c>
      <c r="U264" s="4" t="str">
        <f t="shared" si="71"/>
        <v>-</v>
      </c>
      <c r="V264" s="4">
        <f t="shared" si="72"/>
        <v>0</v>
      </c>
      <c r="W264" s="23">
        <f>VLOOKUP(A264,[1]SummaryTable!$A$2:$F$359,4,FALSE)</f>
        <v>6.2479800000000001</v>
      </c>
    </row>
    <row r="265" spans="1:23" x14ac:dyDescent="0.25">
      <c r="A265" s="14" t="s">
        <v>348</v>
      </c>
      <c r="B265" s="14" t="str">
        <f t="shared" si="59"/>
        <v>H349</v>
      </c>
      <c r="C265" s="14">
        <v>12</v>
      </c>
      <c r="D265" s="61">
        <v>22</v>
      </c>
      <c r="E265" s="15">
        <f>VLOOKUP(A265,[1]SummaryTable!$A$2:$F$359,2,FALSE)</f>
        <v>6208583.7535627298</v>
      </c>
      <c r="F265" s="15">
        <f>VLOOKUP(A265,[1]SummaryTable!$A$2:$F$359,3,FALSE)</f>
        <v>454920.35438103101</v>
      </c>
      <c r="G265" s="62">
        <f t="shared" si="60"/>
        <v>7.3550880000000003</v>
      </c>
      <c r="H265" s="4">
        <f>VLOOKUP(A265,[1]SummaryTable!$A$2:$F$359,5,FALSE)</f>
        <v>1</v>
      </c>
      <c r="I265" s="4">
        <f>VLOOKUP(A265,[1]SummaryTable!$A$2:$F$359,6,FALSE)</f>
        <v>0</v>
      </c>
      <c r="J265" s="4" t="str">
        <f>IF(I265&gt;0.1,[2]Processes!$A$6,[2]Processes!$A$5)</f>
        <v>Sawmal</v>
      </c>
      <c r="K265" s="23" t="str">
        <f t="shared" si="61"/>
        <v>-</v>
      </c>
      <c r="L265" s="4" t="str">
        <f t="shared" si="62"/>
        <v>-</v>
      </c>
      <c r="M265" s="4" t="str">
        <f t="shared" si="63"/>
        <v>-</v>
      </c>
      <c r="N265" s="4">
        <f t="shared" si="64"/>
        <v>0</v>
      </c>
      <c r="O265" s="23" t="str">
        <f t="shared" si="65"/>
        <v>-</v>
      </c>
      <c r="P265" s="4" t="str">
        <f t="shared" si="66"/>
        <v>-</v>
      </c>
      <c r="Q265" s="4" t="str">
        <f t="shared" si="67"/>
        <v>-</v>
      </c>
      <c r="R265" s="4">
        <f t="shared" si="68"/>
        <v>0</v>
      </c>
      <c r="S265" s="23" t="str">
        <f t="shared" si="69"/>
        <v>-</v>
      </c>
      <c r="T265" s="4" t="str">
        <f t="shared" si="70"/>
        <v>-</v>
      </c>
      <c r="U265" s="4" t="str">
        <f t="shared" si="71"/>
        <v>-</v>
      </c>
      <c r="V265" s="4">
        <f t="shared" si="72"/>
        <v>0</v>
      </c>
      <c r="W265" s="23">
        <f>VLOOKUP(A265,[1]SummaryTable!$A$2:$F$359,4,FALSE)</f>
        <v>6.1292400000000002</v>
      </c>
    </row>
    <row r="266" spans="1:23" x14ac:dyDescent="0.25">
      <c r="A266" s="14" t="s">
        <v>294</v>
      </c>
      <c r="B266" s="14" t="str">
        <f t="shared" si="59"/>
        <v>H295</v>
      </c>
      <c r="C266" s="14">
        <v>6</v>
      </c>
      <c r="D266" s="61">
        <v>21</v>
      </c>
      <c r="E266" s="15">
        <f>VLOOKUP(A266,[1]SummaryTable!$A$2:$F$359,2,FALSE)</f>
        <v>6365404.7377965096</v>
      </c>
      <c r="F266" s="15">
        <f>VLOOKUP(A266,[1]SummaryTable!$A$2:$F$359,3,FALSE)</f>
        <v>512906.07073201402</v>
      </c>
      <c r="G266" s="62">
        <f t="shared" si="60"/>
        <v>7.3199999999999994</v>
      </c>
      <c r="H266" s="4">
        <f>VLOOKUP(A266,[1]SummaryTable!$A$2:$F$359,5,FALSE)</f>
        <v>1</v>
      </c>
      <c r="I266" s="4">
        <f>VLOOKUP(A266,[1]SummaryTable!$A$2:$F$359,6,FALSE)</f>
        <v>0</v>
      </c>
      <c r="J266" s="4" t="str">
        <f>IF(I266&gt;0.1,[2]Processes!$A$6,[2]Processes!$A$5)</f>
        <v>Sawmal</v>
      </c>
      <c r="K266" s="23" t="str">
        <f t="shared" si="61"/>
        <v>-</v>
      </c>
      <c r="L266" s="4" t="str">
        <f t="shared" si="62"/>
        <v>-</v>
      </c>
      <c r="M266" s="4" t="str">
        <f t="shared" si="63"/>
        <v>-</v>
      </c>
      <c r="N266" s="4">
        <f t="shared" si="64"/>
        <v>0</v>
      </c>
      <c r="O266" s="23" t="str">
        <f t="shared" si="65"/>
        <v>-</v>
      </c>
      <c r="P266" s="4" t="str">
        <f t="shared" si="66"/>
        <v>-</v>
      </c>
      <c r="Q266" s="4" t="str">
        <f t="shared" si="67"/>
        <v>-</v>
      </c>
      <c r="R266" s="4">
        <f t="shared" si="68"/>
        <v>0</v>
      </c>
      <c r="S266" s="23" t="str">
        <f t="shared" si="69"/>
        <v>-</v>
      </c>
      <c r="T266" s="4" t="str">
        <f t="shared" si="70"/>
        <v>-</v>
      </c>
      <c r="U266" s="4" t="str">
        <f t="shared" si="71"/>
        <v>-</v>
      </c>
      <c r="V266" s="4">
        <f t="shared" si="72"/>
        <v>0</v>
      </c>
      <c r="W266" s="23">
        <f>VLOOKUP(A266,[1]SummaryTable!$A$2:$F$359,4,FALSE)</f>
        <v>6.1</v>
      </c>
    </row>
    <row r="267" spans="1:23" x14ac:dyDescent="0.25">
      <c r="A267" s="14" t="s">
        <v>336</v>
      </c>
      <c r="B267" s="14" t="str">
        <f t="shared" si="59"/>
        <v>H337</v>
      </c>
      <c r="C267" s="14">
        <v>12</v>
      </c>
      <c r="D267" s="61">
        <v>22</v>
      </c>
      <c r="E267" s="15">
        <f>VLOOKUP(A267,[1]SummaryTable!$A$2:$F$359,2,FALSE)</f>
        <v>6226843.2173633501</v>
      </c>
      <c r="F267" s="15">
        <f>VLOOKUP(A267,[1]SummaryTable!$A$2:$F$359,3,FALSE)</f>
        <v>348711.85170009098</v>
      </c>
      <c r="G267" s="62">
        <f t="shared" si="60"/>
        <v>7.2409439999999989</v>
      </c>
      <c r="H267" s="4">
        <f>VLOOKUP(A267,[1]SummaryTable!$A$2:$F$359,5,FALSE)</f>
        <v>1</v>
      </c>
      <c r="I267" s="4">
        <f>VLOOKUP(A267,[1]SummaryTable!$A$2:$F$359,6,FALSE)</f>
        <v>0</v>
      </c>
      <c r="J267" s="4" t="str">
        <f>IF(I267&gt;0.1,[2]Processes!$A$6,[2]Processes!$A$5)</f>
        <v>Sawmal</v>
      </c>
      <c r="K267" s="23" t="str">
        <f t="shared" si="61"/>
        <v>-</v>
      </c>
      <c r="L267" s="4" t="str">
        <f t="shared" si="62"/>
        <v>-</v>
      </c>
      <c r="M267" s="4" t="str">
        <f t="shared" si="63"/>
        <v>-</v>
      </c>
      <c r="N267" s="4">
        <f t="shared" si="64"/>
        <v>0</v>
      </c>
      <c r="O267" s="23" t="str">
        <f t="shared" si="65"/>
        <v>-</v>
      </c>
      <c r="P267" s="4" t="str">
        <f t="shared" si="66"/>
        <v>-</v>
      </c>
      <c r="Q267" s="4" t="str">
        <f t="shared" si="67"/>
        <v>-</v>
      </c>
      <c r="R267" s="4">
        <f t="shared" si="68"/>
        <v>0</v>
      </c>
      <c r="S267" s="23" t="str">
        <f t="shared" si="69"/>
        <v>-</v>
      </c>
      <c r="T267" s="4" t="str">
        <f t="shared" si="70"/>
        <v>-</v>
      </c>
      <c r="U267" s="4" t="str">
        <f t="shared" si="71"/>
        <v>-</v>
      </c>
      <c r="V267" s="4">
        <f t="shared" si="72"/>
        <v>0</v>
      </c>
      <c r="W267" s="23">
        <f>VLOOKUP(A267,[1]SummaryTable!$A$2:$F$359,4,FALSE)</f>
        <v>6.0341199999999997</v>
      </c>
    </row>
    <row r="268" spans="1:23" x14ac:dyDescent="0.25">
      <c r="A268" s="14" t="s">
        <v>293</v>
      </c>
      <c r="B268" s="14" t="str">
        <f t="shared" si="59"/>
        <v>H294</v>
      </c>
      <c r="C268" s="14">
        <v>6</v>
      </c>
      <c r="D268" s="61">
        <v>21</v>
      </c>
      <c r="E268" s="15">
        <f>VLOOKUP(A268,[1]SummaryTable!$A$2:$F$359,2,FALSE)</f>
        <v>6364917.23394386</v>
      </c>
      <c r="F268" s="15">
        <f>VLOOKUP(A268,[1]SummaryTable!$A$2:$F$359,3,FALSE)</f>
        <v>415590.42868466402</v>
      </c>
      <c r="G268" s="62">
        <f t="shared" si="60"/>
        <v>7.092708</v>
      </c>
      <c r="H268" s="4">
        <f>VLOOKUP(A268,[1]SummaryTable!$A$2:$F$359,5,FALSE)</f>
        <v>1</v>
      </c>
      <c r="I268" s="4">
        <f>VLOOKUP(A268,[1]SummaryTable!$A$2:$F$359,6,FALSE)</f>
        <v>0</v>
      </c>
      <c r="J268" s="4" t="str">
        <f>IF(I268&gt;0.1,[2]Processes!$A$6,[2]Processes!$A$5)</f>
        <v>Sawmal</v>
      </c>
      <c r="K268" s="23" t="str">
        <f t="shared" si="61"/>
        <v>-</v>
      </c>
      <c r="L268" s="4" t="str">
        <f t="shared" si="62"/>
        <v>-</v>
      </c>
      <c r="M268" s="4" t="str">
        <f t="shared" si="63"/>
        <v>-</v>
      </c>
      <c r="N268" s="4">
        <f t="shared" si="64"/>
        <v>0</v>
      </c>
      <c r="O268" s="23" t="str">
        <f t="shared" si="65"/>
        <v>-</v>
      </c>
      <c r="P268" s="4" t="str">
        <f t="shared" si="66"/>
        <v>-</v>
      </c>
      <c r="Q268" s="4" t="str">
        <f t="shared" si="67"/>
        <v>-</v>
      </c>
      <c r="R268" s="4">
        <f t="shared" si="68"/>
        <v>0</v>
      </c>
      <c r="S268" s="23" t="str">
        <f t="shared" si="69"/>
        <v>-</v>
      </c>
      <c r="T268" s="4" t="str">
        <f t="shared" si="70"/>
        <v>-</v>
      </c>
      <c r="U268" s="4" t="str">
        <f t="shared" si="71"/>
        <v>-</v>
      </c>
      <c r="V268" s="4">
        <f t="shared" si="72"/>
        <v>0</v>
      </c>
      <c r="W268" s="23">
        <f>VLOOKUP(A268,[1]SummaryTable!$A$2:$F$359,4,FALSE)</f>
        <v>5.91059</v>
      </c>
    </row>
    <row r="269" spans="1:23" x14ac:dyDescent="0.25">
      <c r="A269" s="14" t="s">
        <v>114</v>
      </c>
      <c r="B269" s="14" t="str">
        <f t="shared" si="59"/>
        <v>H115</v>
      </c>
      <c r="C269" s="14">
        <v>20</v>
      </c>
      <c r="D269" s="61">
        <v>31</v>
      </c>
      <c r="E269" s="15">
        <f>VLOOKUP(A269,[1]SummaryTable!$A$2:$F$359,2,FALSE)</f>
        <v>6731671.6995206</v>
      </c>
      <c r="F269" s="15">
        <f>VLOOKUP(A269,[1]SummaryTable!$A$2:$F$359,3,FALSE)</f>
        <v>524562.46844706696</v>
      </c>
      <c r="G269" s="62">
        <f t="shared" si="60"/>
        <v>6.96</v>
      </c>
      <c r="H269" s="4">
        <f>VLOOKUP(A269,[1]SummaryTable!$A$2:$F$359,5,FALSE)</f>
        <v>1</v>
      </c>
      <c r="I269" s="4">
        <f>VLOOKUP(A269,[1]SummaryTable!$A$2:$F$359,6,FALSE)</f>
        <v>0</v>
      </c>
      <c r="J269" s="4" t="str">
        <f>IF(I269&gt;0.1,[2]Processes!$A$6,[2]Processes!$A$5)</f>
        <v>Sawmal</v>
      </c>
      <c r="K269" s="23" t="str">
        <f t="shared" si="61"/>
        <v>-</v>
      </c>
      <c r="L269" s="4" t="str">
        <f t="shared" si="62"/>
        <v>-</v>
      </c>
      <c r="M269" s="4" t="str">
        <f t="shared" si="63"/>
        <v>-</v>
      </c>
      <c r="N269" s="4">
        <f t="shared" si="64"/>
        <v>0</v>
      </c>
      <c r="O269" s="23" t="str">
        <f t="shared" si="65"/>
        <v>-</v>
      </c>
      <c r="P269" s="4" t="str">
        <f t="shared" si="66"/>
        <v>-</v>
      </c>
      <c r="Q269" s="4" t="str">
        <f t="shared" si="67"/>
        <v>-</v>
      </c>
      <c r="R269" s="4">
        <f t="shared" si="68"/>
        <v>0</v>
      </c>
      <c r="S269" s="23" t="str">
        <f t="shared" si="69"/>
        <v>-</v>
      </c>
      <c r="T269" s="4" t="str">
        <f t="shared" si="70"/>
        <v>-</v>
      </c>
      <c r="U269" s="4" t="str">
        <f t="shared" si="71"/>
        <v>-</v>
      </c>
      <c r="V269" s="4">
        <f t="shared" si="72"/>
        <v>0</v>
      </c>
      <c r="W269" s="23">
        <f>VLOOKUP(A269,[1]SummaryTable!$A$2:$F$359,4,FALSE)</f>
        <v>5.8</v>
      </c>
    </row>
    <row r="270" spans="1:23" x14ac:dyDescent="0.25">
      <c r="A270" s="14" t="s">
        <v>6</v>
      </c>
      <c r="B270" s="14" t="str">
        <f t="shared" si="59"/>
        <v>H7</v>
      </c>
      <c r="C270" s="14">
        <v>19</v>
      </c>
      <c r="D270" s="61">
        <v>12</v>
      </c>
      <c r="E270" s="15">
        <f>VLOOKUP(A270,[1]SummaryTable!$A$2:$F$359,2,FALSE)</f>
        <v>6651411</v>
      </c>
      <c r="F270" s="15">
        <f>VLOOKUP(A270,[1]SummaryTable!$A$2:$F$359,3,FALSE)</f>
        <v>549661.196</v>
      </c>
      <c r="G270" s="62">
        <f t="shared" si="60"/>
        <v>6.96</v>
      </c>
      <c r="H270" s="4">
        <f>VLOOKUP(A270,[1]SummaryTable!$A$2:$F$359,5,FALSE)</f>
        <v>1</v>
      </c>
      <c r="I270" s="4">
        <f>VLOOKUP(A270,[1]SummaryTable!$A$2:$F$359,6,FALSE)</f>
        <v>0</v>
      </c>
      <c r="J270" s="4" t="str">
        <f>IF(I270&gt;0.1,[2]Processes!$A$6,[2]Processes!$A$5)</f>
        <v>Sawmal</v>
      </c>
      <c r="K270" s="23" t="str">
        <f t="shared" si="61"/>
        <v>-</v>
      </c>
      <c r="L270" s="4" t="str">
        <f t="shared" si="62"/>
        <v>-</v>
      </c>
      <c r="M270" s="4" t="str">
        <f t="shared" si="63"/>
        <v>-</v>
      </c>
      <c r="N270" s="4">
        <f t="shared" si="64"/>
        <v>0</v>
      </c>
      <c r="O270" s="23" t="str">
        <f t="shared" si="65"/>
        <v>-</v>
      </c>
      <c r="P270" s="4" t="str">
        <f t="shared" si="66"/>
        <v>-</v>
      </c>
      <c r="Q270" s="4" t="str">
        <f t="shared" si="67"/>
        <v>-</v>
      </c>
      <c r="R270" s="4">
        <f t="shared" si="68"/>
        <v>0</v>
      </c>
      <c r="S270" s="23" t="str">
        <f t="shared" si="69"/>
        <v>-</v>
      </c>
      <c r="T270" s="4" t="str">
        <f t="shared" si="70"/>
        <v>-</v>
      </c>
      <c r="U270" s="4" t="str">
        <f t="shared" si="71"/>
        <v>-</v>
      </c>
      <c r="V270" s="4">
        <f t="shared" si="72"/>
        <v>0</v>
      </c>
      <c r="W270" s="23">
        <f>VLOOKUP(A270,[1]SummaryTable!$A$2:$F$359,4,FALSE)</f>
        <v>5.8</v>
      </c>
    </row>
    <row r="271" spans="1:23" x14ac:dyDescent="0.25">
      <c r="A271" s="14" t="s">
        <v>7</v>
      </c>
      <c r="B271" s="14" t="str">
        <f t="shared" si="59"/>
        <v>H8</v>
      </c>
      <c r="C271" s="14">
        <v>3</v>
      </c>
      <c r="D271" s="61">
        <v>12</v>
      </c>
      <c r="E271" s="15">
        <f>VLOOKUP(A271,[1]SummaryTable!$A$2:$F$359,2,FALSE)</f>
        <v>6655205</v>
      </c>
      <c r="F271" s="15">
        <f>VLOOKUP(A271,[1]SummaryTable!$A$2:$F$359,3,FALSE)</f>
        <v>667295</v>
      </c>
      <c r="G271" s="62">
        <f t="shared" si="60"/>
        <v>6.9516</v>
      </c>
      <c r="H271" s="4">
        <f>VLOOKUP(A271,[1]SummaryTable!$A$2:$F$359,5,FALSE)</f>
        <v>1</v>
      </c>
      <c r="I271" s="4">
        <f>VLOOKUP(A271,[1]SummaryTable!$A$2:$F$359,6,FALSE)</f>
        <v>0</v>
      </c>
      <c r="J271" s="4" t="str">
        <f>IF(I271&gt;0.1,[2]Processes!$A$6,[2]Processes!$A$5)</f>
        <v>Sawmal</v>
      </c>
      <c r="K271" s="23" t="str">
        <f t="shared" si="61"/>
        <v>-</v>
      </c>
      <c r="L271" s="4" t="str">
        <f t="shared" si="62"/>
        <v>-</v>
      </c>
      <c r="M271" s="4" t="str">
        <f t="shared" si="63"/>
        <v>-</v>
      </c>
      <c r="N271" s="4">
        <f t="shared" si="64"/>
        <v>0</v>
      </c>
      <c r="O271" s="23" t="str">
        <f t="shared" si="65"/>
        <v>-</v>
      </c>
      <c r="P271" s="4" t="str">
        <f t="shared" si="66"/>
        <v>-</v>
      </c>
      <c r="Q271" s="4" t="str">
        <f t="shared" si="67"/>
        <v>-</v>
      </c>
      <c r="R271" s="4">
        <f t="shared" si="68"/>
        <v>0</v>
      </c>
      <c r="S271" s="23" t="str">
        <f t="shared" si="69"/>
        <v>-</v>
      </c>
      <c r="T271" s="4" t="str">
        <f t="shared" si="70"/>
        <v>-</v>
      </c>
      <c r="U271" s="4" t="str">
        <f t="shared" si="71"/>
        <v>-</v>
      </c>
      <c r="V271" s="4">
        <f t="shared" si="72"/>
        <v>0</v>
      </c>
      <c r="W271" s="23">
        <f>VLOOKUP(A271,[1]SummaryTable!$A$2:$F$359,4,FALSE)</f>
        <v>5.7930000000000001</v>
      </c>
    </row>
    <row r="272" spans="1:23" x14ac:dyDescent="0.25">
      <c r="A272" s="14" t="s">
        <v>33</v>
      </c>
      <c r="B272" s="14" t="str">
        <f t="shared" si="59"/>
        <v>H34</v>
      </c>
      <c r="C272" s="14">
        <v>10</v>
      </c>
      <c r="D272" s="61">
        <v>22</v>
      </c>
      <c r="E272" s="15">
        <f>VLOOKUP(A272,[1]SummaryTable!$A$2:$F$359,2,FALSE)</f>
        <v>6229162.1430000002</v>
      </c>
      <c r="F272" s="15">
        <f>VLOOKUP(A272,[1]SummaryTable!$A$2:$F$359,3,FALSE)</f>
        <v>533575.625</v>
      </c>
      <c r="G272" s="62">
        <f t="shared" si="60"/>
        <v>6.7956000000000003</v>
      </c>
      <c r="H272" s="4">
        <f>VLOOKUP(A272,[1]SummaryTable!$A$2:$F$359,5,FALSE)</f>
        <v>1</v>
      </c>
      <c r="I272" s="4">
        <f>VLOOKUP(A272,[1]SummaryTable!$A$2:$F$359,6,FALSE)</f>
        <v>0</v>
      </c>
      <c r="J272" s="4" t="str">
        <f>IF(I272&gt;0.1,[2]Processes!$A$6,[2]Processes!$A$5)</f>
        <v>Sawmal</v>
      </c>
      <c r="K272" s="23" t="str">
        <f t="shared" si="61"/>
        <v>-</v>
      </c>
      <c r="L272" s="4" t="str">
        <f t="shared" si="62"/>
        <v>-</v>
      </c>
      <c r="M272" s="4" t="str">
        <f t="shared" si="63"/>
        <v>-</v>
      </c>
      <c r="N272" s="4">
        <f t="shared" si="64"/>
        <v>0</v>
      </c>
      <c r="O272" s="23" t="str">
        <f t="shared" si="65"/>
        <v>-</v>
      </c>
      <c r="P272" s="4" t="str">
        <f t="shared" si="66"/>
        <v>-</v>
      </c>
      <c r="Q272" s="4" t="str">
        <f t="shared" si="67"/>
        <v>-</v>
      </c>
      <c r="R272" s="4">
        <f t="shared" si="68"/>
        <v>0</v>
      </c>
      <c r="S272" s="23" t="str">
        <f t="shared" si="69"/>
        <v>-</v>
      </c>
      <c r="T272" s="4" t="str">
        <f t="shared" si="70"/>
        <v>-</v>
      </c>
      <c r="U272" s="4" t="str">
        <f t="shared" si="71"/>
        <v>-</v>
      </c>
      <c r="V272" s="4">
        <f t="shared" si="72"/>
        <v>0</v>
      </c>
      <c r="W272" s="23">
        <f>VLOOKUP(A272,[1]SummaryTable!$A$2:$F$359,4,FALSE)</f>
        <v>5.6630000000000003</v>
      </c>
    </row>
    <row r="273" spans="1:23" x14ac:dyDescent="0.25">
      <c r="A273" s="14" t="s">
        <v>203</v>
      </c>
      <c r="B273" s="14" t="str">
        <f t="shared" si="59"/>
        <v>H204</v>
      </c>
      <c r="C273" s="14">
        <v>14</v>
      </c>
      <c r="D273" s="61">
        <v>23</v>
      </c>
      <c r="E273" s="15">
        <f>VLOOKUP(A273,[1]SummaryTable!$A$2:$F$359,2,FALSE)</f>
        <v>6535513.4272542</v>
      </c>
      <c r="F273" s="15">
        <f>VLOOKUP(A273,[1]SummaryTable!$A$2:$F$359,3,FALSE)</f>
        <v>448467.50395467703</v>
      </c>
      <c r="G273" s="62">
        <f t="shared" si="60"/>
        <v>6.7559999999999993</v>
      </c>
      <c r="H273" s="4">
        <f>VLOOKUP(A273,[1]SummaryTable!$A$2:$F$359,5,FALSE)</f>
        <v>1</v>
      </c>
      <c r="I273" s="4">
        <f>VLOOKUP(A273,[1]SummaryTable!$A$2:$F$359,6,FALSE)</f>
        <v>0</v>
      </c>
      <c r="J273" s="4" t="str">
        <f>IF(I273&gt;0.1,[2]Processes!$A$6,[2]Processes!$A$5)</f>
        <v>Sawmal</v>
      </c>
      <c r="K273" s="23" t="str">
        <f t="shared" si="61"/>
        <v>-</v>
      </c>
      <c r="L273" s="4" t="str">
        <f t="shared" si="62"/>
        <v>-</v>
      </c>
      <c r="M273" s="4" t="str">
        <f t="shared" si="63"/>
        <v>-</v>
      </c>
      <c r="N273" s="4">
        <f t="shared" si="64"/>
        <v>0</v>
      </c>
      <c r="O273" s="23" t="str">
        <f t="shared" si="65"/>
        <v>-</v>
      </c>
      <c r="P273" s="4" t="str">
        <f t="shared" si="66"/>
        <v>-</v>
      </c>
      <c r="Q273" s="4" t="str">
        <f t="shared" si="67"/>
        <v>-</v>
      </c>
      <c r="R273" s="4">
        <f t="shared" si="68"/>
        <v>0</v>
      </c>
      <c r="S273" s="23" t="str">
        <f t="shared" si="69"/>
        <v>-</v>
      </c>
      <c r="T273" s="4" t="str">
        <f t="shared" si="70"/>
        <v>-</v>
      </c>
      <c r="U273" s="4" t="str">
        <f t="shared" si="71"/>
        <v>-</v>
      </c>
      <c r="V273" s="4">
        <f t="shared" si="72"/>
        <v>0</v>
      </c>
      <c r="W273" s="23">
        <f>VLOOKUP(A273,[1]SummaryTable!$A$2:$F$359,4,FALSE)</f>
        <v>5.63</v>
      </c>
    </row>
    <row r="274" spans="1:23" x14ac:dyDescent="0.25">
      <c r="A274" s="14" t="s">
        <v>236</v>
      </c>
      <c r="B274" s="14" t="str">
        <f t="shared" si="59"/>
        <v>H237</v>
      </c>
      <c r="C274" s="14">
        <v>14</v>
      </c>
      <c r="D274" s="61">
        <v>23</v>
      </c>
      <c r="E274" s="15">
        <f>VLOOKUP(A274,[1]SummaryTable!$A$2:$F$359,2,FALSE)</f>
        <v>6460070.8804642102</v>
      </c>
      <c r="F274" s="15">
        <f>VLOOKUP(A274,[1]SummaryTable!$A$2:$F$359,3,FALSE)</f>
        <v>393603.25299407402</v>
      </c>
      <c r="G274" s="62">
        <f t="shared" si="60"/>
        <v>6.6720000000000006</v>
      </c>
      <c r="H274" s="4">
        <f>VLOOKUP(A274,[1]SummaryTable!$A$2:$F$359,5,FALSE)</f>
        <v>1</v>
      </c>
      <c r="I274" s="4">
        <f>VLOOKUP(A274,[1]SummaryTable!$A$2:$F$359,6,FALSE)</f>
        <v>0</v>
      </c>
      <c r="J274" s="4" t="str">
        <f>IF(I274&gt;0.1,[2]Processes!$A$6,[2]Processes!$A$5)</f>
        <v>Sawmal</v>
      </c>
      <c r="K274" s="23" t="str">
        <f t="shared" si="61"/>
        <v>-</v>
      </c>
      <c r="L274" s="4" t="str">
        <f t="shared" si="62"/>
        <v>-</v>
      </c>
      <c r="M274" s="4" t="str">
        <f t="shared" si="63"/>
        <v>-</v>
      </c>
      <c r="N274" s="4">
        <f t="shared" si="64"/>
        <v>0</v>
      </c>
      <c r="O274" s="23" t="str">
        <f t="shared" si="65"/>
        <v>-</v>
      </c>
      <c r="P274" s="4" t="str">
        <f t="shared" si="66"/>
        <v>-</v>
      </c>
      <c r="Q274" s="4" t="str">
        <f t="shared" si="67"/>
        <v>-</v>
      </c>
      <c r="R274" s="4">
        <f t="shared" si="68"/>
        <v>0</v>
      </c>
      <c r="S274" s="23" t="str">
        <f t="shared" si="69"/>
        <v>-</v>
      </c>
      <c r="T274" s="4" t="str">
        <f t="shared" si="70"/>
        <v>-</v>
      </c>
      <c r="U274" s="4" t="str">
        <f t="shared" si="71"/>
        <v>-</v>
      </c>
      <c r="V274" s="4">
        <f t="shared" si="72"/>
        <v>0</v>
      </c>
      <c r="W274" s="23">
        <f>VLOOKUP(A274,[1]SummaryTable!$A$2:$F$359,4,FALSE)</f>
        <v>5.5600000000000005</v>
      </c>
    </row>
    <row r="275" spans="1:23" x14ac:dyDescent="0.25">
      <c r="A275" s="14" t="s">
        <v>304</v>
      </c>
      <c r="B275" s="14" t="str">
        <f t="shared" si="59"/>
        <v>H305</v>
      </c>
      <c r="C275" s="14">
        <v>6</v>
      </c>
      <c r="D275" s="61">
        <v>21</v>
      </c>
      <c r="E275" s="15">
        <f>VLOOKUP(A275,[1]SummaryTable!$A$2:$F$359,2,FALSE)</f>
        <v>6341636.1455781898</v>
      </c>
      <c r="F275" s="15">
        <f>VLOOKUP(A275,[1]SummaryTable!$A$2:$F$359,3,FALSE)</f>
        <v>474390.07399252697</v>
      </c>
      <c r="G275" s="62">
        <f t="shared" si="60"/>
        <v>6.6395279999999994</v>
      </c>
      <c r="H275" s="4">
        <f>VLOOKUP(A275,[1]SummaryTable!$A$2:$F$359,5,FALSE)</f>
        <v>1</v>
      </c>
      <c r="I275" s="4">
        <f>VLOOKUP(A275,[1]SummaryTable!$A$2:$F$359,6,FALSE)</f>
        <v>0</v>
      </c>
      <c r="J275" s="4" t="str">
        <f>IF(I275&gt;0.1,[2]Processes!$A$6,[2]Processes!$A$5)</f>
        <v>Sawmal</v>
      </c>
      <c r="K275" s="23" t="str">
        <f t="shared" si="61"/>
        <v>-</v>
      </c>
      <c r="L275" s="4" t="str">
        <f t="shared" si="62"/>
        <v>-</v>
      </c>
      <c r="M275" s="4" t="str">
        <f t="shared" si="63"/>
        <v>-</v>
      </c>
      <c r="N275" s="4">
        <f t="shared" si="64"/>
        <v>0</v>
      </c>
      <c r="O275" s="23" t="str">
        <f t="shared" si="65"/>
        <v>-</v>
      </c>
      <c r="P275" s="4" t="str">
        <f t="shared" si="66"/>
        <v>-</v>
      </c>
      <c r="Q275" s="4" t="str">
        <f t="shared" si="67"/>
        <v>-</v>
      </c>
      <c r="R275" s="4">
        <f t="shared" si="68"/>
        <v>0</v>
      </c>
      <c r="S275" s="23" t="str">
        <f t="shared" si="69"/>
        <v>-</v>
      </c>
      <c r="T275" s="4" t="str">
        <f t="shared" si="70"/>
        <v>-</v>
      </c>
      <c r="U275" s="4" t="str">
        <f t="shared" si="71"/>
        <v>-</v>
      </c>
      <c r="V275" s="4">
        <f t="shared" si="72"/>
        <v>0</v>
      </c>
      <c r="W275" s="23">
        <f>VLOOKUP(A275,[1]SummaryTable!$A$2:$F$359,4,FALSE)</f>
        <v>5.53294</v>
      </c>
    </row>
    <row r="276" spans="1:23" x14ac:dyDescent="0.25">
      <c r="A276" s="14" t="s">
        <v>125</v>
      </c>
      <c r="B276" s="14" t="str">
        <f t="shared" si="59"/>
        <v>H126</v>
      </c>
      <c r="C276" s="14">
        <v>20</v>
      </c>
      <c r="D276" s="61">
        <v>31</v>
      </c>
      <c r="E276" s="15">
        <f>VLOOKUP(A276,[1]SummaryTable!$A$2:$F$359,2,FALSE)</f>
        <v>6700781.1919630896</v>
      </c>
      <c r="F276" s="15">
        <f>VLOOKUP(A276,[1]SummaryTable!$A$2:$F$359,3,FALSE)</f>
        <v>530308.39236227504</v>
      </c>
      <c r="G276" s="62">
        <f t="shared" si="60"/>
        <v>6.5651999999999999</v>
      </c>
      <c r="H276" s="4">
        <f>VLOOKUP(A276,[1]SummaryTable!$A$2:$F$359,5,FALSE)</f>
        <v>1</v>
      </c>
      <c r="I276" s="4">
        <f>VLOOKUP(A276,[1]SummaryTable!$A$2:$F$359,6,FALSE)</f>
        <v>0</v>
      </c>
      <c r="J276" s="4" t="str">
        <f>IF(I276&gt;0.1,[2]Processes!$A$6,[2]Processes!$A$5)</f>
        <v>Sawmal</v>
      </c>
      <c r="K276" s="23" t="str">
        <f t="shared" si="61"/>
        <v>-</v>
      </c>
      <c r="L276" s="4" t="str">
        <f t="shared" si="62"/>
        <v>-</v>
      </c>
      <c r="M276" s="4" t="str">
        <f t="shared" si="63"/>
        <v>-</v>
      </c>
      <c r="N276" s="4">
        <f t="shared" si="64"/>
        <v>0</v>
      </c>
      <c r="O276" s="23" t="str">
        <f t="shared" si="65"/>
        <v>-</v>
      </c>
      <c r="P276" s="4" t="str">
        <f t="shared" si="66"/>
        <v>-</v>
      </c>
      <c r="Q276" s="4" t="str">
        <f t="shared" si="67"/>
        <v>-</v>
      </c>
      <c r="R276" s="4">
        <f t="shared" si="68"/>
        <v>0</v>
      </c>
      <c r="S276" s="23" t="str">
        <f t="shared" si="69"/>
        <v>-</v>
      </c>
      <c r="T276" s="4" t="str">
        <f t="shared" si="70"/>
        <v>-</v>
      </c>
      <c r="U276" s="4" t="str">
        <f t="shared" si="71"/>
        <v>-</v>
      </c>
      <c r="V276" s="4">
        <f t="shared" si="72"/>
        <v>0</v>
      </c>
      <c r="W276" s="23">
        <f>VLOOKUP(A276,[1]SummaryTable!$A$2:$F$359,4,FALSE)</f>
        <v>5.4710000000000001</v>
      </c>
    </row>
    <row r="277" spans="1:23" x14ac:dyDescent="0.25">
      <c r="A277" s="14" t="s">
        <v>143</v>
      </c>
      <c r="B277" s="14" t="str">
        <f t="shared" si="59"/>
        <v>H144</v>
      </c>
      <c r="C277" s="14">
        <v>20</v>
      </c>
      <c r="D277" s="61">
        <v>31</v>
      </c>
      <c r="E277" s="15">
        <f>VLOOKUP(A277,[1]SummaryTable!$A$2:$F$359,2,FALSE)</f>
        <v>6657000.3535310496</v>
      </c>
      <c r="F277" s="15">
        <f>VLOOKUP(A277,[1]SummaryTable!$A$2:$F$359,3,FALSE)</f>
        <v>531460.09449907998</v>
      </c>
      <c r="G277" s="62">
        <f t="shared" si="60"/>
        <v>6.5294160000000003</v>
      </c>
      <c r="H277" s="4">
        <f>VLOOKUP(A277,[1]SummaryTable!$A$2:$F$359,5,FALSE)</f>
        <v>1</v>
      </c>
      <c r="I277" s="4">
        <f>VLOOKUP(A277,[1]SummaryTable!$A$2:$F$359,6,FALSE)</f>
        <v>0</v>
      </c>
      <c r="J277" s="4" t="str">
        <f>IF(I277&gt;0.1,[2]Processes!$A$6,[2]Processes!$A$5)</f>
        <v>Sawmal</v>
      </c>
      <c r="K277" s="23" t="str">
        <f t="shared" si="61"/>
        <v>-</v>
      </c>
      <c r="L277" s="4" t="str">
        <f t="shared" si="62"/>
        <v>-</v>
      </c>
      <c r="M277" s="4" t="str">
        <f t="shared" si="63"/>
        <v>-</v>
      </c>
      <c r="N277" s="4">
        <f t="shared" si="64"/>
        <v>0</v>
      </c>
      <c r="O277" s="23" t="str">
        <f t="shared" si="65"/>
        <v>-</v>
      </c>
      <c r="P277" s="4" t="str">
        <f t="shared" si="66"/>
        <v>-</v>
      </c>
      <c r="Q277" s="4" t="str">
        <f t="shared" si="67"/>
        <v>-</v>
      </c>
      <c r="R277" s="4">
        <f t="shared" si="68"/>
        <v>0</v>
      </c>
      <c r="S277" s="23" t="str">
        <f t="shared" si="69"/>
        <v>-</v>
      </c>
      <c r="T277" s="4" t="str">
        <f t="shared" si="70"/>
        <v>-</v>
      </c>
      <c r="U277" s="4" t="str">
        <f t="shared" si="71"/>
        <v>-</v>
      </c>
      <c r="V277" s="4">
        <f t="shared" si="72"/>
        <v>0</v>
      </c>
      <c r="W277" s="23">
        <f>VLOOKUP(A277,[1]SummaryTable!$A$2:$F$359,4,FALSE)</f>
        <v>5.4411800000000001</v>
      </c>
    </row>
    <row r="278" spans="1:23" x14ac:dyDescent="0.25">
      <c r="A278" s="14" t="s">
        <v>239</v>
      </c>
      <c r="B278" s="14" t="str">
        <f t="shared" si="59"/>
        <v>H240</v>
      </c>
      <c r="C278" s="14">
        <v>14</v>
      </c>
      <c r="D278" s="61">
        <v>23</v>
      </c>
      <c r="E278" s="15">
        <f>VLOOKUP(A278,[1]SummaryTable!$A$2:$F$359,2,FALSE)</f>
        <v>6452318.0126762902</v>
      </c>
      <c r="F278" s="15">
        <f>VLOOKUP(A278,[1]SummaryTable!$A$2:$F$359,3,FALSE)</f>
        <v>319054.51244884299</v>
      </c>
      <c r="G278" s="62">
        <f t="shared" si="60"/>
        <v>6.5015999999999998</v>
      </c>
      <c r="H278" s="4">
        <f>VLOOKUP(A278,[1]SummaryTable!$A$2:$F$359,5,FALSE)</f>
        <v>1</v>
      </c>
      <c r="I278" s="4">
        <f>VLOOKUP(A278,[1]SummaryTable!$A$2:$F$359,6,FALSE)</f>
        <v>0</v>
      </c>
      <c r="J278" s="4" t="str">
        <f>IF(I278&gt;0.1,[2]Processes!$A$6,[2]Processes!$A$5)</f>
        <v>Sawmal</v>
      </c>
      <c r="K278" s="23" t="str">
        <f t="shared" si="61"/>
        <v>-</v>
      </c>
      <c r="L278" s="4" t="str">
        <f t="shared" si="62"/>
        <v>-</v>
      </c>
      <c r="M278" s="4" t="str">
        <f t="shared" si="63"/>
        <v>-</v>
      </c>
      <c r="N278" s="4">
        <f t="shared" si="64"/>
        <v>0</v>
      </c>
      <c r="O278" s="23" t="str">
        <f t="shared" si="65"/>
        <v>-</v>
      </c>
      <c r="P278" s="4" t="str">
        <f t="shared" si="66"/>
        <v>-</v>
      </c>
      <c r="Q278" s="4" t="str">
        <f t="shared" si="67"/>
        <v>-</v>
      </c>
      <c r="R278" s="4">
        <f t="shared" si="68"/>
        <v>0</v>
      </c>
      <c r="S278" s="23" t="str">
        <f t="shared" si="69"/>
        <v>-</v>
      </c>
      <c r="T278" s="4" t="str">
        <f t="shared" si="70"/>
        <v>-</v>
      </c>
      <c r="U278" s="4" t="str">
        <f t="shared" si="71"/>
        <v>-</v>
      </c>
      <c r="V278" s="4">
        <f t="shared" si="72"/>
        <v>0</v>
      </c>
      <c r="W278" s="23">
        <f>VLOOKUP(A278,[1]SummaryTable!$A$2:$F$359,4,FALSE)</f>
        <v>5.4180000000000001</v>
      </c>
    </row>
    <row r="279" spans="1:23" x14ac:dyDescent="0.25">
      <c r="A279" s="14" t="s">
        <v>188</v>
      </c>
      <c r="B279" s="14" t="str">
        <f t="shared" si="59"/>
        <v>H189</v>
      </c>
      <c r="C279" s="14">
        <v>4</v>
      </c>
      <c r="D279" s="61">
        <v>12</v>
      </c>
      <c r="E279" s="15">
        <f>VLOOKUP(A279,[1]SummaryTable!$A$2:$F$359,2,FALSE)</f>
        <v>6571803.3609952796</v>
      </c>
      <c r="F279" s="15">
        <f>VLOOKUP(A279,[1]SummaryTable!$A$2:$F$359,3,FALSE)</f>
        <v>595625.86001840502</v>
      </c>
      <c r="G279" s="62">
        <f t="shared" si="60"/>
        <v>6.4583999999999993</v>
      </c>
      <c r="H279" s="4">
        <f>VLOOKUP(A279,[1]SummaryTable!$A$2:$F$359,5,FALSE)</f>
        <v>1</v>
      </c>
      <c r="I279" s="4">
        <f>VLOOKUP(A279,[1]SummaryTable!$A$2:$F$359,6,FALSE)</f>
        <v>0</v>
      </c>
      <c r="J279" s="4" t="str">
        <f>IF(I279&gt;0.1,[2]Processes!$A$6,[2]Processes!$A$5)</f>
        <v>Sawmal</v>
      </c>
      <c r="K279" s="23" t="str">
        <f t="shared" si="61"/>
        <v>-</v>
      </c>
      <c r="L279" s="4" t="str">
        <f t="shared" si="62"/>
        <v>-</v>
      </c>
      <c r="M279" s="4" t="str">
        <f t="shared" si="63"/>
        <v>-</v>
      </c>
      <c r="N279" s="4">
        <f t="shared" si="64"/>
        <v>0</v>
      </c>
      <c r="O279" s="23" t="str">
        <f t="shared" si="65"/>
        <v>-</v>
      </c>
      <c r="P279" s="4" t="str">
        <f t="shared" si="66"/>
        <v>-</v>
      </c>
      <c r="Q279" s="4" t="str">
        <f t="shared" si="67"/>
        <v>-</v>
      </c>
      <c r="R279" s="4">
        <f t="shared" si="68"/>
        <v>0</v>
      </c>
      <c r="S279" s="23" t="str">
        <f t="shared" si="69"/>
        <v>-</v>
      </c>
      <c r="T279" s="4" t="str">
        <f t="shared" si="70"/>
        <v>-</v>
      </c>
      <c r="U279" s="4" t="str">
        <f t="shared" si="71"/>
        <v>-</v>
      </c>
      <c r="V279" s="4">
        <f t="shared" si="72"/>
        <v>0</v>
      </c>
      <c r="W279" s="23">
        <f>VLOOKUP(A279,[1]SummaryTable!$A$2:$F$359,4,FALSE)</f>
        <v>5.3819999999999997</v>
      </c>
    </row>
    <row r="280" spans="1:23" x14ac:dyDescent="0.25">
      <c r="A280" s="14" t="s">
        <v>224</v>
      </c>
      <c r="B280" s="14" t="str">
        <f t="shared" si="59"/>
        <v>H225</v>
      </c>
      <c r="C280" s="14">
        <v>14</v>
      </c>
      <c r="D280" s="61">
        <v>23</v>
      </c>
      <c r="E280" s="15">
        <f>VLOOKUP(A280,[1]SummaryTable!$A$2:$F$359,2,FALSE)</f>
        <v>6479885.4126971401</v>
      </c>
      <c r="F280" s="15">
        <f>VLOOKUP(A280,[1]SummaryTable!$A$2:$F$359,3,FALSE)</f>
        <v>434106.99523757101</v>
      </c>
      <c r="G280" s="62">
        <f t="shared" si="60"/>
        <v>6.4079999999999995</v>
      </c>
      <c r="H280" s="4">
        <f>VLOOKUP(A280,[1]SummaryTable!$A$2:$F$359,5,FALSE)</f>
        <v>1</v>
      </c>
      <c r="I280" s="4">
        <f>VLOOKUP(A280,[1]SummaryTable!$A$2:$F$359,6,FALSE)</f>
        <v>0</v>
      </c>
      <c r="J280" s="4" t="str">
        <f>IF(I280&gt;0.1,[2]Processes!$A$6,[2]Processes!$A$5)</f>
        <v>Sawmal</v>
      </c>
      <c r="K280" s="23" t="str">
        <f t="shared" si="61"/>
        <v>-</v>
      </c>
      <c r="L280" s="4" t="str">
        <f t="shared" si="62"/>
        <v>-</v>
      </c>
      <c r="M280" s="4" t="str">
        <f t="shared" si="63"/>
        <v>-</v>
      </c>
      <c r="N280" s="4">
        <f t="shared" si="64"/>
        <v>0</v>
      </c>
      <c r="O280" s="23" t="str">
        <f t="shared" si="65"/>
        <v>-</v>
      </c>
      <c r="P280" s="4" t="str">
        <f t="shared" si="66"/>
        <v>-</v>
      </c>
      <c r="Q280" s="4" t="str">
        <f t="shared" si="67"/>
        <v>-</v>
      </c>
      <c r="R280" s="4">
        <f t="shared" si="68"/>
        <v>0</v>
      </c>
      <c r="S280" s="23" t="str">
        <f t="shared" si="69"/>
        <v>-</v>
      </c>
      <c r="T280" s="4" t="str">
        <f t="shared" si="70"/>
        <v>-</v>
      </c>
      <c r="U280" s="4" t="str">
        <f t="shared" si="71"/>
        <v>-</v>
      </c>
      <c r="V280" s="4">
        <f t="shared" si="72"/>
        <v>0</v>
      </c>
      <c r="W280" s="23">
        <f>VLOOKUP(A280,[1]SummaryTable!$A$2:$F$359,4,FALSE)</f>
        <v>5.34</v>
      </c>
    </row>
    <row r="281" spans="1:23" x14ac:dyDescent="0.25">
      <c r="A281" s="14" t="s">
        <v>37</v>
      </c>
      <c r="B281" s="14" t="str">
        <f t="shared" si="59"/>
        <v>H38</v>
      </c>
      <c r="C281" s="14">
        <v>12</v>
      </c>
      <c r="D281" s="61">
        <v>22</v>
      </c>
      <c r="E281" s="15">
        <f>VLOOKUP(A281,[1]SummaryTable!$A$2:$F$359,2,FALSE)</f>
        <v>6160853.4469999997</v>
      </c>
      <c r="F281" s="15">
        <f>VLOOKUP(A281,[1]SummaryTable!$A$2:$F$359,3,FALSE)</f>
        <v>385075.97899999999</v>
      </c>
      <c r="G281" s="62">
        <f t="shared" si="60"/>
        <v>6.3599999999999994</v>
      </c>
      <c r="H281" s="4">
        <f>VLOOKUP(A281,[1]SummaryTable!$A$2:$F$359,5,FALSE)</f>
        <v>1</v>
      </c>
      <c r="I281" s="4">
        <f>VLOOKUP(A281,[1]SummaryTable!$A$2:$F$359,6,FALSE)</f>
        <v>0</v>
      </c>
      <c r="J281" s="4" t="str">
        <f>IF(I281&gt;0.1,[2]Processes!$A$6,[2]Processes!$A$5)</f>
        <v>Sawmal</v>
      </c>
      <c r="K281" s="23" t="str">
        <f t="shared" si="61"/>
        <v>-</v>
      </c>
      <c r="L281" s="4" t="str">
        <f t="shared" si="62"/>
        <v>-</v>
      </c>
      <c r="M281" s="4" t="str">
        <f t="shared" si="63"/>
        <v>-</v>
      </c>
      <c r="N281" s="4">
        <f t="shared" si="64"/>
        <v>0</v>
      </c>
      <c r="O281" s="23" t="str">
        <f t="shared" si="65"/>
        <v>-</v>
      </c>
      <c r="P281" s="4" t="str">
        <f t="shared" si="66"/>
        <v>-</v>
      </c>
      <c r="Q281" s="4" t="str">
        <f t="shared" si="67"/>
        <v>-</v>
      </c>
      <c r="R281" s="4">
        <f t="shared" si="68"/>
        <v>0</v>
      </c>
      <c r="S281" s="23" t="str">
        <f t="shared" si="69"/>
        <v>-</v>
      </c>
      <c r="T281" s="4" t="str">
        <f t="shared" si="70"/>
        <v>-</v>
      </c>
      <c r="U281" s="4" t="str">
        <f t="shared" si="71"/>
        <v>-</v>
      </c>
      <c r="V281" s="4">
        <f t="shared" si="72"/>
        <v>0</v>
      </c>
      <c r="W281" s="23">
        <f>VLOOKUP(A281,[1]SummaryTable!$A$2:$F$359,4,FALSE)</f>
        <v>5.3</v>
      </c>
    </row>
    <row r="282" spans="1:23" x14ac:dyDescent="0.25">
      <c r="A282" s="14" t="s">
        <v>117</v>
      </c>
      <c r="B282" s="14" t="str">
        <f t="shared" si="59"/>
        <v>H118</v>
      </c>
      <c r="C282" s="14">
        <v>20</v>
      </c>
      <c r="D282" s="61">
        <v>31</v>
      </c>
      <c r="E282" s="15">
        <f>VLOOKUP(A282,[1]SummaryTable!$A$2:$F$359,2,FALSE)</f>
        <v>6726125.9334820202</v>
      </c>
      <c r="F282" s="15">
        <f>VLOOKUP(A282,[1]SummaryTable!$A$2:$F$359,3,FALSE)</f>
        <v>526388.95212933398</v>
      </c>
      <c r="G282" s="62">
        <f t="shared" si="60"/>
        <v>6</v>
      </c>
      <c r="H282" s="4">
        <f>VLOOKUP(A282,[1]SummaryTable!$A$2:$F$359,5,FALSE)</f>
        <v>1</v>
      </c>
      <c r="I282" s="4">
        <f>VLOOKUP(A282,[1]SummaryTable!$A$2:$F$359,6,FALSE)</f>
        <v>0</v>
      </c>
      <c r="J282" s="4" t="str">
        <f>IF(I282&gt;0.1,[2]Processes!$A$6,[2]Processes!$A$5)</f>
        <v>Sawmal</v>
      </c>
      <c r="K282" s="23" t="str">
        <f t="shared" si="61"/>
        <v>-</v>
      </c>
      <c r="L282" s="4" t="str">
        <f t="shared" si="62"/>
        <v>-</v>
      </c>
      <c r="M282" s="4" t="str">
        <f t="shared" si="63"/>
        <v>-</v>
      </c>
      <c r="N282" s="4">
        <f t="shared" si="64"/>
        <v>0</v>
      </c>
      <c r="O282" s="23" t="str">
        <f t="shared" si="65"/>
        <v>-</v>
      </c>
      <c r="P282" s="4" t="str">
        <f t="shared" si="66"/>
        <v>-</v>
      </c>
      <c r="Q282" s="4" t="str">
        <f t="shared" si="67"/>
        <v>-</v>
      </c>
      <c r="R282" s="4">
        <f t="shared" si="68"/>
        <v>0</v>
      </c>
      <c r="S282" s="23" t="str">
        <f t="shared" si="69"/>
        <v>-</v>
      </c>
      <c r="T282" s="4" t="str">
        <f t="shared" si="70"/>
        <v>-</v>
      </c>
      <c r="U282" s="4" t="str">
        <f t="shared" si="71"/>
        <v>-</v>
      </c>
      <c r="V282" s="4">
        <f t="shared" si="72"/>
        <v>0</v>
      </c>
      <c r="W282" s="23">
        <f>VLOOKUP(A282,[1]SummaryTable!$A$2:$F$359,4,FALSE)</f>
        <v>5</v>
      </c>
    </row>
    <row r="283" spans="1:23" x14ac:dyDescent="0.25">
      <c r="A283" s="14" t="s">
        <v>74</v>
      </c>
      <c r="B283" s="14" t="str">
        <f t="shared" si="59"/>
        <v>H75</v>
      </c>
      <c r="C283" s="14">
        <v>22</v>
      </c>
      <c r="D283" s="61">
        <v>12</v>
      </c>
      <c r="E283" s="15">
        <f>VLOOKUP(A283,[1]SummaryTable!$A$2:$F$359,2,FALSE)</f>
        <v>7039238.5708794799</v>
      </c>
      <c r="F283" s="15">
        <f>VLOOKUP(A283,[1]SummaryTable!$A$2:$F$359,3,FALSE)</f>
        <v>654662.70910208998</v>
      </c>
      <c r="G283" s="62">
        <f t="shared" si="60"/>
        <v>5.9849639999999997</v>
      </c>
      <c r="H283" s="4">
        <f>VLOOKUP(A283,[1]SummaryTable!$A$2:$F$359,5,FALSE)</f>
        <v>1</v>
      </c>
      <c r="I283" s="4">
        <f>VLOOKUP(A283,[1]SummaryTable!$A$2:$F$359,6,FALSE)</f>
        <v>0</v>
      </c>
      <c r="J283" s="4" t="str">
        <f>IF(I283&gt;0.1,[2]Processes!$A$6,[2]Processes!$A$5)</f>
        <v>Sawmal</v>
      </c>
      <c r="K283" s="23" t="str">
        <f t="shared" si="61"/>
        <v>-</v>
      </c>
      <c r="L283" s="4" t="str">
        <f t="shared" si="62"/>
        <v>-</v>
      </c>
      <c r="M283" s="4" t="str">
        <f t="shared" si="63"/>
        <v>-</v>
      </c>
      <c r="N283" s="4">
        <f t="shared" si="64"/>
        <v>0</v>
      </c>
      <c r="O283" s="23" t="str">
        <f t="shared" si="65"/>
        <v>-</v>
      </c>
      <c r="P283" s="4" t="str">
        <f t="shared" si="66"/>
        <v>-</v>
      </c>
      <c r="Q283" s="4" t="str">
        <f t="shared" si="67"/>
        <v>-</v>
      </c>
      <c r="R283" s="4">
        <f t="shared" si="68"/>
        <v>0</v>
      </c>
      <c r="S283" s="23" t="str">
        <f t="shared" si="69"/>
        <v>-</v>
      </c>
      <c r="T283" s="4" t="str">
        <f t="shared" si="70"/>
        <v>-</v>
      </c>
      <c r="U283" s="4" t="str">
        <f t="shared" si="71"/>
        <v>-</v>
      </c>
      <c r="V283" s="4">
        <f t="shared" si="72"/>
        <v>0</v>
      </c>
      <c r="W283" s="23">
        <f>VLOOKUP(A283,[1]SummaryTable!$A$2:$F$359,4,FALSE)</f>
        <v>4.9874700000000001</v>
      </c>
    </row>
    <row r="284" spans="1:23" x14ac:dyDescent="0.25">
      <c r="A284" s="14" t="s">
        <v>135</v>
      </c>
      <c r="B284" s="14" t="str">
        <f t="shared" si="59"/>
        <v>H136</v>
      </c>
      <c r="C284" s="14">
        <v>17</v>
      </c>
      <c r="D284" s="61">
        <v>31</v>
      </c>
      <c r="E284" s="15">
        <f>VLOOKUP(A284,[1]SummaryTable!$A$2:$F$359,2,FALSE)</f>
        <v>6664634.4130483801</v>
      </c>
      <c r="F284" s="15">
        <f>VLOOKUP(A284,[1]SummaryTable!$A$2:$F$359,3,FALSE)</f>
        <v>388648.04353927402</v>
      </c>
      <c r="G284" s="62">
        <f t="shared" si="60"/>
        <v>5.7239999999999993</v>
      </c>
      <c r="H284" s="4">
        <f>VLOOKUP(A284,[1]SummaryTable!$A$2:$F$359,5,FALSE)</f>
        <v>1</v>
      </c>
      <c r="I284" s="4">
        <f>VLOOKUP(A284,[1]SummaryTable!$A$2:$F$359,6,FALSE)</f>
        <v>0</v>
      </c>
      <c r="J284" s="4" t="str">
        <f>IF(I284&gt;0.1,[2]Processes!$A$6,[2]Processes!$A$5)</f>
        <v>Sawmal</v>
      </c>
      <c r="K284" s="23" t="str">
        <f t="shared" si="61"/>
        <v>-</v>
      </c>
      <c r="L284" s="4" t="str">
        <f t="shared" si="62"/>
        <v>-</v>
      </c>
      <c r="M284" s="4" t="str">
        <f t="shared" si="63"/>
        <v>-</v>
      </c>
      <c r="N284" s="4">
        <f t="shared" si="64"/>
        <v>0</v>
      </c>
      <c r="O284" s="23" t="str">
        <f t="shared" si="65"/>
        <v>-</v>
      </c>
      <c r="P284" s="4" t="str">
        <f t="shared" si="66"/>
        <v>-</v>
      </c>
      <c r="Q284" s="4" t="str">
        <f t="shared" si="67"/>
        <v>-</v>
      </c>
      <c r="R284" s="4">
        <f t="shared" si="68"/>
        <v>0</v>
      </c>
      <c r="S284" s="23" t="str">
        <f t="shared" si="69"/>
        <v>-</v>
      </c>
      <c r="T284" s="4" t="str">
        <f t="shared" si="70"/>
        <v>-</v>
      </c>
      <c r="U284" s="4" t="str">
        <f t="shared" si="71"/>
        <v>-</v>
      </c>
      <c r="V284" s="4">
        <f t="shared" si="72"/>
        <v>0</v>
      </c>
      <c r="W284" s="23">
        <f>VLOOKUP(A284,[1]SummaryTable!$A$2:$F$359,4,FALSE)</f>
        <v>4.7699999999999996</v>
      </c>
    </row>
    <row r="285" spans="1:23" x14ac:dyDescent="0.25">
      <c r="A285" s="14" t="s">
        <v>99</v>
      </c>
      <c r="B285" s="14" t="str">
        <f t="shared" si="59"/>
        <v>H100</v>
      </c>
      <c r="C285" s="14">
        <v>21</v>
      </c>
      <c r="D285" s="61">
        <v>31</v>
      </c>
      <c r="E285" s="15">
        <f>VLOOKUP(A285,[1]SummaryTable!$A$2:$F$359,2,FALSE)</f>
        <v>6861985.8293596301</v>
      </c>
      <c r="F285" s="15">
        <f>VLOOKUP(A285,[1]SummaryTable!$A$2:$F$359,3,FALSE)</f>
        <v>580991.58224893606</v>
      </c>
      <c r="G285" s="62">
        <f t="shared" si="60"/>
        <v>5.3999999999999995</v>
      </c>
      <c r="H285" s="4">
        <f>VLOOKUP(A285,[1]SummaryTable!$A$2:$F$359,5,FALSE)</f>
        <v>1</v>
      </c>
      <c r="I285" s="4">
        <f>VLOOKUP(A285,[1]SummaryTable!$A$2:$F$359,6,FALSE)</f>
        <v>0</v>
      </c>
      <c r="J285" s="4" t="str">
        <f>IF(I285&gt;0.1,[2]Processes!$A$6,[2]Processes!$A$5)</f>
        <v>Sawmal</v>
      </c>
      <c r="K285" s="23" t="str">
        <f t="shared" si="61"/>
        <v>-</v>
      </c>
      <c r="L285" s="4" t="str">
        <f t="shared" si="62"/>
        <v>-</v>
      </c>
      <c r="M285" s="4" t="str">
        <f t="shared" si="63"/>
        <v>-</v>
      </c>
      <c r="N285" s="4">
        <f t="shared" si="64"/>
        <v>0</v>
      </c>
      <c r="O285" s="23" t="str">
        <f t="shared" si="65"/>
        <v>-</v>
      </c>
      <c r="P285" s="4" t="str">
        <f t="shared" si="66"/>
        <v>-</v>
      </c>
      <c r="Q285" s="4" t="str">
        <f t="shared" si="67"/>
        <v>-</v>
      </c>
      <c r="R285" s="4">
        <f t="shared" si="68"/>
        <v>0</v>
      </c>
      <c r="S285" s="23" t="str">
        <f t="shared" si="69"/>
        <v>-</v>
      </c>
      <c r="T285" s="4" t="str">
        <f t="shared" si="70"/>
        <v>-</v>
      </c>
      <c r="U285" s="4" t="str">
        <f t="shared" si="71"/>
        <v>-</v>
      </c>
      <c r="V285" s="4">
        <f t="shared" si="72"/>
        <v>0</v>
      </c>
      <c r="W285" s="23">
        <f>VLOOKUP(A285,[1]SummaryTable!$A$2:$F$359,4,FALSE)</f>
        <v>4.5</v>
      </c>
    </row>
    <row r="286" spans="1:23" x14ac:dyDescent="0.25">
      <c r="A286" s="14" t="s">
        <v>285</v>
      </c>
      <c r="B286" s="14" t="str">
        <f t="shared" si="59"/>
        <v>H286</v>
      </c>
      <c r="C286" s="14">
        <v>6</v>
      </c>
      <c r="D286" s="61">
        <v>21</v>
      </c>
      <c r="E286" s="15">
        <f>VLOOKUP(A286,[1]SummaryTable!$A$2:$F$359,2,FALSE)</f>
        <v>6386711.5079482803</v>
      </c>
      <c r="F286" s="15">
        <f>VLOOKUP(A286,[1]SummaryTable!$A$2:$F$359,3,FALSE)</f>
        <v>524697.98911931901</v>
      </c>
      <c r="G286" s="62">
        <f t="shared" si="60"/>
        <v>5.3639999999999999</v>
      </c>
      <c r="H286" s="4">
        <f>VLOOKUP(A286,[1]SummaryTable!$A$2:$F$359,5,FALSE)</f>
        <v>1</v>
      </c>
      <c r="I286" s="4">
        <f>VLOOKUP(A286,[1]SummaryTable!$A$2:$F$359,6,FALSE)</f>
        <v>0</v>
      </c>
      <c r="J286" s="4" t="str">
        <f>IF(I286&gt;0.1,[2]Processes!$A$6,[2]Processes!$A$5)</f>
        <v>Sawmal</v>
      </c>
      <c r="K286" s="23" t="str">
        <f t="shared" si="61"/>
        <v>-</v>
      </c>
      <c r="L286" s="4" t="str">
        <f t="shared" si="62"/>
        <v>-</v>
      </c>
      <c r="M286" s="4" t="str">
        <f t="shared" si="63"/>
        <v>-</v>
      </c>
      <c r="N286" s="4">
        <f t="shared" si="64"/>
        <v>0</v>
      </c>
      <c r="O286" s="23" t="str">
        <f t="shared" si="65"/>
        <v>-</v>
      </c>
      <c r="P286" s="4" t="str">
        <f t="shared" si="66"/>
        <v>-</v>
      </c>
      <c r="Q286" s="4" t="str">
        <f t="shared" si="67"/>
        <v>-</v>
      </c>
      <c r="R286" s="4">
        <f t="shared" si="68"/>
        <v>0</v>
      </c>
      <c r="S286" s="23" t="str">
        <f t="shared" si="69"/>
        <v>-</v>
      </c>
      <c r="T286" s="4" t="str">
        <f t="shared" si="70"/>
        <v>-</v>
      </c>
      <c r="U286" s="4" t="str">
        <f t="shared" si="71"/>
        <v>-</v>
      </c>
      <c r="V286" s="4">
        <f t="shared" si="72"/>
        <v>0</v>
      </c>
      <c r="W286" s="23">
        <f>VLOOKUP(A286,[1]SummaryTable!$A$2:$F$359,4,FALSE)</f>
        <v>4.47</v>
      </c>
    </row>
    <row r="287" spans="1:23" x14ac:dyDescent="0.25">
      <c r="A287" s="14" t="s">
        <v>301</v>
      </c>
      <c r="B287" s="14" t="str">
        <f t="shared" si="59"/>
        <v>H302</v>
      </c>
      <c r="C287" s="14">
        <v>13</v>
      </c>
      <c r="D287" s="61">
        <v>23</v>
      </c>
      <c r="E287" s="15">
        <f>VLOOKUP(A287,[1]SummaryTable!$A$2:$F$359,2,FALSE)</f>
        <v>6346717.42805536</v>
      </c>
      <c r="F287" s="15">
        <f>VLOOKUP(A287,[1]SummaryTable!$A$2:$F$359,3,FALSE)</f>
        <v>339099.30595215701</v>
      </c>
      <c r="G287" s="62">
        <f t="shared" si="60"/>
        <v>5.3063999999999991</v>
      </c>
      <c r="H287" s="4">
        <f>VLOOKUP(A287,[1]SummaryTable!$A$2:$F$359,5,FALSE)</f>
        <v>1</v>
      </c>
      <c r="I287" s="4">
        <f>VLOOKUP(A287,[1]SummaryTable!$A$2:$F$359,6,FALSE)</f>
        <v>0</v>
      </c>
      <c r="J287" s="4" t="str">
        <f>IF(I287&gt;0.1,[2]Processes!$A$6,[2]Processes!$A$5)</f>
        <v>Sawmal</v>
      </c>
      <c r="K287" s="23" t="str">
        <f t="shared" si="61"/>
        <v>-</v>
      </c>
      <c r="L287" s="4" t="str">
        <f t="shared" si="62"/>
        <v>-</v>
      </c>
      <c r="M287" s="4" t="str">
        <f t="shared" si="63"/>
        <v>-</v>
      </c>
      <c r="N287" s="4">
        <f t="shared" si="64"/>
        <v>0</v>
      </c>
      <c r="O287" s="23" t="str">
        <f t="shared" si="65"/>
        <v>-</v>
      </c>
      <c r="P287" s="4" t="str">
        <f t="shared" si="66"/>
        <v>-</v>
      </c>
      <c r="Q287" s="4" t="str">
        <f t="shared" si="67"/>
        <v>-</v>
      </c>
      <c r="R287" s="4">
        <f t="shared" si="68"/>
        <v>0</v>
      </c>
      <c r="S287" s="23" t="str">
        <f t="shared" si="69"/>
        <v>-</v>
      </c>
      <c r="T287" s="4" t="str">
        <f t="shared" si="70"/>
        <v>-</v>
      </c>
      <c r="U287" s="4" t="str">
        <f t="shared" si="71"/>
        <v>-</v>
      </c>
      <c r="V287" s="4">
        <f t="shared" si="72"/>
        <v>0</v>
      </c>
      <c r="W287" s="23">
        <f>VLOOKUP(A287,[1]SummaryTable!$A$2:$F$359,4,FALSE)</f>
        <v>4.4219999999999997</v>
      </c>
    </row>
    <row r="288" spans="1:23" x14ac:dyDescent="0.25">
      <c r="A288" s="14" t="s">
        <v>25</v>
      </c>
      <c r="B288" s="14" t="str">
        <f t="shared" si="59"/>
        <v>H26</v>
      </c>
      <c r="C288" s="14">
        <v>6</v>
      </c>
      <c r="D288" s="61">
        <v>21</v>
      </c>
      <c r="E288" s="15">
        <f>VLOOKUP(A288,[1]SummaryTable!$A$2:$F$359,2,FALSE)</f>
        <v>6388105.102</v>
      </c>
      <c r="F288" s="15">
        <f>VLOOKUP(A288,[1]SummaryTable!$A$2:$F$359,3,FALSE)</f>
        <v>449847.25699999998</v>
      </c>
      <c r="G288" s="62">
        <f t="shared" si="60"/>
        <v>5.2439999999999998</v>
      </c>
      <c r="H288" s="4">
        <f>VLOOKUP(A288,[1]SummaryTable!$A$2:$F$359,5,FALSE)</f>
        <v>1</v>
      </c>
      <c r="I288" s="4">
        <f>VLOOKUP(A288,[1]SummaryTable!$A$2:$F$359,6,FALSE)</f>
        <v>0</v>
      </c>
      <c r="J288" s="4" t="str">
        <f>IF(I288&gt;0.1,[2]Processes!$A$6,[2]Processes!$A$5)</f>
        <v>Sawmal</v>
      </c>
      <c r="K288" s="23" t="str">
        <f t="shared" si="61"/>
        <v>-</v>
      </c>
      <c r="L288" s="4" t="str">
        <f t="shared" si="62"/>
        <v>-</v>
      </c>
      <c r="M288" s="4" t="str">
        <f t="shared" si="63"/>
        <v>-</v>
      </c>
      <c r="N288" s="4">
        <f t="shared" si="64"/>
        <v>0</v>
      </c>
      <c r="O288" s="23" t="str">
        <f t="shared" si="65"/>
        <v>-</v>
      </c>
      <c r="P288" s="4" t="str">
        <f t="shared" si="66"/>
        <v>-</v>
      </c>
      <c r="Q288" s="4" t="str">
        <f t="shared" si="67"/>
        <v>-</v>
      </c>
      <c r="R288" s="4">
        <f t="shared" si="68"/>
        <v>0</v>
      </c>
      <c r="S288" s="23" t="str">
        <f t="shared" si="69"/>
        <v>-</v>
      </c>
      <c r="T288" s="4" t="str">
        <f t="shared" si="70"/>
        <v>-</v>
      </c>
      <c r="U288" s="4" t="str">
        <f t="shared" si="71"/>
        <v>-</v>
      </c>
      <c r="V288" s="4">
        <f t="shared" si="72"/>
        <v>0</v>
      </c>
      <c r="W288" s="23">
        <f>VLOOKUP(A288,[1]SummaryTable!$A$2:$F$359,4,FALSE)</f>
        <v>4.37</v>
      </c>
    </row>
    <row r="289" spans="1:23" x14ac:dyDescent="0.25">
      <c r="A289" s="14" t="s">
        <v>107</v>
      </c>
      <c r="B289" s="14" t="str">
        <f t="shared" si="59"/>
        <v>H108</v>
      </c>
      <c r="C289" s="14">
        <v>21</v>
      </c>
      <c r="D289" s="61">
        <v>31</v>
      </c>
      <c r="E289" s="15">
        <f>VLOOKUP(A289,[1]SummaryTable!$A$2:$F$359,2,FALSE)</f>
        <v>6801228.6378680402</v>
      </c>
      <c r="F289" s="15">
        <f>VLOOKUP(A289,[1]SummaryTable!$A$2:$F$359,3,FALSE)</f>
        <v>574564.78325228801</v>
      </c>
      <c r="G289" s="62">
        <f t="shared" si="60"/>
        <v>5.1240047999999989</v>
      </c>
      <c r="H289" s="4">
        <f>VLOOKUP(A289,[1]SummaryTable!$A$2:$F$359,5,FALSE)</f>
        <v>1</v>
      </c>
      <c r="I289" s="4">
        <f>VLOOKUP(A289,[1]SummaryTable!$A$2:$F$359,6,FALSE)</f>
        <v>0</v>
      </c>
      <c r="J289" s="4" t="str">
        <f>IF(I289&gt;0.1,[2]Processes!$A$6,[2]Processes!$A$5)</f>
        <v>Sawmal</v>
      </c>
      <c r="K289" s="23" t="str">
        <f t="shared" si="61"/>
        <v>-</v>
      </c>
      <c r="L289" s="4" t="str">
        <f t="shared" si="62"/>
        <v>-</v>
      </c>
      <c r="M289" s="4" t="str">
        <f t="shared" si="63"/>
        <v>-</v>
      </c>
      <c r="N289" s="4">
        <f t="shared" si="64"/>
        <v>0</v>
      </c>
      <c r="O289" s="23" t="str">
        <f t="shared" si="65"/>
        <v>-</v>
      </c>
      <c r="P289" s="4" t="str">
        <f t="shared" si="66"/>
        <v>-</v>
      </c>
      <c r="Q289" s="4" t="str">
        <f t="shared" si="67"/>
        <v>-</v>
      </c>
      <c r="R289" s="4">
        <f t="shared" si="68"/>
        <v>0</v>
      </c>
      <c r="S289" s="23" t="str">
        <f t="shared" si="69"/>
        <v>-</v>
      </c>
      <c r="T289" s="4" t="str">
        <f t="shared" si="70"/>
        <v>-</v>
      </c>
      <c r="U289" s="4" t="str">
        <f t="shared" si="71"/>
        <v>-</v>
      </c>
      <c r="V289" s="4">
        <f t="shared" si="72"/>
        <v>0</v>
      </c>
      <c r="W289" s="23">
        <f>VLOOKUP(A289,[1]SummaryTable!$A$2:$F$359,4,FALSE)</f>
        <v>4.2700039999999992</v>
      </c>
    </row>
    <row r="290" spans="1:23" x14ac:dyDescent="0.25">
      <c r="A290" s="14" t="s">
        <v>18</v>
      </c>
      <c r="B290" s="14" t="str">
        <f t="shared" si="59"/>
        <v>H19</v>
      </c>
      <c r="C290" s="14">
        <v>14</v>
      </c>
      <c r="D290" s="61">
        <v>23</v>
      </c>
      <c r="E290" s="15">
        <f>VLOOKUP(A290,[1]SummaryTable!$A$2:$F$359,2,FALSE)</f>
        <v>6460284.2180000003</v>
      </c>
      <c r="F290" s="15">
        <f>VLOOKUP(A290,[1]SummaryTable!$A$2:$F$359,3,FALSE)</f>
        <v>425405.42099999997</v>
      </c>
      <c r="G290" s="62">
        <f t="shared" si="60"/>
        <v>5.0724</v>
      </c>
      <c r="H290" s="4">
        <f>VLOOKUP(A290,[1]SummaryTable!$A$2:$F$359,5,FALSE)</f>
        <v>1</v>
      </c>
      <c r="I290" s="4">
        <f>VLOOKUP(A290,[1]SummaryTable!$A$2:$F$359,6,FALSE)</f>
        <v>0</v>
      </c>
      <c r="J290" s="4" t="str">
        <f>IF(I290&gt;0.1,[2]Processes!$A$6,[2]Processes!$A$5)</f>
        <v>Sawmal</v>
      </c>
      <c r="K290" s="23" t="str">
        <f t="shared" si="61"/>
        <v>-</v>
      </c>
      <c r="L290" s="4" t="str">
        <f t="shared" si="62"/>
        <v>-</v>
      </c>
      <c r="M290" s="4" t="str">
        <f t="shared" si="63"/>
        <v>-</v>
      </c>
      <c r="N290" s="4">
        <f t="shared" si="64"/>
        <v>0</v>
      </c>
      <c r="O290" s="23" t="str">
        <f t="shared" si="65"/>
        <v>-</v>
      </c>
      <c r="P290" s="4" t="str">
        <f t="shared" si="66"/>
        <v>-</v>
      </c>
      <c r="Q290" s="4" t="str">
        <f t="shared" si="67"/>
        <v>-</v>
      </c>
      <c r="R290" s="4">
        <f t="shared" si="68"/>
        <v>0</v>
      </c>
      <c r="S290" s="23" t="str">
        <f t="shared" si="69"/>
        <v>-</v>
      </c>
      <c r="T290" s="4" t="str">
        <f t="shared" si="70"/>
        <v>-</v>
      </c>
      <c r="U290" s="4" t="str">
        <f t="shared" si="71"/>
        <v>-</v>
      </c>
      <c r="V290" s="4">
        <f t="shared" si="72"/>
        <v>0</v>
      </c>
      <c r="W290" s="23">
        <f>VLOOKUP(A290,[1]SummaryTable!$A$2:$F$359,4,FALSE)</f>
        <v>4.2270000000000003</v>
      </c>
    </row>
    <row r="291" spans="1:23" x14ac:dyDescent="0.25">
      <c r="A291" s="14" t="s">
        <v>83</v>
      </c>
      <c r="B291" s="14" t="str">
        <f t="shared" si="59"/>
        <v>H84</v>
      </c>
      <c r="C291" s="14">
        <v>22</v>
      </c>
      <c r="D291" s="61">
        <v>12</v>
      </c>
      <c r="E291" s="15">
        <f>VLOOKUP(A291,[1]SummaryTable!$A$2:$F$359,2,FALSE)</f>
        <v>7006024.13567595</v>
      </c>
      <c r="F291" s="15">
        <f>VLOOKUP(A291,[1]SummaryTable!$A$2:$F$359,3,FALSE)</f>
        <v>603652.70865650999</v>
      </c>
      <c r="G291" s="62">
        <f t="shared" si="60"/>
        <v>5.04</v>
      </c>
      <c r="H291" s="4">
        <f>VLOOKUP(A291,[1]SummaryTable!$A$2:$F$359,5,FALSE)</f>
        <v>1</v>
      </c>
      <c r="I291" s="4">
        <f>VLOOKUP(A291,[1]SummaryTable!$A$2:$F$359,6,FALSE)</f>
        <v>0</v>
      </c>
      <c r="J291" s="4" t="str">
        <f>IF(I291&gt;0.1,[2]Processes!$A$6,[2]Processes!$A$5)</f>
        <v>Sawmal</v>
      </c>
      <c r="K291" s="23" t="str">
        <f t="shared" si="61"/>
        <v>-</v>
      </c>
      <c r="L291" s="4" t="str">
        <f t="shared" si="62"/>
        <v>-</v>
      </c>
      <c r="M291" s="4" t="str">
        <f t="shared" si="63"/>
        <v>-</v>
      </c>
      <c r="N291" s="4">
        <f t="shared" si="64"/>
        <v>0</v>
      </c>
      <c r="O291" s="23" t="str">
        <f t="shared" si="65"/>
        <v>-</v>
      </c>
      <c r="P291" s="4" t="str">
        <f t="shared" si="66"/>
        <v>-</v>
      </c>
      <c r="Q291" s="4" t="str">
        <f t="shared" si="67"/>
        <v>-</v>
      </c>
      <c r="R291" s="4">
        <f t="shared" si="68"/>
        <v>0</v>
      </c>
      <c r="S291" s="23" t="str">
        <f t="shared" si="69"/>
        <v>-</v>
      </c>
      <c r="T291" s="4" t="str">
        <f t="shared" si="70"/>
        <v>-</v>
      </c>
      <c r="U291" s="4" t="str">
        <f t="shared" si="71"/>
        <v>-</v>
      </c>
      <c r="V291" s="4">
        <f t="shared" si="72"/>
        <v>0</v>
      </c>
      <c r="W291" s="23">
        <f>VLOOKUP(A291,[1]SummaryTable!$A$2:$F$359,4,FALSE)</f>
        <v>4.2</v>
      </c>
    </row>
    <row r="292" spans="1:23" x14ac:dyDescent="0.25">
      <c r="A292" s="14" t="s">
        <v>65</v>
      </c>
      <c r="B292" s="14" t="str">
        <f t="shared" si="59"/>
        <v>H66</v>
      </c>
      <c r="C292" s="14">
        <v>24</v>
      </c>
      <c r="D292" s="61">
        <v>33</v>
      </c>
      <c r="E292" s="15">
        <f>VLOOKUP(A292,[1]SummaryTable!$A$2:$F$359,2,FALSE)</f>
        <v>7154720.4509135196</v>
      </c>
      <c r="F292" s="15">
        <f>VLOOKUP(A292,[1]SummaryTable!$A$2:$F$359,3,FALSE)</f>
        <v>804717.69755827996</v>
      </c>
      <c r="G292" s="62">
        <f t="shared" si="60"/>
        <v>4.9487999999999994</v>
      </c>
      <c r="H292" s="4">
        <f>VLOOKUP(A292,[1]SummaryTable!$A$2:$F$359,5,FALSE)</f>
        <v>1</v>
      </c>
      <c r="I292" s="4">
        <f>VLOOKUP(A292,[1]SummaryTable!$A$2:$F$359,6,FALSE)</f>
        <v>0</v>
      </c>
      <c r="J292" s="4" t="str">
        <f>IF(I292&gt;0.1,[2]Processes!$A$6,[2]Processes!$A$5)</f>
        <v>Sawmal</v>
      </c>
      <c r="K292" s="23" t="str">
        <f t="shared" si="61"/>
        <v>-</v>
      </c>
      <c r="L292" s="4" t="str">
        <f t="shared" si="62"/>
        <v>-</v>
      </c>
      <c r="M292" s="4" t="str">
        <f t="shared" si="63"/>
        <v>-</v>
      </c>
      <c r="N292" s="4">
        <f t="shared" si="64"/>
        <v>0</v>
      </c>
      <c r="O292" s="23" t="str">
        <f t="shared" si="65"/>
        <v>-</v>
      </c>
      <c r="P292" s="4" t="str">
        <f t="shared" si="66"/>
        <v>-</v>
      </c>
      <c r="Q292" s="4" t="str">
        <f t="shared" si="67"/>
        <v>-</v>
      </c>
      <c r="R292" s="4">
        <f t="shared" si="68"/>
        <v>0</v>
      </c>
      <c r="S292" s="23" t="str">
        <f t="shared" si="69"/>
        <v>-</v>
      </c>
      <c r="T292" s="4" t="str">
        <f t="shared" si="70"/>
        <v>-</v>
      </c>
      <c r="U292" s="4" t="str">
        <f t="shared" si="71"/>
        <v>-</v>
      </c>
      <c r="V292" s="4">
        <f t="shared" si="72"/>
        <v>0</v>
      </c>
      <c r="W292" s="23">
        <f>VLOOKUP(A292,[1]SummaryTable!$A$2:$F$359,4,FALSE)</f>
        <v>4.1239999999999997</v>
      </c>
    </row>
    <row r="293" spans="1:23" x14ac:dyDescent="0.25">
      <c r="A293" s="14" t="s">
        <v>5</v>
      </c>
      <c r="B293" s="14" t="str">
        <f t="shared" si="59"/>
        <v>H6</v>
      </c>
      <c r="C293" s="14">
        <v>21</v>
      </c>
      <c r="D293" s="61">
        <v>31</v>
      </c>
      <c r="E293" s="15">
        <f>VLOOKUP(A293,[1]SummaryTable!$A$2:$F$359,2,FALSE)</f>
        <v>6793675.3119999999</v>
      </c>
      <c r="F293" s="15">
        <f>VLOOKUP(A293,[1]SummaryTable!$A$2:$F$359,3,FALSE)</f>
        <v>610727.28899999999</v>
      </c>
      <c r="G293" s="62">
        <f t="shared" si="60"/>
        <v>4.7615999999999996</v>
      </c>
      <c r="H293" s="4">
        <f>VLOOKUP(A293,[1]SummaryTable!$A$2:$F$359,5,FALSE)</f>
        <v>1</v>
      </c>
      <c r="I293" s="4">
        <f>VLOOKUP(A293,[1]SummaryTable!$A$2:$F$359,6,FALSE)</f>
        <v>0</v>
      </c>
      <c r="J293" s="4" t="str">
        <f>IF(I293&gt;0.1,[2]Processes!$A$6,[2]Processes!$A$5)</f>
        <v>Sawmal</v>
      </c>
      <c r="K293" s="23" t="str">
        <f t="shared" si="61"/>
        <v>-</v>
      </c>
      <c r="L293" s="4" t="str">
        <f t="shared" si="62"/>
        <v>-</v>
      </c>
      <c r="M293" s="4" t="str">
        <f t="shared" si="63"/>
        <v>-</v>
      </c>
      <c r="N293" s="4">
        <f t="shared" si="64"/>
        <v>0</v>
      </c>
      <c r="O293" s="23" t="str">
        <f t="shared" si="65"/>
        <v>-</v>
      </c>
      <c r="P293" s="4" t="str">
        <f t="shared" si="66"/>
        <v>-</v>
      </c>
      <c r="Q293" s="4" t="str">
        <f t="shared" si="67"/>
        <v>-</v>
      </c>
      <c r="R293" s="4">
        <f t="shared" si="68"/>
        <v>0</v>
      </c>
      <c r="S293" s="23" t="str">
        <f t="shared" si="69"/>
        <v>-</v>
      </c>
      <c r="T293" s="4" t="str">
        <f t="shared" si="70"/>
        <v>-</v>
      </c>
      <c r="U293" s="4" t="str">
        <f t="shared" si="71"/>
        <v>-</v>
      </c>
      <c r="V293" s="4">
        <f t="shared" si="72"/>
        <v>0</v>
      </c>
      <c r="W293" s="23">
        <f>VLOOKUP(A293,[1]SummaryTable!$A$2:$F$359,4,FALSE)</f>
        <v>3.968</v>
      </c>
    </row>
    <row r="294" spans="1:23" x14ac:dyDescent="0.25">
      <c r="A294" s="14" t="s">
        <v>219</v>
      </c>
      <c r="B294" s="14" t="str">
        <f t="shared" si="59"/>
        <v>H220</v>
      </c>
      <c r="C294" s="14">
        <v>14</v>
      </c>
      <c r="D294" s="61">
        <v>23</v>
      </c>
      <c r="E294" s="15">
        <f>VLOOKUP(A294,[1]SummaryTable!$A$2:$F$359,2,FALSE)</f>
        <v>6484991.5430807704</v>
      </c>
      <c r="F294" s="15">
        <f>VLOOKUP(A294,[1]SummaryTable!$A$2:$F$359,3,FALSE)</f>
        <v>427807.475631779</v>
      </c>
      <c r="G294" s="62">
        <f t="shared" si="60"/>
        <v>4.7412000000000001</v>
      </c>
      <c r="H294" s="4">
        <f>VLOOKUP(A294,[1]SummaryTable!$A$2:$F$359,5,FALSE)</f>
        <v>1</v>
      </c>
      <c r="I294" s="4">
        <f>VLOOKUP(A294,[1]SummaryTable!$A$2:$F$359,6,FALSE)</f>
        <v>0</v>
      </c>
      <c r="J294" s="4" t="str">
        <f>IF(I294&gt;0.1,[2]Processes!$A$6,[2]Processes!$A$5)</f>
        <v>Sawmal</v>
      </c>
      <c r="K294" s="23" t="str">
        <f t="shared" si="61"/>
        <v>-</v>
      </c>
      <c r="L294" s="4" t="str">
        <f t="shared" si="62"/>
        <v>-</v>
      </c>
      <c r="M294" s="4" t="str">
        <f t="shared" si="63"/>
        <v>-</v>
      </c>
      <c r="N294" s="4">
        <f t="shared" si="64"/>
        <v>0</v>
      </c>
      <c r="O294" s="23" t="str">
        <f t="shared" si="65"/>
        <v>-</v>
      </c>
      <c r="P294" s="4" t="str">
        <f t="shared" si="66"/>
        <v>-</v>
      </c>
      <c r="Q294" s="4" t="str">
        <f t="shared" si="67"/>
        <v>-</v>
      </c>
      <c r="R294" s="4">
        <f t="shared" si="68"/>
        <v>0</v>
      </c>
      <c r="S294" s="23" t="str">
        <f t="shared" si="69"/>
        <v>-</v>
      </c>
      <c r="T294" s="4" t="str">
        <f t="shared" si="70"/>
        <v>-</v>
      </c>
      <c r="U294" s="4" t="str">
        <f t="shared" si="71"/>
        <v>-</v>
      </c>
      <c r="V294" s="4">
        <f t="shared" si="72"/>
        <v>0</v>
      </c>
      <c r="W294" s="23">
        <f>VLOOKUP(A294,[1]SummaryTable!$A$2:$F$359,4,FALSE)</f>
        <v>3.9510000000000001</v>
      </c>
    </row>
    <row r="295" spans="1:23" x14ac:dyDescent="0.25">
      <c r="A295" s="14" t="s">
        <v>10</v>
      </c>
      <c r="B295" s="14" t="str">
        <f t="shared" si="59"/>
        <v>H11</v>
      </c>
      <c r="C295" s="14">
        <v>18</v>
      </c>
      <c r="D295" s="61">
        <v>31</v>
      </c>
      <c r="E295" s="15">
        <f>VLOOKUP(A295,[1]SummaryTable!$A$2:$F$359,2,FALSE)</f>
        <v>6655373.6670000004</v>
      </c>
      <c r="F295" s="15">
        <f>VLOOKUP(A295,[1]SummaryTable!$A$2:$F$359,3,FALSE)</f>
        <v>505611.864</v>
      </c>
      <c r="G295" s="62">
        <f t="shared" si="60"/>
        <v>4.7375999999999996</v>
      </c>
      <c r="H295" s="4">
        <f>VLOOKUP(A295,[1]SummaryTable!$A$2:$F$359,5,FALSE)</f>
        <v>1</v>
      </c>
      <c r="I295" s="4">
        <f>VLOOKUP(A295,[1]SummaryTable!$A$2:$F$359,6,FALSE)</f>
        <v>0</v>
      </c>
      <c r="J295" s="4" t="str">
        <f>IF(I295&gt;0.1,[2]Processes!$A$6,[2]Processes!$A$5)</f>
        <v>Sawmal</v>
      </c>
      <c r="K295" s="23" t="str">
        <f t="shared" si="61"/>
        <v>-</v>
      </c>
      <c r="L295" s="4" t="str">
        <f t="shared" si="62"/>
        <v>-</v>
      </c>
      <c r="M295" s="4" t="str">
        <f t="shared" si="63"/>
        <v>-</v>
      </c>
      <c r="N295" s="4">
        <f t="shared" si="64"/>
        <v>0</v>
      </c>
      <c r="O295" s="23" t="str">
        <f t="shared" si="65"/>
        <v>-</v>
      </c>
      <c r="P295" s="4" t="str">
        <f t="shared" si="66"/>
        <v>-</v>
      </c>
      <c r="Q295" s="4" t="str">
        <f t="shared" si="67"/>
        <v>-</v>
      </c>
      <c r="R295" s="4">
        <f t="shared" si="68"/>
        <v>0</v>
      </c>
      <c r="S295" s="23" t="str">
        <f t="shared" si="69"/>
        <v>-</v>
      </c>
      <c r="T295" s="4" t="str">
        <f t="shared" si="70"/>
        <v>-</v>
      </c>
      <c r="U295" s="4" t="str">
        <f t="shared" si="71"/>
        <v>-</v>
      </c>
      <c r="V295" s="4">
        <f t="shared" si="72"/>
        <v>0</v>
      </c>
      <c r="W295" s="23">
        <f>VLOOKUP(A295,[1]SummaryTable!$A$2:$F$359,4,FALSE)</f>
        <v>3.948</v>
      </c>
    </row>
    <row r="296" spans="1:23" x14ac:dyDescent="0.25">
      <c r="A296" s="14" t="s">
        <v>314</v>
      </c>
      <c r="B296" s="14" t="str">
        <f t="shared" si="59"/>
        <v>H315</v>
      </c>
      <c r="C296" s="14">
        <v>13</v>
      </c>
      <c r="D296" s="61">
        <v>23</v>
      </c>
      <c r="E296" s="15">
        <f>VLOOKUP(A296,[1]SummaryTable!$A$2:$F$359,2,FALSE)</f>
        <v>6313683.1864959802</v>
      </c>
      <c r="F296" s="15">
        <f>VLOOKUP(A296,[1]SummaryTable!$A$2:$F$359,3,FALSE)</f>
        <v>357416.088788633</v>
      </c>
      <c r="G296" s="62">
        <f t="shared" si="60"/>
        <v>4.5948000000000002</v>
      </c>
      <c r="H296" s="4">
        <f>VLOOKUP(A296,[1]SummaryTable!$A$2:$F$359,5,FALSE)</f>
        <v>1</v>
      </c>
      <c r="I296" s="4">
        <f>VLOOKUP(A296,[1]SummaryTable!$A$2:$F$359,6,FALSE)</f>
        <v>0</v>
      </c>
      <c r="J296" s="4" t="str">
        <f>IF(I296&gt;0.1,[2]Processes!$A$6,[2]Processes!$A$5)</f>
        <v>Sawmal</v>
      </c>
      <c r="K296" s="23" t="str">
        <f t="shared" si="61"/>
        <v>-</v>
      </c>
      <c r="L296" s="4" t="str">
        <f t="shared" si="62"/>
        <v>-</v>
      </c>
      <c r="M296" s="4" t="str">
        <f t="shared" si="63"/>
        <v>-</v>
      </c>
      <c r="N296" s="4">
        <f t="shared" si="64"/>
        <v>0</v>
      </c>
      <c r="O296" s="23" t="str">
        <f t="shared" si="65"/>
        <v>-</v>
      </c>
      <c r="P296" s="4" t="str">
        <f t="shared" si="66"/>
        <v>-</v>
      </c>
      <c r="Q296" s="4" t="str">
        <f t="shared" si="67"/>
        <v>-</v>
      </c>
      <c r="R296" s="4">
        <f t="shared" si="68"/>
        <v>0</v>
      </c>
      <c r="S296" s="23" t="str">
        <f t="shared" si="69"/>
        <v>-</v>
      </c>
      <c r="T296" s="4" t="str">
        <f t="shared" si="70"/>
        <v>-</v>
      </c>
      <c r="U296" s="4" t="str">
        <f t="shared" si="71"/>
        <v>-</v>
      </c>
      <c r="V296" s="4">
        <f t="shared" si="72"/>
        <v>0</v>
      </c>
      <c r="W296" s="23">
        <f>VLOOKUP(A296,[1]SummaryTable!$A$2:$F$359,4,FALSE)</f>
        <v>3.8290000000000002</v>
      </c>
    </row>
    <row r="297" spans="1:23" x14ac:dyDescent="0.25">
      <c r="A297" s="14" t="s">
        <v>185</v>
      </c>
      <c r="B297" s="14" t="str">
        <f t="shared" si="59"/>
        <v>H186</v>
      </c>
      <c r="C297" s="14">
        <v>17</v>
      </c>
      <c r="D297" s="61">
        <v>31</v>
      </c>
      <c r="E297" s="15">
        <f>VLOOKUP(A297,[1]SummaryTable!$A$2:$F$359,2,FALSE)</f>
        <v>6573975.4542763801</v>
      </c>
      <c r="F297" s="15">
        <f>VLOOKUP(A297,[1]SummaryTable!$A$2:$F$359,3,FALSE)</f>
        <v>413209.036757264</v>
      </c>
      <c r="G297" s="62">
        <f t="shared" si="60"/>
        <v>4.4400000000000004</v>
      </c>
      <c r="H297" s="4">
        <f>VLOOKUP(A297,[1]SummaryTable!$A$2:$F$359,5,FALSE)</f>
        <v>1</v>
      </c>
      <c r="I297" s="4">
        <f>VLOOKUP(A297,[1]SummaryTable!$A$2:$F$359,6,FALSE)</f>
        <v>0</v>
      </c>
      <c r="J297" s="4" t="str">
        <f>IF(I297&gt;0.1,[2]Processes!$A$6,[2]Processes!$A$5)</f>
        <v>Sawmal</v>
      </c>
      <c r="K297" s="23" t="str">
        <f t="shared" si="61"/>
        <v>-</v>
      </c>
      <c r="L297" s="4" t="str">
        <f t="shared" si="62"/>
        <v>-</v>
      </c>
      <c r="M297" s="4" t="str">
        <f t="shared" si="63"/>
        <v>-</v>
      </c>
      <c r="N297" s="4">
        <f t="shared" si="64"/>
        <v>0</v>
      </c>
      <c r="O297" s="23" t="str">
        <f t="shared" si="65"/>
        <v>-</v>
      </c>
      <c r="P297" s="4" t="str">
        <f t="shared" si="66"/>
        <v>-</v>
      </c>
      <c r="Q297" s="4" t="str">
        <f t="shared" si="67"/>
        <v>-</v>
      </c>
      <c r="R297" s="4">
        <f t="shared" si="68"/>
        <v>0</v>
      </c>
      <c r="S297" s="23" t="str">
        <f t="shared" si="69"/>
        <v>-</v>
      </c>
      <c r="T297" s="4" t="str">
        <f t="shared" si="70"/>
        <v>-</v>
      </c>
      <c r="U297" s="4" t="str">
        <f t="shared" si="71"/>
        <v>-</v>
      </c>
      <c r="V297" s="4">
        <f t="shared" si="72"/>
        <v>0</v>
      </c>
      <c r="W297" s="23">
        <f>VLOOKUP(A297,[1]SummaryTable!$A$2:$F$359,4,FALSE)</f>
        <v>3.7</v>
      </c>
    </row>
    <row r="298" spans="1:23" x14ac:dyDescent="0.25">
      <c r="A298" s="14" t="s">
        <v>66</v>
      </c>
      <c r="B298" s="14" t="str">
        <f t="shared" si="59"/>
        <v>H67</v>
      </c>
      <c r="C298" s="14">
        <v>24</v>
      </c>
      <c r="D298" s="61">
        <v>33</v>
      </c>
      <c r="E298" s="15">
        <f>VLOOKUP(A298,[1]SummaryTable!$A$2:$F$359,2,FALSE)</f>
        <v>7143388.8093258897</v>
      </c>
      <c r="F298" s="15">
        <f>VLOOKUP(A298,[1]SummaryTable!$A$2:$F$359,3,FALSE)</f>
        <v>792261.46388929803</v>
      </c>
      <c r="G298" s="62">
        <f t="shared" si="60"/>
        <v>4.4387999999999996</v>
      </c>
      <c r="H298" s="4">
        <f>VLOOKUP(A298,[1]SummaryTable!$A$2:$F$359,5,FALSE)</f>
        <v>1</v>
      </c>
      <c r="I298" s="4">
        <f>VLOOKUP(A298,[1]SummaryTable!$A$2:$F$359,6,FALSE)</f>
        <v>0</v>
      </c>
      <c r="J298" s="4" t="str">
        <f>IF(I298&gt;0.1,[2]Processes!$A$6,[2]Processes!$A$5)</f>
        <v>Sawmal</v>
      </c>
      <c r="K298" s="23" t="str">
        <f t="shared" si="61"/>
        <v>-</v>
      </c>
      <c r="L298" s="4" t="str">
        <f t="shared" si="62"/>
        <v>-</v>
      </c>
      <c r="M298" s="4" t="str">
        <f t="shared" si="63"/>
        <v>-</v>
      </c>
      <c r="N298" s="4">
        <f t="shared" si="64"/>
        <v>0</v>
      </c>
      <c r="O298" s="23" t="str">
        <f t="shared" si="65"/>
        <v>-</v>
      </c>
      <c r="P298" s="4" t="str">
        <f t="shared" si="66"/>
        <v>-</v>
      </c>
      <c r="Q298" s="4" t="str">
        <f t="shared" si="67"/>
        <v>-</v>
      </c>
      <c r="R298" s="4">
        <f t="shared" si="68"/>
        <v>0</v>
      </c>
      <c r="S298" s="23" t="str">
        <f t="shared" si="69"/>
        <v>-</v>
      </c>
      <c r="T298" s="4" t="str">
        <f t="shared" si="70"/>
        <v>-</v>
      </c>
      <c r="U298" s="4" t="str">
        <f t="shared" si="71"/>
        <v>-</v>
      </c>
      <c r="V298" s="4">
        <f t="shared" si="72"/>
        <v>0</v>
      </c>
      <c r="W298" s="23">
        <f>VLOOKUP(A298,[1]SummaryTable!$A$2:$F$359,4,FALSE)</f>
        <v>3.6989999999999998</v>
      </c>
    </row>
    <row r="299" spans="1:23" x14ac:dyDescent="0.25">
      <c r="A299" s="14" t="s">
        <v>29</v>
      </c>
      <c r="B299" s="14" t="str">
        <f t="shared" si="59"/>
        <v>H30</v>
      </c>
      <c r="C299" s="14">
        <v>6</v>
      </c>
      <c r="D299" s="61">
        <v>21</v>
      </c>
      <c r="E299" s="15">
        <f>VLOOKUP(A299,[1]SummaryTable!$A$2:$F$359,2,FALSE)</f>
        <v>6337635.585</v>
      </c>
      <c r="F299" s="15">
        <f>VLOOKUP(A299,[1]SummaryTable!$A$2:$F$359,3,FALSE)</f>
        <v>404662.424</v>
      </c>
      <c r="G299" s="62">
        <f t="shared" si="60"/>
        <v>4.3751999999999995</v>
      </c>
      <c r="H299" s="4">
        <f>VLOOKUP(A299,[1]SummaryTable!$A$2:$F$359,5,FALSE)</f>
        <v>1</v>
      </c>
      <c r="I299" s="4">
        <f>VLOOKUP(A299,[1]SummaryTable!$A$2:$F$359,6,FALSE)</f>
        <v>0</v>
      </c>
      <c r="J299" s="4" t="str">
        <f>IF(I299&gt;0.1,[2]Processes!$A$6,[2]Processes!$A$5)</f>
        <v>Sawmal</v>
      </c>
      <c r="K299" s="23" t="str">
        <f t="shared" si="61"/>
        <v>-</v>
      </c>
      <c r="L299" s="4" t="str">
        <f t="shared" si="62"/>
        <v>-</v>
      </c>
      <c r="M299" s="4" t="str">
        <f t="shared" si="63"/>
        <v>-</v>
      </c>
      <c r="N299" s="4">
        <f t="shared" si="64"/>
        <v>0</v>
      </c>
      <c r="O299" s="23" t="str">
        <f t="shared" si="65"/>
        <v>-</v>
      </c>
      <c r="P299" s="4" t="str">
        <f t="shared" si="66"/>
        <v>-</v>
      </c>
      <c r="Q299" s="4" t="str">
        <f t="shared" si="67"/>
        <v>-</v>
      </c>
      <c r="R299" s="4">
        <f t="shared" si="68"/>
        <v>0</v>
      </c>
      <c r="S299" s="23" t="str">
        <f t="shared" si="69"/>
        <v>-</v>
      </c>
      <c r="T299" s="4" t="str">
        <f t="shared" si="70"/>
        <v>-</v>
      </c>
      <c r="U299" s="4" t="str">
        <f t="shared" si="71"/>
        <v>-</v>
      </c>
      <c r="V299" s="4">
        <f t="shared" si="72"/>
        <v>0</v>
      </c>
      <c r="W299" s="23">
        <f>VLOOKUP(A299,[1]SummaryTable!$A$2:$F$359,4,FALSE)</f>
        <v>3.6459999999999999</v>
      </c>
    </row>
    <row r="300" spans="1:23" x14ac:dyDescent="0.25">
      <c r="A300" s="14" t="s">
        <v>61</v>
      </c>
      <c r="B300" s="14" t="str">
        <f t="shared" si="59"/>
        <v>H62</v>
      </c>
      <c r="C300" s="14">
        <v>24</v>
      </c>
      <c r="D300" s="61">
        <v>33</v>
      </c>
      <c r="E300" s="15">
        <f>VLOOKUP(A300,[1]SummaryTable!$A$2:$F$359,2,FALSE)</f>
        <v>7186578.1580537297</v>
      </c>
      <c r="F300" s="15">
        <f>VLOOKUP(A300,[1]SummaryTable!$A$2:$F$359,3,FALSE)</f>
        <v>767875.83705760597</v>
      </c>
      <c r="G300" s="62">
        <f t="shared" si="60"/>
        <v>4.2816000000000001</v>
      </c>
      <c r="H300" s="4">
        <f>VLOOKUP(A300,[1]SummaryTable!$A$2:$F$359,5,FALSE)</f>
        <v>1</v>
      </c>
      <c r="I300" s="4">
        <f>VLOOKUP(A300,[1]SummaryTable!$A$2:$F$359,6,FALSE)</f>
        <v>0</v>
      </c>
      <c r="J300" s="4" t="str">
        <f>IF(I300&gt;0.1,[2]Processes!$A$6,[2]Processes!$A$5)</f>
        <v>Sawmal</v>
      </c>
      <c r="K300" s="23" t="str">
        <f t="shared" si="61"/>
        <v>-</v>
      </c>
      <c r="L300" s="4" t="str">
        <f t="shared" si="62"/>
        <v>-</v>
      </c>
      <c r="M300" s="4" t="str">
        <f t="shared" si="63"/>
        <v>-</v>
      </c>
      <c r="N300" s="4">
        <f t="shared" si="64"/>
        <v>0</v>
      </c>
      <c r="O300" s="23" t="str">
        <f t="shared" si="65"/>
        <v>-</v>
      </c>
      <c r="P300" s="4" t="str">
        <f t="shared" si="66"/>
        <v>-</v>
      </c>
      <c r="Q300" s="4" t="str">
        <f t="shared" si="67"/>
        <v>-</v>
      </c>
      <c r="R300" s="4">
        <f t="shared" si="68"/>
        <v>0</v>
      </c>
      <c r="S300" s="23" t="str">
        <f t="shared" si="69"/>
        <v>-</v>
      </c>
      <c r="T300" s="4" t="str">
        <f t="shared" si="70"/>
        <v>-</v>
      </c>
      <c r="U300" s="4" t="str">
        <f t="shared" si="71"/>
        <v>-</v>
      </c>
      <c r="V300" s="4">
        <f t="shared" si="72"/>
        <v>0</v>
      </c>
      <c r="W300" s="23">
        <f>VLOOKUP(A300,[1]SummaryTable!$A$2:$F$359,4,FALSE)</f>
        <v>3.5680000000000001</v>
      </c>
    </row>
    <row r="301" spans="1:23" x14ac:dyDescent="0.25">
      <c r="A301" s="14" t="s">
        <v>259</v>
      </c>
      <c r="B301" s="14" t="str">
        <f t="shared" si="59"/>
        <v>H260</v>
      </c>
      <c r="C301" s="14">
        <v>14</v>
      </c>
      <c r="D301" s="61">
        <v>23</v>
      </c>
      <c r="E301" s="15">
        <f>VLOOKUP(A301,[1]SummaryTable!$A$2:$F$359,2,FALSE)</f>
        <v>6414154.3673454998</v>
      </c>
      <c r="F301" s="15">
        <f>VLOOKUP(A301,[1]SummaryTable!$A$2:$F$359,3,FALSE)</f>
        <v>320183.08311222401</v>
      </c>
      <c r="G301" s="62">
        <f t="shared" si="60"/>
        <v>4.2143999999999995</v>
      </c>
      <c r="H301" s="4">
        <f>VLOOKUP(A301,[1]SummaryTable!$A$2:$F$359,5,FALSE)</f>
        <v>1</v>
      </c>
      <c r="I301" s="4">
        <f>VLOOKUP(A301,[1]SummaryTable!$A$2:$F$359,6,FALSE)</f>
        <v>0</v>
      </c>
      <c r="J301" s="4" t="str">
        <f>IF(I301&gt;0.1,[2]Processes!$A$6,[2]Processes!$A$5)</f>
        <v>Sawmal</v>
      </c>
      <c r="K301" s="23" t="str">
        <f t="shared" si="61"/>
        <v>-</v>
      </c>
      <c r="L301" s="4" t="str">
        <f t="shared" si="62"/>
        <v>-</v>
      </c>
      <c r="M301" s="4" t="str">
        <f t="shared" si="63"/>
        <v>-</v>
      </c>
      <c r="N301" s="4">
        <f t="shared" si="64"/>
        <v>0</v>
      </c>
      <c r="O301" s="23" t="str">
        <f t="shared" si="65"/>
        <v>-</v>
      </c>
      <c r="P301" s="4" t="str">
        <f t="shared" si="66"/>
        <v>-</v>
      </c>
      <c r="Q301" s="4" t="str">
        <f t="shared" si="67"/>
        <v>-</v>
      </c>
      <c r="R301" s="4">
        <f t="shared" si="68"/>
        <v>0</v>
      </c>
      <c r="S301" s="23" t="str">
        <f t="shared" si="69"/>
        <v>-</v>
      </c>
      <c r="T301" s="4" t="str">
        <f t="shared" si="70"/>
        <v>-</v>
      </c>
      <c r="U301" s="4" t="str">
        <f t="shared" si="71"/>
        <v>-</v>
      </c>
      <c r="V301" s="4">
        <f t="shared" si="72"/>
        <v>0</v>
      </c>
      <c r="W301" s="23">
        <f>VLOOKUP(A301,[1]SummaryTable!$A$2:$F$359,4,FALSE)</f>
        <v>3.512</v>
      </c>
    </row>
    <row r="302" spans="1:23" x14ac:dyDescent="0.25">
      <c r="A302" s="14" t="s">
        <v>36</v>
      </c>
      <c r="B302" s="14" t="str">
        <f t="shared" si="59"/>
        <v>H37</v>
      </c>
      <c r="C302" s="14">
        <v>12</v>
      </c>
      <c r="D302" s="61">
        <v>22</v>
      </c>
      <c r="E302" s="15">
        <f>VLOOKUP(A302,[1]SummaryTable!$A$2:$F$359,2,FALSE)</f>
        <v>6214330.3629999999</v>
      </c>
      <c r="F302" s="15">
        <f>VLOOKUP(A302,[1]SummaryTable!$A$2:$F$359,3,FALSE)</f>
        <v>374382.56199999998</v>
      </c>
      <c r="G302" s="62">
        <f t="shared" si="60"/>
        <v>4.1807999999999996</v>
      </c>
      <c r="H302" s="4">
        <f>VLOOKUP(A302,[1]SummaryTable!$A$2:$F$359,5,FALSE)</f>
        <v>1</v>
      </c>
      <c r="I302" s="4">
        <f>VLOOKUP(A302,[1]SummaryTable!$A$2:$F$359,6,FALSE)</f>
        <v>0</v>
      </c>
      <c r="J302" s="4" t="str">
        <f>IF(I302&gt;0.1,[2]Processes!$A$6,[2]Processes!$A$5)</f>
        <v>Sawmal</v>
      </c>
      <c r="K302" s="23" t="str">
        <f t="shared" si="61"/>
        <v>-</v>
      </c>
      <c r="L302" s="4" t="str">
        <f t="shared" si="62"/>
        <v>-</v>
      </c>
      <c r="M302" s="4" t="str">
        <f t="shared" si="63"/>
        <v>-</v>
      </c>
      <c r="N302" s="4">
        <f t="shared" si="64"/>
        <v>0</v>
      </c>
      <c r="O302" s="23" t="str">
        <f t="shared" si="65"/>
        <v>-</v>
      </c>
      <c r="P302" s="4" t="str">
        <f t="shared" si="66"/>
        <v>-</v>
      </c>
      <c r="Q302" s="4" t="str">
        <f t="shared" si="67"/>
        <v>-</v>
      </c>
      <c r="R302" s="4">
        <f t="shared" si="68"/>
        <v>0</v>
      </c>
      <c r="S302" s="23" t="str">
        <f t="shared" si="69"/>
        <v>-</v>
      </c>
      <c r="T302" s="4" t="str">
        <f t="shared" si="70"/>
        <v>-</v>
      </c>
      <c r="U302" s="4" t="str">
        <f t="shared" si="71"/>
        <v>-</v>
      </c>
      <c r="V302" s="4">
        <f t="shared" si="72"/>
        <v>0</v>
      </c>
      <c r="W302" s="23">
        <f>VLOOKUP(A302,[1]SummaryTable!$A$2:$F$359,4,FALSE)</f>
        <v>3.484</v>
      </c>
    </row>
    <row r="303" spans="1:23" x14ac:dyDescent="0.25">
      <c r="A303" s="14" t="s">
        <v>264</v>
      </c>
      <c r="B303" s="14" t="str">
        <f t="shared" si="59"/>
        <v>H265</v>
      </c>
      <c r="C303" s="14">
        <v>14</v>
      </c>
      <c r="D303" s="61">
        <v>23</v>
      </c>
      <c r="E303" s="15">
        <f>VLOOKUP(A303,[1]SummaryTable!$A$2:$F$359,2,FALSE)</f>
        <v>6405219.6583457096</v>
      </c>
      <c r="F303" s="15">
        <f>VLOOKUP(A303,[1]SummaryTable!$A$2:$F$359,3,FALSE)</f>
        <v>341084.892820323</v>
      </c>
      <c r="G303" s="62">
        <f t="shared" si="60"/>
        <v>4.08</v>
      </c>
      <c r="H303" s="4">
        <f>VLOOKUP(A303,[1]SummaryTable!$A$2:$F$359,5,FALSE)</f>
        <v>1</v>
      </c>
      <c r="I303" s="4">
        <f>VLOOKUP(A303,[1]SummaryTable!$A$2:$F$359,6,FALSE)</f>
        <v>0</v>
      </c>
      <c r="J303" s="4" t="str">
        <f>IF(I303&gt;0.1,[2]Processes!$A$6,[2]Processes!$A$5)</f>
        <v>Sawmal</v>
      </c>
      <c r="K303" s="23" t="str">
        <f t="shared" si="61"/>
        <v>-</v>
      </c>
      <c r="L303" s="4" t="str">
        <f t="shared" si="62"/>
        <v>-</v>
      </c>
      <c r="M303" s="4" t="str">
        <f t="shared" si="63"/>
        <v>-</v>
      </c>
      <c r="N303" s="4">
        <f t="shared" si="64"/>
        <v>0</v>
      </c>
      <c r="O303" s="23" t="str">
        <f t="shared" si="65"/>
        <v>-</v>
      </c>
      <c r="P303" s="4" t="str">
        <f t="shared" si="66"/>
        <v>-</v>
      </c>
      <c r="Q303" s="4" t="str">
        <f t="shared" si="67"/>
        <v>-</v>
      </c>
      <c r="R303" s="4">
        <f t="shared" si="68"/>
        <v>0</v>
      </c>
      <c r="S303" s="23" t="str">
        <f t="shared" si="69"/>
        <v>-</v>
      </c>
      <c r="T303" s="4" t="str">
        <f t="shared" si="70"/>
        <v>-</v>
      </c>
      <c r="U303" s="4" t="str">
        <f t="shared" si="71"/>
        <v>-</v>
      </c>
      <c r="V303" s="4">
        <f t="shared" si="72"/>
        <v>0</v>
      </c>
      <c r="W303" s="23">
        <f>VLOOKUP(A303,[1]SummaryTable!$A$2:$F$359,4,FALSE)</f>
        <v>3.4</v>
      </c>
    </row>
    <row r="304" spans="1:23" x14ac:dyDescent="0.25">
      <c r="A304" s="14" t="s">
        <v>167</v>
      </c>
      <c r="B304" s="14" t="str">
        <f t="shared" si="59"/>
        <v>H168</v>
      </c>
      <c r="C304" s="14">
        <v>17</v>
      </c>
      <c r="D304" s="61">
        <v>31</v>
      </c>
      <c r="E304" s="15">
        <f>VLOOKUP(A304,[1]SummaryTable!$A$2:$F$359,2,FALSE)</f>
        <v>6594091.1989318896</v>
      </c>
      <c r="F304" s="15">
        <f>VLOOKUP(A304,[1]SummaryTable!$A$2:$F$359,3,FALSE)</f>
        <v>404794.08985488699</v>
      </c>
      <c r="G304" s="62">
        <f t="shared" si="60"/>
        <v>3.84</v>
      </c>
      <c r="H304" s="4">
        <f>VLOOKUP(A304,[1]SummaryTable!$A$2:$F$359,5,FALSE)</f>
        <v>1</v>
      </c>
      <c r="I304" s="4">
        <f>VLOOKUP(A304,[1]SummaryTable!$A$2:$F$359,6,FALSE)</f>
        <v>0</v>
      </c>
      <c r="J304" s="4" t="str">
        <f>IF(I304&gt;0.1,[2]Processes!$A$6,[2]Processes!$A$5)</f>
        <v>Sawmal</v>
      </c>
      <c r="K304" s="23" t="str">
        <f t="shared" si="61"/>
        <v>-</v>
      </c>
      <c r="L304" s="4" t="str">
        <f t="shared" si="62"/>
        <v>-</v>
      </c>
      <c r="M304" s="4" t="str">
        <f t="shared" si="63"/>
        <v>-</v>
      </c>
      <c r="N304" s="4">
        <f t="shared" si="64"/>
        <v>0</v>
      </c>
      <c r="O304" s="23" t="str">
        <f t="shared" si="65"/>
        <v>-</v>
      </c>
      <c r="P304" s="4" t="str">
        <f t="shared" si="66"/>
        <v>-</v>
      </c>
      <c r="Q304" s="4" t="str">
        <f t="shared" si="67"/>
        <v>-</v>
      </c>
      <c r="R304" s="4">
        <f t="shared" si="68"/>
        <v>0</v>
      </c>
      <c r="S304" s="23" t="str">
        <f t="shared" si="69"/>
        <v>-</v>
      </c>
      <c r="T304" s="4" t="str">
        <f t="shared" si="70"/>
        <v>-</v>
      </c>
      <c r="U304" s="4" t="str">
        <f t="shared" si="71"/>
        <v>-</v>
      </c>
      <c r="V304" s="4">
        <f t="shared" si="72"/>
        <v>0</v>
      </c>
      <c r="W304" s="23">
        <f>VLOOKUP(A304,[1]SummaryTable!$A$2:$F$359,4,FALSE)</f>
        <v>3.2</v>
      </c>
    </row>
    <row r="305" spans="1:23" x14ac:dyDescent="0.25">
      <c r="A305" s="14" t="s">
        <v>200</v>
      </c>
      <c r="B305" s="14" t="str">
        <f t="shared" si="59"/>
        <v>H201</v>
      </c>
      <c r="C305" s="14">
        <v>14</v>
      </c>
      <c r="D305" s="61">
        <v>23</v>
      </c>
      <c r="E305" s="15">
        <f>VLOOKUP(A305,[1]SummaryTable!$A$2:$F$359,2,FALSE)</f>
        <v>6542731.1812431403</v>
      </c>
      <c r="F305" s="15">
        <f>VLOOKUP(A305,[1]SummaryTable!$A$2:$F$359,3,FALSE)</f>
        <v>340210.273453245</v>
      </c>
      <c r="G305" s="62">
        <f t="shared" si="60"/>
        <v>3.7199999999999998</v>
      </c>
      <c r="H305" s="4">
        <f>VLOOKUP(A305,[1]SummaryTable!$A$2:$F$359,5,FALSE)</f>
        <v>1</v>
      </c>
      <c r="I305" s="4">
        <f>VLOOKUP(A305,[1]SummaryTable!$A$2:$F$359,6,FALSE)</f>
        <v>0</v>
      </c>
      <c r="J305" s="4" t="str">
        <f>IF(I305&gt;0.1,[2]Processes!$A$6,[2]Processes!$A$5)</f>
        <v>Sawmal</v>
      </c>
      <c r="K305" s="23" t="str">
        <f t="shared" si="61"/>
        <v>-</v>
      </c>
      <c r="L305" s="4" t="str">
        <f t="shared" si="62"/>
        <v>-</v>
      </c>
      <c r="M305" s="4" t="str">
        <f t="shared" si="63"/>
        <v>-</v>
      </c>
      <c r="N305" s="4">
        <f t="shared" si="64"/>
        <v>0</v>
      </c>
      <c r="O305" s="23" t="str">
        <f t="shared" si="65"/>
        <v>-</v>
      </c>
      <c r="P305" s="4" t="str">
        <f t="shared" si="66"/>
        <v>-</v>
      </c>
      <c r="Q305" s="4" t="str">
        <f t="shared" si="67"/>
        <v>-</v>
      </c>
      <c r="R305" s="4">
        <f t="shared" si="68"/>
        <v>0</v>
      </c>
      <c r="S305" s="23" t="str">
        <f t="shared" si="69"/>
        <v>-</v>
      </c>
      <c r="T305" s="4" t="str">
        <f t="shared" si="70"/>
        <v>-</v>
      </c>
      <c r="U305" s="4" t="str">
        <f t="shared" si="71"/>
        <v>-</v>
      </c>
      <c r="V305" s="4">
        <f t="shared" si="72"/>
        <v>0</v>
      </c>
      <c r="W305" s="23">
        <f>VLOOKUP(A305,[1]SummaryTable!$A$2:$F$359,4,FALSE)</f>
        <v>3.1</v>
      </c>
    </row>
    <row r="306" spans="1:23" x14ac:dyDescent="0.25">
      <c r="A306" s="14" t="s">
        <v>308</v>
      </c>
      <c r="B306" s="14" t="str">
        <f t="shared" si="59"/>
        <v>H309</v>
      </c>
      <c r="C306" s="14">
        <v>13</v>
      </c>
      <c r="D306" s="61">
        <v>23</v>
      </c>
      <c r="E306" s="15">
        <f>VLOOKUP(A306,[1]SummaryTable!$A$2:$F$359,2,FALSE)</f>
        <v>6330636.8373840703</v>
      </c>
      <c r="F306" s="15">
        <f>VLOOKUP(A306,[1]SummaryTable!$A$2:$F$359,3,FALSE)</f>
        <v>361790.36558595998</v>
      </c>
      <c r="G306" s="62">
        <f t="shared" si="60"/>
        <v>3.7092000000000001</v>
      </c>
      <c r="H306" s="4">
        <f>VLOOKUP(A306,[1]SummaryTable!$A$2:$F$359,5,FALSE)</f>
        <v>1</v>
      </c>
      <c r="I306" s="4">
        <f>VLOOKUP(A306,[1]SummaryTable!$A$2:$F$359,6,FALSE)</f>
        <v>0</v>
      </c>
      <c r="J306" s="4" t="str">
        <f>IF(I306&gt;0.1,[2]Processes!$A$6,[2]Processes!$A$5)</f>
        <v>Sawmal</v>
      </c>
      <c r="K306" s="23" t="str">
        <f t="shared" si="61"/>
        <v>-</v>
      </c>
      <c r="L306" s="4" t="str">
        <f t="shared" si="62"/>
        <v>-</v>
      </c>
      <c r="M306" s="4" t="str">
        <f t="shared" si="63"/>
        <v>-</v>
      </c>
      <c r="N306" s="4">
        <f t="shared" si="64"/>
        <v>0</v>
      </c>
      <c r="O306" s="23" t="str">
        <f t="shared" si="65"/>
        <v>-</v>
      </c>
      <c r="P306" s="4" t="str">
        <f t="shared" si="66"/>
        <v>-</v>
      </c>
      <c r="Q306" s="4" t="str">
        <f t="shared" si="67"/>
        <v>-</v>
      </c>
      <c r="R306" s="4">
        <f t="shared" si="68"/>
        <v>0</v>
      </c>
      <c r="S306" s="23" t="str">
        <f t="shared" si="69"/>
        <v>-</v>
      </c>
      <c r="T306" s="4" t="str">
        <f t="shared" si="70"/>
        <v>-</v>
      </c>
      <c r="U306" s="4" t="str">
        <f t="shared" si="71"/>
        <v>-</v>
      </c>
      <c r="V306" s="4">
        <f t="shared" si="72"/>
        <v>0</v>
      </c>
      <c r="W306" s="23">
        <f>VLOOKUP(A306,[1]SummaryTable!$A$2:$F$359,4,FALSE)</f>
        <v>3.0910000000000002</v>
      </c>
    </row>
    <row r="307" spans="1:23" x14ac:dyDescent="0.25">
      <c r="A307" s="14" t="s">
        <v>123</v>
      </c>
      <c r="B307" s="14" t="str">
        <f t="shared" si="59"/>
        <v>H124</v>
      </c>
      <c r="C307" s="14">
        <v>20</v>
      </c>
      <c r="D307" s="61">
        <v>31</v>
      </c>
      <c r="E307" s="15">
        <f>VLOOKUP(A307,[1]SummaryTable!$A$2:$F$359,2,FALSE)</f>
        <v>6706176.4845559299</v>
      </c>
      <c r="F307" s="15">
        <f>VLOOKUP(A307,[1]SummaryTable!$A$2:$F$359,3,FALSE)</f>
        <v>529494.57056243205</v>
      </c>
      <c r="G307" s="62">
        <f t="shared" si="60"/>
        <v>3.6191999999999998</v>
      </c>
      <c r="H307" s="4">
        <f>VLOOKUP(A307,[1]SummaryTable!$A$2:$F$359,5,FALSE)</f>
        <v>1</v>
      </c>
      <c r="I307" s="4">
        <f>VLOOKUP(A307,[1]SummaryTable!$A$2:$F$359,6,FALSE)</f>
        <v>0</v>
      </c>
      <c r="J307" s="4" t="str">
        <f>IF(I307&gt;0.1,[2]Processes!$A$6,[2]Processes!$A$5)</f>
        <v>Sawmal</v>
      </c>
      <c r="K307" s="23" t="str">
        <f t="shared" si="61"/>
        <v>-</v>
      </c>
      <c r="L307" s="4" t="str">
        <f t="shared" si="62"/>
        <v>-</v>
      </c>
      <c r="M307" s="4" t="str">
        <f t="shared" si="63"/>
        <v>-</v>
      </c>
      <c r="N307" s="4">
        <f t="shared" si="64"/>
        <v>0</v>
      </c>
      <c r="O307" s="23" t="str">
        <f t="shared" si="65"/>
        <v>-</v>
      </c>
      <c r="P307" s="4" t="str">
        <f t="shared" si="66"/>
        <v>-</v>
      </c>
      <c r="Q307" s="4" t="str">
        <f t="shared" si="67"/>
        <v>-</v>
      </c>
      <c r="R307" s="4">
        <f t="shared" si="68"/>
        <v>0</v>
      </c>
      <c r="S307" s="23" t="str">
        <f t="shared" si="69"/>
        <v>-</v>
      </c>
      <c r="T307" s="4" t="str">
        <f t="shared" si="70"/>
        <v>-</v>
      </c>
      <c r="U307" s="4" t="str">
        <f t="shared" si="71"/>
        <v>-</v>
      </c>
      <c r="V307" s="4">
        <f t="shared" si="72"/>
        <v>0</v>
      </c>
      <c r="W307" s="23">
        <f>VLOOKUP(A307,[1]SummaryTable!$A$2:$F$359,4,FALSE)</f>
        <v>3.016</v>
      </c>
    </row>
    <row r="308" spans="1:23" x14ac:dyDescent="0.25">
      <c r="A308" s="14" t="s">
        <v>307</v>
      </c>
      <c r="B308" s="14" t="str">
        <f t="shared" si="59"/>
        <v>H308</v>
      </c>
      <c r="C308" s="14">
        <v>8</v>
      </c>
      <c r="D308" s="61">
        <v>21</v>
      </c>
      <c r="E308" s="15">
        <f>VLOOKUP(A308,[1]SummaryTable!$A$2:$F$359,2,FALSE)</f>
        <v>6336808.4640468601</v>
      </c>
      <c r="F308" s="15">
        <f>VLOOKUP(A308,[1]SummaryTable!$A$2:$F$359,3,FALSE)</f>
        <v>620667.134264561</v>
      </c>
      <c r="G308" s="62">
        <f t="shared" si="60"/>
        <v>3.3287999999999998</v>
      </c>
      <c r="H308" s="4">
        <f>VLOOKUP(A308,[1]SummaryTable!$A$2:$F$359,5,FALSE)</f>
        <v>1</v>
      </c>
      <c r="I308" s="4">
        <f>VLOOKUP(A308,[1]SummaryTable!$A$2:$F$359,6,FALSE)</f>
        <v>0</v>
      </c>
      <c r="J308" s="4" t="str">
        <f>IF(I308&gt;0.1,[2]Processes!$A$6,[2]Processes!$A$5)</f>
        <v>Sawmal</v>
      </c>
      <c r="K308" s="23" t="str">
        <f t="shared" si="61"/>
        <v>-</v>
      </c>
      <c r="L308" s="4" t="str">
        <f t="shared" si="62"/>
        <v>-</v>
      </c>
      <c r="M308" s="4" t="str">
        <f t="shared" si="63"/>
        <v>-</v>
      </c>
      <c r="N308" s="4">
        <f t="shared" si="64"/>
        <v>0</v>
      </c>
      <c r="O308" s="23" t="str">
        <f t="shared" si="65"/>
        <v>-</v>
      </c>
      <c r="P308" s="4" t="str">
        <f t="shared" si="66"/>
        <v>-</v>
      </c>
      <c r="Q308" s="4" t="str">
        <f t="shared" si="67"/>
        <v>-</v>
      </c>
      <c r="R308" s="4">
        <f t="shared" si="68"/>
        <v>0</v>
      </c>
      <c r="S308" s="23" t="str">
        <f t="shared" si="69"/>
        <v>-</v>
      </c>
      <c r="T308" s="4" t="str">
        <f t="shared" si="70"/>
        <v>-</v>
      </c>
      <c r="U308" s="4" t="str">
        <f t="shared" si="71"/>
        <v>-</v>
      </c>
      <c r="V308" s="4">
        <f t="shared" si="72"/>
        <v>0</v>
      </c>
      <c r="W308" s="23">
        <f>VLOOKUP(A308,[1]SummaryTable!$A$2:$F$359,4,FALSE)</f>
        <v>2.774</v>
      </c>
    </row>
    <row r="309" spans="1:23" x14ac:dyDescent="0.25">
      <c r="A309" s="14" t="s">
        <v>15</v>
      </c>
      <c r="B309" s="14" t="str">
        <f t="shared" si="59"/>
        <v>H16</v>
      </c>
      <c r="C309" s="14">
        <v>5</v>
      </c>
      <c r="D309" s="61">
        <v>12</v>
      </c>
      <c r="E309" s="15">
        <f>VLOOKUP(A309,[1]SummaryTable!$A$2:$F$359,2,FALSE)</f>
        <v>6505208.21</v>
      </c>
      <c r="F309" s="15">
        <f>VLOOKUP(A309,[1]SummaryTable!$A$2:$F$359,3,FALSE)</f>
        <v>582787.22</v>
      </c>
      <c r="G309" s="62">
        <f t="shared" si="60"/>
        <v>3.3047999999999997</v>
      </c>
      <c r="H309" s="4">
        <f>VLOOKUP(A309,[1]SummaryTable!$A$2:$F$359,5,FALSE)</f>
        <v>1</v>
      </c>
      <c r="I309" s="4">
        <f>VLOOKUP(A309,[1]SummaryTable!$A$2:$F$359,6,FALSE)</f>
        <v>0</v>
      </c>
      <c r="J309" s="4" t="str">
        <f>IF(I309&gt;0.1,[2]Processes!$A$6,[2]Processes!$A$5)</f>
        <v>Sawmal</v>
      </c>
      <c r="K309" s="23" t="str">
        <f t="shared" si="61"/>
        <v>-</v>
      </c>
      <c r="L309" s="4" t="str">
        <f t="shared" si="62"/>
        <v>-</v>
      </c>
      <c r="M309" s="4" t="str">
        <f t="shared" si="63"/>
        <v>-</v>
      </c>
      <c r="N309" s="4">
        <f t="shared" si="64"/>
        <v>0</v>
      </c>
      <c r="O309" s="23" t="str">
        <f t="shared" si="65"/>
        <v>-</v>
      </c>
      <c r="P309" s="4" t="str">
        <f t="shared" si="66"/>
        <v>-</v>
      </c>
      <c r="Q309" s="4" t="str">
        <f t="shared" si="67"/>
        <v>-</v>
      </c>
      <c r="R309" s="4">
        <f t="shared" si="68"/>
        <v>0</v>
      </c>
      <c r="S309" s="23" t="str">
        <f t="shared" si="69"/>
        <v>-</v>
      </c>
      <c r="T309" s="4" t="str">
        <f t="shared" si="70"/>
        <v>-</v>
      </c>
      <c r="U309" s="4" t="str">
        <f t="shared" si="71"/>
        <v>-</v>
      </c>
      <c r="V309" s="4">
        <f t="shared" si="72"/>
        <v>0</v>
      </c>
      <c r="W309" s="23">
        <f>VLOOKUP(A309,[1]SummaryTable!$A$2:$F$359,4,FALSE)</f>
        <v>2.754</v>
      </c>
    </row>
    <row r="310" spans="1:23" x14ac:dyDescent="0.25">
      <c r="A310" s="14" t="s">
        <v>14</v>
      </c>
      <c r="B310" s="14" t="str">
        <f t="shared" si="59"/>
        <v>H15</v>
      </c>
      <c r="C310" s="14">
        <v>14</v>
      </c>
      <c r="D310" s="61">
        <v>23</v>
      </c>
      <c r="E310" s="15">
        <f>VLOOKUP(A310,[1]SummaryTable!$A$2:$F$359,2,FALSE)</f>
        <v>6518922.1730000004</v>
      </c>
      <c r="F310" s="15">
        <f>VLOOKUP(A310,[1]SummaryTable!$A$2:$F$359,3,FALSE)</f>
        <v>445130.51699999999</v>
      </c>
      <c r="G310" s="62">
        <f t="shared" si="60"/>
        <v>3.3035999999999999</v>
      </c>
      <c r="H310" s="4">
        <f>VLOOKUP(A310,[1]SummaryTable!$A$2:$F$359,5,FALSE)</f>
        <v>1</v>
      </c>
      <c r="I310" s="4">
        <f>VLOOKUP(A310,[1]SummaryTable!$A$2:$F$359,6,FALSE)</f>
        <v>0</v>
      </c>
      <c r="J310" s="4" t="str">
        <f>IF(I310&gt;0.1,[2]Processes!$A$6,[2]Processes!$A$5)</f>
        <v>Sawmal</v>
      </c>
      <c r="K310" s="23" t="str">
        <f t="shared" si="61"/>
        <v>-</v>
      </c>
      <c r="L310" s="4" t="str">
        <f t="shared" si="62"/>
        <v>-</v>
      </c>
      <c r="M310" s="4" t="str">
        <f t="shared" si="63"/>
        <v>-</v>
      </c>
      <c r="N310" s="4">
        <f t="shared" si="64"/>
        <v>0</v>
      </c>
      <c r="O310" s="23" t="str">
        <f t="shared" si="65"/>
        <v>-</v>
      </c>
      <c r="P310" s="4" t="str">
        <f t="shared" si="66"/>
        <v>-</v>
      </c>
      <c r="Q310" s="4" t="str">
        <f t="shared" si="67"/>
        <v>-</v>
      </c>
      <c r="R310" s="4">
        <f t="shared" si="68"/>
        <v>0</v>
      </c>
      <c r="S310" s="23" t="str">
        <f t="shared" si="69"/>
        <v>-</v>
      </c>
      <c r="T310" s="4" t="str">
        <f t="shared" si="70"/>
        <v>-</v>
      </c>
      <c r="U310" s="4" t="str">
        <f t="shared" si="71"/>
        <v>-</v>
      </c>
      <c r="V310" s="4">
        <f t="shared" si="72"/>
        <v>0</v>
      </c>
      <c r="W310" s="23">
        <f>VLOOKUP(A310,[1]SummaryTable!$A$2:$F$359,4,FALSE)</f>
        <v>2.7530000000000001</v>
      </c>
    </row>
    <row r="311" spans="1:23" x14ac:dyDescent="0.25">
      <c r="A311" s="14" t="s">
        <v>281</v>
      </c>
      <c r="B311" s="14" t="str">
        <f t="shared" si="59"/>
        <v>H282</v>
      </c>
      <c r="C311" s="14">
        <v>14</v>
      </c>
      <c r="D311" s="61">
        <v>23</v>
      </c>
      <c r="E311" s="15">
        <f>VLOOKUP(A311,[1]SummaryTable!$A$2:$F$359,2,FALSE)</f>
        <v>6389044.42058382</v>
      </c>
      <c r="F311" s="15">
        <f>VLOOKUP(A311,[1]SummaryTable!$A$2:$F$359,3,FALSE)</f>
        <v>406039.23538211401</v>
      </c>
      <c r="G311" s="62">
        <f t="shared" si="60"/>
        <v>3.2671199999999998</v>
      </c>
      <c r="H311" s="4">
        <f>VLOOKUP(A311,[1]SummaryTable!$A$2:$F$359,5,FALSE)</f>
        <v>1</v>
      </c>
      <c r="I311" s="4">
        <f>VLOOKUP(A311,[1]SummaryTable!$A$2:$F$359,6,FALSE)</f>
        <v>0</v>
      </c>
      <c r="J311" s="4" t="str">
        <f>IF(I311&gt;0.1,[2]Processes!$A$6,[2]Processes!$A$5)</f>
        <v>Sawmal</v>
      </c>
      <c r="K311" s="23" t="str">
        <f t="shared" si="61"/>
        <v>-</v>
      </c>
      <c r="L311" s="4" t="str">
        <f t="shared" si="62"/>
        <v>-</v>
      </c>
      <c r="M311" s="4" t="str">
        <f t="shared" si="63"/>
        <v>-</v>
      </c>
      <c r="N311" s="4">
        <f t="shared" si="64"/>
        <v>0</v>
      </c>
      <c r="O311" s="23" t="str">
        <f t="shared" si="65"/>
        <v>-</v>
      </c>
      <c r="P311" s="4" t="str">
        <f t="shared" si="66"/>
        <v>-</v>
      </c>
      <c r="Q311" s="4" t="str">
        <f t="shared" si="67"/>
        <v>-</v>
      </c>
      <c r="R311" s="4">
        <f t="shared" si="68"/>
        <v>0</v>
      </c>
      <c r="S311" s="23" t="str">
        <f t="shared" si="69"/>
        <v>-</v>
      </c>
      <c r="T311" s="4" t="str">
        <f t="shared" si="70"/>
        <v>-</v>
      </c>
      <c r="U311" s="4" t="str">
        <f t="shared" si="71"/>
        <v>-</v>
      </c>
      <c r="V311" s="4">
        <f t="shared" si="72"/>
        <v>0</v>
      </c>
      <c r="W311" s="23">
        <f>VLOOKUP(A311,[1]SummaryTable!$A$2:$F$359,4,FALSE)</f>
        <v>2.7225999999999999</v>
      </c>
    </row>
    <row r="312" spans="1:23" x14ac:dyDescent="0.25">
      <c r="A312" s="14" t="s">
        <v>129</v>
      </c>
      <c r="B312" s="14" t="str">
        <f t="shared" si="59"/>
        <v>H130</v>
      </c>
      <c r="C312" s="14">
        <v>20</v>
      </c>
      <c r="D312" s="61">
        <v>31</v>
      </c>
      <c r="E312" s="15">
        <f>VLOOKUP(A312,[1]SummaryTable!$A$2:$F$359,2,FALSE)</f>
        <v>6688463.8942728098</v>
      </c>
      <c r="F312" s="15">
        <f>VLOOKUP(A312,[1]SummaryTable!$A$2:$F$359,3,FALSE)</f>
        <v>540832.811241035</v>
      </c>
      <c r="G312" s="62">
        <f t="shared" si="60"/>
        <v>3.12</v>
      </c>
      <c r="H312" s="4">
        <f>VLOOKUP(A312,[1]SummaryTable!$A$2:$F$359,5,FALSE)</f>
        <v>1</v>
      </c>
      <c r="I312" s="4">
        <f>VLOOKUP(A312,[1]SummaryTable!$A$2:$F$359,6,FALSE)</f>
        <v>0</v>
      </c>
      <c r="J312" s="4" t="str">
        <f>IF(I312&gt;0.1,[2]Processes!$A$6,[2]Processes!$A$5)</f>
        <v>Sawmal</v>
      </c>
      <c r="K312" s="23" t="str">
        <f t="shared" si="61"/>
        <v>-</v>
      </c>
      <c r="L312" s="4" t="str">
        <f t="shared" si="62"/>
        <v>-</v>
      </c>
      <c r="M312" s="4" t="str">
        <f t="shared" si="63"/>
        <v>-</v>
      </c>
      <c r="N312" s="4">
        <f t="shared" si="64"/>
        <v>0</v>
      </c>
      <c r="O312" s="23" t="str">
        <f t="shared" si="65"/>
        <v>-</v>
      </c>
      <c r="P312" s="4" t="str">
        <f t="shared" si="66"/>
        <v>-</v>
      </c>
      <c r="Q312" s="4" t="str">
        <f t="shared" si="67"/>
        <v>-</v>
      </c>
      <c r="R312" s="4">
        <f t="shared" si="68"/>
        <v>0</v>
      </c>
      <c r="S312" s="23" t="str">
        <f t="shared" si="69"/>
        <v>-</v>
      </c>
      <c r="T312" s="4" t="str">
        <f t="shared" si="70"/>
        <v>-</v>
      </c>
      <c r="U312" s="4" t="str">
        <f t="shared" si="71"/>
        <v>-</v>
      </c>
      <c r="V312" s="4">
        <f t="shared" si="72"/>
        <v>0</v>
      </c>
      <c r="W312" s="23">
        <f>VLOOKUP(A312,[1]SummaryTable!$A$2:$F$359,4,FALSE)</f>
        <v>2.6</v>
      </c>
    </row>
    <row r="313" spans="1:23" x14ac:dyDescent="0.25">
      <c r="A313" s="14" t="s">
        <v>16</v>
      </c>
      <c r="B313" s="14" t="str">
        <f t="shared" si="59"/>
        <v>H17</v>
      </c>
      <c r="C313" s="14">
        <v>14</v>
      </c>
      <c r="D313" s="61">
        <v>23</v>
      </c>
      <c r="E313" s="15">
        <f>VLOOKUP(A313,[1]SummaryTable!$A$2:$F$359,2,FALSE)</f>
        <v>6493900.5539999995</v>
      </c>
      <c r="F313" s="15">
        <f>VLOOKUP(A313,[1]SummaryTable!$A$2:$F$359,3,FALSE)</f>
        <v>441842.95799999998</v>
      </c>
      <c r="G313" s="62">
        <f t="shared" si="60"/>
        <v>3.0960000000000001</v>
      </c>
      <c r="H313" s="4">
        <f>VLOOKUP(A313,[1]SummaryTable!$A$2:$F$359,5,FALSE)</f>
        <v>1</v>
      </c>
      <c r="I313" s="4">
        <f>VLOOKUP(A313,[1]SummaryTable!$A$2:$F$359,6,FALSE)</f>
        <v>0</v>
      </c>
      <c r="J313" s="4" t="str">
        <f>IF(I313&gt;0.1,[2]Processes!$A$6,[2]Processes!$A$5)</f>
        <v>Sawmal</v>
      </c>
      <c r="K313" s="23" t="str">
        <f t="shared" si="61"/>
        <v>-</v>
      </c>
      <c r="L313" s="4" t="str">
        <f t="shared" si="62"/>
        <v>-</v>
      </c>
      <c r="M313" s="4" t="str">
        <f t="shared" si="63"/>
        <v>-</v>
      </c>
      <c r="N313" s="4">
        <f t="shared" si="64"/>
        <v>0</v>
      </c>
      <c r="O313" s="23" t="str">
        <f t="shared" si="65"/>
        <v>-</v>
      </c>
      <c r="P313" s="4" t="str">
        <f t="shared" si="66"/>
        <v>-</v>
      </c>
      <c r="Q313" s="4" t="str">
        <f t="shared" si="67"/>
        <v>-</v>
      </c>
      <c r="R313" s="4">
        <f t="shared" si="68"/>
        <v>0</v>
      </c>
      <c r="S313" s="23" t="str">
        <f t="shared" si="69"/>
        <v>-</v>
      </c>
      <c r="T313" s="4" t="str">
        <f t="shared" si="70"/>
        <v>-</v>
      </c>
      <c r="U313" s="4" t="str">
        <f t="shared" si="71"/>
        <v>-</v>
      </c>
      <c r="V313" s="4">
        <f t="shared" si="72"/>
        <v>0</v>
      </c>
      <c r="W313" s="23">
        <f>VLOOKUP(A313,[1]SummaryTable!$A$2:$F$359,4,FALSE)</f>
        <v>2.58</v>
      </c>
    </row>
    <row r="314" spans="1:23" x14ac:dyDescent="0.25">
      <c r="A314" s="14" t="s">
        <v>127</v>
      </c>
      <c r="B314" s="14" t="str">
        <f t="shared" si="59"/>
        <v>H128</v>
      </c>
      <c r="C314" s="14">
        <v>17</v>
      </c>
      <c r="D314" s="61">
        <v>31</v>
      </c>
      <c r="E314" s="15">
        <f>VLOOKUP(A314,[1]SummaryTable!$A$2:$F$359,2,FALSE)</f>
        <v>6694845.0741511704</v>
      </c>
      <c r="F314" s="15">
        <f>VLOOKUP(A314,[1]SummaryTable!$A$2:$F$359,3,FALSE)</f>
        <v>404744.09701003402</v>
      </c>
      <c r="G314" s="62">
        <f t="shared" si="60"/>
        <v>3.0924</v>
      </c>
      <c r="H314" s="4">
        <f>VLOOKUP(A314,[1]SummaryTable!$A$2:$F$359,5,FALSE)</f>
        <v>1</v>
      </c>
      <c r="I314" s="4">
        <f>VLOOKUP(A314,[1]SummaryTable!$A$2:$F$359,6,FALSE)</f>
        <v>0</v>
      </c>
      <c r="J314" s="4" t="str">
        <f>IF(I314&gt;0.1,[2]Processes!$A$6,[2]Processes!$A$5)</f>
        <v>Sawmal</v>
      </c>
      <c r="K314" s="23" t="str">
        <f t="shared" si="61"/>
        <v>-</v>
      </c>
      <c r="L314" s="4" t="str">
        <f t="shared" si="62"/>
        <v>-</v>
      </c>
      <c r="M314" s="4" t="str">
        <f t="shared" si="63"/>
        <v>-</v>
      </c>
      <c r="N314" s="4">
        <f t="shared" si="64"/>
        <v>0</v>
      </c>
      <c r="O314" s="23" t="str">
        <f t="shared" si="65"/>
        <v>-</v>
      </c>
      <c r="P314" s="4" t="str">
        <f t="shared" si="66"/>
        <v>-</v>
      </c>
      <c r="Q314" s="4" t="str">
        <f t="shared" si="67"/>
        <v>-</v>
      </c>
      <c r="R314" s="4">
        <f t="shared" si="68"/>
        <v>0</v>
      </c>
      <c r="S314" s="23" t="str">
        <f t="shared" si="69"/>
        <v>-</v>
      </c>
      <c r="T314" s="4" t="str">
        <f t="shared" si="70"/>
        <v>-</v>
      </c>
      <c r="U314" s="4" t="str">
        <f t="shared" si="71"/>
        <v>-</v>
      </c>
      <c r="V314" s="4">
        <f t="shared" si="72"/>
        <v>0</v>
      </c>
      <c r="W314" s="23">
        <f>VLOOKUP(A314,[1]SummaryTable!$A$2:$F$359,4,FALSE)</f>
        <v>2.577</v>
      </c>
    </row>
    <row r="315" spans="1:23" x14ac:dyDescent="0.25">
      <c r="A315" s="14" t="s">
        <v>48</v>
      </c>
      <c r="B315" s="14" t="str">
        <f t="shared" si="59"/>
        <v>H49</v>
      </c>
      <c r="C315" s="14">
        <v>25</v>
      </c>
      <c r="D315" s="61">
        <v>33</v>
      </c>
      <c r="E315" s="15">
        <f>VLOOKUP(A315,[1]SummaryTable!$A$2:$F$359,2,FALSE)</f>
        <v>7282203.9361098697</v>
      </c>
      <c r="F315" s="15">
        <f>VLOOKUP(A315,[1]SummaryTable!$A$2:$F$359,3,FALSE)</f>
        <v>642827.20055546798</v>
      </c>
      <c r="G315" s="62">
        <f t="shared" si="60"/>
        <v>2.8403999999999998</v>
      </c>
      <c r="H315" s="4">
        <f>VLOOKUP(A315,[1]SummaryTable!$A$2:$F$359,5,FALSE)</f>
        <v>1</v>
      </c>
      <c r="I315" s="4">
        <f>VLOOKUP(A315,[1]SummaryTable!$A$2:$F$359,6,FALSE)</f>
        <v>0</v>
      </c>
      <c r="J315" s="4" t="str">
        <f>IF(I315&gt;0.1,[2]Processes!$A$6,[2]Processes!$A$5)</f>
        <v>Sawmal</v>
      </c>
      <c r="K315" s="23" t="str">
        <f t="shared" si="61"/>
        <v>-</v>
      </c>
      <c r="L315" s="4" t="str">
        <f t="shared" si="62"/>
        <v>-</v>
      </c>
      <c r="M315" s="4" t="str">
        <f t="shared" si="63"/>
        <v>-</v>
      </c>
      <c r="N315" s="4">
        <f t="shared" si="64"/>
        <v>0</v>
      </c>
      <c r="O315" s="23" t="str">
        <f t="shared" si="65"/>
        <v>-</v>
      </c>
      <c r="P315" s="4" t="str">
        <f t="shared" si="66"/>
        <v>-</v>
      </c>
      <c r="Q315" s="4" t="str">
        <f t="shared" si="67"/>
        <v>-</v>
      </c>
      <c r="R315" s="4">
        <f t="shared" si="68"/>
        <v>0</v>
      </c>
      <c r="S315" s="23" t="str">
        <f t="shared" si="69"/>
        <v>-</v>
      </c>
      <c r="T315" s="4" t="str">
        <f t="shared" si="70"/>
        <v>-</v>
      </c>
      <c r="U315" s="4" t="str">
        <f t="shared" si="71"/>
        <v>-</v>
      </c>
      <c r="V315" s="4">
        <f t="shared" si="72"/>
        <v>0</v>
      </c>
      <c r="W315" s="23">
        <f>VLOOKUP(A315,[1]SummaryTable!$A$2:$F$359,4,FALSE)</f>
        <v>2.367</v>
      </c>
    </row>
    <row r="316" spans="1:23" x14ac:dyDescent="0.25">
      <c r="A316" s="14" t="s">
        <v>75</v>
      </c>
      <c r="B316" s="14" t="str">
        <f t="shared" si="59"/>
        <v>H76</v>
      </c>
      <c r="C316" s="14">
        <v>22</v>
      </c>
      <c r="D316" s="61">
        <v>12</v>
      </c>
      <c r="E316" s="15">
        <f>VLOOKUP(A316,[1]SummaryTable!$A$2:$F$359,2,FALSE)</f>
        <v>7035101.0672674896</v>
      </c>
      <c r="F316" s="15">
        <f>VLOOKUP(A316,[1]SummaryTable!$A$2:$F$359,3,FALSE)</f>
        <v>594919.16054835496</v>
      </c>
      <c r="G316" s="62">
        <f t="shared" si="60"/>
        <v>2.76</v>
      </c>
      <c r="H316" s="4">
        <f>VLOOKUP(A316,[1]SummaryTable!$A$2:$F$359,5,FALSE)</f>
        <v>1</v>
      </c>
      <c r="I316" s="4">
        <f>VLOOKUP(A316,[1]SummaryTable!$A$2:$F$359,6,FALSE)</f>
        <v>0</v>
      </c>
      <c r="J316" s="4" t="str">
        <f>IF(I316&gt;0.1,[2]Processes!$A$6,[2]Processes!$A$5)</f>
        <v>Sawmal</v>
      </c>
      <c r="K316" s="23" t="str">
        <f t="shared" si="61"/>
        <v>-</v>
      </c>
      <c r="L316" s="4" t="str">
        <f t="shared" si="62"/>
        <v>-</v>
      </c>
      <c r="M316" s="4" t="str">
        <f t="shared" si="63"/>
        <v>-</v>
      </c>
      <c r="N316" s="4">
        <f t="shared" si="64"/>
        <v>0</v>
      </c>
      <c r="O316" s="23" t="str">
        <f t="shared" si="65"/>
        <v>-</v>
      </c>
      <c r="P316" s="4" t="str">
        <f t="shared" si="66"/>
        <v>-</v>
      </c>
      <c r="Q316" s="4" t="str">
        <f t="shared" si="67"/>
        <v>-</v>
      </c>
      <c r="R316" s="4">
        <f t="shared" si="68"/>
        <v>0</v>
      </c>
      <c r="S316" s="23" t="str">
        <f t="shared" si="69"/>
        <v>-</v>
      </c>
      <c r="T316" s="4" t="str">
        <f t="shared" si="70"/>
        <v>-</v>
      </c>
      <c r="U316" s="4" t="str">
        <f t="shared" si="71"/>
        <v>-</v>
      </c>
      <c r="V316" s="4">
        <f t="shared" si="72"/>
        <v>0</v>
      </c>
      <c r="W316" s="23">
        <f>VLOOKUP(A316,[1]SummaryTable!$A$2:$F$359,4,FALSE)</f>
        <v>2.2999999999999998</v>
      </c>
    </row>
    <row r="317" spans="1:23" x14ac:dyDescent="0.25">
      <c r="A317" s="14" t="s">
        <v>78</v>
      </c>
      <c r="B317" s="14" t="str">
        <f t="shared" si="59"/>
        <v>H79</v>
      </c>
      <c r="C317" s="14">
        <v>22</v>
      </c>
      <c r="D317" s="61">
        <v>12</v>
      </c>
      <c r="E317" s="15">
        <f>VLOOKUP(A317,[1]SummaryTable!$A$2:$F$359,2,FALSE)</f>
        <v>7030696.4206447797</v>
      </c>
      <c r="F317" s="15">
        <f>VLOOKUP(A317,[1]SummaryTable!$A$2:$F$359,3,FALSE)</f>
        <v>708057.34217279102</v>
      </c>
      <c r="G317" s="62">
        <f t="shared" si="60"/>
        <v>2.751528</v>
      </c>
      <c r="H317" s="4">
        <f>VLOOKUP(A317,[1]SummaryTable!$A$2:$F$359,5,FALSE)</f>
        <v>1</v>
      </c>
      <c r="I317" s="4">
        <f>VLOOKUP(A317,[1]SummaryTable!$A$2:$F$359,6,FALSE)</f>
        <v>0</v>
      </c>
      <c r="J317" s="4" t="str">
        <f>IF(I317&gt;0.1,[2]Processes!$A$6,[2]Processes!$A$5)</f>
        <v>Sawmal</v>
      </c>
      <c r="K317" s="23" t="str">
        <f t="shared" si="61"/>
        <v>-</v>
      </c>
      <c r="L317" s="4" t="str">
        <f t="shared" si="62"/>
        <v>-</v>
      </c>
      <c r="M317" s="4" t="str">
        <f t="shared" si="63"/>
        <v>-</v>
      </c>
      <c r="N317" s="4">
        <f t="shared" si="64"/>
        <v>0</v>
      </c>
      <c r="O317" s="23" t="str">
        <f t="shared" si="65"/>
        <v>-</v>
      </c>
      <c r="P317" s="4" t="str">
        <f t="shared" si="66"/>
        <v>-</v>
      </c>
      <c r="Q317" s="4" t="str">
        <f t="shared" si="67"/>
        <v>-</v>
      </c>
      <c r="R317" s="4">
        <f t="shared" si="68"/>
        <v>0</v>
      </c>
      <c r="S317" s="23" t="str">
        <f t="shared" si="69"/>
        <v>-</v>
      </c>
      <c r="T317" s="4" t="str">
        <f t="shared" si="70"/>
        <v>-</v>
      </c>
      <c r="U317" s="4" t="str">
        <f t="shared" si="71"/>
        <v>-</v>
      </c>
      <c r="V317" s="4">
        <f t="shared" si="72"/>
        <v>0</v>
      </c>
      <c r="W317" s="23">
        <f>VLOOKUP(A317,[1]SummaryTable!$A$2:$F$359,4,FALSE)</f>
        <v>2.2929400000000002</v>
      </c>
    </row>
    <row r="318" spans="1:23" x14ac:dyDescent="0.25">
      <c r="A318" s="14" t="s">
        <v>328</v>
      </c>
      <c r="B318" s="14" t="str">
        <f t="shared" si="59"/>
        <v>H329</v>
      </c>
      <c r="C318" s="14">
        <v>12</v>
      </c>
      <c r="D318" s="61">
        <v>22</v>
      </c>
      <c r="E318" s="15">
        <f>VLOOKUP(A318,[1]SummaryTable!$A$2:$F$359,2,FALSE)</f>
        <v>6240215.61600227</v>
      </c>
      <c r="F318" s="15">
        <f>VLOOKUP(A318,[1]SummaryTable!$A$2:$F$359,3,FALSE)</f>
        <v>370878.264871069</v>
      </c>
      <c r="G318" s="62">
        <f t="shared" si="60"/>
        <v>2.6279999999999997</v>
      </c>
      <c r="H318" s="4">
        <f>VLOOKUP(A318,[1]SummaryTable!$A$2:$F$359,5,FALSE)</f>
        <v>1</v>
      </c>
      <c r="I318" s="4">
        <f>VLOOKUP(A318,[1]SummaryTable!$A$2:$F$359,6,FALSE)</f>
        <v>0</v>
      </c>
      <c r="J318" s="4" t="str">
        <f>IF(I318&gt;0.1,[2]Processes!$A$6,[2]Processes!$A$5)</f>
        <v>Sawmal</v>
      </c>
      <c r="K318" s="23" t="str">
        <f t="shared" si="61"/>
        <v>-</v>
      </c>
      <c r="L318" s="4" t="str">
        <f t="shared" si="62"/>
        <v>-</v>
      </c>
      <c r="M318" s="4" t="str">
        <f t="shared" si="63"/>
        <v>-</v>
      </c>
      <c r="N318" s="4">
        <f t="shared" si="64"/>
        <v>0</v>
      </c>
      <c r="O318" s="23" t="str">
        <f t="shared" si="65"/>
        <v>-</v>
      </c>
      <c r="P318" s="4" t="str">
        <f t="shared" si="66"/>
        <v>-</v>
      </c>
      <c r="Q318" s="4" t="str">
        <f t="shared" si="67"/>
        <v>-</v>
      </c>
      <c r="R318" s="4">
        <f t="shared" si="68"/>
        <v>0</v>
      </c>
      <c r="S318" s="23" t="str">
        <f t="shared" si="69"/>
        <v>-</v>
      </c>
      <c r="T318" s="4" t="str">
        <f t="shared" si="70"/>
        <v>-</v>
      </c>
      <c r="U318" s="4" t="str">
        <f t="shared" si="71"/>
        <v>-</v>
      </c>
      <c r="V318" s="4">
        <f t="shared" si="72"/>
        <v>0</v>
      </c>
      <c r="W318" s="23">
        <f>VLOOKUP(A318,[1]SummaryTable!$A$2:$F$359,4,FALSE)</f>
        <v>2.19</v>
      </c>
    </row>
    <row r="319" spans="1:23" x14ac:dyDescent="0.25">
      <c r="A319" s="14" t="s">
        <v>274</v>
      </c>
      <c r="B319" s="14" t="str">
        <f t="shared" si="59"/>
        <v>H275</v>
      </c>
      <c r="C319" s="14">
        <v>6</v>
      </c>
      <c r="D319" s="61">
        <v>21</v>
      </c>
      <c r="E319" s="15">
        <f>VLOOKUP(A319,[1]SummaryTable!$A$2:$F$359,2,FALSE)</f>
        <v>6395672.42183726</v>
      </c>
      <c r="F319" s="15">
        <f>VLOOKUP(A319,[1]SummaryTable!$A$2:$F$359,3,FALSE)</f>
        <v>488304.347814187</v>
      </c>
      <c r="G319" s="62">
        <f t="shared" si="60"/>
        <v>2.4503999999999997</v>
      </c>
      <c r="H319" s="4">
        <f>VLOOKUP(A319,[1]SummaryTable!$A$2:$F$359,5,FALSE)</f>
        <v>1</v>
      </c>
      <c r="I319" s="4">
        <f>VLOOKUP(A319,[1]SummaryTable!$A$2:$F$359,6,FALSE)</f>
        <v>0</v>
      </c>
      <c r="J319" s="4" t="str">
        <f>IF(I319&gt;0.1,[2]Processes!$A$6,[2]Processes!$A$5)</f>
        <v>Sawmal</v>
      </c>
      <c r="K319" s="23" t="str">
        <f t="shared" si="61"/>
        <v>-</v>
      </c>
      <c r="L319" s="4" t="str">
        <f t="shared" si="62"/>
        <v>-</v>
      </c>
      <c r="M319" s="4" t="str">
        <f t="shared" si="63"/>
        <v>-</v>
      </c>
      <c r="N319" s="4">
        <f t="shared" si="64"/>
        <v>0</v>
      </c>
      <c r="O319" s="23" t="str">
        <f t="shared" si="65"/>
        <v>-</v>
      </c>
      <c r="P319" s="4" t="str">
        <f t="shared" si="66"/>
        <v>-</v>
      </c>
      <c r="Q319" s="4" t="str">
        <f t="shared" si="67"/>
        <v>-</v>
      </c>
      <c r="R319" s="4">
        <f t="shared" si="68"/>
        <v>0</v>
      </c>
      <c r="S319" s="23" t="str">
        <f t="shared" si="69"/>
        <v>-</v>
      </c>
      <c r="T319" s="4" t="str">
        <f t="shared" si="70"/>
        <v>-</v>
      </c>
      <c r="U319" s="4" t="str">
        <f t="shared" si="71"/>
        <v>-</v>
      </c>
      <c r="V319" s="4">
        <f t="shared" si="72"/>
        <v>0</v>
      </c>
      <c r="W319" s="23">
        <f>VLOOKUP(A319,[1]SummaryTable!$A$2:$F$359,4,FALSE)</f>
        <v>2.0419999999999998</v>
      </c>
    </row>
    <row r="320" spans="1:23" x14ac:dyDescent="0.25">
      <c r="A320" s="14" t="s">
        <v>49</v>
      </c>
      <c r="B320" s="14" t="str">
        <f t="shared" si="59"/>
        <v>H50</v>
      </c>
      <c r="C320" s="14">
        <v>25</v>
      </c>
      <c r="D320" s="61">
        <v>33</v>
      </c>
      <c r="E320" s="15">
        <f>VLOOKUP(A320,[1]SummaryTable!$A$2:$F$359,2,FALSE)</f>
        <v>7274229.1031770902</v>
      </c>
      <c r="F320" s="15">
        <f>VLOOKUP(A320,[1]SummaryTable!$A$2:$F$359,3,FALSE)</f>
        <v>809210.08315035899</v>
      </c>
      <c r="G320" s="62">
        <f t="shared" si="60"/>
        <v>2.4423479999999995</v>
      </c>
      <c r="H320" s="4">
        <f>VLOOKUP(A320,[1]SummaryTable!$A$2:$F$359,5,FALSE)</f>
        <v>1</v>
      </c>
      <c r="I320" s="4">
        <f>VLOOKUP(A320,[1]SummaryTable!$A$2:$F$359,6,FALSE)</f>
        <v>0</v>
      </c>
      <c r="J320" s="4" t="str">
        <f>IF(I320&gt;0.1,[2]Processes!$A$6,[2]Processes!$A$5)</f>
        <v>Sawmal</v>
      </c>
      <c r="K320" s="23" t="str">
        <f t="shared" si="61"/>
        <v>-</v>
      </c>
      <c r="L320" s="4" t="str">
        <f t="shared" si="62"/>
        <v>-</v>
      </c>
      <c r="M320" s="4" t="str">
        <f t="shared" si="63"/>
        <v>-</v>
      </c>
      <c r="N320" s="4">
        <f t="shared" si="64"/>
        <v>0</v>
      </c>
      <c r="O320" s="23" t="str">
        <f t="shared" si="65"/>
        <v>-</v>
      </c>
      <c r="P320" s="4" t="str">
        <f t="shared" si="66"/>
        <v>-</v>
      </c>
      <c r="Q320" s="4" t="str">
        <f t="shared" si="67"/>
        <v>-</v>
      </c>
      <c r="R320" s="4">
        <f t="shared" si="68"/>
        <v>0</v>
      </c>
      <c r="S320" s="23" t="str">
        <f t="shared" si="69"/>
        <v>-</v>
      </c>
      <c r="T320" s="4" t="str">
        <f t="shared" si="70"/>
        <v>-</v>
      </c>
      <c r="U320" s="4" t="str">
        <f t="shared" si="71"/>
        <v>-</v>
      </c>
      <c r="V320" s="4">
        <f t="shared" si="72"/>
        <v>0</v>
      </c>
      <c r="W320" s="23">
        <f>VLOOKUP(A320,[1]SummaryTable!$A$2:$F$359,4,FALSE)</f>
        <v>2.0352899999999998</v>
      </c>
    </row>
    <row r="321" spans="1:23" x14ac:dyDescent="0.25">
      <c r="A321" s="14" t="s">
        <v>306</v>
      </c>
      <c r="B321" s="14" t="str">
        <f t="shared" si="59"/>
        <v>H307</v>
      </c>
      <c r="C321" s="14">
        <v>6</v>
      </c>
      <c r="D321" s="61">
        <v>21</v>
      </c>
      <c r="E321" s="15">
        <f>VLOOKUP(A321,[1]SummaryTable!$A$2:$F$359,2,FALSE)</f>
        <v>6334466.3203747803</v>
      </c>
      <c r="F321" s="15">
        <f>VLOOKUP(A321,[1]SummaryTable!$A$2:$F$359,3,FALSE)</f>
        <v>415837.13367559901</v>
      </c>
      <c r="G321" s="62">
        <f t="shared" si="60"/>
        <v>2.3832</v>
      </c>
      <c r="H321" s="4">
        <f>VLOOKUP(A321,[1]SummaryTable!$A$2:$F$359,5,FALSE)</f>
        <v>1</v>
      </c>
      <c r="I321" s="4">
        <f>VLOOKUP(A321,[1]SummaryTable!$A$2:$F$359,6,FALSE)</f>
        <v>0</v>
      </c>
      <c r="J321" s="4" t="str">
        <f>IF(I321&gt;0.1,[2]Processes!$A$6,[2]Processes!$A$5)</f>
        <v>Sawmal</v>
      </c>
      <c r="K321" s="23" t="str">
        <f t="shared" si="61"/>
        <v>-</v>
      </c>
      <c r="L321" s="4" t="str">
        <f t="shared" si="62"/>
        <v>-</v>
      </c>
      <c r="M321" s="4" t="str">
        <f t="shared" si="63"/>
        <v>-</v>
      </c>
      <c r="N321" s="4">
        <f t="shared" si="64"/>
        <v>0</v>
      </c>
      <c r="O321" s="23" t="str">
        <f t="shared" si="65"/>
        <v>-</v>
      </c>
      <c r="P321" s="4" t="str">
        <f t="shared" si="66"/>
        <v>-</v>
      </c>
      <c r="Q321" s="4" t="str">
        <f t="shared" si="67"/>
        <v>-</v>
      </c>
      <c r="R321" s="4">
        <f t="shared" si="68"/>
        <v>0</v>
      </c>
      <c r="S321" s="23" t="str">
        <f t="shared" si="69"/>
        <v>-</v>
      </c>
      <c r="T321" s="4" t="str">
        <f t="shared" si="70"/>
        <v>-</v>
      </c>
      <c r="U321" s="4" t="str">
        <f t="shared" si="71"/>
        <v>-</v>
      </c>
      <c r="V321" s="4">
        <f t="shared" si="72"/>
        <v>0</v>
      </c>
      <c r="W321" s="23">
        <f>VLOOKUP(A321,[1]SummaryTable!$A$2:$F$359,4,FALSE)</f>
        <v>1.986</v>
      </c>
    </row>
    <row r="322" spans="1:23" x14ac:dyDescent="0.25">
      <c r="A322" s="14" t="s">
        <v>196</v>
      </c>
      <c r="B322" s="14" t="str">
        <f t="shared" si="59"/>
        <v>H197</v>
      </c>
      <c r="C322" s="14">
        <v>18</v>
      </c>
      <c r="D322" s="61">
        <v>12</v>
      </c>
      <c r="E322" s="15">
        <f>VLOOKUP(A322,[1]SummaryTable!$A$2:$F$359,2,FALSE)</f>
        <v>6551908.4967822004</v>
      </c>
      <c r="F322" s="15">
        <f>VLOOKUP(A322,[1]SummaryTable!$A$2:$F$359,3,FALSE)</f>
        <v>472462.87087711698</v>
      </c>
      <c r="G322" s="62">
        <f t="shared" si="60"/>
        <v>2.2212000000000001</v>
      </c>
      <c r="H322" s="4">
        <f>VLOOKUP(A322,[1]SummaryTable!$A$2:$F$359,5,FALSE)</f>
        <v>1</v>
      </c>
      <c r="I322" s="4">
        <f>VLOOKUP(A322,[1]SummaryTable!$A$2:$F$359,6,FALSE)</f>
        <v>0</v>
      </c>
      <c r="J322" s="4" t="str">
        <f>IF(I322&gt;0.1,[2]Processes!$A$6,[2]Processes!$A$5)</f>
        <v>Sawmal</v>
      </c>
      <c r="K322" s="23" t="str">
        <f t="shared" si="61"/>
        <v>-</v>
      </c>
      <c r="L322" s="4" t="str">
        <f t="shared" si="62"/>
        <v>-</v>
      </c>
      <c r="M322" s="4" t="str">
        <f t="shared" si="63"/>
        <v>-</v>
      </c>
      <c r="N322" s="4">
        <f t="shared" si="64"/>
        <v>0</v>
      </c>
      <c r="O322" s="23" t="str">
        <f t="shared" si="65"/>
        <v>-</v>
      </c>
      <c r="P322" s="4" t="str">
        <f t="shared" si="66"/>
        <v>-</v>
      </c>
      <c r="Q322" s="4" t="str">
        <f t="shared" si="67"/>
        <v>-</v>
      </c>
      <c r="R322" s="4">
        <f t="shared" si="68"/>
        <v>0</v>
      </c>
      <c r="S322" s="23" t="str">
        <f t="shared" si="69"/>
        <v>-</v>
      </c>
      <c r="T322" s="4" t="str">
        <f t="shared" si="70"/>
        <v>-</v>
      </c>
      <c r="U322" s="4" t="str">
        <f t="shared" si="71"/>
        <v>-</v>
      </c>
      <c r="V322" s="4">
        <f t="shared" si="72"/>
        <v>0</v>
      </c>
      <c r="W322" s="23">
        <f>VLOOKUP(A322,[1]SummaryTable!$A$2:$F$359,4,FALSE)</f>
        <v>1.851</v>
      </c>
    </row>
    <row r="323" spans="1:23" x14ac:dyDescent="0.25">
      <c r="A323" s="14" t="s">
        <v>142</v>
      </c>
      <c r="B323" s="14" t="str">
        <f t="shared" ref="B323:B360" si="73">A323</f>
        <v>H143</v>
      </c>
      <c r="C323" s="14">
        <v>19</v>
      </c>
      <c r="D323" s="61">
        <v>12</v>
      </c>
      <c r="E323" s="15">
        <f>VLOOKUP(A323,[1]SummaryTable!$A$2:$F$359,2,FALSE)</f>
        <v>6657440.2617340796</v>
      </c>
      <c r="F323" s="15">
        <f>VLOOKUP(A323,[1]SummaryTable!$A$2:$F$359,3,FALSE)</f>
        <v>550893.68900930404</v>
      </c>
      <c r="G323" s="62">
        <f t="shared" ref="G323:G360" si="74">1.2*W323</f>
        <v>1.8906719999999999</v>
      </c>
      <c r="H323" s="4">
        <f>VLOOKUP(A323,[1]SummaryTable!$A$2:$F$359,5,FALSE)</f>
        <v>1</v>
      </c>
      <c r="I323" s="4">
        <f>VLOOKUP(A323,[1]SummaryTable!$A$2:$F$359,6,FALSE)</f>
        <v>0</v>
      </c>
      <c r="J323" s="4" t="str">
        <f>IF(I323&gt;0.1,[2]Processes!$A$6,[2]Processes!$A$5)</f>
        <v>Sawmal</v>
      </c>
      <c r="K323" s="23" t="str">
        <f t="shared" si="61"/>
        <v>-</v>
      </c>
      <c r="L323" s="4" t="str">
        <f t="shared" si="62"/>
        <v>-</v>
      </c>
      <c r="M323" s="4" t="str">
        <f t="shared" si="63"/>
        <v>-</v>
      </c>
      <c r="N323" s="4">
        <f t="shared" si="64"/>
        <v>0</v>
      </c>
      <c r="O323" s="23" t="str">
        <f t="shared" si="65"/>
        <v>-</v>
      </c>
      <c r="P323" s="4" t="str">
        <f t="shared" si="66"/>
        <v>-</v>
      </c>
      <c r="Q323" s="4" t="str">
        <f t="shared" si="67"/>
        <v>-</v>
      </c>
      <c r="R323" s="4">
        <f t="shared" si="68"/>
        <v>0</v>
      </c>
      <c r="S323" s="23" t="str">
        <f t="shared" si="69"/>
        <v>-</v>
      </c>
      <c r="T323" s="4" t="str">
        <f t="shared" si="70"/>
        <v>-</v>
      </c>
      <c r="U323" s="4" t="str">
        <f t="shared" si="71"/>
        <v>-</v>
      </c>
      <c r="V323" s="4">
        <f t="shared" si="72"/>
        <v>0</v>
      </c>
      <c r="W323" s="23">
        <f>VLOOKUP(A323,[1]SummaryTable!$A$2:$F$359,4,FALSE)</f>
        <v>1.5755600000000001</v>
      </c>
    </row>
    <row r="324" spans="1:23" x14ac:dyDescent="0.25">
      <c r="A324" s="14" t="s">
        <v>26</v>
      </c>
      <c r="B324" s="14" t="str">
        <f t="shared" si="73"/>
        <v>H27</v>
      </c>
      <c r="C324" s="14">
        <v>14</v>
      </c>
      <c r="D324" s="61">
        <v>23</v>
      </c>
      <c r="E324" s="15">
        <f>VLOOKUP(A324,[1]SummaryTable!$A$2:$F$359,2,FALSE)</f>
        <v>6374609.8150000004</v>
      </c>
      <c r="F324" s="15">
        <f>VLOOKUP(A324,[1]SummaryTable!$A$2:$F$359,3,FALSE)</f>
        <v>359869.85499999998</v>
      </c>
      <c r="G324" s="62">
        <f t="shared" si="74"/>
        <v>1.8203999999999998</v>
      </c>
      <c r="H324" s="4">
        <f>VLOOKUP(A324,[1]SummaryTable!$A$2:$F$359,5,FALSE)</f>
        <v>1</v>
      </c>
      <c r="I324" s="4">
        <f>VLOOKUP(A324,[1]SummaryTable!$A$2:$F$359,6,FALSE)</f>
        <v>0</v>
      </c>
      <c r="J324" s="4" t="str">
        <f>IF(I324&gt;0.1,[2]Processes!$A$6,[2]Processes!$A$5)</f>
        <v>Sawmal</v>
      </c>
      <c r="K324" s="23" t="str">
        <f t="shared" ref="K324:K360" si="75">IF(G324&gt;$N$1,$A324&amp;"L"&amp;K$1,"-")</f>
        <v>-</v>
      </c>
      <c r="L324" s="4" t="str">
        <f t="shared" ref="L324:L360" si="76">IF(K324="-","-",$A324)</f>
        <v>-</v>
      </c>
      <c r="M324" s="4" t="str">
        <f t="shared" ref="M324:M360" si="77">IF(L324="-","-","Heatpl")</f>
        <v>-</v>
      </c>
      <c r="N324" s="4">
        <f t="shared" ref="N324:N360" si="78">IF(M324="-",0,G324)</f>
        <v>0</v>
      </c>
      <c r="O324" s="23" t="str">
        <f t="shared" ref="O324:O360" si="79">IF(G324*I324&gt;$N$1,$A324&amp;"L"&amp;O$1,"-")</f>
        <v>-</v>
      </c>
      <c r="P324" s="4" t="str">
        <f t="shared" ref="P324:P360" si="80">IF(O324="-","-",A324)</f>
        <v>-</v>
      </c>
      <c r="Q324" s="4" t="str">
        <f t="shared" ref="Q324:Q360" si="81">IF(P324="-","-","CHPpl_")</f>
        <v>-</v>
      </c>
      <c r="R324" s="4">
        <f t="shared" ref="R324:R360" si="82">IF(Q324="-",0,G324*I324)</f>
        <v>0</v>
      </c>
      <c r="S324" s="23" t="str">
        <f t="shared" ref="S324:S331" si="83">IF(G324&gt;$N$1,$A324&amp;"L"&amp;S$1,"-")</f>
        <v>-</v>
      </c>
      <c r="T324" s="4" t="str">
        <f t="shared" ref="T324:T360" si="84">IF(S324="-","-",$A324)</f>
        <v>-</v>
      </c>
      <c r="U324" s="4" t="str">
        <f t="shared" ref="U324:U360" si="85">IF(T324="-","-","TerHea")</f>
        <v>-</v>
      </c>
      <c r="V324" s="4">
        <f t="shared" ref="V324:V360" si="86">IF(U324="-",0,9999)</f>
        <v>0</v>
      </c>
      <c r="W324" s="23">
        <f>VLOOKUP(A324,[1]SummaryTable!$A$2:$F$359,4,FALSE)</f>
        <v>1.5169999999999999</v>
      </c>
    </row>
    <row r="325" spans="1:23" x14ac:dyDescent="0.25">
      <c r="A325" s="14" t="s">
        <v>257</v>
      </c>
      <c r="B325" s="14" t="str">
        <f t="shared" si="73"/>
        <v>H258</v>
      </c>
      <c r="C325" s="14">
        <v>14</v>
      </c>
      <c r="D325" s="61">
        <v>23</v>
      </c>
      <c r="E325" s="15">
        <f>VLOOKUP(A325,[1]SummaryTable!$A$2:$F$359,2,FALSE)</f>
        <v>6414154.3673454998</v>
      </c>
      <c r="F325" s="15">
        <f>VLOOKUP(A325,[1]SummaryTable!$A$2:$F$359,3,FALSE)</f>
        <v>320183.08311222401</v>
      </c>
      <c r="G325" s="62">
        <f t="shared" si="74"/>
        <v>1.5720000000000001</v>
      </c>
      <c r="H325" s="4">
        <f>VLOOKUP(A325,[1]SummaryTable!$A$2:$F$359,5,FALSE)</f>
        <v>1</v>
      </c>
      <c r="I325" s="4">
        <f>VLOOKUP(A325,[1]SummaryTable!$A$2:$F$359,6,FALSE)</f>
        <v>0</v>
      </c>
      <c r="J325" s="4" t="str">
        <f>IF(I325&gt;0.1,[2]Processes!$A$6,[2]Processes!$A$5)</f>
        <v>Sawmal</v>
      </c>
      <c r="K325" s="23" t="str">
        <f t="shared" si="75"/>
        <v>-</v>
      </c>
      <c r="L325" s="4" t="str">
        <f t="shared" si="76"/>
        <v>-</v>
      </c>
      <c r="M325" s="4" t="str">
        <f t="shared" si="77"/>
        <v>-</v>
      </c>
      <c r="N325" s="4">
        <f t="shared" si="78"/>
        <v>0</v>
      </c>
      <c r="O325" s="23" t="str">
        <f t="shared" si="79"/>
        <v>-</v>
      </c>
      <c r="P325" s="4" t="str">
        <f t="shared" si="80"/>
        <v>-</v>
      </c>
      <c r="Q325" s="4" t="str">
        <f t="shared" si="81"/>
        <v>-</v>
      </c>
      <c r="R325" s="4">
        <f t="shared" si="82"/>
        <v>0</v>
      </c>
      <c r="S325" s="23" t="str">
        <f t="shared" si="83"/>
        <v>-</v>
      </c>
      <c r="T325" s="4" t="str">
        <f t="shared" si="84"/>
        <v>-</v>
      </c>
      <c r="U325" s="4" t="str">
        <f t="shared" si="85"/>
        <v>-</v>
      </c>
      <c r="V325" s="4">
        <f t="shared" si="86"/>
        <v>0</v>
      </c>
      <c r="W325" s="23">
        <f>VLOOKUP(A325,[1]SummaryTable!$A$2:$F$359,4,FALSE)</f>
        <v>1.31</v>
      </c>
    </row>
    <row r="326" spans="1:23" x14ac:dyDescent="0.25">
      <c r="A326" s="14" t="s">
        <v>22</v>
      </c>
      <c r="B326" s="14" t="str">
        <f t="shared" si="73"/>
        <v>H23</v>
      </c>
      <c r="C326" s="14">
        <v>14</v>
      </c>
      <c r="D326" s="61">
        <v>23</v>
      </c>
      <c r="E326" s="15">
        <f>VLOOKUP(A326,[1]SummaryTable!$A$2:$F$359,2,FALSE)</f>
        <v>6412295.227</v>
      </c>
      <c r="F326" s="15">
        <f>VLOOKUP(A326,[1]SummaryTable!$A$2:$F$359,3,FALSE)</f>
        <v>407222.46100000001</v>
      </c>
      <c r="G326" s="62">
        <f t="shared" si="74"/>
        <v>1.352784</v>
      </c>
      <c r="H326" s="4">
        <f>VLOOKUP(A326,[1]SummaryTable!$A$2:$F$359,5,FALSE)</f>
        <v>1</v>
      </c>
      <c r="I326" s="4">
        <f>VLOOKUP(A326,[1]SummaryTable!$A$2:$F$359,6,FALSE)</f>
        <v>0</v>
      </c>
      <c r="J326" s="4" t="str">
        <f>IF(I326&gt;0.1,[2]Processes!$A$6,[2]Processes!$A$5)</f>
        <v>Sawmal</v>
      </c>
      <c r="K326" s="23" t="str">
        <f t="shared" si="75"/>
        <v>-</v>
      </c>
      <c r="L326" s="4" t="str">
        <f t="shared" si="76"/>
        <v>-</v>
      </c>
      <c r="M326" s="4" t="str">
        <f t="shared" si="77"/>
        <v>-</v>
      </c>
      <c r="N326" s="4">
        <f t="shared" si="78"/>
        <v>0</v>
      </c>
      <c r="O326" s="23" t="str">
        <f t="shared" si="79"/>
        <v>-</v>
      </c>
      <c r="P326" s="4" t="str">
        <f t="shared" si="80"/>
        <v>-</v>
      </c>
      <c r="Q326" s="4" t="str">
        <f t="shared" si="81"/>
        <v>-</v>
      </c>
      <c r="R326" s="4">
        <f t="shared" si="82"/>
        <v>0</v>
      </c>
      <c r="S326" s="23" t="str">
        <f t="shared" si="83"/>
        <v>-</v>
      </c>
      <c r="T326" s="4" t="str">
        <f t="shared" si="84"/>
        <v>-</v>
      </c>
      <c r="U326" s="4" t="str">
        <f t="shared" si="85"/>
        <v>-</v>
      </c>
      <c r="V326" s="4">
        <f t="shared" si="86"/>
        <v>0</v>
      </c>
      <c r="W326" s="23">
        <f>VLOOKUP(A326,[1]SummaryTable!$A$2:$F$359,4,FALSE)</f>
        <v>1.1273200000000001</v>
      </c>
    </row>
    <row r="327" spans="1:23" x14ac:dyDescent="0.25">
      <c r="A327" s="14" t="s">
        <v>258</v>
      </c>
      <c r="B327" s="14" t="str">
        <f t="shared" si="73"/>
        <v>H259</v>
      </c>
      <c r="C327" s="14">
        <v>14</v>
      </c>
      <c r="D327" s="61">
        <v>23</v>
      </c>
      <c r="E327" s="15">
        <f>VLOOKUP(A327,[1]SummaryTable!$A$2:$F$359,2,FALSE)</f>
        <v>6414154.3673454998</v>
      </c>
      <c r="F327" s="15">
        <f>VLOOKUP(A327,[1]SummaryTable!$A$2:$F$359,3,FALSE)</f>
        <v>320183.08311222401</v>
      </c>
      <c r="G327" s="62">
        <f t="shared" si="74"/>
        <v>1.1759999999999999</v>
      </c>
      <c r="H327" s="4">
        <f>VLOOKUP(A327,[1]SummaryTable!$A$2:$F$359,5,FALSE)</f>
        <v>1</v>
      </c>
      <c r="I327" s="4">
        <f>VLOOKUP(A327,[1]SummaryTable!$A$2:$F$359,6,FALSE)</f>
        <v>0</v>
      </c>
      <c r="J327" s="4" t="str">
        <f>IF(I327&gt;0.1,[2]Processes!$A$6,[2]Processes!$A$5)</f>
        <v>Sawmal</v>
      </c>
      <c r="K327" s="23" t="str">
        <f t="shared" si="75"/>
        <v>-</v>
      </c>
      <c r="L327" s="4" t="str">
        <f t="shared" si="76"/>
        <v>-</v>
      </c>
      <c r="M327" s="4" t="str">
        <f t="shared" si="77"/>
        <v>-</v>
      </c>
      <c r="N327" s="4">
        <f t="shared" si="78"/>
        <v>0</v>
      </c>
      <c r="O327" s="23" t="str">
        <f t="shared" si="79"/>
        <v>-</v>
      </c>
      <c r="P327" s="4" t="str">
        <f t="shared" si="80"/>
        <v>-</v>
      </c>
      <c r="Q327" s="4" t="str">
        <f t="shared" si="81"/>
        <v>-</v>
      </c>
      <c r="R327" s="4">
        <f t="shared" si="82"/>
        <v>0</v>
      </c>
      <c r="S327" s="23" t="str">
        <f t="shared" si="83"/>
        <v>-</v>
      </c>
      <c r="T327" s="4" t="str">
        <f t="shared" si="84"/>
        <v>-</v>
      </c>
      <c r="U327" s="4" t="str">
        <f t="shared" si="85"/>
        <v>-</v>
      </c>
      <c r="V327" s="4">
        <f t="shared" si="86"/>
        <v>0</v>
      </c>
      <c r="W327" s="23">
        <f>VLOOKUP(A327,[1]SummaryTable!$A$2:$F$359,4,FALSE)</f>
        <v>0.98</v>
      </c>
    </row>
    <row r="328" spans="1:23" x14ac:dyDescent="0.25">
      <c r="A328" s="14" t="s">
        <v>249</v>
      </c>
      <c r="B328" s="14" t="str">
        <f t="shared" si="73"/>
        <v>H250</v>
      </c>
      <c r="C328" s="14">
        <v>14</v>
      </c>
      <c r="D328" s="61">
        <v>23</v>
      </c>
      <c r="E328" s="15">
        <f>VLOOKUP(A328,[1]SummaryTable!$A$2:$F$359,2,FALSE)</f>
        <v>6431001.8169295201</v>
      </c>
      <c r="F328" s="15">
        <f>VLOOKUP(A328,[1]SummaryTable!$A$2:$F$359,3,FALSE)</f>
        <v>311323.012637173</v>
      </c>
      <c r="G328" s="62">
        <f t="shared" si="74"/>
        <v>1.032</v>
      </c>
      <c r="H328" s="4">
        <f>VLOOKUP(A328,[1]SummaryTable!$A$2:$F$359,5,FALSE)</f>
        <v>1</v>
      </c>
      <c r="I328" s="4">
        <f>VLOOKUP(A328,[1]SummaryTable!$A$2:$F$359,6,FALSE)</f>
        <v>0</v>
      </c>
      <c r="J328" s="4" t="str">
        <f>IF(I328&gt;0.1,[2]Processes!$A$6,[2]Processes!$A$5)</f>
        <v>Sawmal</v>
      </c>
      <c r="K328" s="23" t="str">
        <f t="shared" si="75"/>
        <v>-</v>
      </c>
      <c r="L328" s="4" t="str">
        <f t="shared" si="76"/>
        <v>-</v>
      </c>
      <c r="M328" s="4" t="str">
        <f t="shared" si="77"/>
        <v>-</v>
      </c>
      <c r="N328" s="4">
        <f t="shared" si="78"/>
        <v>0</v>
      </c>
      <c r="O328" s="23" t="str">
        <f t="shared" si="79"/>
        <v>-</v>
      </c>
      <c r="P328" s="4" t="str">
        <f t="shared" si="80"/>
        <v>-</v>
      </c>
      <c r="Q328" s="4" t="str">
        <f t="shared" si="81"/>
        <v>-</v>
      </c>
      <c r="R328" s="4">
        <f t="shared" si="82"/>
        <v>0</v>
      </c>
      <c r="S328" s="23" t="str">
        <f t="shared" si="83"/>
        <v>-</v>
      </c>
      <c r="T328" s="4" t="str">
        <f t="shared" si="84"/>
        <v>-</v>
      </c>
      <c r="U328" s="4" t="str">
        <f t="shared" si="85"/>
        <v>-</v>
      </c>
      <c r="V328" s="4">
        <f t="shared" si="86"/>
        <v>0</v>
      </c>
      <c r="W328" s="23">
        <f>VLOOKUP(A328,[1]SummaryTable!$A$2:$F$359,4,FALSE)</f>
        <v>0.86</v>
      </c>
    </row>
    <row r="329" spans="1:23" x14ac:dyDescent="0.25">
      <c r="A329" s="14" t="s">
        <v>172</v>
      </c>
      <c r="B329" s="14" t="str">
        <f t="shared" si="73"/>
        <v>H173</v>
      </c>
      <c r="C329" s="14">
        <v>4</v>
      </c>
      <c r="D329" s="61">
        <v>12</v>
      </c>
      <c r="E329" s="15">
        <f>VLOOKUP(A329,[1]SummaryTable!$A$2:$F$359,2,FALSE)</f>
        <v>6589404.1536645098</v>
      </c>
      <c r="F329" s="15">
        <f>VLOOKUP(A329,[1]SummaryTable!$A$2:$F$359,3,FALSE)</f>
        <v>575348.99238033802</v>
      </c>
      <c r="G329" s="62">
        <f t="shared" si="74"/>
        <v>1.0307999999999999</v>
      </c>
      <c r="H329" s="4">
        <f>VLOOKUP(A329,[1]SummaryTable!$A$2:$F$359,5,FALSE)</f>
        <v>1</v>
      </c>
      <c r="I329" s="4">
        <f>VLOOKUP(A329,[1]SummaryTable!$A$2:$F$359,6,FALSE)</f>
        <v>0</v>
      </c>
      <c r="J329" s="4" t="str">
        <f>IF(I329&gt;0.1,[2]Processes!$A$6,[2]Processes!$A$5)</f>
        <v>Sawmal</v>
      </c>
      <c r="K329" s="23" t="str">
        <f t="shared" si="75"/>
        <v>-</v>
      </c>
      <c r="L329" s="4" t="str">
        <f t="shared" si="76"/>
        <v>-</v>
      </c>
      <c r="M329" s="4" t="str">
        <f t="shared" si="77"/>
        <v>-</v>
      </c>
      <c r="N329" s="4">
        <f t="shared" si="78"/>
        <v>0</v>
      </c>
      <c r="O329" s="23" t="str">
        <f t="shared" si="79"/>
        <v>-</v>
      </c>
      <c r="P329" s="4" t="str">
        <f t="shared" si="80"/>
        <v>-</v>
      </c>
      <c r="Q329" s="4" t="str">
        <f t="shared" si="81"/>
        <v>-</v>
      </c>
      <c r="R329" s="4">
        <f t="shared" si="82"/>
        <v>0</v>
      </c>
      <c r="S329" s="23" t="str">
        <f t="shared" si="83"/>
        <v>-</v>
      </c>
      <c r="T329" s="4" t="str">
        <f t="shared" si="84"/>
        <v>-</v>
      </c>
      <c r="U329" s="4" t="str">
        <f t="shared" si="85"/>
        <v>-</v>
      </c>
      <c r="V329" s="4">
        <f t="shared" si="86"/>
        <v>0</v>
      </c>
      <c r="W329" s="23">
        <f>VLOOKUP(A329,[1]SummaryTable!$A$2:$F$359,4,FALSE)</f>
        <v>0.85899999999999999</v>
      </c>
    </row>
    <row r="330" spans="1:23" x14ac:dyDescent="0.25">
      <c r="A330" s="14" t="s">
        <v>2</v>
      </c>
      <c r="B330" s="14" t="str">
        <f t="shared" si="73"/>
        <v>H3</v>
      </c>
      <c r="C330" s="14">
        <v>6</v>
      </c>
      <c r="D330" s="61">
        <v>21</v>
      </c>
      <c r="E330" s="15">
        <f>VLOOKUP(A330,[1]SummaryTable!$A$2:$F$359,2,FALSE)</f>
        <v>6338567.551</v>
      </c>
      <c r="F330" s="15">
        <f>VLOOKUP(A330,[1]SummaryTable!$A$2:$F$359,3,FALSE)</f>
        <v>443140.33600000001</v>
      </c>
      <c r="G330" s="62">
        <f t="shared" si="74"/>
        <v>0.94320000000000004</v>
      </c>
      <c r="H330" s="4">
        <f>VLOOKUP(A330,[1]SummaryTable!$A$2:$F$359,5,FALSE)</f>
        <v>1</v>
      </c>
      <c r="I330" s="4">
        <f>VLOOKUP(A330,[1]SummaryTable!$A$2:$F$359,6,FALSE)</f>
        <v>0</v>
      </c>
      <c r="J330" s="4" t="str">
        <f>IF(I330&gt;0.1,[2]Processes!$A$6,[2]Processes!$A$5)</f>
        <v>Sawmal</v>
      </c>
      <c r="K330" s="23" t="str">
        <f t="shared" si="75"/>
        <v>-</v>
      </c>
      <c r="L330" s="4" t="str">
        <f t="shared" si="76"/>
        <v>-</v>
      </c>
      <c r="M330" s="4" t="str">
        <f t="shared" si="77"/>
        <v>-</v>
      </c>
      <c r="N330" s="4">
        <f t="shared" si="78"/>
        <v>0</v>
      </c>
      <c r="O330" s="23" t="str">
        <f t="shared" si="79"/>
        <v>-</v>
      </c>
      <c r="P330" s="4" t="str">
        <f t="shared" si="80"/>
        <v>-</v>
      </c>
      <c r="Q330" s="4" t="str">
        <f t="shared" si="81"/>
        <v>-</v>
      </c>
      <c r="R330" s="4">
        <f t="shared" si="82"/>
        <v>0</v>
      </c>
      <c r="S330" s="23" t="str">
        <f t="shared" si="83"/>
        <v>-</v>
      </c>
      <c r="T330" s="4" t="str">
        <f t="shared" si="84"/>
        <v>-</v>
      </c>
      <c r="U330" s="4" t="str">
        <f t="shared" si="85"/>
        <v>-</v>
      </c>
      <c r="V330" s="4">
        <f t="shared" si="86"/>
        <v>0</v>
      </c>
      <c r="W330" s="23">
        <f>VLOOKUP(A330,[1]SummaryTable!$A$2:$F$359,4,FALSE)</f>
        <v>0.78600000000000003</v>
      </c>
    </row>
    <row r="331" spans="1:23" x14ac:dyDescent="0.25">
      <c r="A331" s="14" t="s">
        <v>4</v>
      </c>
      <c r="B331" s="14" t="str">
        <f t="shared" si="73"/>
        <v>H5</v>
      </c>
      <c r="C331" s="14">
        <v>22</v>
      </c>
      <c r="D331" s="61">
        <v>12</v>
      </c>
      <c r="E331" s="15">
        <f>VLOOKUP(A331,[1]SummaryTable!$A$2:$F$359,2,FALSE)</f>
        <v>6921915.625</v>
      </c>
      <c r="F331" s="15">
        <f>VLOOKUP(A331,[1]SummaryTable!$A$2:$F$359,3,FALSE)</f>
        <v>623286.24600000004</v>
      </c>
      <c r="G331" s="62">
        <f t="shared" si="74"/>
        <v>0.92759999999999998</v>
      </c>
      <c r="H331" s="4">
        <f>VLOOKUP(A331,[1]SummaryTable!$A$2:$F$359,5,FALSE)</f>
        <v>1</v>
      </c>
      <c r="I331" s="4">
        <f>VLOOKUP(A331,[1]SummaryTable!$A$2:$F$359,6,FALSE)</f>
        <v>0</v>
      </c>
      <c r="J331" s="4" t="str">
        <f>IF(I331&gt;0.1,[2]Processes!$A$6,[2]Processes!$A$5)</f>
        <v>Sawmal</v>
      </c>
      <c r="K331" s="23" t="str">
        <f t="shared" si="75"/>
        <v>-</v>
      </c>
      <c r="L331" s="4" t="str">
        <f t="shared" si="76"/>
        <v>-</v>
      </c>
      <c r="M331" s="4" t="str">
        <f t="shared" si="77"/>
        <v>-</v>
      </c>
      <c r="N331" s="4">
        <f t="shared" si="78"/>
        <v>0</v>
      </c>
      <c r="O331" s="23" t="str">
        <f t="shared" si="79"/>
        <v>-</v>
      </c>
      <c r="P331" s="4" t="str">
        <f t="shared" si="80"/>
        <v>-</v>
      </c>
      <c r="Q331" s="4" t="str">
        <f t="shared" si="81"/>
        <v>-</v>
      </c>
      <c r="R331" s="4">
        <f t="shared" si="82"/>
        <v>0</v>
      </c>
      <c r="S331" s="23" t="str">
        <f t="shared" si="83"/>
        <v>-</v>
      </c>
      <c r="T331" s="4" t="str">
        <f t="shared" si="84"/>
        <v>-</v>
      </c>
      <c r="U331" s="4" t="str">
        <f t="shared" si="85"/>
        <v>-</v>
      </c>
      <c r="V331" s="4">
        <f t="shared" si="86"/>
        <v>0</v>
      </c>
      <c r="W331" s="23">
        <f>VLOOKUP(A331,[1]SummaryTable!$A$2:$F$359,4,FALSE)</f>
        <v>0.77300000000000002</v>
      </c>
    </row>
    <row r="332" spans="1:23" x14ac:dyDescent="0.25">
      <c r="A332" s="14" t="s">
        <v>183</v>
      </c>
      <c r="B332" s="14" t="str">
        <f t="shared" si="73"/>
        <v>H184</v>
      </c>
      <c r="C332" s="14">
        <v>17</v>
      </c>
      <c r="D332" s="61">
        <v>31</v>
      </c>
      <c r="E332" s="15">
        <f>VLOOKUP(A332,[1]SummaryTable!$A$2:$F$359,2,FALSE)</f>
        <v>6575968.73078153</v>
      </c>
      <c r="F332" s="15">
        <f>VLOOKUP(A332,[1]SummaryTable!$A$2:$F$359,3,FALSE)</f>
        <v>391840.89785756101</v>
      </c>
      <c r="G332" s="62">
        <f t="shared" si="74"/>
        <v>0.8898876</v>
      </c>
      <c r="H332" s="4">
        <f>VLOOKUP(A332,[1]SummaryTable!$A$2:$F$359,5,FALSE)</f>
        <v>1</v>
      </c>
      <c r="I332" s="4">
        <f>VLOOKUP(A332,[1]SummaryTable!$A$2:$F$359,6,FALSE)</f>
        <v>0</v>
      </c>
      <c r="J332" s="4" t="str">
        <f>IF(I332&gt;0.1,[2]Processes!$A$6,[2]Processes!$A$5)</f>
        <v>Sawmal</v>
      </c>
      <c r="K332" s="23" t="str">
        <f t="shared" si="75"/>
        <v>-</v>
      </c>
      <c r="L332" s="4" t="str">
        <f t="shared" si="76"/>
        <v>-</v>
      </c>
      <c r="M332" s="4" t="str">
        <f t="shared" si="77"/>
        <v>-</v>
      </c>
      <c r="N332" s="4">
        <f t="shared" si="78"/>
        <v>0</v>
      </c>
      <c r="O332" s="23" t="str">
        <f t="shared" si="79"/>
        <v>-</v>
      </c>
      <c r="P332" s="4" t="str">
        <f t="shared" si="80"/>
        <v>-</v>
      </c>
      <c r="Q332" s="4" t="str">
        <f t="shared" si="81"/>
        <v>-</v>
      </c>
      <c r="R332" s="4">
        <f t="shared" si="82"/>
        <v>0</v>
      </c>
      <c r="S332" s="23" t="str">
        <f t="shared" ref="S332:S360" si="87">IF(G332&gt;$N$1,$A332&amp;"L"&amp;S$1,"-")</f>
        <v>-</v>
      </c>
      <c r="T332" s="4" t="str">
        <f t="shared" si="84"/>
        <v>-</v>
      </c>
      <c r="U332" s="4" t="str">
        <f t="shared" si="85"/>
        <v>-</v>
      </c>
      <c r="V332" s="4">
        <f t="shared" si="86"/>
        <v>0</v>
      </c>
      <c r="W332" s="23">
        <f>VLOOKUP(A332,[1]SummaryTable!$A$2:$F$359,4,FALSE)</f>
        <v>0.74157300000000004</v>
      </c>
    </row>
    <row r="333" spans="1:23" x14ac:dyDescent="0.25">
      <c r="A333" s="14" t="s">
        <v>76</v>
      </c>
      <c r="B333" s="14" t="str">
        <f t="shared" si="73"/>
        <v>H77</v>
      </c>
      <c r="C333" s="14">
        <v>22</v>
      </c>
      <c r="D333" s="61">
        <v>12</v>
      </c>
      <c r="E333" s="15">
        <f>VLOOKUP(A333,[1]SummaryTable!$A$2:$F$359,2,FALSE)</f>
        <v>7032281.1463653101</v>
      </c>
      <c r="F333" s="15">
        <f>VLOOKUP(A333,[1]SummaryTable!$A$2:$F$359,3,FALSE)</f>
        <v>672234.07462141803</v>
      </c>
      <c r="G333" s="62">
        <f t="shared" si="74"/>
        <v>0.86063999999999996</v>
      </c>
      <c r="H333" s="4">
        <f>VLOOKUP(A333,[1]SummaryTable!$A$2:$F$359,5,FALSE)</f>
        <v>1</v>
      </c>
      <c r="I333" s="4">
        <f>VLOOKUP(A333,[1]SummaryTable!$A$2:$F$359,6,FALSE)</f>
        <v>0</v>
      </c>
      <c r="J333" s="4" t="str">
        <f>IF(I333&gt;0.1,[2]Processes!$A$6,[2]Processes!$A$5)</f>
        <v>Sawmal</v>
      </c>
      <c r="K333" s="23" t="str">
        <f t="shared" si="75"/>
        <v>-</v>
      </c>
      <c r="L333" s="4" t="str">
        <f t="shared" si="76"/>
        <v>-</v>
      </c>
      <c r="M333" s="4" t="str">
        <f t="shared" si="77"/>
        <v>-</v>
      </c>
      <c r="N333" s="4">
        <f t="shared" si="78"/>
        <v>0</v>
      </c>
      <c r="O333" s="23" t="str">
        <f t="shared" si="79"/>
        <v>-</v>
      </c>
      <c r="P333" s="4" t="str">
        <f t="shared" si="80"/>
        <v>-</v>
      </c>
      <c r="Q333" s="4" t="str">
        <f t="shared" si="81"/>
        <v>-</v>
      </c>
      <c r="R333" s="4">
        <f t="shared" si="82"/>
        <v>0</v>
      </c>
      <c r="S333" s="23" t="str">
        <f t="shared" si="87"/>
        <v>-</v>
      </c>
      <c r="T333" s="4" t="str">
        <f t="shared" si="84"/>
        <v>-</v>
      </c>
      <c r="U333" s="4" t="str">
        <f t="shared" si="85"/>
        <v>-</v>
      </c>
      <c r="V333" s="4">
        <f t="shared" si="86"/>
        <v>0</v>
      </c>
      <c r="W333" s="23">
        <f>VLOOKUP(A333,[1]SummaryTable!$A$2:$F$359,4,FALSE)</f>
        <v>0.71719999999999995</v>
      </c>
    </row>
    <row r="334" spans="1:23" x14ac:dyDescent="0.25">
      <c r="A334" s="14" t="s">
        <v>345</v>
      </c>
      <c r="B334" s="14" t="str">
        <f t="shared" si="73"/>
        <v>H346</v>
      </c>
      <c r="C334" s="14">
        <v>10</v>
      </c>
      <c r="D334" s="61">
        <v>22</v>
      </c>
      <c r="E334" s="15">
        <f>VLOOKUP(A334,[1]SummaryTable!$A$2:$F$359,2,FALSE)</f>
        <v>6215816.2997281803</v>
      </c>
      <c r="F334" s="15">
        <f>VLOOKUP(A334,[1]SummaryTable!$A$2:$F$359,3,FALSE)</f>
        <v>542616.42908732803</v>
      </c>
      <c r="G334" s="62">
        <f t="shared" si="74"/>
        <v>0.75839999999999996</v>
      </c>
      <c r="H334" s="4">
        <f>VLOOKUP(A334,[1]SummaryTable!$A$2:$F$359,5,FALSE)</f>
        <v>1</v>
      </c>
      <c r="I334" s="4">
        <f>VLOOKUP(A334,[1]SummaryTable!$A$2:$F$359,6,FALSE)</f>
        <v>0</v>
      </c>
      <c r="J334" s="4" t="str">
        <f>IF(I334&gt;0.1,[2]Processes!$A$6,[2]Processes!$A$5)</f>
        <v>Sawmal</v>
      </c>
      <c r="K334" s="23" t="str">
        <f t="shared" si="75"/>
        <v>-</v>
      </c>
      <c r="L334" s="4" t="str">
        <f t="shared" si="76"/>
        <v>-</v>
      </c>
      <c r="M334" s="4" t="str">
        <f t="shared" si="77"/>
        <v>-</v>
      </c>
      <c r="N334" s="4">
        <f t="shared" si="78"/>
        <v>0</v>
      </c>
      <c r="O334" s="23" t="str">
        <f t="shared" si="79"/>
        <v>-</v>
      </c>
      <c r="P334" s="4" t="str">
        <f t="shared" si="80"/>
        <v>-</v>
      </c>
      <c r="Q334" s="4" t="str">
        <f t="shared" si="81"/>
        <v>-</v>
      </c>
      <c r="R334" s="4">
        <f t="shared" si="82"/>
        <v>0</v>
      </c>
      <c r="S334" s="23" t="str">
        <f t="shared" si="87"/>
        <v>-</v>
      </c>
      <c r="T334" s="4" t="str">
        <f t="shared" si="84"/>
        <v>-</v>
      </c>
      <c r="U334" s="4" t="str">
        <f t="shared" si="85"/>
        <v>-</v>
      </c>
      <c r="V334" s="4">
        <f t="shared" si="86"/>
        <v>0</v>
      </c>
      <c r="W334" s="23">
        <f>VLOOKUP(A334,[1]SummaryTable!$A$2:$F$359,4,FALSE)</f>
        <v>0.63200000000000001</v>
      </c>
    </row>
    <row r="335" spans="1:23" x14ac:dyDescent="0.25">
      <c r="A335" s="14" t="s">
        <v>198</v>
      </c>
      <c r="B335" s="14" t="str">
        <f t="shared" si="73"/>
        <v>H199</v>
      </c>
      <c r="C335" s="14">
        <v>18</v>
      </c>
      <c r="D335" s="61">
        <v>12</v>
      </c>
      <c r="E335" s="15">
        <f>VLOOKUP(A335,[1]SummaryTable!$A$2:$F$359,2,FALSE)</f>
        <v>6550856.85231735</v>
      </c>
      <c r="F335" s="15">
        <f>VLOOKUP(A335,[1]SummaryTable!$A$2:$F$359,3,FALSE)</f>
        <v>463684.045244465</v>
      </c>
      <c r="G335" s="62">
        <f t="shared" si="74"/>
        <v>0.7248</v>
      </c>
      <c r="H335" s="4">
        <f>VLOOKUP(A335,[1]SummaryTable!$A$2:$F$359,5,FALSE)</f>
        <v>1</v>
      </c>
      <c r="I335" s="4">
        <f>VLOOKUP(A335,[1]SummaryTable!$A$2:$F$359,6,FALSE)</f>
        <v>0</v>
      </c>
      <c r="J335" s="4" t="str">
        <f>IF(I335&gt;0.1,[2]Processes!$A$6,[2]Processes!$A$5)</f>
        <v>Sawmal</v>
      </c>
      <c r="K335" s="23" t="str">
        <f t="shared" si="75"/>
        <v>-</v>
      </c>
      <c r="L335" s="4" t="str">
        <f t="shared" si="76"/>
        <v>-</v>
      </c>
      <c r="M335" s="4" t="str">
        <f t="shared" si="77"/>
        <v>-</v>
      </c>
      <c r="N335" s="4">
        <f t="shared" si="78"/>
        <v>0</v>
      </c>
      <c r="O335" s="23" t="str">
        <f t="shared" si="79"/>
        <v>-</v>
      </c>
      <c r="P335" s="4" t="str">
        <f t="shared" si="80"/>
        <v>-</v>
      </c>
      <c r="Q335" s="4" t="str">
        <f t="shared" si="81"/>
        <v>-</v>
      </c>
      <c r="R335" s="4">
        <f t="shared" si="82"/>
        <v>0</v>
      </c>
      <c r="S335" s="23" t="str">
        <f t="shared" si="87"/>
        <v>-</v>
      </c>
      <c r="T335" s="4" t="str">
        <f t="shared" si="84"/>
        <v>-</v>
      </c>
      <c r="U335" s="4" t="str">
        <f t="shared" si="85"/>
        <v>-</v>
      </c>
      <c r="V335" s="4">
        <f t="shared" si="86"/>
        <v>0</v>
      </c>
      <c r="W335" s="23">
        <f>VLOOKUP(A335,[1]SummaryTable!$A$2:$F$359,4,FALSE)</f>
        <v>0.60399999999999998</v>
      </c>
    </row>
    <row r="336" spans="1:23" x14ac:dyDescent="0.25">
      <c r="A336" s="14" t="s">
        <v>32</v>
      </c>
      <c r="B336" s="14" t="str">
        <f t="shared" si="73"/>
        <v>H33</v>
      </c>
      <c r="C336" s="14">
        <v>10</v>
      </c>
      <c r="D336" s="61">
        <v>22</v>
      </c>
      <c r="E336" s="15">
        <f>VLOOKUP(A336,[1]SummaryTable!$A$2:$F$359,2,FALSE)</f>
        <v>6237733.699</v>
      </c>
      <c r="F336" s="15">
        <f>VLOOKUP(A336,[1]SummaryTable!$A$2:$F$359,3,FALSE)</f>
        <v>532995.46100000001</v>
      </c>
      <c r="G336" s="62">
        <f t="shared" si="74"/>
        <v>0.67919999999999991</v>
      </c>
      <c r="H336" s="4">
        <f>VLOOKUP(A336,[1]SummaryTable!$A$2:$F$359,5,FALSE)</f>
        <v>1</v>
      </c>
      <c r="I336" s="4">
        <f>VLOOKUP(A336,[1]SummaryTable!$A$2:$F$359,6,FALSE)</f>
        <v>0</v>
      </c>
      <c r="J336" s="4" t="str">
        <f>IF(I336&gt;0.1,[2]Processes!$A$6,[2]Processes!$A$5)</f>
        <v>Sawmal</v>
      </c>
      <c r="K336" s="23" t="str">
        <f t="shared" si="75"/>
        <v>-</v>
      </c>
      <c r="L336" s="4" t="str">
        <f t="shared" si="76"/>
        <v>-</v>
      </c>
      <c r="M336" s="4" t="str">
        <f t="shared" si="77"/>
        <v>-</v>
      </c>
      <c r="N336" s="4">
        <f t="shared" si="78"/>
        <v>0</v>
      </c>
      <c r="O336" s="23" t="str">
        <f t="shared" si="79"/>
        <v>-</v>
      </c>
      <c r="P336" s="4" t="str">
        <f t="shared" si="80"/>
        <v>-</v>
      </c>
      <c r="Q336" s="4" t="str">
        <f t="shared" si="81"/>
        <v>-</v>
      </c>
      <c r="R336" s="4">
        <f t="shared" si="82"/>
        <v>0</v>
      </c>
      <c r="S336" s="23" t="str">
        <f t="shared" si="87"/>
        <v>-</v>
      </c>
      <c r="T336" s="4" t="str">
        <f t="shared" si="84"/>
        <v>-</v>
      </c>
      <c r="U336" s="4" t="str">
        <f t="shared" si="85"/>
        <v>-</v>
      </c>
      <c r="V336" s="4">
        <f t="shared" si="86"/>
        <v>0</v>
      </c>
      <c r="W336" s="23">
        <f>VLOOKUP(A336,[1]SummaryTable!$A$2:$F$359,4,FALSE)</f>
        <v>0.56599999999999995</v>
      </c>
    </row>
    <row r="337" spans="1:23" x14ac:dyDescent="0.25">
      <c r="A337" s="14" t="s">
        <v>28</v>
      </c>
      <c r="B337" s="14" t="str">
        <f t="shared" si="73"/>
        <v>H29</v>
      </c>
      <c r="C337" s="14">
        <v>6</v>
      </c>
      <c r="D337" s="61">
        <v>21</v>
      </c>
      <c r="E337" s="15">
        <f>VLOOKUP(A337,[1]SummaryTable!$A$2:$F$359,2,FALSE)</f>
        <v>6338562.4450000003</v>
      </c>
      <c r="F337" s="15">
        <f>VLOOKUP(A337,[1]SummaryTable!$A$2:$F$359,3,FALSE)</f>
        <v>443135.07699999999</v>
      </c>
      <c r="G337" s="62">
        <f t="shared" si="74"/>
        <v>0.62880000000000003</v>
      </c>
      <c r="H337" s="4">
        <f>VLOOKUP(A337,[1]SummaryTable!$A$2:$F$359,5,FALSE)</f>
        <v>1</v>
      </c>
      <c r="I337" s="4">
        <f>VLOOKUP(A337,[1]SummaryTable!$A$2:$F$359,6,FALSE)</f>
        <v>0</v>
      </c>
      <c r="J337" s="4" t="str">
        <f>IF(I337&gt;0.1,[2]Processes!$A$6,[2]Processes!$A$5)</f>
        <v>Sawmal</v>
      </c>
      <c r="K337" s="23" t="str">
        <f t="shared" si="75"/>
        <v>-</v>
      </c>
      <c r="L337" s="4" t="str">
        <f t="shared" si="76"/>
        <v>-</v>
      </c>
      <c r="M337" s="4" t="str">
        <f t="shared" si="77"/>
        <v>-</v>
      </c>
      <c r="N337" s="4">
        <f t="shared" si="78"/>
        <v>0</v>
      </c>
      <c r="O337" s="23" t="str">
        <f t="shared" si="79"/>
        <v>-</v>
      </c>
      <c r="P337" s="4" t="str">
        <f t="shared" si="80"/>
        <v>-</v>
      </c>
      <c r="Q337" s="4" t="str">
        <f t="shared" si="81"/>
        <v>-</v>
      </c>
      <c r="R337" s="4">
        <f t="shared" si="82"/>
        <v>0</v>
      </c>
      <c r="S337" s="23" t="str">
        <f t="shared" si="87"/>
        <v>-</v>
      </c>
      <c r="T337" s="4" t="str">
        <f t="shared" si="84"/>
        <v>-</v>
      </c>
      <c r="U337" s="4" t="str">
        <f t="shared" si="85"/>
        <v>-</v>
      </c>
      <c r="V337" s="4">
        <f t="shared" si="86"/>
        <v>0</v>
      </c>
      <c r="W337" s="23">
        <f>VLOOKUP(A337,[1]SummaryTable!$A$2:$F$359,4,FALSE)</f>
        <v>0.52400000000000002</v>
      </c>
    </row>
    <row r="338" spans="1:23" x14ac:dyDescent="0.25">
      <c r="A338" s="14" t="s">
        <v>166</v>
      </c>
      <c r="B338" s="14" t="str">
        <f t="shared" si="73"/>
        <v>H167</v>
      </c>
      <c r="C338" s="14">
        <v>18</v>
      </c>
      <c r="D338" s="61">
        <v>12</v>
      </c>
      <c r="E338" s="15">
        <f>VLOOKUP(A338,[1]SummaryTable!$A$2:$F$359,2,FALSE)</f>
        <v>6596321.5968581503</v>
      </c>
      <c r="F338" s="15">
        <f>VLOOKUP(A338,[1]SummaryTable!$A$2:$F$359,3,FALSE)</f>
        <v>517173.91312786401</v>
      </c>
      <c r="G338" s="62">
        <f t="shared" si="74"/>
        <v>0.38117640000000003</v>
      </c>
      <c r="H338" s="4">
        <f>VLOOKUP(A338,[1]SummaryTable!$A$2:$F$359,5,FALSE)</f>
        <v>1</v>
      </c>
      <c r="I338" s="4">
        <f>VLOOKUP(A338,[1]SummaryTable!$A$2:$F$359,6,FALSE)</f>
        <v>0</v>
      </c>
      <c r="J338" s="4" t="str">
        <f>IF(I338&gt;0.1,[2]Processes!$A$6,[2]Processes!$A$5)</f>
        <v>Sawmal</v>
      </c>
      <c r="K338" s="23" t="str">
        <f t="shared" si="75"/>
        <v>-</v>
      </c>
      <c r="L338" s="4" t="str">
        <f t="shared" si="76"/>
        <v>-</v>
      </c>
      <c r="M338" s="4" t="str">
        <f t="shared" si="77"/>
        <v>-</v>
      </c>
      <c r="N338" s="4">
        <f t="shared" si="78"/>
        <v>0</v>
      </c>
      <c r="O338" s="23" t="str">
        <f t="shared" si="79"/>
        <v>-</v>
      </c>
      <c r="P338" s="4" t="str">
        <f t="shared" si="80"/>
        <v>-</v>
      </c>
      <c r="Q338" s="4" t="str">
        <f t="shared" si="81"/>
        <v>-</v>
      </c>
      <c r="R338" s="4">
        <f t="shared" si="82"/>
        <v>0</v>
      </c>
      <c r="S338" s="23" t="str">
        <f t="shared" si="87"/>
        <v>-</v>
      </c>
      <c r="T338" s="4" t="str">
        <f t="shared" si="84"/>
        <v>-</v>
      </c>
      <c r="U338" s="4" t="str">
        <f t="shared" si="85"/>
        <v>-</v>
      </c>
      <c r="V338" s="4">
        <f t="shared" si="86"/>
        <v>0</v>
      </c>
      <c r="W338" s="23">
        <f>VLOOKUP(A338,[1]SummaryTable!$A$2:$F$359,4,FALSE)</f>
        <v>0.31764700000000001</v>
      </c>
    </row>
    <row r="339" spans="1:23" x14ac:dyDescent="0.25">
      <c r="A339" s="14" t="s">
        <v>170</v>
      </c>
      <c r="B339" s="14" t="str">
        <f t="shared" si="73"/>
        <v>H171</v>
      </c>
      <c r="C339" s="14">
        <v>18</v>
      </c>
      <c r="D339" s="61">
        <v>12</v>
      </c>
      <c r="E339" s="15">
        <f>VLOOKUP(A339,[1]SummaryTable!$A$2:$F$359,2,FALSE)</f>
        <v>6590060.6965823397</v>
      </c>
      <c r="F339" s="15">
        <f>VLOOKUP(A339,[1]SummaryTable!$A$2:$F$359,3,FALSE)</f>
        <v>521131.50742741901</v>
      </c>
      <c r="G339" s="62">
        <f t="shared" si="74"/>
        <v>0.3388236</v>
      </c>
      <c r="H339" s="4">
        <f>VLOOKUP(A339,[1]SummaryTable!$A$2:$F$359,5,FALSE)</f>
        <v>1</v>
      </c>
      <c r="I339" s="4">
        <f>VLOOKUP(A339,[1]SummaryTable!$A$2:$F$359,6,FALSE)</f>
        <v>0</v>
      </c>
      <c r="J339" s="4" t="str">
        <f>IF(I339&gt;0.1,[2]Processes!$A$6,[2]Processes!$A$5)</f>
        <v>Sawmal</v>
      </c>
      <c r="K339" s="23" t="str">
        <f t="shared" si="75"/>
        <v>-</v>
      </c>
      <c r="L339" s="4" t="str">
        <f t="shared" si="76"/>
        <v>-</v>
      </c>
      <c r="M339" s="4" t="str">
        <f t="shared" si="77"/>
        <v>-</v>
      </c>
      <c r="N339" s="4">
        <f t="shared" si="78"/>
        <v>0</v>
      </c>
      <c r="O339" s="23" t="str">
        <f t="shared" si="79"/>
        <v>-</v>
      </c>
      <c r="P339" s="4" t="str">
        <f t="shared" si="80"/>
        <v>-</v>
      </c>
      <c r="Q339" s="4" t="str">
        <f t="shared" si="81"/>
        <v>-</v>
      </c>
      <c r="R339" s="4">
        <f t="shared" si="82"/>
        <v>0</v>
      </c>
      <c r="S339" s="23" t="str">
        <f t="shared" si="87"/>
        <v>-</v>
      </c>
      <c r="T339" s="4" t="str">
        <f t="shared" si="84"/>
        <v>-</v>
      </c>
      <c r="U339" s="4" t="str">
        <f t="shared" si="85"/>
        <v>-</v>
      </c>
      <c r="V339" s="4">
        <f t="shared" si="86"/>
        <v>0</v>
      </c>
      <c r="W339" s="23">
        <f>VLOOKUP(A339,[1]SummaryTable!$A$2:$F$359,4,FALSE)</f>
        <v>0.28235300000000002</v>
      </c>
    </row>
    <row r="340" spans="1:23" x14ac:dyDescent="0.25">
      <c r="A340" s="14" t="s">
        <v>47</v>
      </c>
      <c r="B340" s="14" t="str">
        <f t="shared" si="73"/>
        <v>H48</v>
      </c>
      <c r="C340" s="14">
        <v>25</v>
      </c>
      <c r="D340" s="61">
        <v>33</v>
      </c>
      <c r="E340" s="15">
        <f>VLOOKUP(A340,[1]SummaryTable!$A$2:$F$359,2,FALSE)</f>
        <v>7294078.8309761696</v>
      </c>
      <c r="F340" s="15">
        <f>VLOOKUP(A340,[1]SummaryTable!$A$2:$F$359,3,FALSE)</f>
        <v>829831.23632208596</v>
      </c>
      <c r="G340" s="62">
        <f t="shared" si="74"/>
        <v>0.3</v>
      </c>
      <c r="H340" s="4">
        <f>VLOOKUP(A340,[1]SummaryTable!$A$2:$F$359,5,FALSE)</f>
        <v>1</v>
      </c>
      <c r="I340" s="4">
        <f>VLOOKUP(A340,[1]SummaryTable!$A$2:$F$359,6,FALSE)</f>
        <v>0</v>
      </c>
      <c r="J340" s="4" t="str">
        <f>IF(I340&gt;0.1,[2]Processes!$A$6,[2]Processes!$A$5)</f>
        <v>Sawmal</v>
      </c>
      <c r="K340" s="23" t="str">
        <f t="shared" si="75"/>
        <v>-</v>
      </c>
      <c r="L340" s="4" t="str">
        <f t="shared" si="76"/>
        <v>-</v>
      </c>
      <c r="M340" s="4" t="str">
        <f t="shared" si="77"/>
        <v>-</v>
      </c>
      <c r="N340" s="4">
        <f t="shared" si="78"/>
        <v>0</v>
      </c>
      <c r="O340" s="23" t="str">
        <f t="shared" si="79"/>
        <v>-</v>
      </c>
      <c r="P340" s="4" t="str">
        <f t="shared" si="80"/>
        <v>-</v>
      </c>
      <c r="Q340" s="4" t="str">
        <f t="shared" si="81"/>
        <v>-</v>
      </c>
      <c r="R340" s="4">
        <f t="shared" si="82"/>
        <v>0</v>
      </c>
      <c r="S340" s="23" t="str">
        <f t="shared" si="87"/>
        <v>-</v>
      </c>
      <c r="T340" s="4" t="str">
        <f t="shared" si="84"/>
        <v>-</v>
      </c>
      <c r="U340" s="4" t="str">
        <f t="shared" si="85"/>
        <v>-</v>
      </c>
      <c r="V340" s="4">
        <f t="shared" si="86"/>
        <v>0</v>
      </c>
      <c r="W340" s="23">
        <f>VLOOKUP(A340,[1]SummaryTable!$A$2:$F$359,4,FALSE)</f>
        <v>0.25</v>
      </c>
    </row>
    <row r="341" spans="1:23" x14ac:dyDescent="0.25">
      <c r="A341" s="14" t="s">
        <v>9</v>
      </c>
      <c r="B341" s="14" t="str">
        <f t="shared" si="73"/>
        <v>H10</v>
      </c>
      <c r="C341" s="14">
        <v>3</v>
      </c>
      <c r="D341" s="61">
        <v>12</v>
      </c>
      <c r="E341" s="15">
        <f>VLOOKUP(A341,[1]SummaryTable!$A$2:$F$359,2,FALSE)</f>
        <v>6639261.9000000004</v>
      </c>
      <c r="F341" s="15">
        <f>VLOOKUP(A341,[1]SummaryTable!$A$2:$F$359,3,FALSE)</f>
        <v>611544</v>
      </c>
      <c r="G341" s="62">
        <f t="shared" si="74"/>
        <v>0.26639999999999997</v>
      </c>
      <c r="H341" s="4">
        <f>VLOOKUP(A341,[1]SummaryTable!$A$2:$F$359,5,FALSE)</f>
        <v>1</v>
      </c>
      <c r="I341" s="4">
        <f>VLOOKUP(A341,[1]SummaryTable!$A$2:$F$359,6,FALSE)</f>
        <v>0</v>
      </c>
      <c r="J341" s="4" t="str">
        <f>IF(I341&gt;0.1,[2]Processes!$A$6,[2]Processes!$A$5)</f>
        <v>Sawmal</v>
      </c>
      <c r="K341" s="23" t="str">
        <f t="shared" si="75"/>
        <v>-</v>
      </c>
      <c r="L341" s="4" t="str">
        <f t="shared" si="76"/>
        <v>-</v>
      </c>
      <c r="M341" s="4" t="str">
        <f t="shared" si="77"/>
        <v>-</v>
      </c>
      <c r="N341" s="4">
        <f t="shared" si="78"/>
        <v>0</v>
      </c>
      <c r="O341" s="23" t="str">
        <f t="shared" si="79"/>
        <v>-</v>
      </c>
      <c r="P341" s="4" t="str">
        <f t="shared" si="80"/>
        <v>-</v>
      </c>
      <c r="Q341" s="4" t="str">
        <f t="shared" si="81"/>
        <v>-</v>
      </c>
      <c r="R341" s="4">
        <f t="shared" si="82"/>
        <v>0</v>
      </c>
      <c r="S341" s="23" t="str">
        <f t="shared" si="87"/>
        <v>-</v>
      </c>
      <c r="T341" s="4" t="str">
        <f t="shared" si="84"/>
        <v>-</v>
      </c>
      <c r="U341" s="4" t="str">
        <f t="shared" si="85"/>
        <v>-</v>
      </c>
      <c r="V341" s="4">
        <f t="shared" si="86"/>
        <v>0</v>
      </c>
      <c r="W341" s="23">
        <f>VLOOKUP(A341,[1]SummaryTable!$A$2:$F$359,4,FALSE)</f>
        <v>0.222</v>
      </c>
    </row>
    <row r="342" spans="1:23" x14ac:dyDescent="0.25">
      <c r="A342" s="14" t="s">
        <v>214</v>
      </c>
      <c r="B342" s="14" t="str">
        <f t="shared" si="73"/>
        <v>H215</v>
      </c>
      <c r="C342" s="14">
        <v>14</v>
      </c>
      <c r="D342" s="61">
        <v>23</v>
      </c>
      <c r="E342" s="15">
        <f>VLOOKUP(A342,[1]SummaryTable!$A$2:$F$359,2,FALSE)</f>
        <v>6496730.7470791303</v>
      </c>
      <c r="F342" s="15">
        <f>VLOOKUP(A342,[1]SummaryTable!$A$2:$F$359,3,FALSE)</f>
        <v>409124.92626828502</v>
      </c>
      <c r="G342" s="62">
        <f t="shared" si="74"/>
        <v>0.20400000000000001</v>
      </c>
      <c r="H342" s="4">
        <f>VLOOKUP(A342,[1]SummaryTable!$A$2:$F$359,5,FALSE)</f>
        <v>1</v>
      </c>
      <c r="I342" s="4">
        <f>VLOOKUP(A342,[1]SummaryTable!$A$2:$F$359,6,FALSE)</f>
        <v>0</v>
      </c>
      <c r="J342" s="4" t="str">
        <f>IF(I342&gt;0.1,[2]Processes!$A$6,[2]Processes!$A$5)</f>
        <v>Sawmal</v>
      </c>
      <c r="K342" s="23" t="str">
        <f t="shared" si="75"/>
        <v>-</v>
      </c>
      <c r="L342" s="4" t="str">
        <f t="shared" si="76"/>
        <v>-</v>
      </c>
      <c r="M342" s="4" t="str">
        <f t="shared" si="77"/>
        <v>-</v>
      </c>
      <c r="N342" s="4">
        <f t="shared" si="78"/>
        <v>0</v>
      </c>
      <c r="O342" s="23" t="str">
        <f t="shared" si="79"/>
        <v>-</v>
      </c>
      <c r="P342" s="4" t="str">
        <f t="shared" si="80"/>
        <v>-</v>
      </c>
      <c r="Q342" s="4" t="str">
        <f t="shared" si="81"/>
        <v>-</v>
      </c>
      <c r="R342" s="4">
        <f t="shared" si="82"/>
        <v>0</v>
      </c>
      <c r="S342" s="23" t="str">
        <f t="shared" si="87"/>
        <v>-</v>
      </c>
      <c r="T342" s="4" t="str">
        <f t="shared" si="84"/>
        <v>-</v>
      </c>
      <c r="U342" s="4" t="str">
        <f t="shared" si="85"/>
        <v>-</v>
      </c>
      <c r="V342" s="4">
        <f t="shared" si="86"/>
        <v>0</v>
      </c>
      <c r="W342" s="23">
        <f>VLOOKUP(A342,[1]SummaryTable!$A$2:$F$359,4,FALSE)</f>
        <v>0.17</v>
      </c>
    </row>
    <row r="343" spans="1:23" x14ac:dyDescent="0.25">
      <c r="A343" s="14" t="s">
        <v>0</v>
      </c>
      <c r="B343" s="14" t="str">
        <f t="shared" si="73"/>
        <v>H1</v>
      </c>
      <c r="C343" s="14">
        <v>25</v>
      </c>
      <c r="D343" s="61">
        <v>33</v>
      </c>
      <c r="E343" s="15">
        <f>VLOOKUP(A343,[1]SummaryTable!$A$2:$F$359,2,FALSE)</f>
        <v>7332777.9560000002</v>
      </c>
      <c r="F343" s="15">
        <f>VLOOKUP(A343,[1]SummaryTable!$A$2:$F$359,3,FALSE)</f>
        <v>915146.98</v>
      </c>
      <c r="G343" s="62">
        <f t="shared" si="74"/>
        <v>0</v>
      </c>
      <c r="H343" s="4">
        <f>VLOOKUP(A343,[1]SummaryTable!$A$2:$F$359,5,FALSE)</f>
        <v>0</v>
      </c>
      <c r="I343" s="4">
        <f>VLOOKUP(A343,[1]SummaryTable!$A$2:$F$359,6,FALSE)</f>
        <v>1</v>
      </c>
      <c r="J343" s="4" t="str">
        <f>IF(I343&gt;0.1,[2]Processes!$A$6,[2]Processes!$A$5)</f>
        <v>Heatpl</v>
      </c>
      <c r="K343" s="23" t="str">
        <f t="shared" si="75"/>
        <v>-</v>
      </c>
      <c r="L343" s="4" t="str">
        <f t="shared" si="76"/>
        <v>-</v>
      </c>
      <c r="M343" s="4" t="str">
        <f t="shared" si="77"/>
        <v>-</v>
      </c>
      <c r="N343" s="4">
        <f t="shared" si="78"/>
        <v>0</v>
      </c>
      <c r="O343" s="23" t="str">
        <f t="shared" si="79"/>
        <v>-</v>
      </c>
      <c r="P343" s="4" t="str">
        <f t="shared" si="80"/>
        <v>-</v>
      </c>
      <c r="Q343" s="4" t="str">
        <f t="shared" si="81"/>
        <v>-</v>
      </c>
      <c r="R343" s="4">
        <f t="shared" si="82"/>
        <v>0</v>
      </c>
      <c r="S343" s="23" t="str">
        <f t="shared" si="87"/>
        <v>-</v>
      </c>
      <c r="T343" s="4" t="str">
        <f t="shared" si="84"/>
        <v>-</v>
      </c>
      <c r="U343" s="4" t="str">
        <f t="shared" si="85"/>
        <v>-</v>
      </c>
      <c r="V343" s="4">
        <f t="shared" si="86"/>
        <v>0</v>
      </c>
      <c r="W343" s="23">
        <f>VLOOKUP(A343,[1]SummaryTable!$A$2:$F$359,4,FALSE)</f>
        <v>0</v>
      </c>
    </row>
    <row r="344" spans="1:23" x14ac:dyDescent="0.25">
      <c r="A344" s="14" t="s">
        <v>164</v>
      </c>
      <c r="B344" s="14" t="str">
        <f t="shared" si="73"/>
        <v>H165</v>
      </c>
      <c r="C344" s="14">
        <v>1</v>
      </c>
      <c r="D344" s="61">
        <v>12</v>
      </c>
      <c r="E344" s="15">
        <f>VLOOKUP(A344,[1]SummaryTable!$A$2:$F$359,2,FALSE)</f>
        <v>6600066.6643574601</v>
      </c>
      <c r="F344" s="15">
        <f>VLOOKUP(A344,[1]SummaryTable!$A$2:$F$359,3,FALSE)</f>
        <v>648731.62791579904</v>
      </c>
      <c r="G344" s="62">
        <f t="shared" si="74"/>
        <v>0</v>
      </c>
      <c r="H344" s="4">
        <f>VLOOKUP(A344,[1]SummaryTable!$A$2:$F$359,5,FALSE)</f>
        <v>0</v>
      </c>
      <c r="I344" s="4">
        <f>VLOOKUP(A344,[1]SummaryTable!$A$2:$F$359,6,FALSE)</f>
        <v>1</v>
      </c>
      <c r="J344" s="4" t="str">
        <f>IF(I344&gt;0.1,[2]Processes!$A$6,[2]Processes!$A$5)</f>
        <v>Heatpl</v>
      </c>
      <c r="K344" s="23" t="str">
        <f t="shared" si="75"/>
        <v>-</v>
      </c>
      <c r="L344" s="4" t="str">
        <f t="shared" si="76"/>
        <v>-</v>
      </c>
      <c r="M344" s="4" t="str">
        <f t="shared" si="77"/>
        <v>-</v>
      </c>
      <c r="N344" s="4">
        <f t="shared" si="78"/>
        <v>0</v>
      </c>
      <c r="O344" s="23" t="str">
        <f t="shared" si="79"/>
        <v>-</v>
      </c>
      <c r="P344" s="4" t="str">
        <f t="shared" si="80"/>
        <v>-</v>
      </c>
      <c r="Q344" s="4" t="str">
        <f t="shared" si="81"/>
        <v>-</v>
      </c>
      <c r="R344" s="4">
        <f t="shared" si="82"/>
        <v>0</v>
      </c>
      <c r="S344" s="23" t="str">
        <f t="shared" si="87"/>
        <v>-</v>
      </c>
      <c r="T344" s="4" t="str">
        <f t="shared" si="84"/>
        <v>-</v>
      </c>
      <c r="U344" s="4" t="str">
        <f t="shared" si="85"/>
        <v>-</v>
      </c>
      <c r="V344" s="4">
        <f t="shared" si="86"/>
        <v>0</v>
      </c>
      <c r="W344" s="23">
        <f>VLOOKUP(A344,[1]SummaryTable!$A$2:$F$359,4,FALSE)</f>
        <v>0</v>
      </c>
    </row>
    <row r="345" spans="1:23" x14ac:dyDescent="0.25">
      <c r="A345" s="14" t="s">
        <v>171</v>
      </c>
      <c r="B345" s="14" t="str">
        <f t="shared" si="73"/>
        <v>H172</v>
      </c>
      <c r="C345" s="14">
        <v>1</v>
      </c>
      <c r="D345" s="61">
        <v>12</v>
      </c>
      <c r="E345" s="15">
        <f>VLOOKUP(A345,[1]SummaryTable!$A$2:$F$359,2,FALSE)</f>
        <v>6591622.6607636902</v>
      </c>
      <c r="F345" s="15">
        <f>VLOOKUP(A345,[1]SummaryTable!$A$2:$F$359,3,FALSE)</f>
        <v>667154.71976318397</v>
      </c>
      <c r="G345" s="62">
        <f t="shared" si="74"/>
        <v>0</v>
      </c>
      <c r="H345" s="4">
        <f>VLOOKUP(A345,[1]SummaryTable!$A$2:$F$359,5,FALSE)</f>
        <v>0</v>
      </c>
      <c r="I345" s="4">
        <f>VLOOKUP(A345,[1]SummaryTable!$A$2:$F$359,6,FALSE)</f>
        <v>1</v>
      </c>
      <c r="J345" s="4" t="str">
        <f>IF(I345&gt;0.1,[2]Processes!$A$6,[2]Processes!$A$5)</f>
        <v>Heatpl</v>
      </c>
      <c r="K345" s="23" t="str">
        <f t="shared" si="75"/>
        <v>-</v>
      </c>
      <c r="L345" s="4" t="str">
        <f t="shared" si="76"/>
        <v>-</v>
      </c>
      <c r="M345" s="4" t="str">
        <f t="shared" si="77"/>
        <v>-</v>
      </c>
      <c r="N345" s="4">
        <f t="shared" si="78"/>
        <v>0</v>
      </c>
      <c r="O345" s="23" t="str">
        <f t="shared" si="79"/>
        <v>-</v>
      </c>
      <c r="P345" s="4" t="str">
        <f t="shared" si="80"/>
        <v>-</v>
      </c>
      <c r="Q345" s="4" t="str">
        <f t="shared" si="81"/>
        <v>-</v>
      </c>
      <c r="R345" s="4">
        <f t="shared" si="82"/>
        <v>0</v>
      </c>
      <c r="S345" s="23" t="str">
        <f t="shared" si="87"/>
        <v>-</v>
      </c>
      <c r="T345" s="4" t="str">
        <f t="shared" si="84"/>
        <v>-</v>
      </c>
      <c r="U345" s="4" t="str">
        <f t="shared" si="85"/>
        <v>-</v>
      </c>
      <c r="V345" s="4">
        <f t="shared" si="86"/>
        <v>0</v>
      </c>
      <c r="W345" s="23">
        <f>VLOOKUP(A345,[1]SummaryTable!$A$2:$F$359,4,FALSE)</f>
        <v>0</v>
      </c>
    </row>
    <row r="346" spans="1:23" x14ac:dyDescent="0.25">
      <c r="A346" s="14" t="s">
        <v>186</v>
      </c>
      <c r="B346" s="14" t="str">
        <f t="shared" si="73"/>
        <v>H187</v>
      </c>
      <c r="C346" s="14">
        <v>1</v>
      </c>
      <c r="D346" s="61">
        <v>12</v>
      </c>
      <c r="E346" s="15">
        <f>VLOOKUP(A346,[1]SummaryTable!$A$2:$F$359,2,FALSE)</f>
        <v>6575676.0901075304</v>
      </c>
      <c r="F346" s="15">
        <f>VLOOKUP(A346,[1]SummaryTable!$A$2:$F$359,3,FALSE)</f>
        <v>688522.55609687103</v>
      </c>
      <c r="G346" s="62">
        <f t="shared" si="74"/>
        <v>0</v>
      </c>
      <c r="H346" s="4">
        <f>VLOOKUP(A346,[1]SummaryTable!$A$2:$F$359,5,FALSE)</f>
        <v>0</v>
      </c>
      <c r="I346" s="4">
        <f>VLOOKUP(A346,[1]SummaryTable!$A$2:$F$359,6,FALSE)</f>
        <v>1</v>
      </c>
      <c r="J346" s="4" t="str">
        <f>IF(I346&gt;0.1,[2]Processes!$A$6,[2]Processes!$A$5)</f>
        <v>Heatpl</v>
      </c>
      <c r="K346" s="23" t="str">
        <f t="shared" si="75"/>
        <v>-</v>
      </c>
      <c r="L346" s="4" t="str">
        <f t="shared" si="76"/>
        <v>-</v>
      </c>
      <c r="M346" s="4" t="str">
        <f t="shared" si="77"/>
        <v>-</v>
      </c>
      <c r="N346" s="4">
        <f t="shared" si="78"/>
        <v>0</v>
      </c>
      <c r="O346" s="23" t="str">
        <f t="shared" si="79"/>
        <v>-</v>
      </c>
      <c r="P346" s="4" t="str">
        <f t="shared" si="80"/>
        <v>-</v>
      </c>
      <c r="Q346" s="4" t="str">
        <f t="shared" si="81"/>
        <v>-</v>
      </c>
      <c r="R346" s="4">
        <f t="shared" si="82"/>
        <v>0</v>
      </c>
      <c r="S346" s="23" t="str">
        <f t="shared" si="87"/>
        <v>-</v>
      </c>
      <c r="T346" s="4" t="str">
        <f t="shared" si="84"/>
        <v>-</v>
      </c>
      <c r="U346" s="4" t="str">
        <f t="shared" si="85"/>
        <v>-</v>
      </c>
      <c r="V346" s="4">
        <f t="shared" si="86"/>
        <v>0</v>
      </c>
      <c r="W346" s="23">
        <f>VLOOKUP(A346,[1]SummaryTable!$A$2:$F$359,4,FALSE)</f>
        <v>0</v>
      </c>
    </row>
    <row r="347" spans="1:23" x14ac:dyDescent="0.25">
      <c r="A347" s="14" t="s">
        <v>1</v>
      </c>
      <c r="B347" s="14" t="str">
        <f t="shared" si="73"/>
        <v>H2</v>
      </c>
      <c r="C347" s="14">
        <v>14</v>
      </c>
      <c r="D347" s="61">
        <v>23</v>
      </c>
      <c r="E347" s="15">
        <f>VLOOKUP(A347,[1]SummaryTable!$A$2:$F$359,2,FALSE)</f>
        <v>6486670.801</v>
      </c>
      <c r="F347" s="15">
        <f>VLOOKUP(A347,[1]SummaryTable!$A$2:$F$359,3,FALSE)</f>
        <v>393503.21799999999</v>
      </c>
      <c r="G347" s="62">
        <f t="shared" si="74"/>
        <v>0</v>
      </c>
      <c r="H347" s="4">
        <f>VLOOKUP(A347,[1]SummaryTable!$A$2:$F$359,5,FALSE)</f>
        <v>0</v>
      </c>
      <c r="I347" s="4">
        <f>VLOOKUP(A347,[1]SummaryTable!$A$2:$F$359,6,FALSE)</f>
        <v>1</v>
      </c>
      <c r="J347" s="4" t="str">
        <f>IF(I347&gt;0.1,[2]Processes!$A$6,[2]Processes!$A$5)</f>
        <v>Heatpl</v>
      </c>
      <c r="K347" s="23" t="str">
        <f t="shared" si="75"/>
        <v>-</v>
      </c>
      <c r="L347" s="4" t="str">
        <f t="shared" si="76"/>
        <v>-</v>
      </c>
      <c r="M347" s="4" t="str">
        <f t="shared" si="77"/>
        <v>-</v>
      </c>
      <c r="N347" s="4">
        <f t="shared" si="78"/>
        <v>0</v>
      </c>
      <c r="O347" s="23" t="str">
        <f t="shared" si="79"/>
        <v>-</v>
      </c>
      <c r="P347" s="4" t="str">
        <f t="shared" si="80"/>
        <v>-</v>
      </c>
      <c r="Q347" s="4" t="str">
        <f t="shared" si="81"/>
        <v>-</v>
      </c>
      <c r="R347" s="4">
        <f t="shared" si="82"/>
        <v>0</v>
      </c>
      <c r="S347" s="23" t="str">
        <f t="shared" si="87"/>
        <v>-</v>
      </c>
      <c r="T347" s="4" t="str">
        <f t="shared" si="84"/>
        <v>-</v>
      </c>
      <c r="U347" s="4" t="str">
        <f t="shared" si="85"/>
        <v>-</v>
      </c>
      <c r="V347" s="4">
        <f t="shared" si="86"/>
        <v>0</v>
      </c>
      <c r="W347" s="23">
        <f>VLOOKUP(A347,[1]SummaryTable!$A$2:$F$359,4,FALSE)</f>
        <v>0</v>
      </c>
    </row>
    <row r="348" spans="1:23" x14ac:dyDescent="0.25">
      <c r="A348" s="14" t="s">
        <v>210</v>
      </c>
      <c r="B348" s="14" t="str">
        <f t="shared" si="73"/>
        <v>H211</v>
      </c>
      <c r="C348" s="14">
        <v>14</v>
      </c>
      <c r="D348" s="61">
        <v>23</v>
      </c>
      <c r="E348" s="15">
        <f>VLOOKUP(A348,[1]SummaryTable!$A$2:$F$359,2,FALSE)</f>
        <v>6505435.6385562504</v>
      </c>
      <c r="F348" s="15">
        <f>VLOOKUP(A348,[1]SummaryTable!$A$2:$F$359,3,FALSE)</f>
        <v>431893.95748978801</v>
      </c>
      <c r="G348" s="62">
        <f t="shared" si="74"/>
        <v>0</v>
      </c>
      <c r="H348" s="4">
        <f>VLOOKUP(A348,[1]SummaryTable!$A$2:$F$359,5,FALSE)</f>
        <v>0</v>
      </c>
      <c r="I348" s="4">
        <f>VLOOKUP(A348,[1]SummaryTable!$A$2:$F$359,6,FALSE)</f>
        <v>1</v>
      </c>
      <c r="J348" s="4" t="str">
        <f>IF(I348&gt;0.1,[2]Processes!$A$6,[2]Processes!$A$5)</f>
        <v>Heatpl</v>
      </c>
      <c r="K348" s="23" t="str">
        <f t="shared" si="75"/>
        <v>-</v>
      </c>
      <c r="L348" s="4" t="str">
        <f t="shared" si="76"/>
        <v>-</v>
      </c>
      <c r="M348" s="4" t="str">
        <f t="shared" si="77"/>
        <v>-</v>
      </c>
      <c r="N348" s="4">
        <f t="shared" si="78"/>
        <v>0</v>
      </c>
      <c r="O348" s="23" t="str">
        <f t="shared" si="79"/>
        <v>-</v>
      </c>
      <c r="P348" s="4" t="str">
        <f t="shared" si="80"/>
        <v>-</v>
      </c>
      <c r="Q348" s="4" t="str">
        <f t="shared" si="81"/>
        <v>-</v>
      </c>
      <c r="R348" s="4">
        <f t="shared" si="82"/>
        <v>0</v>
      </c>
      <c r="S348" s="23" t="str">
        <f t="shared" si="87"/>
        <v>-</v>
      </c>
      <c r="T348" s="4" t="str">
        <f t="shared" si="84"/>
        <v>-</v>
      </c>
      <c r="U348" s="4" t="str">
        <f t="shared" si="85"/>
        <v>-</v>
      </c>
      <c r="V348" s="4">
        <f t="shared" si="86"/>
        <v>0</v>
      </c>
      <c r="W348" s="23">
        <f>VLOOKUP(A348,[1]SummaryTable!$A$2:$F$359,4,FALSE)</f>
        <v>0</v>
      </c>
    </row>
    <row r="349" spans="1:23" x14ac:dyDescent="0.25">
      <c r="A349" s="14" t="s">
        <v>212</v>
      </c>
      <c r="B349" s="14" t="str">
        <f t="shared" si="73"/>
        <v>H213</v>
      </c>
      <c r="C349" s="14">
        <v>4</v>
      </c>
      <c r="D349" s="61">
        <v>12</v>
      </c>
      <c r="E349" s="15">
        <f>VLOOKUP(A349,[1]SummaryTable!$A$2:$F$359,2,FALSE)</f>
        <v>6506474.6019017398</v>
      </c>
      <c r="F349" s="15">
        <f>VLOOKUP(A349,[1]SummaryTable!$A$2:$F$359,3,FALSE)</f>
        <v>618644.59378443297</v>
      </c>
      <c r="G349" s="62">
        <f t="shared" si="74"/>
        <v>0</v>
      </c>
      <c r="H349" s="4">
        <f>VLOOKUP(A349,[1]SummaryTable!$A$2:$F$359,5,FALSE)</f>
        <v>0</v>
      </c>
      <c r="I349" s="4">
        <f>VLOOKUP(A349,[1]SummaryTable!$A$2:$F$359,6,FALSE)</f>
        <v>1</v>
      </c>
      <c r="J349" s="4" t="str">
        <f>IF(I349&gt;0.1,[2]Processes!$A$6,[2]Processes!$A$5)</f>
        <v>Heatpl</v>
      </c>
      <c r="K349" s="23" t="str">
        <f t="shared" si="75"/>
        <v>-</v>
      </c>
      <c r="L349" s="4" t="str">
        <f t="shared" si="76"/>
        <v>-</v>
      </c>
      <c r="M349" s="4" t="str">
        <f t="shared" si="77"/>
        <v>-</v>
      </c>
      <c r="N349" s="4">
        <f t="shared" si="78"/>
        <v>0</v>
      </c>
      <c r="O349" s="23" t="str">
        <f t="shared" si="79"/>
        <v>-</v>
      </c>
      <c r="P349" s="4" t="str">
        <f t="shared" si="80"/>
        <v>-</v>
      </c>
      <c r="Q349" s="4" t="str">
        <f t="shared" si="81"/>
        <v>-</v>
      </c>
      <c r="R349" s="4">
        <f t="shared" si="82"/>
        <v>0</v>
      </c>
      <c r="S349" s="23" t="str">
        <f t="shared" si="87"/>
        <v>-</v>
      </c>
      <c r="T349" s="4" t="str">
        <f t="shared" si="84"/>
        <v>-</v>
      </c>
      <c r="U349" s="4" t="str">
        <f t="shared" si="85"/>
        <v>-</v>
      </c>
      <c r="V349" s="4">
        <f t="shared" si="86"/>
        <v>0</v>
      </c>
      <c r="W349" s="23">
        <f>VLOOKUP(A349,[1]SummaryTable!$A$2:$F$359,4,FALSE)</f>
        <v>0</v>
      </c>
    </row>
    <row r="350" spans="1:23" x14ac:dyDescent="0.25">
      <c r="A350" s="14" t="s">
        <v>223</v>
      </c>
      <c r="B350" s="14" t="str">
        <f t="shared" si="73"/>
        <v>H224</v>
      </c>
      <c r="C350" s="14">
        <v>14</v>
      </c>
      <c r="D350" s="61">
        <v>23</v>
      </c>
      <c r="E350" s="15">
        <f>VLOOKUP(A350,[1]SummaryTable!$A$2:$F$359,2,FALSE)</f>
        <v>6481592.1806650804</v>
      </c>
      <c r="F350" s="15">
        <f>VLOOKUP(A350,[1]SummaryTable!$A$2:$F$359,3,FALSE)</f>
        <v>394079.92340773903</v>
      </c>
      <c r="G350" s="62">
        <f t="shared" si="74"/>
        <v>0</v>
      </c>
      <c r="H350" s="4">
        <f>VLOOKUP(A350,[1]SummaryTable!$A$2:$F$359,5,FALSE)</f>
        <v>0</v>
      </c>
      <c r="I350" s="4">
        <f>VLOOKUP(A350,[1]SummaryTable!$A$2:$F$359,6,FALSE)</f>
        <v>1</v>
      </c>
      <c r="J350" s="4" t="str">
        <f>IF(I350&gt;0.1,[2]Processes!$A$6,[2]Processes!$A$5)</f>
        <v>Heatpl</v>
      </c>
      <c r="K350" s="23" t="str">
        <f t="shared" si="75"/>
        <v>-</v>
      </c>
      <c r="L350" s="4" t="str">
        <f t="shared" si="76"/>
        <v>-</v>
      </c>
      <c r="M350" s="4" t="str">
        <f t="shared" si="77"/>
        <v>-</v>
      </c>
      <c r="N350" s="4">
        <f t="shared" si="78"/>
        <v>0</v>
      </c>
      <c r="O350" s="23" t="str">
        <f t="shared" si="79"/>
        <v>-</v>
      </c>
      <c r="P350" s="4" t="str">
        <f t="shared" si="80"/>
        <v>-</v>
      </c>
      <c r="Q350" s="4" t="str">
        <f t="shared" si="81"/>
        <v>-</v>
      </c>
      <c r="R350" s="4">
        <f t="shared" si="82"/>
        <v>0</v>
      </c>
      <c r="S350" s="23" t="str">
        <f t="shared" si="87"/>
        <v>-</v>
      </c>
      <c r="T350" s="4" t="str">
        <f t="shared" si="84"/>
        <v>-</v>
      </c>
      <c r="U350" s="4" t="str">
        <f t="shared" si="85"/>
        <v>-</v>
      </c>
      <c r="V350" s="4">
        <f t="shared" si="86"/>
        <v>0</v>
      </c>
      <c r="W350" s="23">
        <f>VLOOKUP(A350,[1]SummaryTable!$A$2:$F$359,4,FALSE)</f>
        <v>0</v>
      </c>
    </row>
    <row r="351" spans="1:23" x14ac:dyDescent="0.25">
      <c r="A351" s="14" t="s">
        <v>227</v>
      </c>
      <c r="B351" s="14" t="str">
        <f t="shared" si="73"/>
        <v>H228</v>
      </c>
      <c r="C351" s="14">
        <v>14</v>
      </c>
      <c r="D351" s="61">
        <v>23</v>
      </c>
      <c r="E351" s="15">
        <f>VLOOKUP(A351,[1]SummaryTable!$A$2:$F$359,2,FALSE)</f>
        <v>6469794.3837224897</v>
      </c>
      <c r="F351" s="15">
        <f>VLOOKUP(A351,[1]SummaryTable!$A$2:$F$359,3,FALSE)</f>
        <v>344342.97010892199</v>
      </c>
      <c r="G351" s="62">
        <f t="shared" si="74"/>
        <v>0</v>
      </c>
      <c r="H351" s="4">
        <f>VLOOKUP(A351,[1]SummaryTable!$A$2:$F$359,5,FALSE)</f>
        <v>0</v>
      </c>
      <c r="I351" s="4">
        <f>VLOOKUP(A351,[1]SummaryTable!$A$2:$F$359,6,FALSE)</f>
        <v>1</v>
      </c>
      <c r="J351" s="4" t="str">
        <f>IF(I351&gt;0.1,[2]Processes!$A$6,[2]Processes!$A$5)</f>
        <v>Heatpl</v>
      </c>
      <c r="K351" s="23" t="str">
        <f t="shared" si="75"/>
        <v>-</v>
      </c>
      <c r="L351" s="4" t="str">
        <f t="shared" si="76"/>
        <v>-</v>
      </c>
      <c r="M351" s="4" t="str">
        <f t="shared" si="77"/>
        <v>-</v>
      </c>
      <c r="N351" s="4">
        <f t="shared" si="78"/>
        <v>0</v>
      </c>
      <c r="O351" s="23" t="str">
        <f t="shared" si="79"/>
        <v>-</v>
      </c>
      <c r="P351" s="4" t="str">
        <f t="shared" si="80"/>
        <v>-</v>
      </c>
      <c r="Q351" s="4" t="str">
        <f t="shared" si="81"/>
        <v>-</v>
      </c>
      <c r="R351" s="4">
        <f t="shared" si="82"/>
        <v>0</v>
      </c>
      <c r="S351" s="23" t="str">
        <f t="shared" si="87"/>
        <v>-</v>
      </c>
      <c r="T351" s="4" t="str">
        <f t="shared" si="84"/>
        <v>-</v>
      </c>
      <c r="U351" s="4" t="str">
        <f t="shared" si="85"/>
        <v>-</v>
      </c>
      <c r="V351" s="4">
        <f t="shared" si="86"/>
        <v>0</v>
      </c>
      <c r="W351" s="23">
        <f>VLOOKUP(A351,[1]SummaryTable!$A$2:$F$359,4,FALSE)</f>
        <v>0</v>
      </c>
    </row>
    <row r="352" spans="1:23" x14ac:dyDescent="0.25">
      <c r="A352" s="14" t="s">
        <v>233</v>
      </c>
      <c r="B352" s="14" t="str">
        <f t="shared" si="73"/>
        <v>H234</v>
      </c>
      <c r="C352" s="14">
        <v>14</v>
      </c>
      <c r="D352" s="61">
        <v>23</v>
      </c>
      <c r="E352" s="15">
        <f>VLOOKUP(A352,[1]SummaryTable!$A$2:$F$359,2,FALSE)</f>
        <v>6460338.6851796303</v>
      </c>
      <c r="F352" s="15">
        <f>VLOOKUP(A352,[1]SummaryTable!$A$2:$F$359,3,FALSE)</f>
        <v>291796.41974405001</v>
      </c>
      <c r="G352" s="62">
        <f t="shared" si="74"/>
        <v>0</v>
      </c>
      <c r="H352" s="4">
        <f>VLOOKUP(A352,[1]SummaryTable!$A$2:$F$359,5,FALSE)</f>
        <v>0</v>
      </c>
      <c r="I352" s="4">
        <f>VLOOKUP(A352,[1]SummaryTable!$A$2:$F$359,6,FALSE)</f>
        <v>1</v>
      </c>
      <c r="J352" s="4" t="str">
        <f>IF(I352&gt;0.1,[2]Processes!$A$6,[2]Processes!$A$5)</f>
        <v>Heatpl</v>
      </c>
      <c r="K352" s="23" t="str">
        <f t="shared" si="75"/>
        <v>-</v>
      </c>
      <c r="L352" s="4" t="str">
        <f t="shared" si="76"/>
        <v>-</v>
      </c>
      <c r="M352" s="4" t="str">
        <f t="shared" si="77"/>
        <v>-</v>
      </c>
      <c r="N352" s="4">
        <f t="shared" si="78"/>
        <v>0</v>
      </c>
      <c r="O352" s="23" t="str">
        <f t="shared" si="79"/>
        <v>-</v>
      </c>
      <c r="P352" s="4" t="str">
        <f t="shared" si="80"/>
        <v>-</v>
      </c>
      <c r="Q352" s="4" t="str">
        <f t="shared" si="81"/>
        <v>-</v>
      </c>
      <c r="R352" s="4">
        <f t="shared" si="82"/>
        <v>0</v>
      </c>
      <c r="S352" s="23" t="str">
        <f t="shared" si="87"/>
        <v>-</v>
      </c>
      <c r="T352" s="4" t="str">
        <f t="shared" si="84"/>
        <v>-</v>
      </c>
      <c r="U352" s="4" t="str">
        <f t="shared" si="85"/>
        <v>-</v>
      </c>
      <c r="V352" s="4">
        <f t="shared" si="86"/>
        <v>0</v>
      </c>
      <c r="W352" s="23">
        <f>VLOOKUP(A352,[1]SummaryTable!$A$2:$F$359,4,FALSE)</f>
        <v>0</v>
      </c>
    </row>
    <row r="353" spans="1:23" x14ac:dyDescent="0.25">
      <c r="A353" s="14" t="s">
        <v>248</v>
      </c>
      <c r="B353" s="14" t="str">
        <f t="shared" si="73"/>
        <v>H249</v>
      </c>
      <c r="C353" s="14">
        <v>14</v>
      </c>
      <c r="D353" s="61">
        <v>23</v>
      </c>
      <c r="E353" s="15">
        <f>VLOOKUP(A353,[1]SummaryTable!$A$2:$F$359,2,FALSE)</f>
        <v>6436617.7458824096</v>
      </c>
      <c r="F353" s="15">
        <f>VLOOKUP(A353,[1]SummaryTable!$A$2:$F$359,3,FALSE)</f>
        <v>314350.11348870699</v>
      </c>
      <c r="G353" s="62">
        <f t="shared" si="74"/>
        <v>0</v>
      </c>
      <c r="H353" s="4">
        <f>VLOOKUP(A353,[1]SummaryTable!$A$2:$F$359,5,FALSE)</f>
        <v>0</v>
      </c>
      <c r="I353" s="4">
        <f>VLOOKUP(A353,[1]SummaryTable!$A$2:$F$359,6,FALSE)</f>
        <v>1</v>
      </c>
      <c r="J353" s="4" t="str">
        <f>IF(I353&gt;0.1,[2]Processes!$A$6,[2]Processes!$A$5)</f>
        <v>Heatpl</v>
      </c>
      <c r="K353" s="23" t="str">
        <f t="shared" si="75"/>
        <v>-</v>
      </c>
      <c r="L353" s="4" t="str">
        <f t="shared" si="76"/>
        <v>-</v>
      </c>
      <c r="M353" s="4" t="str">
        <f t="shared" si="77"/>
        <v>-</v>
      </c>
      <c r="N353" s="4">
        <f t="shared" si="78"/>
        <v>0</v>
      </c>
      <c r="O353" s="23" t="str">
        <f t="shared" si="79"/>
        <v>-</v>
      </c>
      <c r="P353" s="4" t="str">
        <f t="shared" si="80"/>
        <v>-</v>
      </c>
      <c r="Q353" s="4" t="str">
        <f t="shared" si="81"/>
        <v>-</v>
      </c>
      <c r="R353" s="4">
        <f t="shared" si="82"/>
        <v>0</v>
      </c>
      <c r="S353" s="23" t="str">
        <f t="shared" si="87"/>
        <v>-</v>
      </c>
      <c r="T353" s="4" t="str">
        <f t="shared" si="84"/>
        <v>-</v>
      </c>
      <c r="U353" s="4" t="str">
        <f t="shared" si="85"/>
        <v>-</v>
      </c>
      <c r="V353" s="4">
        <f t="shared" si="86"/>
        <v>0</v>
      </c>
      <c r="W353" s="23">
        <f>VLOOKUP(A353,[1]SummaryTable!$A$2:$F$359,4,FALSE)</f>
        <v>0</v>
      </c>
    </row>
    <row r="354" spans="1:23" x14ac:dyDescent="0.25">
      <c r="A354" s="14" t="s">
        <v>24</v>
      </c>
      <c r="B354" s="14" t="str">
        <f t="shared" si="73"/>
        <v>H25</v>
      </c>
      <c r="C354" s="14">
        <v>14</v>
      </c>
      <c r="D354" s="61">
        <v>23</v>
      </c>
      <c r="E354" s="15">
        <f>VLOOKUP(A354,[1]SummaryTable!$A$2:$F$359,2,FALSE)</f>
        <v>6403600.9189999998</v>
      </c>
      <c r="F354" s="15">
        <f>VLOOKUP(A354,[1]SummaryTable!$A$2:$F$359,3,FALSE)</f>
        <v>331063.36700000003</v>
      </c>
      <c r="G354" s="62">
        <f t="shared" si="74"/>
        <v>0</v>
      </c>
      <c r="H354" s="4">
        <f>VLOOKUP(A354,[1]SummaryTable!$A$2:$F$359,5,FALSE)</f>
        <v>0</v>
      </c>
      <c r="I354" s="4">
        <f>VLOOKUP(A354,[1]SummaryTable!$A$2:$F$359,6,FALSE)</f>
        <v>1</v>
      </c>
      <c r="J354" s="4" t="str">
        <f>IF(I354&gt;0.1,[2]Processes!$A$6,[2]Processes!$A$5)</f>
        <v>Heatpl</v>
      </c>
      <c r="K354" s="23" t="str">
        <f t="shared" si="75"/>
        <v>-</v>
      </c>
      <c r="L354" s="4" t="str">
        <f t="shared" si="76"/>
        <v>-</v>
      </c>
      <c r="M354" s="4" t="str">
        <f t="shared" si="77"/>
        <v>-</v>
      </c>
      <c r="N354" s="4">
        <f t="shared" si="78"/>
        <v>0</v>
      </c>
      <c r="O354" s="23" t="str">
        <f t="shared" si="79"/>
        <v>-</v>
      </c>
      <c r="P354" s="4" t="str">
        <f t="shared" si="80"/>
        <v>-</v>
      </c>
      <c r="Q354" s="4" t="str">
        <f t="shared" si="81"/>
        <v>-</v>
      </c>
      <c r="R354" s="4">
        <f t="shared" si="82"/>
        <v>0</v>
      </c>
      <c r="S354" s="23" t="str">
        <f t="shared" si="87"/>
        <v>-</v>
      </c>
      <c r="T354" s="4" t="str">
        <f t="shared" si="84"/>
        <v>-</v>
      </c>
      <c r="U354" s="4" t="str">
        <f t="shared" si="85"/>
        <v>-</v>
      </c>
      <c r="V354" s="4">
        <f t="shared" si="86"/>
        <v>0</v>
      </c>
      <c r="W354" s="23">
        <f>VLOOKUP(A354,[1]SummaryTable!$A$2:$F$359,4,FALSE)</f>
        <v>0</v>
      </c>
    </row>
    <row r="355" spans="1:23" x14ac:dyDescent="0.25">
      <c r="A355" s="14" t="s">
        <v>271</v>
      </c>
      <c r="B355" s="14" t="str">
        <f t="shared" si="73"/>
        <v>H272</v>
      </c>
      <c r="C355" s="14">
        <v>9</v>
      </c>
      <c r="D355" s="61">
        <v>21</v>
      </c>
      <c r="E355" s="15">
        <f>VLOOKUP(A355,[1]SummaryTable!$A$2:$F$359,2,FALSE)</f>
        <v>6403463.3311914997</v>
      </c>
      <c r="F355" s="15">
        <f>VLOOKUP(A355,[1]SummaryTable!$A$2:$F$359,3,FALSE)</f>
        <v>725929.27318812395</v>
      </c>
      <c r="G355" s="62">
        <f t="shared" si="74"/>
        <v>0</v>
      </c>
      <c r="H355" s="4">
        <f>VLOOKUP(A355,[1]SummaryTable!$A$2:$F$359,5,FALSE)</f>
        <v>0</v>
      </c>
      <c r="I355" s="4">
        <f>VLOOKUP(A355,[1]SummaryTable!$A$2:$F$359,6,FALSE)</f>
        <v>1</v>
      </c>
      <c r="J355" s="4" t="str">
        <f>IF(I355&gt;0.1,[2]Processes!$A$6,[2]Processes!$A$5)</f>
        <v>Heatpl</v>
      </c>
      <c r="K355" s="23" t="str">
        <f t="shared" si="75"/>
        <v>-</v>
      </c>
      <c r="L355" s="4" t="str">
        <f t="shared" si="76"/>
        <v>-</v>
      </c>
      <c r="M355" s="4" t="str">
        <f t="shared" si="77"/>
        <v>-</v>
      </c>
      <c r="N355" s="4">
        <f t="shared" si="78"/>
        <v>0</v>
      </c>
      <c r="O355" s="23" t="str">
        <f t="shared" si="79"/>
        <v>-</v>
      </c>
      <c r="P355" s="4" t="str">
        <f t="shared" si="80"/>
        <v>-</v>
      </c>
      <c r="Q355" s="4" t="str">
        <f t="shared" si="81"/>
        <v>-</v>
      </c>
      <c r="R355" s="4">
        <f t="shared" si="82"/>
        <v>0</v>
      </c>
      <c r="S355" s="23" t="str">
        <f t="shared" si="87"/>
        <v>-</v>
      </c>
      <c r="T355" s="4" t="str">
        <f t="shared" si="84"/>
        <v>-</v>
      </c>
      <c r="U355" s="4" t="str">
        <f t="shared" si="85"/>
        <v>-</v>
      </c>
      <c r="V355" s="4">
        <f t="shared" si="86"/>
        <v>0</v>
      </c>
      <c r="W355" s="23">
        <f>VLOOKUP(A355,[1]SummaryTable!$A$2:$F$359,4,FALSE)</f>
        <v>0</v>
      </c>
    </row>
    <row r="356" spans="1:23" x14ac:dyDescent="0.25">
      <c r="A356" s="14" t="s">
        <v>296</v>
      </c>
      <c r="B356" s="14" t="str">
        <f t="shared" si="73"/>
        <v>H297</v>
      </c>
      <c r="C356" s="14">
        <v>9</v>
      </c>
      <c r="D356" s="61">
        <v>21</v>
      </c>
      <c r="E356" s="15">
        <f>VLOOKUP(A356,[1]SummaryTable!$A$2:$F$359,2,FALSE)</f>
        <v>6365145.9504760299</v>
      </c>
      <c r="F356" s="15">
        <f>VLOOKUP(A356,[1]SummaryTable!$A$2:$F$359,3,FALSE)</f>
        <v>692209.69238209305</v>
      </c>
      <c r="G356" s="62">
        <f t="shared" si="74"/>
        <v>0</v>
      </c>
      <c r="H356" s="4">
        <f>VLOOKUP(A356,[1]SummaryTable!$A$2:$F$359,5,FALSE)</f>
        <v>0</v>
      </c>
      <c r="I356" s="4">
        <f>VLOOKUP(A356,[1]SummaryTable!$A$2:$F$359,6,FALSE)</f>
        <v>1</v>
      </c>
      <c r="J356" s="4" t="str">
        <f>IF(I356&gt;0.1,[2]Processes!$A$6,[2]Processes!$A$5)</f>
        <v>Heatpl</v>
      </c>
      <c r="K356" s="23" t="str">
        <f t="shared" si="75"/>
        <v>-</v>
      </c>
      <c r="L356" s="4" t="str">
        <f t="shared" si="76"/>
        <v>-</v>
      </c>
      <c r="M356" s="4" t="str">
        <f t="shared" si="77"/>
        <v>-</v>
      </c>
      <c r="N356" s="4">
        <f t="shared" si="78"/>
        <v>0</v>
      </c>
      <c r="O356" s="23" t="str">
        <f t="shared" si="79"/>
        <v>-</v>
      </c>
      <c r="P356" s="4" t="str">
        <f t="shared" si="80"/>
        <v>-</v>
      </c>
      <c r="Q356" s="4" t="str">
        <f t="shared" si="81"/>
        <v>-</v>
      </c>
      <c r="R356" s="4">
        <f t="shared" si="82"/>
        <v>0</v>
      </c>
      <c r="S356" s="23" t="str">
        <f t="shared" si="87"/>
        <v>-</v>
      </c>
      <c r="T356" s="4" t="str">
        <f t="shared" si="84"/>
        <v>-</v>
      </c>
      <c r="U356" s="4" t="str">
        <f t="shared" si="85"/>
        <v>-</v>
      </c>
      <c r="V356" s="4">
        <f t="shared" si="86"/>
        <v>0</v>
      </c>
      <c r="W356" s="23">
        <f>VLOOKUP(A356,[1]SummaryTable!$A$2:$F$359,4,FALSE)</f>
        <v>0</v>
      </c>
    </row>
    <row r="357" spans="1:23" x14ac:dyDescent="0.25">
      <c r="A357" s="14" t="s">
        <v>335</v>
      </c>
      <c r="B357" s="14" t="str">
        <f t="shared" si="73"/>
        <v>H336</v>
      </c>
      <c r="C357" s="14">
        <v>12</v>
      </c>
      <c r="D357" s="61">
        <v>22</v>
      </c>
      <c r="E357" s="15">
        <f>VLOOKUP(A357,[1]SummaryTable!$A$2:$F$359,2,FALSE)</f>
        <v>6226843.2173633501</v>
      </c>
      <c r="F357" s="15">
        <f>VLOOKUP(A357,[1]SummaryTable!$A$2:$F$359,3,FALSE)</f>
        <v>348711.85170009098</v>
      </c>
      <c r="G357" s="62">
        <f t="shared" si="74"/>
        <v>0</v>
      </c>
      <c r="H357" s="4">
        <f>VLOOKUP(A357,[1]SummaryTable!$A$2:$F$359,5,FALSE)</f>
        <v>0</v>
      </c>
      <c r="I357" s="4">
        <f>VLOOKUP(A357,[1]SummaryTable!$A$2:$F$359,6,FALSE)</f>
        <v>1</v>
      </c>
      <c r="J357" s="4" t="str">
        <f>IF(I357&gt;0.1,[2]Processes!$A$6,[2]Processes!$A$5)</f>
        <v>Heatpl</v>
      </c>
      <c r="K357" s="23" t="str">
        <f t="shared" si="75"/>
        <v>-</v>
      </c>
      <c r="L357" s="4" t="str">
        <f t="shared" si="76"/>
        <v>-</v>
      </c>
      <c r="M357" s="4" t="str">
        <f t="shared" si="77"/>
        <v>-</v>
      </c>
      <c r="N357" s="4">
        <f t="shared" si="78"/>
        <v>0</v>
      </c>
      <c r="O357" s="23" t="str">
        <f t="shared" si="79"/>
        <v>-</v>
      </c>
      <c r="P357" s="4" t="str">
        <f t="shared" si="80"/>
        <v>-</v>
      </c>
      <c r="Q357" s="4" t="str">
        <f t="shared" si="81"/>
        <v>-</v>
      </c>
      <c r="R357" s="4">
        <f t="shared" si="82"/>
        <v>0</v>
      </c>
      <c r="S357" s="23" t="str">
        <f t="shared" si="87"/>
        <v>-</v>
      </c>
      <c r="T357" s="4" t="str">
        <f t="shared" si="84"/>
        <v>-</v>
      </c>
      <c r="U357" s="4" t="str">
        <f t="shared" si="85"/>
        <v>-</v>
      </c>
      <c r="V357" s="4">
        <f t="shared" si="86"/>
        <v>0</v>
      </c>
      <c r="W357" s="23">
        <f>VLOOKUP(A357,[1]SummaryTable!$A$2:$F$359,4,FALSE)</f>
        <v>0</v>
      </c>
    </row>
    <row r="358" spans="1:23" x14ac:dyDescent="0.25">
      <c r="A358" s="14" t="s">
        <v>51</v>
      </c>
      <c r="B358" s="14" t="str">
        <f t="shared" si="73"/>
        <v>H52</v>
      </c>
      <c r="C358" s="14">
        <v>25</v>
      </c>
      <c r="D358" s="61">
        <v>33</v>
      </c>
      <c r="E358" s="15">
        <f>VLOOKUP(A358,[1]SummaryTable!$A$2:$F$359,2,FALSE)</f>
        <v>7259890.75089096</v>
      </c>
      <c r="F358" s="15">
        <f>VLOOKUP(A358,[1]SummaryTable!$A$2:$F$359,3,FALSE)</f>
        <v>802484.321579515</v>
      </c>
      <c r="G358" s="62">
        <f t="shared" si="74"/>
        <v>0</v>
      </c>
      <c r="H358" s="4">
        <f>VLOOKUP(A358,[1]SummaryTable!$A$2:$F$359,5,FALSE)</f>
        <v>0</v>
      </c>
      <c r="I358" s="4">
        <f>VLOOKUP(A358,[1]SummaryTable!$A$2:$F$359,6,FALSE)</f>
        <v>1</v>
      </c>
      <c r="J358" s="4" t="str">
        <f>IF(I358&gt;0.1,[2]Processes!$A$6,[2]Processes!$A$5)</f>
        <v>Heatpl</v>
      </c>
      <c r="K358" s="23" t="str">
        <f t="shared" si="75"/>
        <v>-</v>
      </c>
      <c r="L358" s="4" t="str">
        <f t="shared" si="76"/>
        <v>-</v>
      </c>
      <c r="M358" s="4" t="str">
        <f t="shared" si="77"/>
        <v>-</v>
      </c>
      <c r="N358" s="4">
        <f t="shared" si="78"/>
        <v>0</v>
      </c>
      <c r="O358" s="23" t="str">
        <f t="shared" si="79"/>
        <v>-</v>
      </c>
      <c r="P358" s="4" t="str">
        <f t="shared" si="80"/>
        <v>-</v>
      </c>
      <c r="Q358" s="4" t="str">
        <f t="shared" si="81"/>
        <v>-</v>
      </c>
      <c r="R358" s="4">
        <f t="shared" si="82"/>
        <v>0</v>
      </c>
      <c r="S358" s="23" t="str">
        <f t="shared" si="87"/>
        <v>-</v>
      </c>
      <c r="T358" s="4" t="str">
        <f t="shared" si="84"/>
        <v>-</v>
      </c>
      <c r="U358" s="4" t="str">
        <f t="shared" si="85"/>
        <v>-</v>
      </c>
      <c r="V358" s="4">
        <f t="shared" si="86"/>
        <v>0</v>
      </c>
      <c r="W358" s="23">
        <f>VLOOKUP(A358,[1]SummaryTable!$A$2:$F$359,4,FALSE)</f>
        <v>0</v>
      </c>
    </row>
    <row r="359" spans="1:23" x14ac:dyDescent="0.25">
      <c r="A359" s="14" t="s">
        <v>60</v>
      </c>
      <c r="B359" s="14" t="str">
        <f t="shared" si="73"/>
        <v>H61</v>
      </c>
      <c r="C359" s="14">
        <v>24</v>
      </c>
      <c r="D359" s="61">
        <v>33</v>
      </c>
      <c r="E359" s="15">
        <f>VLOOKUP(A359,[1]SummaryTable!$A$2:$F$359,2,FALSE)</f>
        <v>7190034.7588558504</v>
      </c>
      <c r="F359" s="15">
        <f>VLOOKUP(A359,[1]SummaryTable!$A$2:$F$359,3,FALSE)</f>
        <v>795168.64306793001</v>
      </c>
      <c r="G359" s="62">
        <f t="shared" si="74"/>
        <v>0</v>
      </c>
      <c r="H359" s="4">
        <f>VLOOKUP(A359,[1]SummaryTable!$A$2:$F$359,5,FALSE)</f>
        <v>0</v>
      </c>
      <c r="I359" s="4">
        <f>VLOOKUP(A359,[1]SummaryTable!$A$2:$F$359,6,FALSE)</f>
        <v>1</v>
      </c>
      <c r="J359" s="4" t="str">
        <f>IF(I359&gt;0.1,[2]Processes!$A$6,[2]Processes!$A$5)</f>
        <v>Heatpl</v>
      </c>
      <c r="K359" s="23" t="str">
        <f t="shared" si="75"/>
        <v>-</v>
      </c>
      <c r="L359" s="4" t="str">
        <f t="shared" si="76"/>
        <v>-</v>
      </c>
      <c r="M359" s="4" t="str">
        <f t="shared" si="77"/>
        <v>-</v>
      </c>
      <c r="N359" s="4">
        <f t="shared" si="78"/>
        <v>0</v>
      </c>
      <c r="O359" s="23" t="str">
        <f t="shared" si="79"/>
        <v>-</v>
      </c>
      <c r="P359" s="4" t="str">
        <f t="shared" si="80"/>
        <v>-</v>
      </c>
      <c r="Q359" s="4" t="str">
        <f t="shared" si="81"/>
        <v>-</v>
      </c>
      <c r="R359" s="4">
        <f t="shared" si="82"/>
        <v>0</v>
      </c>
      <c r="S359" s="23" t="str">
        <f t="shared" si="87"/>
        <v>-</v>
      </c>
      <c r="T359" s="4" t="str">
        <f t="shared" si="84"/>
        <v>-</v>
      </c>
      <c r="U359" s="4" t="str">
        <f t="shared" si="85"/>
        <v>-</v>
      </c>
      <c r="V359" s="4">
        <f t="shared" si="86"/>
        <v>0</v>
      </c>
      <c r="W359" s="23">
        <f>VLOOKUP(A359,[1]SummaryTable!$A$2:$F$359,4,FALSE)</f>
        <v>0</v>
      </c>
    </row>
    <row r="360" spans="1:23" x14ac:dyDescent="0.25">
      <c r="A360" s="14" t="s">
        <v>92</v>
      </c>
      <c r="B360" s="14" t="str">
        <f t="shared" si="73"/>
        <v>H93</v>
      </c>
      <c r="C360" s="14">
        <v>22</v>
      </c>
      <c r="D360" s="61">
        <v>12</v>
      </c>
      <c r="E360" s="15">
        <f>VLOOKUP(A360,[1]SummaryTable!$A$2:$F$359,2,FALSE)</f>
        <v>6930823.5301957401</v>
      </c>
      <c r="F360" s="15">
        <f>VLOOKUP(A360,[1]SummaryTable!$A$2:$F$359,3,FALSE)</f>
        <v>620154.75230644702</v>
      </c>
      <c r="G360" s="62">
        <f t="shared" si="74"/>
        <v>0</v>
      </c>
      <c r="H360" s="4">
        <f>VLOOKUP(A360,[1]SummaryTable!$A$2:$F$359,5,FALSE)</f>
        <v>0</v>
      </c>
      <c r="I360" s="4">
        <f>VLOOKUP(A360,[1]SummaryTable!$A$2:$F$359,6,FALSE)</f>
        <v>1</v>
      </c>
      <c r="J360" s="4" t="str">
        <f>IF(I360&gt;0.1,[2]Processes!$A$6,[2]Processes!$A$5)</f>
        <v>Heatpl</v>
      </c>
      <c r="K360" s="23" t="str">
        <f t="shared" si="75"/>
        <v>-</v>
      </c>
      <c r="L360" s="4" t="str">
        <f t="shared" si="76"/>
        <v>-</v>
      </c>
      <c r="M360" s="4" t="str">
        <f t="shared" si="77"/>
        <v>-</v>
      </c>
      <c r="N360" s="4">
        <f t="shared" si="78"/>
        <v>0</v>
      </c>
      <c r="O360" s="23" t="str">
        <f t="shared" si="79"/>
        <v>-</v>
      </c>
      <c r="P360" s="4" t="str">
        <f t="shared" si="80"/>
        <v>-</v>
      </c>
      <c r="Q360" s="4" t="str">
        <f t="shared" si="81"/>
        <v>-</v>
      </c>
      <c r="R360" s="4">
        <f t="shared" si="82"/>
        <v>0</v>
      </c>
      <c r="S360" s="23" t="str">
        <f t="shared" si="87"/>
        <v>-</v>
      </c>
      <c r="T360" s="4" t="str">
        <f t="shared" si="84"/>
        <v>-</v>
      </c>
      <c r="U360" s="4" t="str">
        <f t="shared" si="85"/>
        <v>-</v>
      </c>
      <c r="V360" s="4">
        <f t="shared" si="86"/>
        <v>0</v>
      </c>
      <c r="W360" s="23">
        <f>VLOOKUP(A360,[1]SummaryTable!$A$2:$F$359,4,FALSE)</f>
        <v>0</v>
      </c>
    </row>
    <row r="361" spans="1:23" x14ac:dyDescent="0.25">
      <c r="E361" s="14"/>
      <c r="F361" s="14"/>
    </row>
    <row r="362" spans="1:23" x14ac:dyDescent="0.25">
      <c r="F362" s="15" t="s">
        <v>727</v>
      </c>
      <c r="G362" s="19">
        <f>SUM(G3:G360)</f>
        <v>31569.967168350799</v>
      </c>
    </row>
    <row r="363" spans="1:23" x14ac:dyDescent="0.25">
      <c r="F363" s="15" t="s">
        <v>728</v>
      </c>
      <c r="G363" s="19">
        <f t="array" ref="G363">MMULT(TRANSPOSE(G3:G360),I3:I360)</f>
        <v>8228.3467769619874</v>
      </c>
      <c r="N363" s="4">
        <f>SUM(N3:N360)</f>
        <v>25037.048190750804</v>
      </c>
      <c r="R363" s="4">
        <f>SUM(R3:R360)</f>
        <v>17480.429127583004</v>
      </c>
      <c r="W363" s="23">
        <f>SUM(W3:W360)</f>
        <v>25957.089306959006</v>
      </c>
    </row>
    <row r="364" spans="1:23" x14ac:dyDescent="0.25">
      <c r="F364" s="15" t="s">
        <v>776</v>
      </c>
      <c r="G364" s="47">
        <f>SUMIFS(G3:G360,G3:G360,"&gt;40")/G362</f>
        <v>0.90554099661562037</v>
      </c>
      <c r="N364" s="4">
        <f>SUMIFS(N3:N360,N3:N360,"&gt;40")/N363</f>
        <v>1</v>
      </c>
      <c r="R364" s="4">
        <f>SUM(R4:R361)</f>
        <v>14900.873339456204</v>
      </c>
    </row>
    <row r="365" spans="1:23" x14ac:dyDescent="0.25">
      <c r="R365" s="4">
        <f>SUMIFS(R4:R361,R4:R361,"&gt;40")/R364</f>
        <v>1</v>
      </c>
    </row>
  </sheetData>
  <sortState xmlns:xlrd2="http://schemas.microsoft.com/office/spreadsheetml/2017/richdata2" ref="A3:Y360">
    <sortCondition descending="1" ref="W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67"/>
  <sheetViews>
    <sheetView zoomScale="90" zoomScaleNormal="90" workbookViewId="0">
      <pane ySplit="1" topLeftCell="A71" activePane="bottomLeft" state="frozen"/>
      <selection activeCell="C18769" sqref="C18769"/>
      <selection pane="bottomLeft" activeCell="H82" sqref="H82:P82"/>
    </sheetView>
  </sheetViews>
  <sheetFormatPr defaultColWidth="9.140625" defaultRowHeight="15" x14ac:dyDescent="0.25"/>
  <cols>
    <col min="1" max="2" width="6.7109375" style="2" customWidth="1"/>
    <col min="3" max="3" width="9.140625" style="2" customWidth="1"/>
    <col min="4" max="4" width="6.7109375" style="2" customWidth="1"/>
    <col min="5" max="5" width="14.7109375" style="1" customWidth="1"/>
    <col min="6" max="6" width="15" style="1" customWidth="1"/>
    <col min="7" max="7" width="12.28515625" style="2" customWidth="1"/>
    <col min="8" max="8" width="9.140625" style="23"/>
    <col min="9" max="9" width="9.140625" style="4"/>
    <col min="10" max="10" width="9.140625" style="66"/>
    <col min="11" max="11" width="9.140625" style="23"/>
    <col min="12" max="12" width="9.140625" style="4"/>
    <col min="13" max="13" width="9.140625" style="66"/>
    <col min="14" max="15" width="9.140625" style="4"/>
    <col min="16" max="16" width="9.140625" style="66"/>
    <col min="17" max="18" width="9.140625" style="4"/>
    <col min="19" max="19" width="9.140625" style="66"/>
    <col min="20" max="16384" width="9.140625" style="4"/>
  </cols>
  <sheetData>
    <row r="1" spans="1:19" s="12" customFormat="1" ht="48" customHeight="1" x14ac:dyDescent="0.25">
      <c r="A1" s="13" t="s">
        <v>676</v>
      </c>
      <c r="B1" s="13" t="s">
        <v>677</v>
      </c>
      <c r="C1" s="13" t="s">
        <v>792</v>
      </c>
      <c r="D1" s="13" t="s">
        <v>791</v>
      </c>
      <c r="E1" s="1" t="s">
        <v>668</v>
      </c>
      <c r="F1" s="1" t="s">
        <v>669</v>
      </c>
      <c r="G1" s="11" t="s">
        <v>538</v>
      </c>
      <c r="H1" s="63">
        <v>1</v>
      </c>
      <c r="I1" s="11" t="s">
        <v>674</v>
      </c>
      <c r="J1" s="65" t="s">
        <v>670</v>
      </c>
      <c r="K1" s="63">
        <v>2</v>
      </c>
      <c r="L1" s="11" t="s">
        <v>674</v>
      </c>
      <c r="M1" s="65" t="s">
        <v>670</v>
      </c>
      <c r="N1" s="63">
        <v>3</v>
      </c>
      <c r="O1" s="11" t="s">
        <v>674</v>
      </c>
      <c r="P1" s="65" t="s">
        <v>670</v>
      </c>
      <c r="Q1" s="63">
        <v>4</v>
      </c>
      <c r="R1" s="11" t="s">
        <v>674</v>
      </c>
      <c r="S1" s="65" t="s">
        <v>670</v>
      </c>
    </row>
    <row r="2" spans="1:19" x14ac:dyDescent="0.25">
      <c r="A2" s="2" t="s">
        <v>382</v>
      </c>
      <c r="B2" s="2" t="str">
        <f t="shared" ref="B2:B33" si="0">A2</f>
        <v>S103</v>
      </c>
      <c r="C2" s="2">
        <v>23</v>
      </c>
      <c r="D2" s="60">
        <v>12</v>
      </c>
      <c r="E2" s="4">
        <v>7054802.7509000003</v>
      </c>
      <c r="F2" s="4">
        <v>509821.01140000002</v>
      </c>
      <c r="G2" s="2">
        <v>35</v>
      </c>
      <c r="H2" s="23" t="str">
        <f>IF(OR(G2&gt;$G$165,I2="sawmbe"),$A2&amp;"L"&amp;H$1,"-")</f>
        <v>-</v>
      </c>
      <c r="I2" s="4" t="s">
        <v>672</v>
      </c>
      <c r="J2" s="66">
        <f t="shared" ref="J2:J33" si="1">IF(H2="-",0,G2*J$164)</f>
        <v>0</v>
      </c>
      <c r="K2" s="23" t="str">
        <f t="shared" ref="K2:K33" si="2">IF(H2="-","-",$A2&amp;"L"&amp;K$1)</f>
        <v>-</v>
      </c>
      <c r="L2" s="4" t="str">
        <f t="shared" ref="L2:L65" si="3">IF(I2="sawmal","TerTal",IF(I2="sawmpi","TerTpi",IF(I2="sawmsp","TerTsp","")))</f>
        <v>TerTal</v>
      </c>
      <c r="M2" s="66">
        <v>9999</v>
      </c>
      <c r="N2" s="23" t="str">
        <f t="shared" ref="N2:N33" si="4">IF(K2="-","-",$A2&amp;"L"&amp;N$1)</f>
        <v>-</v>
      </c>
      <c r="O2" s="4" t="str">
        <f t="shared" ref="O2:O33" si="5">IF(N2="-","-","TerHea")</f>
        <v>-</v>
      </c>
      <c r="P2" s="66">
        <v>9999</v>
      </c>
      <c r="Q2" s="76" t="str">
        <f>IF(N2="-","-","-")</f>
        <v>-</v>
      </c>
      <c r="R2" s="77" t="str">
        <f t="shared" ref="R2" si="6">IF(Q2="-","-","sawmbe")</f>
        <v>-</v>
      </c>
      <c r="S2" s="78">
        <f>IF(Q2="-",0,MIN(G2*$J$164,1))</f>
        <v>0</v>
      </c>
    </row>
    <row r="3" spans="1:19" x14ac:dyDescent="0.25">
      <c r="A3" s="2" t="s">
        <v>383</v>
      </c>
      <c r="B3" s="2" t="str">
        <f t="shared" si="0"/>
        <v>S104</v>
      </c>
      <c r="C3" s="2">
        <v>6</v>
      </c>
      <c r="D3" s="60">
        <v>21</v>
      </c>
      <c r="E3" s="4">
        <v>6403975.7262000004</v>
      </c>
      <c r="F3" s="4">
        <v>429989.6226</v>
      </c>
      <c r="G3" s="2">
        <v>150</v>
      </c>
      <c r="H3" s="23" t="str">
        <f t="shared" ref="H3:H66" si="7">IF(OR(G3&gt;$G$165,I3="sawmbe"),$A3&amp;"L"&amp;H$1,"-")</f>
        <v>S104L1</v>
      </c>
      <c r="I3" s="4" t="s">
        <v>672</v>
      </c>
      <c r="J3" s="66">
        <f t="shared" si="1"/>
        <v>150</v>
      </c>
      <c r="K3" s="23" t="str">
        <f t="shared" si="2"/>
        <v>S104L2</v>
      </c>
      <c r="L3" s="4" t="str">
        <f t="shared" si="3"/>
        <v>TerTal</v>
      </c>
      <c r="M3" s="66">
        <v>9999</v>
      </c>
      <c r="N3" s="23" t="str">
        <f t="shared" si="4"/>
        <v>S104L3</v>
      </c>
      <c r="O3" s="4" t="str">
        <f t="shared" si="5"/>
        <v>TerHea</v>
      </c>
      <c r="P3" s="66">
        <v>9999</v>
      </c>
      <c r="Q3" s="76" t="str">
        <f t="shared" ref="Q3:Q61" si="8">IF(N3="-","-","-")</f>
        <v>-</v>
      </c>
      <c r="R3" s="77" t="str">
        <f t="shared" ref="R3:R28" si="9">IF(Q3="-","-","sawmbe")</f>
        <v>-</v>
      </c>
      <c r="S3" s="78">
        <f t="shared" ref="S3:S28" si="10">IF(Q3="-",0,MIN(G3*$J$164,1))</f>
        <v>0</v>
      </c>
    </row>
    <row r="4" spans="1:19" x14ac:dyDescent="0.25">
      <c r="A4" s="2" t="s">
        <v>384</v>
      </c>
      <c r="B4" s="2" t="str">
        <f t="shared" si="0"/>
        <v>S109</v>
      </c>
      <c r="C4" s="2">
        <v>6</v>
      </c>
      <c r="D4" s="60">
        <v>21</v>
      </c>
      <c r="E4" s="4">
        <v>6365090.5038999999</v>
      </c>
      <c r="F4" s="4">
        <v>504481.74400000001</v>
      </c>
      <c r="G4" s="2">
        <v>110</v>
      </c>
      <c r="H4" s="23" t="str">
        <f t="shared" si="7"/>
        <v>S109L1</v>
      </c>
      <c r="I4" s="4" t="s">
        <v>672</v>
      </c>
      <c r="J4" s="66">
        <f t="shared" si="1"/>
        <v>110</v>
      </c>
      <c r="K4" s="23" t="str">
        <f t="shared" si="2"/>
        <v>S109L2</v>
      </c>
      <c r="L4" s="4" t="str">
        <f t="shared" si="3"/>
        <v>TerTal</v>
      </c>
      <c r="M4" s="66">
        <v>9999</v>
      </c>
      <c r="N4" s="23" t="str">
        <f t="shared" si="4"/>
        <v>S109L3</v>
      </c>
      <c r="O4" s="4" t="str">
        <f t="shared" si="5"/>
        <v>TerHea</v>
      </c>
      <c r="P4" s="66">
        <v>9999</v>
      </c>
      <c r="Q4" s="76" t="str">
        <f t="shared" si="8"/>
        <v>-</v>
      </c>
      <c r="R4" s="77" t="str">
        <f t="shared" si="9"/>
        <v>-</v>
      </c>
      <c r="S4" s="78">
        <f t="shared" si="10"/>
        <v>0</v>
      </c>
    </row>
    <row r="5" spans="1:19" x14ac:dyDescent="0.25">
      <c r="A5" s="2" t="s">
        <v>359</v>
      </c>
      <c r="B5" s="2" t="str">
        <f t="shared" si="0"/>
        <v>S11</v>
      </c>
      <c r="C5" s="2">
        <v>8</v>
      </c>
      <c r="D5" s="60">
        <v>21</v>
      </c>
      <c r="E5" s="4">
        <v>6305533.6341000004</v>
      </c>
      <c r="F5" s="4">
        <v>564851.98069999996</v>
      </c>
      <c r="G5" s="2">
        <v>37.5</v>
      </c>
      <c r="H5" s="23" t="str">
        <f t="shared" si="7"/>
        <v>-</v>
      </c>
      <c r="I5" s="4" t="s">
        <v>672</v>
      </c>
      <c r="J5" s="66">
        <f t="shared" si="1"/>
        <v>0</v>
      </c>
      <c r="K5" s="23" t="str">
        <f t="shared" si="2"/>
        <v>-</v>
      </c>
      <c r="L5" s="4" t="str">
        <f t="shared" si="3"/>
        <v>TerTal</v>
      </c>
      <c r="M5" s="66">
        <v>9999</v>
      </c>
      <c r="N5" s="23" t="str">
        <f t="shared" si="4"/>
        <v>-</v>
      </c>
      <c r="O5" s="4" t="str">
        <f t="shared" si="5"/>
        <v>-</v>
      </c>
      <c r="P5" s="66">
        <v>9999</v>
      </c>
      <c r="Q5" s="76" t="str">
        <f t="shared" si="8"/>
        <v>-</v>
      </c>
      <c r="R5" s="77" t="str">
        <f t="shared" si="9"/>
        <v>-</v>
      </c>
      <c r="S5" s="78">
        <f t="shared" si="10"/>
        <v>0</v>
      </c>
    </row>
    <row r="6" spans="1:19" x14ac:dyDescent="0.25">
      <c r="A6" s="2" t="s">
        <v>540</v>
      </c>
      <c r="B6" s="2" t="str">
        <f t="shared" si="0"/>
        <v>S113</v>
      </c>
      <c r="C6" s="2">
        <v>22</v>
      </c>
      <c r="D6" s="60">
        <v>12</v>
      </c>
      <c r="E6" s="4">
        <v>6990964.8602</v>
      </c>
      <c r="F6" s="4">
        <v>662430.51379999996</v>
      </c>
      <c r="G6" s="2">
        <v>0</v>
      </c>
      <c r="H6" s="23" t="str">
        <f t="shared" si="7"/>
        <v>-</v>
      </c>
      <c r="I6" s="4" t="s">
        <v>673</v>
      </c>
      <c r="J6" s="66">
        <f t="shared" si="1"/>
        <v>0</v>
      </c>
      <c r="K6" s="23" t="str">
        <f t="shared" si="2"/>
        <v>-</v>
      </c>
      <c r="L6" s="4" t="str">
        <f t="shared" si="3"/>
        <v>TerTpi</v>
      </c>
      <c r="M6" s="66">
        <v>9999</v>
      </c>
      <c r="N6" s="23" t="str">
        <f t="shared" si="4"/>
        <v>-</v>
      </c>
      <c r="O6" s="4" t="str">
        <f t="shared" si="5"/>
        <v>-</v>
      </c>
      <c r="P6" s="66">
        <v>9999</v>
      </c>
      <c r="Q6" s="76" t="str">
        <f t="shared" si="8"/>
        <v>-</v>
      </c>
      <c r="R6" s="77" t="str">
        <f t="shared" si="9"/>
        <v>-</v>
      </c>
      <c r="S6" s="78">
        <f t="shared" si="10"/>
        <v>0</v>
      </c>
    </row>
    <row r="7" spans="1:19" x14ac:dyDescent="0.25">
      <c r="A7" s="2" t="s">
        <v>385</v>
      </c>
      <c r="B7" s="2" t="str">
        <f t="shared" si="0"/>
        <v>S114</v>
      </c>
      <c r="C7" s="2">
        <v>19</v>
      </c>
      <c r="D7" s="60">
        <v>12</v>
      </c>
      <c r="E7" s="4">
        <v>6607316.1478000004</v>
      </c>
      <c r="F7" s="4">
        <v>538703.64399999997</v>
      </c>
      <c r="G7" s="2">
        <v>320</v>
      </c>
      <c r="H7" s="23" t="str">
        <f t="shared" si="7"/>
        <v>S114L1</v>
      </c>
      <c r="I7" s="4" t="s">
        <v>672</v>
      </c>
      <c r="J7" s="66">
        <f t="shared" si="1"/>
        <v>320</v>
      </c>
      <c r="K7" s="23" t="str">
        <f t="shared" si="2"/>
        <v>S114L2</v>
      </c>
      <c r="L7" s="4" t="str">
        <f t="shared" si="3"/>
        <v>TerTal</v>
      </c>
      <c r="M7" s="66">
        <v>9999</v>
      </c>
      <c r="N7" s="23" t="str">
        <f t="shared" si="4"/>
        <v>S114L3</v>
      </c>
      <c r="O7" s="4" t="str">
        <f t="shared" si="5"/>
        <v>TerHea</v>
      </c>
      <c r="P7" s="66">
        <v>9999</v>
      </c>
      <c r="Q7" s="76" t="str">
        <f t="shared" si="8"/>
        <v>-</v>
      </c>
      <c r="R7" s="77" t="str">
        <f t="shared" si="9"/>
        <v>-</v>
      </c>
      <c r="S7" s="78">
        <f t="shared" si="10"/>
        <v>0</v>
      </c>
    </row>
    <row r="8" spans="1:19" x14ac:dyDescent="0.25">
      <c r="A8" s="2" t="s">
        <v>541</v>
      </c>
      <c r="B8" s="2" t="str">
        <f t="shared" si="0"/>
        <v>S115</v>
      </c>
      <c r="C8" s="2">
        <v>18</v>
      </c>
      <c r="D8" s="60">
        <v>12</v>
      </c>
      <c r="E8" s="4">
        <v>6550449.7068999996</v>
      </c>
      <c r="F8" s="4">
        <v>480006.13620000001</v>
      </c>
      <c r="G8" s="2">
        <v>0</v>
      </c>
      <c r="H8" s="23" t="str">
        <f t="shared" si="7"/>
        <v>-</v>
      </c>
      <c r="I8" s="4" t="s">
        <v>675</v>
      </c>
      <c r="J8" s="66">
        <f t="shared" si="1"/>
        <v>0</v>
      </c>
      <c r="K8" s="23" t="str">
        <f t="shared" si="2"/>
        <v>-</v>
      </c>
      <c r="L8" s="4" t="str">
        <f t="shared" si="3"/>
        <v>TerTsp</v>
      </c>
      <c r="M8" s="66">
        <v>9999</v>
      </c>
      <c r="N8" s="23" t="str">
        <f t="shared" si="4"/>
        <v>-</v>
      </c>
      <c r="O8" s="4" t="str">
        <f t="shared" si="5"/>
        <v>-</v>
      </c>
      <c r="P8" s="66">
        <v>9999</v>
      </c>
      <c r="Q8" s="76" t="str">
        <f t="shared" si="8"/>
        <v>-</v>
      </c>
      <c r="R8" s="77" t="str">
        <f t="shared" si="9"/>
        <v>-</v>
      </c>
      <c r="S8" s="78">
        <f t="shared" si="10"/>
        <v>0</v>
      </c>
    </row>
    <row r="9" spans="1:19" x14ac:dyDescent="0.25">
      <c r="A9" s="2" t="s">
        <v>386</v>
      </c>
      <c r="B9" s="2" t="str">
        <f t="shared" si="0"/>
        <v>S116</v>
      </c>
      <c r="C9" s="2">
        <v>8</v>
      </c>
      <c r="D9" s="60">
        <v>21</v>
      </c>
      <c r="E9" s="4">
        <v>6283573.9353999998</v>
      </c>
      <c r="F9" s="4">
        <v>535287.87939999998</v>
      </c>
      <c r="G9" s="2">
        <v>100</v>
      </c>
      <c r="H9" s="23" t="str">
        <f t="shared" si="7"/>
        <v>S116L1</v>
      </c>
      <c r="I9" s="4" t="s">
        <v>672</v>
      </c>
      <c r="J9" s="66">
        <f t="shared" si="1"/>
        <v>100</v>
      </c>
      <c r="K9" s="23" t="str">
        <f t="shared" si="2"/>
        <v>S116L2</v>
      </c>
      <c r="L9" s="4" t="str">
        <f t="shared" si="3"/>
        <v>TerTal</v>
      </c>
      <c r="M9" s="66">
        <v>9999</v>
      </c>
      <c r="N9" s="23" t="str">
        <f t="shared" si="4"/>
        <v>S116L3</v>
      </c>
      <c r="O9" s="4" t="str">
        <f t="shared" si="5"/>
        <v>TerHea</v>
      </c>
      <c r="P9" s="66">
        <v>9999</v>
      </c>
      <c r="Q9" s="76" t="str">
        <f t="shared" si="8"/>
        <v>-</v>
      </c>
      <c r="R9" s="77" t="str">
        <f t="shared" si="9"/>
        <v>-</v>
      </c>
      <c r="S9" s="78">
        <f t="shared" si="10"/>
        <v>0</v>
      </c>
    </row>
    <row r="10" spans="1:19" x14ac:dyDescent="0.25">
      <c r="A10" s="2" t="s">
        <v>360</v>
      </c>
      <c r="B10" s="2" t="str">
        <f t="shared" si="0"/>
        <v>S12</v>
      </c>
      <c r="C10" s="2">
        <v>25</v>
      </c>
      <c r="D10" s="60">
        <v>33</v>
      </c>
      <c r="E10" s="4">
        <v>7430157.7148000002</v>
      </c>
      <c r="F10" s="4">
        <v>847565.09779999999</v>
      </c>
      <c r="G10" s="2">
        <v>65</v>
      </c>
      <c r="H10" s="23" t="str">
        <f t="shared" si="7"/>
        <v>S12L1</v>
      </c>
      <c r="I10" s="4" t="s">
        <v>672</v>
      </c>
      <c r="J10" s="66">
        <f t="shared" si="1"/>
        <v>65</v>
      </c>
      <c r="K10" s="23" t="str">
        <f t="shared" si="2"/>
        <v>S12L2</v>
      </c>
      <c r="L10" s="4" t="str">
        <f t="shared" si="3"/>
        <v>TerTal</v>
      </c>
      <c r="M10" s="66">
        <v>9999</v>
      </c>
      <c r="N10" s="23" t="str">
        <f t="shared" si="4"/>
        <v>S12L3</v>
      </c>
      <c r="O10" s="4" t="str">
        <f t="shared" si="5"/>
        <v>TerHea</v>
      </c>
      <c r="P10" s="66">
        <v>9999</v>
      </c>
      <c r="Q10" s="76" t="str">
        <f t="shared" si="8"/>
        <v>-</v>
      </c>
      <c r="R10" s="77" t="str">
        <f t="shared" si="9"/>
        <v>-</v>
      </c>
      <c r="S10" s="78">
        <f t="shared" si="10"/>
        <v>0</v>
      </c>
    </row>
    <row r="11" spans="1:19" x14ac:dyDescent="0.25">
      <c r="A11" s="2" t="s">
        <v>387</v>
      </c>
      <c r="B11" s="2" t="str">
        <f t="shared" si="0"/>
        <v>S121</v>
      </c>
      <c r="C11" s="2">
        <v>23</v>
      </c>
      <c r="D11" s="60">
        <v>12</v>
      </c>
      <c r="E11" s="4">
        <v>6962674.0575999999</v>
      </c>
      <c r="F11" s="4">
        <v>473192.34889999998</v>
      </c>
      <c r="G11" s="2">
        <v>340</v>
      </c>
      <c r="H11" s="23" t="str">
        <f t="shared" si="7"/>
        <v>S121L1</v>
      </c>
      <c r="I11" s="4" t="s">
        <v>675</v>
      </c>
      <c r="J11" s="66">
        <f t="shared" si="1"/>
        <v>340</v>
      </c>
      <c r="K11" s="23" t="str">
        <f t="shared" si="2"/>
        <v>S121L2</v>
      </c>
      <c r="L11" s="4" t="str">
        <f t="shared" si="3"/>
        <v>TerTsp</v>
      </c>
      <c r="M11" s="66">
        <v>9999</v>
      </c>
      <c r="N11" s="23" t="str">
        <f t="shared" si="4"/>
        <v>S121L3</v>
      </c>
      <c r="O11" s="4" t="str">
        <f t="shared" si="5"/>
        <v>TerHea</v>
      </c>
      <c r="P11" s="66">
        <v>9999</v>
      </c>
      <c r="Q11" s="76" t="str">
        <f t="shared" si="8"/>
        <v>-</v>
      </c>
      <c r="R11" s="77" t="str">
        <f t="shared" si="9"/>
        <v>-</v>
      </c>
      <c r="S11" s="78">
        <f t="shared" si="10"/>
        <v>0</v>
      </c>
    </row>
    <row r="12" spans="1:19" x14ac:dyDescent="0.25">
      <c r="A12" s="2" t="s">
        <v>388</v>
      </c>
      <c r="B12" s="2" t="str">
        <f t="shared" si="0"/>
        <v>S124</v>
      </c>
      <c r="C12" s="2">
        <v>20</v>
      </c>
      <c r="D12" s="60">
        <v>31</v>
      </c>
      <c r="E12" s="4">
        <v>6779532.7713000001</v>
      </c>
      <c r="F12" s="4">
        <v>454078.17859999998</v>
      </c>
      <c r="G12" s="2">
        <v>125</v>
      </c>
      <c r="H12" s="23" t="str">
        <f t="shared" si="7"/>
        <v>S124L1</v>
      </c>
      <c r="I12" s="4" t="s">
        <v>672</v>
      </c>
      <c r="J12" s="66">
        <f t="shared" si="1"/>
        <v>125</v>
      </c>
      <c r="K12" s="23" t="str">
        <f t="shared" si="2"/>
        <v>S124L2</v>
      </c>
      <c r="L12" s="4" t="str">
        <f t="shared" si="3"/>
        <v>TerTal</v>
      </c>
      <c r="M12" s="66">
        <v>9999</v>
      </c>
      <c r="N12" s="23" t="str">
        <f t="shared" si="4"/>
        <v>S124L3</v>
      </c>
      <c r="O12" s="4" t="str">
        <f t="shared" si="5"/>
        <v>TerHea</v>
      </c>
      <c r="P12" s="66">
        <v>9999</v>
      </c>
      <c r="Q12" s="76" t="str">
        <f t="shared" si="8"/>
        <v>-</v>
      </c>
      <c r="R12" s="77" t="str">
        <f t="shared" si="9"/>
        <v>-</v>
      </c>
      <c r="S12" s="78">
        <f t="shared" si="10"/>
        <v>0</v>
      </c>
    </row>
    <row r="13" spans="1:19" x14ac:dyDescent="0.25">
      <c r="A13" s="2" t="s">
        <v>389</v>
      </c>
      <c r="B13" s="2" t="str">
        <f t="shared" si="0"/>
        <v>S125</v>
      </c>
      <c r="C13" s="2">
        <v>19</v>
      </c>
      <c r="D13" s="60">
        <v>12</v>
      </c>
      <c r="E13" s="4">
        <v>6599957.5225</v>
      </c>
      <c r="F13" s="4">
        <v>563410.66370000003</v>
      </c>
      <c r="G13" s="2">
        <v>550</v>
      </c>
      <c r="H13" s="23" t="str">
        <f t="shared" si="7"/>
        <v>S125L1</v>
      </c>
      <c r="I13" s="4" t="s">
        <v>675</v>
      </c>
      <c r="J13" s="66">
        <f t="shared" si="1"/>
        <v>550</v>
      </c>
      <c r="K13" s="23" t="str">
        <f t="shared" si="2"/>
        <v>S125L2</v>
      </c>
      <c r="L13" s="4" t="str">
        <f t="shared" si="3"/>
        <v>TerTsp</v>
      </c>
      <c r="M13" s="66">
        <v>9999</v>
      </c>
      <c r="N13" s="23" t="str">
        <f t="shared" si="4"/>
        <v>S125L3</v>
      </c>
      <c r="O13" s="4" t="str">
        <f t="shared" si="5"/>
        <v>TerHea</v>
      </c>
      <c r="P13" s="66">
        <v>9999</v>
      </c>
      <c r="Q13" s="76" t="str">
        <f t="shared" si="8"/>
        <v>-</v>
      </c>
      <c r="R13" s="77" t="str">
        <f t="shared" si="9"/>
        <v>-</v>
      </c>
      <c r="S13" s="78">
        <f t="shared" si="10"/>
        <v>0</v>
      </c>
    </row>
    <row r="14" spans="1:19" x14ac:dyDescent="0.25">
      <c r="A14" s="2" t="s">
        <v>542</v>
      </c>
      <c r="B14" s="2" t="str">
        <f t="shared" si="0"/>
        <v>S127</v>
      </c>
      <c r="C14" s="2">
        <v>6</v>
      </c>
      <c r="D14" s="60">
        <v>21</v>
      </c>
      <c r="E14" s="4">
        <v>6359555.0756999999</v>
      </c>
      <c r="F14" s="4">
        <v>464337.93979999999</v>
      </c>
      <c r="G14" s="2">
        <v>320</v>
      </c>
      <c r="H14" s="23" t="str">
        <f t="shared" si="7"/>
        <v>S127L1</v>
      </c>
      <c r="I14" s="4" t="s">
        <v>675</v>
      </c>
      <c r="J14" s="66">
        <f t="shared" si="1"/>
        <v>320</v>
      </c>
      <c r="K14" s="23" t="str">
        <f t="shared" si="2"/>
        <v>S127L2</v>
      </c>
      <c r="L14" s="4" t="str">
        <f t="shared" si="3"/>
        <v>TerTsp</v>
      </c>
      <c r="M14" s="66">
        <v>9999</v>
      </c>
      <c r="N14" s="23" t="str">
        <f t="shared" si="4"/>
        <v>S127L3</v>
      </c>
      <c r="O14" s="4" t="str">
        <f t="shared" si="5"/>
        <v>TerHea</v>
      </c>
      <c r="P14" s="66">
        <v>9999</v>
      </c>
      <c r="Q14" s="76" t="str">
        <f t="shared" si="8"/>
        <v>-</v>
      </c>
      <c r="R14" s="77" t="str">
        <f t="shared" si="9"/>
        <v>-</v>
      </c>
      <c r="S14" s="78">
        <f t="shared" si="10"/>
        <v>0</v>
      </c>
    </row>
    <row r="15" spans="1:19" x14ac:dyDescent="0.25">
      <c r="A15" s="2" t="s">
        <v>543</v>
      </c>
      <c r="B15" s="2" t="str">
        <f t="shared" si="0"/>
        <v>S129</v>
      </c>
      <c r="C15" s="2">
        <v>6</v>
      </c>
      <c r="D15" s="60">
        <v>21</v>
      </c>
      <c r="E15" s="4">
        <v>6336376.5905999998</v>
      </c>
      <c r="F15" s="4">
        <v>404362.75880000001</v>
      </c>
      <c r="G15" s="2">
        <v>0</v>
      </c>
      <c r="H15" s="23" t="str">
        <f t="shared" si="7"/>
        <v>-</v>
      </c>
      <c r="I15" s="4" t="s">
        <v>672</v>
      </c>
      <c r="J15" s="66">
        <f t="shared" si="1"/>
        <v>0</v>
      </c>
      <c r="K15" s="23" t="str">
        <f t="shared" si="2"/>
        <v>-</v>
      </c>
      <c r="L15" s="4" t="str">
        <f t="shared" si="3"/>
        <v>TerTal</v>
      </c>
      <c r="M15" s="66">
        <v>9999</v>
      </c>
      <c r="N15" s="23" t="str">
        <f t="shared" si="4"/>
        <v>-</v>
      </c>
      <c r="O15" s="4" t="str">
        <f t="shared" si="5"/>
        <v>-</v>
      </c>
      <c r="P15" s="66">
        <v>9999</v>
      </c>
      <c r="Q15" s="76" t="str">
        <f t="shared" si="8"/>
        <v>-</v>
      </c>
      <c r="R15" s="77" t="str">
        <f t="shared" si="9"/>
        <v>-</v>
      </c>
      <c r="S15" s="78">
        <f t="shared" si="10"/>
        <v>0</v>
      </c>
    </row>
    <row r="16" spans="1:19" x14ac:dyDescent="0.25">
      <c r="A16" s="2" t="s">
        <v>390</v>
      </c>
      <c r="B16" s="2" t="str">
        <f t="shared" si="0"/>
        <v>S138</v>
      </c>
      <c r="C16" s="2">
        <v>21</v>
      </c>
      <c r="D16" s="60">
        <v>31</v>
      </c>
      <c r="E16" s="4">
        <v>6790374.3413000004</v>
      </c>
      <c r="F16" s="4">
        <v>583449.5662</v>
      </c>
      <c r="G16" s="2">
        <v>80</v>
      </c>
      <c r="H16" s="23" t="str">
        <f t="shared" si="7"/>
        <v>S138L1</v>
      </c>
      <c r="I16" s="4" t="s">
        <v>672</v>
      </c>
      <c r="J16" s="66">
        <f t="shared" si="1"/>
        <v>80</v>
      </c>
      <c r="K16" s="23" t="str">
        <f t="shared" si="2"/>
        <v>S138L2</v>
      </c>
      <c r="L16" s="4" t="str">
        <f t="shared" si="3"/>
        <v>TerTal</v>
      </c>
      <c r="M16" s="66">
        <v>9999</v>
      </c>
      <c r="N16" s="23" t="str">
        <f t="shared" si="4"/>
        <v>S138L3</v>
      </c>
      <c r="O16" s="4" t="str">
        <f t="shared" si="5"/>
        <v>TerHea</v>
      </c>
      <c r="P16" s="66">
        <v>9999</v>
      </c>
      <c r="Q16" s="76" t="str">
        <f t="shared" si="8"/>
        <v>-</v>
      </c>
      <c r="R16" s="77" t="str">
        <f t="shared" si="9"/>
        <v>-</v>
      </c>
      <c r="S16" s="78">
        <f t="shared" si="10"/>
        <v>0</v>
      </c>
    </row>
    <row r="17" spans="1:19" x14ac:dyDescent="0.25">
      <c r="A17" s="2" t="s">
        <v>391</v>
      </c>
      <c r="B17" s="2" t="str">
        <f t="shared" si="0"/>
        <v>S143</v>
      </c>
      <c r="C17" s="2">
        <v>6</v>
      </c>
      <c r="D17" s="60">
        <v>21</v>
      </c>
      <c r="E17" s="4">
        <v>6382002.3002000004</v>
      </c>
      <c r="F17" s="4">
        <v>467625.0171</v>
      </c>
      <c r="G17" s="2">
        <v>30</v>
      </c>
      <c r="H17" s="23" t="str">
        <f t="shared" si="7"/>
        <v>-</v>
      </c>
      <c r="I17" s="4" t="s">
        <v>672</v>
      </c>
      <c r="J17" s="66">
        <f t="shared" si="1"/>
        <v>0</v>
      </c>
      <c r="K17" s="23" t="str">
        <f t="shared" si="2"/>
        <v>-</v>
      </c>
      <c r="L17" s="4" t="str">
        <f t="shared" si="3"/>
        <v>TerTal</v>
      </c>
      <c r="M17" s="66">
        <v>9999</v>
      </c>
      <c r="N17" s="23" t="str">
        <f t="shared" si="4"/>
        <v>-</v>
      </c>
      <c r="O17" s="4" t="str">
        <f t="shared" si="5"/>
        <v>-</v>
      </c>
      <c r="P17" s="66">
        <v>9999</v>
      </c>
      <c r="Q17" s="76" t="str">
        <f t="shared" si="8"/>
        <v>-</v>
      </c>
      <c r="R17" s="77" t="str">
        <f t="shared" si="9"/>
        <v>-</v>
      </c>
      <c r="S17" s="78">
        <f t="shared" si="10"/>
        <v>0</v>
      </c>
    </row>
    <row r="18" spans="1:19" x14ac:dyDescent="0.25">
      <c r="A18" s="2" t="s">
        <v>392</v>
      </c>
      <c r="B18" s="2" t="str">
        <f t="shared" si="0"/>
        <v>S147</v>
      </c>
      <c r="C18" s="2">
        <v>8</v>
      </c>
      <c r="D18" s="60">
        <v>21</v>
      </c>
      <c r="E18" s="4">
        <v>6354461.2319999998</v>
      </c>
      <c r="F18" s="4">
        <v>553364.28850000002</v>
      </c>
      <c r="G18" s="2">
        <v>95</v>
      </c>
      <c r="H18" s="23" t="str">
        <f t="shared" si="7"/>
        <v>S147L1</v>
      </c>
      <c r="I18" s="4" t="s">
        <v>672</v>
      </c>
      <c r="J18" s="66">
        <f t="shared" si="1"/>
        <v>95</v>
      </c>
      <c r="K18" s="23" t="str">
        <f t="shared" si="2"/>
        <v>S147L2</v>
      </c>
      <c r="L18" s="4" t="str">
        <f t="shared" si="3"/>
        <v>TerTal</v>
      </c>
      <c r="M18" s="66">
        <v>9999</v>
      </c>
      <c r="N18" s="23" t="str">
        <f t="shared" si="4"/>
        <v>S147L3</v>
      </c>
      <c r="O18" s="4" t="str">
        <f t="shared" si="5"/>
        <v>TerHea</v>
      </c>
      <c r="P18" s="66">
        <v>9999</v>
      </c>
      <c r="Q18" s="76" t="str">
        <f t="shared" si="8"/>
        <v>-</v>
      </c>
      <c r="R18" s="77" t="str">
        <f t="shared" si="9"/>
        <v>-</v>
      </c>
      <c r="S18" s="78">
        <f t="shared" si="10"/>
        <v>0</v>
      </c>
    </row>
    <row r="19" spans="1:19" x14ac:dyDescent="0.25">
      <c r="A19" s="2" t="s">
        <v>393</v>
      </c>
      <c r="B19" s="2" t="str">
        <f t="shared" si="0"/>
        <v>S149</v>
      </c>
      <c r="C19" s="2">
        <v>7</v>
      </c>
      <c r="D19" s="60">
        <v>21</v>
      </c>
      <c r="E19" s="4">
        <v>6271584.7565000001</v>
      </c>
      <c r="F19" s="4">
        <v>423589.48229999997</v>
      </c>
      <c r="G19" s="2">
        <v>90</v>
      </c>
      <c r="H19" s="23" t="str">
        <f t="shared" si="7"/>
        <v>S149L1</v>
      </c>
      <c r="I19" s="4" t="s">
        <v>672</v>
      </c>
      <c r="J19" s="66">
        <f t="shared" si="1"/>
        <v>90</v>
      </c>
      <c r="K19" s="23" t="str">
        <f t="shared" si="2"/>
        <v>S149L2</v>
      </c>
      <c r="L19" s="4" t="str">
        <f t="shared" si="3"/>
        <v>TerTal</v>
      </c>
      <c r="M19" s="66">
        <v>9999</v>
      </c>
      <c r="N19" s="23" t="str">
        <f t="shared" si="4"/>
        <v>S149L3</v>
      </c>
      <c r="O19" s="4" t="str">
        <f t="shared" si="5"/>
        <v>TerHea</v>
      </c>
      <c r="P19" s="66">
        <v>9999</v>
      </c>
      <c r="Q19" s="76" t="str">
        <f t="shared" si="8"/>
        <v>-</v>
      </c>
      <c r="R19" s="77" t="str">
        <f t="shared" si="9"/>
        <v>-</v>
      </c>
      <c r="S19" s="78">
        <f t="shared" si="10"/>
        <v>0</v>
      </c>
    </row>
    <row r="20" spans="1:19" x14ac:dyDescent="0.25">
      <c r="A20" s="2" t="s">
        <v>394</v>
      </c>
      <c r="B20" s="2" t="str">
        <f t="shared" si="0"/>
        <v>S150</v>
      </c>
      <c r="C20" s="2">
        <v>18</v>
      </c>
      <c r="D20" s="60">
        <v>12</v>
      </c>
      <c r="E20" s="4">
        <v>6578036.7964000003</v>
      </c>
      <c r="F20" s="4">
        <v>473341.87030000001</v>
      </c>
      <c r="G20" s="2">
        <v>145</v>
      </c>
      <c r="H20" s="23" t="str">
        <f t="shared" si="7"/>
        <v>S150L1</v>
      </c>
      <c r="I20" s="4" t="s">
        <v>672</v>
      </c>
      <c r="J20" s="66">
        <f t="shared" si="1"/>
        <v>145</v>
      </c>
      <c r="K20" s="23" t="str">
        <f t="shared" si="2"/>
        <v>S150L2</v>
      </c>
      <c r="L20" s="4" t="str">
        <f t="shared" si="3"/>
        <v>TerTal</v>
      </c>
      <c r="M20" s="66">
        <v>9999</v>
      </c>
      <c r="N20" s="23" t="str">
        <f t="shared" si="4"/>
        <v>S150L3</v>
      </c>
      <c r="O20" s="4" t="str">
        <f t="shared" si="5"/>
        <v>TerHea</v>
      </c>
      <c r="P20" s="66">
        <v>9999</v>
      </c>
      <c r="Q20" s="76" t="str">
        <f t="shared" si="8"/>
        <v>-</v>
      </c>
      <c r="R20" s="77" t="str">
        <f t="shared" si="9"/>
        <v>-</v>
      </c>
      <c r="S20" s="78">
        <f t="shared" si="10"/>
        <v>0</v>
      </c>
    </row>
    <row r="21" spans="1:19" x14ac:dyDescent="0.25">
      <c r="A21" s="2" t="s">
        <v>395</v>
      </c>
      <c r="B21" s="2" t="str">
        <f t="shared" si="0"/>
        <v>S151</v>
      </c>
      <c r="C21" s="2">
        <v>20</v>
      </c>
      <c r="D21" s="60">
        <v>31</v>
      </c>
      <c r="E21" s="4">
        <v>6686508.1322999997</v>
      </c>
      <c r="F21" s="4">
        <v>578361.78769999999</v>
      </c>
      <c r="G21" s="2">
        <v>100</v>
      </c>
      <c r="H21" s="23" t="str">
        <f t="shared" si="7"/>
        <v>S151L1</v>
      </c>
      <c r="I21" s="4" t="s">
        <v>672</v>
      </c>
      <c r="J21" s="66">
        <f t="shared" si="1"/>
        <v>100</v>
      </c>
      <c r="K21" s="23" t="str">
        <f t="shared" si="2"/>
        <v>S151L2</v>
      </c>
      <c r="L21" s="4" t="str">
        <f t="shared" si="3"/>
        <v>TerTal</v>
      </c>
      <c r="M21" s="66">
        <v>9999</v>
      </c>
      <c r="N21" s="23" t="str">
        <f t="shared" si="4"/>
        <v>S151L3</v>
      </c>
      <c r="O21" s="4" t="str">
        <f t="shared" si="5"/>
        <v>TerHea</v>
      </c>
      <c r="P21" s="66">
        <v>9999</v>
      </c>
      <c r="Q21" s="76" t="str">
        <f t="shared" si="8"/>
        <v>-</v>
      </c>
      <c r="R21" s="77" t="str">
        <f t="shared" si="9"/>
        <v>-</v>
      </c>
      <c r="S21" s="78">
        <f t="shared" si="10"/>
        <v>0</v>
      </c>
    </row>
    <row r="22" spans="1:19" x14ac:dyDescent="0.25">
      <c r="A22" s="2" t="s">
        <v>396</v>
      </c>
      <c r="B22" s="2" t="str">
        <f t="shared" si="0"/>
        <v>S153</v>
      </c>
      <c r="C22" s="2">
        <v>6</v>
      </c>
      <c r="D22" s="60">
        <v>21</v>
      </c>
      <c r="E22" s="4">
        <v>6371741.9458999997</v>
      </c>
      <c r="F22" s="4">
        <v>487211.04249999998</v>
      </c>
      <c r="G22" s="2">
        <v>45</v>
      </c>
      <c r="H22" s="23" t="str">
        <f t="shared" si="7"/>
        <v>-</v>
      </c>
      <c r="I22" s="4" t="s">
        <v>672</v>
      </c>
      <c r="J22" s="66">
        <f t="shared" si="1"/>
        <v>0</v>
      </c>
      <c r="K22" s="23" t="str">
        <f t="shared" si="2"/>
        <v>-</v>
      </c>
      <c r="L22" s="4" t="str">
        <f t="shared" si="3"/>
        <v>TerTal</v>
      </c>
      <c r="M22" s="66">
        <v>9999</v>
      </c>
      <c r="N22" s="23" t="str">
        <f t="shared" si="4"/>
        <v>-</v>
      </c>
      <c r="O22" s="4" t="str">
        <f t="shared" si="5"/>
        <v>-</v>
      </c>
      <c r="P22" s="66">
        <v>9999</v>
      </c>
      <c r="Q22" s="76" t="str">
        <f t="shared" si="8"/>
        <v>-</v>
      </c>
      <c r="R22" s="77" t="str">
        <f t="shared" si="9"/>
        <v>-</v>
      </c>
      <c r="S22" s="78">
        <f t="shared" si="10"/>
        <v>0</v>
      </c>
    </row>
    <row r="23" spans="1:19" x14ac:dyDescent="0.25">
      <c r="A23" s="2" t="s">
        <v>397</v>
      </c>
      <c r="B23" s="2" t="str">
        <f t="shared" si="0"/>
        <v>S161</v>
      </c>
      <c r="C23" s="2">
        <v>22</v>
      </c>
      <c r="D23" s="60">
        <v>12</v>
      </c>
      <c r="E23" s="4">
        <v>6920072.5288000004</v>
      </c>
      <c r="F23" s="4">
        <v>619325.79680000001</v>
      </c>
      <c r="G23" s="2">
        <v>190</v>
      </c>
      <c r="H23" s="23" t="str">
        <f t="shared" si="7"/>
        <v>S161L1</v>
      </c>
      <c r="I23" s="4" t="s">
        <v>673</v>
      </c>
      <c r="J23" s="66">
        <f t="shared" si="1"/>
        <v>190</v>
      </c>
      <c r="K23" s="23" t="str">
        <f t="shared" si="2"/>
        <v>S161L2</v>
      </c>
      <c r="L23" s="4" t="str">
        <f t="shared" si="3"/>
        <v>TerTpi</v>
      </c>
      <c r="M23" s="66">
        <v>9999</v>
      </c>
      <c r="N23" s="23" t="str">
        <f t="shared" si="4"/>
        <v>S161L3</v>
      </c>
      <c r="O23" s="4" t="str">
        <f t="shared" si="5"/>
        <v>TerHea</v>
      </c>
      <c r="P23" s="66">
        <v>9999</v>
      </c>
      <c r="Q23" s="76" t="str">
        <f t="shared" si="8"/>
        <v>-</v>
      </c>
      <c r="R23" s="77" t="str">
        <f t="shared" si="9"/>
        <v>-</v>
      </c>
      <c r="S23" s="78">
        <f t="shared" si="10"/>
        <v>0</v>
      </c>
    </row>
    <row r="24" spans="1:19" x14ac:dyDescent="0.25">
      <c r="A24" s="2" t="s">
        <v>398</v>
      </c>
      <c r="B24" s="2" t="str">
        <f t="shared" si="0"/>
        <v>S165</v>
      </c>
      <c r="C24" s="2">
        <v>21</v>
      </c>
      <c r="D24" s="60">
        <v>31</v>
      </c>
      <c r="E24" s="4">
        <v>6835828.1934000002</v>
      </c>
      <c r="F24" s="4">
        <v>609875.51130000001</v>
      </c>
      <c r="G24" s="2">
        <v>100</v>
      </c>
      <c r="H24" s="23" t="str">
        <f t="shared" si="7"/>
        <v>S165L1</v>
      </c>
      <c r="I24" s="4" t="s">
        <v>672</v>
      </c>
      <c r="J24" s="66">
        <f t="shared" si="1"/>
        <v>100</v>
      </c>
      <c r="K24" s="23" t="str">
        <f t="shared" si="2"/>
        <v>S165L2</v>
      </c>
      <c r="L24" s="4" t="str">
        <f t="shared" si="3"/>
        <v>TerTal</v>
      </c>
      <c r="M24" s="66">
        <v>9999</v>
      </c>
      <c r="N24" s="23" t="str">
        <f t="shared" si="4"/>
        <v>S165L3</v>
      </c>
      <c r="O24" s="4" t="str">
        <f t="shared" si="5"/>
        <v>TerHea</v>
      </c>
      <c r="P24" s="66">
        <v>9999</v>
      </c>
      <c r="Q24" s="76" t="str">
        <f t="shared" si="8"/>
        <v>-</v>
      </c>
      <c r="R24" s="77" t="str">
        <f t="shared" si="9"/>
        <v>-</v>
      </c>
      <c r="S24" s="78">
        <f t="shared" si="10"/>
        <v>0</v>
      </c>
    </row>
    <row r="25" spans="1:19" x14ac:dyDescent="0.25">
      <c r="A25" s="2" t="s">
        <v>399</v>
      </c>
      <c r="B25" s="2" t="str">
        <f t="shared" si="0"/>
        <v>S168</v>
      </c>
      <c r="C25" s="2">
        <v>6</v>
      </c>
      <c r="D25" s="60">
        <v>21</v>
      </c>
      <c r="E25" s="4">
        <v>6342526.6419000002</v>
      </c>
      <c r="F25" s="4">
        <v>497558.07709999999</v>
      </c>
      <c r="G25" s="2">
        <v>250</v>
      </c>
      <c r="H25" s="23" t="str">
        <f t="shared" si="7"/>
        <v>S168L1</v>
      </c>
      <c r="I25" s="4" t="s">
        <v>675</v>
      </c>
      <c r="J25" s="66">
        <f t="shared" si="1"/>
        <v>250</v>
      </c>
      <c r="K25" s="23" t="str">
        <f t="shared" si="2"/>
        <v>S168L2</v>
      </c>
      <c r="L25" s="4" t="str">
        <f t="shared" si="3"/>
        <v>TerTsp</v>
      </c>
      <c r="M25" s="66">
        <v>9999</v>
      </c>
      <c r="N25" s="23" t="str">
        <f t="shared" si="4"/>
        <v>S168L3</v>
      </c>
      <c r="O25" s="4" t="str">
        <f t="shared" si="5"/>
        <v>TerHea</v>
      </c>
      <c r="P25" s="66">
        <v>9999</v>
      </c>
      <c r="Q25" s="76" t="str">
        <f t="shared" si="8"/>
        <v>-</v>
      </c>
      <c r="R25" s="77" t="str">
        <f t="shared" si="9"/>
        <v>-</v>
      </c>
      <c r="S25" s="78">
        <f t="shared" si="10"/>
        <v>0</v>
      </c>
    </row>
    <row r="26" spans="1:19" x14ac:dyDescent="0.25">
      <c r="A26" s="2" t="s">
        <v>400</v>
      </c>
      <c r="B26" s="2" t="str">
        <f t="shared" si="0"/>
        <v>S177</v>
      </c>
      <c r="C26" s="2">
        <v>8</v>
      </c>
      <c r="D26" s="60">
        <v>21</v>
      </c>
      <c r="E26" s="4">
        <v>6299166.5718999999</v>
      </c>
      <c r="F26" s="4">
        <v>547523.91449999996</v>
      </c>
      <c r="G26" s="2">
        <v>120</v>
      </c>
      <c r="H26" s="23" t="str">
        <f t="shared" si="7"/>
        <v>S177L1</v>
      </c>
      <c r="I26" s="4" t="s">
        <v>672</v>
      </c>
      <c r="J26" s="66">
        <f t="shared" si="1"/>
        <v>120</v>
      </c>
      <c r="K26" s="23" t="str">
        <f t="shared" si="2"/>
        <v>S177L2</v>
      </c>
      <c r="L26" s="4" t="str">
        <f t="shared" si="3"/>
        <v>TerTal</v>
      </c>
      <c r="M26" s="66">
        <v>9999</v>
      </c>
      <c r="N26" s="23" t="str">
        <f t="shared" si="4"/>
        <v>S177L3</v>
      </c>
      <c r="O26" s="4" t="str">
        <f t="shared" si="5"/>
        <v>TerHea</v>
      </c>
      <c r="P26" s="66">
        <v>9999</v>
      </c>
      <c r="Q26" s="76" t="str">
        <f t="shared" si="8"/>
        <v>-</v>
      </c>
      <c r="R26" s="77" t="str">
        <f t="shared" si="9"/>
        <v>-</v>
      </c>
      <c r="S26" s="78">
        <f t="shared" si="10"/>
        <v>0</v>
      </c>
    </row>
    <row r="27" spans="1:19" x14ac:dyDescent="0.25">
      <c r="A27" s="2" t="s">
        <v>401</v>
      </c>
      <c r="B27" s="2" t="str">
        <f t="shared" si="0"/>
        <v>S179</v>
      </c>
      <c r="C27" s="2">
        <v>22</v>
      </c>
      <c r="D27" s="60">
        <v>12</v>
      </c>
      <c r="E27" s="4">
        <v>6987518.8234000001</v>
      </c>
      <c r="F27" s="4">
        <v>635951.64729999995</v>
      </c>
      <c r="G27" s="2">
        <v>150</v>
      </c>
      <c r="H27" s="23" t="str">
        <f t="shared" si="7"/>
        <v>S179L1</v>
      </c>
      <c r="I27" s="4" t="s">
        <v>672</v>
      </c>
      <c r="J27" s="66">
        <f t="shared" si="1"/>
        <v>150</v>
      </c>
      <c r="K27" s="23" t="str">
        <f t="shared" si="2"/>
        <v>S179L2</v>
      </c>
      <c r="L27" s="4" t="str">
        <f t="shared" si="3"/>
        <v>TerTal</v>
      </c>
      <c r="M27" s="66">
        <v>9999</v>
      </c>
      <c r="N27" s="23" t="str">
        <f t="shared" si="4"/>
        <v>S179L3</v>
      </c>
      <c r="O27" s="4" t="str">
        <f t="shared" si="5"/>
        <v>TerHea</v>
      </c>
      <c r="P27" s="66">
        <v>9999</v>
      </c>
      <c r="Q27" s="76" t="str">
        <f t="shared" si="8"/>
        <v>-</v>
      </c>
      <c r="R27" s="77" t="str">
        <f t="shared" si="9"/>
        <v>-</v>
      </c>
      <c r="S27" s="78">
        <f t="shared" si="10"/>
        <v>0</v>
      </c>
    </row>
    <row r="28" spans="1:19" x14ac:dyDescent="0.25">
      <c r="A28" s="2" t="s">
        <v>402</v>
      </c>
      <c r="B28" s="2" t="str">
        <f t="shared" si="0"/>
        <v>S180</v>
      </c>
      <c r="C28" s="2">
        <v>23</v>
      </c>
      <c r="D28" s="60">
        <v>12</v>
      </c>
      <c r="E28" s="4">
        <v>6975217.4709999999</v>
      </c>
      <c r="F28" s="4">
        <v>511698.51799999998</v>
      </c>
      <c r="G28" s="2">
        <v>60</v>
      </c>
      <c r="H28" s="23" t="str">
        <f t="shared" si="7"/>
        <v>S180L1</v>
      </c>
      <c r="I28" s="4" t="s">
        <v>672</v>
      </c>
      <c r="J28" s="66">
        <f t="shared" si="1"/>
        <v>60</v>
      </c>
      <c r="K28" s="23" t="str">
        <f t="shared" si="2"/>
        <v>S180L2</v>
      </c>
      <c r="L28" s="4" t="str">
        <f t="shared" si="3"/>
        <v>TerTal</v>
      </c>
      <c r="M28" s="66">
        <v>9999</v>
      </c>
      <c r="N28" s="23" t="str">
        <f t="shared" si="4"/>
        <v>S180L3</v>
      </c>
      <c r="O28" s="4" t="str">
        <f t="shared" si="5"/>
        <v>TerHea</v>
      </c>
      <c r="P28" s="66">
        <v>9999</v>
      </c>
      <c r="Q28" s="76" t="str">
        <f t="shared" si="8"/>
        <v>-</v>
      </c>
      <c r="R28" s="77" t="str">
        <f t="shared" si="9"/>
        <v>-</v>
      </c>
      <c r="S28" s="78">
        <f t="shared" si="10"/>
        <v>0</v>
      </c>
    </row>
    <row r="29" spans="1:19" x14ac:dyDescent="0.25">
      <c r="A29" s="70" t="s">
        <v>403</v>
      </c>
      <c r="B29" s="70" t="str">
        <f t="shared" si="0"/>
        <v>S181</v>
      </c>
      <c r="C29" s="70">
        <v>8</v>
      </c>
      <c r="D29" s="71">
        <v>21</v>
      </c>
      <c r="E29" s="21">
        <v>6299599.2949000001</v>
      </c>
      <c r="F29" s="21">
        <v>545401.97140000004</v>
      </c>
      <c r="G29" s="70">
        <v>190</v>
      </c>
      <c r="H29" s="72" t="str">
        <f t="shared" si="7"/>
        <v>S181L1</v>
      </c>
      <c r="I29" s="21" t="s">
        <v>675</v>
      </c>
      <c r="J29" s="73">
        <f t="shared" si="1"/>
        <v>190</v>
      </c>
      <c r="K29" s="72" t="str">
        <f t="shared" si="2"/>
        <v>S181L2</v>
      </c>
      <c r="L29" s="21" t="str">
        <f t="shared" si="3"/>
        <v>TerTsp</v>
      </c>
      <c r="M29" s="73">
        <v>9999</v>
      </c>
      <c r="N29" s="72" t="str">
        <f t="shared" si="4"/>
        <v>S181L3</v>
      </c>
      <c r="O29" s="21" t="str">
        <f t="shared" si="5"/>
        <v>TerHea</v>
      </c>
      <c r="P29" s="73">
        <v>9999</v>
      </c>
      <c r="Q29" s="74" t="str">
        <f t="shared" ref="Q29" si="11">IF(N29="-","-",$A29&amp;"L"&amp;Q$1)</f>
        <v>S181L4</v>
      </c>
      <c r="R29" s="75" t="str">
        <f t="shared" ref="R29:R38" si="12">IF(Q29="-","-","sawmbe")</f>
        <v>sawmbe</v>
      </c>
      <c r="S29" s="73">
        <f>IF(Q29="-",0,MIN(G29*$J$164,1))</f>
        <v>1</v>
      </c>
    </row>
    <row r="30" spans="1:19" x14ac:dyDescent="0.25">
      <c r="A30" s="2" t="s">
        <v>404</v>
      </c>
      <c r="B30" s="2" t="str">
        <f t="shared" si="0"/>
        <v>S187</v>
      </c>
      <c r="C30" s="2">
        <v>5</v>
      </c>
      <c r="D30" s="60">
        <v>12</v>
      </c>
      <c r="E30" s="4">
        <v>6454634.0767000001</v>
      </c>
      <c r="F30" s="4">
        <v>504968.8996</v>
      </c>
      <c r="G30" s="2">
        <v>37.5</v>
      </c>
      <c r="H30" s="23" t="str">
        <f t="shared" si="7"/>
        <v>-</v>
      </c>
      <c r="I30" s="4" t="s">
        <v>672</v>
      </c>
      <c r="J30" s="66">
        <f t="shared" si="1"/>
        <v>0</v>
      </c>
      <c r="K30" s="23" t="str">
        <f t="shared" si="2"/>
        <v>-</v>
      </c>
      <c r="L30" s="4" t="str">
        <f t="shared" si="3"/>
        <v>TerTal</v>
      </c>
      <c r="M30" s="66">
        <v>9999</v>
      </c>
      <c r="N30" s="23" t="str">
        <f t="shared" si="4"/>
        <v>-</v>
      </c>
      <c r="O30" s="4" t="str">
        <f t="shared" si="5"/>
        <v>-</v>
      </c>
      <c r="P30" s="66">
        <v>9999</v>
      </c>
      <c r="Q30" s="76" t="str">
        <f t="shared" si="8"/>
        <v>-</v>
      </c>
      <c r="R30" s="77" t="str">
        <f t="shared" si="12"/>
        <v>-</v>
      </c>
      <c r="S30" s="78">
        <f t="shared" ref="S30:S38" si="13">IF(Q30="-",0,MIN(G30*$J$164,1))</f>
        <v>0</v>
      </c>
    </row>
    <row r="31" spans="1:19" x14ac:dyDescent="0.25">
      <c r="A31" s="2" t="s">
        <v>405</v>
      </c>
      <c r="B31" s="2" t="str">
        <f t="shared" si="0"/>
        <v>S192</v>
      </c>
      <c r="C31" s="2">
        <v>17</v>
      </c>
      <c r="D31" s="60">
        <v>31</v>
      </c>
      <c r="E31" s="4">
        <v>6728093.5772000002</v>
      </c>
      <c r="F31" s="4">
        <v>387542.05609999999</v>
      </c>
      <c r="G31" s="2">
        <v>420</v>
      </c>
      <c r="H31" s="23" t="str">
        <f t="shared" si="7"/>
        <v>S192L1</v>
      </c>
      <c r="I31" s="4" t="s">
        <v>672</v>
      </c>
      <c r="J31" s="66">
        <f t="shared" si="1"/>
        <v>420</v>
      </c>
      <c r="K31" s="23" t="str">
        <f t="shared" si="2"/>
        <v>S192L2</v>
      </c>
      <c r="L31" s="4" t="str">
        <f t="shared" si="3"/>
        <v>TerTal</v>
      </c>
      <c r="M31" s="66">
        <v>9999</v>
      </c>
      <c r="N31" s="23" t="str">
        <f t="shared" si="4"/>
        <v>S192L3</v>
      </c>
      <c r="O31" s="4" t="str">
        <f t="shared" si="5"/>
        <v>TerHea</v>
      </c>
      <c r="P31" s="66">
        <v>9999</v>
      </c>
      <c r="Q31" s="76" t="str">
        <f t="shared" si="8"/>
        <v>-</v>
      </c>
      <c r="R31" s="77" t="str">
        <f t="shared" si="12"/>
        <v>-</v>
      </c>
      <c r="S31" s="78">
        <f t="shared" si="13"/>
        <v>0</v>
      </c>
    </row>
    <row r="32" spans="1:19" x14ac:dyDescent="0.25">
      <c r="A32" s="2" t="s">
        <v>406</v>
      </c>
      <c r="B32" s="2" t="str">
        <f t="shared" si="0"/>
        <v>S194</v>
      </c>
      <c r="C32" s="2">
        <v>6</v>
      </c>
      <c r="D32" s="60">
        <v>21</v>
      </c>
      <c r="E32" s="4">
        <v>6352250.3055999996</v>
      </c>
      <c r="F32" s="4">
        <v>526377.446</v>
      </c>
      <c r="G32" s="2">
        <v>400</v>
      </c>
      <c r="H32" s="23" t="str">
        <f t="shared" si="7"/>
        <v>S194L1</v>
      </c>
      <c r="I32" s="4" t="s">
        <v>675</v>
      </c>
      <c r="J32" s="66">
        <f t="shared" si="1"/>
        <v>400</v>
      </c>
      <c r="K32" s="23" t="str">
        <f t="shared" si="2"/>
        <v>S194L2</v>
      </c>
      <c r="L32" s="4" t="str">
        <f t="shared" si="3"/>
        <v>TerTsp</v>
      </c>
      <c r="M32" s="66">
        <v>9999</v>
      </c>
      <c r="N32" s="23" t="str">
        <f t="shared" si="4"/>
        <v>S194L3</v>
      </c>
      <c r="O32" s="4" t="str">
        <f t="shared" si="5"/>
        <v>TerHea</v>
      </c>
      <c r="P32" s="66">
        <v>9999</v>
      </c>
      <c r="Q32" s="76" t="str">
        <f t="shared" si="8"/>
        <v>-</v>
      </c>
      <c r="R32" s="77" t="str">
        <f t="shared" si="12"/>
        <v>-</v>
      </c>
      <c r="S32" s="78">
        <f t="shared" si="13"/>
        <v>0</v>
      </c>
    </row>
    <row r="33" spans="1:19" x14ac:dyDescent="0.25">
      <c r="A33" s="2" t="s">
        <v>407</v>
      </c>
      <c r="B33" s="2" t="str">
        <f t="shared" si="0"/>
        <v>S197</v>
      </c>
      <c r="C33" s="2">
        <v>13</v>
      </c>
      <c r="D33" s="60">
        <v>23</v>
      </c>
      <c r="E33" s="4">
        <v>6303731.1941999998</v>
      </c>
      <c r="F33" s="4">
        <v>359156.57290000003</v>
      </c>
      <c r="G33" s="2">
        <v>144</v>
      </c>
      <c r="H33" s="23" t="str">
        <f t="shared" si="7"/>
        <v>S197L1</v>
      </c>
      <c r="I33" s="4" t="s">
        <v>673</v>
      </c>
      <c r="J33" s="66">
        <f t="shared" si="1"/>
        <v>144</v>
      </c>
      <c r="K33" s="23" t="str">
        <f t="shared" si="2"/>
        <v>S197L2</v>
      </c>
      <c r="L33" s="4" t="str">
        <f t="shared" si="3"/>
        <v>TerTpi</v>
      </c>
      <c r="M33" s="66">
        <v>9999</v>
      </c>
      <c r="N33" s="23" t="str">
        <f t="shared" si="4"/>
        <v>S197L3</v>
      </c>
      <c r="O33" s="4" t="str">
        <f t="shared" si="5"/>
        <v>TerHea</v>
      </c>
      <c r="P33" s="66">
        <v>9999</v>
      </c>
      <c r="Q33" s="76" t="str">
        <f t="shared" si="8"/>
        <v>-</v>
      </c>
      <c r="R33" s="77" t="str">
        <f t="shared" si="12"/>
        <v>-</v>
      </c>
      <c r="S33" s="78">
        <f t="shared" si="13"/>
        <v>0</v>
      </c>
    </row>
    <row r="34" spans="1:19" x14ac:dyDescent="0.25">
      <c r="A34" s="2" t="s">
        <v>408</v>
      </c>
      <c r="B34" s="2" t="str">
        <f t="shared" ref="B34:B65" si="14">A34</f>
        <v>S200</v>
      </c>
      <c r="C34" s="2">
        <v>6</v>
      </c>
      <c r="D34" s="60">
        <v>21</v>
      </c>
      <c r="E34" s="4">
        <v>6369930.5011</v>
      </c>
      <c r="F34" s="4">
        <v>502059.62819999998</v>
      </c>
      <c r="G34" s="2">
        <v>125</v>
      </c>
      <c r="H34" s="23" t="str">
        <f t="shared" si="7"/>
        <v>S200L1</v>
      </c>
      <c r="I34" s="4" t="s">
        <v>672</v>
      </c>
      <c r="J34" s="66">
        <f t="shared" ref="J34:J65" si="15">IF(H34="-",0,G34*J$164)</f>
        <v>125</v>
      </c>
      <c r="K34" s="23" t="str">
        <f t="shared" ref="K34:K65" si="16">IF(H34="-","-",$A34&amp;"L"&amp;K$1)</f>
        <v>S200L2</v>
      </c>
      <c r="L34" s="4" t="str">
        <f t="shared" si="3"/>
        <v>TerTal</v>
      </c>
      <c r="M34" s="66">
        <v>9999</v>
      </c>
      <c r="N34" s="23" t="str">
        <f t="shared" ref="N34:N65" si="17">IF(K34="-","-",$A34&amp;"L"&amp;N$1)</f>
        <v>S200L3</v>
      </c>
      <c r="O34" s="4" t="str">
        <f t="shared" ref="O34:O65" si="18">IF(N34="-","-","TerHea")</f>
        <v>TerHea</v>
      </c>
      <c r="P34" s="66">
        <v>9999</v>
      </c>
      <c r="Q34" s="76" t="str">
        <f t="shared" si="8"/>
        <v>-</v>
      </c>
      <c r="R34" s="77" t="str">
        <f t="shared" si="12"/>
        <v>-</v>
      </c>
      <c r="S34" s="78">
        <f t="shared" si="13"/>
        <v>0</v>
      </c>
    </row>
    <row r="35" spans="1:19" x14ac:dyDescent="0.25">
      <c r="A35" s="2" t="s">
        <v>409</v>
      </c>
      <c r="B35" s="2" t="str">
        <f t="shared" si="14"/>
        <v>S202</v>
      </c>
      <c r="C35" s="2">
        <v>19</v>
      </c>
      <c r="D35" s="60">
        <v>12</v>
      </c>
      <c r="E35" s="4">
        <v>6633090.0641999999</v>
      </c>
      <c r="F35" s="4">
        <v>538195.80429999996</v>
      </c>
      <c r="G35" s="2">
        <v>55</v>
      </c>
      <c r="H35" s="23" t="str">
        <f t="shared" si="7"/>
        <v>S202L1</v>
      </c>
      <c r="I35" s="4" t="s">
        <v>673</v>
      </c>
      <c r="J35" s="66">
        <f t="shared" si="15"/>
        <v>55</v>
      </c>
      <c r="K35" s="23" t="str">
        <f t="shared" si="16"/>
        <v>S202L2</v>
      </c>
      <c r="L35" s="4" t="str">
        <f t="shared" si="3"/>
        <v>TerTpi</v>
      </c>
      <c r="M35" s="66">
        <v>9999</v>
      </c>
      <c r="N35" s="23" t="str">
        <f t="shared" si="17"/>
        <v>S202L3</v>
      </c>
      <c r="O35" s="4" t="str">
        <f t="shared" si="18"/>
        <v>TerHea</v>
      </c>
      <c r="P35" s="66">
        <v>9999</v>
      </c>
      <c r="Q35" s="76" t="str">
        <f t="shared" si="8"/>
        <v>-</v>
      </c>
      <c r="R35" s="77" t="str">
        <f t="shared" si="12"/>
        <v>-</v>
      </c>
      <c r="S35" s="78">
        <f t="shared" si="13"/>
        <v>0</v>
      </c>
    </row>
    <row r="36" spans="1:19" x14ac:dyDescent="0.25">
      <c r="A36" s="2" t="s">
        <v>544</v>
      </c>
      <c r="B36" s="2" t="str">
        <f t="shared" si="14"/>
        <v>S203</v>
      </c>
      <c r="C36" s="2">
        <v>24</v>
      </c>
      <c r="D36" s="60">
        <v>33</v>
      </c>
      <c r="E36" s="4">
        <v>7054087.1227000002</v>
      </c>
      <c r="F36" s="4">
        <v>717882.07620000001</v>
      </c>
      <c r="G36" s="2">
        <v>0</v>
      </c>
      <c r="H36" s="23" t="str">
        <f t="shared" si="7"/>
        <v>-</v>
      </c>
      <c r="I36" s="4" t="s">
        <v>673</v>
      </c>
      <c r="J36" s="66">
        <f t="shared" si="15"/>
        <v>0</v>
      </c>
      <c r="K36" s="23" t="str">
        <f t="shared" si="16"/>
        <v>-</v>
      </c>
      <c r="L36" s="4" t="str">
        <f t="shared" si="3"/>
        <v>TerTpi</v>
      </c>
      <c r="M36" s="66">
        <v>9999</v>
      </c>
      <c r="N36" s="23" t="str">
        <f t="shared" si="17"/>
        <v>-</v>
      </c>
      <c r="O36" s="4" t="str">
        <f t="shared" si="18"/>
        <v>-</v>
      </c>
      <c r="P36" s="66">
        <v>9999</v>
      </c>
      <c r="Q36" s="76" t="str">
        <f t="shared" si="8"/>
        <v>-</v>
      </c>
      <c r="R36" s="77" t="str">
        <f t="shared" si="12"/>
        <v>-</v>
      </c>
      <c r="S36" s="78">
        <f t="shared" si="13"/>
        <v>0</v>
      </c>
    </row>
    <row r="37" spans="1:19" x14ac:dyDescent="0.25">
      <c r="A37" s="2" t="s">
        <v>410</v>
      </c>
      <c r="B37" s="2" t="str">
        <f t="shared" si="14"/>
        <v>S207</v>
      </c>
      <c r="C37" s="2">
        <v>14</v>
      </c>
      <c r="D37" s="60">
        <v>23</v>
      </c>
      <c r="E37" s="4">
        <v>6558431.0028999997</v>
      </c>
      <c r="F37" s="4">
        <v>317960.37079999998</v>
      </c>
      <c r="G37" s="2">
        <v>45</v>
      </c>
      <c r="H37" s="23" t="str">
        <f t="shared" si="7"/>
        <v>-</v>
      </c>
      <c r="I37" s="4" t="s">
        <v>672</v>
      </c>
      <c r="J37" s="66">
        <f t="shared" si="15"/>
        <v>0</v>
      </c>
      <c r="K37" s="23" t="str">
        <f t="shared" si="16"/>
        <v>-</v>
      </c>
      <c r="L37" s="4" t="str">
        <f t="shared" si="3"/>
        <v>TerTal</v>
      </c>
      <c r="M37" s="66">
        <v>9999</v>
      </c>
      <c r="N37" s="23" t="str">
        <f t="shared" si="17"/>
        <v>-</v>
      </c>
      <c r="O37" s="4" t="str">
        <f t="shared" si="18"/>
        <v>-</v>
      </c>
      <c r="P37" s="66">
        <v>9999</v>
      </c>
      <c r="Q37" s="76" t="str">
        <f t="shared" si="8"/>
        <v>-</v>
      </c>
      <c r="R37" s="77" t="str">
        <f t="shared" si="12"/>
        <v>-</v>
      </c>
      <c r="S37" s="78">
        <f t="shared" si="13"/>
        <v>0</v>
      </c>
    </row>
    <row r="38" spans="1:19" x14ac:dyDescent="0.25">
      <c r="A38" s="2" t="s">
        <v>411</v>
      </c>
      <c r="B38" s="2" t="str">
        <f t="shared" si="14"/>
        <v>S214</v>
      </c>
      <c r="C38" s="2">
        <v>20</v>
      </c>
      <c r="D38" s="60">
        <v>31</v>
      </c>
      <c r="E38" s="4">
        <v>6781524.5586000001</v>
      </c>
      <c r="F38" s="4">
        <v>507134.62609999999</v>
      </c>
      <c r="G38" s="2">
        <v>30</v>
      </c>
      <c r="H38" s="23" t="str">
        <f t="shared" si="7"/>
        <v>-</v>
      </c>
      <c r="I38" s="4" t="s">
        <v>672</v>
      </c>
      <c r="J38" s="66">
        <f t="shared" si="15"/>
        <v>0</v>
      </c>
      <c r="K38" s="23" t="str">
        <f t="shared" si="16"/>
        <v>-</v>
      </c>
      <c r="L38" s="4" t="str">
        <f t="shared" si="3"/>
        <v>TerTal</v>
      </c>
      <c r="M38" s="66">
        <v>9999</v>
      </c>
      <c r="N38" s="23" t="str">
        <f t="shared" si="17"/>
        <v>-</v>
      </c>
      <c r="O38" s="4" t="str">
        <f t="shared" si="18"/>
        <v>-</v>
      </c>
      <c r="P38" s="66">
        <v>9999</v>
      </c>
      <c r="Q38" s="76" t="str">
        <f t="shared" si="8"/>
        <v>-</v>
      </c>
      <c r="R38" s="77" t="str">
        <f t="shared" si="12"/>
        <v>-</v>
      </c>
      <c r="S38" s="78">
        <f t="shared" si="13"/>
        <v>0</v>
      </c>
    </row>
    <row r="39" spans="1:19" x14ac:dyDescent="0.25">
      <c r="A39" s="70" t="s">
        <v>412</v>
      </c>
      <c r="B39" s="70" t="str">
        <f t="shared" si="14"/>
        <v>S216</v>
      </c>
      <c r="C39" s="70">
        <v>17</v>
      </c>
      <c r="D39" s="71">
        <v>31</v>
      </c>
      <c r="E39" s="21">
        <v>6585612.0279999999</v>
      </c>
      <c r="F39" s="21">
        <v>398726.39659999998</v>
      </c>
      <c r="G39" s="70">
        <v>270</v>
      </c>
      <c r="H39" s="72" t="str">
        <f t="shared" si="7"/>
        <v>S216L1</v>
      </c>
      <c r="I39" s="21" t="s">
        <v>673</v>
      </c>
      <c r="J39" s="73">
        <f t="shared" si="15"/>
        <v>270</v>
      </c>
      <c r="K39" s="72" t="str">
        <f t="shared" si="16"/>
        <v>S216L2</v>
      </c>
      <c r="L39" s="21" t="str">
        <f t="shared" si="3"/>
        <v>TerTpi</v>
      </c>
      <c r="M39" s="73">
        <v>9999</v>
      </c>
      <c r="N39" s="72" t="str">
        <f t="shared" si="17"/>
        <v>S216L3</v>
      </c>
      <c r="O39" s="21" t="str">
        <f t="shared" si="18"/>
        <v>TerHea</v>
      </c>
      <c r="P39" s="73">
        <v>9999</v>
      </c>
      <c r="Q39" s="74" t="str">
        <f t="shared" ref="Q39" si="19">IF(N39="-","-",$A39&amp;"L"&amp;Q$1)</f>
        <v>S216L4</v>
      </c>
      <c r="R39" s="75" t="str">
        <f t="shared" ref="R39:R47" si="20">IF(Q39="-","-","sawmbe")</f>
        <v>sawmbe</v>
      </c>
      <c r="S39" s="73">
        <f>IF(Q39="-",0,MIN(G39*$J$164,1))</f>
        <v>1</v>
      </c>
    </row>
    <row r="40" spans="1:19" x14ac:dyDescent="0.25">
      <c r="A40" s="2" t="s">
        <v>413</v>
      </c>
      <c r="B40" s="2" t="str">
        <f t="shared" si="14"/>
        <v>S220</v>
      </c>
      <c r="C40" s="2">
        <v>8</v>
      </c>
      <c r="D40" s="60">
        <v>21</v>
      </c>
      <c r="E40" s="4">
        <v>6336608.2432000004</v>
      </c>
      <c r="F40" s="4">
        <v>562274.66940000001</v>
      </c>
      <c r="G40" s="2">
        <v>331</v>
      </c>
      <c r="H40" s="23" t="str">
        <f t="shared" si="7"/>
        <v>S220L1</v>
      </c>
      <c r="I40" s="4" t="s">
        <v>673</v>
      </c>
      <c r="J40" s="66">
        <f t="shared" si="15"/>
        <v>331</v>
      </c>
      <c r="K40" s="23" t="str">
        <f t="shared" si="16"/>
        <v>S220L2</v>
      </c>
      <c r="L40" s="4" t="str">
        <f t="shared" si="3"/>
        <v>TerTpi</v>
      </c>
      <c r="M40" s="66">
        <v>9999</v>
      </c>
      <c r="N40" s="23" t="str">
        <f t="shared" si="17"/>
        <v>S220L3</v>
      </c>
      <c r="O40" s="4" t="str">
        <f t="shared" si="18"/>
        <v>TerHea</v>
      </c>
      <c r="P40" s="66">
        <v>9999</v>
      </c>
      <c r="Q40" s="76" t="str">
        <f t="shared" si="8"/>
        <v>-</v>
      </c>
      <c r="R40" s="77" t="str">
        <f t="shared" si="20"/>
        <v>-</v>
      </c>
      <c r="S40" s="78">
        <f t="shared" ref="S40:S47" si="21">IF(Q40="-",0,MIN(G40*$J$164,1))</f>
        <v>0</v>
      </c>
    </row>
    <row r="41" spans="1:19" x14ac:dyDescent="0.25">
      <c r="A41" s="2" t="s">
        <v>414</v>
      </c>
      <c r="B41" s="2" t="str">
        <f t="shared" si="14"/>
        <v>S227</v>
      </c>
      <c r="C41" s="2">
        <v>24</v>
      </c>
      <c r="D41" s="60">
        <v>33</v>
      </c>
      <c r="E41" s="4">
        <v>7075853.3635999998</v>
      </c>
      <c r="F41" s="4">
        <v>764249.65899999999</v>
      </c>
      <c r="G41" s="2">
        <v>60</v>
      </c>
      <c r="H41" s="23" t="str">
        <f t="shared" si="7"/>
        <v>S227L1</v>
      </c>
      <c r="I41" s="4" t="s">
        <v>675</v>
      </c>
      <c r="J41" s="66">
        <f t="shared" si="15"/>
        <v>60</v>
      </c>
      <c r="K41" s="23" t="str">
        <f t="shared" si="16"/>
        <v>S227L2</v>
      </c>
      <c r="L41" s="4" t="str">
        <f t="shared" si="3"/>
        <v>TerTsp</v>
      </c>
      <c r="M41" s="66">
        <v>9999</v>
      </c>
      <c r="N41" s="23" t="str">
        <f t="shared" si="17"/>
        <v>S227L3</v>
      </c>
      <c r="O41" s="4" t="str">
        <f t="shared" si="18"/>
        <v>TerHea</v>
      </c>
      <c r="P41" s="66">
        <v>9999</v>
      </c>
      <c r="Q41" s="76" t="str">
        <f t="shared" si="8"/>
        <v>-</v>
      </c>
      <c r="R41" s="77" t="str">
        <f t="shared" si="20"/>
        <v>-</v>
      </c>
      <c r="S41" s="78">
        <f t="shared" si="21"/>
        <v>0</v>
      </c>
    </row>
    <row r="42" spans="1:19" x14ac:dyDescent="0.25">
      <c r="A42" s="2" t="s">
        <v>415</v>
      </c>
      <c r="B42" s="2" t="str">
        <f t="shared" si="14"/>
        <v>S231</v>
      </c>
      <c r="C42" s="2">
        <v>20</v>
      </c>
      <c r="D42" s="60">
        <v>31</v>
      </c>
      <c r="E42" s="4">
        <v>6727997.4576000003</v>
      </c>
      <c r="F42" s="4">
        <v>505567.33350000001</v>
      </c>
      <c r="G42" s="2">
        <v>80</v>
      </c>
      <c r="H42" s="23" t="str">
        <f t="shared" si="7"/>
        <v>S231L1</v>
      </c>
      <c r="I42" s="4" t="s">
        <v>673</v>
      </c>
      <c r="J42" s="66">
        <f t="shared" si="15"/>
        <v>80</v>
      </c>
      <c r="K42" s="23" t="str">
        <f t="shared" si="16"/>
        <v>S231L2</v>
      </c>
      <c r="L42" s="4" t="str">
        <f t="shared" si="3"/>
        <v>TerTpi</v>
      </c>
      <c r="M42" s="66">
        <v>9999</v>
      </c>
      <c r="N42" s="23" t="str">
        <f t="shared" si="17"/>
        <v>S231L3</v>
      </c>
      <c r="O42" s="4" t="str">
        <f t="shared" si="18"/>
        <v>TerHea</v>
      </c>
      <c r="P42" s="66">
        <v>9999</v>
      </c>
      <c r="Q42" s="76" t="str">
        <f t="shared" si="8"/>
        <v>-</v>
      </c>
      <c r="R42" s="77" t="str">
        <f t="shared" si="20"/>
        <v>-</v>
      </c>
      <c r="S42" s="78">
        <f t="shared" si="21"/>
        <v>0</v>
      </c>
    </row>
    <row r="43" spans="1:19" x14ac:dyDescent="0.25">
      <c r="A43" s="2" t="s">
        <v>416</v>
      </c>
      <c r="B43" s="2" t="str">
        <f t="shared" si="14"/>
        <v>S232</v>
      </c>
      <c r="C43" s="2">
        <v>17</v>
      </c>
      <c r="D43" s="60">
        <v>31</v>
      </c>
      <c r="E43" s="4">
        <v>6633071.0728000002</v>
      </c>
      <c r="F43" s="4">
        <v>339758.15720000002</v>
      </c>
      <c r="G43" s="2">
        <v>100</v>
      </c>
      <c r="H43" s="23" t="str">
        <f t="shared" si="7"/>
        <v>S232L1</v>
      </c>
      <c r="I43" s="4" t="s">
        <v>672</v>
      </c>
      <c r="J43" s="66">
        <f t="shared" si="15"/>
        <v>100</v>
      </c>
      <c r="K43" s="23" t="str">
        <f t="shared" si="16"/>
        <v>S232L2</v>
      </c>
      <c r="L43" s="4" t="str">
        <f t="shared" si="3"/>
        <v>TerTal</v>
      </c>
      <c r="M43" s="66">
        <v>9999</v>
      </c>
      <c r="N43" s="23" t="str">
        <f t="shared" si="17"/>
        <v>S232L3</v>
      </c>
      <c r="O43" s="4" t="str">
        <f t="shared" si="18"/>
        <v>TerHea</v>
      </c>
      <c r="P43" s="66">
        <v>9999</v>
      </c>
      <c r="Q43" s="76" t="str">
        <f t="shared" si="8"/>
        <v>-</v>
      </c>
      <c r="R43" s="77" t="str">
        <f t="shared" si="20"/>
        <v>-</v>
      </c>
      <c r="S43" s="78">
        <f t="shared" si="21"/>
        <v>0</v>
      </c>
    </row>
    <row r="44" spans="1:19" x14ac:dyDescent="0.25">
      <c r="A44" s="2" t="s">
        <v>545</v>
      </c>
      <c r="B44" s="2" t="str">
        <f t="shared" si="14"/>
        <v>S239</v>
      </c>
      <c r="C44" s="2">
        <v>7</v>
      </c>
      <c r="D44" s="60">
        <v>21</v>
      </c>
      <c r="E44" s="4">
        <v>6322427.9356000004</v>
      </c>
      <c r="F44" s="4">
        <v>473971.2746</v>
      </c>
      <c r="G44" s="2">
        <v>0</v>
      </c>
      <c r="H44" s="23" t="str">
        <f t="shared" si="7"/>
        <v>-</v>
      </c>
      <c r="I44" s="4" t="s">
        <v>673</v>
      </c>
      <c r="J44" s="66">
        <f t="shared" si="15"/>
        <v>0</v>
      </c>
      <c r="K44" s="23" t="str">
        <f t="shared" si="16"/>
        <v>-</v>
      </c>
      <c r="L44" s="4" t="str">
        <f t="shared" si="3"/>
        <v>TerTpi</v>
      </c>
      <c r="M44" s="66">
        <v>9999</v>
      </c>
      <c r="N44" s="23" t="str">
        <f t="shared" si="17"/>
        <v>-</v>
      </c>
      <c r="O44" s="4" t="str">
        <f t="shared" si="18"/>
        <v>-</v>
      </c>
      <c r="P44" s="66">
        <v>9999</v>
      </c>
      <c r="Q44" s="76" t="str">
        <f t="shared" si="8"/>
        <v>-</v>
      </c>
      <c r="R44" s="77" t="str">
        <f t="shared" si="20"/>
        <v>-</v>
      </c>
      <c r="S44" s="78">
        <f t="shared" si="21"/>
        <v>0</v>
      </c>
    </row>
    <row r="45" spans="1:19" x14ac:dyDescent="0.25">
      <c r="A45" s="2" t="s">
        <v>417</v>
      </c>
      <c r="B45" s="2" t="str">
        <f t="shared" si="14"/>
        <v>S244</v>
      </c>
      <c r="C45" s="2">
        <v>6</v>
      </c>
      <c r="D45" s="60">
        <v>21</v>
      </c>
      <c r="E45" s="4">
        <v>6356979.9565000003</v>
      </c>
      <c r="F45" s="4">
        <v>445458.91560000001</v>
      </c>
      <c r="G45" s="2">
        <v>70</v>
      </c>
      <c r="H45" s="23" t="str">
        <f t="shared" si="7"/>
        <v>S244L1</v>
      </c>
      <c r="I45" s="4" t="s">
        <v>672</v>
      </c>
      <c r="J45" s="66">
        <f t="shared" si="15"/>
        <v>70</v>
      </c>
      <c r="K45" s="23" t="str">
        <f t="shared" si="16"/>
        <v>S244L2</v>
      </c>
      <c r="L45" s="4" t="str">
        <f t="shared" si="3"/>
        <v>TerTal</v>
      </c>
      <c r="M45" s="66">
        <v>9999</v>
      </c>
      <c r="N45" s="23" t="str">
        <f t="shared" si="17"/>
        <v>S244L3</v>
      </c>
      <c r="O45" s="4" t="str">
        <f t="shared" si="18"/>
        <v>TerHea</v>
      </c>
      <c r="P45" s="66">
        <v>9999</v>
      </c>
      <c r="Q45" s="76" t="str">
        <f t="shared" si="8"/>
        <v>-</v>
      </c>
      <c r="R45" s="77" t="str">
        <f t="shared" si="20"/>
        <v>-</v>
      </c>
      <c r="S45" s="78">
        <f t="shared" si="21"/>
        <v>0</v>
      </c>
    </row>
    <row r="46" spans="1:19" x14ac:dyDescent="0.25">
      <c r="A46" s="2" t="s">
        <v>418</v>
      </c>
      <c r="B46" s="2" t="str">
        <f t="shared" si="14"/>
        <v>S245</v>
      </c>
      <c r="C46" s="2">
        <v>9</v>
      </c>
      <c r="D46" s="60">
        <v>21</v>
      </c>
      <c r="E46" s="4">
        <v>6364089.5231999997</v>
      </c>
      <c r="F46" s="4">
        <v>694100.5037</v>
      </c>
      <c r="G46" s="2">
        <v>60</v>
      </c>
      <c r="H46" s="23" t="str">
        <f t="shared" si="7"/>
        <v>S245L1</v>
      </c>
      <c r="I46" s="4" t="s">
        <v>672</v>
      </c>
      <c r="J46" s="66">
        <f t="shared" si="15"/>
        <v>60</v>
      </c>
      <c r="K46" s="23" t="str">
        <f t="shared" si="16"/>
        <v>S245L2</v>
      </c>
      <c r="L46" s="4" t="str">
        <f t="shared" si="3"/>
        <v>TerTal</v>
      </c>
      <c r="M46" s="66">
        <v>9999</v>
      </c>
      <c r="N46" s="23" t="str">
        <f t="shared" si="17"/>
        <v>S245L3</v>
      </c>
      <c r="O46" s="4" t="str">
        <f t="shared" si="18"/>
        <v>TerHea</v>
      </c>
      <c r="P46" s="66">
        <v>9999</v>
      </c>
      <c r="Q46" s="76" t="str">
        <f t="shared" si="8"/>
        <v>-</v>
      </c>
      <c r="R46" s="77" t="str">
        <f t="shared" si="20"/>
        <v>-</v>
      </c>
      <c r="S46" s="78">
        <f t="shared" si="21"/>
        <v>0</v>
      </c>
    </row>
    <row r="47" spans="1:19" x14ac:dyDescent="0.25">
      <c r="A47" s="2" t="s">
        <v>546</v>
      </c>
      <c r="B47" s="2" t="str">
        <f t="shared" si="14"/>
        <v>S248</v>
      </c>
      <c r="C47" s="2">
        <v>17</v>
      </c>
      <c r="D47" s="60">
        <v>31</v>
      </c>
      <c r="E47" s="4">
        <v>6667634.1431999998</v>
      </c>
      <c r="F47" s="4">
        <v>388532.68079999997</v>
      </c>
      <c r="G47" s="2">
        <v>0</v>
      </c>
      <c r="H47" s="23" t="str">
        <f t="shared" si="7"/>
        <v>-</v>
      </c>
      <c r="I47" s="4" t="s">
        <v>672</v>
      </c>
      <c r="J47" s="66">
        <f t="shared" si="15"/>
        <v>0</v>
      </c>
      <c r="K47" s="23" t="str">
        <f t="shared" si="16"/>
        <v>-</v>
      </c>
      <c r="L47" s="4" t="str">
        <f t="shared" si="3"/>
        <v>TerTal</v>
      </c>
      <c r="M47" s="66">
        <v>9999</v>
      </c>
      <c r="N47" s="23" t="str">
        <f t="shared" si="17"/>
        <v>-</v>
      </c>
      <c r="O47" s="4" t="str">
        <f t="shared" si="18"/>
        <v>-</v>
      </c>
      <c r="P47" s="66">
        <v>9999</v>
      </c>
      <c r="Q47" s="76" t="str">
        <f t="shared" si="8"/>
        <v>-</v>
      </c>
      <c r="R47" s="77" t="str">
        <f t="shared" si="20"/>
        <v>-</v>
      </c>
      <c r="S47" s="78">
        <f t="shared" si="21"/>
        <v>0</v>
      </c>
    </row>
    <row r="48" spans="1:19" x14ac:dyDescent="0.25">
      <c r="A48" s="70" t="s">
        <v>419</v>
      </c>
      <c r="B48" s="70" t="str">
        <f t="shared" si="14"/>
        <v>S249</v>
      </c>
      <c r="C48" s="70">
        <v>22</v>
      </c>
      <c r="D48" s="71">
        <v>12</v>
      </c>
      <c r="E48" s="21">
        <v>6932175.4478000002</v>
      </c>
      <c r="F48" s="21">
        <v>550828.41940000001</v>
      </c>
      <c r="G48" s="70">
        <v>250</v>
      </c>
      <c r="H48" s="72" t="str">
        <f t="shared" si="7"/>
        <v>S249L1</v>
      </c>
      <c r="I48" s="21" t="s">
        <v>672</v>
      </c>
      <c r="J48" s="73">
        <f t="shared" si="15"/>
        <v>250</v>
      </c>
      <c r="K48" s="72" t="str">
        <f t="shared" si="16"/>
        <v>S249L2</v>
      </c>
      <c r="L48" s="21" t="str">
        <f t="shared" si="3"/>
        <v>TerTal</v>
      </c>
      <c r="M48" s="73">
        <v>9999</v>
      </c>
      <c r="N48" s="72" t="str">
        <f t="shared" si="17"/>
        <v>S249L3</v>
      </c>
      <c r="O48" s="21" t="str">
        <f t="shared" si="18"/>
        <v>TerHea</v>
      </c>
      <c r="P48" s="73">
        <v>9999</v>
      </c>
      <c r="Q48" s="74" t="str">
        <f t="shared" ref="Q48" si="22">IF(N48="-","-",$A48&amp;"L"&amp;Q$1)</f>
        <v>S249L4</v>
      </c>
      <c r="R48" s="75" t="str">
        <f t="shared" ref="R48:R50" si="23">IF(Q48="-","-","sawmbe")</f>
        <v>sawmbe</v>
      </c>
      <c r="S48" s="73">
        <f>IF(Q48="-",0,MIN(G48*$J$164,1))</f>
        <v>1</v>
      </c>
    </row>
    <row r="49" spans="1:19" x14ac:dyDescent="0.25">
      <c r="A49" s="2" t="s">
        <v>420</v>
      </c>
      <c r="B49" s="2" t="str">
        <f t="shared" si="14"/>
        <v>S252</v>
      </c>
      <c r="C49" s="2">
        <v>21</v>
      </c>
      <c r="D49" s="60">
        <v>31</v>
      </c>
      <c r="E49" s="4">
        <v>6729992.0392000005</v>
      </c>
      <c r="F49" s="4">
        <v>622988.99109999998</v>
      </c>
      <c r="G49" s="2">
        <v>38</v>
      </c>
      <c r="H49" s="23" t="str">
        <f t="shared" si="7"/>
        <v>-</v>
      </c>
      <c r="I49" s="4" t="s">
        <v>672</v>
      </c>
      <c r="J49" s="66">
        <f t="shared" si="15"/>
        <v>0</v>
      </c>
      <c r="K49" s="23" t="str">
        <f t="shared" si="16"/>
        <v>-</v>
      </c>
      <c r="L49" s="4" t="str">
        <f t="shared" si="3"/>
        <v>TerTal</v>
      </c>
      <c r="M49" s="66">
        <v>9999</v>
      </c>
      <c r="N49" s="23" t="str">
        <f t="shared" si="17"/>
        <v>-</v>
      </c>
      <c r="O49" s="4" t="str">
        <f t="shared" si="18"/>
        <v>-</v>
      </c>
      <c r="P49" s="66">
        <v>9999</v>
      </c>
      <c r="Q49" s="76" t="str">
        <f t="shared" si="8"/>
        <v>-</v>
      </c>
      <c r="R49" s="77" t="str">
        <f t="shared" si="23"/>
        <v>-</v>
      </c>
      <c r="S49" s="78">
        <f t="shared" ref="S49:S50" si="24">IF(Q49="-",0,MIN(G49*$J$164,1))</f>
        <v>0</v>
      </c>
    </row>
    <row r="50" spans="1:19" x14ac:dyDescent="0.25">
      <c r="A50" s="2" t="s">
        <v>421</v>
      </c>
      <c r="B50" s="2" t="str">
        <f t="shared" si="14"/>
        <v>S254</v>
      </c>
      <c r="C50" s="2">
        <v>23</v>
      </c>
      <c r="D50" s="60">
        <v>12</v>
      </c>
      <c r="E50" s="4">
        <v>7021940.5667000003</v>
      </c>
      <c r="F50" s="4">
        <v>472228.6409</v>
      </c>
      <c r="G50" s="2">
        <v>65</v>
      </c>
      <c r="H50" s="23" t="str">
        <f t="shared" si="7"/>
        <v>S254L1</v>
      </c>
      <c r="I50" s="4" t="s">
        <v>672</v>
      </c>
      <c r="J50" s="66">
        <f t="shared" si="15"/>
        <v>65</v>
      </c>
      <c r="K50" s="23" t="str">
        <f t="shared" si="16"/>
        <v>S254L2</v>
      </c>
      <c r="L50" s="4" t="str">
        <f t="shared" si="3"/>
        <v>TerTal</v>
      </c>
      <c r="M50" s="66">
        <v>9999</v>
      </c>
      <c r="N50" s="23" t="str">
        <f t="shared" si="17"/>
        <v>S254L3</v>
      </c>
      <c r="O50" s="4" t="str">
        <f t="shared" si="18"/>
        <v>TerHea</v>
      </c>
      <c r="P50" s="66">
        <v>9999</v>
      </c>
      <c r="Q50" s="76" t="str">
        <f t="shared" si="8"/>
        <v>-</v>
      </c>
      <c r="R50" s="77" t="str">
        <f t="shared" si="23"/>
        <v>-</v>
      </c>
      <c r="S50" s="78">
        <f t="shared" si="24"/>
        <v>0</v>
      </c>
    </row>
    <row r="51" spans="1:19" x14ac:dyDescent="0.25">
      <c r="A51" s="70" t="s">
        <v>422</v>
      </c>
      <c r="B51" s="70" t="str">
        <f t="shared" si="14"/>
        <v>S255</v>
      </c>
      <c r="C51" s="70">
        <v>6</v>
      </c>
      <c r="D51" s="71">
        <v>21</v>
      </c>
      <c r="E51" s="21">
        <v>6343774.6606000001</v>
      </c>
      <c r="F51" s="21">
        <v>474292.359</v>
      </c>
      <c r="G51" s="70">
        <v>145</v>
      </c>
      <c r="H51" s="72" t="str">
        <f t="shared" si="7"/>
        <v>S255L1</v>
      </c>
      <c r="I51" s="21" t="s">
        <v>672</v>
      </c>
      <c r="J51" s="73">
        <f t="shared" si="15"/>
        <v>145</v>
      </c>
      <c r="K51" s="72" t="str">
        <f t="shared" si="16"/>
        <v>S255L2</v>
      </c>
      <c r="L51" s="21" t="str">
        <f t="shared" si="3"/>
        <v>TerTal</v>
      </c>
      <c r="M51" s="73">
        <v>9999</v>
      </c>
      <c r="N51" s="72" t="str">
        <f t="shared" si="17"/>
        <v>S255L3</v>
      </c>
      <c r="O51" s="21" t="str">
        <f t="shared" si="18"/>
        <v>TerHea</v>
      </c>
      <c r="P51" s="73">
        <v>9999</v>
      </c>
      <c r="Q51" s="74" t="str">
        <f t="shared" ref="Q51" si="25">IF(N51="-","-",$A51&amp;"L"&amp;Q$1)</f>
        <v>S255L4</v>
      </c>
      <c r="R51" s="75" t="str">
        <f t="shared" ref="R51:R52" si="26">IF(Q51="-","-","sawmbe")</f>
        <v>sawmbe</v>
      </c>
      <c r="S51" s="73">
        <f>IF(Q51="-",0,MIN(G51*$J$164,1))</f>
        <v>1</v>
      </c>
    </row>
    <row r="52" spans="1:19" x14ac:dyDescent="0.25">
      <c r="A52" s="2" t="s">
        <v>423</v>
      </c>
      <c r="B52" s="2" t="str">
        <f t="shared" si="14"/>
        <v>S259</v>
      </c>
      <c r="C52" s="2">
        <v>20</v>
      </c>
      <c r="D52" s="60">
        <v>31</v>
      </c>
      <c r="E52" s="4">
        <v>6666434.8075999999</v>
      </c>
      <c r="F52" s="4">
        <v>567101.99620000005</v>
      </c>
      <c r="G52" s="2">
        <v>85</v>
      </c>
      <c r="H52" s="23" t="str">
        <f t="shared" si="7"/>
        <v>S259L1</v>
      </c>
      <c r="I52" s="4" t="s">
        <v>675</v>
      </c>
      <c r="J52" s="66">
        <f t="shared" si="15"/>
        <v>85</v>
      </c>
      <c r="K52" s="23" t="str">
        <f t="shared" si="16"/>
        <v>S259L2</v>
      </c>
      <c r="L52" s="4" t="str">
        <f t="shared" si="3"/>
        <v>TerTsp</v>
      </c>
      <c r="M52" s="66">
        <v>9999</v>
      </c>
      <c r="N52" s="23" t="str">
        <f t="shared" si="17"/>
        <v>S259L3</v>
      </c>
      <c r="O52" s="4" t="str">
        <f t="shared" si="18"/>
        <v>TerHea</v>
      </c>
      <c r="P52" s="66">
        <v>9999</v>
      </c>
      <c r="Q52" s="76" t="str">
        <f t="shared" si="8"/>
        <v>-</v>
      </c>
      <c r="R52" s="77" t="str">
        <f t="shared" si="26"/>
        <v>-</v>
      </c>
      <c r="S52" s="78">
        <f t="shared" ref="S52" si="27">IF(Q52="-",0,MIN(G52*$J$164,1))</f>
        <v>0</v>
      </c>
    </row>
    <row r="53" spans="1:19" x14ac:dyDescent="0.25">
      <c r="A53" s="70" t="s">
        <v>424</v>
      </c>
      <c r="B53" s="70" t="str">
        <f t="shared" si="14"/>
        <v>S263</v>
      </c>
      <c r="C53" s="70">
        <v>24</v>
      </c>
      <c r="D53" s="71">
        <v>33</v>
      </c>
      <c r="E53" s="21">
        <v>7104254.1637000004</v>
      </c>
      <c r="F53" s="21">
        <v>730935.87769999995</v>
      </c>
      <c r="G53" s="70">
        <v>590</v>
      </c>
      <c r="H53" s="72" t="str">
        <f t="shared" si="7"/>
        <v>S263L1</v>
      </c>
      <c r="I53" s="21" t="s">
        <v>672</v>
      </c>
      <c r="J53" s="73">
        <f t="shared" si="15"/>
        <v>590</v>
      </c>
      <c r="K53" s="72" t="str">
        <f t="shared" si="16"/>
        <v>S263L2</v>
      </c>
      <c r="L53" s="21" t="str">
        <f t="shared" si="3"/>
        <v>TerTal</v>
      </c>
      <c r="M53" s="73">
        <v>9999</v>
      </c>
      <c r="N53" s="72" t="str">
        <f t="shared" si="17"/>
        <v>S263L3</v>
      </c>
      <c r="O53" s="21" t="str">
        <f t="shared" si="18"/>
        <v>TerHea</v>
      </c>
      <c r="P53" s="73">
        <v>9999</v>
      </c>
      <c r="Q53" s="74" t="str">
        <f t="shared" ref="Q53" si="28">IF(N53="-","-",$A53&amp;"L"&amp;Q$1)</f>
        <v>S263L4</v>
      </c>
      <c r="R53" s="75" t="str">
        <f t="shared" ref="R53:R54" si="29">IF(Q53="-","-","sawmbe")</f>
        <v>sawmbe</v>
      </c>
      <c r="S53" s="73">
        <f>IF(Q53="-",0,MIN(G53*$J$164,1))</f>
        <v>1</v>
      </c>
    </row>
    <row r="54" spans="1:19" x14ac:dyDescent="0.25">
      <c r="A54" s="2" t="s">
        <v>425</v>
      </c>
      <c r="B54" s="2" t="str">
        <f t="shared" si="14"/>
        <v>S265</v>
      </c>
      <c r="C54" s="2">
        <v>8</v>
      </c>
      <c r="D54" s="60">
        <v>21</v>
      </c>
      <c r="E54" s="4">
        <v>6271114.8447000002</v>
      </c>
      <c r="F54" s="4">
        <v>527180.9227</v>
      </c>
      <c r="G54" s="2">
        <v>220</v>
      </c>
      <c r="H54" s="23" t="str">
        <f t="shared" si="7"/>
        <v>S265L1</v>
      </c>
      <c r="I54" s="4" t="s">
        <v>673</v>
      </c>
      <c r="J54" s="66">
        <f t="shared" si="15"/>
        <v>220</v>
      </c>
      <c r="K54" s="23" t="str">
        <f t="shared" si="16"/>
        <v>S265L2</v>
      </c>
      <c r="L54" s="4" t="str">
        <f t="shared" si="3"/>
        <v>TerTpi</v>
      </c>
      <c r="M54" s="66">
        <v>9999</v>
      </c>
      <c r="N54" s="23" t="str">
        <f t="shared" si="17"/>
        <v>S265L3</v>
      </c>
      <c r="O54" s="4" t="str">
        <f t="shared" si="18"/>
        <v>TerHea</v>
      </c>
      <c r="P54" s="66">
        <v>9999</v>
      </c>
      <c r="Q54" s="76" t="str">
        <f t="shared" si="8"/>
        <v>-</v>
      </c>
      <c r="R54" s="77" t="str">
        <f t="shared" si="29"/>
        <v>-</v>
      </c>
      <c r="S54" s="78">
        <f t="shared" ref="S54" si="30">IF(Q54="-",0,MIN(G54*$J$164,1))</f>
        <v>0</v>
      </c>
    </row>
    <row r="55" spans="1:19" x14ac:dyDescent="0.25">
      <c r="A55" s="70" t="s">
        <v>426</v>
      </c>
      <c r="B55" s="70" t="str">
        <f t="shared" si="14"/>
        <v>S272</v>
      </c>
      <c r="C55" s="70">
        <v>21</v>
      </c>
      <c r="D55" s="71">
        <v>31</v>
      </c>
      <c r="E55" s="21">
        <v>6794101.6063000001</v>
      </c>
      <c r="F55" s="21">
        <v>600236.40249999997</v>
      </c>
      <c r="G55" s="70">
        <v>185</v>
      </c>
      <c r="H55" s="72" t="str">
        <f t="shared" si="7"/>
        <v>S272L1</v>
      </c>
      <c r="I55" s="21" t="s">
        <v>673</v>
      </c>
      <c r="J55" s="73">
        <f t="shared" si="15"/>
        <v>185</v>
      </c>
      <c r="K55" s="72" t="str">
        <f t="shared" si="16"/>
        <v>S272L2</v>
      </c>
      <c r="L55" s="21" t="str">
        <f t="shared" si="3"/>
        <v>TerTpi</v>
      </c>
      <c r="M55" s="73">
        <v>9999</v>
      </c>
      <c r="N55" s="72" t="str">
        <f t="shared" si="17"/>
        <v>S272L3</v>
      </c>
      <c r="O55" s="21" t="str">
        <f t="shared" si="18"/>
        <v>TerHea</v>
      </c>
      <c r="P55" s="73">
        <v>9999</v>
      </c>
      <c r="Q55" s="74" t="str">
        <f t="shared" ref="Q55" si="31">IF(N55="-","-",$A55&amp;"L"&amp;Q$1)</f>
        <v>S272L4</v>
      </c>
      <c r="R55" s="75" t="str">
        <f t="shared" ref="R55:R56" si="32">IF(Q55="-","-","sawmbe")</f>
        <v>sawmbe</v>
      </c>
      <c r="S55" s="73">
        <f>IF(Q55="-",0,MIN(G55*$J$164,1))</f>
        <v>1</v>
      </c>
    </row>
    <row r="56" spans="1:19" x14ac:dyDescent="0.25">
      <c r="A56" s="2" t="s">
        <v>427</v>
      </c>
      <c r="B56" s="2" t="str">
        <f t="shared" si="14"/>
        <v>S273</v>
      </c>
      <c r="C56" s="2">
        <v>7</v>
      </c>
      <c r="D56" s="60">
        <v>21</v>
      </c>
      <c r="E56" s="4">
        <v>6279615.8208999997</v>
      </c>
      <c r="F56" s="4">
        <v>508210.97389999998</v>
      </c>
      <c r="G56" s="2">
        <v>30</v>
      </c>
      <c r="H56" s="23" t="str">
        <f t="shared" si="7"/>
        <v>-</v>
      </c>
      <c r="I56" s="4" t="s">
        <v>673</v>
      </c>
      <c r="J56" s="66">
        <f t="shared" si="15"/>
        <v>0</v>
      </c>
      <c r="K56" s="23" t="str">
        <f t="shared" si="16"/>
        <v>-</v>
      </c>
      <c r="L56" s="4" t="str">
        <f t="shared" si="3"/>
        <v>TerTpi</v>
      </c>
      <c r="M56" s="66">
        <v>9999</v>
      </c>
      <c r="N56" s="23" t="str">
        <f t="shared" si="17"/>
        <v>-</v>
      </c>
      <c r="O56" s="4" t="str">
        <f t="shared" si="18"/>
        <v>-</v>
      </c>
      <c r="P56" s="66">
        <v>9999</v>
      </c>
      <c r="Q56" s="76" t="str">
        <f t="shared" si="8"/>
        <v>-</v>
      </c>
      <c r="R56" s="77" t="str">
        <f t="shared" si="32"/>
        <v>-</v>
      </c>
      <c r="S56" s="78">
        <f t="shared" ref="S56" si="33">IF(Q56="-",0,MIN(G56*$J$164,1))</f>
        <v>0</v>
      </c>
    </row>
    <row r="57" spans="1:19" x14ac:dyDescent="0.25">
      <c r="A57" s="70" t="s">
        <v>428</v>
      </c>
      <c r="B57" s="70" t="str">
        <f t="shared" si="14"/>
        <v>S276</v>
      </c>
      <c r="C57" s="70">
        <v>24</v>
      </c>
      <c r="D57" s="71">
        <v>33</v>
      </c>
      <c r="E57" s="21">
        <v>7148608.8411999997</v>
      </c>
      <c r="F57" s="21">
        <v>765503.679</v>
      </c>
      <c r="G57" s="70">
        <v>550</v>
      </c>
      <c r="H57" s="72" t="str">
        <f t="shared" si="7"/>
        <v>S276L1</v>
      </c>
      <c r="I57" s="21" t="s">
        <v>673</v>
      </c>
      <c r="J57" s="73">
        <f t="shared" si="15"/>
        <v>550</v>
      </c>
      <c r="K57" s="72" t="str">
        <f t="shared" si="16"/>
        <v>S276L2</v>
      </c>
      <c r="L57" s="21" t="str">
        <f t="shared" si="3"/>
        <v>TerTpi</v>
      </c>
      <c r="M57" s="73">
        <v>9999</v>
      </c>
      <c r="N57" s="72" t="str">
        <f t="shared" si="17"/>
        <v>S276L3</v>
      </c>
      <c r="O57" s="21" t="str">
        <f t="shared" si="18"/>
        <v>TerHea</v>
      </c>
      <c r="P57" s="73">
        <v>9999</v>
      </c>
      <c r="Q57" s="74" t="str">
        <f t="shared" ref="Q57:Q62" si="34">IF(N57="-","-",$A57&amp;"L"&amp;Q$1)</f>
        <v>S276L4</v>
      </c>
      <c r="R57" s="75" t="str">
        <f t="shared" ref="R57:R62" si="35">IF(Q57="-","-","sawmbe")</f>
        <v>sawmbe</v>
      </c>
      <c r="S57" s="73">
        <f>IF(Q57="-",0,MIN(G57*$J$164,1))</f>
        <v>1</v>
      </c>
    </row>
    <row r="58" spans="1:19" x14ac:dyDescent="0.25">
      <c r="A58" s="2" t="s">
        <v>361</v>
      </c>
      <c r="B58" s="2" t="str">
        <f t="shared" si="14"/>
        <v>S28</v>
      </c>
      <c r="C58" s="2">
        <v>22</v>
      </c>
      <c r="D58" s="60">
        <v>12</v>
      </c>
      <c r="E58" s="4">
        <v>6921773.5456999997</v>
      </c>
      <c r="F58" s="4">
        <v>524593.34809999994</v>
      </c>
      <c r="G58" s="2">
        <v>0</v>
      </c>
      <c r="H58" s="23" t="str">
        <f t="shared" si="7"/>
        <v>-</v>
      </c>
      <c r="I58" s="4" t="s">
        <v>672</v>
      </c>
      <c r="J58" s="66">
        <f t="shared" si="15"/>
        <v>0</v>
      </c>
      <c r="K58" s="23" t="str">
        <f t="shared" si="16"/>
        <v>-</v>
      </c>
      <c r="L58" s="4" t="str">
        <f t="shared" si="3"/>
        <v>TerTal</v>
      </c>
      <c r="M58" s="66">
        <v>9999</v>
      </c>
      <c r="N58" s="23" t="str">
        <f t="shared" si="17"/>
        <v>-</v>
      </c>
      <c r="O58" s="4" t="str">
        <f t="shared" si="18"/>
        <v>-</v>
      </c>
      <c r="P58" s="66">
        <v>9999</v>
      </c>
      <c r="Q58" s="76" t="str">
        <f t="shared" si="8"/>
        <v>-</v>
      </c>
      <c r="R58" s="77" t="str">
        <f t="shared" si="35"/>
        <v>-</v>
      </c>
      <c r="S58" s="78">
        <f t="shared" ref="S58:S62" si="36">IF(Q58="-",0,MIN(G58*$J$164,1))</f>
        <v>0</v>
      </c>
    </row>
    <row r="59" spans="1:19" x14ac:dyDescent="0.25">
      <c r="A59" s="2" t="s">
        <v>429</v>
      </c>
      <c r="B59" s="2" t="str">
        <f t="shared" si="14"/>
        <v>S287</v>
      </c>
      <c r="C59" s="2">
        <v>8</v>
      </c>
      <c r="D59" s="60">
        <v>21</v>
      </c>
      <c r="E59" s="4">
        <v>6353088.8271000003</v>
      </c>
      <c r="F59" s="4">
        <v>551376.58909999998</v>
      </c>
      <c r="G59" s="2">
        <v>25</v>
      </c>
      <c r="H59" s="23" t="str">
        <f t="shared" si="7"/>
        <v>-</v>
      </c>
      <c r="I59" s="4" t="s">
        <v>673</v>
      </c>
      <c r="J59" s="66">
        <f t="shared" si="15"/>
        <v>0</v>
      </c>
      <c r="K59" s="23" t="str">
        <f t="shared" si="16"/>
        <v>-</v>
      </c>
      <c r="L59" s="4" t="str">
        <f t="shared" si="3"/>
        <v>TerTpi</v>
      </c>
      <c r="M59" s="66">
        <v>9999</v>
      </c>
      <c r="N59" s="23" t="str">
        <f t="shared" si="17"/>
        <v>-</v>
      </c>
      <c r="O59" s="4" t="str">
        <f t="shared" si="18"/>
        <v>-</v>
      </c>
      <c r="P59" s="66">
        <v>9999</v>
      </c>
      <c r="Q59" s="76" t="str">
        <f t="shared" si="8"/>
        <v>-</v>
      </c>
      <c r="R59" s="77" t="str">
        <f t="shared" si="35"/>
        <v>-</v>
      </c>
      <c r="S59" s="78">
        <f t="shared" si="36"/>
        <v>0</v>
      </c>
    </row>
    <row r="60" spans="1:19" x14ac:dyDescent="0.25">
      <c r="A60" s="2" t="s">
        <v>430</v>
      </c>
      <c r="B60" s="2" t="str">
        <f t="shared" si="14"/>
        <v>S289</v>
      </c>
      <c r="C60" s="2">
        <v>21</v>
      </c>
      <c r="D60" s="60">
        <v>31</v>
      </c>
      <c r="E60" s="4">
        <v>6803229.6117000002</v>
      </c>
      <c r="F60" s="4">
        <v>549417.62589999998</v>
      </c>
      <c r="G60" s="2">
        <v>237</v>
      </c>
      <c r="H60" s="23" t="str">
        <f t="shared" si="7"/>
        <v>S289L1</v>
      </c>
      <c r="I60" s="4" t="s">
        <v>675</v>
      </c>
      <c r="J60" s="66">
        <f t="shared" si="15"/>
        <v>237</v>
      </c>
      <c r="K60" s="23" t="str">
        <f t="shared" si="16"/>
        <v>S289L2</v>
      </c>
      <c r="L60" s="4" t="str">
        <f t="shared" si="3"/>
        <v>TerTsp</v>
      </c>
      <c r="M60" s="66">
        <v>9999</v>
      </c>
      <c r="N60" s="23" t="str">
        <f t="shared" si="17"/>
        <v>S289L3</v>
      </c>
      <c r="O60" s="4" t="str">
        <f t="shared" si="18"/>
        <v>TerHea</v>
      </c>
      <c r="P60" s="66">
        <v>9999</v>
      </c>
      <c r="Q60" s="76" t="str">
        <f t="shared" si="8"/>
        <v>-</v>
      </c>
      <c r="R60" s="77" t="str">
        <f t="shared" si="35"/>
        <v>-</v>
      </c>
      <c r="S60" s="78">
        <f t="shared" si="36"/>
        <v>0</v>
      </c>
    </row>
    <row r="61" spans="1:19" x14ac:dyDescent="0.25">
      <c r="A61" s="2" t="s">
        <v>362</v>
      </c>
      <c r="B61" s="2" t="str">
        <f t="shared" si="14"/>
        <v>S29</v>
      </c>
      <c r="C61" s="2">
        <v>12</v>
      </c>
      <c r="D61" s="60">
        <v>22</v>
      </c>
      <c r="E61" s="4">
        <v>6238755.3513000002</v>
      </c>
      <c r="F61" s="4">
        <v>433681.04920000001</v>
      </c>
      <c r="G61" s="2">
        <v>291</v>
      </c>
      <c r="H61" s="23" t="str">
        <f t="shared" si="7"/>
        <v>S29L1</v>
      </c>
      <c r="I61" s="4" t="s">
        <v>673</v>
      </c>
      <c r="J61" s="66">
        <f t="shared" si="15"/>
        <v>291</v>
      </c>
      <c r="K61" s="23" t="str">
        <f t="shared" si="16"/>
        <v>S29L2</v>
      </c>
      <c r="L61" s="4" t="str">
        <f t="shared" si="3"/>
        <v>TerTpi</v>
      </c>
      <c r="M61" s="66">
        <v>9999</v>
      </c>
      <c r="N61" s="23" t="str">
        <f t="shared" si="17"/>
        <v>S29L3</v>
      </c>
      <c r="O61" s="4" t="str">
        <f t="shared" si="18"/>
        <v>TerHea</v>
      </c>
      <c r="P61" s="66">
        <v>9999</v>
      </c>
      <c r="Q61" s="76" t="str">
        <f t="shared" si="8"/>
        <v>-</v>
      </c>
      <c r="R61" s="77" t="str">
        <f t="shared" si="35"/>
        <v>-</v>
      </c>
      <c r="S61" s="78">
        <f t="shared" si="36"/>
        <v>0</v>
      </c>
    </row>
    <row r="62" spans="1:19" x14ac:dyDescent="0.25">
      <c r="A62" s="2" t="s">
        <v>431</v>
      </c>
      <c r="B62" s="2" t="str">
        <f t="shared" si="14"/>
        <v>S291</v>
      </c>
      <c r="C62" s="2">
        <v>6</v>
      </c>
      <c r="D62" s="60">
        <v>21</v>
      </c>
      <c r="E62" s="4">
        <v>6388896.1737000002</v>
      </c>
      <c r="F62" s="4">
        <v>516070.84989999997</v>
      </c>
      <c r="G62" s="2">
        <v>332</v>
      </c>
      <c r="H62" s="23" t="str">
        <f t="shared" si="7"/>
        <v>S291L1</v>
      </c>
      <c r="I62" s="4" t="s">
        <v>673</v>
      </c>
      <c r="J62" s="66">
        <f t="shared" si="15"/>
        <v>332</v>
      </c>
      <c r="K62" s="23" t="str">
        <f t="shared" si="16"/>
        <v>S291L2</v>
      </c>
      <c r="L62" s="4" t="str">
        <f t="shared" si="3"/>
        <v>TerTpi</v>
      </c>
      <c r="M62" s="66">
        <v>9999</v>
      </c>
      <c r="N62" s="23" t="str">
        <f t="shared" si="17"/>
        <v>S291L3</v>
      </c>
      <c r="O62" s="4" t="str">
        <f t="shared" si="18"/>
        <v>TerHea</v>
      </c>
      <c r="P62" s="66">
        <v>9999</v>
      </c>
      <c r="Q62" s="76" t="str">
        <f t="shared" si="34"/>
        <v>S291L4</v>
      </c>
      <c r="R62" s="77" t="str">
        <f t="shared" si="35"/>
        <v>sawmbe</v>
      </c>
      <c r="S62" s="78">
        <f t="shared" si="36"/>
        <v>1</v>
      </c>
    </row>
    <row r="63" spans="1:19" x14ac:dyDescent="0.25">
      <c r="A63" s="70" t="s">
        <v>432</v>
      </c>
      <c r="B63" s="70" t="str">
        <f t="shared" si="14"/>
        <v>S293</v>
      </c>
      <c r="C63" s="70">
        <v>25</v>
      </c>
      <c r="D63" s="71">
        <v>33</v>
      </c>
      <c r="E63" s="21">
        <v>7472484.9280000003</v>
      </c>
      <c r="F63" s="21">
        <v>827801.74659999995</v>
      </c>
      <c r="G63" s="70">
        <v>80</v>
      </c>
      <c r="H63" s="72" t="str">
        <f t="shared" si="7"/>
        <v>S293L1</v>
      </c>
      <c r="I63" s="21" t="s">
        <v>675</v>
      </c>
      <c r="J63" s="73">
        <f t="shared" si="15"/>
        <v>80</v>
      </c>
      <c r="K63" s="72" t="str">
        <f t="shared" si="16"/>
        <v>S293L2</v>
      </c>
      <c r="L63" s="21" t="str">
        <f t="shared" si="3"/>
        <v>TerTsp</v>
      </c>
      <c r="M63" s="73">
        <v>9999</v>
      </c>
      <c r="N63" s="72" t="str">
        <f t="shared" si="17"/>
        <v>S293L3</v>
      </c>
      <c r="O63" s="21" t="str">
        <f t="shared" si="18"/>
        <v>TerHea</v>
      </c>
      <c r="P63" s="73">
        <v>9999</v>
      </c>
      <c r="Q63" s="74" t="str">
        <f t="shared" ref="Q63" si="37">IF(N63="-","-",$A63&amp;"L"&amp;Q$1)</f>
        <v>S293L4</v>
      </c>
      <c r="R63" s="75" t="str">
        <f t="shared" ref="R63" si="38">IF(Q63="-","-","sawmbe")</f>
        <v>sawmbe</v>
      </c>
      <c r="S63" s="73">
        <f>IF(Q63="-",0,MIN(G63*$J$164,1))</f>
        <v>1</v>
      </c>
    </row>
    <row r="64" spans="1:19" x14ac:dyDescent="0.25">
      <c r="A64" s="2" t="s">
        <v>433</v>
      </c>
      <c r="B64" s="2" t="str">
        <f t="shared" si="14"/>
        <v>S295</v>
      </c>
      <c r="C64" s="2">
        <v>3</v>
      </c>
      <c r="D64" s="60">
        <v>12</v>
      </c>
      <c r="E64" s="4">
        <v>6656786.0169000002</v>
      </c>
      <c r="F64" s="4">
        <v>641644.848</v>
      </c>
      <c r="G64" s="2">
        <v>20</v>
      </c>
      <c r="H64" s="23" t="str">
        <f t="shared" si="7"/>
        <v>-</v>
      </c>
      <c r="I64" s="4" t="s">
        <v>672</v>
      </c>
      <c r="J64" s="66">
        <f t="shared" si="15"/>
        <v>0</v>
      </c>
      <c r="K64" s="23" t="str">
        <f t="shared" si="16"/>
        <v>-</v>
      </c>
      <c r="L64" s="4" t="str">
        <f t="shared" si="3"/>
        <v>TerTal</v>
      </c>
      <c r="M64" s="66">
        <v>9999</v>
      </c>
      <c r="N64" s="23" t="str">
        <f t="shared" si="17"/>
        <v>-</v>
      </c>
      <c r="O64" s="4" t="str">
        <f t="shared" si="18"/>
        <v>-</v>
      </c>
      <c r="P64" s="66">
        <v>9999</v>
      </c>
      <c r="Q64" s="76" t="str">
        <f t="shared" ref="Q64" si="39">IF(N64="-","-","-")</f>
        <v>-</v>
      </c>
      <c r="R64" s="69" t="s">
        <v>726</v>
      </c>
      <c r="S64" s="66">
        <f t="shared" ref="S64" si="40">IF(Q64="-",0,MIN(G64*$J$164,20))</f>
        <v>0</v>
      </c>
    </row>
    <row r="65" spans="1:19" x14ac:dyDescent="0.25">
      <c r="A65" s="70" t="s">
        <v>363</v>
      </c>
      <c r="B65" s="70" t="str">
        <f t="shared" si="14"/>
        <v>S30</v>
      </c>
      <c r="C65" s="70">
        <v>3</v>
      </c>
      <c r="D65" s="71">
        <v>12</v>
      </c>
      <c r="E65" s="21">
        <v>6646337.983</v>
      </c>
      <c r="F65" s="21">
        <v>603177.67020000005</v>
      </c>
      <c r="G65" s="70">
        <v>240</v>
      </c>
      <c r="H65" s="72" t="str">
        <f t="shared" si="7"/>
        <v>S30L1</v>
      </c>
      <c r="I65" s="21" t="s">
        <v>672</v>
      </c>
      <c r="J65" s="73">
        <f t="shared" si="15"/>
        <v>240</v>
      </c>
      <c r="K65" s="72" t="str">
        <f t="shared" si="16"/>
        <v>S30L2</v>
      </c>
      <c r="L65" s="21" t="str">
        <f t="shared" si="3"/>
        <v>TerTal</v>
      </c>
      <c r="M65" s="73">
        <v>9999</v>
      </c>
      <c r="N65" s="72" t="str">
        <f t="shared" si="17"/>
        <v>S30L3</v>
      </c>
      <c r="O65" s="21" t="str">
        <f t="shared" si="18"/>
        <v>TerHea</v>
      </c>
      <c r="P65" s="73">
        <v>9999</v>
      </c>
      <c r="Q65" s="74" t="str">
        <f t="shared" ref="Q65" si="41">IF(N65="-","-",$A65&amp;"L"&amp;Q$1)</f>
        <v>S30L4</v>
      </c>
      <c r="R65" s="75" t="str">
        <f t="shared" ref="R65:R128" si="42">IF(Q65="-","-","sawmbe")</f>
        <v>sawmbe</v>
      </c>
      <c r="S65" s="73">
        <f>IF(Q65="-",0,MIN(G65*$J$164,1))</f>
        <v>1</v>
      </c>
    </row>
    <row r="66" spans="1:19" x14ac:dyDescent="0.25">
      <c r="A66" s="2" t="s">
        <v>364</v>
      </c>
      <c r="B66" s="2" t="str">
        <f t="shared" ref="B66:B97" si="43">A66</f>
        <v>S31</v>
      </c>
      <c r="C66" s="2">
        <v>5</v>
      </c>
      <c r="D66" s="60">
        <v>12</v>
      </c>
      <c r="E66" s="4">
        <v>6442611.9987000003</v>
      </c>
      <c r="F66" s="4">
        <v>525450.62230000005</v>
      </c>
      <c r="G66" s="2">
        <v>145</v>
      </c>
      <c r="H66" s="23" t="str">
        <f t="shared" si="7"/>
        <v>S31L1</v>
      </c>
      <c r="I66" s="4" t="s">
        <v>672</v>
      </c>
      <c r="J66" s="66">
        <f t="shared" ref="J66:J97" si="44">IF(H66="-",0,G66*J$164)</f>
        <v>145</v>
      </c>
      <c r="K66" s="23" t="str">
        <f t="shared" ref="K66:K97" si="45">IF(H66="-","-",$A66&amp;"L"&amp;K$1)</f>
        <v>S31L2</v>
      </c>
      <c r="L66" s="4" t="str">
        <f t="shared" ref="L66:L129" si="46">IF(I66="sawmal","TerTal",IF(I66="sawmpi","TerTpi",IF(I66="sawmsp","TerTsp","")))</f>
        <v>TerTal</v>
      </c>
      <c r="M66" s="66">
        <v>9999</v>
      </c>
      <c r="N66" s="23" t="str">
        <f t="shared" ref="N66:N97" si="47">IF(K66="-","-",$A66&amp;"L"&amp;N$1)</f>
        <v>S31L3</v>
      </c>
      <c r="O66" s="4" t="str">
        <f t="shared" ref="O66:O97" si="48">IF(N66="-","-","TerHea")</f>
        <v>TerHea</v>
      </c>
      <c r="P66" s="66">
        <v>9999</v>
      </c>
      <c r="Q66" s="76" t="str">
        <f t="shared" ref="Q66:Q129" si="49">IF(N66="-","-","-")</f>
        <v>-</v>
      </c>
      <c r="R66" s="77" t="str">
        <f t="shared" si="42"/>
        <v>-</v>
      </c>
      <c r="S66" s="78">
        <f t="shared" ref="S66:S129" si="50">IF(Q66="-",0,MIN(G66*$J$164,1))</f>
        <v>0</v>
      </c>
    </row>
    <row r="67" spans="1:19" x14ac:dyDescent="0.25">
      <c r="A67" s="2" t="s">
        <v>434</v>
      </c>
      <c r="B67" s="2" t="str">
        <f t="shared" si="43"/>
        <v>S310</v>
      </c>
      <c r="C67" s="2">
        <v>5</v>
      </c>
      <c r="D67" s="60">
        <v>12</v>
      </c>
      <c r="E67" s="4">
        <v>6478256.2834999999</v>
      </c>
      <c r="F67" s="4">
        <v>544962.68830000004</v>
      </c>
      <c r="G67" s="2">
        <v>345</v>
      </c>
      <c r="H67" s="23" t="str">
        <f t="shared" ref="H67:H130" si="51">IF(OR(G67&gt;$G$165,I67="sawmbe"),$A67&amp;"L"&amp;H$1,"-")</f>
        <v>S310L1</v>
      </c>
      <c r="I67" s="4" t="s">
        <v>672</v>
      </c>
      <c r="J67" s="66">
        <f t="shared" si="44"/>
        <v>345</v>
      </c>
      <c r="K67" s="23" t="str">
        <f t="shared" si="45"/>
        <v>S310L2</v>
      </c>
      <c r="L67" s="4" t="str">
        <f t="shared" si="46"/>
        <v>TerTal</v>
      </c>
      <c r="M67" s="66">
        <v>9999</v>
      </c>
      <c r="N67" s="23" t="str">
        <f t="shared" si="47"/>
        <v>S310L3</v>
      </c>
      <c r="O67" s="4" t="str">
        <f t="shared" si="48"/>
        <v>TerHea</v>
      </c>
      <c r="P67" s="66">
        <v>9999</v>
      </c>
      <c r="Q67" s="76" t="str">
        <f t="shared" si="49"/>
        <v>-</v>
      </c>
      <c r="R67" s="77" t="str">
        <f t="shared" si="42"/>
        <v>-</v>
      </c>
      <c r="S67" s="78">
        <f t="shared" si="50"/>
        <v>0</v>
      </c>
    </row>
    <row r="68" spans="1:19" x14ac:dyDescent="0.25">
      <c r="A68" s="2" t="s">
        <v>435</v>
      </c>
      <c r="B68" s="2" t="str">
        <f t="shared" si="43"/>
        <v>S314</v>
      </c>
      <c r="C68" s="2">
        <v>8</v>
      </c>
      <c r="D68" s="60">
        <v>21</v>
      </c>
      <c r="E68" s="4">
        <v>6328853.2410000004</v>
      </c>
      <c r="F68" s="4">
        <v>592751.43059999996</v>
      </c>
      <c r="G68" s="2">
        <v>155</v>
      </c>
      <c r="H68" s="23" t="str">
        <f t="shared" si="51"/>
        <v>S314L1</v>
      </c>
      <c r="I68" s="4" t="s">
        <v>672</v>
      </c>
      <c r="J68" s="66">
        <f t="shared" si="44"/>
        <v>155</v>
      </c>
      <c r="K68" s="23" t="str">
        <f t="shared" si="45"/>
        <v>S314L2</v>
      </c>
      <c r="L68" s="4" t="str">
        <f t="shared" si="46"/>
        <v>TerTal</v>
      </c>
      <c r="M68" s="66">
        <v>9999</v>
      </c>
      <c r="N68" s="23" t="str">
        <f t="shared" si="47"/>
        <v>S314L3</v>
      </c>
      <c r="O68" s="4" t="str">
        <f t="shared" si="48"/>
        <v>TerHea</v>
      </c>
      <c r="P68" s="66">
        <v>9999</v>
      </c>
      <c r="Q68" s="76" t="str">
        <f t="shared" si="49"/>
        <v>-</v>
      </c>
      <c r="R68" s="77" t="str">
        <f t="shared" si="42"/>
        <v>-</v>
      </c>
      <c r="S68" s="78">
        <f t="shared" si="50"/>
        <v>0</v>
      </c>
    </row>
    <row r="69" spans="1:19" x14ac:dyDescent="0.25">
      <c r="A69" s="2" t="s">
        <v>436</v>
      </c>
      <c r="B69" s="2" t="str">
        <f t="shared" si="43"/>
        <v>S315</v>
      </c>
      <c r="C69" s="2">
        <v>25</v>
      </c>
      <c r="D69" s="60">
        <v>33</v>
      </c>
      <c r="E69" s="4">
        <v>7266929.6627000002</v>
      </c>
      <c r="F69" s="4">
        <v>790406.73849999998</v>
      </c>
      <c r="G69" s="2">
        <v>290</v>
      </c>
      <c r="H69" s="23" t="str">
        <f t="shared" si="51"/>
        <v>S315L1</v>
      </c>
      <c r="I69" s="4" t="s">
        <v>672</v>
      </c>
      <c r="J69" s="66">
        <f t="shared" si="44"/>
        <v>290</v>
      </c>
      <c r="K69" s="23" t="str">
        <f t="shared" si="45"/>
        <v>S315L2</v>
      </c>
      <c r="L69" s="4" t="str">
        <f t="shared" si="46"/>
        <v>TerTal</v>
      </c>
      <c r="M69" s="66">
        <v>9999</v>
      </c>
      <c r="N69" s="23" t="str">
        <f t="shared" si="47"/>
        <v>S315L3</v>
      </c>
      <c r="O69" s="4" t="str">
        <f t="shared" si="48"/>
        <v>TerHea</v>
      </c>
      <c r="P69" s="66">
        <v>9999</v>
      </c>
      <c r="Q69" s="76" t="str">
        <f t="shared" si="49"/>
        <v>-</v>
      </c>
      <c r="R69" s="77" t="str">
        <f t="shared" si="42"/>
        <v>-</v>
      </c>
      <c r="S69" s="78">
        <f t="shared" si="50"/>
        <v>0</v>
      </c>
    </row>
    <row r="70" spans="1:19" x14ac:dyDescent="0.25">
      <c r="A70" s="2" t="s">
        <v>437</v>
      </c>
      <c r="B70" s="2" t="str">
        <f t="shared" si="43"/>
        <v>S318</v>
      </c>
      <c r="C70" s="2">
        <v>20</v>
      </c>
      <c r="D70" s="60">
        <v>31</v>
      </c>
      <c r="E70" s="4">
        <v>6710600.7592000002</v>
      </c>
      <c r="F70" s="4">
        <v>504431.28639999998</v>
      </c>
      <c r="G70" s="2">
        <v>332</v>
      </c>
      <c r="H70" s="23" t="str">
        <f t="shared" si="51"/>
        <v>S318L1</v>
      </c>
      <c r="I70" s="4" t="s">
        <v>672</v>
      </c>
      <c r="J70" s="66">
        <f t="shared" si="44"/>
        <v>332</v>
      </c>
      <c r="K70" s="23" t="str">
        <f t="shared" si="45"/>
        <v>S318L2</v>
      </c>
      <c r="L70" s="4" t="str">
        <f t="shared" si="46"/>
        <v>TerTal</v>
      </c>
      <c r="M70" s="66">
        <v>9999</v>
      </c>
      <c r="N70" s="23" t="str">
        <f t="shared" si="47"/>
        <v>S318L3</v>
      </c>
      <c r="O70" s="4" t="str">
        <f t="shared" si="48"/>
        <v>TerHea</v>
      </c>
      <c r="P70" s="66">
        <v>9999</v>
      </c>
      <c r="Q70" s="76" t="str">
        <f t="shared" si="49"/>
        <v>-</v>
      </c>
      <c r="R70" s="77" t="str">
        <f t="shared" si="42"/>
        <v>-</v>
      </c>
      <c r="S70" s="78">
        <f t="shared" si="50"/>
        <v>0</v>
      </c>
    </row>
    <row r="71" spans="1:19" x14ac:dyDescent="0.25">
      <c r="A71" s="2" t="s">
        <v>438</v>
      </c>
      <c r="B71" s="2" t="str">
        <f t="shared" si="43"/>
        <v>S321</v>
      </c>
      <c r="C71" s="2">
        <v>6</v>
      </c>
      <c r="D71" s="60">
        <v>21</v>
      </c>
      <c r="E71" s="4">
        <v>6385814.3949999996</v>
      </c>
      <c r="F71" s="4">
        <v>528484.48759999999</v>
      </c>
      <c r="G71" s="2">
        <v>175</v>
      </c>
      <c r="H71" s="23" t="str">
        <f t="shared" si="51"/>
        <v>S321L1</v>
      </c>
      <c r="I71" s="4" t="s">
        <v>672</v>
      </c>
      <c r="J71" s="66">
        <f t="shared" si="44"/>
        <v>175</v>
      </c>
      <c r="K71" s="23" t="str">
        <f t="shared" si="45"/>
        <v>S321L2</v>
      </c>
      <c r="L71" s="4" t="str">
        <f t="shared" si="46"/>
        <v>TerTal</v>
      </c>
      <c r="M71" s="66">
        <v>9999</v>
      </c>
      <c r="N71" s="23" t="str">
        <f t="shared" si="47"/>
        <v>S321L3</v>
      </c>
      <c r="O71" s="4" t="str">
        <f t="shared" si="48"/>
        <v>TerHea</v>
      </c>
      <c r="P71" s="66">
        <v>9999</v>
      </c>
      <c r="Q71" s="76" t="str">
        <f t="shared" si="49"/>
        <v>-</v>
      </c>
      <c r="R71" s="77" t="str">
        <f t="shared" si="42"/>
        <v>-</v>
      </c>
      <c r="S71" s="78">
        <f t="shared" si="50"/>
        <v>0</v>
      </c>
    </row>
    <row r="72" spans="1:19" x14ac:dyDescent="0.25">
      <c r="A72" s="2" t="s">
        <v>439</v>
      </c>
      <c r="B72" s="2" t="str">
        <f t="shared" si="43"/>
        <v>S322</v>
      </c>
      <c r="C72" s="2">
        <v>19</v>
      </c>
      <c r="D72" s="60">
        <v>12</v>
      </c>
      <c r="E72" s="4">
        <v>6649670.4957999997</v>
      </c>
      <c r="F72" s="4">
        <v>545005.9939</v>
      </c>
      <c r="G72" s="2">
        <v>295</v>
      </c>
      <c r="H72" s="23" t="str">
        <f t="shared" si="51"/>
        <v>S322L1</v>
      </c>
      <c r="I72" s="4" t="s">
        <v>672</v>
      </c>
      <c r="J72" s="66">
        <f t="shared" si="44"/>
        <v>295</v>
      </c>
      <c r="K72" s="23" t="str">
        <f t="shared" si="45"/>
        <v>S322L2</v>
      </c>
      <c r="L72" s="4" t="str">
        <f t="shared" si="46"/>
        <v>TerTal</v>
      </c>
      <c r="M72" s="66">
        <v>9999</v>
      </c>
      <c r="N72" s="23" t="str">
        <f t="shared" si="47"/>
        <v>S322L3</v>
      </c>
      <c r="O72" s="4" t="str">
        <f t="shared" si="48"/>
        <v>TerHea</v>
      </c>
      <c r="P72" s="66">
        <v>9999</v>
      </c>
      <c r="Q72" s="76" t="str">
        <f t="shared" si="49"/>
        <v>-</v>
      </c>
      <c r="R72" s="77" t="str">
        <f t="shared" si="42"/>
        <v>-</v>
      </c>
      <c r="S72" s="78">
        <f t="shared" si="50"/>
        <v>0</v>
      </c>
    </row>
    <row r="73" spans="1:19" x14ac:dyDescent="0.25">
      <c r="A73" s="2" t="s">
        <v>440</v>
      </c>
      <c r="B73" s="2" t="str">
        <f t="shared" si="43"/>
        <v>S326</v>
      </c>
      <c r="C73" s="2">
        <v>24</v>
      </c>
      <c r="D73" s="60">
        <v>33</v>
      </c>
      <c r="E73" s="4">
        <v>7126566.0371000003</v>
      </c>
      <c r="F73" s="4">
        <v>568924.10419999994</v>
      </c>
      <c r="G73" s="2">
        <v>25</v>
      </c>
      <c r="H73" s="23" t="str">
        <f t="shared" si="51"/>
        <v>-</v>
      </c>
      <c r="I73" s="4" t="s">
        <v>672</v>
      </c>
      <c r="J73" s="66">
        <f t="shared" si="44"/>
        <v>0</v>
      </c>
      <c r="K73" s="23" t="str">
        <f t="shared" si="45"/>
        <v>-</v>
      </c>
      <c r="L73" s="4" t="str">
        <f t="shared" si="46"/>
        <v>TerTal</v>
      </c>
      <c r="M73" s="66">
        <v>9999</v>
      </c>
      <c r="N73" s="23" t="str">
        <f t="shared" si="47"/>
        <v>-</v>
      </c>
      <c r="O73" s="4" t="str">
        <f t="shared" si="48"/>
        <v>-</v>
      </c>
      <c r="P73" s="66">
        <v>9999</v>
      </c>
      <c r="Q73" s="76" t="str">
        <f t="shared" si="49"/>
        <v>-</v>
      </c>
      <c r="R73" s="77" t="str">
        <f t="shared" si="42"/>
        <v>-</v>
      </c>
      <c r="S73" s="78">
        <f t="shared" si="50"/>
        <v>0</v>
      </c>
    </row>
    <row r="74" spans="1:19" x14ac:dyDescent="0.25">
      <c r="A74" s="2" t="s">
        <v>365</v>
      </c>
      <c r="B74" s="2" t="str">
        <f t="shared" si="43"/>
        <v>S33</v>
      </c>
      <c r="C74" s="2">
        <v>8</v>
      </c>
      <c r="D74" s="60">
        <v>21</v>
      </c>
      <c r="E74" s="4">
        <v>6388874.3831000002</v>
      </c>
      <c r="F74" s="4">
        <v>551881.96939999994</v>
      </c>
      <c r="G74" s="2">
        <v>25</v>
      </c>
      <c r="H74" s="23" t="str">
        <f t="shared" si="51"/>
        <v>-</v>
      </c>
      <c r="I74" s="4" t="s">
        <v>672</v>
      </c>
      <c r="J74" s="66">
        <f t="shared" si="44"/>
        <v>0</v>
      </c>
      <c r="K74" s="23" t="str">
        <f t="shared" si="45"/>
        <v>-</v>
      </c>
      <c r="L74" s="4" t="str">
        <f t="shared" si="46"/>
        <v>TerTal</v>
      </c>
      <c r="M74" s="66">
        <v>9999</v>
      </c>
      <c r="N74" s="23" t="str">
        <f t="shared" si="47"/>
        <v>-</v>
      </c>
      <c r="O74" s="4" t="str">
        <f t="shared" si="48"/>
        <v>-</v>
      </c>
      <c r="P74" s="66">
        <v>9999</v>
      </c>
      <c r="Q74" s="76" t="str">
        <f t="shared" si="49"/>
        <v>-</v>
      </c>
      <c r="R74" s="77" t="str">
        <f t="shared" si="42"/>
        <v>-</v>
      </c>
      <c r="S74" s="78">
        <f t="shared" si="50"/>
        <v>0</v>
      </c>
    </row>
    <row r="75" spans="1:19" x14ac:dyDescent="0.25">
      <c r="A75" s="2" t="s">
        <v>441</v>
      </c>
      <c r="B75" s="2" t="str">
        <f t="shared" si="43"/>
        <v>S330</v>
      </c>
      <c r="C75" s="2">
        <v>8</v>
      </c>
      <c r="D75" s="60">
        <v>21</v>
      </c>
      <c r="E75" s="4">
        <v>6395881.5705000004</v>
      </c>
      <c r="F75" s="4">
        <v>559486.37210000004</v>
      </c>
      <c r="G75" s="2">
        <v>60</v>
      </c>
      <c r="H75" s="23" t="str">
        <f t="shared" si="51"/>
        <v>S330L1</v>
      </c>
      <c r="I75" s="4" t="s">
        <v>672</v>
      </c>
      <c r="J75" s="66">
        <f t="shared" si="44"/>
        <v>60</v>
      </c>
      <c r="K75" s="23" t="str">
        <f t="shared" si="45"/>
        <v>S330L2</v>
      </c>
      <c r="L75" s="4" t="str">
        <f t="shared" si="46"/>
        <v>TerTal</v>
      </c>
      <c r="M75" s="66">
        <v>9999</v>
      </c>
      <c r="N75" s="23" t="str">
        <f t="shared" si="47"/>
        <v>S330L3</v>
      </c>
      <c r="O75" s="4" t="str">
        <f t="shared" si="48"/>
        <v>TerHea</v>
      </c>
      <c r="P75" s="66">
        <v>9999</v>
      </c>
      <c r="Q75" s="76" t="str">
        <f t="shared" si="49"/>
        <v>-</v>
      </c>
      <c r="R75" s="77" t="str">
        <f t="shared" si="42"/>
        <v>-</v>
      </c>
      <c r="S75" s="78">
        <f t="shared" si="50"/>
        <v>0</v>
      </c>
    </row>
    <row r="76" spans="1:19" x14ac:dyDescent="0.25">
      <c r="A76" s="5" t="s">
        <v>442</v>
      </c>
      <c r="B76" s="2" t="str">
        <f t="shared" si="43"/>
        <v>S400</v>
      </c>
      <c r="C76" s="2">
        <v>21</v>
      </c>
      <c r="D76" s="60">
        <v>23</v>
      </c>
      <c r="E76" s="4" t="s">
        <v>548</v>
      </c>
      <c r="F76" s="4" t="s">
        <v>547</v>
      </c>
      <c r="G76" s="6">
        <v>360</v>
      </c>
      <c r="H76" s="23" t="str">
        <f t="shared" si="51"/>
        <v>S400L1</v>
      </c>
      <c r="I76" s="4" t="s">
        <v>672</v>
      </c>
      <c r="J76" s="66">
        <f t="shared" si="44"/>
        <v>360</v>
      </c>
      <c r="K76" s="23" t="str">
        <f t="shared" si="45"/>
        <v>S400L2</v>
      </c>
      <c r="L76" s="4" t="str">
        <f t="shared" si="46"/>
        <v>TerTal</v>
      </c>
      <c r="M76" s="66">
        <v>9999</v>
      </c>
      <c r="N76" s="23" t="str">
        <f t="shared" si="47"/>
        <v>S400L3</v>
      </c>
      <c r="O76" s="4" t="str">
        <f t="shared" si="48"/>
        <v>TerHea</v>
      </c>
      <c r="P76" s="66">
        <v>9999</v>
      </c>
      <c r="Q76" s="76" t="str">
        <f t="shared" si="49"/>
        <v>-</v>
      </c>
      <c r="R76" s="77" t="str">
        <f t="shared" si="42"/>
        <v>-</v>
      </c>
      <c r="S76" s="78">
        <f t="shared" si="50"/>
        <v>0</v>
      </c>
    </row>
    <row r="77" spans="1:19" x14ac:dyDescent="0.25">
      <c r="A77" s="7" t="s">
        <v>443</v>
      </c>
      <c r="B77" s="2" t="str">
        <f t="shared" si="43"/>
        <v>S401</v>
      </c>
      <c r="C77" s="2">
        <v>7</v>
      </c>
      <c r="D77" s="60">
        <v>21</v>
      </c>
      <c r="E77" s="4" t="s">
        <v>550</v>
      </c>
      <c r="F77" s="4" t="s">
        <v>549</v>
      </c>
      <c r="G77" s="8">
        <v>130</v>
      </c>
      <c r="H77" s="23" t="str">
        <f t="shared" si="51"/>
        <v>S401L1</v>
      </c>
      <c r="I77" s="4" t="s">
        <v>672</v>
      </c>
      <c r="J77" s="66">
        <f t="shared" si="44"/>
        <v>130</v>
      </c>
      <c r="K77" s="23" t="str">
        <f t="shared" si="45"/>
        <v>S401L2</v>
      </c>
      <c r="L77" s="4" t="str">
        <f t="shared" si="46"/>
        <v>TerTal</v>
      </c>
      <c r="M77" s="66">
        <v>9999</v>
      </c>
      <c r="N77" s="23" t="str">
        <f t="shared" si="47"/>
        <v>S401L3</v>
      </c>
      <c r="O77" s="4" t="str">
        <f t="shared" si="48"/>
        <v>TerHea</v>
      </c>
      <c r="P77" s="66">
        <v>9999</v>
      </c>
      <c r="Q77" s="76" t="str">
        <f t="shared" si="49"/>
        <v>-</v>
      </c>
      <c r="R77" s="77" t="str">
        <f t="shared" si="42"/>
        <v>-</v>
      </c>
      <c r="S77" s="78">
        <f t="shared" si="50"/>
        <v>0</v>
      </c>
    </row>
    <row r="78" spans="1:19" x14ac:dyDescent="0.25">
      <c r="A78" s="7" t="s">
        <v>444</v>
      </c>
      <c r="B78" s="2" t="str">
        <f t="shared" si="43"/>
        <v>S402</v>
      </c>
      <c r="C78" s="2">
        <v>14</v>
      </c>
      <c r="D78" s="60">
        <v>23</v>
      </c>
      <c r="E78" s="4" t="s">
        <v>552</v>
      </c>
      <c r="F78" s="4" t="s">
        <v>551</v>
      </c>
      <c r="G78" s="8">
        <v>100</v>
      </c>
      <c r="H78" s="23" t="str">
        <f t="shared" si="51"/>
        <v>S402L1</v>
      </c>
      <c r="I78" s="4" t="s">
        <v>672</v>
      </c>
      <c r="J78" s="66">
        <f t="shared" si="44"/>
        <v>100</v>
      </c>
      <c r="K78" s="23" t="str">
        <f t="shared" si="45"/>
        <v>S402L2</v>
      </c>
      <c r="L78" s="4" t="str">
        <f t="shared" si="46"/>
        <v>TerTal</v>
      </c>
      <c r="M78" s="66">
        <v>9999</v>
      </c>
      <c r="N78" s="23" t="str">
        <f t="shared" si="47"/>
        <v>S402L3</v>
      </c>
      <c r="O78" s="4" t="str">
        <f t="shared" si="48"/>
        <v>TerHea</v>
      </c>
      <c r="P78" s="66">
        <v>9999</v>
      </c>
      <c r="Q78" s="76" t="str">
        <f t="shared" si="49"/>
        <v>-</v>
      </c>
      <c r="R78" s="77" t="str">
        <f t="shared" si="42"/>
        <v>-</v>
      </c>
      <c r="S78" s="78">
        <f t="shared" si="50"/>
        <v>0</v>
      </c>
    </row>
    <row r="79" spans="1:19" x14ac:dyDescent="0.25">
      <c r="A79" s="7" t="s">
        <v>445</v>
      </c>
      <c r="B79" s="2" t="str">
        <f t="shared" si="43"/>
        <v>S403</v>
      </c>
      <c r="C79" s="2">
        <v>8</v>
      </c>
      <c r="D79" s="60">
        <v>21</v>
      </c>
      <c r="E79" s="4" t="s">
        <v>554</v>
      </c>
      <c r="F79" s="4" t="s">
        <v>553</v>
      </c>
      <c r="G79" s="8">
        <v>17</v>
      </c>
      <c r="H79" s="23" t="str">
        <f t="shared" si="51"/>
        <v>-</v>
      </c>
      <c r="I79" s="4" t="s">
        <v>672</v>
      </c>
      <c r="J79" s="66">
        <f t="shared" si="44"/>
        <v>0</v>
      </c>
      <c r="K79" s="23" t="str">
        <f t="shared" si="45"/>
        <v>-</v>
      </c>
      <c r="L79" s="4" t="str">
        <f t="shared" si="46"/>
        <v>TerTal</v>
      </c>
      <c r="M79" s="66">
        <v>9999</v>
      </c>
      <c r="N79" s="23" t="str">
        <f t="shared" si="47"/>
        <v>-</v>
      </c>
      <c r="O79" s="4" t="str">
        <f t="shared" si="48"/>
        <v>-</v>
      </c>
      <c r="P79" s="66">
        <v>9999</v>
      </c>
      <c r="Q79" s="76" t="str">
        <f t="shared" si="49"/>
        <v>-</v>
      </c>
      <c r="R79" s="77" t="str">
        <f t="shared" si="42"/>
        <v>-</v>
      </c>
      <c r="S79" s="78">
        <f t="shared" si="50"/>
        <v>0</v>
      </c>
    </row>
    <row r="80" spans="1:19" x14ac:dyDescent="0.25">
      <c r="A80" s="7" t="s">
        <v>446</v>
      </c>
      <c r="B80" s="2" t="str">
        <f t="shared" si="43"/>
        <v>S404</v>
      </c>
      <c r="C80" s="2">
        <v>22</v>
      </c>
      <c r="D80" s="60">
        <v>12</v>
      </c>
      <c r="E80" s="4" t="s">
        <v>556</v>
      </c>
      <c r="F80" s="4" t="s">
        <v>555</v>
      </c>
      <c r="G80" s="8">
        <v>230</v>
      </c>
      <c r="H80" s="23" t="str">
        <f t="shared" si="51"/>
        <v>S404L1</v>
      </c>
      <c r="I80" s="4" t="s">
        <v>672</v>
      </c>
      <c r="J80" s="66">
        <f t="shared" si="44"/>
        <v>230</v>
      </c>
      <c r="K80" s="23" t="str">
        <f t="shared" si="45"/>
        <v>S404L2</v>
      </c>
      <c r="L80" s="4" t="str">
        <f t="shared" si="46"/>
        <v>TerTal</v>
      </c>
      <c r="M80" s="66">
        <v>9999</v>
      </c>
      <c r="N80" s="23" t="str">
        <f t="shared" si="47"/>
        <v>S404L3</v>
      </c>
      <c r="O80" s="4" t="str">
        <f t="shared" si="48"/>
        <v>TerHea</v>
      </c>
      <c r="P80" s="66">
        <v>9999</v>
      </c>
      <c r="Q80" s="76" t="str">
        <f t="shared" si="49"/>
        <v>-</v>
      </c>
      <c r="R80" s="77" t="str">
        <f t="shared" si="42"/>
        <v>-</v>
      </c>
      <c r="S80" s="78">
        <f t="shared" si="50"/>
        <v>0</v>
      </c>
    </row>
    <row r="81" spans="1:19" x14ac:dyDescent="0.25">
      <c r="A81" s="7" t="s">
        <v>447</v>
      </c>
      <c r="B81" s="2" t="str">
        <f t="shared" si="43"/>
        <v>S405</v>
      </c>
      <c r="C81" s="2">
        <v>7</v>
      </c>
      <c r="D81" s="60">
        <v>21</v>
      </c>
      <c r="E81" s="4" t="s">
        <v>558</v>
      </c>
      <c r="F81" s="4" t="s">
        <v>557</v>
      </c>
      <c r="G81" s="2">
        <v>6</v>
      </c>
      <c r="H81" s="23" t="str">
        <f t="shared" si="51"/>
        <v>-</v>
      </c>
      <c r="I81" s="4" t="s">
        <v>672</v>
      </c>
      <c r="J81" s="66">
        <f t="shared" si="44"/>
        <v>0</v>
      </c>
      <c r="K81" s="23" t="str">
        <f t="shared" si="45"/>
        <v>-</v>
      </c>
      <c r="L81" s="4" t="str">
        <f t="shared" si="46"/>
        <v>TerTal</v>
      </c>
      <c r="M81" s="66">
        <v>9999</v>
      </c>
      <c r="N81" s="23" t="str">
        <f t="shared" si="47"/>
        <v>-</v>
      </c>
      <c r="O81" s="4" t="str">
        <f t="shared" si="48"/>
        <v>-</v>
      </c>
      <c r="P81" s="66">
        <v>9999</v>
      </c>
      <c r="Q81" s="76" t="str">
        <f t="shared" si="49"/>
        <v>-</v>
      </c>
      <c r="R81" s="77" t="str">
        <f t="shared" si="42"/>
        <v>-</v>
      </c>
      <c r="S81" s="78">
        <f t="shared" si="50"/>
        <v>0</v>
      </c>
    </row>
    <row r="82" spans="1:19" x14ac:dyDescent="0.25">
      <c r="A82" s="7" t="s">
        <v>448</v>
      </c>
      <c r="B82" s="2" t="str">
        <f t="shared" si="43"/>
        <v>S406</v>
      </c>
      <c r="C82" s="2">
        <v>6</v>
      </c>
      <c r="D82" s="60">
        <v>21</v>
      </c>
      <c r="E82" s="4" t="s">
        <v>560</v>
      </c>
      <c r="F82" s="4" t="s">
        <v>559</v>
      </c>
      <c r="G82" s="2">
        <v>150</v>
      </c>
      <c r="H82" s="23" t="str">
        <f t="shared" ref="H82" si="52">IF(OR(G82&gt;$G$165,I82="sawmbe"),$A82&amp;"L"&amp;H$1,"-")</f>
        <v>S406L1</v>
      </c>
      <c r="I82" s="4" t="s">
        <v>672</v>
      </c>
      <c r="J82" s="66">
        <f t="shared" ref="J82" si="53">IF(H82="-",0,G82*J$164)</f>
        <v>150</v>
      </c>
      <c r="K82" s="23" t="str">
        <f t="shared" ref="K82" si="54">IF(H82="-","-",$A82&amp;"L"&amp;K$1)</f>
        <v>S406L2</v>
      </c>
      <c r="L82" s="4" t="str">
        <f t="shared" ref="L82" si="55">IF(I82="sawmal","TerTal",IF(I82="sawmpi","TerTpi",IF(I82="sawmsp","TerTsp","")))</f>
        <v>TerTal</v>
      </c>
      <c r="M82" s="66">
        <v>9999</v>
      </c>
      <c r="N82" s="23" t="str">
        <f t="shared" ref="N82" si="56">IF(K82="-","-",$A82&amp;"L"&amp;N$1)</f>
        <v>S406L3</v>
      </c>
      <c r="O82" s="4" t="str">
        <f t="shared" ref="O82" si="57">IF(N82="-","-","TerHea")</f>
        <v>TerHea</v>
      </c>
      <c r="P82" s="66">
        <v>9999</v>
      </c>
      <c r="Q82" s="76" t="str">
        <f t="shared" si="49"/>
        <v>-</v>
      </c>
      <c r="R82" s="77" t="str">
        <f t="shared" si="42"/>
        <v>-</v>
      </c>
      <c r="S82" s="78">
        <f t="shared" si="50"/>
        <v>0</v>
      </c>
    </row>
    <row r="83" spans="1:19" x14ac:dyDescent="0.25">
      <c r="A83" s="7" t="s">
        <v>449</v>
      </c>
      <c r="B83" s="2" t="str">
        <f t="shared" si="43"/>
        <v>S407</v>
      </c>
      <c r="C83" s="2">
        <v>6</v>
      </c>
      <c r="D83" s="60">
        <v>21</v>
      </c>
      <c r="E83" s="4" t="s">
        <v>562</v>
      </c>
      <c r="F83" s="4" t="s">
        <v>561</v>
      </c>
      <c r="G83" s="2">
        <v>100</v>
      </c>
      <c r="H83" s="23" t="str">
        <f t="shared" si="51"/>
        <v>S407L1</v>
      </c>
      <c r="I83" s="4" t="s">
        <v>672</v>
      </c>
      <c r="J83" s="66">
        <f t="shared" si="44"/>
        <v>100</v>
      </c>
      <c r="K83" s="23" t="str">
        <f t="shared" si="45"/>
        <v>S407L2</v>
      </c>
      <c r="L83" s="4" t="str">
        <f t="shared" si="46"/>
        <v>TerTal</v>
      </c>
      <c r="M83" s="66">
        <v>9999</v>
      </c>
      <c r="N83" s="23" t="str">
        <f t="shared" si="47"/>
        <v>S407L3</v>
      </c>
      <c r="O83" s="4" t="str">
        <f t="shared" si="48"/>
        <v>TerHea</v>
      </c>
      <c r="P83" s="66">
        <v>9999</v>
      </c>
      <c r="Q83" s="76" t="str">
        <f t="shared" si="49"/>
        <v>-</v>
      </c>
      <c r="R83" s="77" t="str">
        <f t="shared" si="42"/>
        <v>-</v>
      </c>
      <c r="S83" s="78">
        <f t="shared" si="50"/>
        <v>0</v>
      </c>
    </row>
    <row r="84" spans="1:19" x14ac:dyDescent="0.25">
      <c r="A84" s="7" t="s">
        <v>450</v>
      </c>
      <c r="B84" s="2" t="str">
        <f t="shared" si="43"/>
        <v>S408</v>
      </c>
      <c r="C84" s="2">
        <v>6</v>
      </c>
      <c r="D84" s="60">
        <v>21</v>
      </c>
      <c r="E84" s="4" t="s">
        <v>564</v>
      </c>
      <c r="F84" s="4" t="s">
        <v>563</v>
      </c>
      <c r="G84" s="9">
        <v>0</v>
      </c>
      <c r="H84" s="23" t="str">
        <f t="shared" si="51"/>
        <v>-</v>
      </c>
      <c r="I84" s="4" t="s">
        <v>672</v>
      </c>
      <c r="J84" s="66">
        <f t="shared" si="44"/>
        <v>0</v>
      </c>
      <c r="K84" s="23" t="str">
        <f t="shared" si="45"/>
        <v>-</v>
      </c>
      <c r="L84" s="4" t="str">
        <f t="shared" si="46"/>
        <v>TerTal</v>
      </c>
      <c r="M84" s="66">
        <v>9999</v>
      </c>
      <c r="N84" s="23" t="str">
        <f t="shared" si="47"/>
        <v>-</v>
      </c>
      <c r="O84" s="4" t="str">
        <f t="shared" si="48"/>
        <v>-</v>
      </c>
      <c r="P84" s="66">
        <v>9999</v>
      </c>
      <c r="Q84" s="76" t="str">
        <f t="shared" si="49"/>
        <v>-</v>
      </c>
      <c r="R84" s="77" t="str">
        <f t="shared" si="42"/>
        <v>-</v>
      </c>
      <c r="S84" s="78">
        <f t="shared" si="50"/>
        <v>0</v>
      </c>
    </row>
    <row r="85" spans="1:19" x14ac:dyDescent="0.25">
      <c r="A85" s="7" t="s">
        <v>451</v>
      </c>
      <c r="B85" s="2" t="str">
        <f t="shared" si="43"/>
        <v>S409</v>
      </c>
      <c r="C85" s="2">
        <v>12</v>
      </c>
      <c r="D85" s="60">
        <v>22</v>
      </c>
      <c r="E85" s="4" t="s">
        <v>566</v>
      </c>
      <c r="F85" s="4" t="s">
        <v>565</v>
      </c>
      <c r="G85" s="2">
        <v>75</v>
      </c>
      <c r="H85" s="23" t="str">
        <f t="shared" si="51"/>
        <v>S409L1</v>
      </c>
      <c r="I85" s="4" t="s">
        <v>672</v>
      </c>
      <c r="J85" s="66">
        <f t="shared" si="44"/>
        <v>75</v>
      </c>
      <c r="K85" s="23" t="str">
        <f t="shared" si="45"/>
        <v>S409L2</v>
      </c>
      <c r="L85" s="4" t="str">
        <f t="shared" si="46"/>
        <v>TerTal</v>
      </c>
      <c r="M85" s="66">
        <v>9999</v>
      </c>
      <c r="N85" s="23" t="str">
        <f t="shared" si="47"/>
        <v>S409L3</v>
      </c>
      <c r="O85" s="4" t="str">
        <f t="shared" si="48"/>
        <v>TerHea</v>
      </c>
      <c r="P85" s="66">
        <v>9999</v>
      </c>
      <c r="Q85" s="76" t="str">
        <f t="shared" si="49"/>
        <v>-</v>
      </c>
      <c r="R85" s="77" t="str">
        <f t="shared" si="42"/>
        <v>-</v>
      </c>
      <c r="S85" s="78">
        <f t="shared" si="50"/>
        <v>0</v>
      </c>
    </row>
    <row r="86" spans="1:19" x14ac:dyDescent="0.25">
      <c r="A86" s="7" t="s">
        <v>452</v>
      </c>
      <c r="B86" s="2" t="str">
        <f t="shared" si="43"/>
        <v>S410</v>
      </c>
      <c r="C86" s="2">
        <v>7</v>
      </c>
      <c r="D86" s="60">
        <v>21</v>
      </c>
      <c r="E86" s="4" t="s">
        <v>568</v>
      </c>
      <c r="F86" s="4" t="s">
        <v>567</v>
      </c>
      <c r="G86" s="10">
        <v>0</v>
      </c>
      <c r="H86" s="23" t="str">
        <f t="shared" si="51"/>
        <v>-</v>
      </c>
      <c r="I86" s="4" t="s">
        <v>672</v>
      </c>
      <c r="J86" s="66">
        <f t="shared" si="44"/>
        <v>0</v>
      </c>
      <c r="K86" s="23" t="str">
        <f t="shared" si="45"/>
        <v>-</v>
      </c>
      <c r="L86" s="4" t="str">
        <f t="shared" si="46"/>
        <v>TerTal</v>
      </c>
      <c r="M86" s="66">
        <v>9999</v>
      </c>
      <c r="N86" s="23" t="str">
        <f t="shared" si="47"/>
        <v>-</v>
      </c>
      <c r="O86" s="4" t="str">
        <f t="shared" si="48"/>
        <v>-</v>
      </c>
      <c r="P86" s="66">
        <v>9999</v>
      </c>
      <c r="Q86" s="76" t="str">
        <f t="shared" si="49"/>
        <v>-</v>
      </c>
      <c r="R86" s="77" t="str">
        <f t="shared" si="42"/>
        <v>-</v>
      </c>
      <c r="S86" s="78">
        <f t="shared" si="50"/>
        <v>0</v>
      </c>
    </row>
    <row r="87" spans="1:19" x14ac:dyDescent="0.25">
      <c r="A87" s="7" t="s">
        <v>453</v>
      </c>
      <c r="B87" s="2" t="str">
        <f t="shared" si="43"/>
        <v>S411</v>
      </c>
      <c r="C87" s="2">
        <v>20</v>
      </c>
      <c r="D87" s="60">
        <v>31</v>
      </c>
      <c r="E87" s="4" t="s">
        <v>570</v>
      </c>
      <c r="F87" s="4" t="s">
        <v>569</v>
      </c>
      <c r="G87" s="8">
        <v>65</v>
      </c>
      <c r="H87" s="23" t="str">
        <f t="shared" si="51"/>
        <v>S411L1</v>
      </c>
      <c r="I87" s="4" t="s">
        <v>672</v>
      </c>
      <c r="J87" s="66">
        <f t="shared" si="44"/>
        <v>65</v>
      </c>
      <c r="K87" s="23" t="str">
        <f t="shared" si="45"/>
        <v>S411L2</v>
      </c>
      <c r="L87" s="4" t="str">
        <f t="shared" si="46"/>
        <v>TerTal</v>
      </c>
      <c r="M87" s="66">
        <v>9999</v>
      </c>
      <c r="N87" s="23" t="str">
        <f t="shared" si="47"/>
        <v>S411L3</v>
      </c>
      <c r="O87" s="4" t="str">
        <f t="shared" si="48"/>
        <v>TerHea</v>
      </c>
      <c r="P87" s="66">
        <v>9999</v>
      </c>
      <c r="Q87" s="76" t="str">
        <f t="shared" si="49"/>
        <v>-</v>
      </c>
      <c r="R87" s="77" t="str">
        <f t="shared" si="42"/>
        <v>-</v>
      </c>
      <c r="S87" s="78">
        <f t="shared" si="50"/>
        <v>0</v>
      </c>
    </row>
    <row r="88" spans="1:19" x14ac:dyDescent="0.25">
      <c r="A88" s="7" t="s">
        <v>454</v>
      </c>
      <c r="B88" s="2" t="str">
        <f t="shared" si="43"/>
        <v>S412</v>
      </c>
      <c r="C88" s="2">
        <v>8</v>
      </c>
      <c r="D88" s="60">
        <v>21</v>
      </c>
      <c r="E88" s="4" t="s">
        <v>572</v>
      </c>
      <c r="F88" s="4" t="s">
        <v>571</v>
      </c>
      <c r="G88" s="8">
        <v>30</v>
      </c>
      <c r="H88" s="23" t="str">
        <f t="shared" si="51"/>
        <v>-</v>
      </c>
      <c r="I88" s="4" t="s">
        <v>672</v>
      </c>
      <c r="J88" s="66">
        <f t="shared" si="44"/>
        <v>0</v>
      </c>
      <c r="K88" s="23" t="str">
        <f t="shared" si="45"/>
        <v>-</v>
      </c>
      <c r="L88" s="4" t="str">
        <f t="shared" si="46"/>
        <v>TerTal</v>
      </c>
      <c r="M88" s="66">
        <v>9999</v>
      </c>
      <c r="N88" s="23" t="str">
        <f t="shared" si="47"/>
        <v>-</v>
      </c>
      <c r="O88" s="4" t="str">
        <f t="shared" si="48"/>
        <v>-</v>
      </c>
      <c r="P88" s="66">
        <v>9999</v>
      </c>
      <c r="Q88" s="76" t="str">
        <f t="shared" si="49"/>
        <v>-</v>
      </c>
      <c r="R88" s="77" t="str">
        <f t="shared" si="42"/>
        <v>-</v>
      </c>
      <c r="S88" s="78">
        <f t="shared" si="50"/>
        <v>0</v>
      </c>
    </row>
    <row r="89" spans="1:19" x14ac:dyDescent="0.25">
      <c r="A89" s="7" t="s">
        <v>455</v>
      </c>
      <c r="B89" s="2" t="str">
        <f t="shared" si="43"/>
        <v>S413</v>
      </c>
      <c r="C89" s="2">
        <v>20</v>
      </c>
      <c r="D89" s="60">
        <v>31</v>
      </c>
      <c r="E89" s="4" t="s">
        <v>574</v>
      </c>
      <c r="F89" s="4" t="s">
        <v>573</v>
      </c>
      <c r="G89" s="8">
        <v>200</v>
      </c>
      <c r="H89" s="23" t="str">
        <f t="shared" si="51"/>
        <v>S413L1</v>
      </c>
      <c r="I89" s="4" t="s">
        <v>672</v>
      </c>
      <c r="J89" s="66">
        <f t="shared" si="44"/>
        <v>200</v>
      </c>
      <c r="K89" s="23" t="str">
        <f t="shared" si="45"/>
        <v>S413L2</v>
      </c>
      <c r="L89" s="4" t="str">
        <f t="shared" si="46"/>
        <v>TerTal</v>
      </c>
      <c r="M89" s="66">
        <v>9999</v>
      </c>
      <c r="N89" s="23" t="str">
        <f t="shared" si="47"/>
        <v>S413L3</v>
      </c>
      <c r="O89" s="4" t="str">
        <f t="shared" si="48"/>
        <v>TerHea</v>
      </c>
      <c r="P89" s="66">
        <v>9999</v>
      </c>
      <c r="Q89" s="76" t="str">
        <f t="shared" si="49"/>
        <v>-</v>
      </c>
      <c r="R89" s="77" t="str">
        <f t="shared" si="42"/>
        <v>-</v>
      </c>
      <c r="S89" s="78">
        <f t="shared" si="50"/>
        <v>0</v>
      </c>
    </row>
    <row r="90" spans="1:19" x14ac:dyDescent="0.25">
      <c r="A90" s="7" t="s">
        <v>456</v>
      </c>
      <c r="B90" s="2" t="str">
        <f t="shared" si="43"/>
        <v>S414</v>
      </c>
      <c r="C90" s="2">
        <v>20</v>
      </c>
      <c r="D90" s="60">
        <v>31</v>
      </c>
      <c r="E90" s="4" t="s">
        <v>576</v>
      </c>
      <c r="F90" s="4" t="s">
        <v>575</v>
      </c>
      <c r="G90" s="8">
        <v>40</v>
      </c>
      <c r="H90" s="23" t="str">
        <f t="shared" si="51"/>
        <v>-</v>
      </c>
      <c r="I90" s="4" t="s">
        <v>672</v>
      </c>
      <c r="J90" s="66">
        <f t="shared" si="44"/>
        <v>0</v>
      </c>
      <c r="K90" s="23" t="str">
        <f t="shared" si="45"/>
        <v>-</v>
      </c>
      <c r="L90" s="4" t="str">
        <f t="shared" si="46"/>
        <v>TerTal</v>
      </c>
      <c r="M90" s="66">
        <v>9999</v>
      </c>
      <c r="N90" s="23" t="str">
        <f t="shared" si="47"/>
        <v>-</v>
      </c>
      <c r="O90" s="4" t="str">
        <f t="shared" si="48"/>
        <v>-</v>
      </c>
      <c r="P90" s="66">
        <v>9999</v>
      </c>
      <c r="Q90" s="76" t="str">
        <f t="shared" si="49"/>
        <v>-</v>
      </c>
      <c r="R90" s="77" t="str">
        <f t="shared" si="42"/>
        <v>-</v>
      </c>
      <c r="S90" s="78">
        <f t="shared" si="50"/>
        <v>0</v>
      </c>
    </row>
    <row r="91" spans="1:19" x14ac:dyDescent="0.25">
      <c r="A91" s="7" t="s">
        <v>457</v>
      </c>
      <c r="B91" s="2" t="str">
        <f t="shared" si="43"/>
        <v>S415</v>
      </c>
      <c r="C91" s="2">
        <v>5</v>
      </c>
      <c r="D91" s="60">
        <v>12</v>
      </c>
      <c r="E91" s="4" t="s">
        <v>578</v>
      </c>
      <c r="F91" s="4" t="s">
        <v>577</v>
      </c>
      <c r="G91" s="8">
        <v>400</v>
      </c>
      <c r="H91" s="23" t="str">
        <f t="shared" si="51"/>
        <v>S415L1</v>
      </c>
      <c r="I91" s="4" t="s">
        <v>672</v>
      </c>
      <c r="J91" s="66">
        <f t="shared" si="44"/>
        <v>400</v>
      </c>
      <c r="K91" s="23" t="str">
        <f t="shared" si="45"/>
        <v>S415L2</v>
      </c>
      <c r="L91" s="4" t="str">
        <f t="shared" si="46"/>
        <v>TerTal</v>
      </c>
      <c r="M91" s="66">
        <v>9999</v>
      </c>
      <c r="N91" s="23" t="str">
        <f t="shared" si="47"/>
        <v>S415L3</v>
      </c>
      <c r="O91" s="4" t="str">
        <f t="shared" si="48"/>
        <v>TerHea</v>
      </c>
      <c r="P91" s="66">
        <v>9999</v>
      </c>
      <c r="Q91" s="76" t="str">
        <f t="shared" si="49"/>
        <v>-</v>
      </c>
      <c r="R91" s="77" t="str">
        <f t="shared" si="42"/>
        <v>-</v>
      </c>
      <c r="S91" s="78">
        <f t="shared" si="50"/>
        <v>0</v>
      </c>
    </row>
    <row r="92" spans="1:19" x14ac:dyDescent="0.25">
      <c r="A92" s="7" t="s">
        <v>458</v>
      </c>
      <c r="B92" s="2" t="str">
        <f t="shared" si="43"/>
        <v>S416</v>
      </c>
      <c r="C92" s="2">
        <v>6</v>
      </c>
      <c r="D92" s="60">
        <v>21</v>
      </c>
      <c r="E92" s="4" t="s">
        <v>580</v>
      </c>
      <c r="F92" s="4" t="s">
        <v>579</v>
      </c>
      <c r="G92" s="8">
        <v>200</v>
      </c>
      <c r="H92" s="23" t="str">
        <f t="shared" si="51"/>
        <v>S416L1</v>
      </c>
      <c r="I92" s="4" t="s">
        <v>672</v>
      </c>
      <c r="J92" s="66">
        <f t="shared" si="44"/>
        <v>200</v>
      </c>
      <c r="K92" s="23" t="str">
        <f t="shared" si="45"/>
        <v>S416L2</v>
      </c>
      <c r="L92" s="4" t="str">
        <f t="shared" si="46"/>
        <v>TerTal</v>
      </c>
      <c r="M92" s="66">
        <v>9999</v>
      </c>
      <c r="N92" s="23" t="str">
        <f t="shared" si="47"/>
        <v>S416L3</v>
      </c>
      <c r="O92" s="4" t="str">
        <f t="shared" si="48"/>
        <v>TerHea</v>
      </c>
      <c r="P92" s="66">
        <v>9999</v>
      </c>
      <c r="Q92" s="76" t="str">
        <f t="shared" si="49"/>
        <v>-</v>
      </c>
      <c r="R92" s="77" t="str">
        <f t="shared" si="42"/>
        <v>-</v>
      </c>
      <c r="S92" s="78">
        <f t="shared" si="50"/>
        <v>0</v>
      </c>
    </row>
    <row r="93" spans="1:19" x14ac:dyDescent="0.25">
      <c r="A93" s="7" t="s">
        <v>459</v>
      </c>
      <c r="B93" s="2" t="str">
        <f t="shared" si="43"/>
        <v>S417</v>
      </c>
      <c r="C93" s="2">
        <v>17</v>
      </c>
      <c r="D93" s="60">
        <v>31</v>
      </c>
      <c r="E93" s="4" t="s">
        <v>582</v>
      </c>
      <c r="F93" s="4" t="s">
        <v>581</v>
      </c>
      <c r="G93" s="8">
        <v>40</v>
      </c>
      <c r="H93" s="23" t="str">
        <f t="shared" si="51"/>
        <v>-</v>
      </c>
      <c r="I93" s="4" t="s">
        <v>672</v>
      </c>
      <c r="J93" s="66">
        <f t="shared" si="44"/>
        <v>0</v>
      </c>
      <c r="K93" s="23" t="str">
        <f t="shared" si="45"/>
        <v>-</v>
      </c>
      <c r="L93" s="4" t="str">
        <f t="shared" si="46"/>
        <v>TerTal</v>
      </c>
      <c r="M93" s="66">
        <v>9999</v>
      </c>
      <c r="N93" s="23" t="str">
        <f t="shared" si="47"/>
        <v>-</v>
      </c>
      <c r="O93" s="4" t="str">
        <f t="shared" si="48"/>
        <v>-</v>
      </c>
      <c r="P93" s="66">
        <v>9999</v>
      </c>
      <c r="Q93" s="76" t="str">
        <f t="shared" si="49"/>
        <v>-</v>
      </c>
      <c r="R93" s="77" t="str">
        <f t="shared" si="42"/>
        <v>-</v>
      </c>
      <c r="S93" s="78">
        <f t="shared" si="50"/>
        <v>0</v>
      </c>
    </row>
    <row r="94" spans="1:19" x14ac:dyDescent="0.25">
      <c r="A94" s="7" t="s">
        <v>460</v>
      </c>
      <c r="B94" s="2" t="str">
        <f t="shared" si="43"/>
        <v>S418</v>
      </c>
      <c r="C94" s="2">
        <v>12</v>
      </c>
      <c r="D94" s="60">
        <v>22</v>
      </c>
      <c r="E94" s="4" t="s">
        <v>584</v>
      </c>
      <c r="F94" s="4" t="s">
        <v>583</v>
      </c>
      <c r="G94" s="8">
        <v>30</v>
      </c>
      <c r="H94" s="23" t="str">
        <f t="shared" si="51"/>
        <v>-</v>
      </c>
      <c r="I94" s="4" t="s">
        <v>672</v>
      </c>
      <c r="J94" s="66">
        <f t="shared" si="44"/>
        <v>0</v>
      </c>
      <c r="K94" s="23" t="str">
        <f t="shared" si="45"/>
        <v>-</v>
      </c>
      <c r="L94" s="4" t="str">
        <f t="shared" si="46"/>
        <v>TerTal</v>
      </c>
      <c r="M94" s="66">
        <v>9999</v>
      </c>
      <c r="N94" s="23" t="str">
        <f t="shared" si="47"/>
        <v>-</v>
      </c>
      <c r="O94" s="4" t="str">
        <f t="shared" si="48"/>
        <v>-</v>
      </c>
      <c r="P94" s="66">
        <v>9999</v>
      </c>
      <c r="Q94" s="76" t="str">
        <f t="shared" si="49"/>
        <v>-</v>
      </c>
      <c r="R94" s="77" t="str">
        <f t="shared" si="42"/>
        <v>-</v>
      </c>
      <c r="S94" s="78">
        <f t="shared" si="50"/>
        <v>0</v>
      </c>
    </row>
    <row r="95" spans="1:19" x14ac:dyDescent="0.25">
      <c r="A95" s="7" t="s">
        <v>461</v>
      </c>
      <c r="B95" s="2" t="str">
        <f t="shared" si="43"/>
        <v>S419</v>
      </c>
      <c r="C95" s="2">
        <v>21</v>
      </c>
      <c r="D95" s="60">
        <v>31</v>
      </c>
      <c r="E95" s="4" t="s">
        <v>586</v>
      </c>
      <c r="F95" s="4" t="s">
        <v>585</v>
      </c>
      <c r="G95" s="8">
        <v>14</v>
      </c>
      <c r="H95" s="23" t="str">
        <f t="shared" si="51"/>
        <v>S419L1</v>
      </c>
      <c r="I95" s="4" t="s">
        <v>797</v>
      </c>
      <c r="J95" s="66">
        <f t="shared" si="44"/>
        <v>14</v>
      </c>
      <c r="K95" s="23" t="str">
        <f t="shared" si="45"/>
        <v>S419L2</v>
      </c>
      <c r="L95" s="4" t="str">
        <f t="shared" si="46"/>
        <v/>
      </c>
      <c r="M95" s="66">
        <v>9999</v>
      </c>
      <c r="N95" s="23" t="str">
        <f t="shared" si="47"/>
        <v>S419L3</v>
      </c>
      <c r="O95" s="4" t="str">
        <f t="shared" si="48"/>
        <v>TerHea</v>
      </c>
      <c r="P95" s="66">
        <v>9999</v>
      </c>
      <c r="Q95" s="76" t="str">
        <f t="shared" si="49"/>
        <v>-</v>
      </c>
      <c r="R95" s="77" t="str">
        <f t="shared" si="42"/>
        <v>-</v>
      </c>
      <c r="S95" s="78">
        <f t="shared" si="50"/>
        <v>0</v>
      </c>
    </row>
    <row r="96" spans="1:19" x14ac:dyDescent="0.25">
      <c r="A96" s="7" t="s">
        <v>462</v>
      </c>
      <c r="B96" s="2" t="str">
        <f t="shared" si="43"/>
        <v>S420</v>
      </c>
      <c r="C96" s="2">
        <v>13</v>
      </c>
      <c r="D96" s="60">
        <v>23</v>
      </c>
      <c r="E96" s="4" t="s">
        <v>588</v>
      </c>
      <c r="F96" s="4" t="s">
        <v>587</v>
      </c>
      <c r="G96" s="8">
        <v>125</v>
      </c>
      <c r="H96" s="23" t="str">
        <f t="shared" si="51"/>
        <v>S420L1</v>
      </c>
      <c r="I96" s="4" t="s">
        <v>672</v>
      </c>
      <c r="J96" s="66">
        <f t="shared" si="44"/>
        <v>125</v>
      </c>
      <c r="K96" s="23" t="str">
        <f t="shared" si="45"/>
        <v>S420L2</v>
      </c>
      <c r="L96" s="4" t="str">
        <f t="shared" si="46"/>
        <v>TerTal</v>
      </c>
      <c r="M96" s="66">
        <v>9999</v>
      </c>
      <c r="N96" s="23" t="str">
        <f t="shared" si="47"/>
        <v>S420L3</v>
      </c>
      <c r="O96" s="4" t="str">
        <f t="shared" si="48"/>
        <v>TerHea</v>
      </c>
      <c r="P96" s="66">
        <v>9999</v>
      </c>
      <c r="Q96" s="76" t="str">
        <f t="shared" si="49"/>
        <v>-</v>
      </c>
      <c r="R96" s="77" t="str">
        <f t="shared" si="42"/>
        <v>-</v>
      </c>
      <c r="S96" s="78">
        <f t="shared" si="50"/>
        <v>0</v>
      </c>
    </row>
    <row r="97" spans="1:19" x14ac:dyDescent="0.25">
      <c r="A97" s="7" t="s">
        <v>463</v>
      </c>
      <c r="B97" s="2" t="str">
        <f t="shared" si="43"/>
        <v>S421</v>
      </c>
      <c r="C97" s="2">
        <v>22</v>
      </c>
      <c r="D97" s="60">
        <v>12</v>
      </c>
      <c r="E97" s="4" t="s">
        <v>590</v>
      </c>
      <c r="F97" s="4" t="s">
        <v>589</v>
      </c>
      <c r="G97" s="8">
        <v>30</v>
      </c>
      <c r="H97" s="23" t="str">
        <f t="shared" si="51"/>
        <v>-</v>
      </c>
      <c r="I97" s="4" t="s">
        <v>672</v>
      </c>
      <c r="J97" s="66">
        <f t="shared" si="44"/>
        <v>0</v>
      </c>
      <c r="K97" s="23" t="str">
        <f t="shared" si="45"/>
        <v>-</v>
      </c>
      <c r="L97" s="4" t="str">
        <f t="shared" si="46"/>
        <v>TerTal</v>
      </c>
      <c r="M97" s="66">
        <v>9999</v>
      </c>
      <c r="N97" s="23" t="str">
        <f t="shared" si="47"/>
        <v>-</v>
      </c>
      <c r="O97" s="4" t="str">
        <f t="shared" si="48"/>
        <v>-</v>
      </c>
      <c r="P97" s="66">
        <v>9999</v>
      </c>
      <c r="Q97" s="76" t="str">
        <f t="shared" si="49"/>
        <v>-</v>
      </c>
      <c r="R97" s="77" t="str">
        <f t="shared" si="42"/>
        <v>-</v>
      </c>
      <c r="S97" s="78">
        <f t="shared" si="50"/>
        <v>0</v>
      </c>
    </row>
    <row r="98" spans="1:19" x14ac:dyDescent="0.25">
      <c r="A98" s="7" t="s">
        <v>464</v>
      </c>
      <c r="B98" s="2" t="str">
        <f t="shared" ref="B98:B129" si="58">A98</f>
        <v>S422</v>
      </c>
      <c r="C98" s="2">
        <v>20</v>
      </c>
      <c r="D98" s="60">
        <v>31</v>
      </c>
      <c r="E98" s="4" t="s">
        <v>592</v>
      </c>
      <c r="F98" s="4" t="s">
        <v>591</v>
      </c>
      <c r="G98" s="6">
        <v>335</v>
      </c>
      <c r="H98" s="23" t="str">
        <f t="shared" si="51"/>
        <v>S422L1</v>
      </c>
      <c r="I98" s="4" t="s">
        <v>672</v>
      </c>
      <c r="J98" s="66">
        <f t="shared" ref="J98:J129" si="59">IF(H98="-",0,G98*J$164)</f>
        <v>335</v>
      </c>
      <c r="K98" s="23" t="str">
        <f t="shared" ref="K98:K129" si="60">IF(H98="-","-",$A98&amp;"L"&amp;K$1)</f>
        <v>S422L2</v>
      </c>
      <c r="L98" s="4" t="str">
        <f t="shared" si="46"/>
        <v>TerTal</v>
      </c>
      <c r="M98" s="66">
        <v>9999</v>
      </c>
      <c r="N98" s="23" t="str">
        <f t="shared" ref="N98:N129" si="61">IF(K98="-","-",$A98&amp;"L"&amp;N$1)</f>
        <v>S422L3</v>
      </c>
      <c r="O98" s="4" t="str">
        <f t="shared" ref="O98:O129" si="62">IF(N98="-","-","TerHea")</f>
        <v>TerHea</v>
      </c>
      <c r="P98" s="66">
        <v>9999</v>
      </c>
      <c r="Q98" s="76" t="str">
        <f t="shared" si="49"/>
        <v>-</v>
      </c>
      <c r="R98" s="77" t="str">
        <f t="shared" si="42"/>
        <v>-</v>
      </c>
      <c r="S98" s="78">
        <f t="shared" si="50"/>
        <v>0</v>
      </c>
    </row>
    <row r="99" spans="1:19" x14ac:dyDescent="0.25">
      <c r="A99" s="7" t="s">
        <v>465</v>
      </c>
      <c r="B99" s="2" t="str">
        <f t="shared" si="58"/>
        <v>S423</v>
      </c>
      <c r="C99" s="2">
        <v>21</v>
      </c>
      <c r="D99" s="60">
        <v>31</v>
      </c>
      <c r="E99" s="4" t="s">
        <v>594</v>
      </c>
      <c r="F99" s="4" t="s">
        <v>593</v>
      </c>
      <c r="G99" s="8">
        <v>150</v>
      </c>
      <c r="H99" s="23" t="str">
        <f t="shared" si="51"/>
        <v>S423L1</v>
      </c>
      <c r="I99" s="4" t="s">
        <v>672</v>
      </c>
      <c r="J99" s="66">
        <f t="shared" si="59"/>
        <v>150</v>
      </c>
      <c r="K99" s="23" t="str">
        <f t="shared" si="60"/>
        <v>S423L2</v>
      </c>
      <c r="L99" s="4" t="str">
        <f t="shared" si="46"/>
        <v>TerTal</v>
      </c>
      <c r="M99" s="66">
        <v>9999</v>
      </c>
      <c r="N99" s="23" t="str">
        <f t="shared" si="61"/>
        <v>S423L3</v>
      </c>
      <c r="O99" s="4" t="str">
        <f t="shared" si="62"/>
        <v>TerHea</v>
      </c>
      <c r="P99" s="66">
        <v>9999</v>
      </c>
      <c r="Q99" s="76" t="str">
        <f t="shared" si="49"/>
        <v>-</v>
      </c>
      <c r="R99" s="77" t="str">
        <f t="shared" si="42"/>
        <v>-</v>
      </c>
      <c r="S99" s="78">
        <f t="shared" si="50"/>
        <v>0</v>
      </c>
    </row>
    <row r="100" spans="1:19" x14ac:dyDescent="0.25">
      <c r="A100" s="7" t="s">
        <v>466</v>
      </c>
      <c r="B100" s="2" t="str">
        <f t="shared" si="58"/>
        <v>S424</v>
      </c>
      <c r="C100" s="2">
        <v>25</v>
      </c>
      <c r="D100" s="60">
        <v>33</v>
      </c>
      <c r="E100" s="4" t="s">
        <v>596</v>
      </c>
      <c r="F100" s="4" t="s">
        <v>595</v>
      </c>
      <c r="G100" s="8">
        <v>25</v>
      </c>
      <c r="H100" s="23" t="str">
        <f t="shared" si="51"/>
        <v>-</v>
      </c>
      <c r="I100" s="4" t="s">
        <v>672</v>
      </c>
      <c r="J100" s="66">
        <f t="shared" si="59"/>
        <v>0</v>
      </c>
      <c r="K100" s="23" t="str">
        <f t="shared" si="60"/>
        <v>-</v>
      </c>
      <c r="L100" s="4" t="str">
        <f t="shared" si="46"/>
        <v>TerTal</v>
      </c>
      <c r="M100" s="66">
        <v>9999</v>
      </c>
      <c r="N100" s="23" t="str">
        <f t="shared" si="61"/>
        <v>-</v>
      </c>
      <c r="O100" s="4" t="str">
        <f t="shared" si="62"/>
        <v>-</v>
      </c>
      <c r="P100" s="66">
        <v>9999</v>
      </c>
      <c r="Q100" s="76" t="str">
        <f t="shared" si="49"/>
        <v>-</v>
      </c>
      <c r="R100" s="77" t="str">
        <f t="shared" si="42"/>
        <v>-</v>
      </c>
      <c r="S100" s="78">
        <f t="shared" si="50"/>
        <v>0</v>
      </c>
    </row>
    <row r="101" spans="1:19" x14ac:dyDescent="0.25">
      <c r="A101" s="7" t="s">
        <v>467</v>
      </c>
      <c r="B101" s="2" t="str">
        <f t="shared" si="58"/>
        <v>S425</v>
      </c>
      <c r="C101" s="2">
        <v>8</v>
      </c>
      <c r="D101" s="60">
        <v>21</v>
      </c>
      <c r="E101" s="4" t="s">
        <v>598</v>
      </c>
      <c r="F101" s="4" t="s">
        <v>597</v>
      </c>
      <c r="G101" s="8">
        <v>100</v>
      </c>
      <c r="H101" s="23" t="str">
        <f t="shared" si="51"/>
        <v>S425L1</v>
      </c>
      <c r="I101" s="4" t="s">
        <v>672</v>
      </c>
      <c r="J101" s="66">
        <f t="shared" si="59"/>
        <v>100</v>
      </c>
      <c r="K101" s="23" t="str">
        <f t="shared" si="60"/>
        <v>S425L2</v>
      </c>
      <c r="L101" s="4" t="str">
        <f t="shared" si="46"/>
        <v>TerTal</v>
      </c>
      <c r="M101" s="66">
        <v>9999</v>
      </c>
      <c r="N101" s="23" t="str">
        <f t="shared" si="61"/>
        <v>S425L3</v>
      </c>
      <c r="O101" s="4" t="str">
        <f t="shared" si="62"/>
        <v>TerHea</v>
      </c>
      <c r="P101" s="66">
        <v>9999</v>
      </c>
      <c r="Q101" s="76" t="str">
        <f t="shared" si="49"/>
        <v>-</v>
      </c>
      <c r="R101" s="77" t="str">
        <f t="shared" si="42"/>
        <v>-</v>
      </c>
      <c r="S101" s="78">
        <f t="shared" si="50"/>
        <v>0</v>
      </c>
    </row>
    <row r="102" spans="1:19" x14ac:dyDescent="0.25">
      <c r="A102" s="7" t="s">
        <v>468</v>
      </c>
      <c r="B102" s="2" t="str">
        <f t="shared" si="58"/>
        <v>S426</v>
      </c>
      <c r="C102" s="2">
        <v>17</v>
      </c>
      <c r="D102" s="60">
        <v>31</v>
      </c>
      <c r="E102" s="4" t="s">
        <v>600</v>
      </c>
      <c r="F102" s="4" t="s">
        <v>599</v>
      </c>
      <c r="G102" s="8">
        <v>320</v>
      </c>
      <c r="H102" s="23" t="str">
        <f t="shared" si="51"/>
        <v>S426L1</v>
      </c>
      <c r="I102" s="4" t="s">
        <v>672</v>
      </c>
      <c r="J102" s="66">
        <f t="shared" si="59"/>
        <v>320</v>
      </c>
      <c r="K102" s="23" t="str">
        <f t="shared" si="60"/>
        <v>S426L2</v>
      </c>
      <c r="L102" s="4" t="str">
        <f t="shared" si="46"/>
        <v>TerTal</v>
      </c>
      <c r="M102" s="66">
        <v>9999</v>
      </c>
      <c r="N102" s="23" t="str">
        <f t="shared" si="61"/>
        <v>S426L3</v>
      </c>
      <c r="O102" s="4" t="str">
        <f t="shared" si="62"/>
        <v>TerHea</v>
      </c>
      <c r="P102" s="66">
        <v>9999</v>
      </c>
      <c r="Q102" s="76" t="str">
        <f t="shared" si="49"/>
        <v>-</v>
      </c>
      <c r="R102" s="77" t="str">
        <f t="shared" si="42"/>
        <v>-</v>
      </c>
      <c r="S102" s="78">
        <f t="shared" si="50"/>
        <v>0</v>
      </c>
    </row>
    <row r="103" spans="1:19" x14ac:dyDescent="0.25">
      <c r="A103" s="7" t="s">
        <v>469</v>
      </c>
      <c r="B103" s="2" t="str">
        <f t="shared" si="58"/>
        <v>S427</v>
      </c>
      <c r="C103" s="2">
        <v>12</v>
      </c>
      <c r="D103" s="60">
        <v>22</v>
      </c>
      <c r="E103" s="4" t="s">
        <v>602</v>
      </c>
      <c r="F103" s="4" t="s">
        <v>601</v>
      </c>
      <c r="G103" s="8">
        <v>70</v>
      </c>
      <c r="H103" s="23" t="str">
        <f t="shared" si="51"/>
        <v>S427L1</v>
      </c>
      <c r="I103" s="4" t="s">
        <v>672</v>
      </c>
      <c r="J103" s="66">
        <f t="shared" si="59"/>
        <v>70</v>
      </c>
      <c r="K103" s="23" t="str">
        <f t="shared" si="60"/>
        <v>S427L2</v>
      </c>
      <c r="L103" s="4" t="str">
        <f t="shared" si="46"/>
        <v>TerTal</v>
      </c>
      <c r="M103" s="66">
        <v>9999</v>
      </c>
      <c r="N103" s="23" t="str">
        <f t="shared" si="61"/>
        <v>S427L3</v>
      </c>
      <c r="O103" s="4" t="str">
        <f t="shared" si="62"/>
        <v>TerHea</v>
      </c>
      <c r="P103" s="66">
        <v>9999</v>
      </c>
      <c r="Q103" s="76" t="str">
        <f t="shared" si="49"/>
        <v>-</v>
      </c>
      <c r="R103" s="77" t="str">
        <f t="shared" si="42"/>
        <v>-</v>
      </c>
      <c r="S103" s="78">
        <f t="shared" si="50"/>
        <v>0</v>
      </c>
    </row>
    <row r="104" spans="1:19" x14ac:dyDescent="0.25">
      <c r="A104" s="7" t="s">
        <v>470</v>
      </c>
      <c r="B104" s="2" t="str">
        <f t="shared" si="58"/>
        <v>S428</v>
      </c>
      <c r="C104" s="2">
        <v>18</v>
      </c>
      <c r="D104" s="60">
        <v>12</v>
      </c>
      <c r="E104" s="4" t="s">
        <v>604</v>
      </c>
      <c r="F104" s="4" t="s">
        <v>603</v>
      </c>
      <c r="G104" s="8">
        <v>70</v>
      </c>
      <c r="H104" s="23" t="str">
        <f t="shared" si="51"/>
        <v>S428L1</v>
      </c>
      <c r="I104" s="4" t="s">
        <v>672</v>
      </c>
      <c r="J104" s="66">
        <f t="shared" si="59"/>
        <v>70</v>
      </c>
      <c r="K104" s="23" t="str">
        <f t="shared" si="60"/>
        <v>S428L2</v>
      </c>
      <c r="L104" s="4" t="str">
        <f t="shared" si="46"/>
        <v>TerTal</v>
      </c>
      <c r="M104" s="66">
        <v>9999</v>
      </c>
      <c r="N104" s="23" t="str">
        <f t="shared" si="61"/>
        <v>S428L3</v>
      </c>
      <c r="O104" s="4" t="str">
        <f t="shared" si="62"/>
        <v>TerHea</v>
      </c>
      <c r="P104" s="66">
        <v>9999</v>
      </c>
      <c r="Q104" s="76" t="str">
        <f t="shared" si="49"/>
        <v>-</v>
      </c>
      <c r="R104" s="77" t="str">
        <f t="shared" si="42"/>
        <v>-</v>
      </c>
      <c r="S104" s="78">
        <f t="shared" si="50"/>
        <v>0</v>
      </c>
    </row>
    <row r="105" spans="1:19" x14ac:dyDescent="0.25">
      <c r="A105" s="7" t="s">
        <v>471</v>
      </c>
      <c r="B105" s="2" t="str">
        <f t="shared" si="58"/>
        <v>S429</v>
      </c>
      <c r="C105" s="2">
        <v>14</v>
      </c>
      <c r="D105" s="60">
        <v>23</v>
      </c>
      <c r="E105" s="4" t="s">
        <v>606</v>
      </c>
      <c r="F105" s="4" t="s">
        <v>605</v>
      </c>
      <c r="G105" s="8">
        <v>40</v>
      </c>
      <c r="H105" s="23" t="str">
        <f t="shared" si="51"/>
        <v>-</v>
      </c>
      <c r="I105" s="4" t="s">
        <v>672</v>
      </c>
      <c r="J105" s="66">
        <f t="shared" si="59"/>
        <v>0</v>
      </c>
      <c r="K105" s="23" t="str">
        <f t="shared" si="60"/>
        <v>-</v>
      </c>
      <c r="L105" s="4" t="str">
        <f t="shared" si="46"/>
        <v>TerTal</v>
      </c>
      <c r="M105" s="66">
        <v>9999</v>
      </c>
      <c r="N105" s="23" t="str">
        <f t="shared" si="61"/>
        <v>-</v>
      </c>
      <c r="O105" s="4" t="str">
        <f t="shared" si="62"/>
        <v>-</v>
      </c>
      <c r="P105" s="66">
        <v>9999</v>
      </c>
      <c r="Q105" s="76" t="str">
        <f t="shared" si="49"/>
        <v>-</v>
      </c>
      <c r="R105" s="77" t="str">
        <f t="shared" si="42"/>
        <v>-</v>
      </c>
      <c r="S105" s="78">
        <f t="shared" si="50"/>
        <v>0</v>
      </c>
    </row>
    <row r="106" spans="1:19" x14ac:dyDescent="0.25">
      <c r="A106" s="7" t="s">
        <v>472</v>
      </c>
      <c r="B106" s="2" t="str">
        <f t="shared" si="58"/>
        <v>S430</v>
      </c>
      <c r="C106" s="2">
        <v>22</v>
      </c>
      <c r="D106" s="60">
        <v>12</v>
      </c>
      <c r="E106" s="4" t="s">
        <v>608</v>
      </c>
      <c r="F106" s="4" t="s">
        <v>607</v>
      </c>
      <c r="G106" s="8">
        <v>175</v>
      </c>
      <c r="H106" s="23" t="str">
        <f t="shared" si="51"/>
        <v>S430L1</v>
      </c>
      <c r="I106" s="4" t="s">
        <v>672</v>
      </c>
      <c r="J106" s="66">
        <f t="shared" si="59"/>
        <v>175</v>
      </c>
      <c r="K106" s="23" t="str">
        <f t="shared" si="60"/>
        <v>S430L2</v>
      </c>
      <c r="L106" s="4" t="str">
        <f t="shared" si="46"/>
        <v>TerTal</v>
      </c>
      <c r="M106" s="66">
        <v>9999</v>
      </c>
      <c r="N106" s="23" t="str">
        <f t="shared" si="61"/>
        <v>S430L3</v>
      </c>
      <c r="O106" s="4" t="str">
        <f t="shared" si="62"/>
        <v>TerHea</v>
      </c>
      <c r="P106" s="66">
        <v>9999</v>
      </c>
      <c r="Q106" s="76" t="str">
        <f t="shared" si="49"/>
        <v>-</v>
      </c>
      <c r="R106" s="77" t="str">
        <f t="shared" si="42"/>
        <v>-</v>
      </c>
      <c r="S106" s="78">
        <f t="shared" si="50"/>
        <v>0</v>
      </c>
    </row>
    <row r="107" spans="1:19" x14ac:dyDescent="0.25">
      <c r="A107" s="7" t="s">
        <v>473</v>
      </c>
      <c r="B107" s="2" t="str">
        <f t="shared" si="58"/>
        <v>S431</v>
      </c>
      <c r="C107" s="2">
        <v>17</v>
      </c>
      <c r="D107" s="60">
        <v>31</v>
      </c>
      <c r="E107" s="4" t="s">
        <v>610</v>
      </c>
      <c r="F107" s="4" t="s">
        <v>609</v>
      </c>
      <c r="G107" s="8">
        <v>5</v>
      </c>
      <c r="H107" s="23" t="str">
        <f t="shared" si="51"/>
        <v>-</v>
      </c>
      <c r="I107" s="4" t="s">
        <v>672</v>
      </c>
      <c r="J107" s="66">
        <f t="shared" si="59"/>
        <v>0</v>
      </c>
      <c r="K107" s="23" t="str">
        <f t="shared" si="60"/>
        <v>-</v>
      </c>
      <c r="L107" s="4" t="str">
        <f t="shared" si="46"/>
        <v>TerTal</v>
      </c>
      <c r="M107" s="66">
        <v>9999</v>
      </c>
      <c r="N107" s="23" t="str">
        <f t="shared" si="61"/>
        <v>-</v>
      </c>
      <c r="O107" s="4" t="str">
        <f t="shared" si="62"/>
        <v>-</v>
      </c>
      <c r="P107" s="66">
        <v>9999</v>
      </c>
      <c r="Q107" s="76" t="str">
        <f t="shared" si="49"/>
        <v>-</v>
      </c>
      <c r="R107" s="77" t="str">
        <f t="shared" si="42"/>
        <v>-</v>
      </c>
      <c r="S107" s="78">
        <f t="shared" si="50"/>
        <v>0</v>
      </c>
    </row>
    <row r="108" spans="1:19" x14ac:dyDescent="0.25">
      <c r="A108" s="7" t="s">
        <v>474</v>
      </c>
      <c r="B108" s="2" t="str">
        <f t="shared" si="58"/>
        <v>S432</v>
      </c>
      <c r="C108" s="2">
        <v>8</v>
      </c>
      <c r="D108" s="60">
        <v>21</v>
      </c>
      <c r="E108" s="4" t="s">
        <v>612</v>
      </c>
      <c r="F108" s="4" t="s">
        <v>611</v>
      </c>
      <c r="G108" s="8">
        <v>20</v>
      </c>
      <c r="H108" s="23" t="str">
        <f t="shared" si="51"/>
        <v>-</v>
      </c>
      <c r="I108" s="4" t="s">
        <v>672</v>
      </c>
      <c r="J108" s="66">
        <f t="shared" si="59"/>
        <v>0</v>
      </c>
      <c r="K108" s="23" t="str">
        <f t="shared" si="60"/>
        <v>-</v>
      </c>
      <c r="L108" s="4" t="str">
        <f t="shared" si="46"/>
        <v>TerTal</v>
      </c>
      <c r="M108" s="66">
        <v>9999</v>
      </c>
      <c r="N108" s="23" t="str">
        <f t="shared" si="61"/>
        <v>-</v>
      </c>
      <c r="O108" s="4" t="str">
        <f t="shared" si="62"/>
        <v>-</v>
      </c>
      <c r="P108" s="66">
        <v>9999</v>
      </c>
      <c r="Q108" s="76" t="str">
        <f t="shared" si="49"/>
        <v>-</v>
      </c>
      <c r="R108" s="77" t="str">
        <f t="shared" si="42"/>
        <v>-</v>
      </c>
      <c r="S108" s="78">
        <f t="shared" si="50"/>
        <v>0</v>
      </c>
    </row>
    <row r="109" spans="1:19" x14ac:dyDescent="0.25">
      <c r="A109" s="7" t="s">
        <v>475</v>
      </c>
      <c r="B109" s="2" t="str">
        <f t="shared" si="58"/>
        <v>S433</v>
      </c>
      <c r="C109" s="2">
        <v>12</v>
      </c>
      <c r="D109" s="60">
        <v>22</v>
      </c>
      <c r="E109" s="4" t="s">
        <v>614</v>
      </c>
      <c r="F109" s="4" t="s">
        <v>613</v>
      </c>
      <c r="G109" s="8">
        <v>0.1</v>
      </c>
      <c r="H109" s="23" t="str">
        <f t="shared" si="51"/>
        <v>S433L1</v>
      </c>
      <c r="I109" s="4" t="s">
        <v>797</v>
      </c>
      <c r="J109" s="66">
        <f t="shared" si="59"/>
        <v>0.1</v>
      </c>
      <c r="K109" s="23" t="str">
        <f t="shared" si="60"/>
        <v>S433L2</v>
      </c>
      <c r="L109" s="4" t="str">
        <f t="shared" si="46"/>
        <v/>
      </c>
      <c r="M109" s="66">
        <v>9999</v>
      </c>
      <c r="N109" s="23" t="str">
        <f t="shared" si="61"/>
        <v>S433L3</v>
      </c>
      <c r="O109" s="4" t="str">
        <f t="shared" si="62"/>
        <v>TerHea</v>
      </c>
      <c r="P109" s="66">
        <v>9999</v>
      </c>
      <c r="Q109" s="76" t="str">
        <f t="shared" si="49"/>
        <v>-</v>
      </c>
      <c r="R109" s="77" t="str">
        <f t="shared" si="42"/>
        <v>-</v>
      </c>
      <c r="S109" s="78">
        <f t="shared" si="50"/>
        <v>0</v>
      </c>
    </row>
    <row r="110" spans="1:19" x14ac:dyDescent="0.25">
      <c r="A110" s="7" t="s">
        <v>476</v>
      </c>
      <c r="B110" s="2" t="str">
        <f t="shared" si="58"/>
        <v>S434</v>
      </c>
      <c r="C110" s="2">
        <v>20</v>
      </c>
      <c r="D110" s="60">
        <v>31</v>
      </c>
      <c r="E110" s="4" t="s">
        <v>616</v>
      </c>
      <c r="F110" s="4" t="s">
        <v>615</v>
      </c>
      <c r="G110" s="2">
        <v>50</v>
      </c>
      <c r="H110" s="23" t="str">
        <f t="shared" si="51"/>
        <v>-</v>
      </c>
      <c r="I110" s="4" t="s">
        <v>672</v>
      </c>
      <c r="J110" s="66">
        <f t="shared" si="59"/>
        <v>0</v>
      </c>
      <c r="K110" s="23" t="str">
        <f t="shared" si="60"/>
        <v>-</v>
      </c>
      <c r="L110" s="4" t="str">
        <f t="shared" si="46"/>
        <v>TerTal</v>
      </c>
      <c r="M110" s="66">
        <v>9999</v>
      </c>
      <c r="N110" s="23" t="str">
        <f t="shared" si="61"/>
        <v>-</v>
      </c>
      <c r="O110" s="4" t="str">
        <f t="shared" si="62"/>
        <v>-</v>
      </c>
      <c r="P110" s="66">
        <v>9999</v>
      </c>
      <c r="Q110" s="76" t="str">
        <f t="shared" si="49"/>
        <v>-</v>
      </c>
      <c r="R110" s="77" t="str">
        <f t="shared" si="42"/>
        <v>-</v>
      </c>
      <c r="S110" s="78">
        <f t="shared" si="50"/>
        <v>0</v>
      </c>
    </row>
    <row r="111" spans="1:19" x14ac:dyDescent="0.25">
      <c r="A111" s="7" t="s">
        <v>477</v>
      </c>
      <c r="B111" s="2" t="str">
        <f t="shared" si="58"/>
        <v>S435</v>
      </c>
      <c r="C111" s="2">
        <v>6</v>
      </c>
      <c r="D111" s="60">
        <v>21</v>
      </c>
      <c r="E111" s="4" t="s">
        <v>618</v>
      </c>
      <c r="F111" s="4" t="s">
        <v>617</v>
      </c>
      <c r="G111" s="8">
        <v>20</v>
      </c>
      <c r="H111" s="23" t="str">
        <f t="shared" si="51"/>
        <v>-</v>
      </c>
      <c r="I111" s="4" t="s">
        <v>672</v>
      </c>
      <c r="J111" s="66">
        <f t="shared" si="59"/>
        <v>0</v>
      </c>
      <c r="K111" s="23" t="str">
        <f t="shared" si="60"/>
        <v>-</v>
      </c>
      <c r="L111" s="4" t="str">
        <f t="shared" si="46"/>
        <v>TerTal</v>
      </c>
      <c r="M111" s="66">
        <v>9999</v>
      </c>
      <c r="N111" s="23" t="str">
        <f t="shared" si="61"/>
        <v>-</v>
      </c>
      <c r="O111" s="4" t="str">
        <f t="shared" si="62"/>
        <v>-</v>
      </c>
      <c r="P111" s="66">
        <v>9999</v>
      </c>
      <c r="Q111" s="76" t="str">
        <f t="shared" si="49"/>
        <v>-</v>
      </c>
      <c r="R111" s="77" t="str">
        <f t="shared" si="42"/>
        <v>-</v>
      </c>
      <c r="S111" s="78">
        <f t="shared" si="50"/>
        <v>0</v>
      </c>
    </row>
    <row r="112" spans="1:19" x14ac:dyDescent="0.25">
      <c r="A112" s="7" t="s">
        <v>478</v>
      </c>
      <c r="B112" s="2" t="str">
        <f t="shared" si="58"/>
        <v>S436</v>
      </c>
      <c r="C112" s="2">
        <v>13</v>
      </c>
      <c r="D112" s="60">
        <v>23</v>
      </c>
      <c r="E112" s="4" t="s">
        <v>620</v>
      </c>
      <c r="F112" s="4" t="s">
        <v>619</v>
      </c>
      <c r="G112" s="8">
        <v>115</v>
      </c>
      <c r="H112" s="23" t="str">
        <f t="shared" si="51"/>
        <v>S436L1</v>
      </c>
      <c r="I112" s="4" t="s">
        <v>672</v>
      </c>
      <c r="J112" s="66">
        <f t="shared" si="59"/>
        <v>115</v>
      </c>
      <c r="K112" s="23" t="str">
        <f t="shared" si="60"/>
        <v>S436L2</v>
      </c>
      <c r="L112" s="4" t="str">
        <f t="shared" si="46"/>
        <v>TerTal</v>
      </c>
      <c r="M112" s="66">
        <v>9999</v>
      </c>
      <c r="N112" s="23" t="str">
        <f t="shared" si="61"/>
        <v>S436L3</v>
      </c>
      <c r="O112" s="4" t="str">
        <f t="shared" si="62"/>
        <v>TerHea</v>
      </c>
      <c r="P112" s="66">
        <v>9999</v>
      </c>
      <c r="Q112" s="76" t="str">
        <f t="shared" si="49"/>
        <v>-</v>
      </c>
      <c r="R112" s="77" t="str">
        <f t="shared" si="42"/>
        <v>-</v>
      </c>
      <c r="S112" s="78">
        <f t="shared" si="50"/>
        <v>0</v>
      </c>
    </row>
    <row r="113" spans="1:19" x14ac:dyDescent="0.25">
      <c r="A113" s="7" t="s">
        <v>479</v>
      </c>
      <c r="B113" s="2" t="str">
        <f t="shared" si="58"/>
        <v>S437</v>
      </c>
      <c r="C113" s="2">
        <v>24</v>
      </c>
      <c r="D113" s="60">
        <v>33</v>
      </c>
      <c r="E113" s="4" t="s">
        <v>622</v>
      </c>
      <c r="F113" s="4" t="s">
        <v>621</v>
      </c>
      <c r="G113" s="8">
        <v>220</v>
      </c>
      <c r="H113" s="23" t="str">
        <f t="shared" si="51"/>
        <v>S437L1</v>
      </c>
      <c r="I113" s="4" t="s">
        <v>672</v>
      </c>
      <c r="J113" s="66">
        <f t="shared" si="59"/>
        <v>220</v>
      </c>
      <c r="K113" s="23" t="str">
        <f t="shared" si="60"/>
        <v>S437L2</v>
      </c>
      <c r="L113" s="4" t="str">
        <f t="shared" si="46"/>
        <v>TerTal</v>
      </c>
      <c r="M113" s="66">
        <v>9999</v>
      </c>
      <c r="N113" s="23" t="str">
        <f t="shared" si="61"/>
        <v>S437L3</v>
      </c>
      <c r="O113" s="4" t="str">
        <f t="shared" si="62"/>
        <v>TerHea</v>
      </c>
      <c r="P113" s="66">
        <v>9999</v>
      </c>
      <c r="Q113" s="76" t="str">
        <f t="shared" si="49"/>
        <v>-</v>
      </c>
      <c r="R113" s="77" t="str">
        <f t="shared" si="42"/>
        <v>-</v>
      </c>
      <c r="S113" s="78">
        <f t="shared" si="50"/>
        <v>0</v>
      </c>
    </row>
    <row r="114" spans="1:19" x14ac:dyDescent="0.25">
      <c r="A114" s="7" t="s">
        <v>480</v>
      </c>
      <c r="B114" s="2" t="str">
        <f t="shared" si="58"/>
        <v>S438</v>
      </c>
      <c r="C114" s="2">
        <v>8</v>
      </c>
      <c r="D114" s="60">
        <v>21</v>
      </c>
      <c r="E114" s="4" t="s">
        <v>624</v>
      </c>
      <c r="F114" s="4" t="s">
        <v>623</v>
      </c>
      <c r="G114" s="8">
        <v>50</v>
      </c>
      <c r="H114" s="23" t="str">
        <f t="shared" si="51"/>
        <v>-</v>
      </c>
      <c r="I114" s="4" t="s">
        <v>672</v>
      </c>
      <c r="J114" s="66">
        <f t="shared" si="59"/>
        <v>0</v>
      </c>
      <c r="K114" s="23" t="str">
        <f t="shared" si="60"/>
        <v>-</v>
      </c>
      <c r="L114" s="4" t="str">
        <f t="shared" si="46"/>
        <v>TerTal</v>
      </c>
      <c r="M114" s="66">
        <v>9999</v>
      </c>
      <c r="N114" s="23" t="str">
        <f t="shared" si="61"/>
        <v>-</v>
      </c>
      <c r="O114" s="4" t="str">
        <f t="shared" si="62"/>
        <v>-</v>
      </c>
      <c r="P114" s="66">
        <v>9999</v>
      </c>
      <c r="Q114" s="76" t="str">
        <f t="shared" si="49"/>
        <v>-</v>
      </c>
      <c r="R114" s="77" t="str">
        <f t="shared" si="42"/>
        <v>-</v>
      </c>
      <c r="S114" s="78">
        <f t="shared" si="50"/>
        <v>0</v>
      </c>
    </row>
    <row r="115" spans="1:19" x14ac:dyDescent="0.25">
      <c r="A115" s="7" t="s">
        <v>481</v>
      </c>
      <c r="B115" s="2" t="str">
        <f t="shared" si="58"/>
        <v>S439</v>
      </c>
      <c r="C115" s="2">
        <v>14</v>
      </c>
      <c r="D115" s="60">
        <v>23</v>
      </c>
      <c r="E115" s="4" t="s">
        <v>626</v>
      </c>
      <c r="F115" s="4" t="s">
        <v>625</v>
      </c>
      <c r="G115" s="8">
        <v>35</v>
      </c>
      <c r="H115" s="23" t="str">
        <f t="shared" si="51"/>
        <v>-</v>
      </c>
      <c r="I115" s="4" t="s">
        <v>672</v>
      </c>
      <c r="J115" s="66">
        <f t="shared" si="59"/>
        <v>0</v>
      </c>
      <c r="K115" s="23" t="str">
        <f t="shared" si="60"/>
        <v>-</v>
      </c>
      <c r="L115" s="4" t="str">
        <f t="shared" si="46"/>
        <v>TerTal</v>
      </c>
      <c r="M115" s="66">
        <v>9999</v>
      </c>
      <c r="N115" s="23" t="str">
        <f t="shared" si="61"/>
        <v>-</v>
      </c>
      <c r="O115" s="4" t="str">
        <f t="shared" si="62"/>
        <v>-</v>
      </c>
      <c r="P115" s="66">
        <v>9999</v>
      </c>
      <c r="Q115" s="76" t="str">
        <f t="shared" si="49"/>
        <v>-</v>
      </c>
      <c r="R115" s="77" t="str">
        <f t="shared" si="42"/>
        <v>-</v>
      </c>
      <c r="S115" s="78">
        <f t="shared" si="50"/>
        <v>0</v>
      </c>
    </row>
    <row r="116" spans="1:19" x14ac:dyDescent="0.25">
      <c r="A116" s="7" t="s">
        <v>482</v>
      </c>
      <c r="B116" s="2" t="str">
        <f t="shared" si="58"/>
        <v>S440</v>
      </c>
      <c r="C116" s="2">
        <v>5</v>
      </c>
      <c r="D116" s="60">
        <v>12</v>
      </c>
      <c r="E116" s="4" t="s">
        <v>628</v>
      </c>
      <c r="F116" s="4" t="s">
        <v>627</v>
      </c>
      <c r="G116" s="2">
        <v>80</v>
      </c>
      <c r="H116" s="23" t="str">
        <f t="shared" si="51"/>
        <v>S440L1</v>
      </c>
      <c r="I116" s="4" t="s">
        <v>672</v>
      </c>
      <c r="J116" s="66">
        <f t="shared" si="59"/>
        <v>80</v>
      </c>
      <c r="K116" s="23" t="str">
        <f t="shared" si="60"/>
        <v>S440L2</v>
      </c>
      <c r="L116" s="4" t="str">
        <f t="shared" si="46"/>
        <v>TerTal</v>
      </c>
      <c r="M116" s="66">
        <v>9999</v>
      </c>
      <c r="N116" s="23" t="str">
        <f t="shared" si="61"/>
        <v>S440L3</v>
      </c>
      <c r="O116" s="4" t="str">
        <f t="shared" si="62"/>
        <v>TerHea</v>
      </c>
      <c r="P116" s="66">
        <v>9999</v>
      </c>
      <c r="Q116" s="76" t="str">
        <f t="shared" si="49"/>
        <v>-</v>
      </c>
      <c r="R116" s="77" t="str">
        <f t="shared" si="42"/>
        <v>-</v>
      </c>
      <c r="S116" s="78">
        <f t="shared" si="50"/>
        <v>0</v>
      </c>
    </row>
    <row r="117" spans="1:19" x14ac:dyDescent="0.25">
      <c r="A117" s="7" t="s">
        <v>483</v>
      </c>
      <c r="B117" s="2" t="str">
        <f t="shared" si="58"/>
        <v>S441</v>
      </c>
      <c r="C117" s="2">
        <v>25</v>
      </c>
      <c r="D117" s="60">
        <v>33</v>
      </c>
      <c r="E117" s="4" t="s">
        <v>630</v>
      </c>
      <c r="F117" s="4" t="s">
        <v>629</v>
      </c>
      <c r="G117" s="8">
        <v>35</v>
      </c>
      <c r="H117" s="23" t="str">
        <f t="shared" si="51"/>
        <v>-</v>
      </c>
      <c r="I117" s="4" t="s">
        <v>672</v>
      </c>
      <c r="J117" s="66">
        <f t="shared" si="59"/>
        <v>0</v>
      </c>
      <c r="K117" s="23" t="str">
        <f t="shared" si="60"/>
        <v>-</v>
      </c>
      <c r="L117" s="4" t="str">
        <f t="shared" si="46"/>
        <v>TerTal</v>
      </c>
      <c r="M117" s="66">
        <v>9999</v>
      </c>
      <c r="N117" s="23" t="str">
        <f t="shared" si="61"/>
        <v>-</v>
      </c>
      <c r="O117" s="4" t="str">
        <f t="shared" si="62"/>
        <v>-</v>
      </c>
      <c r="P117" s="66">
        <v>9999</v>
      </c>
      <c r="Q117" s="76" t="str">
        <f t="shared" si="49"/>
        <v>-</v>
      </c>
      <c r="R117" s="77" t="str">
        <f t="shared" si="42"/>
        <v>-</v>
      </c>
      <c r="S117" s="78">
        <f t="shared" si="50"/>
        <v>0</v>
      </c>
    </row>
    <row r="118" spans="1:19" x14ac:dyDescent="0.25">
      <c r="A118" s="7" t="s">
        <v>484</v>
      </c>
      <c r="B118" s="2" t="str">
        <f t="shared" si="58"/>
        <v>S442</v>
      </c>
      <c r="C118" s="2">
        <v>13</v>
      </c>
      <c r="D118" s="60">
        <v>23</v>
      </c>
      <c r="E118" s="4" t="s">
        <v>632</v>
      </c>
      <c r="F118" s="4" t="s">
        <v>631</v>
      </c>
      <c r="G118" s="8">
        <v>40</v>
      </c>
      <c r="H118" s="23" t="str">
        <f t="shared" si="51"/>
        <v>-</v>
      </c>
      <c r="I118" s="4" t="s">
        <v>672</v>
      </c>
      <c r="J118" s="66">
        <f t="shared" si="59"/>
        <v>0</v>
      </c>
      <c r="K118" s="23" t="str">
        <f t="shared" si="60"/>
        <v>-</v>
      </c>
      <c r="L118" s="4" t="str">
        <f t="shared" si="46"/>
        <v>TerTal</v>
      </c>
      <c r="M118" s="66">
        <v>9999</v>
      </c>
      <c r="N118" s="23" t="str">
        <f t="shared" si="61"/>
        <v>-</v>
      </c>
      <c r="O118" s="4" t="str">
        <f t="shared" si="62"/>
        <v>-</v>
      </c>
      <c r="P118" s="66">
        <v>9999</v>
      </c>
      <c r="Q118" s="76" t="str">
        <f t="shared" si="49"/>
        <v>-</v>
      </c>
      <c r="R118" s="77" t="str">
        <f t="shared" si="42"/>
        <v>-</v>
      </c>
      <c r="S118" s="78">
        <f t="shared" si="50"/>
        <v>0</v>
      </c>
    </row>
    <row r="119" spans="1:19" x14ac:dyDescent="0.25">
      <c r="A119" s="7" t="s">
        <v>485</v>
      </c>
      <c r="B119" s="2" t="str">
        <f t="shared" si="58"/>
        <v>S443</v>
      </c>
      <c r="C119" s="2">
        <v>21</v>
      </c>
      <c r="D119" s="60">
        <v>31</v>
      </c>
      <c r="E119" s="4" t="s">
        <v>634</v>
      </c>
      <c r="F119" s="4" t="s">
        <v>633</v>
      </c>
      <c r="G119" s="8">
        <v>30</v>
      </c>
      <c r="H119" s="23" t="str">
        <f t="shared" si="51"/>
        <v>-</v>
      </c>
      <c r="I119" s="4" t="s">
        <v>672</v>
      </c>
      <c r="J119" s="66">
        <f t="shared" si="59"/>
        <v>0</v>
      </c>
      <c r="K119" s="23" t="str">
        <f t="shared" si="60"/>
        <v>-</v>
      </c>
      <c r="L119" s="4" t="str">
        <f t="shared" si="46"/>
        <v>TerTal</v>
      </c>
      <c r="M119" s="66">
        <v>9999</v>
      </c>
      <c r="N119" s="23" t="str">
        <f t="shared" si="61"/>
        <v>-</v>
      </c>
      <c r="O119" s="4" t="str">
        <f t="shared" si="62"/>
        <v>-</v>
      </c>
      <c r="P119" s="66">
        <v>9999</v>
      </c>
      <c r="Q119" s="76" t="str">
        <f t="shared" si="49"/>
        <v>-</v>
      </c>
      <c r="R119" s="77" t="str">
        <f t="shared" si="42"/>
        <v>-</v>
      </c>
      <c r="S119" s="78">
        <f t="shared" si="50"/>
        <v>0</v>
      </c>
    </row>
    <row r="120" spans="1:19" x14ac:dyDescent="0.25">
      <c r="A120" s="7" t="s">
        <v>486</v>
      </c>
      <c r="B120" s="2" t="str">
        <f t="shared" si="58"/>
        <v>S444</v>
      </c>
      <c r="C120" s="2">
        <v>24</v>
      </c>
      <c r="D120" s="60">
        <v>33</v>
      </c>
      <c r="E120" s="4" t="s">
        <v>636</v>
      </c>
      <c r="F120" s="4" t="s">
        <v>635</v>
      </c>
      <c r="G120" s="2">
        <v>75</v>
      </c>
      <c r="H120" s="23" t="str">
        <f t="shared" si="51"/>
        <v>S444L1</v>
      </c>
      <c r="I120" s="4" t="s">
        <v>672</v>
      </c>
      <c r="J120" s="66">
        <f t="shared" si="59"/>
        <v>75</v>
      </c>
      <c r="K120" s="23" t="str">
        <f t="shared" si="60"/>
        <v>S444L2</v>
      </c>
      <c r="L120" s="4" t="str">
        <f t="shared" si="46"/>
        <v>TerTal</v>
      </c>
      <c r="M120" s="66">
        <v>9999</v>
      </c>
      <c r="N120" s="23" t="str">
        <f t="shared" si="61"/>
        <v>S444L3</v>
      </c>
      <c r="O120" s="4" t="str">
        <f t="shared" si="62"/>
        <v>TerHea</v>
      </c>
      <c r="P120" s="66">
        <v>9999</v>
      </c>
      <c r="Q120" s="76" t="str">
        <f t="shared" si="49"/>
        <v>-</v>
      </c>
      <c r="R120" s="77" t="str">
        <f t="shared" si="42"/>
        <v>-</v>
      </c>
      <c r="S120" s="78">
        <f t="shared" si="50"/>
        <v>0</v>
      </c>
    </row>
    <row r="121" spans="1:19" x14ac:dyDescent="0.25">
      <c r="A121" s="7" t="s">
        <v>487</v>
      </c>
      <c r="B121" s="2" t="str">
        <f t="shared" si="58"/>
        <v>S445</v>
      </c>
      <c r="C121" s="2">
        <v>24</v>
      </c>
      <c r="D121" s="60">
        <v>33</v>
      </c>
      <c r="E121" s="4" t="s">
        <v>638</v>
      </c>
      <c r="F121" s="4" t="s">
        <v>637</v>
      </c>
      <c r="G121" s="2">
        <v>75</v>
      </c>
      <c r="H121" s="23" t="str">
        <f t="shared" si="51"/>
        <v>S445L1</v>
      </c>
      <c r="I121" s="4" t="s">
        <v>672</v>
      </c>
      <c r="J121" s="66">
        <f t="shared" si="59"/>
        <v>75</v>
      </c>
      <c r="K121" s="23" t="str">
        <f t="shared" si="60"/>
        <v>S445L2</v>
      </c>
      <c r="L121" s="4" t="str">
        <f t="shared" si="46"/>
        <v>TerTal</v>
      </c>
      <c r="M121" s="66">
        <v>9999</v>
      </c>
      <c r="N121" s="23" t="str">
        <f t="shared" si="61"/>
        <v>S445L3</v>
      </c>
      <c r="O121" s="4" t="str">
        <f t="shared" si="62"/>
        <v>TerHea</v>
      </c>
      <c r="P121" s="66">
        <v>9999</v>
      </c>
      <c r="Q121" s="76" t="str">
        <f t="shared" si="49"/>
        <v>-</v>
      </c>
      <c r="R121" s="77" t="str">
        <f t="shared" si="42"/>
        <v>-</v>
      </c>
      <c r="S121" s="78">
        <f t="shared" si="50"/>
        <v>0</v>
      </c>
    </row>
    <row r="122" spans="1:19" x14ac:dyDescent="0.25">
      <c r="A122" s="7" t="s">
        <v>488</v>
      </c>
      <c r="B122" s="2" t="str">
        <f t="shared" si="58"/>
        <v>S446</v>
      </c>
      <c r="C122" s="2">
        <v>21</v>
      </c>
      <c r="D122" s="60">
        <v>31</v>
      </c>
      <c r="E122" s="4" t="s">
        <v>640</v>
      </c>
      <c r="F122" s="4" t="s">
        <v>639</v>
      </c>
      <c r="G122" s="8">
        <v>65</v>
      </c>
      <c r="H122" s="23" t="str">
        <f t="shared" si="51"/>
        <v>S446L1</v>
      </c>
      <c r="I122" s="4" t="s">
        <v>672</v>
      </c>
      <c r="J122" s="66">
        <f t="shared" si="59"/>
        <v>65</v>
      </c>
      <c r="K122" s="23" t="str">
        <f t="shared" si="60"/>
        <v>S446L2</v>
      </c>
      <c r="L122" s="4" t="str">
        <f t="shared" si="46"/>
        <v>TerTal</v>
      </c>
      <c r="M122" s="66">
        <v>9999</v>
      </c>
      <c r="N122" s="23" t="str">
        <f t="shared" si="61"/>
        <v>S446L3</v>
      </c>
      <c r="O122" s="4" t="str">
        <f t="shared" si="62"/>
        <v>TerHea</v>
      </c>
      <c r="P122" s="66">
        <v>9999</v>
      </c>
      <c r="Q122" s="76" t="str">
        <f t="shared" si="49"/>
        <v>-</v>
      </c>
      <c r="R122" s="77" t="str">
        <f t="shared" si="42"/>
        <v>-</v>
      </c>
      <c r="S122" s="78">
        <f t="shared" si="50"/>
        <v>0</v>
      </c>
    </row>
    <row r="123" spans="1:19" x14ac:dyDescent="0.25">
      <c r="A123" s="7" t="s">
        <v>489</v>
      </c>
      <c r="B123" s="2" t="str">
        <f t="shared" si="58"/>
        <v>S447</v>
      </c>
      <c r="C123" s="2">
        <v>25</v>
      </c>
      <c r="D123" s="60">
        <v>33</v>
      </c>
      <c r="E123" s="4" t="s">
        <v>642</v>
      </c>
      <c r="F123" s="4" t="s">
        <v>641</v>
      </c>
      <c r="G123" s="8">
        <v>80</v>
      </c>
      <c r="H123" s="23" t="str">
        <f t="shared" si="51"/>
        <v>S447L1</v>
      </c>
      <c r="I123" s="4" t="s">
        <v>672</v>
      </c>
      <c r="J123" s="66">
        <f t="shared" si="59"/>
        <v>80</v>
      </c>
      <c r="K123" s="23" t="str">
        <f t="shared" si="60"/>
        <v>S447L2</v>
      </c>
      <c r="L123" s="4" t="str">
        <f t="shared" si="46"/>
        <v>TerTal</v>
      </c>
      <c r="M123" s="66">
        <v>9999</v>
      </c>
      <c r="N123" s="23" t="str">
        <f t="shared" si="61"/>
        <v>S447L3</v>
      </c>
      <c r="O123" s="4" t="str">
        <f t="shared" si="62"/>
        <v>TerHea</v>
      </c>
      <c r="P123" s="66">
        <v>9999</v>
      </c>
      <c r="Q123" s="76" t="str">
        <f t="shared" si="49"/>
        <v>-</v>
      </c>
      <c r="R123" s="77" t="str">
        <f t="shared" si="42"/>
        <v>-</v>
      </c>
      <c r="S123" s="78">
        <f t="shared" si="50"/>
        <v>0</v>
      </c>
    </row>
    <row r="124" spans="1:19" x14ac:dyDescent="0.25">
      <c r="A124" s="7" t="s">
        <v>490</v>
      </c>
      <c r="B124" s="2" t="str">
        <f t="shared" si="58"/>
        <v>S448</v>
      </c>
      <c r="C124" s="2">
        <v>4</v>
      </c>
      <c r="D124" s="60">
        <v>12</v>
      </c>
      <c r="E124" s="4" t="s">
        <v>644</v>
      </c>
      <c r="F124" s="4" t="s">
        <v>643</v>
      </c>
      <c r="G124" s="2">
        <v>100</v>
      </c>
      <c r="H124" s="23" t="str">
        <f t="shared" si="51"/>
        <v>S448L1</v>
      </c>
      <c r="I124" s="4" t="s">
        <v>672</v>
      </c>
      <c r="J124" s="66">
        <f t="shared" si="59"/>
        <v>100</v>
      </c>
      <c r="K124" s="23" t="str">
        <f t="shared" si="60"/>
        <v>S448L2</v>
      </c>
      <c r="L124" s="4" t="str">
        <f t="shared" si="46"/>
        <v>TerTal</v>
      </c>
      <c r="M124" s="66">
        <v>9999</v>
      </c>
      <c r="N124" s="23" t="str">
        <f t="shared" si="61"/>
        <v>S448L3</v>
      </c>
      <c r="O124" s="4" t="str">
        <f t="shared" si="62"/>
        <v>TerHea</v>
      </c>
      <c r="P124" s="66">
        <v>9999</v>
      </c>
      <c r="Q124" s="76" t="str">
        <f t="shared" si="49"/>
        <v>-</v>
      </c>
      <c r="R124" s="77" t="str">
        <f t="shared" si="42"/>
        <v>-</v>
      </c>
      <c r="S124" s="78">
        <f t="shared" si="50"/>
        <v>0</v>
      </c>
    </row>
    <row r="125" spans="1:19" x14ac:dyDescent="0.25">
      <c r="A125" s="7" t="s">
        <v>491</v>
      </c>
      <c r="B125" s="2" t="str">
        <f t="shared" si="58"/>
        <v>S449</v>
      </c>
      <c r="C125" s="2">
        <v>20</v>
      </c>
      <c r="D125" s="60">
        <v>31</v>
      </c>
      <c r="E125" s="4" t="s">
        <v>646</v>
      </c>
      <c r="F125" s="4" t="s">
        <v>645</v>
      </c>
      <c r="G125" s="8">
        <v>230</v>
      </c>
      <c r="H125" s="23" t="str">
        <f t="shared" si="51"/>
        <v>S449L1</v>
      </c>
      <c r="I125" s="4" t="s">
        <v>672</v>
      </c>
      <c r="J125" s="66">
        <f t="shared" si="59"/>
        <v>230</v>
      </c>
      <c r="K125" s="23" t="str">
        <f t="shared" si="60"/>
        <v>S449L2</v>
      </c>
      <c r="L125" s="4" t="str">
        <f t="shared" si="46"/>
        <v>TerTal</v>
      </c>
      <c r="M125" s="66">
        <v>9999</v>
      </c>
      <c r="N125" s="23" t="str">
        <f t="shared" si="61"/>
        <v>S449L3</v>
      </c>
      <c r="O125" s="4" t="str">
        <f t="shared" si="62"/>
        <v>TerHea</v>
      </c>
      <c r="P125" s="66">
        <v>9999</v>
      </c>
      <c r="Q125" s="76" t="str">
        <f t="shared" si="49"/>
        <v>-</v>
      </c>
      <c r="R125" s="77" t="str">
        <f t="shared" si="42"/>
        <v>-</v>
      </c>
      <c r="S125" s="78">
        <f t="shared" si="50"/>
        <v>0</v>
      </c>
    </row>
    <row r="126" spans="1:19" x14ac:dyDescent="0.25">
      <c r="A126" s="7" t="s">
        <v>492</v>
      </c>
      <c r="B126" s="2" t="str">
        <f t="shared" si="58"/>
        <v>S450</v>
      </c>
      <c r="C126" s="2">
        <v>25</v>
      </c>
      <c r="D126" s="60">
        <v>33</v>
      </c>
      <c r="E126" s="4" t="s">
        <v>648</v>
      </c>
      <c r="F126" s="4" t="s">
        <v>647</v>
      </c>
      <c r="G126" s="8">
        <v>100</v>
      </c>
      <c r="H126" s="23" t="str">
        <f t="shared" si="51"/>
        <v>S450L1</v>
      </c>
      <c r="I126" s="4" t="s">
        <v>672</v>
      </c>
      <c r="J126" s="66">
        <f t="shared" si="59"/>
        <v>100</v>
      </c>
      <c r="K126" s="23" t="str">
        <f t="shared" si="60"/>
        <v>S450L2</v>
      </c>
      <c r="L126" s="4" t="str">
        <f t="shared" si="46"/>
        <v>TerTal</v>
      </c>
      <c r="M126" s="66">
        <v>9999</v>
      </c>
      <c r="N126" s="23" t="str">
        <f t="shared" si="61"/>
        <v>S450L3</v>
      </c>
      <c r="O126" s="4" t="str">
        <f t="shared" si="62"/>
        <v>TerHea</v>
      </c>
      <c r="P126" s="66">
        <v>9999</v>
      </c>
      <c r="Q126" s="76" t="str">
        <f t="shared" si="49"/>
        <v>-</v>
      </c>
      <c r="R126" s="77" t="str">
        <f t="shared" si="42"/>
        <v>-</v>
      </c>
      <c r="S126" s="78">
        <f t="shared" si="50"/>
        <v>0</v>
      </c>
    </row>
    <row r="127" spans="1:19" x14ac:dyDescent="0.25">
      <c r="A127" s="7" t="s">
        <v>493</v>
      </c>
      <c r="B127" s="2" t="str">
        <f t="shared" si="58"/>
        <v>S451</v>
      </c>
      <c r="C127" s="2">
        <v>25</v>
      </c>
      <c r="D127" s="60">
        <v>33</v>
      </c>
      <c r="E127" s="4" t="s">
        <v>650</v>
      </c>
      <c r="F127" s="4" t="s">
        <v>649</v>
      </c>
      <c r="G127" s="8">
        <v>180</v>
      </c>
      <c r="H127" s="23" t="str">
        <f t="shared" si="51"/>
        <v>S451L1</v>
      </c>
      <c r="I127" s="4" t="s">
        <v>672</v>
      </c>
      <c r="J127" s="66">
        <f t="shared" si="59"/>
        <v>180</v>
      </c>
      <c r="K127" s="23" t="str">
        <f t="shared" si="60"/>
        <v>S451L2</v>
      </c>
      <c r="L127" s="4" t="str">
        <f t="shared" si="46"/>
        <v>TerTal</v>
      </c>
      <c r="M127" s="66">
        <v>9999</v>
      </c>
      <c r="N127" s="23" t="str">
        <f t="shared" si="61"/>
        <v>S451L3</v>
      </c>
      <c r="O127" s="4" t="str">
        <f t="shared" si="62"/>
        <v>TerHea</v>
      </c>
      <c r="P127" s="66">
        <v>9999</v>
      </c>
      <c r="Q127" s="76" t="str">
        <f t="shared" si="49"/>
        <v>-</v>
      </c>
      <c r="R127" s="77" t="str">
        <f t="shared" si="42"/>
        <v>-</v>
      </c>
      <c r="S127" s="78">
        <f t="shared" si="50"/>
        <v>0</v>
      </c>
    </row>
    <row r="128" spans="1:19" x14ac:dyDescent="0.25">
      <c r="A128" s="7" t="s">
        <v>494</v>
      </c>
      <c r="B128" s="2" t="str">
        <f t="shared" si="58"/>
        <v>S452</v>
      </c>
      <c r="C128" s="2">
        <v>25</v>
      </c>
      <c r="D128" s="60">
        <v>33</v>
      </c>
      <c r="E128" s="4" t="s">
        <v>652</v>
      </c>
      <c r="F128" s="4" t="s">
        <v>651</v>
      </c>
      <c r="G128" s="8">
        <v>80</v>
      </c>
      <c r="H128" s="23" t="str">
        <f t="shared" si="51"/>
        <v>S452L1</v>
      </c>
      <c r="I128" s="4" t="s">
        <v>672</v>
      </c>
      <c r="J128" s="66">
        <f t="shared" si="59"/>
        <v>80</v>
      </c>
      <c r="K128" s="23" t="str">
        <f t="shared" si="60"/>
        <v>S452L2</v>
      </c>
      <c r="L128" s="4" t="str">
        <f t="shared" si="46"/>
        <v>TerTal</v>
      </c>
      <c r="M128" s="66">
        <v>9999</v>
      </c>
      <c r="N128" s="23" t="str">
        <f t="shared" si="61"/>
        <v>S452L3</v>
      </c>
      <c r="O128" s="4" t="str">
        <f t="shared" si="62"/>
        <v>TerHea</v>
      </c>
      <c r="P128" s="66">
        <v>9999</v>
      </c>
      <c r="Q128" s="76" t="str">
        <f t="shared" si="49"/>
        <v>-</v>
      </c>
      <c r="R128" s="77" t="str">
        <f t="shared" si="42"/>
        <v>-</v>
      </c>
      <c r="S128" s="78">
        <f t="shared" si="50"/>
        <v>0</v>
      </c>
    </row>
    <row r="129" spans="1:19" x14ac:dyDescent="0.25">
      <c r="A129" s="7" t="s">
        <v>495</v>
      </c>
      <c r="B129" s="2" t="str">
        <f t="shared" si="58"/>
        <v>S453</v>
      </c>
      <c r="C129" s="2">
        <v>24</v>
      </c>
      <c r="D129" s="60">
        <v>33</v>
      </c>
      <c r="E129" s="4" t="s">
        <v>654</v>
      </c>
      <c r="F129" s="4" t="s">
        <v>653</v>
      </c>
      <c r="G129" s="8">
        <v>170</v>
      </c>
      <c r="H129" s="23" t="str">
        <f t="shared" si="51"/>
        <v>S453L1</v>
      </c>
      <c r="I129" s="4" t="s">
        <v>672</v>
      </c>
      <c r="J129" s="66">
        <f t="shared" si="59"/>
        <v>170</v>
      </c>
      <c r="K129" s="23" t="str">
        <f t="shared" si="60"/>
        <v>S453L2</v>
      </c>
      <c r="L129" s="4" t="str">
        <f t="shared" si="46"/>
        <v>TerTal</v>
      </c>
      <c r="M129" s="66">
        <v>9999</v>
      </c>
      <c r="N129" s="23" t="str">
        <f t="shared" si="61"/>
        <v>S453L3</v>
      </c>
      <c r="O129" s="4" t="str">
        <f t="shared" si="62"/>
        <v>TerHea</v>
      </c>
      <c r="P129" s="66">
        <v>9999</v>
      </c>
      <c r="Q129" s="76" t="str">
        <f t="shared" si="49"/>
        <v>-</v>
      </c>
      <c r="R129" s="77" t="str">
        <f t="shared" ref="R129:R154" si="63">IF(Q129="-","-","sawmbe")</f>
        <v>-</v>
      </c>
      <c r="S129" s="78">
        <f t="shared" si="50"/>
        <v>0</v>
      </c>
    </row>
    <row r="130" spans="1:19" x14ac:dyDescent="0.25">
      <c r="A130" s="7" t="s">
        <v>496</v>
      </c>
      <c r="B130" s="2" t="str">
        <f t="shared" ref="B130:B154" si="64">A130</f>
        <v>S454</v>
      </c>
      <c r="C130" s="2">
        <v>14</v>
      </c>
      <c r="D130" s="60">
        <v>23</v>
      </c>
      <c r="E130" s="4" t="s">
        <v>656</v>
      </c>
      <c r="F130" s="4" t="s">
        <v>655</v>
      </c>
      <c r="G130" s="8">
        <v>75</v>
      </c>
      <c r="H130" s="23" t="str">
        <f t="shared" si="51"/>
        <v>S454L1</v>
      </c>
      <c r="I130" s="4" t="s">
        <v>672</v>
      </c>
      <c r="J130" s="66">
        <f t="shared" ref="J130:J154" si="65">IF(H130="-",0,G130*J$164)</f>
        <v>75</v>
      </c>
      <c r="K130" s="23" t="str">
        <f t="shared" ref="K130:K154" si="66">IF(H130="-","-",$A130&amp;"L"&amp;K$1)</f>
        <v>S454L2</v>
      </c>
      <c r="L130" s="4" t="str">
        <f t="shared" ref="L130:L154" si="67">IF(I130="sawmal","TerTal",IF(I130="sawmpi","TerTpi",IF(I130="sawmsp","TerTsp","")))</f>
        <v>TerTal</v>
      </c>
      <c r="M130" s="66">
        <v>9999</v>
      </c>
      <c r="N130" s="23" t="str">
        <f t="shared" ref="N130:N154" si="68">IF(K130="-","-",$A130&amp;"L"&amp;N$1)</f>
        <v>S454L3</v>
      </c>
      <c r="O130" s="4" t="str">
        <f t="shared" ref="O130:O154" si="69">IF(N130="-","-","TerHea")</f>
        <v>TerHea</v>
      </c>
      <c r="P130" s="66">
        <v>9999</v>
      </c>
      <c r="Q130" s="76" t="str">
        <f t="shared" ref="Q130:Q154" si="70">IF(N130="-","-","-")</f>
        <v>-</v>
      </c>
      <c r="R130" s="77" t="str">
        <f t="shared" si="63"/>
        <v>-</v>
      </c>
      <c r="S130" s="78">
        <f t="shared" ref="S130:S154" si="71">IF(Q130="-",0,MIN(G130*$J$164,1))</f>
        <v>0</v>
      </c>
    </row>
    <row r="131" spans="1:19" x14ac:dyDescent="0.25">
      <c r="A131" s="68" t="s">
        <v>497</v>
      </c>
      <c r="B131" s="2" t="str">
        <f t="shared" si="64"/>
        <v>S455</v>
      </c>
      <c r="C131" s="2">
        <v>20</v>
      </c>
      <c r="D131" s="60">
        <v>31</v>
      </c>
      <c r="E131" s="4" t="s">
        <v>658</v>
      </c>
      <c r="F131" s="4" t="s">
        <v>657</v>
      </c>
      <c r="G131" s="8">
        <v>20</v>
      </c>
      <c r="H131" s="23" t="str">
        <f t="shared" ref="H131:H154" si="72">IF(OR(G131&gt;$G$165,I131="sawmbe"),$A131&amp;"L"&amp;H$1,"-")</f>
        <v>S455L1</v>
      </c>
      <c r="I131" s="4" t="s">
        <v>797</v>
      </c>
      <c r="J131" s="66">
        <f t="shared" si="65"/>
        <v>20</v>
      </c>
      <c r="K131" s="23" t="str">
        <f t="shared" si="66"/>
        <v>S455L2</v>
      </c>
      <c r="L131" s="4" t="str">
        <f t="shared" si="67"/>
        <v/>
      </c>
      <c r="M131" s="66">
        <v>9999</v>
      </c>
      <c r="N131" s="23" t="str">
        <f t="shared" si="68"/>
        <v>S455L3</v>
      </c>
      <c r="O131" s="4" t="str">
        <f t="shared" si="69"/>
        <v>TerHea</v>
      </c>
      <c r="P131" s="66">
        <v>9999</v>
      </c>
      <c r="Q131" s="76" t="str">
        <f t="shared" si="70"/>
        <v>-</v>
      </c>
      <c r="R131" s="77" t="str">
        <f t="shared" si="63"/>
        <v>-</v>
      </c>
      <c r="S131" s="78">
        <f t="shared" si="71"/>
        <v>0</v>
      </c>
    </row>
    <row r="132" spans="1:19" x14ac:dyDescent="0.25">
      <c r="A132" s="7" t="s">
        <v>498</v>
      </c>
      <c r="B132" s="2" t="str">
        <f t="shared" si="64"/>
        <v>S456</v>
      </c>
      <c r="C132" s="2">
        <v>7</v>
      </c>
      <c r="D132" s="60">
        <v>21</v>
      </c>
      <c r="E132" s="4" t="s">
        <v>660</v>
      </c>
      <c r="F132" s="4" t="s">
        <v>659</v>
      </c>
      <c r="G132" s="8">
        <v>280</v>
      </c>
      <c r="H132" s="23" t="str">
        <f t="shared" si="72"/>
        <v>S456L1</v>
      </c>
      <c r="I132" s="4" t="s">
        <v>672</v>
      </c>
      <c r="J132" s="66">
        <f t="shared" si="65"/>
        <v>280</v>
      </c>
      <c r="K132" s="23" t="str">
        <f t="shared" si="66"/>
        <v>S456L2</v>
      </c>
      <c r="L132" s="4" t="str">
        <f t="shared" si="67"/>
        <v>TerTal</v>
      </c>
      <c r="M132" s="66">
        <v>9999</v>
      </c>
      <c r="N132" s="23" t="str">
        <f t="shared" si="68"/>
        <v>S456L3</v>
      </c>
      <c r="O132" s="4" t="str">
        <f t="shared" si="69"/>
        <v>TerHea</v>
      </c>
      <c r="P132" s="66">
        <v>9999</v>
      </c>
      <c r="Q132" s="76" t="str">
        <f t="shared" si="70"/>
        <v>-</v>
      </c>
      <c r="R132" s="77" t="str">
        <f t="shared" si="63"/>
        <v>-</v>
      </c>
      <c r="S132" s="78">
        <f t="shared" si="71"/>
        <v>0</v>
      </c>
    </row>
    <row r="133" spans="1:19" x14ac:dyDescent="0.25">
      <c r="A133" s="7" t="s">
        <v>499</v>
      </c>
      <c r="B133" s="2" t="str">
        <f t="shared" si="64"/>
        <v>S457</v>
      </c>
      <c r="C133" s="2">
        <v>23</v>
      </c>
      <c r="D133" s="60">
        <v>12</v>
      </c>
      <c r="E133" s="4" t="s">
        <v>662</v>
      </c>
      <c r="F133" s="4" t="s">
        <v>661</v>
      </c>
      <c r="G133" s="8">
        <v>20</v>
      </c>
      <c r="H133" s="23" t="str">
        <f t="shared" si="72"/>
        <v>-</v>
      </c>
      <c r="I133" s="4" t="s">
        <v>672</v>
      </c>
      <c r="J133" s="66">
        <f t="shared" si="65"/>
        <v>0</v>
      </c>
      <c r="K133" s="23" t="str">
        <f t="shared" si="66"/>
        <v>-</v>
      </c>
      <c r="L133" s="4" t="str">
        <f t="shared" si="67"/>
        <v>TerTal</v>
      </c>
      <c r="M133" s="66">
        <v>9999</v>
      </c>
      <c r="N133" s="23" t="str">
        <f t="shared" si="68"/>
        <v>-</v>
      </c>
      <c r="O133" s="4" t="str">
        <f t="shared" si="69"/>
        <v>-</v>
      </c>
      <c r="P133" s="66">
        <v>9999</v>
      </c>
      <c r="Q133" s="76" t="str">
        <f t="shared" si="70"/>
        <v>-</v>
      </c>
      <c r="R133" s="77" t="str">
        <f t="shared" si="63"/>
        <v>-</v>
      </c>
      <c r="S133" s="78">
        <f t="shared" si="71"/>
        <v>0</v>
      </c>
    </row>
    <row r="134" spans="1:19" x14ac:dyDescent="0.25">
      <c r="A134" s="7" t="s">
        <v>500</v>
      </c>
      <c r="B134" s="2" t="str">
        <f t="shared" si="64"/>
        <v>S458</v>
      </c>
      <c r="C134" s="2">
        <v>12</v>
      </c>
      <c r="D134" s="60">
        <v>22</v>
      </c>
      <c r="E134" s="4" t="s">
        <v>664</v>
      </c>
      <c r="F134" s="4" t="s">
        <v>663</v>
      </c>
      <c r="G134" s="8">
        <v>80</v>
      </c>
      <c r="H134" s="23" t="str">
        <f t="shared" si="72"/>
        <v>S458L1</v>
      </c>
      <c r="I134" s="4" t="s">
        <v>672</v>
      </c>
      <c r="J134" s="66">
        <f t="shared" si="65"/>
        <v>80</v>
      </c>
      <c r="K134" s="23" t="str">
        <f t="shared" si="66"/>
        <v>S458L2</v>
      </c>
      <c r="L134" s="4" t="str">
        <f t="shared" si="67"/>
        <v>TerTal</v>
      </c>
      <c r="M134" s="66">
        <v>9999</v>
      </c>
      <c r="N134" s="23" t="str">
        <f t="shared" si="68"/>
        <v>S458L3</v>
      </c>
      <c r="O134" s="4" t="str">
        <f t="shared" si="69"/>
        <v>TerHea</v>
      </c>
      <c r="P134" s="66">
        <v>9999</v>
      </c>
      <c r="Q134" s="76" t="str">
        <f t="shared" si="70"/>
        <v>-</v>
      </c>
      <c r="R134" s="77" t="str">
        <f t="shared" si="63"/>
        <v>-</v>
      </c>
      <c r="S134" s="78">
        <f t="shared" si="71"/>
        <v>0</v>
      </c>
    </row>
    <row r="135" spans="1:19" x14ac:dyDescent="0.25">
      <c r="A135" s="7" t="s">
        <v>501</v>
      </c>
      <c r="B135" s="2" t="str">
        <f t="shared" si="64"/>
        <v>S459</v>
      </c>
      <c r="C135" s="2">
        <v>25</v>
      </c>
      <c r="D135" s="60">
        <v>33</v>
      </c>
      <c r="E135" s="4">
        <v>7297233.608</v>
      </c>
      <c r="F135" s="4" t="s">
        <v>665</v>
      </c>
      <c r="G135" s="8">
        <v>55</v>
      </c>
      <c r="H135" s="23" t="str">
        <f t="shared" si="72"/>
        <v>S459L1</v>
      </c>
      <c r="I135" s="4" t="s">
        <v>672</v>
      </c>
      <c r="J135" s="66">
        <f t="shared" si="65"/>
        <v>55</v>
      </c>
      <c r="K135" s="23" t="str">
        <f t="shared" si="66"/>
        <v>S459L2</v>
      </c>
      <c r="L135" s="4" t="str">
        <f t="shared" si="67"/>
        <v>TerTal</v>
      </c>
      <c r="M135" s="66">
        <v>9999</v>
      </c>
      <c r="N135" s="23" t="str">
        <f t="shared" si="68"/>
        <v>S459L3</v>
      </c>
      <c r="O135" s="4" t="str">
        <f t="shared" si="69"/>
        <v>TerHea</v>
      </c>
      <c r="P135" s="66">
        <v>9999</v>
      </c>
      <c r="Q135" s="76" t="str">
        <f t="shared" si="70"/>
        <v>-</v>
      </c>
      <c r="R135" s="77" t="str">
        <f t="shared" si="63"/>
        <v>-</v>
      </c>
      <c r="S135" s="78">
        <f t="shared" si="71"/>
        <v>0</v>
      </c>
    </row>
    <row r="136" spans="1:19" x14ac:dyDescent="0.25">
      <c r="A136" s="2" t="s">
        <v>366</v>
      </c>
      <c r="B136" s="2" t="str">
        <f t="shared" si="64"/>
        <v>S46</v>
      </c>
      <c r="C136" s="2">
        <v>6</v>
      </c>
      <c r="D136" s="60">
        <v>21</v>
      </c>
      <c r="E136" s="4">
        <v>6316450.3715000004</v>
      </c>
      <c r="F136" s="4">
        <v>457759.91389999999</v>
      </c>
      <c r="G136" s="2">
        <v>147</v>
      </c>
      <c r="H136" s="23" t="str">
        <f t="shared" si="72"/>
        <v>S46L1</v>
      </c>
      <c r="I136" s="4" t="s">
        <v>675</v>
      </c>
      <c r="J136" s="66">
        <f t="shared" si="65"/>
        <v>147</v>
      </c>
      <c r="K136" s="23" t="str">
        <f t="shared" si="66"/>
        <v>S46L2</v>
      </c>
      <c r="L136" s="4" t="str">
        <f t="shared" si="67"/>
        <v>TerTsp</v>
      </c>
      <c r="M136" s="66">
        <v>9999</v>
      </c>
      <c r="N136" s="23" t="str">
        <f t="shared" si="68"/>
        <v>S46L3</v>
      </c>
      <c r="O136" s="4" t="str">
        <f t="shared" si="69"/>
        <v>TerHea</v>
      </c>
      <c r="P136" s="66">
        <v>9999</v>
      </c>
      <c r="Q136" s="76" t="str">
        <f t="shared" si="70"/>
        <v>-</v>
      </c>
      <c r="R136" s="77" t="str">
        <f t="shared" si="63"/>
        <v>-</v>
      </c>
      <c r="S136" s="78">
        <f t="shared" si="71"/>
        <v>0</v>
      </c>
    </row>
    <row r="137" spans="1:19" x14ac:dyDescent="0.25">
      <c r="A137" s="7" t="s">
        <v>502</v>
      </c>
      <c r="B137" s="2" t="str">
        <f t="shared" si="64"/>
        <v>S460</v>
      </c>
      <c r="C137" s="2">
        <v>6</v>
      </c>
      <c r="D137" s="60">
        <v>21</v>
      </c>
      <c r="E137" s="4" t="s">
        <v>667</v>
      </c>
      <c r="F137" s="4" t="s">
        <v>666</v>
      </c>
      <c r="G137" s="8">
        <v>10</v>
      </c>
      <c r="H137" s="23" t="str">
        <f t="shared" si="72"/>
        <v>S460L1</v>
      </c>
      <c r="I137" s="4" t="s">
        <v>797</v>
      </c>
      <c r="J137" s="66">
        <f t="shared" si="65"/>
        <v>10</v>
      </c>
      <c r="K137" s="23" t="str">
        <f t="shared" si="66"/>
        <v>S460L2</v>
      </c>
      <c r="L137" s="4" t="str">
        <f t="shared" si="67"/>
        <v/>
      </c>
      <c r="M137" s="66">
        <v>9999</v>
      </c>
      <c r="N137" s="23" t="str">
        <f t="shared" si="68"/>
        <v>S460L3</v>
      </c>
      <c r="O137" s="4" t="str">
        <f t="shared" si="69"/>
        <v>TerHea</v>
      </c>
      <c r="P137" s="66">
        <v>9999</v>
      </c>
      <c r="Q137" s="76" t="str">
        <f t="shared" si="70"/>
        <v>-</v>
      </c>
      <c r="R137" s="77" t="str">
        <f t="shared" si="63"/>
        <v>-</v>
      </c>
      <c r="S137" s="78">
        <f t="shared" si="71"/>
        <v>0</v>
      </c>
    </row>
    <row r="138" spans="1:19" x14ac:dyDescent="0.25">
      <c r="A138" s="2" t="s">
        <v>367</v>
      </c>
      <c r="B138" s="2" t="str">
        <f t="shared" si="64"/>
        <v>S47</v>
      </c>
      <c r="C138" s="2">
        <v>8</v>
      </c>
      <c r="D138" s="60">
        <v>21</v>
      </c>
      <c r="E138" s="4">
        <v>6385979.9468999999</v>
      </c>
      <c r="F138" s="4">
        <v>561430.69649999996</v>
      </c>
      <c r="G138" s="2">
        <v>120</v>
      </c>
      <c r="H138" s="23" t="str">
        <f t="shared" si="72"/>
        <v>S47L1</v>
      </c>
      <c r="I138" s="4" t="s">
        <v>672</v>
      </c>
      <c r="J138" s="66">
        <f t="shared" si="65"/>
        <v>120</v>
      </c>
      <c r="K138" s="23" t="str">
        <f t="shared" si="66"/>
        <v>S47L2</v>
      </c>
      <c r="L138" s="4" t="str">
        <f t="shared" si="67"/>
        <v>TerTal</v>
      </c>
      <c r="M138" s="66">
        <v>9999</v>
      </c>
      <c r="N138" s="23" t="str">
        <f t="shared" si="68"/>
        <v>S47L3</v>
      </c>
      <c r="O138" s="4" t="str">
        <f t="shared" si="69"/>
        <v>TerHea</v>
      </c>
      <c r="P138" s="66">
        <v>9999</v>
      </c>
      <c r="Q138" s="76" t="str">
        <f t="shared" si="70"/>
        <v>-</v>
      </c>
      <c r="R138" s="77" t="str">
        <f t="shared" si="63"/>
        <v>-</v>
      </c>
      <c r="S138" s="78">
        <f t="shared" si="71"/>
        <v>0</v>
      </c>
    </row>
    <row r="139" spans="1:19" x14ac:dyDescent="0.25">
      <c r="A139" s="2" t="s">
        <v>368</v>
      </c>
      <c r="B139" s="2" t="str">
        <f t="shared" si="64"/>
        <v>S52</v>
      </c>
      <c r="C139" s="2">
        <v>24</v>
      </c>
      <c r="D139" s="60">
        <v>33</v>
      </c>
      <c r="E139" s="4">
        <v>7234807.0504999999</v>
      </c>
      <c r="F139" s="4">
        <v>674118.24029999995</v>
      </c>
      <c r="G139" s="2">
        <v>0</v>
      </c>
      <c r="H139" s="23" t="str">
        <f t="shared" si="72"/>
        <v>-</v>
      </c>
      <c r="I139" s="4" t="s">
        <v>672</v>
      </c>
      <c r="J139" s="66">
        <f t="shared" si="65"/>
        <v>0</v>
      </c>
      <c r="K139" s="23" t="str">
        <f t="shared" si="66"/>
        <v>-</v>
      </c>
      <c r="L139" s="4" t="str">
        <f t="shared" si="67"/>
        <v>TerTal</v>
      </c>
      <c r="M139" s="66">
        <v>9999</v>
      </c>
      <c r="N139" s="23" t="str">
        <f t="shared" si="68"/>
        <v>-</v>
      </c>
      <c r="O139" s="4" t="str">
        <f t="shared" si="69"/>
        <v>-</v>
      </c>
      <c r="P139" s="66">
        <v>9999</v>
      </c>
      <c r="Q139" s="76" t="str">
        <f t="shared" si="70"/>
        <v>-</v>
      </c>
      <c r="R139" s="77" t="str">
        <f t="shared" si="63"/>
        <v>-</v>
      </c>
      <c r="S139" s="78">
        <f t="shared" si="71"/>
        <v>0</v>
      </c>
    </row>
    <row r="140" spans="1:19" x14ac:dyDescent="0.25">
      <c r="A140" s="2" t="s">
        <v>369</v>
      </c>
      <c r="B140" s="2" t="str">
        <f t="shared" si="64"/>
        <v>S53</v>
      </c>
      <c r="C140" s="2">
        <v>8</v>
      </c>
      <c r="D140" s="60">
        <v>21</v>
      </c>
      <c r="E140" s="4">
        <v>6251920.0137999998</v>
      </c>
      <c r="F140" s="4">
        <v>561556.39170000004</v>
      </c>
      <c r="G140" s="2">
        <v>20</v>
      </c>
      <c r="H140" s="23" t="str">
        <f t="shared" si="72"/>
        <v>-</v>
      </c>
      <c r="I140" s="4" t="s">
        <v>673</v>
      </c>
      <c r="J140" s="66">
        <f t="shared" si="65"/>
        <v>0</v>
      </c>
      <c r="K140" s="23" t="str">
        <f t="shared" si="66"/>
        <v>-</v>
      </c>
      <c r="L140" s="4" t="str">
        <f t="shared" si="67"/>
        <v>TerTpi</v>
      </c>
      <c r="M140" s="66">
        <v>9999</v>
      </c>
      <c r="N140" s="23" t="str">
        <f t="shared" si="68"/>
        <v>-</v>
      </c>
      <c r="O140" s="4" t="str">
        <f t="shared" si="69"/>
        <v>-</v>
      </c>
      <c r="P140" s="66">
        <v>9999</v>
      </c>
      <c r="Q140" s="76" t="str">
        <f t="shared" si="70"/>
        <v>-</v>
      </c>
      <c r="R140" s="77" t="str">
        <f t="shared" si="63"/>
        <v>-</v>
      </c>
      <c r="S140" s="78">
        <f t="shared" si="71"/>
        <v>0</v>
      </c>
    </row>
    <row r="141" spans="1:19" x14ac:dyDescent="0.25">
      <c r="A141" s="2" t="s">
        <v>370</v>
      </c>
      <c r="B141" s="2" t="str">
        <f t="shared" si="64"/>
        <v>S59</v>
      </c>
      <c r="C141" s="2">
        <v>6</v>
      </c>
      <c r="D141" s="60">
        <v>21</v>
      </c>
      <c r="E141" s="4">
        <v>6380460.1215000004</v>
      </c>
      <c r="F141" s="4">
        <v>498806.28370000003</v>
      </c>
      <c r="G141" s="2">
        <v>100</v>
      </c>
      <c r="H141" s="23" t="str">
        <f t="shared" si="72"/>
        <v>S59L1</v>
      </c>
      <c r="I141" s="4" t="s">
        <v>672</v>
      </c>
      <c r="J141" s="66">
        <f t="shared" si="65"/>
        <v>100</v>
      </c>
      <c r="K141" s="23" t="str">
        <f t="shared" si="66"/>
        <v>S59L2</v>
      </c>
      <c r="L141" s="4" t="str">
        <f t="shared" si="67"/>
        <v>TerTal</v>
      </c>
      <c r="M141" s="66">
        <v>9999</v>
      </c>
      <c r="N141" s="23" t="str">
        <f t="shared" si="68"/>
        <v>S59L3</v>
      </c>
      <c r="O141" s="4" t="str">
        <f t="shared" si="69"/>
        <v>TerHea</v>
      </c>
      <c r="P141" s="66">
        <v>9999</v>
      </c>
      <c r="Q141" s="76" t="str">
        <f t="shared" si="70"/>
        <v>-</v>
      </c>
      <c r="R141" s="77" t="str">
        <f t="shared" si="63"/>
        <v>-</v>
      </c>
      <c r="S141" s="78">
        <f t="shared" si="71"/>
        <v>0</v>
      </c>
    </row>
    <row r="142" spans="1:19" x14ac:dyDescent="0.25">
      <c r="A142" s="2" t="s">
        <v>358</v>
      </c>
      <c r="B142" s="2" t="str">
        <f t="shared" si="64"/>
        <v>S6</v>
      </c>
      <c r="C142" s="2">
        <v>14</v>
      </c>
      <c r="D142" s="60">
        <v>23</v>
      </c>
      <c r="E142" s="4">
        <v>6466554.3411999997</v>
      </c>
      <c r="F142" s="4">
        <v>378854.60859999998</v>
      </c>
      <c r="G142" s="2">
        <v>40</v>
      </c>
      <c r="H142" s="23" t="str">
        <f t="shared" si="72"/>
        <v>-</v>
      </c>
      <c r="I142" s="4" t="s">
        <v>672</v>
      </c>
      <c r="J142" s="66">
        <f t="shared" si="65"/>
        <v>0</v>
      </c>
      <c r="K142" s="23" t="str">
        <f t="shared" si="66"/>
        <v>-</v>
      </c>
      <c r="L142" s="4" t="str">
        <f t="shared" si="67"/>
        <v>TerTal</v>
      </c>
      <c r="M142" s="66">
        <v>9999</v>
      </c>
      <c r="N142" s="23" t="str">
        <f t="shared" si="68"/>
        <v>-</v>
      </c>
      <c r="O142" s="4" t="str">
        <f t="shared" si="69"/>
        <v>-</v>
      </c>
      <c r="P142" s="66">
        <v>9999</v>
      </c>
      <c r="Q142" s="76" t="str">
        <f t="shared" si="70"/>
        <v>-</v>
      </c>
      <c r="R142" s="77" t="str">
        <f t="shared" si="63"/>
        <v>-</v>
      </c>
      <c r="S142" s="78">
        <f t="shared" si="71"/>
        <v>0</v>
      </c>
    </row>
    <row r="143" spans="1:19" x14ac:dyDescent="0.25">
      <c r="A143" s="2" t="s">
        <v>371</v>
      </c>
      <c r="B143" s="2" t="str">
        <f t="shared" si="64"/>
        <v>S62</v>
      </c>
      <c r="C143" s="2">
        <v>6</v>
      </c>
      <c r="D143" s="60">
        <v>21</v>
      </c>
      <c r="E143" s="4">
        <v>6395474.7813999997</v>
      </c>
      <c r="F143" s="4">
        <v>481254.48859999998</v>
      </c>
      <c r="G143" s="2">
        <v>70</v>
      </c>
      <c r="H143" s="23" t="str">
        <f t="shared" si="72"/>
        <v>S62L1</v>
      </c>
      <c r="I143" s="4" t="s">
        <v>672</v>
      </c>
      <c r="J143" s="66">
        <f t="shared" si="65"/>
        <v>70</v>
      </c>
      <c r="K143" s="23" t="str">
        <f t="shared" si="66"/>
        <v>S62L2</v>
      </c>
      <c r="L143" s="4" t="str">
        <f t="shared" si="67"/>
        <v>TerTal</v>
      </c>
      <c r="M143" s="66">
        <v>9999</v>
      </c>
      <c r="N143" s="23" t="str">
        <f t="shared" si="68"/>
        <v>S62L3</v>
      </c>
      <c r="O143" s="4" t="str">
        <f t="shared" si="69"/>
        <v>TerHea</v>
      </c>
      <c r="P143" s="66">
        <v>9999</v>
      </c>
      <c r="Q143" s="76" t="str">
        <f t="shared" si="70"/>
        <v>-</v>
      </c>
      <c r="R143" s="77" t="str">
        <f t="shared" si="63"/>
        <v>-</v>
      </c>
      <c r="S143" s="78">
        <f t="shared" si="71"/>
        <v>0</v>
      </c>
    </row>
    <row r="144" spans="1:19" x14ac:dyDescent="0.25">
      <c r="A144" s="2" t="s">
        <v>372</v>
      </c>
      <c r="B144" s="2" t="str">
        <f t="shared" si="64"/>
        <v>S64</v>
      </c>
      <c r="C144" s="2">
        <v>13</v>
      </c>
      <c r="D144" s="60">
        <v>23</v>
      </c>
      <c r="E144" s="4">
        <v>6265562.4067000002</v>
      </c>
      <c r="F144" s="4">
        <v>396400.83990000002</v>
      </c>
      <c r="G144" s="2">
        <v>135</v>
      </c>
      <c r="H144" s="23" t="str">
        <f t="shared" si="72"/>
        <v>S64L1</v>
      </c>
      <c r="I144" s="4" t="s">
        <v>672</v>
      </c>
      <c r="J144" s="66">
        <f t="shared" si="65"/>
        <v>135</v>
      </c>
      <c r="K144" s="23" t="str">
        <f t="shared" si="66"/>
        <v>S64L2</v>
      </c>
      <c r="L144" s="4" t="str">
        <f t="shared" si="67"/>
        <v>TerTal</v>
      </c>
      <c r="M144" s="66">
        <v>9999</v>
      </c>
      <c r="N144" s="23" t="str">
        <f t="shared" si="68"/>
        <v>S64L3</v>
      </c>
      <c r="O144" s="4" t="str">
        <f t="shared" si="69"/>
        <v>TerHea</v>
      </c>
      <c r="P144" s="66">
        <v>9999</v>
      </c>
      <c r="Q144" s="76" t="str">
        <f t="shared" si="70"/>
        <v>-</v>
      </c>
      <c r="R144" s="77" t="str">
        <f t="shared" si="63"/>
        <v>-</v>
      </c>
      <c r="S144" s="78">
        <f t="shared" si="71"/>
        <v>0</v>
      </c>
    </row>
    <row r="145" spans="1:19" x14ac:dyDescent="0.25">
      <c r="A145" s="2" t="s">
        <v>373</v>
      </c>
      <c r="B145" s="2" t="str">
        <f t="shared" si="64"/>
        <v>S65</v>
      </c>
      <c r="C145" s="2">
        <v>4</v>
      </c>
      <c r="D145" s="60">
        <v>12</v>
      </c>
      <c r="E145" s="4">
        <v>6569678.8982999995</v>
      </c>
      <c r="F145" s="4">
        <v>619804.00719999999</v>
      </c>
      <c r="G145" s="2">
        <v>120</v>
      </c>
      <c r="H145" s="23" t="str">
        <f t="shared" si="72"/>
        <v>S65L1</v>
      </c>
      <c r="I145" s="4" t="s">
        <v>672</v>
      </c>
      <c r="J145" s="66">
        <f t="shared" si="65"/>
        <v>120</v>
      </c>
      <c r="K145" s="23" t="str">
        <f t="shared" si="66"/>
        <v>S65L2</v>
      </c>
      <c r="L145" s="4" t="str">
        <f t="shared" si="67"/>
        <v>TerTal</v>
      </c>
      <c r="M145" s="66">
        <v>9999</v>
      </c>
      <c r="N145" s="23" t="str">
        <f t="shared" si="68"/>
        <v>S65L3</v>
      </c>
      <c r="O145" s="4" t="str">
        <f t="shared" si="69"/>
        <v>TerHea</v>
      </c>
      <c r="P145" s="66">
        <v>9999</v>
      </c>
      <c r="Q145" s="76" t="str">
        <f t="shared" si="70"/>
        <v>-</v>
      </c>
      <c r="R145" s="77" t="str">
        <f t="shared" si="63"/>
        <v>-</v>
      </c>
      <c r="S145" s="78">
        <f t="shared" si="71"/>
        <v>0</v>
      </c>
    </row>
    <row r="146" spans="1:19" x14ac:dyDescent="0.25">
      <c r="A146" s="2" t="s">
        <v>374</v>
      </c>
      <c r="B146" s="2" t="str">
        <f t="shared" si="64"/>
        <v>S69</v>
      </c>
      <c r="C146" s="2">
        <v>24</v>
      </c>
      <c r="D146" s="60">
        <v>33</v>
      </c>
      <c r="E146" s="4">
        <v>7096837.7549000001</v>
      </c>
      <c r="F146" s="4">
        <v>738893.94070000004</v>
      </c>
      <c r="G146" s="2">
        <v>120</v>
      </c>
      <c r="H146" s="23" t="str">
        <f t="shared" si="72"/>
        <v>S69L1</v>
      </c>
      <c r="I146" s="4" t="s">
        <v>672</v>
      </c>
      <c r="J146" s="66">
        <f t="shared" si="65"/>
        <v>120</v>
      </c>
      <c r="K146" s="23" t="str">
        <f t="shared" si="66"/>
        <v>S69L2</v>
      </c>
      <c r="L146" s="4" t="str">
        <f t="shared" si="67"/>
        <v>TerTal</v>
      </c>
      <c r="M146" s="66">
        <v>9999</v>
      </c>
      <c r="N146" s="23" t="str">
        <f t="shared" si="68"/>
        <v>S69L3</v>
      </c>
      <c r="O146" s="4" t="str">
        <f t="shared" si="69"/>
        <v>TerHea</v>
      </c>
      <c r="P146" s="66">
        <v>9999</v>
      </c>
      <c r="Q146" s="76" t="str">
        <f t="shared" si="70"/>
        <v>-</v>
      </c>
      <c r="R146" s="77" t="str">
        <f t="shared" si="63"/>
        <v>-</v>
      </c>
      <c r="S146" s="78">
        <f t="shared" si="71"/>
        <v>0</v>
      </c>
    </row>
    <row r="147" spans="1:19" x14ac:dyDescent="0.25">
      <c r="A147" s="2" t="s">
        <v>375</v>
      </c>
      <c r="B147" s="2" t="str">
        <f t="shared" si="64"/>
        <v>S70</v>
      </c>
      <c r="C147" s="2">
        <v>13</v>
      </c>
      <c r="D147" s="60">
        <v>23</v>
      </c>
      <c r="E147" s="4">
        <v>6345750.8269999996</v>
      </c>
      <c r="F147" s="4">
        <v>329663.62829999998</v>
      </c>
      <c r="G147" s="2">
        <v>45</v>
      </c>
      <c r="H147" s="23" t="str">
        <f t="shared" si="72"/>
        <v>-</v>
      </c>
      <c r="I147" s="4" t="s">
        <v>673</v>
      </c>
      <c r="J147" s="66">
        <f t="shared" si="65"/>
        <v>0</v>
      </c>
      <c r="K147" s="23" t="str">
        <f t="shared" si="66"/>
        <v>-</v>
      </c>
      <c r="L147" s="4" t="str">
        <f t="shared" si="67"/>
        <v>TerTpi</v>
      </c>
      <c r="M147" s="66">
        <v>9999</v>
      </c>
      <c r="N147" s="23" t="str">
        <f t="shared" si="68"/>
        <v>-</v>
      </c>
      <c r="O147" s="4" t="str">
        <f t="shared" si="69"/>
        <v>-</v>
      </c>
      <c r="P147" s="66">
        <v>9999</v>
      </c>
      <c r="Q147" s="76" t="str">
        <f t="shared" si="70"/>
        <v>-</v>
      </c>
      <c r="R147" s="77" t="str">
        <f t="shared" si="63"/>
        <v>-</v>
      </c>
      <c r="S147" s="78">
        <f t="shared" si="71"/>
        <v>0</v>
      </c>
    </row>
    <row r="148" spans="1:19" x14ac:dyDescent="0.25">
      <c r="A148" s="2" t="s">
        <v>376</v>
      </c>
      <c r="B148" s="2" t="str">
        <f t="shared" si="64"/>
        <v>S71</v>
      </c>
      <c r="C148" s="2">
        <v>19</v>
      </c>
      <c r="D148" s="60">
        <v>12</v>
      </c>
      <c r="E148" s="4">
        <v>6656352.3103999998</v>
      </c>
      <c r="F148" s="4">
        <v>559848.58940000006</v>
      </c>
      <c r="G148" s="2">
        <v>75</v>
      </c>
      <c r="H148" s="23" t="str">
        <f t="shared" si="72"/>
        <v>S71L1</v>
      </c>
      <c r="I148" s="4" t="s">
        <v>673</v>
      </c>
      <c r="J148" s="66">
        <f t="shared" si="65"/>
        <v>75</v>
      </c>
      <c r="K148" s="23" t="str">
        <f t="shared" si="66"/>
        <v>S71L2</v>
      </c>
      <c r="L148" s="4" t="str">
        <f t="shared" si="67"/>
        <v>TerTpi</v>
      </c>
      <c r="M148" s="66">
        <v>9999</v>
      </c>
      <c r="N148" s="23" t="str">
        <f t="shared" si="68"/>
        <v>S71L3</v>
      </c>
      <c r="O148" s="4" t="str">
        <f t="shared" si="69"/>
        <v>TerHea</v>
      </c>
      <c r="P148" s="66">
        <v>9999</v>
      </c>
      <c r="Q148" s="76" t="str">
        <f t="shared" si="70"/>
        <v>-</v>
      </c>
      <c r="R148" s="77" t="str">
        <f t="shared" si="63"/>
        <v>-</v>
      </c>
      <c r="S148" s="78">
        <f t="shared" si="71"/>
        <v>0</v>
      </c>
    </row>
    <row r="149" spans="1:19" x14ac:dyDescent="0.25">
      <c r="A149" s="2" t="s">
        <v>377</v>
      </c>
      <c r="B149" s="2" t="str">
        <f t="shared" si="64"/>
        <v>S72</v>
      </c>
      <c r="C149" s="2">
        <v>14</v>
      </c>
      <c r="D149" s="60">
        <v>23</v>
      </c>
      <c r="E149" s="4">
        <v>6417735.6416999996</v>
      </c>
      <c r="F149" s="4">
        <v>382056.90360000002</v>
      </c>
      <c r="G149" s="2">
        <v>120</v>
      </c>
      <c r="H149" s="23" t="str">
        <f t="shared" si="72"/>
        <v>S72L1</v>
      </c>
      <c r="I149" s="4" t="s">
        <v>675</v>
      </c>
      <c r="J149" s="66">
        <f t="shared" si="65"/>
        <v>120</v>
      </c>
      <c r="K149" s="23" t="str">
        <f t="shared" si="66"/>
        <v>S72L2</v>
      </c>
      <c r="L149" s="4" t="str">
        <f t="shared" si="67"/>
        <v>TerTsp</v>
      </c>
      <c r="M149" s="66">
        <v>9999</v>
      </c>
      <c r="N149" s="23" t="str">
        <f t="shared" si="68"/>
        <v>S72L3</v>
      </c>
      <c r="O149" s="4" t="str">
        <f t="shared" si="69"/>
        <v>TerHea</v>
      </c>
      <c r="P149" s="66">
        <v>9999</v>
      </c>
      <c r="Q149" s="76" t="str">
        <f t="shared" si="70"/>
        <v>-</v>
      </c>
      <c r="R149" s="77" t="str">
        <f t="shared" si="63"/>
        <v>-</v>
      </c>
      <c r="S149" s="78">
        <f t="shared" si="71"/>
        <v>0</v>
      </c>
    </row>
    <row r="150" spans="1:19" x14ac:dyDescent="0.25">
      <c r="A150" s="2" t="s">
        <v>539</v>
      </c>
      <c r="B150" s="2" t="str">
        <f t="shared" si="64"/>
        <v>S77</v>
      </c>
      <c r="C150" s="2">
        <v>7</v>
      </c>
      <c r="D150" s="60">
        <v>21</v>
      </c>
      <c r="E150" s="4">
        <v>6264620.2651000004</v>
      </c>
      <c r="F150" s="4">
        <v>488661.78029999998</v>
      </c>
      <c r="G150" s="2">
        <v>0</v>
      </c>
      <c r="H150" s="23" t="str">
        <f t="shared" si="72"/>
        <v>-</v>
      </c>
      <c r="I150" s="4" t="s">
        <v>673</v>
      </c>
      <c r="J150" s="66">
        <f t="shared" si="65"/>
        <v>0</v>
      </c>
      <c r="K150" s="23" t="str">
        <f t="shared" si="66"/>
        <v>-</v>
      </c>
      <c r="L150" s="4" t="str">
        <f t="shared" si="67"/>
        <v>TerTpi</v>
      </c>
      <c r="M150" s="66">
        <v>9999</v>
      </c>
      <c r="N150" s="23" t="str">
        <f t="shared" si="68"/>
        <v>-</v>
      </c>
      <c r="O150" s="4" t="str">
        <f t="shared" si="69"/>
        <v>-</v>
      </c>
      <c r="P150" s="66">
        <v>9999</v>
      </c>
      <c r="Q150" s="76" t="str">
        <f t="shared" si="70"/>
        <v>-</v>
      </c>
      <c r="R150" s="77" t="str">
        <f t="shared" si="63"/>
        <v>-</v>
      </c>
      <c r="S150" s="78">
        <f t="shared" si="71"/>
        <v>0</v>
      </c>
    </row>
    <row r="151" spans="1:19" x14ac:dyDescent="0.25">
      <c r="A151" s="2" t="s">
        <v>378</v>
      </c>
      <c r="B151" s="2" t="str">
        <f t="shared" si="64"/>
        <v>S79</v>
      </c>
      <c r="C151" s="2">
        <v>17</v>
      </c>
      <c r="D151" s="60">
        <v>31</v>
      </c>
      <c r="E151" s="4">
        <v>6587265.5532999998</v>
      </c>
      <c r="F151" s="4">
        <v>337076.46710000001</v>
      </c>
      <c r="G151" s="2">
        <v>170</v>
      </c>
      <c r="H151" s="23" t="str">
        <f t="shared" si="72"/>
        <v>S79L1</v>
      </c>
      <c r="I151" s="4" t="s">
        <v>672</v>
      </c>
      <c r="J151" s="66">
        <f t="shared" si="65"/>
        <v>170</v>
      </c>
      <c r="K151" s="23" t="str">
        <f t="shared" si="66"/>
        <v>S79L2</v>
      </c>
      <c r="L151" s="4" t="str">
        <f t="shared" si="67"/>
        <v>TerTal</v>
      </c>
      <c r="M151" s="66">
        <v>9999</v>
      </c>
      <c r="N151" s="23" t="str">
        <f t="shared" si="68"/>
        <v>S79L3</v>
      </c>
      <c r="O151" s="4" t="str">
        <f t="shared" si="69"/>
        <v>TerHea</v>
      </c>
      <c r="P151" s="66">
        <v>9999</v>
      </c>
      <c r="Q151" s="76" t="str">
        <f t="shared" si="70"/>
        <v>-</v>
      </c>
      <c r="R151" s="77" t="str">
        <f t="shared" si="63"/>
        <v>-</v>
      </c>
      <c r="S151" s="78">
        <f t="shared" si="71"/>
        <v>0</v>
      </c>
    </row>
    <row r="152" spans="1:19" x14ac:dyDescent="0.25">
      <c r="A152" s="2" t="s">
        <v>379</v>
      </c>
      <c r="B152" s="2" t="str">
        <f t="shared" si="64"/>
        <v>S86</v>
      </c>
      <c r="C152" s="2">
        <v>17</v>
      </c>
      <c r="D152" s="60">
        <v>31</v>
      </c>
      <c r="E152" s="4">
        <v>6612025.7852999996</v>
      </c>
      <c r="F152" s="4">
        <v>376769.78860000003</v>
      </c>
      <c r="G152" s="2">
        <v>0</v>
      </c>
      <c r="H152" s="23" t="str">
        <f t="shared" si="72"/>
        <v>-</v>
      </c>
      <c r="I152" s="4" t="s">
        <v>672</v>
      </c>
      <c r="J152" s="66">
        <f t="shared" si="65"/>
        <v>0</v>
      </c>
      <c r="K152" s="23" t="str">
        <f t="shared" si="66"/>
        <v>-</v>
      </c>
      <c r="L152" s="4" t="str">
        <f t="shared" si="67"/>
        <v>TerTal</v>
      </c>
      <c r="M152" s="66">
        <v>9999</v>
      </c>
      <c r="N152" s="23" t="str">
        <f t="shared" si="68"/>
        <v>-</v>
      </c>
      <c r="O152" s="4" t="str">
        <f t="shared" si="69"/>
        <v>-</v>
      </c>
      <c r="P152" s="66">
        <v>9999</v>
      </c>
      <c r="Q152" s="76" t="str">
        <f t="shared" si="70"/>
        <v>-</v>
      </c>
      <c r="R152" s="77" t="str">
        <f t="shared" si="63"/>
        <v>-</v>
      </c>
      <c r="S152" s="78">
        <f t="shared" si="71"/>
        <v>0</v>
      </c>
    </row>
    <row r="153" spans="1:19" x14ac:dyDescent="0.25">
      <c r="A153" s="2" t="s">
        <v>380</v>
      </c>
      <c r="B153" s="2" t="str">
        <f t="shared" si="64"/>
        <v>S92</v>
      </c>
      <c r="C153" s="2">
        <v>20</v>
      </c>
      <c r="D153" s="60">
        <v>31</v>
      </c>
      <c r="E153" s="4">
        <v>6706269.0357999997</v>
      </c>
      <c r="F153" s="4">
        <v>445142.47249999997</v>
      </c>
      <c r="G153" s="2">
        <v>175</v>
      </c>
      <c r="H153" s="23" t="str">
        <f t="shared" si="72"/>
        <v>S92L1</v>
      </c>
      <c r="I153" s="4" t="s">
        <v>672</v>
      </c>
      <c r="J153" s="66">
        <f t="shared" si="65"/>
        <v>175</v>
      </c>
      <c r="K153" s="23" t="str">
        <f t="shared" si="66"/>
        <v>S92L2</v>
      </c>
      <c r="L153" s="4" t="str">
        <f t="shared" si="67"/>
        <v>TerTal</v>
      </c>
      <c r="M153" s="66">
        <v>9999</v>
      </c>
      <c r="N153" s="23" t="str">
        <f t="shared" si="68"/>
        <v>S92L3</v>
      </c>
      <c r="O153" s="4" t="str">
        <f t="shared" si="69"/>
        <v>TerHea</v>
      </c>
      <c r="P153" s="66">
        <v>9999</v>
      </c>
      <c r="Q153" s="76" t="str">
        <f t="shared" si="70"/>
        <v>-</v>
      </c>
      <c r="R153" s="77" t="str">
        <f t="shared" si="63"/>
        <v>-</v>
      </c>
      <c r="S153" s="78">
        <f t="shared" si="71"/>
        <v>0</v>
      </c>
    </row>
    <row r="154" spans="1:19" x14ac:dyDescent="0.25">
      <c r="A154" s="2" t="s">
        <v>381</v>
      </c>
      <c r="B154" s="2" t="str">
        <f t="shared" si="64"/>
        <v>S94</v>
      </c>
      <c r="C154" s="2">
        <v>13</v>
      </c>
      <c r="D154" s="60">
        <v>23</v>
      </c>
      <c r="E154" s="4">
        <v>6325796.1254000003</v>
      </c>
      <c r="F154" s="4">
        <v>359866.00060000003</v>
      </c>
      <c r="G154" s="2">
        <v>60</v>
      </c>
      <c r="H154" s="23" t="str">
        <f t="shared" si="72"/>
        <v>S94L1</v>
      </c>
      <c r="I154" s="4" t="s">
        <v>672</v>
      </c>
      <c r="J154" s="66">
        <f t="shared" si="65"/>
        <v>60</v>
      </c>
      <c r="K154" s="23" t="str">
        <f t="shared" si="66"/>
        <v>S94L2</v>
      </c>
      <c r="L154" s="4" t="str">
        <f t="shared" si="67"/>
        <v>TerTal</v>
      </c>
      <c r="M154" s="66">
        <v>9999</v>
      </c>
      <c r="N154" s="23" t="str">
        <f t="shared" si="68"/>
        <v>S94L3</v>
      </c>
      <c r="O154" s="4" t="str">
        <f t="shared" si="69"/>
        <v>TerHea</v>
      </c>
      <c r="P154" s="66">
        <v>9999</v>
      </c>
      <c r="Q154" s="76" t="str">
        <f t="shared" si="70"/>
        <v>-</v>
      </c>
      <c r="R154" s="77" t="str">
        <f t="shared" si="63"/>
        <v>-</v>
      </c>
      <c r="S154" s="78">
        <f t="shared" si="71"/>
        <v>0</v>
      </c>
    </row>
    <row r="155" spans="1:19" x14ac:dyDescent="0.25">
      <c r="A155" s="7"/>
      <c r="D155" s="60"/>
      <c r="G155" s="8"/>
      <c r="N155" s="7"/>
      <c r="Q155" s="7"/>
    </row>
    <row r="156" spans="1:19" x14ac:dyDescent="0.25">
      <c r="A156" s="7"/>
      <c r="D156" s="60"/>
      <c r="G156" s="8"/>
      <c r="N156" s="7"/>
      <c r="Q156" s="7"/>
    </row>
    <row r="157" spans="1:19" x14ac:dyDescent="0.25">
      <c r="A157" s="7"/>
      <c r="D157" s="60"/>
      <c r="G157" s="8"/>
      <c r="N157" s="7"/>
      <c r="Q157" s="7"/>
    </row>
    <row r="158" spans="1:19" x14ac:dyDescent="0.25">
      <c r="A158" s="7"/>
      <c r="D158" s="60"/>
      <c r="G158" s="8"/>
      <c r="N158" s="7"/>
      <c r="Q158" s="7"/>
    </row>
    <row r="159" spans="1:19" x14ac:dyDescent="0.25">
      <c r="A159" s="7"/>
      <c r="D159" s="60"/>
      <c r="G159" s="8"/>
      <c r="N159" s="7"/>
      <c r="Q159" s="7"/>
    </row>
    <row r="160" spans="1:19" x14ac:dyDescent="0.25">
      <c r="A160" s="7"/>
      <c r="D160" s="60"/>
      <c r="G160" s="8"/>
      <c r="N160" s="7"/>
      <c r="Q160" s="7"/>
    </row>
    <row r="161" spans="1:17" x14ac:dyDescent="0.25">
      <c r="A161" s="7"/>
      <c r="D161" s="60"/>
      <c r="G161" s="8"/>
      <c r="N161" s="7"/>
      <c r="Q161" s="7"/>
    </row>
    <row r="162" spans="1:17" x14ac:dyDescent="0.25">
      <c r="A162" s="7"/>
      <c r="D162" s="60"/>
      <c r="G162" s="8"/>
      <c r="N162" s="7"/>
      <c r="Q162" s="7"/>
    </row>
    <row r="163" spans="1:17" x14ac:dyDescent="0.25">
      <c r="A163" s="3"/>
      <c r="B163" s="3"/>
      <c r="C163" s="3"/>
      <c r="D163" s="3"/>
      <c r="G163" s="3"/>
    </row>
    <row r="164" spans="1:17" x14ac:dyDescent="0.25">
      <c r="A164" s="3"/>
      <c r="B164" s="3"/>
      <c r="C164" s="3"/>
      <c r="D164" s="3"/>
      <c r="G164" s="2">
        <f>SUM(G2:G154)</f>
        <v>18794.099999999999</v>
      </c>
      <c r="J164" s="66">
        <v>1</v>
      </c>
    </row>
    <row r="165" spans="1:17" x14ac:dyDescent="0.25">
      <c r="F165" s="1" t="s">
        <v>795</v>
      </c>
      <c r="G165" s="2">
        <v>50</v>
      </c>
      <c r="H165" s="64"/>
      <c r="J165" s="67" t="s">
        <v>671</v>
      </c>
      <c r="K165" s="64"/>
      <c r="M165" s="67"/>
    </row>
    <row r="166" spans="1:17" x14ac:dyDescent="0.25">
      <c r="F166" s="1" t="s">
        <v>796</v>
      </c>
      <c r="G166" s="2">
        <f>SUM(J2:J154)</f>
        <v>17703.099999999999</v>
      </c>
      <c r="J166" s="66">
        <f>SUMIFS(J2:J154,J2:J154,"&gt;=40")/G164</f>
        <v>0.9396033861690638</v>
      </c>
    </row>
    <row r="167" spans="1:17" x14ac:dyDescent="0.25">
      <c r="J167" s="66">
        <f>COUNTIFS(J2:J154,"&gt;0")</f>
        <v>106</v>
      </c>
    </row>
  </sheetData>
  <sortState xmlns:xlrd2="http://schemas.microsoft.com/office/spreadsheetml/2017/richdata2" ref="A2:P154">
    <sortCondition ref="A1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50"/>
  <sheetViews>
    <sheetView zoomScale="90" zoomScaleNormal="90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A2" sqref="A2:E36"/>
    </sheetView>
  </sheetViews>
  <sheetFormatPr defaultColWidth="9.140625" defaultRowHeight="20.100000000000001" customHeight="1" x14ac:dyDescent="0.25"/>
  <cols>
    <col min="1" max="5" width="13.85546875" style="1" customWidth="1"/>
    <col min="6" max="6" width="11.140625" style="1" customWidth="1"/>
    <col min="7" max="7" width="15.85546875" style="1" customWidth="1"/>
    <col min="8" max="8" width="69.28515625" style="28" customWidth="1"/>
    <col min="9" max="9" width="9.140625" style="20"/>
    <col min="10" max="11" width="9.140625" style="37"/>
    <col min="12" max="12" width="9.140625" style="20"/>
    <col min="13" max="14" width="9.140625" style="1"/>
    <col min="15" max="15" width="9.140625" style="20"/>
    <col min="16" max="17" width="9.140625" style="1"/>
    <col min="18" max="18" width="9.140625" style="20"/>
    <col min="19" max="20" width="9.140625" style="1"/>
    <col min="21" max="21" width="9.140625" style="20"/>
    <col min="22" max="23" width="9.140625" style="1"/>
    <col min="24" max="24" width="9.140625" style="20"/>
    <col min="25" max="26" width="9.140625" style="1"/>
    <col min="27" max="27" width="9.140625" style="20"/>
    <col min="28" max="16384" width="9.140625" style="1"/>
  </cols>
  <sheetData>
    <row r="1" spans="1:29" ht="20.100000000000001" customHeight="1" x14ac:dyDescent="0.25">
      <c r="A1" s="22" t="s">
        <v>725</v>
      </c>
      <c r="B1" s="13" t="s">
        <v>792</v>
      </c>
      <c r="C1" s="22" t="s">
        <v>791</v>
      </c>
      <c r="D1" s="25" t="s">
        <v>668</v>
      </c>
      <c r="E1" s="25" t="s">
        <v>669</v>
      </c>
      <c r="F1" s="22" t="s">
        <v>745</v>
      </c>
      <c r="G1" s="26" t="s">
        <v>676</v>
      </c>
      <c r="H1" s="29" t="s">
        <v>753</v>
      </c>
      <c r="I1" s="39">
        <v>1</v>
      </c>
      <c r="J1" s="40" t="s">
        <v>674</v>
      </c>
      <c r="K1" s="40" t="s">
        <v>670</v>
      </c>
      <c r="L1" s="39">
        <v>2</v>
      </c>
      <c r="M1" s="40" t="s">
        <v>674</v>
      </c>
      <c r="N1" s="40" t="s">
        <v>670</v>
      </c>
      <c r="O1" s="39">
        <v>3</v>
      </c>
      <c r="P1" s="40" t="s">
        <v>674</v>
      </c>
      <c r="Q1" s="40" t="s">
        <v>670</v>
      </c>
      <c r="R1" s="39">
        <v>4</v>
      </c>
      <c r="S1" s="40" t="s">
        <v>674</v>
      </c>
      <c r="T1" s="40" t="s">
        <v>670</v>
      </c>
      <c r="U1" s="39">
        <v>5</v>
      </c>
      <c r="V1" s="40" t="s">
        <v>674</v>
      </c>
      <c r="W1" s="40" t="s">
        <v>670</v>
      </c>
      <c r="X1" s="39">
        <v>6</v>
      </c>
      <c r="Y1" s="40" t="s">
        <v>674</v>
      </c>
      <c r="Z1" s="40" t="s">
        <v>670</v>
      </c>
      <c r="AA1" s="39">
        <v>7</v>
      </c>
      <c r="AB1" s="40" t="s">
        <v>674</v>
      </c>
      <c r="AC1" s="40" t="s">
        <v>670</v>
      </c>
    </row>
    <row r="2" spans="1:29" ht="20.100000000000001" customHeight="1" x14ac:dyDescent="0.25">
      <c r="A2" s="21" t="s">
        <v>504</v>
      </c>
      <c r="B2" s="21">
        <v>25</v>
      </c>
      <c r="C2" s="59">
        <v>33</v>
      </c>
      <c r="D2" s="21">
        <v>7322422.7104000002</v>
      </c>
      <c r="E2" s="21">
        <v>877545.96719999996</v>
      </c>
      <c r="F2" s="34" t="s">
        <v>723</v>
      </c>
      <c r="G2" s="45" t="s">
        <v>709</v>
      </c>
      <c r="H2" s="33" t="s">
        <v>736</v>
      </c>
      <c r="I2" s="20" t="str">
        <f t="shared" ref="I2:I36" si="0">$A2&amp;"L"&amp;I$1</f>
        <v>P2L1</v>
      </c>
      <c r="J2" s="37" t="s">
        <v>762</v>
      </c>
      <c r="K2" s="37">
        <v>335</v>
      </c>
      <c r="L2" s="20" t="str">
        <f t="shared" ref="L2:L36" si="1">$A2&amp;"L"&amp;L$1</f>
        <v>P2L2</v>
      </c>
      <c r="M2" s="1" t="s">
        <v>763</v>
      </c>
      <c r="N2" s="1">
        <v>335</v>
      </c>
      <c r="O2" s="20" t="str">
        <f t="shared" ref="O2:O36" si="2">$A2&amp;"L"&amp;O$1</f>
        <v>P2L3</v>
      </c>
      <c r="P2" s="1" t="s">
        <v>794</v>
      </c>
      <c r="Q2" s="1">
        <v>1</v>
      </c>
      <c r="R2" s="20" t="str">
        <f t="shared" ref="R2:R36" si="3">$A2&amp;"L"&amp;R$1</f>
        <v>P2L4</v>
      </c>
      <c r="S2" s="1" t="s">
        <v>773</v>
      </c>
      <c r="T2" s="1">
        <v>0</v>
      </c>
      <c r="U2" s="20" t="str">
        <f t="shared" ref="U2:U36" si="4">$A2&amp;"L"&amp;U$1</f>
        <v>P2L5</v>
      </c>
      <c r="V2" s="1" t="str">
        <f>IF(OR($J2="Puchem",$J2="PuDiss",$M2="Puchem",$M2="PuDiss",$P2="Puchem",$P2="PuDiss"),"TerPal","-")</f>
        <v>TerPal</v>
      </c>
      <c r="W2" s="1">
        <v>9999</v>
      </c>
      <c r="X2" s="20" t="str">
        <f t="shared" ref="X2:X36" si="5">$A2&amp;"L"&amp;X$1</f>
        <v>P2L6</v>
      </c>
      <c r="Y2" s="1" t="str">
        <f>IF(OR($J2="PuMech",$J2="PuCTMP",$M2="PuMech",$M2="PuCTMP",$P2="PuMech",$P2="PuCTMP"),"TerSpr",IF(OR($J2="FTDpl_",$M2="FTDpl_",$P2="FTDpl_",$S2="FTDpl_"),"TerHea","-"))</f>
        <v>TerHea</v>
      </c>
      <c r="Z2" s="1">
        <v>9999</v>
      </c>
      <c r="AA2" s="20" t="str">
        <f t="shared" ref="AA2:AA36" si="6">$A2&amp;"L"&amp;AA$1</f>
        <v>P2L7</v>
      </c>
      <c r="AB2" s="1" t="s">
        <v>726</v>
      </c>
      <c r="AC2" s="1">
        <v>0</v>
      </c>
    </row>
    <row r="3" spans="1:29" ht="20.100000000000001" customHeight="1" x14ac:dyDescent="0.25">
      <c r="A3" s="21" t="s">
        <v>528</v>
      </c>
      <c r="B3" s="21">
        <v>25</v>
      </c>
      <c r="C3" s="59">
        <v>33</v>
      </c>
      <c r="D3" s="21">
        <v>7258723.0433</v>
      </c>
      <c r="E3" s="21">
        <v>799508.10419999994</v>
      </c>
      <c r="F3" s="34" t="s">
        <v>701</v>
      </c>
      <c r="G3" s="38" t="s">
        <v>700</v>
      </c>
      <c r="H3" s="33" t="s">
        <v>743</v>
      </c>
      <c r="I3" s="20" t="str">
        <f t="shared" si="0"/>
        <v>P26L1</v>
      </c>
      <c r="J3" s="37" t="s">
        <v>762</v>
      </c>
      <c r="K3" s="37">
        <v>700</v>
      </c>
      <c r="L3" s="20" t="str">
        <f t="shared" si="1"/>
        <v>P26L2</v>
      </c>
      <c r="M3" s="1" t="s">
        <v>763</v>
      </c>
      <c r="N3" s="1">
        <v>700</v>
      </c>
      <c r="O3" s="20" t="str">
        <f t="shared" si="2"/>
        <v>P26L3</v>
      </c>
      <c r="P3" s="1" t="s">
        <v>726</v>
      </c>
      <c r="Q3" s="1">
        <v>0</v>
      </c>
      <c r="R3" s="20" t="str">
        <f t="shared" si="3"/>
        <v>P26L4</v>
      </c>
      <c r="S3" s="1" t="s">
        <v>773</v>
      </c>
      <c r="T3" s="1">
        <v>0</v>
      </c>
      <c r="U3" s="20" t="str">
        <f t="shared" si="4"/>
        <v>P26L5</v>
      </c>
      <c r="V3" s="1" t="str">
        <f t="shared" ref="V3:V36" si="7">IF(OR($J3="Puchem",$J3="PuDiss",$M3="Puchem",$M3="PuDiss",$P3="Puchem",$P3="PuDiss"),"TerPal","-")</f>
        <v>TerPal</v>
      </c>
      <c r="W3" s="1">
        <v>9999</v>
      </c>
      <c r="X3" s="20" t="str">
        <f t="shared" si="5"/>
        <v>P26L6</v>
      </c>
      <c r="Y3" s="1" t="str">
        <f t="shared" ref="Y3:Y36" si="8">IF(OR($J3="PuMech",$J3="PuCTMP",$M3="PuMech",$M3="PuCTMP",$P3="PuMech",$P3="PuCTMP"),"TerSpr",IF(OR($J3="FTDpl_",$M3="FTDpl_",$P3="FTDpl_",$S3="FTDpl_"),"TerHea","-"))</f>
        <v>-</v>
      </c>
      <c r="Z3" s="1">
        <v>9999</v>
      </c>
      <c r="AA3" s="20" t="str">
        <f t="shared" si="6"/>
        <v>P26L7</v>
      </c>
      <c r="AB3" s="1" t="s">
        <v>726</v>
      </c>
      <c r="AC3" s="1">
        <v>0</v>
      </c>
    </row>
    <row r="4" spans="1:29" ht="20.100000000000001" customHeight="1" x14ac:dyDescent="0.25">
      <c r="A4" s="21" t="s">
        <v>526</v>
      </c>
      <c r="B4" s="21">
        <v>25</v>
      </c>
      <c r="C4" s="59">
        <v>33</v>
      </c>
      <c r="D4" s="21">
        <v>7254302.6402000003</v>
      </c>
      <c r="E4" s="21">
        <v>803084.55070000002</v>
      </c>
      <c r="F4" s="34" t="s">
        <v>704</v>
      </c>
      <c r="G4" s="38" t="s">
        <v>703</v>
      </c>
      <c r="H4" s="33" t="s">
        <v>743</v>
      </c>
      <c r="I4" s="20" t="str">
        <f t="shared" si="0"/>
        <v>P24L1</v>
      </c>
      <c r="J4" s="37" t="s">
        <v>762</v>
      </c>
      <c r="K4" s="37">
        <v>300</v>
      </c>
      <c r="L4" s="20" t="str">
        <f t="shared" si="1"/>
        <v>P24L2</v>
      </c>
      <c r="M4" s="1" t="s">
        <v>763</v>
      </c>
      <c r="N4" s="1">
        <v>300</v>
      </c>
      <c r="O4" s="20" t="str">
        <f t="shared" si="2"/>
        <v>P24L3</v>
      </c>
      <c r="P4" s="1" t="s">
        <v>726</v>
      </c>
      <c r="Q4" s="1">
        <v>1</v>
      </c>
      <c r="R4" s="20" t="str">
        <f t="shared" si="3"/>
        <v>P24L4</v>
      </c>
      <c r="S4" s="1" t="s">
        <v>773</v>
      </c>
      <c r="T4" s="1">
        <v>0</v>
      </c>
      <c r="U4" s="20" t="str">
        <f t="shared" si="4"/>
        <v>P24L5</v>
      </c>
      <c r="V4" s="1" t="str">
        <f t="shared" si="7"/>
        <v>TerPal</v>
      </c>
      <c r="W4" s="1">
        <v>9999</v>
      </c>
      <c r="X4" s="20" t="str">
        <f t="shared" si="5"/>
        <v>P24L6</v>
      </c>
      <c r="Y4" s="1" t="str">
        <f t="shared" si="8"/>
        <v>-</v>
      </c>
      <c r="Z4" s="1">
        <v>9999</v>
      </c>
      <c r="AA4" s="20" t="str">
        <f t="shared" si="6"/>
        <v>P24L7</v>
      </c>
      <c r="AB4" s="1" t="s">
        <v>726</v>
      </c>
      <c r="AC4" s="1">
        <v>0</v>
      </c>
    </row>
    <row r="5" spans="1:29" ht="20.100000000000001" customHeight="1" x14ac:dyDescent="0.25">
      <c r="A5" s="21" t="s">
        <v>527</v>
      </c>
      <c r="B5" s="21">
        <v>24</v>
      </c>
      <c r="C5" s="59">
        <v>33</v>
      </c>
      <c r="D5" s="21">
        <v>7074566.0048000002</v>
      </c>
      <c r="E5" s="21">
        <v>762640.16429999995</v>
      </c>
      <c r="F5" s="34" t="s">
        <v>704</v>
      </c>
      <c r="G5" s="43" t="s">
        <v>702</v>
      </c>
      <c r="H5" s="33" t="s">
        <v>744</v>
      </c>
      <c r="I5" s="20" t="str">
        <f t="shared" si="0"/>
        <v>P25L1</v>
      </c>
      <c r="J5" s="37" t="s">
        <v>762</v>
      </c>
      <c r="K5" s="37">
        <v>725</v>
      </c>
      <c r="L5" s="20" t="str">
        <f t="shared" si="1"/>
        <v>P25L2</v>
      </c>
      <c r="M5" s="1" t="s">
        <v>763</v>
      </c>
      <c r="N5" s="1">
        <v>725</v>
      </c>
      <c r="O5" s="20" t="str">
        <f t="shared" si="2"/>
        <v>P25L3</v>
      </c>
      <c r="P5" s="1" t="s">
        <v>731</v>
      </c>
      <c r="Q5" s="1">
        <v>0</v>
      </c>
      <c r="R5" s="20" t="str">
        <f t="shared" si="3"/>
        <v>P25L4</v>
      </c>
      <c r="S5" s="1" t="s">
        <v>794</v>
      </c>
      <c r="T5" s="1">
        <v>1</v>
      </c>
      <c r="U5" s="20" t="str">
        <f t="shared" si="4"/>
        <v>P25L5</v>
      </c>
      <c r="V5" s="1" t="str">
        <f t="shared" si="7"/>
        <v>TerPal</v>
      </c>
      <c r="W5" s="1">
        <v>9999</v>
      </c>
      <c r="X5" s="20" t="str">
        <f t="shared" si="5"/>
        <v>P25L6</v>
      </c>
      <c r="Y5" s="1" t="str">
        <f t="shared" si="8"/>
        <v>TerHea</v>
      </c>
      <c r="Z5" s="1">
        <v>9999</v>
      </c>
      <c r="AA5" s="20" t="str">
        <f t="shared" si="6"/>
        <v>P25L7</v>
      </c>
      <c r="AB5" s="1" t="s">
        <v>726</v>
      </c>
      <c r="AC5" s="1">
        <v>0</v>
      </c>
    </row>
    <row r="6" spans="1:29" ht="20.100000000000001" customHeight="1" x14ac:dyDescent="0.25">
      <c r="A6" s="21" t="s">
        <v>515</v>
      </c>
      <c r="B6" s="21">
        <v>22</v>
      </c>
      <c r="C6" s="59">
        <v>12</v>
      </c>
      <c r="D6" s="21">
        <v>7028224.1173999999</v>
      </c>
      <c r="E6" s="21">
        <v>708365.20510000002</v>
      </c>
      <c r="F6" s="35" t="s">
        <v>717</v>
      </c>
      <c r="G6" s="34"/>
      <c r="H6" s="31"/>
      <c r="I6" s="20" t="str">
        <f t="shared" si="0"/>
        <v>P13L1</v>
      </c>
      <c r="J6" s="37" t="s">
        <v>762</v>
      </c>
      <c r="K6" s="37">
        <v>0</v>
      </c>
      <c r="L6" s="20" t="str">
        <f t="shared" si="1"/>
        <v>P13L2</v>
      </c>
      <c r="M6" s="1" t="s">
        <v>726</v>
      </c>
      <c r="N6" s="1">
        <v>0</v>
      </c>
      <c r="O6" s="20" t="str">
        <f t="shared" si="2"/>
        <v>P13L3</v>
      </c>
      <c r="P6" s="1" t="s">
        <v>726</v>
      </c>
      <c r="Q6" s="1">
        <v>0</v>
      </c>
      <c r="R6" s="20" t="str">
        <f t="shared" si="3"/>
        <v>P13L4</v>
      </c>
      <c r="S6" s="1" t="s">
        <v>726</v>
      </c>
      <c r="T6" s="1">
        <v>0</v>
      </c>
      <c r="U6" s="20" t="str">
        <f t="shared" si="4"/>
        <v>P13L5</v>
      </c>
      <c r="V6" s="1" t="str">
        <f t="shared" si="7"/>
        <v>TerPal</v>
      </c>
      <c r="W6" s="1">
        <v>9999</v>
      </c>
      <c r="X6" s="20" t="str">
        <f t="shared" si="5"/>
        <v>P13L6</v>
      </c>
      <c r="Y6" s="1" t="str">
        <f t="shared" si="8"/>
        <v>-</v>
      </c>
      <c r="Z6" s="1">
        <v>9999</v>
      </c>
      <c r="AA6" s="20" t="str">
        <f t="shared" si="6"/>
        <v>P13L7</v>
      </c>
      <c r="AB6" s="1" t="s">
        <v>726</v>
      </c>
      <c r="AC6" s="1">
        <v>0</v>
      </c>
    </row>
    <row r="7" spans="1:29" ht="20.100000000000001" customHeight="1" x14ac:dyDescent="0.25">
      <c r="A7" s="21" t="s">
        <v>506</v>
      </c>
      <c r="B7" s="21">
        <v>22</v>
      </c>
      <c r="C7" s="59">
        <v>12</v>
      </c>
      <c r="D7" s="21">
        <v>7020950.5532</v>
      </c>
      <c r="E7" s="21">
        <v>685571.36990000005</v>
      </c>
      <c r="F7" s="35" t="s">
        <v>685</v>
      </c>
      <c r="G7" s="34" t="s">
        <v>755</v>
      </c>
      <c r="H7" s="30" t="s">
        <v>756</v>
      </c>
      <c r="I7" s="20" t="str">
        <f t="shared" si="0"/>
        <v>P4L1</v>
      </c>
      <c r="J7" s="37" t="s">
        <v>731</v>
      </c>
      <c r="K7" s="37">
        <v>260</v>
      </c>
      <c r="L7" s="20" t="str">
        <f t="shared" si="1"/>
        <v>P4L2</v>
      </c>
      <c r="M7" s="1" t="s">
        <v>726</v>
      </c>
      <c r="N7" s="1">
        <v>0</v>
      </c>
      <c r="O7" s="20" t="str">
        <f t="shared" si="2"/>
        <v>P4L3</v>
      </c>
      <c r="P7" s="1" t="s">
        <v>726</v>
      </c>
      <c r="Q7" s="1">
        <v>0</v>
      </c>
      <c r="R7" s="20" t="str">
        <f t="shared" si="3"/>
        <v>P4L4</v>
      </c>
      <c r="S7" s="1" t="s">
        <v>726</v>
      </c>
      <c r="T7" s="1">
        <v>0</v>
      </c>
      <c r="U7" s="20" t="str">
        <f t="shared" si="4"/>
        <v>P4L5</v>
      </c>
      <c r="V7" s="1" t="str">
        <f t="shared" si="7"/>
        <v>TerPal</v>
      </c>
      <c r="W7" s="1">
        <v>9999</v>
      </c>
      <c r="X7" s="20" t="str">
        <f t="shared" si="5"/>
        <v>P4L6</v>
      </c>
      <c r="Y7" s="1" t="str">
        <f t="shared" si="8"/>
        <v>-</v>
      </c>
      <c r="Z7" s="1">
        <v>9999</v>
      </c>
      <c r="AA7" s="20" t="str">
        <f t="shared" si="6"/>
        <v>P4L7</v>
      </c>
      <c r="AB7" s="1" t="s">
        <v>726</v>
      </c>
      <c r="AC7" s="1">
        <v>0</v>
      </c>
    </row>
    <row r="8" spans="1:29" ht="20.100000000000001" customHeight="1" x14ac:dyDescent="0.25">
      <c r="A8" s="21" t="s">
        <v>537</v>
      </c>
      <c r="B8" s="21">
        <v>22</v>
      </c>
      <c r="C8" s="59">
        <v>12</v>
      </c>
      <c r="D8" s="21">
        <v>6991891</v>
      </c>
      <c r="E8" s="21">
        <v>702513</v>
      </c>
      <c r="F8" s="34" t="s">
        <v>687</v>
      </c>
      <c r="G8" s="38" t="s">
        <v>686</v>
      </c>
      <c r="H8" s="33" t="s">
        <v>737</v>
      </c>
      <c r="I8" s="20" t="str">
        <f t="shared" si="0"/>
        <v>P35L1</v>
      </c>
      <c r="J8" s="37" t="s">
        <v>762</v>
      </c>
      <c r="K8" s="37">
        <v>650</v>
      </c>
      <c r="L8" s="20" t="str">
        <f t="shared" si="1"/>
        <v>P35L2</v>
      </c>
      <c r="M8" s="1" t="s">
        <v>763</v>
      </c>
      <c r="N8" s="1">
        <v>650</v>
      </c>
      <c r="O8" s="20" t="str">
        <f t="shared" si="2"/>
        <v>P35L3</v>
      </c>
      <c r="P8" s="1" t="s">
        <v>726</v>
      </c>
      <c r="Q8" s="1">
        <v>0</v>
      </c>
      <c r="R8" s="20" t="str">
        <f t="shared" si="3"/>
        <v>P35L4</v>
      </c>
      <c r="S8" s="1" t="s">
        <v>773</v>
      </c>
      <c r="T8" s="1">
        <v>0</v>
      </c>
      <c r="U8" s="20" t="str">
        <f t="shared" si="4"/>
        <v>P35L5</v>
      </c>
      <c r="V8" s="1" t="str">
        <f t="shared" si="7"/>
        <v>TerPal</v>
      </c>
      <c r="W8" s="1">
        <v>9999</v>
      </c>
      <c r="X8" s="20" t="str">
        <f t="shared" si="5"/>
        <v>P35L6</v>
      </c>
      <c r="Y8" s="1" t="str">
        <f t="shared" si="8"/>
        <v>-</v>
      </c>
      <c r="Z8" s="1">
        <v>9999</v>
      </c>
      <c r="AA8" s="20" t="str">
        <f t="shared" si="6"/>
        <v>P35L7</v>
      </c>
      <c r="AB8" s="1" t="s">
        <v>726</v>
      </c>
      <c r="AC8" s="1">
        <v>0</v>
      </c>
    </row>
    <row r="9" spans="1:29" ht="20.100000000000001" customHeight="1" x14ac:dyDescent="0.25">
      <c r="A9" s="21" t="s">
        <v>514</v>
      </c>
      <c r="B9" s="21">
        <v>22</v>
      </c>
      <c r="C9" s="59">
        <v>12</v>
      </c>
      <c r="D9" s="21">
        <v>6987738.9474999998</v>
      </c>
      <c r="E9" s="21">
        <v>635881.59569999995</v>
      </c>
      <c r="F9" s="34" t="s">
        <v>719</v>
      </c>
      <c r="G9" s="38" t="s">
        <v>718</v>
      </c>
      <c r="H9" s="33" t="s">
        <v>740</v>
      </c>
      <c r="I9" s="20" t="str">
        <f t="shared" si="0"/>
        <v>P12L1</v>
      </c>
      <c r="J9" s="37" t="s">
        <v>762</v>
      </c>
      <c r="K9" s="37">
        <v>225</v>
      </c>
      <c r="L9" s="20" t="str">
        <f t="shared" si="1"/>
        <v>P12L2</v>
      </c>
      <c r="M9" s="1" t="s">
        <v>763</v>
      </c>
      <c r="N9" s="1">
        <v>225</v>
      </c>
      <c r="O9" s="20" t="str">
        <f t="shared" si="2"/>
        <v>P12L3</v>
      </c>
      <c r="P9" s="1" t="s">
        <v>726</v>
      </c>
      <c r="Q9" s="1">
        <v>0</v>
      </c>
      <c r="R9" s="20" t="str">
        <f t="shared" si="3"/>
        <v>P12L4</v>
      </c>
      <c r="S9" s="1" t="s">
        <v>773</v>
      </c>
      <c r="T9" s="1">
        <v>0</v>
      </c>
      <c r="U9" s="20" t="str">
        <f t="shared" si="4"/>
        <v>P12L5</v>
      </c>
      <c r="V9" s="1" t="str">
        <f t="shared" si="7"/>
        <v>TerPal</v>
      </c>
      <c r="W9" s="1">
        <v>9999</v>
      </c>
      <c r="X9" s="20" t="str">
        <f t="shared" si="5"/>
        <v>P12L6</v>
      </c>
      <c r="Y9" s="1" t="str">
        <f t="shared" si="8"/>
        <v>-</v>
      </c>
      <c r="Z9" s="1">
        <v>9999</v>
      </c>
      <c r="AA9" s="20" t="str">
        <f t="shared" si="6"/>
        <v>P12L7</v>
      </c>
      <c r="AB9" s="1" t="s">
        <v>726</v>
      </c>
      <c r="AC9" s="1">
        <v>0</v>
      </c>
    </row>
    <row r="10" spans="1:29" ht="20.100000000000001" customHeight="1" x14ac:dyDescent="0.25">
      <c r="A10" s="21" t="s">
        <v>524</v>
      </c>
      <c r="B10" s="21">
        <v>22</v>
      </c>
      <c r="C10" s="59">
        <v>12</v>
      </c>
      <c r="D10" s="21">
        <v>6929243.3810000001</v>
      </c>
      <c r="E10" s="21">
        <v>619204.24990000005</v>
      </c>
      <c r="F10" s="34" t="s">
        <v>704</v>
      </c>
      <c r="G10" s="38" t="s">
        <v>706</v>
      </c>
      <c r="H10" s="32" t="s">
        <v>759</v>
      </c>
      <c r="I10" s="20" t="str">
        <f t="shared" si="0"/>
        <v>P22L1</v>
      </c>
      <c r="J10" s="37" t="s">
        <v>762</v>
      </c>
      <c r="K10" s="37">
        <v>900</v>
      </c>
      <c r="L10" s="20" t="str">
        <f t="shared" si="1"/>
        <v>P22L2</v>
      </c>
      <c r="M10" s="1" t="s">
        <v>764</v>
      </c>
      <c r="N10" s="1">
        <v>225</v>
      </c>
      <c r="O10" s="20" t="str">
        <f t="shared" si="2"/>
        <v>P22L3</v>
      </c>
      <c r="P10" s="37" t="s">
        <v>768</v>
      </c>
      <c r="Q10" s="1">
        <v>100</v>
      </c>
      <c r="R10" s="20" t="str">
        <f t="shared" si="3"/>
        <v>P22L4</v>
      </c>
      <c r="S10" s="1" t="s">
        <v>769</v>
      </c>
      <c r="T10" s="1">
        <v>0</v>
      </c>
      <c r="U10" s="20" t="str">
        <f t="shared" si="4"/>
        <v>P22L5</v>
      </c>
      <c r="V10" s="1" t="str">
        <f t="shared" si="7"/>
        <v>TerPal</v>
      </c>
      <c r="W10" s="1">
        <v>9999</v>
      </c>
      <c r="X10" s="20" t="str">
        <f t="shared" si="5"/>
        <v>P22L6</v>
      </c>
      <c r="Y10" s="1" t="str">
        <f t="shared" si="8"/>
        <v>TerSpr</v>
      </c>
      <c r="Z10" s="1">
        <v>9999</v>
      </c>
      <c r="AA10" s="20" t="str">
        <f t="shared" si="6"/>
        <v>P22L7</v>
      </c>
      <c r="AB10" s="1" t="s">
        <v>726</v>
      </c>
      <c r="AC10" s="1">
        <v>0</v>
      </c>
    </row>
    <row r="11" spans="1:29" ht="20.100000000000001" customHeight="1" x14ac:dyDescent="0.25">
      <c r="A11" s="21" t="s">
        <v>525</v>
      </c>
      <c r="B11" s="21">
        <v>22</v>
      </c>
      <c r="C11" s="59">
        <v>12</v>
      </c>
      <c r="D11" s="21">
        <v>6920247.5835999995</v>
      </c>
      <c r="E11" s="21">
        <v>622009.73349999997</v>
      </c>
      <c r="F11" s="34" t="s">
        <v>704</v>
      </c>
      <c r="G11" s="44" t="s">
        <v>705</v>
      </c>
      <c r="H11" s="42" t="s">
        <v>750</v>
      </c>
      <c r="I11" s="20" t="str">
        <f t="shared" si="0"/>
        <v>P23L1</v>
      </c>
      <c r="J11" s="1" t="s">
        <v>731</v>
      </c>
      <c r="K11" s="1">
        <v>0</v>
      </c>
      <c r="L11" s="20" t="str">
        <f t="shared" si="1"/>
        <v>P23L2</v>
      </c>
      <c r="M11" s="1" t="s">
        <v>726</v>
      </c>
      <c r="N11" s="1">
        <v>0</v>
      </c>
      <c r="O11" s="20" t="str">
        <f t="shared" si="2"/>
        <v>P23L3</v>
      </c>
      <c r="P11" s="1" t="s">
        <v>726</v>
      </c>
      <c r="Q11" s="1">
        <v>0</v>
      </c>
      <c r="R11" s="20" t="str">
        <f t="shared" si="3"/>
        <v>P23L4</v>
      </c>
      <c r="S11" s="1" t="s">
        <v>794</v>
      </c>
      <c r="T11" s="1">
        <v>1</v>
      </c>
      <c r="U11" s="20" t="str">
        <f t="shared" si="4"/>
        <v>P23L5</v>
      </c>
      <c r="V11" s="1" t="str">
        <f t="shared" si="7"/>
        <v>TerPal</v>
      </c>
      <c r="W11" s="1">
        <v>9999</v>
      </c>
      <c r="X11" s="20" t="str">
        <f t="shared" si="5"/>
        <v>P23L6</v>
      </c>
      <c r="Y11" s="1" t="str">
        <f t="shared" si="8"/>
        <v>TerHea</v>
      </c>
      <c r="Z11" s="1">
        <v>9999</v>
      </c>
      <c r="AA11" s="20" t="str">
        <f t="shared" si="6"/>
        <v>P23L7</v>
      </c>
      <c r="AB11" s="1" t="s">
        <v>726</v>
      </c>
      <c r="AC11" s="1">
        <v>0</v>
      </c>
    </row>
    <row r="12" spans="1:29" ht="20.100000000000001" customHeight="1" x14ac:dyDescent="0.25">
      <c r="A12" s="21" t="s">
        <v>509</v>
      </c>
      <c r="B12" s="21">
        <v>21</v>
      </c>
      <c r="C12" s="59">
        <v>31</v>
      </c>
      <c r="D12" s="21">
        <v>6835953.3126999997</v>
      </c>
      <c r="E12" s="21">
        <v>610650.90599999996</v>
      </c>
      <c r="F12" s="34" t="s">
        <v>681</v>
      </c>
      <c r="G12" s="38" t="s">
        <v>680</v>
      </c>
      <c r="H12" s="33" t="s">
        <v>741</v>
      </c>
      <c r="I12" s="20" t="str">
        <f t="shared" si="0"/>
        <v>P7L1</v>
      </c>
      <c r="J12" s="37" t="s">
        <v>762</v>
      </c>
      <c r="K12" s="37">
        <v>540</v>
      </c>
      <c r="L12" s="20" t="str">
        <f t="shared" si="1"/>
        <v>P7L2</v>
      </c>
      <c r="M12" s="1" t="s">
        <v>763</v>
      </c>
      <c r="N12" s="1">
        <v>540</v>
      </c>
      <c r="O12" s="20" t="str">
        <f t="shared" si="2"/>
        <v>P7L3</v>
      </c>
      <c r="P12" s="1" t="s">
        <v>726</v>
      </c>
      <c r="Q12" s="1">
        <v>0</v>
      </c>
      <c r="R12" s="20" t="str">
        <f t="shared" si="3"/>
        <v>P7L4</v>
      </c>
      <c r="S12" s="1" t="s">
        <v>773</v>
      </c>
      <c r="T12" s="1">
        <v>0</v>
      </c>
      <c r="U12" s="20" t="str">
        <f t="shared" si="4"/>
        <v>P7L5</v>
      </c>
      <c r="V12" s="1" t="str">
        <f t="shared" si="7"/>
        <v>TerPal</v>
      </c>
      <c r="W12" s="1">
        <v>9999</v>
      </c>
      <c r="X12" s="20" t="str">
        <f t="shared" si="5"/>
        <v>P7L6</v>
      </c>
      <c r="Y12" s="1" t="str">
        <f t="shared" si="8"/>
        <v>-</v>
      </c>
      <c r="Z12" s="1">
        <v>9999</v>
      </c>
      <c r="AA12" s="20" t="str">
        <f t="shared" si="6"/>
        <v>P7L7</v>
      </c>
      <c r="AB12" s="1" t="s">
        <v>726</v>
      </c>
      <c r="AC12" s="1">
        <v>0</v>
      </c>
    </row>
    <row r="13" spans="1:29" ht="20.100000000000001" customHeight="1" x14ac:dyDescent="0.25">
      <c r="A13" s="21" t="s">
        <v>535</v>
      </c>
      <c r="B13" s="21">
        <v>21</v>
      </c>
      <c r="C13" s="59">
        <v>23</v>
      </c>
      <c r="D13" s="21">
        <v>6785192.4857000001</v>
      </c>
      <c r="E13" s="21">
        <v>616656.70010000002</v>
      </c>
      <c r="F13" s="35" t="s">
        <v>689</v>
      </c>
      <c r="G13" s="34"/>
      <c r="H13" s="32" t="s">
        <v>742</v>
      </c>
      <c r="I13" s="20" t="str">
        <f t="shared" si="0"/>
        <v>P33L1</v>
      </c>
      <c r="J13" s="37" t="s">
        <v>762</v>
      </c>
      <c r="K13" s="37">
        <v>150</v>
      </c>
      <c r="L13" s="20" t="str">
        <f t="shared" si="1"/>
        <v>P33L2</v>
      </c>
      <c r="M13" s="1" t="s">
        <v>726</v>
      </c>
      <c r="N13" s="1">
        <v>0</v>
      </c>
      <c r="O13" s="20" t="str">
        <f t="shared" si="2"/>
        <v>P33L3</v>
      </c>
      <c r="P13" s="1" t="s">
        <v>726</v>
      </c>
      <c r="Q13" s="1">
        <v>0</v>
      </c>
      <c r="R13" s="20" t="str">
        <f t="shared" si="3"/>
        <v>P33L4</v>
      </c>
      <c r="S13" s="1" t="s">
        <v>726</v>
      </c>
      <c r="T13" s="1">
        <v>0</v>
      </c>
      <c r="U13" s="20" t="str">
        <f t="shared" si="4"/>
        <v>P33L5</v>
      </c>
      <c r="V13" s="1" t="str">
        <f t="shared" si="7"/>
        <v>TerPal</v>
      </c>
      <c r="W13" s="1">
        <v>9999</v>
      </c>
      <c r="X13" s="20" t="str">
        <f t="shared" si="5"/>
        <v>P33L6</v>
      </c>
      <c r="Y13" s="1" t="str">
        <f t="shared" si="8"/>
        <v>-</v>
      </c>
      <c r="Z13" s="1">
        <v>9999</v>
      </c>
      <c r="AA13" s="20" t="str">
        <f t="shared" si="6"/>
        <v>P33L7</v>
      </c>
      <c r="AB13" s="1" t="s">
        <v>726</v>
      </c>
      <c r="AC13" s="1">
        <v>0</v>
      </c>
    </row>
    <row r="14" spans="1:29" ht="20.100000000000001" customHeight="1" x14ac:dyDescent="0.25">
      <c r="A14" s="21" t="s">
        <v>511</v>
      </c>
      <c r="B14" s="21">
        <v>21</v>
      </c>
      <c r="C14" s="59">
        <v>31</v>
      </c>
      <c r="D14" s="21">
        <v>6729269.108</v>
      </c>
      <c r="E14" s="21">
        <v>623680.6888</v>
      </c>
      <c r="F14" s="34" t="s">
        <v>723</v>
      </c>
      <c r="G14" s="38" t="s">
        <v>678</v>
      </c>
      <c r="H14" s="33" t="s">
        <v>735</v>
      </c>
      <c r="I14" s="20" t="str">
        <f t="shared" si="0"/>
        <v>P9L1</v>
      </c>
      <c r="J14" s="37" t="s">
        <v>762</v>
      </c>
      <c r="K14" s="37">
        <v>755</v>
      </c>
      <c r="L14" s="20" t="str">
        <f t="shared" si="1"/>
        <v>P9L2</v>
      </c>
      <c r="M14" s="1" t="s">
        <v>763</v>
      </c>
      <c r="N14" s="1">
        <v>755</v>
      </c>
      <c r="O14" s="20" t="str">
        <f t="shared" si="2"/>
        <v>P9L3</v>
      </c>
      <c r="P14" s="1" t="s">
        <v>726</v>
      </c>
      <c r="Q14" s="1">
        <v>0</v>
      </c>
      <c r="R14" s="20" t="str">
        <f t="shared" si="3"/>
        <v>P9L4</v>
      </c>
      <c r="S14" s="1" t="s">
        <v>773</v>
      </c>
      <c r="T14" s="1">
        <v>0</v>
      </c>
      <c r="U14" s="20" t="str">
        <f t="shared" si="4"/>
        <v>P9L5</v>
      </c>
      <c r="V14" s="1" t="str">
        <f t="shared" si="7"/>
        <v>TerPal</v>
      </c>
      <c r="W14" s="1">
        <v>9999</v>
      </c>
      <c r="X14" s="20" t="str">
        <f t="shared" si="5"/>
        <v>P9L6</v>
      </c>
      <c r="Y14" s="1" t="str">
        <f t="shared" si="8"/>
        <v>-</v>
      </c>
      <c r="Z14" s="1">
        <v>9999</v>
      </c>
      <c r="AA14" s="20" t="str">
        <f t="shared" si="6"/>
        <v>P9L7</v>
      </c>
      <c r="AB14" s="1" t="s">
        <v>726</v>
      </c>
      <c r="AC14" s="1">
        <v>0</v>
      </c>
    </row>
    <row r="15" spans="1:29" ht="20.100000000000001" customHeight="1" x14ac:dyDescent="0.25">
      <c r="A15" s="21" t="s">
        <v>534</v>
      </c>
      <c r="B15" s="21">
        <v>3</v>
      </c>
      <c r="C15" s="59">
        <v>12</v>
      </c>
      <c r="D15" s="21">
        <v>6725416.6508999998</v>
      </c>
      <c r="E15" s="21">
        <v>630402.63199999998</v>
      </c>
      <c r="F15" s="36" t="s">
        <v>690</v>
      </c>
      <c r="G15" s="38" t="s">
        <v>746</v>
      </c>
      <c r="H15" s="32" t="s">
        <v>732</v>
      </c>
      <c r="I15" s="20" t="str">
        <f t="shared" si="0"/>
        <v>P32L1</v>
      </c>
      <c r="J15" s="37" t="s">
        <v>762</v>
      </c>
      <c r="K15" s="37">
        <v>500</v>
      </c>
      <c r="L15" s="20" t="str">
        <f t="shared" si="1"/>
        <v>P32L2</v>
      </c>
      <c r="M15" s="1" t="s">
        <v>726</v>
      </c>
      <c r="N15" s="1">
        <v>0</v>
      </c>
      <c r="O15" s="20" t="str">
        <f t="shared" si="2"/>
        <v>P32L3</v>
      </c>
      <c r="P15" s="1" t="s">
        <v>726</v>
      </c>
      <c r="Q15" s="1">
        <v>0</v>
      </c>
      <c r="R15" s="20" t="str">
        <f t="shared" si="3"/>
        <v>P32L4</v>
      </c>
      <c r="S15" s="1" t="s">
        <v>769</v>
      </c>
      <c r="T15" s="1">
        <v>0</v>
      </c>
      <c r="U15" s="20" t="str">
        <f t="shared" si="4"/>
        <v>P32L5</v>
      </c>
      <c r="V15" s="1" t="str">
        <f t="shared" si="7"/>
        <v>TerPal</v>
      </c>
      <c r="W15" s="1">
        <v>9999</v>
      </c>
      <c r="X15" s="20" t="str">
        <f t="shared" si="5"/>
        <v>P32L6</v>
      </c>
      <c r="Y15" s="1" t="str">
        <f t="shared" si="8"/>
        <v>-</v>
      </c>
      <c r="Z15" s="1">
        <v>9999</v>
      </c>
      <c r="AA15" s="20" t="str">
        <f t="shared" si="6"/>
        <v>P32L7</v>
      </c>
      <c r="AB15" s="1" t="s">
        <v>726</v>
      </c>
      <c r="AC15" s="1">
        <v>0</v>
      </c>
    </row>
    <row r="16" spans="1:29" ht="20.100000000000001" customHeight="1" x14ac:dyDescent="0.25">
      <c r="A16" s="21" t="s">
        <v>530</v>
      </c>
      <c r="B16" s="21">
        <v>20</v>
      </c>
      <c r="C16" s="59">
        <v>31</v>
      </c>
      <c r="D16" s="21">
        <v>6709602.0608999999</v>
      </c>
      <c r="E16" s="21">
        <v>522935.4914</v>
      </c>
      <c r="F16" s="34" t="s">
        <v>697</v>
      </c>
      <c r="G16" s="44" t="s">
        <v>696</v>
      </c>
      <c r="H16" s="42" t="s">
        <v>750</v>
      </c>
      <c r="I16" s="20" t="str">
        <f t="shared" si="0"/>
        <v>P28L1</v>
      </c>
      <c r="J16" s="41" t="s">
        <v>731</v>
      </c>
      <c r="K16" s="37">
        <v>0</v>
      </c>
      <c r="L16" s="20" t="str">
        <f t="shared" si="1"/>
        <v>P28L2</v>
      </c>
      <c r="M16" s="1" t="s">
        <v>726</v>
      </c>
      <c r="N16" s="1">
        <v>0</v>
      </c>
      <c r="O16" s="20" t="str">
        <f t="shared" si="2"/>
        <v>P28L3</v>
      </c>
      <c r="P16" s="1" t="s">
        <v>726</v>
      </c>
      <c r="Q16" s="1">
        <v>0</v>
      </c>
      <c r="R16" s="20" t="str">
        <f t="shared" si="3"/>
        <v>P28L4</v>
      </c>
      <c r="S16" s="1" t="s">
        <v>794</v>
      </c>
      <c r="T16" s="1">
        <v>1</v>
      </c>
      <c r="U16" s="20" t="str">
        <f t="shared" si="4"/>
        <v>P28L5</v>
      </c>
      <c r="V16" s="1" t="str">
        <f t="shared" si="7"/>
        <v>TerPal</v>
      </c>
      <c r="W16" s="1">
        <v>9999</v>
      </c>
      <c r="X16" s="20" t="str">
        <f t="shared" si="5"/>
        <v>P28L6</v>
      </c>
      <c r="Y16" s="1" t="str">
        <f t="shared" si="8"/>
        <v>TerHea</v>
      </c>
      <c r="Z16" s="1">
        <v>9999</v>
      </c>
      <c r="AA16" s="20" t="str">
        <f t="shared" si="6"/>
        <v>P28L7</v>
      </c>
      <c r="AB16" s="1" t="s">
        <v>726</v>
      </c>
      <c r="AC16" s="1">
        <v>0</v>
      </c>
    </row>
    <row r="17" spans="1:29" ht="20.100000000000001" customHeight="1" x14ac:dyDescent="0.25">
      <c r="A17" s="21" t="s">
        <v>529</v>
      </c>
      <c r="B17" s="21">
        <v>20</v>
      </c>
      <c r="C17" s="59">
        <v>31</v>
      </c>
      <c r="D17" s="21">
        <v>6675083.1288999999</v>
      </c>
      <c r="E17" s="21">
        <v>572614.64269999997</v>
      </c>
      <c r="F17" s="34" t="s">
        <v>699</v>
      </c>
      <c r="G17" s="34" t="s">
        <v>698</v>
      </c>
      <c r="H17" s="33" t="s">
        <v>754</v>
      </c>
      <c r="I17" s="20" t="str">
        <f t="shared" si="0"/>
        <v>P27L1</v>
      </c>
      <c r="J17" s="37" t="s">
        <v>762</v>
      </c>
      <c r="K17" s="37">
        <v>410</v>
      </c>
      <c r="L17" s="20" t="str">
        <f t="shared" si="1"/>
        <v>P27L2</v>
      </c>
      <c r="M17" s="1" t="s">
        <v>763</v>
      </c>
      <c r="N17" s="1">
        <v>410</v>
      </c>
      <c r="O17" s="20" t="str">
        <f t="shared" si="2"/>
        <v>P27L3</v>
      </c>
      <c r="P17" s="1" t="s">
        <v>768</v>
      </c>
      <c r="Q17" s="1">
        <v>185</v>
      </c>
      <c r="R17" s="20" t="str">
        <f t="shared" si="3"/>
        <v>P27L4</v>
      </c>
      <c r="S17" s="1" t="s">
        <v>726</v>
      </c>
      <c r="T17" s="1">
        <v>0</v>
      </c>
      <c r="U17" s="20" t="str">
        <f t="shared" si="4"/>
        <v>P27L5</v>
      </c>
      <c r="V17" s="1" t="str">
        <f t="shared" si="7"/>
        <v>TerPal</v>
      </c>
      <c r="W17" s="1">
        <v>9999</v>
      </c>
      <c r="X17" s="20" t="str">
        <f t="shared" si="5"/>
        <v>P27L6</v>
      </c>
      <c r="Y17" s="1" t="str">
        <f t="shared" si="8"/>
        <v>TerSpr</v>
      </c>
      <c r="Z17" s="1">
        <v>9999</v>
      </c>
      <c r="AA17" s="20" t="str">
        <f t="shared" si="6"/>
        <v>P27L7</v>
      </c>
      <c r="AB17" s="1" t="s">
        <v>726</v>
      </c>
      <c r="AC17" s="1">
        <v>0</v>
      </c>
    </row>
    <row r="18" spans="1:29" ht="20.100000000000001" customHeight="1" x14ac:dyDescent="0.25">
      <c r="A18" s="21" t="s">
        <v>508</v>
      </c>
      <c r="B18" s="21">
        <v>1</v>
      </c>
      <c r="C18" s="59">
        <v>12</v>
      </c>
      <c r="D18" s="21">
        <v>6663673.8119999999</v>
      </c>
      <c r="E18" s="21">
        <v>699707.18980000005</v>
      </c>
      <c r="F18" s="34" t="s">
        <v>683</v>
      </c>
      <c r="G18" s="34" t="s">
        <v>682</v>
      </c>
      <c r="H18" s="33" t="s">
        <v>751</v>
      </c>
      <c r="I18" s="20" t="str">
        <f t="shared" si="0"/>
        <v>P6L1</v>
      </c>
      <c r="J18" s="37" t="s">
        <v>768</v>
      </c>
      <c r="K18" s="37">
        <v>700</v>
      </c>
      <c r="L18" s="20" t="str">
        <f t="shared" si="1"/>
        <v>P6L2</v>
      </c>
      <c r="M18" s="1" t="s">
        <v>765</v>
      </c>
      <c r="N18" s="1">
        <v>700</v>
      </c>
      <c r="O18" s="20" t="str">
        <f t="shared" si="2"/>
        <v>P6L3</v>
      </c>
      <c r="P18" s="1" t="s">
        <v>726</v>
      </c>
      <c r="Q18" s="1">
        <v>0</v>
      </c>
      <c r="R18" s="20" t="str">
        <f t="shared" si="3"/>
        <v>P6L4</v>
      </c>
      <c r="S18" s="1" t="s">
        <v>726</v>
      </c>
      <c r="T18" s="1">
        <v>0</v>
      </c>
      <c r="U18" s="20" t="str">
        <f t="shared" si="4"/>
        <v>P6L5</v>
      </c>
      <c r="V18" s="1" t="str">
        <f t="shared" si="7"/>
        <v>-</v>
      </c>
      <c r="W18" s="1">
        <v>9999</v>
      </c>
      <c r="X18" s="20" t="str">
        <f t="shared" si="5"/>
        <v>P6L6</v>
      </c>
      <c r="Y18" s="1" t="str">
        <f t="shared" si="8"/>
        <v>TerSpr</v>
      </c>
      <c r="Z18" s="1">
        <v>9999</v>
      </c>
      <c r="AA18" s="20" t="str">
        <f t="shared" si="6"/>
        <v>P6L7</v>
      </c>
      <c r="AB18" s="1" t="s">
        <v>726</v>
      </c>
      <c r="AC18" s="1">
        <v>0</v>
      </c>
    </row>
    <row r="19" spans="1:29" ht="20.100000000000001" customHeight="1" x14ac:dyDescent="0.25">
      <c r="A19" s="21" t="s">
        <v>520</v>
      </c>
      <c r="B19" s="21">
        <v>17</v>
      </c>
      <c r="C19" s="59">
        <v>31</v>
      </c>
      <c r="D19" s="21">
        <v>6630032.0133999996</v>
      </c>
      <c r="E19" s="21">
        <v>393782.40580000001</v>
      </c>
      <c r="F19" s="35" t="s">
        <v>711</v>
      </c>
      <c r="G19" s="38"/>
      <c r="H19" s="32" t="s">
        <v>732</v>
      </c>
      <c r="I19" s="20" t="str">
        <f t="shared" si="0"/>
        <v>P18L1</v>
      </c>
      <c r="J19" s="37" t="s">
        <v>762</v>
      </c>
      <c r="K19" s="37">
        <v>200</v>
      </c>
      <c r="L19" s="20" t="str">
        <f t="shared" si="1"/>
        <v>P18L2</v>
      </c>
      <c r="M19" s="1" t="s">
        <v>726</v>
      </c>
      <c r="N19" s="1">
        <v>0</v>
      </c>
      <c r="O19" s="20" t="str">
        <f t="shared" si="2"/>
        <v>P18L3</v>
      </c>
      <c r="P19" s="1" t="s">
        <v>726</v>
      </c>
      <c r="Q19" s="1">
        <v>0</v>
      </c>
      <c r="R19" s="20" t="str">
        <f t="shared" si="3"/>
        <v>P18L4</v>
      </c>
      <c r="S19" s="1" t="s">
        <v>769</v>
      </c>
      <c r="T19" s="1">
        <v>0</v>
      </c>
      <c r="U19" s="20" t="str">
        <f t="shared" si="4"/>
        <v>P18L5</v>
      </c>
      <c r="V19" s="1" t="str">
        <f t="shared" si="7"/>
        <v>TerPal</v>
      </c>
      <c r="W19" s="1">
        <v>9999</v>
      </c>
      <c r="X19" s="20" t="str">
        <f t="shared" si="5"/>
        <v>P18L6</v>
      </c>
      <c r="Y19" s="1" t="str">
        <f t="shared" si="8"/>
        <v>-</v>
      </c>
      <c r="Z19" s="1">
        <v>9999</v>
      </c>
      <c r="AA19" s="20" t="str">
        <f t="shared" si="6"/>
        <v>P18L7</v>
      </c>
      <c r="AB19" s="1" t="s">
        <v>726</v>
      </c>
      <c r="AC19" s="1">
        <v>0</v>
      </c>
    </row>
    <row r="20" spans="1:29" ht="20.100000000000001" customHeight="1" x14ac:dyDescent="0.25">
      <c r="A20" s="21" t="s">
        <v>510</v>
      </c>
      <c r="B20" s="21">
        <v>18</v>
      </c>
      <c r="C20" s="59">
        <v>12</v>
      </c>
      <c r="D20" s="21">
        <v>6593530.1733999997</v>
      </c>
      <c r="E20" s="21">
        <v>517977.71309999999</v>
      </c>
      <c r="F20" s="34" t="s">
        <v>723</v>
      </c>
      <c r="G20" s="38" t="s">
        <v>679</v>
      </c>
      <c r="H20" s="27" t="s">
        <v>758</v>
      </c>
      <c r="I20" s="20" t="str">
        <f t="shared" si="0"/>
        <v>P8L1</v>
      </c>
      <c r="J20" s="37" t="s">
        <v>762</v>
      </c>
      <c r="K20" s="37">
        <v>150</v>
      </c>
      <c r="L20" s="20" t="str">
        <f t="shared" si="1"/>
        <v>P8L2</v>
      </c>
      <c r="M20" s="1" t="s">
        <v>763</v>
      </c>
      <c r="N20" s="1">
        <v>150</v>
      </c>
      <c r="O20" s="20" t="str">
        <f t="shared" si="2"/>
        <v>P8L3</v>
      </c>
      <c r="P20" s="1" t="s">
        <v>726</v>
      </c>
      <c r="Q20" s="1">
        <v>0</v>
      </c>
      <c r="R20" s="20" t="str">
        <f t="shared" si="3"/>
        <v>P8L4</v>
      </c>
      <c r="S20" s="1" t="s">
        <v>773</v>
      </c>
      <c r="T20" s="1">
        <v>0</v>
      </c>
      <c r="U20" s="20" t="str">
        <f t="shared" si="4"/>
        <v>P8L5</v>
      </c>
      <c r="V20" s="1" t="str">
        <f t="shared" si="7"/>
        <v>TerPal</v>
      </c>
      <c r="W20" s="1">
        <v>9999</v>
      </c>
      <c r="X20" s="20" t="str">
        <f t="shared" si="5"/>
        <v>P8L6</v>
      </c>
      <c r="Y20" s="1" t="str">
        <f t="shared" si="8"/>
        <v>-</v>
      </c>
      <c r="Z20" s="1">
        <v>9999</v>
      </c>
      <c r="AA20" s="20" t="str">
        <f t="shared" si="6"/>
        <v>P8L7</v>
      </c>
      <c r="AB20" s="1" t="s">
        <v>726</v>
      </c>
      <c r="AC20" s="1">
        <v>0</v>
      </c>
    </row>
    <row r="21" spans="1:29" ht="20.100000000000001" customHeight="1" x14ac:dyDescent="0.25">
      <c r="A21" s="21" t="s">
        <v>512</v>
      </c>
      <c r="B21" s="21">
        <v>18</v>
      </c>
      <c r="C21" s="59">
        <v>12</v>
      </c>
      <c r="D21" s="21">
        <v>6589036.9464999996</v>
      </c>
      <c r="E21" s="21">
        <v>513950.06969999999</v>
      </c>
      <c r="F21" s="35" t="s">
        <v>721</v>
      </c>
      <c r="G21" s="34"/>
      <c r="H21" s="32" t="s">
        <v>749</v>
      </c>
      <c r="I21" s="20" t="str">
        <f t="shared" si="0"/>
        <v>P10L1</v>
      </c>
      <c r="J21" s="41" t="s">
        <v>726</v>
      </c>
      <c r="K21" s="37">
        <v>0</v>
      </c>
      <c r="L21" s="20" t="str">
        <f t="shared" si="1"/>
        <v>P10L2</v>
      </c>
      <c r="M21" s="1" t="s">
        <v>726</v>
      </c>
      <c r="N21" s="1">
        <v>0</v>
      </c>
      <c r="O21" s="20" t="str">
        <f t="shared" si="2"/>
        <v>P10L3</v>
      </c>
      <c r="P21" s="1" t="s">
        <v>726</v>
      </c>
      <c r="Q21" s="1">
        <v>0</v>
      </c>
      <c r="R21" s="20" t="str">
        <f t="shared" si="3"/>
        <v>P10L4</v>
      </c>
      <c r="S21" s="1" t="s">
        <v>726</v>
      </c>
      <c r="T21" s="1">
        <v>0</v>
      </c>
      <c r="U21" s="20" t="str">
        <f t="shared" si="4"/>
        <v>P10L5</v>
      </c>
      <c r="V21" s="1" t="str">
        <f t="shared" si="7"/>
        <v>-</v>
      </c>
      <c r="W21" s="1">
        <v>9999</v>
      </c>
      <c r="X21" s="20" t="str">
        <f t="shared" si="5"/>
        <v>P10L6</v>
      </c>
      <c r="Y21" s="1" t="str">
        <f t="shared" si="8"/>
        <v>-</v>
      </c>
      <c r="Z21" s="1">
        <v>9999</v>
      </c>
      <c r="AA21" s="20" t="str">
        <f t="shared" si="6"/>
        <v>P10L7</v>
      </c>
      <c r="AB21" s="1" t="s">
        <v>726</v>
      </c>
      <c r="AC21" s="1">
        <v>0</v>
      </c>
    </row>
    <row r="22" spans="1:29" ht="20.100000000000001" customHeight="1" x14ac:dyDescent="0.25">
      <c r="A22" s="21" t="s">
        <v>503</v>
      </c>
      <c r="B22" s="21">
        <v>17</v>
      </c>
      <c r="C22" s="59">
        <v>31</v>
      </c>
      <c r="D22" s="21">
        <v>6579393.6046000002</v>
      </c>
      <c r="E22" s="21">
        <v>392744.15159999998</v>
      </c>
      <c r="F22" s="34" t="s">
        <v>723</v>
      </c>
      <c r="G22" s="38" t="s">
        <v>722</v>
      </c>
      <c r="H22" s="33" t="s">
        <v>733</v>
      </c>
      <c r="I22" s="20" t="str">
        <f t="shared" si="0"/>
        <v>P1L1</v>
      </c>
      <c r="J22" s="37" t="s">
        <v>762</v>
      </c>
      <c r="K22" s="37">
        <v>500</v>
      </c>
      <c r="L22" s="20" t="str">
        <f t="shared" si="1"/>
        <v>P1L2</v>
      </c>
      <c r="M22" s="1" t="s">
        <v>763</v>
      </c>
      <c r="N22" s="1">
        <v>500</v>
      </c>
      <c r="O22" s="20" t="str">
        <f t="shared" si="2"/>
        <v>P1L3</v>
      </c>
      <c r="P22" s="1" t="s">
        <v>726</v>
      </c>
      <c r="Q22" s="1">
        <v>0</v>
      </c>
      <c r="R22" s="20" t="str">
        <f t="shared" si="3"/>
        <v>P1L4</v>
      </c>
      <c r="S22" s="1" t="s">
        <v>773</v>
      </c>
      <c r="T22" s="1">
        <v>0</v>
      </c>
      <c r="U22" s="20" t="str">
        <f t="shared" si="4"/>
        <v>P1L5</v>
      </c>
      <c r="V22" s="1" t="str">
        <f t="shared" si="7"/>
        <v>TerPal</v>
      </c>
      <c r="W22" s="1">
        <v>9999</v>
      </c>
      <c r="X22" s="20" t="str">
        <f t="shared" si="5"/>
        <v>P1L6</v>
      </c>
      <c r="Y22" s="1" t="str">
        <f t="shared" si="8"/>
        <v>-</v>
      </c>
      <c r="Z22" s="1">
        <v>9999</v>
      </c>
      <c r="AA22" s="20" t="str">
        <f t="shared" si="6"/>
        <v>P1L7</v>
      </c>
      <c r="AB22" s="1" t="s">
        <v>726</v>
      </c>
      <c r="AC22" s="1">
        <v>0</v>
      </c>
    </row>
    <row r="23" spans="1:29" ht="20.100000000000001" customHeight="1" x14ac:dyDescent="0.25">
      <c r="A23" s="21" t="s">
        <v>532</v>
      </c>
      <c r="B23" s="21">
        <v>17</v>
      </c>
      <c r="C23" s="59">
        <v>31</v>
      </c>
      <c r="D23" s="21">
        <v>6576867.4497999996</v>
      </c>
      <c r="E23" s="21">
        <v>411644.07030000002</v>
      </c>
      <c r="F23" s="34" t="s">
        <v>692</v>
      </c>
      <c r="G23" s="38" t="s">
        <v>693</v>
      </c>
      <c r="H23" s="33" t="s">
        <v>747</v>
      </c>
      <c r="I23" s="20" t="str">
        <f t="shared" si="0"/>
        <v>P30L1</v>
      </c>
      <c r="J23" s="37" t="s">
        <v>762</v>
      </c>
      <c r="K23" s="37">
        <v>675</v>
      </c>
      <c r="L23" s="20" t="str">
        <f t="shared" si="1"/>
        <v>P30L2</v>
      </c>
      <c r="M23" s="1" t="s">
        <v>763</v>
      </c>
      <c r="N23" s="1">
        <v>675</v>
      </c>
      <c r="O23" s="20" t="str">
        <f t="shared" si="2"/>
        <v>P30L3</v>
      </c>
      <c r="P23" s="1" t="s">
        <v>731</v>
      </c>
      <c r="Q23" s="1">
        <v>0</v>
      </c>
      <c r="R23" s="20" t="str">
        <f t="shared" si="3"/>
        <v>P30L4</v>
      </c>
      <c r="S23" s="1" t="s">
        <v>773</v>
      </c>
      <c r="T23" s="1">
        <v>0</v>
      </c>
      <c r="U23" s="20" t="str">
        <f t="shared" si="4"/>
        <v>P30L5</v>
      </c>
      <c r="V23" s="1" t="str">
        <f t="shared" si="7"/>
        <v>TerPal</v>
      </c>
      <c r="W23" s="1">
        <v>9999</v>
      </c>
      <c r="X23" s="20" t="str">
        <f t="shared" si="5"/>
        <v>P30L6</v>
      </c>
      <c r="Y23" s="1" t="str">
        <f t="shared" si="8"/>
        <v>-</v>
      </c>
      <c r="Z23" s="1">
        <v>9999</v>
      </c>
      <c r="AA23" s="20" t="str">
        <f t="shared" si="6"/>
        <v>P30L7</v>
      </c>
      <c r="AB23" s="1" t="s">
        <v>726</v>
      </c>
      <c r="AC23" s="1">
        <v>0</v>
      </c>
    </row>
    <row r="24" spans="1:29" ht="20.100000000000001" customHeight="1" x14ac:dyDescent="0.25">
      <c r="A24" s="21" t="s">
        <v>518</v>
      </c>
      <c r="B24" s="21">
        <v>17</v>
      </c>
      <c r="C24" s="59">
        <v>31</v>
      </c>
      <c r="D24" s="21">
        <v>6575117.5946000004</v>
      </c>
      <c r="E24" s="21">
        <v>446987.28289999999</v>
      </c>
      <c r="F24" s="34" t="s">
        <v>713</v>
      </c>
      <c r="G24" s="38" t="s">
        <v>714</v>
      </c>
      <c r="H24" s="33" t="s">
        <v>739</v>
      </c>
      <c r="I24" s="20" t="str">
        <f t="shared" si="0"/>
        <v>P16L1</v>
      </c>
      <c r="J24" s="37" t="s">
        <v>762</v>
      </c>
      <c r="K24" s="37">
        <v>230</v>
      </c>
      <c r="L24" s="20" t="str">
        <f t="shared" si="1"/>
        <v>P16L2</v>
      </c>
      <c r="M24" s="1" t="s">
        <v>763</v>
      </c>
      <c r="N24" s="1">
        <v>160</v>
      </c>
      <c r="O24" s="20" t="str">
        <f t="shared" si="2"/>
        <v>P16L3</v>
      </c>
      <c r="P24" s="1" t="s">
        <v>726</v>
      </c>
      <c r="Q24" s="1">
        <v>0</v>
      </c>
      <c r="R24" s="20" t="str">
        <f t="shared" si="3"/>
        <v>P16L4</v>
      </c>
      <c r="S24" s="1" t="s">
        <v>773</v>
      </c>
      <c r="T24" s="1">
        <v>0</v>
      </c>
      <c r="U24" s="20" t="str">
        <f t="shared" si="4"/>
        <v>P16L5</v>
      </c>
      <c r="V24" s="1" t="str">
        <f t="shared" si="7"/>
        <v>TerPal</v>
      </c>
      <c r="W24" s="1">
        <v>9999</v>
      </c>
      <c r="X24" s="20" t="str">
        <f t="shared" si="5"/>
        <v>P16L6</v>
      </c>
      <c r="Y24" s="1" t="str">
        <f t="shared" si="8"/>
        <v>-</v>
      </c>
      <c r="Z24" s="1">
        <v>9999</v>
      </c>
      <c r="AA24" s="20" t="str">
        <f t="shared" si="6"/>
        <v>P16L7</v>
      </c>
      <c r="AB24" s="1" t="s">
        <v>726</v>
      </c>
      <c r="AC24" s="1">
        <v>0</v>
      </c>
    </row>
    <row r="25" spans="1:29" ht="20.100000000000001" customHeight="1" x14ac:dyDescent="0.25">
      <c r="A25" s="21" t="s">
        <v>519</v>
      </c>
      <c r="B25" s="21">
        <v>17</v>
      </c>
      <c r="C25" s="59">
        <v>31</v>
      </c>
      <c r="D25" s="21">
        <v>6557336.4855000004</v>
      </c>
      <c r="E25" s="21">
        <v>380717.17379999999</v>
      </c>
      <c r="F25" s="34" t="s">
        <v>713</v>
      </c>
      <c r="G25" s="34" t="s">
        <v>712</v>
      </c>
      <c r="H25" s="33" t="s">
        <v>738</v>
      </c>
      <c r="I25" s="20" t="str">
        <f t="shared" si="0"/>
        <v>P17L1</v>
      </c>
      <c r="J25" s="37" t="s">
        <v>762</v>
      </c>
      <c r="K25" s="37">
        <v>50</v>
      </c>
      <c r="L25" s="20" t="str">
        <f t="shared" si="1"/>
        <v>P17L2</v>
      </c>
      <c r="M25" s="1" t="s">
        <v>764</v>
      </c>
      <c r="N25" s="1">
        <v>50</v>
      </c>
      <c r="O25" s="20" t="str">
        <f t="shared" si="2"/>
        <v>P17L3</v>
      </c>
      <c r="P25" s="1" t="s">
        <v>726</v>
      </c>
      <c r="Q25" s="1">
        <v>0</v>
      </c>
      <c r="R25" s="20" t="str">
        <f t="shared" si="3"/>
        <v>P17L4</v>
      </c>
      <c r="S25" s="1" t="s">
        <v>726</v>
      </c>
      <c r="T25" s="1">
        <v>0</v>
      </c>
      <c r="U25" s="20" t="str">
        <f t="shared" si="4"/>
        <v>P17L5</v>
      </c>
      <c r="V25" s="1" t="str">
        <f t="shared" si="7"/>
        <v>TerPal</v>
      </c>
      <c r="W25" s="1">
        <v>9999</v>
      </c>
      <c r="X25" s="20" t="str">
        <f t="shared" si="5"/>
        <v>P17L6</v>
      </c>
      <c r="Y25" s="1" t="str">
        <f t="shared" si="8"/>
        <v>-</v>
      </c>
      <c r="Z25" s="1">
        <v>9999</v>
      </c>
      <c r="AA25" s="20" t="str">
        <f t="shared" si="6"/>
        <v>P17L7</v>
      </c>
      <c r="AB25" s="1" t="s">
        <v>726</v>
      </c>
      <c r="AC25" s="1">
        <v>0</v>
      </c>
    </row>
    <row r="26" spans="1:29" ht="20.100000000000001" customHeight="1" x14ac:dyDescent="0.25">
      <c r="A26" s="21" t="s">
        <v>517</v>
      </c>
      <c r="B26" s="21">
        <v>14</v>
      </c>
      <c r="C26" s="59">
        <v>23</v>
      </c>
      <c r="D26" s="21">
        <v>6542035.2434999999</v>
      </c>
      <c r="E26" s="21">
        <v>342505.83429999999</v>
      </c>
      <c r="F26" s="34" t="s">
        <v>715</v>
      </c>
      <c r="G26" s="34"/>
      <c r="H26" s="33" t="s">
        <v>734</v>
      </c>
      <c r="I26" s="20" t="str">
        <f t="shared" si="0"/>
        <v>P15L1</v>
      </c>
      <c r="J26" s="37" t="s">
        <v>762</v>
      </c>
      <c r="K26" s="37">
        <v>80</v>
      </c>
      <c r="L26" s="20" t="str">
        <f t="shared" si="1"/>
        <v>P15L2</v>
      </c>
      <c r="M26" s="1" t="s">
        <v>764</v>
      </c>
      <c r="N26" s="1">
        <v>60</v>
      </c>
      <c r="O26" s="20" t="str">
        <f t="shared" si="2"/>
        <v>P15L3</v>
      </c>
      <c r="P26" s="1" t="s">
        <v>726</v>
      </c>
      <c r="Q26" s="1">
        <v>0</v>
      </c>
      <c r="R26" s="20" t="str">
        <f t="shared" si="3"/>
        <v>P15L4</v>
      </c>
      <c r="S26" s="1" t="s">
        <v>726</v>
      </c>
      <c r="T26" s="1">
        <v>0</v>
      </c>
      <c r="U26" s="20" t="str">
        <f t="shared" si="4"/>
        <v>P15L5</v>
      </c>
      <c r="V26" s="1" t="str">
        <f t="shared" si="7"/>
        <v>TerPal</v>
      </c>
      <c r="W26" s="1">
        <v>9999</v>
      </c>
      <c r="X26" s="20" t="str">
        <f t="shared" si="5"/>
        <v>P15L6</v>
      </c>
      <c r="Y26" s="1" t="str">
        <f t="shared" si="8"/>
        <v>-</v>
      </c>
      <c r="Z26" s="1">
        <v>9999</v>
      </c>
      <c r="AA26" s="20" t="str">
        <f t="shared" si="6"/>
        <v>P15L7</v>
      </c>
      <c r="AB26" s="1" t="s">
        <v>726</v>
      </c>
      <c r="AC26" s="1">
        <v>0</v>
      </c>
    </row>
    <row r="27" spans="1:29" ht="20.100000000000001" customHeight="1" x14ac:dyDescent="0.25">
      <c r="A27" s="21" t="s">
        <v>516</v>
      </c>
      <c r="B27" s="21">
        <v>18</v>
      </c>
      <c r="C27" s="59">
        <v>12</v>
      </c>
      <c r="D27" s="21">
        <v>6512671.4000000004</v>
      </c>
      <c r="E27" s="21">
        <v>488678.68180000002</v>
      </c>
      <c r="F27" s="34" t="s">
        <v>716</v>
      </c>
      <c r="G27" s="34"/>
      <c r="H27" s="32" t="s">
        <v>732</v>
      </c>
      <c r="I27" s="20" t="str">
        <f t="shared" si="0"/>
        <v>P14L1</v>
      </c>
      <c r="J27" s="37" t="s">
        <v>762</v>
      </c>
      <c r="K27" s="37">
        <v>150</v>
      </c>
      <c r="L27" s="20" t="str">
        <f t="shared" si="1"/>
        <v>P14L2</v>
      </c>
      <c r="M27" s="1" t="s">
        <v>726</v>
      </c>
      <c r="N27" s="1">
        <v>0</v>
      </c>
      <c r="O27" s="20" t="str">
        <f t="shared" si="2"/>
        <v>P14L3</v>
      </c>
      <c r="P27" s="1" t="s">
        <v>726</v>
      </c>
      <c r="Q27" s="1">
        <v>0</v>
      </c>
      <c r="R27" s="20" t="str">
        <f t="shared" si="3"/>
        <v>P14L4</v>
      </c>
      <c r="S27" s="1" t="s">
        <v>726</v>
      </c>
      <c r="T27" s="1">
        <v>0</v>
      </c>
      <c r="U27" s="20" t="str">
        <f t="shared" si="4"/>
        <v>P14L5</v>
      </c>
      <c r="V27" s="1" t="str">
        <f t="shared" si="7"/>
        <v>TerPal</v>
      </c>
      <c r="W27" s="1">
        <v>9999</v>
      </c>
      <c r="X27" s="20" t="str">
        <f t="shared" si="5"/>
        <v>P14L6</v>
      </c>
      <c r="Y27" s="1" t="str">
        <f t="shared" si="8"/>
        <v>-</v>
      </c>
      <c r="Z27" s="1">
        <v>9999</v>
      </c>
      <c r="AA27" s="20" t="str">
        <f t="shared" si="6"/>
        <v>P14L7</v>
      </c>
      <c r="AB27" s="1" t="s">
        <v>726</v>
      </c>
      <c r="AC27" s="1">
        <v>0</v>
      </c>
    </row>
    <row r="28" spans="1:29" ht="20.100000000000001" customHeight="1" x14ac:dyDescent="0.25">
      <c r="A28" s="21" t="s">
        <v>507</v>
      </c>
      <c r="B28" s="21">
        <v>5</v>
      </c>
      <c r="C28" s="59">
        <v>12</v>
      </c>
      <c r="D28" s="21">
        <v>6500610.4370999997</v>
      </c>
      <c r="E28" s="21">
        <v>573341.64769999997</v>
      </c>
      <c r="F28" s="34" t="s">
        <v>683</v>
      </c>
      <c r="G28" s="34" t="s">
        <v>684</v>
      </c>
      <c r="H28" s="33" t="s">
        <v>750</v>
      </c>
      <c r="I28" s="20" t="str">
        <f t="shared" si="0"/>
        <v>P5L1</v>
      </c>
      <c r="J28" s="37" t="s">
        <v>768</v>
      </c>
      <c r="K28" s="37">
        <v>650</v>
      </c>
      <c r="L28" s="20" t="str">
        <f t="shared" si="1"/>
        <v>P5L2</v>
      </c>
      <c r="M28" s="1" t="s">
        <v>765</v>
      </c>
      <c r="N28" s="1">
        <v>650</v>
      </c>
      <c r="O28" s="20" t="str">
        <f t="shared" si="2"/>
        <v>P5L3</v>
      </c>
      <c r="P28" s="1" t="s">
        <v>731</v>
      </c>
      <c r="Q28" s="1">
        <v>0</v>
      </c>
      <c r="R28" s="20" t="str">
        <f t="shared" si="3"/>
        <v>P5L4</v>
      </c>
      <c r="S28" s="1" t="s">
        <v>726</v>
      </c>
      <c r="T28" s="1">
        <v>0</v>
      </c>
      <c r="U28" s="20" t="str">
        <f t="shared" si="4"/>
        <v>P5L5</v>
      </c>
      <c r="V28" s="1" t="str">
        <f t="shared" si="7"/>
        <v>TerPal</v>
      </c>
      <c r="W28" s="1">
        <v>9999</v>
      </c>
      <c r="X28" s="20" t="str">
        <f t="shared" si="5"/>
        <v>P5L6</v>
      </c>
      <c r="Y28" s="1" t="str">
        <f t="shared" si="8"/>
        <v>TerSpr</v>
      </c>
      <c r="Z28" s="1">
        <v>9999</v>
      </c>
      <c r="AA28" s="20" t="str">
        <f t="shared" si="6"/>
        <v>P5L7</v>
      </c>
      <c r="AB28" s="1" t="s">
        <v>726</v>
      </c>
      <c r="AC28" s="1">
        <v>0</v>
      </c>
    </row>
    <row r="29" spans="1:29" ht="20.100000000000001" customHeight="1" x14ac:dyDescent="0.25">
      <c r="A29" s="21" t="s">
        <v>505</v>
      </c>
      <c r="B29" s="21">
        <v>5</v>
      </c>
      <c r="C29" s="59">
        <v>12</v>
      </c>
      <c r="D29" s="21">
        <v>6493534.3687000005</v>
      </c>
      <c r="E29" s="21">
        <v>552300.17020000005</v>
      </c>
      <c r="F29" s="34" t="s">
        <v>723</v>
      </c>
      <c r="G29" s="38" t="s">
        <v>694</v>
      </c>
      <c r="H29" s="27" t="s">
        <v>757</v>
      </c>
      <c r="I29" s="20" t="str">
        <f t="shared" si="0"/>
        <v>P3L1</v>
      </c>
      <c r="J29" s="37" t="s">
        <v>762</v>
      </c>
      <c r="K29" s="37">
        <v>460</v>
      </c>
      <c r="L29" s="20" t="str">
        <f t="shared" si="1"/>
        <v>P3L2</v>
      </c>
      <c r="M29" s="1" t="s">
        <v>763</v>
      </c>
      <c r="N29" s="1">
        <v>460</v>
      </c>
      <c r="O29" s="20" t="str">
        <f t="shared" si="2"/>
        <v>P3L3</v>
      </c>
      <c r="P29" s="1" t="s">
        <v>726</v>
      </c>
      <c r="Q29" s="1">
        <v>0</v>
      </c>
      <c r="R29" s="20" t="str">
        <f t="shared" si="3"/>
        <v>P3L4</v>
      </c>
      <c r="S29" s="1" t="s">
        <v>773</v>
      </c>
      <c r="T29" s="1">
        <v>0</v>
      </c>
      <c r="U29" s="20" t="str">
        <f t="shared" si="4"/>
        <v>P3L5</v>
      </c>
      <c r="V29" s="1" t="str">
        <f t="shared" si="7"/>
        <v>TerPal</v>
      </c>
      <c r="W29" s="1">
        <v>9999</v>
      </c>
      <c r="X29" s="20" t="str">
        <f t="shared" si="5"/>
        <v>P3L6</v>
      </c>
      <c r="Y29" s="1" t="str">
        <f t="shared" si="8"/>
        <v>-</v>
      </c>
      <c r="Z29" s="1">
        <v>9999</v>
      </c>
      <c r="AA29" s="20" t="str">
        <f t="shared" si="6"/>
        <v>P3L7</v>
      </c>
      <c r="AB29" s="1" t="s">
        <v>726</v>
      </c>
      <c r="AC29" s="1">
        <v>0</v>
      </c>
    </row>
    <row r="30" spans="1:29" ht="20.100000000000001" customHeight="1" x14ac:dyDescent="0.25">
      <c r="A30" s="21" t="s">
        <v>536</v>
      </c>
      <c r="B30" s="21">
        <v>6</v>
      </c>
      <c r="C30" s="59">
        <v>21</v>
      </c>
      <c r="D30" s="21">
        <v>6371872.4468999999</v>
      </c>
      <c r="E30" s="21">
        <v>446490.61810000002</v>
      </c>
      <c r="F30" s="35" t="s">
        <v>688</v>
      </c>
      <c r="G30" s="34" t="s">
        <v>760</v>
      </c>
      <c r="H30" s="32" t="s">
        <v>761</v>
      </c>
      <c r="I30" s="20" t="str">
        <f t="shared" si="0"/>
        <v>P34L1</v>
      </c>
      <c r="J30" s="37" t="s">
        <v>768</v>
      </c>
      <c r="K30" s="37">
        <v>200</v>
      </c>
      <c r="L30" s="20" t="str">
        <f t="shared" si="1"/>
        <v>P34L2</v>
      </c>
      <c r="M30" s="1" t="s">
        <v>726</v>
      </c>
      <c r="N30" s="1">
        <v>0</v>
      </c>
      <c r="O30" s="20" t="str">
        <f t="shared" si="2"/>
        <v>P34L3</v>
      </c>
      <c r="P30" s="1" t="s">
        <v>726</v>
      </c>
      <c r="Q30" s="1">
        <v>0</v>
      </c>
      <c r="R30" s="20" t="str">
        <f t="shared" si="3"/>
        <v>P34L4</v>
      </c>
      <c r="S30" s="1" t="s">
        <v>726</v>
      </c>
      <c r="T30" s="1">
        <v>0</v>
      </c>
      <c r="U30" s="20" t="str">
        <f t="shared" si="4"/>
        <v>P34L5</v>
      </c>
      <c r="V30" s="1" t="str">
        <f t="shared" si="7"/>
        <v>-</v>
      </c>
      <c r="W30" s="1">
        <v>9999</v>
      </c>
      <c r="X30" s="20" t="str">
        <f t="shared" si="5"/>
        <v>P34L6</v>
      </c>
      <c r="Y30" s="1" t="str">
        <f t="shared" si="8"/>
        <v>TerSpr</v>
      </c>
      <c r="Z30" s="1">
        <v>9999</v>
      </c>
      <c r="AA30" s="20" t="str">
        <f t="shared" si="6"/>
        <v>P34L7</v>
      </c>
      <c r="AB30" s="1" t="s">
        <v>726</v>
      </c>
      <c r="AC30" s="1">
        <v>0</v>
      </c>
    </row>
    <row r="31" spans="1:29" ht="20.100000000000001" customHeight="1" x14ac:dyDescent="0.25">
      <c r="A31" s="21" t="s">
        <v>523</v>
      </c>
      <c r="B31" s="21">
        <v>13</v>
      </c>
      <c r="C31" s="59">
        <v>23</v>
      </c>
      <c r="D31" s="21">
        <v>6345773.3624999998</v>
      </c>
      <c r="E31" s="21">
        <v>329120.52110000001</v>
      </c>
      <c r="F31" s="35" t="s">
        <v>707</v>
      </c>
      <c r="G31" s="45"/>
      <c r="H31" s="32" t="s">
        <v>732</v>
      </c>
      <c r="I31" s="20" t="str">
        <f t="shared" si="0"/>
        <v>P21L1</v>
      </c>
      <c r="J31" s="37" t="s">
        <v>762</v>
      </c>
      <c r="K31" s="37">
        <v>800</v>
      </c>
      <c r="L31" s="20" t="str">
        <f t="shared" si="1"/>
        <v>P21L2</v>
      </c>
      <c r="M31" s="1" t="s">
        <v>731</v>
      </c>
      <c r="N31" s="1">
        <v>0</v>
      </c>
      <c r="O31" s="20" t="str">
        <f t="shared" si="2"/>
        <v>P21L3</v>
      </c>
      <c r="P31" s="1" t="s">
        <v>794</v>
      </c>
      <c r="Q31" s="37">
        <v>1</v>
      </c>
      <c r="R31" s="20" t="str">
        <f t="shared" si="3"/>
        <v>P21L4</v>
      </c>
      <c r="S31" s="1" t="s">
        <v>769</v>
      </c>
      <c r="T31" s="1">
        <v>0</v>
      </c>
      <c r="U31" s="20" t="str">
        <f t="shared" si="4"/>
        <v>P21L5</v>
      </c>
      <c r="V31" s="1" t="str">
        <f t="shared" si="7"/>
        <v>TerPal</v>
      </c>
      <c r="W31" s="1">
        <v>9999</v>
      </c>
      <c r="X31" s="20" t="str">
        <f t="shared" si="5"/>
        <v>P21L6</v>
      </c>
      <c r="Y31" s="1" t="str">
        <f t="shared" si="8"/>
        <v>TerHea</v>
      </c>
      <c r="Z31" s="1">
        <v>9999</v>
      </c>
      <c r="AA31" s="20" t="str">
        <f t="shared" si="6"/>
        <v>P21L7</v>
      </c>
      <c r="AB31" s="1" t="s">
        <v>726</v>
      </c>
      <c r="AC31" s="1">
        <v>0</v>
      </c>
    </row>
    <row r="32" spans="1:29" ht="20.100000000000001" customHeight="1" x14ac:dyDescent="0.25">
      <c r="A32" s="21" t="s">
        <v>521</v>
      </c>
      <c r="B32" s="21">
        <v>8</v>
      </c>
      <c r="C32" s="59">
        <v>21</v>
      </c>
      <c r="D32" s="21">
        <v>6328674.0059000002</v>
      </c>
      <c r="E32" s="21">
        <v>593197.91859999998</v>
      </c>
      <c r="F32" s="35" t="s">
        <v>710</v>
      </c>
      <c r="G32" s="38"/>
      <c r="H32" s="32" t="s">
        <v>732</v>
      </c>
      <c r="I32" s="20" t="str">
        <f t="shared" si="0"/>
        <v>P19L1</v>
      </c>
      <c r="J32" s="37" t="s">
        <v>762</v>
      </c>
      <c r="K32" s="37">
        <v>700</v>
      </c>
      <c r="L32" s="20" t="str">
        <f t="shared" si="1"/>
        <v>P19L2</v>
      </c>
      <c r="M32" s="1" t="s">
        <v>726</v>
      </c>
      <c r="N32" s="1">
        <v>0</v>
      </c>
      <c r="O32" s="20" t="str">
        <f t="shared" si="2"/>
        <v>P19L3</v>
      </c>
      <c r="P32" s="1" t="s">
        <v>726</v>
      </c>
      <c r="Q32" s="1">
        <v>0</v>
      </c>
      <c r="R32" s="20" t="str">
        <f t="shared" si="3"/>
        <v>P19L4</v>
      </c>
      <c r="S32" s="1" t="s">
        <v>769</v>
      </c>
      <c r="T32" s="1">
        <v>0</v>
      </c>
      <c r="U32" s="20" t="str">
        <f t="shared" si="4"/>
        <v>P19L5</v>
      </c>
      <c r="V32" s="1" t="str">
        <f t="shared" si="7"/>
        <v>TerPal</v>
      </c>
      <c r="W32" s="1">
        <v>9999</v>
      </c>
      <c r="X32" s="20" t="str">
        <f t="shared" si="5"/>
        <v>P19L6</v>
      </c>
      <c r="Y32" s="1" t="str">
        <f t="shared" si="8"/>
        <v>-</v>
      </c>
      <c r="Z32" s="1">
        <v>9999</v>
      </c>
      <c r="AA32" s="20" t="str">
        <f t="shared" si="6"/>
        <v>P19L7</v>
      </c>
      <c r="AB32" s="1" t="s">
        <v>726</v>
      </c>
      <c r="AC32" s="1">
        <v>0</v>
      </c>
    </row>
    <row r="33" spans="1:29" ht="20.100000000000001" customHeight="1" x14ac:dyDescent="0.25">
      <c r="A33" s="21" t="s">
        <v>533</v>
      </c>
      <c r="B33" s="21">
        <v>13</v>
      </c>
      <c r="C33" s="59">
        <v>23</v>
      </c>
      <c r="D33" s="21">
        <v>6318961.2652000003</v>
      </c>
      <c r="E33" s="21">
        <v>392998.15519999998</v>
      </c>
      <c r="F33" s="34" t="s">
        <v>793</v>
      </c>
      <c r="G33" s="34" t="s">
        <v>691</v>
      </c>
      <c r="H33" s="33" t="s">
        <v>752</v>
      </c>
      <c r="I33" s="20" t="str">
        <f t="shared" si="0"/>
        <v>P31L1</v>
      </c>
      <c r="J33" s="37" t="s">
        <v>768</v>
      </c>
      <c r="K33" s="37">
        <v>245</v>
      </c>
      <c r="L33" s="20" t="str">
        <f t="shared" si="1"/>
        <v>P31L2</v>
      </c>
      <c r="M33" s="1" t="s">
        <v>767</v>
      </c>
      <c r="N33" s="1">
        <v>245</v>
      </c>
      <c r="O33" s="20" t="str">
        <f t="shared" si="2"/>
        <v>P31L3</v>
      </c>
      <c r="P33" s="1" t="s">
        <v>726</v>
      </c>
      <c r="Q33" s="1">
        <v>1</v>
      </c>
      <c r="R33" s="20" t="str">
        <f t="shared" si="3"/>
        <v>P31L4</v>
      </c>
      <c r="S33" s="1" t="s">
        <v>726</v>
      </c>
      <c r="T33" s="1">
        <v>0</v>
      </c>
      <c r="U33" s="20" t="str">
        <f t="shared" si="4"/>
        <v>P31L5</v>
      </c>
      <c r="V33" s="1" t="str">
        <f t="shared" si="7"/>
        <v>-</v>
      </c>
      <c r="W33" s="1">
        <v>9999</v>
      </c>
      <c r="X33" s="20" t="str">
        <f t="shared" si="5"/>
        <v>P31L6</v>
      </c>
      <c r="Y33" s="1" t="str">
        <f t="shared" si="8"/>
        <v>TerSpr</v>
      </c>
      <c r="Z33" s="1">
        <v>9999</v>
      </c>
      <c r="AA33" s="20" t="str">
        <f t="shared" si="6"/>
        <v>P31L7</v>
      </c>
      <c r="AB33" s="1" t="s">
        <v>726</v>
      </c>
      <c r="AC33" s="1">
        <v>0</v>
      </c>
    </row>
    <row r="34" spans="1:29" ht="20.100000000000001" customHeight="1" x14ac:dyDescent="0.25">
      <c r="A34" s="21" t="s">
        <v>513</v>
      </c>
      <c r="B34" s="21">
        <v>7</v>
      </c>
      <c r="C34" s="59">
        <v>21</v>
      </c>
      <c r="D34" s="21">
        <v>6289234.0663000001</v>
      </c>
      <c r="E34" s="21">
        <v>516478.11989999999</v>
      </c>
      <c r="F34" s="35" t="s">
        <v>720</v>
      </c>
      <c r="G34" s="34"/>
      <c r="H34" s="31"/>
      <c r="I34" s="20" t="str">
        <f t="shared" si="0"/>
        <v>P11L1</v>
      </c>
      <c r="J34" s="41" t="s">
        <v>726</v>
      </c>
      <c r="K34" s="37">
        <v>0</v>
      </c>
      <c r="L34" s="20" t="str">
        <f t="shared" si="1"/>
        <v>P11L2</v>
      </c>
      <c r="M34" s="1" t="s">
        <v>726</v>
      </c>
      <c r="N34" s="1">
        <v>0</v>
      </c>
      <c r="O34" s="20" t="str">
        <f t="shared" si="2"/>
        <v>P11L3</v>
      </c>
      <c r="P34" s="1" t="s">
        <v>726</v>
      </c>
      <c r="Q34" s="1">
        <v>0</v>
      </c>
      <c r="R34" s="20" t="str">
        <f t="shared" si="3"/>
        <v>P11L4</v>
      </c>
      <c r="S34" s="1" t="s">
        <v>726</v>
      </c>
      <c r="T34" s="1">
        <v>0</v>
      </c>
      <c r="U34" s="20" t="str">
        <f t="shared" si="4"/>
        <v>P11L5</v>
      </c>
      <c r="V34" s="1" t="str">
        <f t="shared" si="7"/>
        <v>-</v>
      </c>
      <c r="W34" s="1">
        <v>9999</v>
      </c>
      <c r="X34" s="20" t="str">
        <f t="shared" si="5"/>
        <v>P11L6</v>
      </c>
      <c r="Y34" s="1" t="str">
        <f t="shared" si="8"/>
        <v>-</v>
      </c>
      <c r="Z34" s="1">
        <v>9999</v>
      </c>
      <c r="AA34" s="20" t="str">
        <f t="shared" si="6"/>
        <v>P11L7</v>
      </c>
      <c r="AB34" s="1" t="s">
        <v>726</v>
      </c>
      <c r="AC34" s="1">
        <v>0</v>
      </c>
    </row>
    <row r="35" spans="1:29" ht="20.100000000000001" customHeight="1" x14ac:dyDescent="0.25">
      <c r="A35" s="21" t="s">
        <v>522</v>
      </c>
      <c r="B35" s="21">
        <v>10</v>
      </c>
      <c r="C35" s="59">
        <v>22</v>
      </c>
      <c r="D35" s="21">
        <v>6224076.7026000004</v>
      </c>
      <c r="E35" s="21">
        <v>485150.69219999999</v>
      </c>
      <c r="F35" s="35" t="s">
        <v>708</v>
      </c>
      <c r="G35" s="38"/>
      <c r="H35" s="32" t="s">
        <v>732</v>
      </c>
      <c r="I35" s="20" t="str">
        <f t="shared" si="0"/>
        <v>P20L1</v>
      </c>
      <c r="J35" s="37" t="s">
        <v>762</v>
      </c>
      <c r="K35" s="37">
        <v>600</v>
      </c>
      <c r="L35" s="20" t="str">
        <f t="shared" si="1"/>
        <v>P20L2</v>
      </c>
      <c r="M35" s="1" t="s">
        <v>731</v>
      </c>
      <c r="N35" s="1">
        <v>200</v>
      </c>
      <c r="O35" s="20" t="str">
        <f t="shared" si="2"/>
        <v>P20L3</v>
      </c>
      <c r="P35" s="1" t="s">
        <v>726</v>
      </c>
      <c r="Q35" s="1">
        <v>0</v>
      </c>
      <c r="R35" s="20" t="str">
        <f t="shared" si="3"/>
        <v>P20L4</v>
      </c>
      <c r="S35" s="1" t="s">
        <v>769</v>
      </c>
      <c r="T35" s="1">
        <v>0</v>
      </c>
      <c r="U35" s="20" t="str">
        <f t="shared" si="4"/>
        <v>P20L5</v>
      </c>
      <c r="V35" s="1" t="str">
        <f t="shared" si="7"/>
        <v>TerPal</v>
      </c>
      <c r="W35" s="1">
        <v>9999</v>
      </c>
      <c r="X35" s="20" t="str">
        <f t="shared" si="5"/>
        <v>P20L6</v>
      </c>
      <c r="Y35" s="1" t="str">
        <f t="shared" si="8"/>
        <v>-</v>
      </c>
      <c r="Z35" s="1">
        <v>9999</v>
      </c>
      <c r="AA35" s="20" t="str">
        <f t="shared" si="6"/>
        <v>P20L7</v>
      </c>
      <c r="AB35" s="1" t="s">
        <v>726</v>
      </c>
      <c r="AC35" s="1">
        <v>0</v>
      </c>
    </row>
    <row r="36" spans="1:29" ht="20.100000000000001" customHeight="1" x14ac:dyDescent="0.25">
      <c r="A36" s="21" t="s">
        <v>531</v>
      </c>
      <c r="B36" s="21">
        <v>12</v>
      </c>
      <c r="C36" s="59">
        <v>22</v>
      </c>
      <c r="D36" s="21">
        <v>6210855.8909</v>
      </c>
      <c r="E36" s="21">
        <v>467065.02710000001</v>
      </c>
      <c r="F36" s="35" t="s">
        <v>695</v>
      </c>
      <c r="G36" s="38"/>
      <c r="H36" s="33" t="s">
        <v>748</v>
      </c>
      <c r="I36" s="20" t="str">
        <f t="shared" si="0"/>
        <v>P29L1</v>
      </c>
      <c r="J36" s="37" t="s">
        <v>762</v>
      </c>
      <c r="K36" s="37">
        <v>800</v>
      </c>
      <c r="L36" s="20" t="str">
        <f t="shared" si="1"/>
        <v>P29L2</v>
      </c>
      <c r="M36" s="1" t="s">
        <v>764</v>
      </c>
      <c r="N36" s="1">
        <v>475</v>
      </c>
      <c r="O36" s="20" t="str">
        <f t="shared" si="2"/>
        <v>P29L3</v>
      </c>
      <c r="P36" s="1" t="s">
        <v>726</v>
      </c>
      <c r="Q36" s="1">
        <v>0</v>
      </c>
      <c r="R36" s="20" t="str">
        <f t="shared" si="3"/>
        <v>P29L4</v>
      </c>
      <c r="S36" s="1" t="s">
        <v>774</v>
      </c>
      <c r="T36" s="1">
        <v>0</v>
      </c>
      <c r="U36" s="20" t="str">
        <f t="shared" si="4"/>
        <v>P29L5</v>
      </c>
      <c r="V36" s="1" t="str">
        <f t="shared" si="7"/>
        <v>TerPal</v>
      </c>
      <c r="W36" s="1">
        <v>9999</v>
      </c>
      <c r="X36" s="20" t="str">
        <f t="shared" si="5"/>
        <v>P29L6</v>
      </c>
      <c r="Y36" s="1" t="str">
        <f t="shared" si="8"/>
        <v>-</v>
      </c>
      <c r="Z36" s="1">
        <v>9999</v>
      </c>
      <c r="AA36" s="20" t="str">
        <f t="shared" si="6"/>
        <v>P29L7</v>
      </c>
      <c r="AB36" s="1" t="s">
        <v>726</v>
      </c>
      <c r="AC36" s="1">
        <v>0</v>
      </c>
    </row>
    <row r="37" spans="1:29" ht="20.100000000000001" customHeight="1" x14ac:dyDescent="0.25">
      <c r="M37" s="37"/>
      <c r="N37" s="37"/>
      <c r="P37" s="37"/>
      <c r="Q37" s="37"/>
      <c r="S37" s="37"/>
      <c r="T37" s="37"/>
      <c r="V37" s="37"/>
      <c r="W37" s="37"/>
      <c r="Y37" s="37"/>
      <c r="Z37" s="37"/>
      <c r="AB37" s="37"/>
      <c r="AC37" s="37"/>
    </row>
    <row r="38" spans="1:29" ht="20.100000000000001" customHeight="1" x14ac:dyDescent="0.25">
      <c r="G38" s="21" t="s">
        <v>770</v>
      </c>
      <c r="M38" s="37"/>
      <c r="N38" s="37"/>
      <c r="P38" s="37"/>
      <c r="Q38" s="37"/>
      <c r="S38" s="37"/>
      <c r="T38" s="37"/>
      <c r="V38" s="37"/>
      <c r="W38" s="37"/>
      <c r="Y38" s="37"/>
      <c r="Z38" s="37"/>
      <c r="AB38" s="37"/>
      <c r="AC38" s="37"/>
    </row>
    <row r="39" spans="1:29" ht="20.100000000000001" customHeight="1" x14ac:dyDescent="0.25">
      <c r="G39" s="43" t="s">
        <v>771</v>
      </c>
      <c r="M39" s="37"/>
      <c r="N39" s="37"/>
      <c r="P39" s="37"/>
      <c r="Q39" s="37"/>
      <c r="S39" s="37"/>
      <c r="T39" s="37"/>
      <c r="V39" s="37"/>
      <c r="W39" s="37"/>
      <c r="Y39" s="37"/>
      <c r="Z39" s="37"/>
      <c r="AB39" s="37"/>
      <c r="AC39" s="37"/>
    </row>
    <row r="40" spans="1:29" ht="20.100000000000001" customHeight="1" x14ac:dyDescent="0.25">
      <c r="G40" s="46" t="s">
        <v>775</v>
      </c>
      <c r="M40" s="37"/>
      <c r="N40" s="37"/>
      <c r="P40" s="37"/>
      <c r="Q40" s="37"/>
      <c r="S40" s="37"/>
      <c r="T40" s="37"/>
      <c r="V40" s="37"/>
      <c r="W40" s="37"/>
      <c r="Y40" s="37"/>
      <c r="Z40" s="37"/>
      <c r="AB40" s="37"/>
      <c r="AC40" s="37"/>
    </row>
    <row r="41" spans="1:29" ht="20.100000000000001" customHeight="1" x14ac:dyDescent="0.25">
      <c r="H41" s="48" t="s">
        <v>777</v>
      </c>
      <c r="K41" s="1">
        <f>SUM(K2:K36)</f>
        <v>13640</v>
      </c>
      <c r="M41" s="37"/>
      <c r="N41" s="1">
        <f>SUM(N2:N36)</f>
        <v>9190</v>
      </c>
      <c r="P41" s="37"/>
      <c r="Q41" s="1">
        <f>SUM(Q2:Q36)</f>
        <v>289</v>
      </c>
      <c r="S41" s="37"/>
      <c r="T41" s="1">
        <f>SUM(T2:T36)</f>
        <v>3</v>
      </c>
      <c r="V41" s="37"/>
      <c r="W41" s="1">
        <f>SUM(W2:W36)</f>
        <v>349965</v>
      </c>
      <c r="Y41" s="37"/>
      <c r="Z41" s="1">
        <f>SUM(Z2:Z36)</f>
        <v>349965</v>
      </c>
      <c r="AB41" s="37"/>
      <c r="AC41" s="37"/>
    </row>
    <row r="42" spans="1:29" ht="20.100000000000001" customHeight="1" x14ac:dyDescent="0.25">
      <c r="H42" s="48" t="s">
        <v>778</v>
      </c>
      <c r="K42" s="49">
        <f>SUMIFS(K2:K36,K2:K36,"&gt;100")/K41</f>
        <v>0.9904692082111437</v>
      </c>
      <c r="M42" s="37"/>
      <c r="N42" s="49">
        <f>SUMIFS(N2:N36,N2:N36,"&gt;100")/N41</f>
        <v>0.98803046789989124</v>
      </c>
      <c r="P42" s="37"/>
      <c r="Q42" s="49">
        <f>SUMIFS(Q2:Q36,Q2:Q36,"&gt;100")/Q41</f>
        <v>0.64013840830449831</v>
      </c>
      <c r="S42" s="37"/>
      <c r="T42" s="37"/>
      <c r="V42" s="37"/>
      <c r="W42" s="37"/>
      <c r="Y42" s="37"/>
      <c r="Z42" s="37"/>
      <c r="AB42" s="37"/>
      <c r="AC42" s="37"/>
    </row>
    <row r="43" spans="1:29" ht="20.100000000000001" customHeight="1" x14ac:dyDescent="0.25">
      <c r="H43" s="50" t="s">
        <v>762</v>
      </c>
      <c r="K43" s="37">
        <f>SUMIFS(K2:K36,J2:J36,"=PuChem")</f>
        <v>11585</v>
      </c>
      <c r="M43" s="37"/>
      <c r="N43" s="37">
        <f>SUMIFS(N2:N36,M2:M36,"=PuChem")</f>
        <v>0</v>
      </c>
      <c r="P43" s="37"/>
      <c r="Q43" s="37">
        <f>SUMIFS(Q2:Q36,P2:P36,"=PuChem")</f>
        <v>0</v>
      </c>
      <c r="S43" s="37"/>
      <c r="T43" s="37">
        <f>SUMIFS(T2:T36,S2:S36,"=PuChem")</f>
        <v>0</v>
      </c>
      <c r="V43" s="37"/>
      <c r="W43" s="37"/>
      <c r="Y43" s="37"/>
      <c r="Z43" s="37"/>
      <c r="AB43" s="37"/>
      <c r="AC43" s="37"/>
    </row>
    <row r="44" spans="1:29" ht="20.100000000000001" customHeight="1" x14ac:dyDescent="0.25">
      <c r="H44" s="51" t="s">
        <v>768</v>
      </c>
      <c r="K44" s="37">
        <f>SUMIFS(K2:K36,J2:J36,"=PuCTMP")</f>
        <v>1795</v>
      </c>
      <c r="M44" s="37"/>
      <c r="N44" s="37">
        <f>SUMIFS(N2:N36,M2:M36,"=PuCTMP")</f>
        <v>0</v>
      </c>
      <c r="P44" s="37"/>
      <c r="Q44" s="37">
        <f>SUMIFS(Q2:Q36,P2:P36,"=PuCTMP")</f>
        <v>285</v>
      </c>
      <c r="S44" s="37"/>
      <c r="T44" s="37">
        <f>SUMIFS(T2:T36,S2:S36,"=PuCTMP")</f>
        <v>0</v>
      </c>
      <c r="V44" s="37"/>
      <c r="W44" s="37"/>
      <c r="Y44" s="37"/>
      <c r="Z44" s="37"/>
      <c r="AB44" s="37"/>
      <c r="AC44" s="37"/>
    </row>
    <row r="45" spans="1:29" ht="20.100000000000001" customHeight="1" x14ac:dyDescent="0.25">
      <c r="H45" s="50" t="s">
        <v>766</v>
      </c>
      <c r="K45" s="37">
        <f>SUMIFS(K2:K36,J2:J36,"=PuMech")</f>
        <v>0</v>
      </c>
      <c r="M45" s="37"/>
      <c r="N45" s="37">
        <f>SUMIFS(N2:N36,M2:M36,"=PuMech")</f>
        <v>0</v>
      </c>
      <c r="P45" s="37"/>
      <c r="Q45" s="37">
        <f>SUMIFS(Q2:Q36,P2:P36,"=PuMech")</f>
        <v>0</v>
      </c>
      <c r="S45" s="37"/>
      <c r="T45" s="37">
        <f>SUMIFS(T2:T36,S2:S36,"=PuMech")</f>
        <v>0</v>
      </c>
      <c r="V45" s="37"/>
      <c r="W45" s="37"/>
      <c r="Y45" s="37"/>
      <c r="Z45" s="37"/>
      <c r="AB45" s="37"/>
      <c r="AC45" s="37"/>
    </row>
    <row r="46" spans="1:29" ht="20.100000000000001" customHeight="1" x14ac:dyDescent="0.25">
      <c r="H46" s="51" t="s">
        <v>731</v>
      </c>
      <c r="K46" s="37">
        <f>SUMIFS(K2:K36,J2:J36,"=PuDiss")</f>
        <v>260</v>
      </c>
      <c r="M46" s="37"/>
      <c r="N46" s="37">
        <f>SUMIFS(N2:N36,M2:M36,"=PuDiss")</f>
        <v>200</v>
      </c>
      <c r="P46" s="37"/>
      <c r="Q46" s="37">
        <f>SUMIFS(Q2:Q36,P2:P36,"=PuDiss")</f>
        <v>0</v>
      </c>
      <c r="S46" s="37"/>
      <c r="T46" s="37">
        <f>SUMIFS(T2:T36,S2:S36,"=PuDiss")</f>
        <v>0</v>
      </c>
      <c r="V46" s="37"/>
      <c r="W46" s="37"/>
      <c r="Y46" s="37"/>
      <c r="Z46" s="37"/>
      <c r="AB46" s="37"/>
      <c r="AC46" s="37"/>
    </row>
    <row r="47" spans="1:29" ht="20.100000000000001" customHeight="1" x14ac:dyDescent="0.25">
      <c r="H47" s="50" t="s">
        <v>763</v>
      </c>
      <c r="K47" s="37">
        <f>SUMIFS(K2:K36,J2:J36,"=PaChem")</f>
        <v>0</v>
      </c>
      <c r="M47" s="37"/>
      <c r="N47" s="37">
        <f>SUMIFS(N2:N36,M2:M36,"=PaChem")</f>
        <v>6585</v>
      </c>
      <c r="P47" s="37"/>
      <c r="Q47" s="37">
        <f>SUMIFS(Q2:Q36,P2:P36,"=PaChem")</f>
        <v>0</v>
      </c>
      <c r="S47" s="37"/>
      <c r="T47" s="37">
        <f>SUMIFS(T2:T36,S2:S36,"=PaChem")</f>
        <v>0</v>
      </c>
      <c r="V47" s="37"/>
      <c r="W47" s="37"/>
      <c r="Y47" s="37"/>
      <c r="Z47" s="37"/>
      <c r="AB47" s="37"/>
      <c r="AC47" s="37"/>
    </row>
    <row r="48" spans="1:29" ht="20.100000000000001" customHeight="1" x14ac:dyDescent="0.25">
      <c r="H48" s="51" t="s">
        <v>764</v>
      </c>
      <c r="K48" s="37">
        <f>SUMIFS(K2:K36,J2:J36,"=OtChem")</f>
        <v>0</v>
      </c>
      <c r="M48" s="37"/>
      <c r="N48" s="37">
        <f>SUMIFS(N2:N36,M2:M36,"=OtChem")</f>
        <v>810</v>
      </c>
      <c r="P48" s="37"/>
      <c r="Q48" s="37">
        <f>SUMIFS(Q2:Q36,P2:P36,"=OtChem")</f>
        <v>0</v>
      </c>
      <c r="S48" s="37"/>
      <c r="T48" s="37">
        <f>SUMIFS(T2:T36,S2:S36,"=OtChem")</f>
        <v>0</v>
      </c>
      <c r="V48" s="37"/>
      <c r="W48" s="37"/>
      <c r="Y48" s="37"/>
      <c r="Z48" s="37"/>
      <c r="AB48" s="37"/>
      <c r="AC48" s="37"/>
    </row>
    <row r="49" spans="8:20" ht="20.100000000000001" customHeight="1" x14ac:dyDescent="0.25">
      <c r="H49" s="50" t="s">
        <v>765</v>
      </c>
      <c r="K49" s="37">
        <f>SUMIFS(K2:K36,J2:J36,"=OtMech")</f>
        <v>0</v>
      </c>
      <c r="N49" s="37">
        <f>SUMIFS(N2:N36,M2:M36,"=OtMech")</f>
        <v>1350</v>
      </c>
      <c r="Q49" s="37">
        <f>SUMIFS(Q2:Q36,P2:P36,"=OtMech")</f>
        <v>0</v>
      </c>
      <c r="T49" s="37">
        <f>SUMIFS(T2:T36,S2:S36,"=OtMech")</f>
        <v>0</v>
      </c>
    </row>
    <row r="50" spans="8:20" ht="20.100000000000001" customHeight="1" x14ac:dyDescent="0.25">
      <c r="H50" s="51" t="s">
        <v>767</v>
      </c>
      <c r="K50" s="37">
        <f>SUMIFS(K2:K36,J2:J36,"=NwMech")</f>
        <v>0</v>
      </c>
      <c r="N50" s="37">
        <f>SUMIFS(N2:N36,M2:M36,"=NwMech")</f>
        <v>245</v>
      </c>
      <c r="Q50" s="37">
        <f>SUMIFS(Q2:Q36,P2:P36,"=NwMech")</f>
        <v>0</v>
      </c>
      <c r="T50" s="37">
        <f>SUMIFS(T2:T36,S2:S36,"=NwMech")</f>
        <v>0</v>
      </c>
    </row>
  </sheetData>
  <sortState xmlns:xlrd2="http://schemas.microsoft.com/office/spreadsheetml/2017/richdata2" ref="A2:AD36">
    <sortCondition descending="1" ref="D1"/>
  </sortState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7"/>
  <sheetViews>
    <sheetView workbookViewId="0">
      <selection activeCell="G15" sqref="G15"/>
    </sheetView>
  </sheetViews>
  <sheetFormatPr defaultRowHeight="15" x14ac:dyDescent="0.25"/>
  <cols>
    <col min="1" max="1" width="14.42578125" customWidth="1"/>
    <col min="2" max="2" width="6.28515625" customWidth="1"/>
    <col min="3" max="3" width="8.28515625" customWidth="1"/>
    <col min="5" max="5" width="5.42578125" customWidth="1"/>
  </cols>
  <sheetData>
    <row r="2" spans="1:6" ht="15.75" thickBot="1" x14ac:dyDescent="0.3">
      <c r="A2" s="53" t="s">
        <v>779</v>
      </c>
      <c r="B2" s="53" t="s">
        <v>785</v>
      </c>
      <c r="C2" s="53" t="s">
        <v>670</v>
      </c>
      <c r="E2" s="1" t="s">
        <v>785</v>
      </c>
      <c r="F2" s="1" t="s">
        <v>779</v>
      </c>
    </row>
    <row r="3" spans="1:6" x14ac:dyDescent="0.25">
      <c r="A3" s="55" t="s">
        <v>780</v>
      </c>
      <c r="B3" s="56">
        <v>0</v>
      </c>
      <c r="C3" s="56">
        <v>0</v>
      </c>
      <c r="E3">
        <v>1</v>
      </c>
      <c r="F3" t="str">
        <f>[2]Processes!$A2</f>
        <v>Sawmpi</v>
      </c>
    </row>
    <row r="4" spans="1:6" x14ac:dyDescent="0.25">
      <c r="A4" t="s">
        <v>781</v>
      </c>
      <c r="B4" s="52">
        <f>COUNTIFS(SawMills!$I$2:$I$154,F3,SawMills!$J$2:$J$154,"&gt;0")</f>
        <v>12</v>
      </c>
      <c r="C4" s="52">
        <f>SUMIFS(SawMills!$J$2:$J$154,SawMills!$I$2:$I$154,A4)</f>
        <v>2723</v>
      </c>
      <c r="E4" s="1">
        <v>2</v>
      </c>
      <c r="F4" s="1" t="str">
        <f>[2]Processes!$A3</f>
        <v>Sawmsp</v>
      </c>
    </row>
    <row r="5" spans="1:6" x14ac:dyDescent="0.25">
      <c r="A5" t="s">
        <v>782</v>
      </c>
      <c r="B5" s="52">
        <f>COUNTIFS(SawMills!$I$2:$I$154,F4,SawMills!$J$2:$J$154,"&gt;0")</f>
        <v>12</v>
      </c>
      <c r="C5" s="52">
        <f>SUMIFS(SawMills!$J$2:$J$154,SawMills!$I$2:$I$154,A5)</f>
        <v>2779</v>
      </c>
      <c r="E5" s="1">
        <v>3</v>
      </c>
      <c r="F5" s="1" t="str">
        <f>[2]Processes!$A4</f>
        <v>Sawmbe</v>
      </c>
    </row>
    <row r="6" spans="1:6" x14ac:dyDescent="0.25">
      <c r="A6" t="s">
        <v>783</v>
      </c>
      <c r="B6" s="52">
        <f>COUNTIFS(SawMills!$I$2:$I$154,Table2[[#This Row],[Process]],SawMills!$J$2:$J$154,"&gt;0")</f>
        <v>78</v>
      </c>
      <c r="C6" s="52">
        <f>SUMIFS(SawMills!$J$2:$J$154,SawMills!$I$2:$I$154,A6)</f>
        <v>12157</v>
      </c>
      <c r="E6" s="1">
        <v>4</v>
      </c>
      <c r="F6" s="1" t="str">
        <f>[2]Processes!$A5</f>
        <v>Sawmal</v>
      </c>
    </row>
    <row r="7" spans="1:6" x14ac:dyDescent="0.25">
      <c r="A7" t="s">
        <v>798</v>
      </c>
      <c r="B7" s="52">
        <f>COUNTIFS(SawMills!$I$2:$I$154,F5,SawMills!$J$2:$J$154,"&gt;0")</f>
        <v>4</v>
      </c>
      <c r="C7" s="52">
        <f>SUMIFS(SawMills!$J$2:$J$154,SawMills!$I$2:$I$154,A7)</f>
        <v>44.1</v>
      </c>
      <c r="E7" s="1">
        <v>5</v>
      </c>
      <c r="F7" s="1" t="str">
        <f>[2]Processes!$A6</f>
        <v>Heatpl</v>
      </c>
    </row>
    <row r="8" spans="1:6" x14ac:dyDescent="0.25">
      <c r="A8" t="s">
        <v>729</v>
      </c>
      <c r="B8" s="52">
        <f>COUNTIFS(HeatingPlants!M3:M360,A8) + COUNTIFS(HeatingPlants!Q3:Q360,A8)</f>
        <v>70</v>
      </c>
      <c r="C8" s="52">
        <f>SUMIFS(HeatingPlants!N3:N360,HeatingPlants!M3:M360,"=Heatpl") + SUMIFS(HeatingPlants!R3:R360,HeatingPlants!Q3:Q360,"=Heatpl")</f>
        <v>24537.048190750804</v>
      </c>
      <c r="E8" s="1">
        <v>6</v>
      </c>
      <c r="F8" s="1" t="str">
        <f>[2]Processes!$A7</f>
        <v>CHPpl_</v>
      </c>
    </row>
    <row r="9" spans="1:6" x14ac:dyDescent="0.25">
      <c r="A9" s="55" t="s">
        <v>784</v>
      </c>
      <c r="B9" s="56">
        <f>COUNTIFS(HeatingPlants!M3:M360,A9) + COUNTIFS(HeatingPlants!Q3:Q360,A9)</f>
        <v>21</v>
      </c>
      <c r="C9" s="56">
        <f>SUMIFS(HeatingPlants!N3:N360,HeatingPlants!M3:M360,"=CHPpl_") + SUMIFS(HeatingPlants!R3:R360,HeatingPlants!Q3:Q360,"=CHPpl_")</f>
        <v>7481.4291275830028</v>
      </c>
      <c r="E9" s="1">
        <v>7</v>
      </c>
      <c r="F9" s="1" t="str">
        <f>[2]Processes!$A8</f>
        <v>FTDpl_</v>
      </c>
    </row>
    <row r="10" spans="1:6" x14ac:dyDescent="0.25">
      <c r="A10" s="55" t="s">
        <v>772</v>
      </c>
      <c r="B10" s="56">
        <f>COUNTIFS(PulpPaper!$J$2:$J$36,A10) + COUNTIFS(PulpPaper!$M$2:$M$36,A10) + COUNTIFS(PulpPaper!$P$2:$P$36,A10) + COUNTIFS(PulpPaper!$S$2:$S$36,A10) + COUNTIFS(PulpPaper!$V$2:$V$36,A10)</f>
        <v>0</v>
      </c>
      <c r="C10" s="56">
        <f>SUMIFS(PulpPaper!$K$2:$K$36,PulpPaper!$J$2:$J$36,A10) + SUMIFS(PulpPaper!$N$2:$N$36,PulpPaper!$M$2:$M$36,A10) + SUMIFS(PulpPaper!$Q$2:$Q$36,PulpPaper!$P$2:$P$36,A10) + SUMIFS(PulpPaper!$T$2:$T$36,PulpPaper!$S$2:$S$36,A10) + SUMIFS(PulpPaper!$W$2:$W$36,PulpPaper!$V$2:$V$36,A10)</f>
        <v>0</v>
      </c>
      <c r="E10" s="1">
        <v>8</v>
      </c>
      <c r="F10" s="1" t="str">
        <f>[2]Processes!$A9</f>
        <v>PuChem</v>
      </c>
    </row>
    <row r="11" spans="1:6" x14ac:dyDescent="0.25">
      <c r="A11" t="s">
        <v>762</v>
      </c>
      <c r="B11" s="52">
        <f>COUNTIFS(PulpPaper!$J$2:$J$36,A11) + COUNTIFS(PulpPaper!$M$2:$M$36,A11) + COUNTIFS(PulpPaper!$P$2:$P$36,A11) + COUNTIFS(PulpPaper!$S$2:$S$36,A11) + COUNTIFS(PulpPaper!$V$2:$V$36,A11)</f>
        <v>26</v>
      </c>
      <c r="C11" s="52">
        <f>SUMIFS(PulpPaper!$K$2:$K$36,PulpPaper!$J$2:$J$36,A11) + SUMIFS(PulpPaper!$N$2:$N$36,PulpPaper!$M$2:$M$36,A11) + SUMIFS(PulpPaper!$Q$2:$Q$36,PulpPaper!$P$2:$P$36,A11) + SUMIFS(PulpPaper!$T$2:$T$36,PulpPaper!$S$2:$S$36,A11) + SUMIFS(PulpPaper!$W$2:$W$36,PulpPaper!$V$2:$V$36,A11)</f>
        <v>11585</v>
      </c>
      <c r="E11" s="1">
        <v>9</v>
      </c>
      <c r="F11" s="1" t="str">
        <f>[2]Processes!$A10</f>
        <v>PuCTMP</v>
      </c>
    </row>
    <row r="12" spans="1:6" x14ac:dyDescent="0.25">
      <c r="A12" t="s">
        <v>768</v>
      </c>
      <c r="B12" s="52">
        <f>COUNTIFS(PulpPaper!$J$2:$J$36,A12) + COUNTIFS(PulpPaper!$M$2:$M$36,A12) + COUNTIFS(PulpPaper!$P$2:$P$36,A12) + COUNTIFS(PulpPaper!$S$2:$S$36,A12) + COUNTIFS(PulpPaper!$V$2:$V$36,A12)</f>
        <v>6</v>
      </c>
      <c r="C12" s="52">
        <f>SUMIFS(PulpPaper!$K$2:$K$36,PulpPaper!$J$2:$J$36,A12) + SUMIFS(PulpPaper!$N$2:$N$36,PulpPaper!$M$2:$M$36,A12) + SUMIFS(PulpPaper!$Q$2:$Q$36,PulpPaper!$P$2:$P$36,A12) + SUMIFS(PulpPaper!$T$2:$T$36,PulpPaper!$S$2:$S$36,A12) + SUMIFS(PulpPaper!$W$2:$W$36,PulpPaper!$V$2:$V$36,A12)</f>
        <v>2080</v>
      </c>
      <c r="E12" s="1">
        <v>10</v>
      </c>
      <c r="F12" s="1" t="str">
        <f>[2]Processes!$A11</f>
        <v>PuMech</v>
      </c>
    </row>
    <row r="13" spans="1:6" x14ac:dyDescent="0.25">
      <c r="A13" t="s">
        <v>766</v>
      </c>
      <c r="B13" s="52">
        <f>COUNTIFS(PulpPaper!$J$2:$J$36,A13) + COUNTIFS(PulpPaper!$M$2:$M$36,A13) + COUNTIFS(PulpPaper!$P$2:$P$36,A13) + COUNTIFS(PulpPaper!$S$2:$S$36,A13) + COUNTIFS(PulpPaper!$V$2:$V$36,A13)</f>
        <v>0</v>
      </c>
      <c r="C13" s="52">
        <f>SUMIFS(PulpPaper!$K$2:$K$36,PulpPaper!$J$2:$J$36,A13) + SUMIFS(PulpPaper!$N$2:$N$36,PulpPaper!$M$2:$M$36,A13) + SUMIFS(PulpPaper!$Q$2:$Q$36,PulpPaper!$P$2:$P$36,A13) + SUMIFS(PulpPaper!$T$2:$T$36,PulpPaper!$S$2:$S$36,A13) + SUMIFS(PulpPaper!$W$2:$W$36,PulpPaper!$V$2:$V$36,A13)</f>
        <v>0</v>
      </c>
      <c r="E13" s="1">
        <v>11</v>
      </c>
      <c r="F13" s="1" t="str">
        <f>[2]Processes!$A12</f>
        <v>PuDiss</v>
      </c>
    </row>
    <row r="14" spans="1:6" x14ac:dyDescent="0.25">
      <c r="A14" t="s">
        <v>731</v>
      </c>
      <c r="B14" s="52">
        <f>COUNTIFS(PulpPaper!$J$2:$J$36,A14) + COUNTIFS(PulpPaper!$M$2:$M$36,A14) + COUNTIFS(PulpPaper!$P$2:$P$36,A14) + COUNTIFS(PulpPaper!$S$2:$S$36,A14) + COUNTIFS(PulpPaper!$V$2:$V$36,A14)</f>
        <v>8</v>
      </c>
      <c r="C14" s="52">
        <f>SUMIFS(PulpPaper!$K$2:$K$36,PulpPaper!$J$2:$J$36,A14) + SUMIFS(PulpPaper!$N$2:$N$36,PulpPaper!$M$2:$M$36,A14) + SUMIFS(PulpPaper!$Q$2:$Q$36,PulpPaper!$P$2:$P$36,A14) + SUMIFS(PulpPaper!$T$2:$T$36,PulpPaper!$S$2:$S$36,A14) + SUMIFS(PulpPaper!$W$2:$W$36,PulpPaper!$V$2:$V$36,A14)</f>
        <v>460</v>
      </c>
      <c r="E14" s="1">
        <v>12</v>
      </c>
      <c r="F14" s="1" t="str">
        <f>[2]Processes!$A13</f>
        <v>PaChem</v>
      </c>
    </row>
    <row r="15" spans="1:6" x14ac:dyDescent="0.25">
      <c r="A15" t="s">
        <v>763</v>
      </c>
      <c r="B15" s="52">
        <f>COUNTIFS(PulpPaper!$J$2:$J$36,A15) + COUNTIFS(PulpPaper!$M$2:$M$36,A15) + COUNTIFS(PulpPaper!$P$2:$P$36,A15) + COUNTIFS(PulpPaper!$S$2:$S$36,A15) + COUNTIFS(PulpPaper!$V$2:$V$36,A15)</f>
        <v>14</v>
      </c>
      <c r="C15" s="52">
        <f>SUMIFS(PulpPaper!$K$2:$K$36,PulpPaper!$J$2:$J$36,A15) + SUMIFS(PulpPaper!$N$2:$N$36,PulpPaper!$M$2:$M$36,A15) + SUMIFS(PulpPaper!$Q$2:$Q$36,PulpPaper!$P$2:$P$36,A15) + SUMIFS(PulpPaper!$T$2:$T$36,PulpPaper!$S$2:$S$36,A15) + SUMIFS(PulpPaper!$W$2:$W$36,PulpPaper!$V$2:$V$36,A15)</f>
        <v>6585</v>
      </c>
      <c r="E15" s="1">
        <v>13</v>
      </c>
      <c r="F15" s="1" t="str">
        <f>[2]Processes!$A14</f>
        <v>OtChem</v>
      </c>
    </row>
    <row r="16" spans="1:6" x14ac:dyDescent="0.25">
      <c r="A16" t="s">
        <v>764</v>
      </c>
      <c r="B16" s="52">
        <f>COUNTIFS(PulpPaper!$J$2:$J$36,A16) + COUNTIFS(PulpPaper!$M$2:$M$36,A16) + COUNTIFS(PulpPaper!$P$2:$P$36,A16) + COUNTIFS(PulpPaper!$S$2:$S$36,A16) + COUNTIFS(PulpPaper!$V$2:$V$36,A16)</f>
        <v>4</v>
      </c>
      <c r="C16" s="52">
        <f>SUMIFS(PulpPaper!$K$2:$K$36,PulpPaper!$J$2:$J$36,A16) + SUMIFS(PulpPaper!$N$2:$N$36,PulpPaper!$M$2:$M$36,A16) + SUMIFS(PulpPaper!$Q$2:$Q$36,PulpPaper!$P$2:$P$36,A16) + SUMIFS(PulpPaper!$T$2:$T$36,PulpPaper!$S$2:$S$36,A16) + SUMIFS(PulpPaper!$W$2:$W$36,PulpPaper!$V$2:$V$36,A16)</f>
        <v>810</v>
      </c>
      <c r="E16" s="1">
        <v>14</v>
      </c>
      <c r="F16" s="1" t="str">
        <f>[2]Processes!$A15</f>
        <v>OtMech</v>
      </c>
    </row>
    <row r="17" spans="1:6" x14ac:dyDescent="0.25">
      <c r="A17" t="s">
        <v>765</v>
      </c>
      <c r="B17" s="52">
        <f>COUNTIFS(PulpPaper!$J$2:$J$36,A17) + COUNTIFS(PulpPaper!$M$2:$M$36,A17) + COUNTIFS(PulpPaper!$P$2:$P$36,A17) + COUNTIFS(PulpPaper!$S$2:$S$36,A17) + COUNTIFS(PulpPaper!$V$2:$V$36,A17)</f>
        <v>2</v>
      </c>
      <c r="C17" s="52">
        <f>SUMIFS(PulpPaper!$K$2:$K$36,PulpPaper!$J$2:$J$36,A17) + SUMIFS(PulpPaper!$N$2:$N$36,PulpPaper!$M$2:$M$36,A17) + SUMIFS(PulpPaper!$Q$2:$Q$36,PulpPaper!$P$2:$P$36,A17) + SUMIFS(PulpPaper!$T$2:$T$36,PulpPaper!$S$2:$S$36,A17) + SUMIFS(PulpPaper!$W$2:$W$36,PulpPaper!$V$2:$V$36,A17)</f>
        <v>1350</v>
      </c>
      <c r="E17" s="1">
        <v>15</v>
      </c>
      <c r="F17" s="1" t="str">
        <f>[2]Processes!$A16</f>
        <v>NwMech</v>
      </c>
    </row>
    <row r="18" spans="1:6" x14ac:dyDescent="0.25">
      <c r="A18" t="s">
        <v>767</v>
      </c>
      <c r="B18" s="52">
        <f>COUNTIFS(PulpPaper!$J$2:$J$36,A18) + COUNTIFS(PulpPaper!$M$2:$M$36,A18) + COUNTIFS(PulpPaper!$P$2:$P$36,A18) + COUNTIFS(PulpPaper!$S$2:$S$36,A18) + COUNTIFS(PulpPaper!$V$2:$V$36,A18)</f>
        <v>1</v>
      </c>
      <c r="C18" s="52">
        <f>SUMIFS(PulpPaper!$K$2:$K$36,PulpPaper!$J$2:$J$36,A18) + SUMIFS(PulpPaper!$N$2:$N$36,PulpPaper!$M$2:$M$36,A18) + SUMIFS(PulpPaper!$Q$2:$Q$36,PulpPaper!$P$2:$P$36,A18) + SUMIFS(PulpPaper!$T$2:$T$36,PulpPaper!$S$2:$S$36,A18) + SUMIFS(PulpPaper!$W$2:$W$36,PulpPaper!$V$2:$V$36,A18)</f>
        <v>245</v>
      </c>
      <c r="E18" s="1">
        <v>16</v>
      </c>
      <c r="F18" s="1" t="str">
        <f>[2]Processes!$A17</f>
        <v>PuBCCS</v>
      </c>
    </row>
    <row r="19" spans="1:6" x14ac:dyDescent="0.25">
      <c r="A19" s="55" t="s">
        <v>769</v>
      </c>
      <c r="B19" s="56">
        <f>COUNTIFS(PulpPaper!$J$2:$J$36,A19) + COUNTIFS(PulpPaper!$M$2:$M$36,A19) + COUNTIFS(PulpPaper!$P$2:$P$36,A19) + COUNTIFS(PulpPaper!$S$2:$S$36,A19) + COUNTIFS(PulpPaper!$V$2:$V$36,A19)</f>
        <v>6</v>
      </c>
      <c r="C19" s="56">
        <f>SUMIFS(PulpPaper!$K$2:$K$36,PulpPaper!$J$2:$J$36,A19) + SUMIFS(PulpPaper!$N$2:$N$36,PulpPaper!$M$2:$M$36,A19) + SUMIFS(PulpPaper!$Q$2:$Q$36,PulpPaper!$P$2:$P$36,A19) + SUMIFS(PulpPaper!$T$2:$T$36,PulpPaper!$S$2:$S$36,A19) + SUMIFS(PulpPaper!$W$2:$W$36,PulpPaper!$V$2:$V$36,A19)</f>
        <v>0</v>
      </c>
      <c r="E19" s="1">
        <v>17</v>
      </c>
      <c r="F19" s="1" t="str">
        <f>[2]Processes!$A18</f>
        <v>PaBCCS</v>
      </c>
    </row>
    <row r="20" spans="1:6" x14ac:dyDescent="0.25">
      <c r="A20" s="55" t="s">
        <v>773</v>
      </c>
      <c r="B20" s="56">
        <f>COUNTIFS(PulpPaper!$J$2:$J$36,A20) + COUNTIFS(PulpPaper!$M$2:$M$36,A20) + COUNTIFS(PulpPaper!$P$2:$P$36,A20) + COUNTIFS(PulpPaper!$S$2:$S$36,A20) + COUNTIFS(PulpPaper!$V$2:$V$36,A20)</f>
        <v>12</v>
      </c>
      <c r="C20" s="56">
        <f>SUMIFS(PulpPaper!$K$2:$K$36,PulpPaper!$J$2:$J$36,A20) + SUMIFS(PulpPaper!$N$2:$N$36,PulpPaper!$M$2:$M$36,A20) + SUMIFS(PulpPaper!$Q$2:$Q$36,PulpPaper!$P$2:$P$36,A20) + SUMIFS(PulpPaper!$T$2:$T$36,PulpPaper!$S$2:$S$36,A20) + SUMIFS(PulpPaper!$W$2:$W$36,PulpPaper!$V$2:$V$36,A20)</f>
        <v>0</v>
      </c>
      <c r="E20" s="1">
        <v>18</v>
      </c>
      <c r="F20" s="1" t="str">
        <f>[2]Processes!$A19</f>
        <v>OtBCCS</v>
      </c>
    </row>
    <row r="21" spans="1:6" ht="15.75" thickBot="1" x14ac:dyDescent="0.3">
      <c r="A21" s="57" t="s">
        <v>774</v>
      </c>
      <c r="B21" s="58">
        <f>COUNTIFS(PulpPaper!$J$2:$J$36,A21) + COUNTIFS(PulpPaper!$M$2:$M$36,A21) + COUNTIFS(PulpPaper!$P$2:$P$36,A21) + COUNTIFS(PulpPaper!$S$2:$S$36,A21) + COUNTIFS(PulpPaper!$V$2:$V$36,A21)</f>
        <v>1</v>
      </c>
      <c r="C21" s="58">
        <f>SUMIFS(PulpPaper!$K$2:$K$36,PulpPaper!$J$2:$J$36,A21) + SUMIFS(PulpPaper!$N$2:$N$36,PulpPaper!$M$2:$M$36,A21) + SUMIFS(PulpPaper!$Q$2:$Q$36,PulpPaper!$P$2:$P$36,A21) + SUMIFS(PulpPaper!$T$2:$T$36,PulpPaper!$S$2:$S$36,A21) + SUMIFS(PulpPaper!$W$2:$W$36,PulpPaper!$V$2:$V$36,A21)</f>
        <v>0</v>
      </c>
      <c r="E21" s="1">
        <v>19</v>
      </c>
      <c r="F21" s="1" t="str">
        <f>[2]Processes!$A20</f>
        <v>TerFTD</v>
      </c>
    </row>
    <row r="22" spans="1:6" x14ac:dyDescent="0.25">
      <c r="A22" t="s">
        <v>786</v>
      </c>
      <c r="B22" s="52">
        <f>SUM(B4:B7)</f>
        <v>106</v>
      </c>
      <c r="C22" s="52">
        <f>SUM(C4:C7)</f>
        <v>17703.099999999999</v>
      </c>
      <c r="E22" s="1">
        <v>20</v>
      </c>
      <c r="F22" s="1" t="str">
        <f>[2]Processes!$A21</f>
        <v>TerTsp</v>
      </c>
    </row>
    <row r="23" spans="1:6" x14ac:dyDescent="0.25">
      <c r="A23" t="s">
        <v>789</v>
      </c>
      <c r="B23" s="52">
        <f>B8</f>
        <v>70</v>
      </c>
      <c r="C23" s="52">
        <f>C8</f>
        <v>24537.048190750804</v>
      </c>
      <c r="E23" s="1">
        <v>21</v>
      </c>
      <c r="F23" s="1" t="str">
        <f>[2]Processes!$A22</f>
        <v>TerTal</v>
      </c>
    </row>
    <row r="24" spans="1:6" x14ac:dyDescent="0.25">
      <c r="A24" t="s">
        <v>790</v>
      </c>
      <c r="B24" s="52">
        <f>B9</f>
        <v>21</v>
      </c>
      <c r="C24" s="52">
        <f>C9</f>
        <v>7481.4291275830028</v>
      </c>
      <c r="E24" s="1">
        <v>22</v>
      </c>
      <c r="F24" s="1" t="str">
        <f>[2]Processes!$A23</f>
        <v>TerPsp</v>
      </c>
    </row>
    <row r="25" spans="1:6" x14ac:dyDescent="0.25">
      <c r="A25" t="s">
        <v>787</v>
      </c>
      <c r="B25" s="52">
        <f>SUM(B11:B14)</f>
        <v>40</v>
      </c>
      <c r="C25" s="52">
        <f>SUM(C11:C14)</f>
        <v>14125</v>
      </c>
      <c r="E25" s="1">
        <v>23</v>
      </c>
      <c r="F25" s="1" t="str">
        <f>[2]Processes!$A24</f>
        <v>TerPal</v>
      </c>
    </row>
    <row r="26" spans="1:6" x14ac:dyDescent="0.25">
      <c r="A26" s="37" t="s">
        <v>788</v>
      </c>
      <c r="B26" s="54">
        <f>SUM(B15:B18)</f>
        <v>21</v>
      </c>
      <c r="C26" s="54">
        <f>SUM(C15:C18)</f>
        <v>8990</v>
      </c>
      <c r="E26" s="1">
        <v>24</v>
      </c>
      <c r="F26" s="1" t="str">
        <f>[2]Processes!$A25</f>
        <v>TerHea</v>
      </c>
    </row>
    <row r="27" spans="1:6" x14ac:dyDescent="0.25">
      <c r="B27" s="52">
        <f>B22+B23+B25</f>
        <v>216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HeatingPlants</vt:lpstr>
      <vt:lpstr>SawMills</vt:lpstr>
      <vt:lpstr>PulpPaper</vt:lpstr>
      <vt:lpstr>Summary</vt:lpstr>
    </vt:vector>
  </TitlesOfParts>
  <Company>Linnaeus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Klas Lucander</cp:lastModifiedBy>
  <dcterms:created xsi:type="dcterms:W3CDTF">2020-09-12T07:43:40Z</dcterms:created>
  <dcterms:modified xsi:type="dcterms:W3CDTF">2024-12-02T19:18:56Z</dcterms:modified>
</cp:coreProperties>
</file>