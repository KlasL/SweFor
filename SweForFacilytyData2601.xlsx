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ljeraa\BioFrame\SweForGit\"/>
    </mc:Choice>
  </mc:AlternateContent>
  <xr:revisionPtr revIDLastSave="0" documentId="13_ncr:1_{4ED95A51-7A53-4242-A7F0-367D9E7E9E26}" xr6:coauthVersionLast="47" xr6:coauthVersionMax="47" xr10:uidLastSave="{00000000-0000-0000-0000-000000000000}"/>
  <bookViews>
    <workbookView xWindow="1275" yWindow="780" windowWidth="20490" windowHeight="10950" activeTab="1" xr2:uid="{00000000-000D-0000-FFFF-FFFF00000000}"/>
  </bookViews>
  <sheets>
    <sheet name="Template" sheetId="9" r:id="rId1"/>
    <sheet name="HeatingPlants" sheetId="12" r:id="rId2"/>
    <sheet name="SawMills" sheetId="13" r:id="rId3"/>
    <sheet name="PulpPaper" sheetId="14" r:id="rId4"/>
    <sheet name="Terminals" sheetId="15" r:id="rId5"/>
    <sheet name="Summary" sheetId="6" r:id="rId6"/>
    <sheet name="Locations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9" l="1"/>
  <c r="D3" i="9"/>
  <c r="S2" i="9"/>
  <c r="P2" i="9"/>
  <c r="M2" i="9"/>
  <c r="J2" i="9"/>
  <c r="G2" i="9"/>
  <c r="D2" i="9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L155" i="13" l="1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E4" i="15" l="1"/>
  <c r="E5" i="15"/>
  <c r="E2" i="15"/>
  <c r="E3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D5" i="15"/>
  <c r="D3" i="15"/>
  <c r="D4" i="15"/>
  <c r="S2" i="15" l="1"/>
  <c r="P2" i="15"/>
  <c r="M2" i="15"/>
  <c r="J2" i="15"/>
  <c r="G2" i="15"/>
  <c r="D2" i="15"/>
  <c r="B3" i="6" s="1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2" i="14"/>
  <c r="N33" i="14"/>
  <c r="N34" i="14"/>
  <c r="N35" i="14"/>
  <c r="N36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" i="14"/>
  <c r="S2" i="14"/>
  <c r="P2" i="14"/>
  <c r="M2" i="14"/>
  <c r="J2" i="14"/>
  <c r="G2" i="14"/>
  <c r="D2" i="14"/>
  <c r="G4" i="13"/>
  <c r="I4" i="13" s="1"/>
  <c r="H4" i="13"/>
  <c r="G5" i="13"/>
  <c r="H5" i="13"/>
  <c r="I5" i="13"/>
  <c r="G6" i="13"/>
  <c r="H6" i="13"/>
  <c r="I6" i="13"/>
  <c r="G7" i="13"/>
  <c r="H7" i="13"/>
  <c r="I7" i="13"/>
  <c r="G8" i="13"/>
  <c r="I8" i="13" s="1"/>
  <c r="H8" i="13"/>
  <c r="G9" i="13"/>
  <c r="H9" i="13"/>
  <c r="I9" i="13"/>
  <c r="G10" i="13"/>
  <c r="H10" i="13"/>
  <c r="I10" i="13"/>
  <c r="G11" i="13"/>
  <c r="H11" i="13"/>
  <c r="I11" i="13"/>
  <c r="G12" i="13"/>
  <c r="I12" i="13" s="1"/>
  <c r="H12" i="13"/>
  <c r="G13" i="13"/>
  <c r="H13" i="13"/>
  <c r="I13" i="13"/>
  <c r="G14" i="13"/>
  <c r="H14" i="13"/>
  <c r="I14" i="13"/>
  <c r="G15" i="13"/>
  <c r="H15" i="13"/>
  <c r="I15" i="13"/>
  <c r="G16" i="13"/>
  <c r="I16" i="13" s="1"/>
  <c r="H16" i="13"/>
  <c r="G17" i="13"/>
  <c r="H17" i="13"/>
  <c r="I17" i="13"/>
  <c r="G18" i="13"/>
  <c r="I18" i="13" s="1"/>
  <c r="H18" i="13"/>
  <c r="G19" i="13"/>
  <c r="H19" i="13"/>
  <c r="I19" i="13"/>
  <c r="G20" i="13"/>
  <c r="I20" i="13" s="1"/>
  <c r="H20" i="13"/>
  <c r="G21" i="13"/>
  <c r="H21" i="13"/>
  <c r="I21" i="13"/>
  <c r="G22" i="13"/>
  <c r="H22" i="13"/>
  <c r="I22" i="13"/>
  <c r="G23" i="13"/>
  <c r="H23" i="13"/>
  <c r="I23" i="13"/>
  <c r="G24" i="13"/>
  <c r="I24" i="13" s="1"/>
  <c r="H24" i="13"/>
  <c r="G25" i="13"/>
  <c r="H25" i="13"/>
  <c r="I25" i="13"/>
  <c r="G26" i="13"/>
  <c r="H26" i="13"/>
  <c r="I26" i="13"/>
  <c r="G27" i="13"/>
  <c r="I27" i="13" s="1"/>
  <c r="H27" i="13"/>
  <c r="G28" i="13"/>
  <c r="I28" i="13" s="1"/>
  <c r="H28" i="13"/>
  <c r="G29" i="13"/>
  <c r="H29" i="13"/>
  <c r="I29" i="13"/>
  <c r="G30" i="13"/>
  <c r="H30" i="13"/>
  <c r="I30" i="13"/>
  <c r="G31" i="13"/>
  <c r="H31" i="13"/>
  <c r="I31" i="13"/>
  <c r="G32" i="13"/>
  <c r="I32" i="13" s="1"/>
  <c r="H32" i="13"/>
  <c r="G33" i="13"/>
  <c r="H33" i="13"/>
  <c r="I33" i="13"/>
  <c r="G34" i="13"/>
  <c r="H34" i="13"/>
  <c r="I34" i="13"/>
  <c r="G35" i="13"/>
  <c r="H35" i="13"/>
  <c r="I35" i="13"/>
  <c r="G36" i="13"/>
  <c r="I36" i="13" s="1"/>
  <c r="H36" i="13"/>
  <c r="G37" i="13"/>
  <c r="H37" i="13"/>
  <c r="I37" i="13"/>
  <c r="G38" i="13"/>
  <c r="H38" i="13"/>
  <c r="I38" i="13"/>
  <c r="G39" i="13"/>
  <c r="H39" i="13"/>
  <c r="I39" i="13"/>
  <c r="G40" i="13"/>
  <c r="H40" i="13"/>
  <c r="I40" i="13"/>
  <c r="G41" i="13"/>
  <c r="H41" i="13"/>
  <c r="I41" i="13"/>
  <c r="G42" i="13"/>
  <c r="H42" i="13"/>
  <c r="I42" i="13"/>
  <c r="G43" i="13"/>
  <c r="H43" i="13"/>
  <c r="I43" i="13"/>
  <c r="G44" i="13"/>
  <c r="H44" i="13"/>
  <c r="I44" i="13"/>
  <c r="G45" i="13"/>
  <c r="H45" i="13"/>
  <c r="I45" i="13"/>
  <c r="G46" i="13"/>
  <c r="I46" i="13" s="1"/>
  <c r="H46" i="13"/>
  <c r="G47" i="13"/>
  <c r="H47" i="13"/>
  <c r="I47" i="13"/>
  <c r="G48" i="13"/>
  <c r="H48" i="13"/>
  <c r="I48" i="13"/>
  <c r="G49" i="13"/>
  <c r="H49" i="13"/>
  <c r="I49" i="13"/>
  <c r="G50" i="13"/>
  <c r="H50" i="13"/>
  <c r="I50" i="13"/>
  <c r="G51" i="13"/>
  <c r="H51" i="13"/>
  <c r="I51" i="13"/>
  <c r="G52" i="13"/>
  <c r="H52" i="13"/>
  <c r="I52" i="13"/>
  <c r="G53" i="13"/>
  <c r="H53" i="13"/>
  <c r="I53" i="13"/>
  <c r="G54" i="13"/>
  <c r="H54" i="13"/>
  <c r="I54" i="13"/>
  <c r="G55" i="13"/>
  <c r="H55" i="13"/>
  <c r="I55" i="13"/>
  <c r="G56" i="13"/>
  <c r="H56" i="13"/>
  <c r="I56" i="13"/>
  <c r="G57" i="13"/>
  <c r="H57" i="13"/>
  <c r="I57" i="13"/>
  <c r="G58" i="13"/>
  <c r="H58" i="13"/>
  <c r="I58" i="13"/>
  <c r="G59" i="13"/>
  <c r="H59" i="13"/>
  <c r="I59" i="13"/>
  <c r="G60" i="13"/>
  <c r="I60" i="13" s="1"/>
  <c r="H60" i="13"/>
  <c r="G61" i="13"/>
  <c r="H61" i="13"/>
  <c r="I61" i="13"/>
  <c r="G62" i="13"/>
  <c r="H62" i="13"/>
  <c r="I62" i="13"/>
  <c r="G63" i="13"/>
  <c r="H63" i="13"/>
  <c r="I63" i="13"/>
  <c r="G64" i="13"/>
  <c r="H64" i="13"/>
  <c r="I64" i="13"/>
  <c r="G65" i="13"/>
  <c r="H65" i="13"/>
  <c r="I65" i="13"/>
  <c r="G66" i="13"/>
  <c r="H66" i="13"/>
  <c r="I66" i="13"/>
  <c r="G67" i="13"/>
  <c r="H67" i="13"/>
  <c r="I67" i="13"/>
  <c r="G68" i="13"/>
  <c r="I68" i="13" s="1"/>
  <c r="H68" i="13"/>
  <c r="G69" i="13"/>
  <c r="H69" i="13"/>
  <c r="I69" i="13"/>
  <c r="G70" i="13"/>
  <c r="H70" i="13"/>
  <c r="I70" i="13"/>
  <c r="G71" i="13"/>
  <c r="H71" i="13"/>
  <c r="I71" i="13"/>
  <c r="G72" i="13"/>
  <c r="H72" i="13"/>
  <c r="I72" i="13"/>
  <c r="G73" i="13"/>
  <c r="H73" i="13"/>
  <c r="I73" i="13"/>
  <c r="G74" i="13"/>
  <c r="H74" i="13"/>
  <c r="I74" i="13"/>
  <c r="G75" i="13"/>
  <c r="H75" i="13"/>
  <c r="I75" i="13"/>
  <c r="G76" i="13"/>
  <c r="H76" i="13"/>
  <c r="I76" i="13"/>
  <c r="G77" i="13"/>
  <c r="H77" i="13"/>
  <c r="I77" i="13"/>
  <c r="G78" i="13"/>
  <c r="I78" i="13" s="1"/>
  <c r="H78" i="13"/>
  <c r="G79" i="13"/>
  <c r="H79" i="13"/>
  <c r="I79" i="13"/>
  <c r="G80" i="13"/>
  <c r="H80" i="13"/>
  <c r="I80" i="13"/>
  <c r="G81" i="13"/>
  <c r="H81" i="13"/>
  <c r="I81" i="13"/>
  <c r="G82" i="13"/>
  <c r="H82" i="13"/>
  <c r="I82" i="13"/>
  <c r="G83" i="13"/>
  <c r="H83" i="13"/>
  <c r="I83" i="13"/>
  <c r="G84" i="13"/>
  <c r="H84" i="13"/>
  <c r="I84" i="13"/>
  <c r="G85" i="13"/>
  <c r="H85" i="13"/>
  <c r="I85" i="13"/>
  <c r="G86" i="13"/>
  <c r="H86" i="13"/>
  <c r="I86" i="13"/>
  <c r="G87" i="13"/>
  <c r="H87" i="13"/>
  <c r="I87" i="13"/>
  <c r="G88" i="13"/>
  <c r="H88" i="13"/>
  <c r="I88" i="13"/>
  <c r="G89" i="13"/>
  <c r="H89" i="13"/>
  <c r="I89" i="13"/>
  <c r="G90" i="13"/>
  <c r="H90" i="13"/>
  <c r="I90" i="13"/>
  <c r="G91" i="13"/>
  <c r="H91" i="13"/>
  <c r="I91" i="13"/>
  <c r="G92" i="13"/>
  <c r="H92" i="13"/>
  <c r="I92" i="13"/>
  <c r="G93" i="13"/>
  <c r="H93" i="13"/>
  <c r="I93" i="13"/>
  <c r="G94" i="13"/>
  <c r="H94" i="13"/>
  <c r="I94" i="13"/>
  <c r="G95" i="13"/>
  <c r="H95" i="13"/>
  <c r="I95" i="13"/>
  <c r="G96" i="13"/>
  <c r="H96" i="13"/>
  <c r="I96" i="13"/>
  <c r="G97" i="13"/>
  <c r="H97" i="13"/>
  <c r="I97" i="13"/>
  <c r="G98" i="13"/>
  <c r="H98" i="13"/>
  <c r="I98" i="13"/>
  <c r="G99" i="13"/>
  <c r="H99" i="13"/>
  <c r="I99" i="13"/>
  <c r="G100" i="13"/>
  <c r="I100" i="13" s="1"/>
  <c r="H100" i="13"/>
  <c r="G101" i="13"/>
  <c r="H101" i="13"/>
  <c r="I101" i="13"/>
  <c r="G102" i="13"/>
  <c r="H102" i="13"/>
  <c r="I102" i="13"/>
  <c r="G103" i="13"/>
  <c r="H103" i="13"/>
  <c r="I103" i="13"/>
  <c r="G104" i="13"/>
  <c r="H104" i="13"/>
  <c r="I104" i="13"/>
  <c r="G105" i="13"/>
  <c r="H105" i="13"/>
  <c r="I105" i="13"/>
  <c r="G106" i="13"/>
  <c r="I106" i="13" s="1"/>
  <c r="H106" i="13"/>
  <c r="G107" i="13"/>
  <c r="H107" i="13"/>
  <c r="I107" i="13"/>
  <c r="G108" i="13"/>
  <c r="H108" i="13"/>
  <c r="I108" i="13"/>
  <c r="G109" i="13"/>
  <c r="H109" i="13"/>
  <c r="I109" i="13"/>
  <c r="G110" i="13"/>
  <c r="H110" i="13"/>
  <c r="I110" i="13"/>
  <c r="G111" i="13"/>
  <c r="H111" i="13"/>
  <c r="I111" i="13"/>
  <c r="G112" i="13"/>
  <c r="H112" i="13"/>
  <c r="I112" i="13"/>
  <c r="G113" i="13"/>
  <c r="H113" i="13"/>
  <c r="I113" i="13"/>
  <c r="G114" i="13"/>
  <c r="H114" i="13"/>
  <c r="I114" i="13"/>
  <c r="G115" i="13"/>
  <c r="H115" i="13"/>
  <c r="I115" i="13"/>
  <c r="G116" i="13"/>
  <c r="H116" i="13"/>
  <c r="I116" i="13"/>
  <c r="G117" i="13"/>
  <c r="H117" i="13"/>
  <c r="I117" i="13"/>
  <c r="G118" i="13"/>
  <c r="H118" i="13"/>
  <c r="I118" i="13"/>
  <c r="G119" i="13"/>
  <c r="H119" i="13"/>
  <c r="I119" i="13"/>
  <c r="G120" i="13"/>
  <c r="H120" i="13"/>
  <c r="I120" i="13"/>
  <c r="G121" i="13"/>
  <c r="H121" i="13"/>
  <c r="I121" i="13"/>
  <c r="G122" i="13"/>
  <c r="H122" i="13"/>
  <c r="I122" i="13"/>
  <c r="G123" i="13"/>
  <c r="H123" i="13"/>
  <c r="I123" i="13"/>
  <c r="G124" i="13"/>
  <c r="I124" i="13" s="1"/>
  <c r="H124" i="13"/>
  <c r="G125" i="13"/>
  <c r="H125" i="13"/>
  <c r="I125" i="13"/>
  <c r="G126" i="13"/>
  <c r="H126" i="13"/>
  <c r="I126" i="13"/>
  <c r="G127" i="13"/>
  <c r="H127" i="13"/>
  <c r="I127" i="13"/>
  <c r="G128" i="13"/>
  <c r="H128" i="13"/>
  <c r="I128" i="13"/>
  <c r="G129" i="13"/>
  <c r="H129" i="13"/>
  <c r="I129" i="13"/>
  <c r="G130" i="13"/>
  <c r="H130" i="13"/>
  <c r="I130" i="13"/>
  <c r="G131" i="13"/>
  <c r="H131" i="13"/>
  <c r="I131" i="13"/>
  <c r="G132" i="13"/>
  <c r="H132" i="13"/>
  <c r="I132" i="13"/>
  <c r="G133" i="13"/>
  <c r="H133" i="13"/>
  <c r="I133" i="13"/>
  <c r="G134" i="13"/>
  <c r="I134" i="13" s="1"/>
  <c r="H134" i="13"/>
  <c r="G135" i="13"/>
  <c r="H135" i="13"/>
  <c r="I135" i="13"/>
  <c r="G136" i="13"/>
  <c r="H136" i="13"/>
  <c r="I136" i="13"/>
  <c r="G137" i="13"/>
  <c r="H137" i="13"/>
  <c r="I137" i="13"/>
  <c r="G138" i="13"/>
  <c r="H138" i="13"/>
  <c r="I138" i="13"/>
  <c r="G139" i="13"/>
  <c r="H139" i="13"/>
  <c r="I139" i="13"/>
  <c r="G140" i="13"/>
  <c r="H140" i="13"/>
  <c r="I140" i="13"/>
  <c r="G141" i="13"/>
  <c r="H141" i="13"/>
  <c r="I141" i="13"/>
  <c r="G142" i="13"/>
  <c r="I142" i="13" s="1"/>
  <c r="H142" i="13"/>
  <c r="G143" i="13"/>
  <c r="H143" i="13"/>
  <c r="I143" i="13"/>
  <c r="G144" i="13"/>
  <c r="I144" i="13" s="1"/>
  <c r="H144" i="13"/>
  <c r="G145" i="13"/>
  <c r="H145" i="13"/>
  <c r="I145" i="13"/>
  <c r="G146" i="13"/>
  <c r="H146" i="13"/>
  <c r="I146" i="13"/>
  <c r="G147" i="13"/>
  <c r="H147" i="13"/>
  <c r="I147" i="13"/>
  <c r="G148" i="13"/>
  <c r="H148" i="13"/>
  <c r="I148" i="13"/>
  <c r="G149" i="13"/>
  <c r="H149" i="13"/>
  <c r="I149" i="13"/>
  <c r="G150" i="13"/>
  <c r="H150" i="13"/>
  <c r="I150" i="13"/>
  <c r="G151" i="13"/>
  <c r="H151" i="13"/>
  <c r="I151" i="13"/>
  <c r="G152" i="13"/>
  <c r="H152" i="13"/>
  <c r="I152" i="13"/>
  <c r="G153" i="13"/>
  <c r="H153" i="13"/>
  <c r="I153" i="13"/>
  <c r="G154" i="13"/>
  <c r="I154" i="13" s="1"/>
  <c r="H154" i="13"/>
  <c r="G3" i="13"/>
  <c r="I3" i="13" s="1"/>
  <c r="H3" i="13"/>
  <c r="H2" i="13"/>
  <c r="G2" i="13"/>
  <c r="I2" i="13" s="1"/>
  <c r="F155" i="13" l="1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F39" i="13" s="1"/>
  <c r="D40" i="13"/>
  <c r="D41" i="13"/>
  <c r="D42" i="13"/>
  <c r="D43" i="13"/>
  <c r="D44" i="13"/>
  <c r="D45" i="13"/>
  <c r="D46" i="13"/>
  <c r="D47" i="13"/>
  <c r="D48" i="13"/>
  <c r="F48" i="13" s="1"/>
  <c r="D49" i="13"/>
  <c r="D50" i="13"/>
  <c r="D51" i="13"/>
  <c r="F51" i="13" s="1"/>
  <c r="D52" i="13"/>
  <c r="D53" i="13"/>
  <c r="F53" i="13" s="1"/>
  <c r="D54" i="13"/>
  <c r="D55" i="13"/>
  <c r="F55" i="13" s="1"/>
  <c r="D56" i="13"/>
  <c r="D57" i="13"/>
  <c r="F57" i="13" s="1"/>
  <c r="D58" i="13"/>
  <c r="D59" i="13"/>
  <c r="D60" i="13"/>
  <c r="D61" i="13"/>
  <c r="D62" i="13"/>
  <c r="F62" i="13" s="1"/>
  <c r="D63" i="13"/>
  <c r="F63" i="13" s="1"/>
  <c r="D64" i="13"/>
  <c r="D65" i="13"/>
  <c r="F65" i="13" s="1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3" i="13"/>
  <c r="D4" i="13"/>
  <c r="D2" i="13"/>
  <c r="M2" i="13"/>
  <c r="P2" i="13"/>
  <c r="S2" i="13"/>
  <c r="F152" i="13" l="1"/>
  <c r="L152" i="13"/>
  <c r="F148" i="13"/>
  <c r="L148" i="13"/>
  <c r="F144" i="13"/>
  <c r="L144" i="13"/>
  <c r="F140" i="13"/>
  <c r="L140" i="13"/>
  <c r="F134" i="13"/>
  <c r="L134" i="13"/>
  <c r="F130" i="13"/>
  <c r="L130" i="13"/>
  <c r="F126" i="13"/>
  <c r="L126" i="13"/>
  <c r="F122" i="13"/>
  <c r="L122" i="13"/>
  <c r="F118" i="13"/>
  <c r="L118" i="13"/>
  <c r="F114" i="13"/>
  <c r="L114" i="13"/>
  <c r="F110" i="13"/>
  <c r="L110" i="13"/>
  <c r="F108" i="13"/>
  <c r="L108" i="13"/>
  <c r="F106" i="13"/>
  <c r="L106" i="13"/>
  <c r="F104" i="13"/>
  <c r="L104" i="13"/>
  <c r="F102" i="13"/>
  <c r="L102" i="13"/>
  <c r="F100" i="13"/>
  <c r="L100" i="13"/>
  <c r="F98" i="13"/>
  <c r="L98" i="13"/>
  <c r="F96" i="13"/>
  <c r="L96" i="13"/>
  <c r="F94" i="13"/>
  <c r="L94" i="13"/>
  <c r="F92" i="13"/>
  <c r="L92" i="13"/>
  <c r="F90" i="13"/>
  <c r="L90" i="13"/>
  <c r="F88" i="13"/>
  <c r="L88" i="13"/>
  <c r="F86" i="13"/>
  <c r="L86" i="13"/>
  <c r="F84" i="13"/>
  <c r="L84" i="13"/>
  <c r="F82" i="13"/>
  <c r="L82" i="13"/>
  <c r="F80" i="13"/>
  <c r="L80" i="13"/>
  <c r="F78" i="13"/>
  <c r="L78" i="13"/>
  <c r="F76" i="13"/>
  <c r="L76" i="13"/>
  <c r="F74" i="13"/>
  <c r="L74" i="13"/>
  <c r="F72" i="13"/>
  <c r="L72" i="13"/>
  <c r="F70" i="13"/>
  <c r="L70" i="13"/>
  <c r="F68" i="13"/>
  <c r="L68" i="13"/>
  <c r="F66" i="13"/>
  <c r="L66" i="13"/>
  <c r="F64" i="13"/>
  <c r="L64" i="13"/>
  <c r="F60" i="13"/>
  <c r="L60" i="13"/>
  <c r="F58" i="13"/>
  <c r="L58" i="13"/>
  <c r="F56" i="13"/>
  <c r="L56" i="13"/>
  <c r="F54" i="13"/>
  <c r="L54" i="13"/>
  <c r="F52" i="13"/>
  <c r="L52" i="13"/>
  <c r="F50" i="13"/>
  <c r="L50" i="13"/>
  <c r="F46" i="13"/>
  <c r="L46" i="13"/>
  <c r="F44" i="13"/>
  <c r="L44" i="13"/>
  <c r="F42" i="13"/>
  <c r="L42" i="13"/>
  <c r="F40" i="13"/>
  <c r="L40" i="13"/>
  <c r="F38" i="13"/>
  <c r="L38" i="13"/>
  <c r="F36" i="13"/>
  <c r="L36" i="13"/>
  <c r="F34" i="13"/>
  <c r="L34" i="13"/>
  <c r="F32" i="13"/>
  <c r="L32" i="13"/>
  <c r="F30" i="13"/>
  <c r="L30" i="13"/>
  <c r="F28" i="13"/>
  <c r="L28" i="13"/>
  <c r="F26" i="13"/>
  <c r="L26" i="13"/>
  <c r="F24" i="13"/>
  <c r="L24" i="13"/>
  <c r="F22" i="13"/>
  <c r="L22" i="13"/>
  <c r="F20" i="13"/>
  <c r="L20" i="13"/>
  <c r="F18" i="13"/>
  <c r="L18" i="13"/>
  <c r="F16" i="13"/>
  <c r="L16" i="13"/>
  <c r="F14" i="13"/>
  <c r="L14" i="13"/>
  <c r="F12" i="13"/>
  <c r="L12" i="13"/>
  <c r="F10" i="13"/>
  <c r="L10" i="13"/>
  <c r="F8" i="13"/>
  <c r="L8" i="13"/>
  <c r="F6" i="13"/>
  <c r="L6" i="13"/>
  <c r="F4" i="13"/>
  <c r="L4" i="13"/>
  <c r="F154" i="13"/>
  <c r="L154" i="13"/>
  <c r="F150" i="13"/>
  <c r="L150" i="13"/>
  <c r="F146" i="13"/>
  <c r="L146" i="13"/>
  <c r="F142" i="13"/>
  <c r="L142" i="13"/>
  <c r="F138" i="13"/>
  <c r="L138" i="13"/>
  <c r="F136" i="13"/>
  <c r="L136" i="13"/>
  <c r="F132" i="13"/>
  <c r="L132" i="13"/>
  <c r="F128" i="13"/>
  <c r="L128" i="13"/>
  <c r="F124" i="13"/>
  <c r="L124" i="13"/>
  <c r="F120" i="13"/>
  <c r="L120" i="13"/>
  <c r="F116" i="13"/>
  <c r="L116" i="13"/>
  <c r="F112" i="13"/>
  <c r="L112" i="13"/>
  <c r="F2" i="13"/>
  <c r="L2" i="13"/>
  <c r="F3" i="13"/>
  <c r="L3" i="13"/>
  <c r="F153" i="13"/>
  <c r="L153" i="13"/>
  <c r="F151" i="13"/>
  <c r="L151" i="13"/>
  <c r="F149" i="13"/>
  <c r="L149" i="13"/>
  <c r="F147" i="13"/>
  <c r="L147" i="13"/>
  <c r="F145" i="13"/>
  <c r="L145" i="13"/>
  <c r="F143" i="13"/>
  <c r="L143" i="13"/>
  <c r="F141" i="13"/>
  <c r="L141" i="13"/>
  <c r="F139" i="13"/>
  <c r="L139" i="13"/>
  <c r="F137" i="13"/>
  <c r="L137" i="13"/>
  <c r="F135" i="13"/>
  <c r="L135" i="13"/>
  <c r="F133" i="13"/>
  <c r="L133" i="13"/>
  <c r="F131" i="13"/>
  <c r="L131" i="13"/>
  <c r="F129" i="13"/>
  <c r="L129" i="13"/>
  <c r="F127" i="13"/>
  <c r="L127" i="13"/>
  <c r="F125" i="13"/>
  <c r="L125" i="13"/>
  <c r="F123" i="13"/>
  <c r="L123" i="13"/>
  <c r="F121" i="13"/>
  <c r="L121" i="13"/>
  <c r="F119" i="13"/>
  <c r="L119" i="13"/>
  <c r="F117" i="13"/>
  <c r="L117" i="13"/>
  <c r="F115" i="13"/>
  <c r="L115" i="13"/>
  <c r="F113" i="13"/>
  <c r="L113" i="13"/>
  <c r="F111" i="13"/>
  <c r="L111" i="13"/>
  <c r="F109" i="13"/>
  <c r="L109" i="13"/>
  <c r="F107" i="13"/>
  <c r="L107" i="13"/>
  <c r="F105" i="13"/>
  <c r="L105" i="13"/>
  <c r="F103" i="13"/>
  <c r="L103" i="13"/>
  <c r="F101" i="13"/>
  <c r="L101" i="13"/>
  <c r="F99" i="13"/>
  <c r="L99" i="13"/>
  <c r="F97" i="13"/>
  <c r="L97" i="13"/>
  <c r="F95" i="13"/>
  <c r="L95" i="13"/>
  <c r="F93" i="13"/>
  <c r="L93" i="13"/>
  <c r="F91" i="13"/>
  <c r="L91" i="13"/>
  <c r="F89" i="13"/>
  <c r="L89" i="13"/>
  <c r="F87" i="13"/>
  <c r="L87" i="13"/>
  <c r="F85" i="13"/>
  <c r="L85" i="13"/>
  <c r="F83" i="13"/>
  <c r="L83" i="13"/>
  <c r="F81" i="13"/>
  <c r="L81" i="13"/>
  <c r="F79" i="13"/>
  <c r="L79" i="13"/>
  <c r="F77" i="13"/>
  <c r="L77" i="13"/>
  <c r="F75" i="13"/>
  <c r="L75" i="13"/>
  <c r="F73" i="13"/>
  <c r="L73" i="13"/>
  <c r="F71" i="13"/>
  <c r="L71" i="13"/>
  <c r="F69" i="13"/>
  <c r="L69" i="13"/>
  <c r="F67" i="13"/>
  <c r="L67" i="13"/>
  <c r="F61" i="13"/>
  <c r="L61" i="13"/>
  <c r="F59" i="13"/>
  <c r="L59" i="13"/>
  <c r="F49" i="13"/>
  <c r="L49" i="13"/>
  <c r="F47" i="13"/>
  <c r="L47" i="13"/>
  <c r="F45" i="13"/>
  <c r="L45" i="13"/>
  <c r="F43" i="13"/>
  <c r="L43" i="13"/>
  <c r="F41" i="13"/>
  <c r="L41" i="13"/>
  <c r="F37" i="13"/>
  <c r="L37" i="13"/>
  <c r="F35" i="13"/>
  <c r="L35" i="13"/>
  <c r="F33" i="13"/>
  <c r="L33" i="13"/>
  <c r="F31" i="13"/>
  <c r="L31" i="13"/>
  <c r="F29" i="13"/>
  <c r="L29" i="13"/>
  <c r="F27" i="13"/>
  <c r="L27" i="13"/>
  <c r="F25" i="13"/>
  <c r="L25" i="13"/>
  <c r="F23" i="13"/>
  <c r="L23" i="13"/>
  <c r="F21" i="13"/>
  <c r="L21" i="13"/>
  <c r="F19" i="13"/>
  <c r="L19" i="13"/>
  <c r="F17" i="13"/>
  <c r="L17" i="13"/>
  <c r="F15" i="13"/>
  <c r="L15" i="13"/>
  <c r="F13" i="13"/>
  <c r="L13" i="13"/>
  <c r="F11" i="13"/>
  <c r="L11" i="13"/>
  <c r="F9" i="13"/>
  <c r="L9" i="13"/>
  <c r="F7" i="13"/>
  <c r="L7" i="13"/>
  <c r="F5" i="13"/>
  <c r="L5" i="13"/>
  <c r="F359" i="12"/>
  <c r="J359" i="12" s="1"/>
  <c r="K359" i="12" s="1"/>
  <c r="L359" i="12" s="1"/>
  <c r="F358" i="12"/>
  <c r="J358" i="12" s="1"/>
  <c r="K358" i="12" s="1"/>
  <c r="L358" i="12" s="1"/>
  <c r="F357" i="12"/>
  <c r="J357" i="12" s="1"/>
  <c r="K357" i="12" s="1"/>
  <c r="L357" i="12" s="1"/>
  <c r="F356" i="12"/>
  <c r="J356" i="12" s="1"/>
  <c r="K356" i="12" s="1"/>
  <c r="L356" i="12" s="1"/>
  <c r="F355" i="12"/>
  <c r="J355" i="12" s="1"/>
  <c r="K355" i="12" s="1"/>
  <c r="L355" i="12" s="1"/>
  <c r="F354" i="12"/>
  <c r="J354" i="12" s="1"/>
  <c r="K354" i="12" s="1"/>
  <c r="L354" i="12" s="1"/>
  <c r="F353" i="12"/>
  <c r="J353" i="12" s="1"/>
  <c r="K353" i="12" s="1"/>
  <c r="L353" i="12" s="1"/>
  <c r="F352" i="12"/>
  <c r="J352" i="12" s="1"/>
  <c r="K352" i="12" s="1"/>
  <c r="L352" i="12" s="1"/>
  <c r="F351" i="12"/>
  <c r="J351" i="12" s="1"/>
  <c r="K351" i="12" s="1"/>
  <c r="L351" i="12" s="1"/>
  <c r="F350" i="12"/>
  <c r="J350" i="12" s="1"/>
  <c r="K350" i="12" s="1"/>
  <c r="L350" i="12" s="1"/>
  <c r="F349" i="12"/>
  <c r="J349" i="12" s="1"/>
  <c r="K349" i="12" s="1"/>
  <c r="L349" i="12" s="1"/>
  <c r="F348" i="12"/>
  <c r="J348" i="12" s="1"/>
  <c r="K348" i="12" s="1"/>
  <c r="L348" i="12" s="1"/>
  <c r="F347" i="12"/>
  <c r="J347" i="12" s="1"/>
  <c r="K347" i="12" s="1"/>
  <c r="L347" i="12" s="1"/>
  <c r="F346" i="12"/>
  <c r="J346" i="12" s="1"/>
  <c r="K346" i="12" s="1"/>
  <c r="L346" i="12" s="1"/>
  <c r="F345" i="12"/>
  <c r="J345" i="12" s="1"/>
  <c r="K345" i="12" s="1"/>
  <c r="L345" i="12" s="1"/>
  <c r="F344" i="12"/>
  <c r="J344" i="12" s="1"/>
  <c r="K344" i="12" s="1"/>
  <c r="L344" i="12" s="1"/>
  <c r="F343" i="12"/>
  <c r="J343" i="12" s="1"/>
  <c r="K343" i="12" s="1"/>
  <c r="L343" i="12" s="1"/>
  <c r="F342" i="12"/>
  <c r="J342" i="12" s="1"/>
  <c r="K342" i="12" s="1"/>
  <c r="L342" i="12" s="1"/>
  <c r="F341" i="12"/>
  <c r="J341" i="12" s="1"/>
  <c r="K341" i="12" s="1"/>
  <c r="L341" i="12" s="1"/>
  <c r="F340" i="12"/>
  <c r="J340" i="12" s="1"/>
  <c r="K340" i="12" s="1"/>
  <c r="L340" i="12" s="1"/>
  <c r="F339" i="12"/>
  <c r="J339" i="12" s="1"/>
  <c r="K339" i="12" s="1"/>
  <c r="L339" i="12" s="1"/>
  <c r="F338" i="12"/>
  <c r="J338" i="12" s="1"/>
  <c r="K338" i="12" s="1"/>
  <c r="L338" i="12" s="1"/>
  <c r="F337" i="12"/>
  <c r="J337" i="12" s="1"/>
  <c r="K337" i="12" s="1"/>
  <c r="L337" i="12" s="1"/>
  <c r="F336" i="12"/>
  <c r="J336" i="12" s="1"/>
  <c r="K336" i="12" s="1"/>
  <c r="L336" i="12" s="1"/>
  <c r="F335" i="12"/>
  <c r="J335" i="12" s="1"/>
  <c r="K335" i="12" s="1"/>
  <c r="L335" i="12" s="1"/>
  <c r="F334" i="12"/>
  <c r="J334" i="12" s="1"/>
  <c r="K334" i="12" s="1"/>
  <c r="L334" i="12" s="1"/>
  <c r="F333" i="12"/>
  <c r="J333" i="12" s="1"/>
  <c r="K333" i="12" s="1"/>
  <c r="L333" i="12" s="1"/>
  <c r="F332" i="12"/>
  <c r="J332" i="12" s="1"/>
  <c r="K332" i="12" s="1"/>
  <c r="L332" i="12" s="1"/>
  <c r="F331" i="12"/>
  <c r="J331" i="12" s="1"/>
  <c r="K331" i="12" s="1"/>
  <c r="L331" i="12" s="1"/>
  <c r="F330" i="12"/>
  <c r="J330" i="12" s="1"/>
  <c r="K330" i="12" s="1"/>
  <c r="L330" i="12" s="1"/>
  <c r="F329" i="12"/>
  <c r="J329" i="12" s="1"/>
  <c r="K329" i="12" s="1"/>
  <c r="L329" i="12" s="1"/>
  <c r="F328" i="12"/>
  <c r="J328" i="12" s="1"/>
  <c r="K328" i="12" s="1"/>
  <c r="L328" i="12" s="1"/>
  <c r="F327" i="12"/>
  <c r="J327" i="12" s="1"/>
  <c r="K327" i="12" s="1"/>
  <c r="L327" i="12" s="1"/>
  <c r="F326" i="12"/>
  <c r="J326" i="12" s="1"/>
  <c r="K326" i="12" s="1"/>
  <c r="L326" i="12" s="1"/>
  <c r="F325" i="12"/>
  <c r="J325" i="12" s="1"/>
  <c r="K325" i="12" s="1"/>
  <c r="L325" i="12" s="1"/>
  <c r="F324" i="12"/>
  <c r="J324" i="12" s="1"/>
  <c r="K324" i="12" s="1"/>
  <c r="L324" i="12" s="1"/>
  <c r="F323" i="12"/>
  <c r="J323" i="12" s="1"/>
  <c r="K323" i="12" s="1"/>
  <c r="L323" i="12" s="1"/>
  <c r="F322" i="12"/>
  <c r="J322" i="12" s="1"/>
  <c r="K322" i="12" s="1"/>
  <c r="L322" i="12" s="1"/>
  <c r="F321" i="12"/>
  <c r="J321" i="12" s="1"/>
  <c r="K321" i="12" s="1"/>
  <c r="L321" i="12" s="1"/>
  <c r="F320" i="12"/>
  <c r="J320" i="12" s="1"/>
  <c r="K320" i="12" s="1"/>
  <c r="L320" i="12" s="1"/>
  <c r="F319" i="12"/>
  <c r="J319" i="12" s="1"/>
  <c r="K319" i="12" s="1"/>
  <c r="L319" i="12" s="1"/>
  <c r="F318" i="12"/>
  <c r="J318" i="12" s="1"/>
  <c r="K318" i="12" s="1"/>
  <c r="L318" i="12" s="1"/>
  <c r="F317" i="12"/>
  <c r="J317" i="12" s="1"/>
  <c r="K317" i="12" s="1"/>
  <c r="L317" i="12" s="1"/>
  <c r="F316" i="12"/>
  <c r="J316" i="12" s="1"/>
  <c r="K316" i="12" s="1"/>
  <c r="L316" i="12" s="1"/>
  <c r="F315" i="12"/>
  <c r="J315" i="12" s="1"/>
  <c r="K315" i="12" s="1"/>
  <c r="L315" i="12" s="1"/>
  <c r="F314" i="12"/>
  <c r="J314" i="12" s="1"/>
  <c r="K314" i="12" s="1"/>
  <c r="L314" i="12" s="1"/>
  <c r="F313" i="12"/>
  <c r="J313" i="12" s="1"/>
  <c r="K313" i="12" s="1"/>
  <c r="L313" i="12" s="1"/>
  <c r="F312" i="12"/>
  <c r="J312" i="12" s="1"/>
  <c r="K312" i="12" s="1"/>
  <c r="L312" i="12" s="1"/>
  <c r="F311" i="12"/>
  <c r="J311" i="12" s="1"/>
  <c r="K311" i="12" s="1"/>
  <c r="L311" i="12" s="1"/>
  <c r="F310" i="12"/>
  <c r="J310" i="12" s="1"/>
  <c r="K310" i="12" s="1"/>
  <c r="L310" i="12" s="1"/>
  <c r="F309" i="12"/>
  <c r="J309" i="12" s="1"/>
  <c r="K309" i="12" s="1"/>
  <c r="L309" i="12" s="1"/>
  <c r="F308" i="12"/>
  <c r="J308" i="12" s="1"/>
  <c r="K308" i="12" s="1"/>
  <c r="L308" i="12" s="1"/>
  <c r="F307" i="12"/>
  <c r="J307" i="12" s="1"/>
  <c r="K307" i="12" s="1"/>
  <c r="L307" i="12" s="1"/>
  <c r="F306" i="12"/>
  <c r="J306" i="12" s="1"/>
  <c r="K306" i="12" s="1"/>
  <c r="L306" i="12" s="1"/>
  <c r="F305" i="12"/>
  <c r="J305" i="12" s="1"/>
  <c r="K305" i="12" s="1"/>
  <c r="L305" i="12" s="1"/>
  <c r="F304" i="12"/>
  <c r="J304" i="12" s="1"/>
  <c r="K304" i="12" s="1"/>
  <c r="L304" i="12" s="1"/>
  <c r="F303" i="12"/>
  <c r="J303" i="12" s="1"/>
  <c r="K303" i="12" s="1"/>
  <c r="L303" i="12" s="1"/>
  <c r="F302" i="12"/>
  <c r="J302" i="12" s="1"/>
  <c r="K302" i="12" s="1"/>
  <c r="L302" i="12" s="1"/>
  <c r="F301" i="12"/>
  <c r="J301" i="12" s="1"/>
  <c r="K301" i="12" s="1"/>
  <c r="L301" i="12" s="1"/>
  <c r="F300" i="12"/>
  <c r="J300" i="12" s="1"/>
  <c r="K300" i="12" s="1"/>
  <c r="L300" i="12" s="1"/>
  <c r="F299" i="12"/>
  <c r="J299" i="12" s="1"/>
  <c r="K299" i="12" s="1"/>
  <c r="L299" i="12" s="1"/>
  <c r="F298" i="12"/>
  <c r="J298" i="12" s="1"/>
  <c r="K298" i="12" s="1"/>
  <c r="L298" i="12" s="1"/>
  <c r="F297" i="12"/>
  <c r="J297" i="12" s="1"/>
  <c r="K297" i="12" s="1"/>
  <c r="L297" i="12" s="1"/>
  <c r="F296" i="12"/>
  <c r="J296" i="12" s="1"/>
  <c r="K296" i="12" s="1"/>
  <c r="L296" i="12" s="1"/>
  <c r="F295" i="12"/>
  <c r="J295" i="12" s="1"/>
  <c r="K295" i="12" s="1"/>
  <c r="L295" i="12" s="1"/>
  <c r="F294" i="12"/>
  <c r="J294" i="12" s="1"/>
  <c r="K294" i="12" s="1"/>
  <c r="L294" i="12" s="1"/>
  <c r="F293" i="12"/>
  <c r="J293" i="12" s="1"/>
  <c r="K293" i="12" s="1"/>
  <c r="L293" i="12" s="1"/>
  <c r="F292" i="12"/>
  <c r="J292" i="12" s="1"/>
  <c r="K292" i="12" s="1"/>
  <c r="L292" i="12" s="1"/>
  <c r="F291" i="12"/>
  <c r="J291" i="12" s="1"/>
  <c r="K291" i="12" s="1"/>
  <c r="L291" i="12" s="1"/>
  <c r="F290" i="12"/>
  <c r="J290" i="12" s="1"/>
  <c r="K290" i="12" s="1"/>
  <c r="L290" i="12" s="1"/>
  <c r="F289" i="12"/>
  <c r="J289" i="12" s="1"/>
  <c r="K289" i="12" s="1"/>
  <c r="L289" i="12" s="1"/>
  <c r="F288" i="12"/>
  <c r="J288" i="12" s="1"/>
  <c r="K288" i="12" s="1"/>
  <c r="L288" i="12" s="1"/>
  <c r="F287" i="12"/>
  <c r="J287" i="12" s="1"/>
  <c r="K287" i="12" s="1"/>
  <c r="L287" i="12" s="1"/>
  <c r="F286" i="12"/>
  <c r="J286" i="12" s="1"/>
  <c r="K286" i="12" s="1"/>
  <c r="L286" i="12" s="1"/>
  <c r="F285" i="12"/>
  <c r="J285" i="12" s="1"/>
  <c r="K285" i="12" s="1"/>
  <c r="L285" i="12" s="1"/>
  <c r="F284" i="12"/>
  <c r="J284" i="12" s="1"/>
  <c r="K284" i="12" s="1"/>
  <c r="L284" i="12" s="1"/>
  <c r="F283" i="12"/>
  <c r="J283" i="12" s="1"/>
  <c r="K283" i="12" s="1"/>
  <c r="L283" i="12" s="1"/>
  <c r="F282" i="12"/>
  <c r="J282" i="12" s="1"/>
  <c r="K282" i="12" s="1"/>
  <c r="L282" i="12" s="1"/>
  <c r="F281" i="12"/>
  <c r="J281" i="12" s="1"/>
  <c r="K281" i="12" s="1"/>
  <c r="L281" i="12" s="1"/>
  <c r="F280" i="12"/>
  <c r="J280" i="12" s="1"/>
  <c r="K280" i="12" s="1"/>
  <c r="L280" i="12" s="1"/>
  <c r="F279" i="12"/>
  <c r="J279" i="12" s="1"/>
  <c r="K279" i="12" s="1"/>
  <c r="L279" i="12" s="1"/>
  <c r="F278" i="12"/>
  <c r="J278" i="12" s="1"/>
  <c r="K278" i="12" s="1"/>
  <c r="L278" i="12" s="1"/>
  <c r="F277" i="12"/>
  <c r="J277" i="12" s="1"/>
  <c r="K277" i="12" s="1"/>
  <c r="L277" i="12" s="1"/>
  <c r="F276" i="12"/>
  <c r="J276" i="12" s="1"/>
  <c r="K276" i="12" s="1"/>
  <c r="L276" i="12" s="1"/>
  <c r="F275" i="12"/>
  <c r="J275" i="12" s="1"/>
  <c r="K275" i="12" s="1"/>
  <c r="L275" i="12" s="1"/>
  <c r="F274" i="12"/>
  <c r="J274" i="12" s="1"/>
  <c r="K274" i="12" s="1"/>
  <c r="L274" i="12" s="1"/>
  <c r="F273" i="12"/>
  <c r="J273" i="12" s="1"/>
  <c r="K273" i="12" s="1"/>
  <c r="L273" i="12" s="1"/>
  <c r="F272" i="12"/>
  <c r="J272" i="12" s="1"/>
  <c r="K272" i="12" s="1"/>
  <c r="L272" i="12" s="1"/>
  <c r="F271" i="12"/>
  <c r="J271" i="12" s="1"/>
  <c r="K271" i="12" s="1"/>
  <c r="L271" i="12" s="1"/>
  <c r="F270" i="12"/>
  <c r="J270" i="12" s="1"/>
  <c r="K270" i="12" s="1"/>
  <c r="L270" i="12" s="1"/>
  <c r="F269" i="12"/>
  <c r="J269" i="12" s="1"/>
  <c r="K269" i="12" s="1"/>
  <c r="L269" i="12" s="1"/>
  <c r="F268" i="12"/>
  <c r="J268" i="12" s="1"/>
  <c r="K268" i="12" s="1"/>
  <c r="L268" i="12" s="1"/>
  <c r="F267" i="12"/>
  <c r="J267" i="12" s="1"/>
  <c r="K267" i="12" s="1"/>
  <c r="L267" i="12" s="1"/>
  <c r="F266" i="12"/>
  <c r="J266" i="12" s="1"/>
  <c r="K266" i="12" s="1"/>
  <c r="L266" i="12" s="1"/>
  <c r="F265" i="12"/>
  <c r="J265" i="12" s="1"/>
  <c r="K265" i="12" s="1"/>
  <c r="L265" i="12" s="1"/>
  <c r="F264" i="12"/>
  <c r="J264" i="12" s="1"/>
  <c r="K264" i="12" s="1"/>
  <c r="L264" i="12" s="1"/>
  <c r="F263" i="12"/>
  <c r="J263" i="12" s="1"/>
  <c r="K263" i="12" s="1"/>
  <c r="L263" i="12" s="1"/>
  <c r="F262" i="12"/>
  <c r="J262" i="12" s="1"/>
  <c r="K262" i="12" s="1"/>
  <c r="L262" i="12" s="1"/>
  <c r="F261" i="12"/>
  <c r="J261" i="12" s="1"/>
  <c r="K261" i="12" s="1"/>
  <c r="L261" i="12" s="1"/>
  <c r="F260" i="12"/>
  <c r="J260" i="12" s="1"/>
  <c r="K260" i="12" s="1"/>
  <c r="L260" i="12" s="1"/>
  <c r="F259" i="12"/>
  <c r="J259" i="12" s="1"/>
  <c r="K259" i="12" s="1"/>
  <c r="L259" i="12" s="1"/>
  <c r="F258" i="12"/>
  <c r="J258" i="12" s="1"/>
  <c r="K258" i="12" s="1"/>
  <c r="L258" i="12" s="1"/>
  <c r="F257" i="12"/>
  <c r="J257" i="12" s="1"/>
  <c r="K257" i="12" s="1"/>
  <c r="L257" i="12" s="1"/>
  <c r="F256" i="12"/>
  <c r="J256" i="12" s="1"/>
  <c r="K256" i="12" s="1"/>
  <c r="L256" i="12" s="1"/>
  <c r="F255" i="12"/>
  <c r="J255" i="12" s="1"/>
  <c r="K255" i="12" s="1"/>
  <c r="L255" i="12" s="1"/>
  <c r="F254" i="12"/>
  <c r="J254" i="12" s="1"/>
  <c r="K254" i="12" s="1"/>
  <c r="L254" i="12" s="1"/>
  <c r="F253" i="12"/>
  <c r="J253" i="12" s="1"/>
  <c r="K253" i="12" s="1"/>
  <c r="L253" i="12" s="1"/>
  <c r="F252" i="12"/>
  <c r="J252" i="12" s="1"/>
  <c r="K252" i="12" s="1"/>
  <c r="L252" i="12" s="1"/>
  <c r="F251" i="12"/>
  <c r="J251" i="12" s="1"/>
  <c r="K251" i="12" s="1"/>
  <c r="L251" i="12" s="1"/>
  <c r="F250" i="12"/>
  <c r="J250" i="12" s="1"/>
  <c r="K250" i="12" s="1"/>
  <c r="L250" i="12" s="1"/>
  <c r="F249" i="12"/>
  <c r="J249" i="12" s="1"/>
  <c r="K249" i="12" s="1"/>
  <c r="L249" i="12" s="1"/>
  <c r="F248" i="12"/>
  <c r="J248" i="12" s="1"/>
  <c r="K248" i="12" s="1"/>
  <c r="L248" i="12" s="1"/>
  <c r="F247" i="12"/>
  <c r="J247" i="12" s="1"/>
  <c r="K247" i="12" s="1"/>
  <c r="L247" i="12" s="1"/>
  <c r="F246" i="12"/>
  <c r="J246" i="12" s="1"/>
  <c r="K246" i="12" s="1"/>
  <c r="L246" i="12" s="1"/>
  <c r="F245" i="12"/>
  <c r="J245" i="12" s="1"/>
  <c r="K245" i="12" s="1"/>
  <c r="L245" i="12" s="1"/>
  <c r="F244" i="12"/>
  <c r="J244" i="12" s="1"/>
  <c r="K244" i="12" s="1"/>
  <c r="L244" i="12" s="1"/>
  <c r="F243" i="12"/>
  <c r="J243" i="12" s="1"/>
  <c r="K243" i="12" s="1"/>
  <c r="L243" i="12" s="1"/>
  <c r="F242" i="12"/>
  <c r="J242" i="12" s="1"/>
  <c r="K242" i="12" s="1"/>
  <c r="L242" i="12" s="1"/>
  <c r="F241" i="12"/>
  <c r="J241" i="12" s="1"/>
  <c r="K241" i="12" s="1"/>
  <c r="L241" i="12" s="1"/>
  <c r="F240" i="12"/>
  <c r="J240" i="12" s="1"/>
  <c r="K240" i="12" s="1"/>
  <c r="L240" i="12" s="1"/>
  <c r="F239" i="12"/>
  <c r="J239" i="12" s="1"/>
  <c r="K239" i="12" s="1"/>
  <c r="L239" i="12" s="1"/>
  <c r="F238" i="12"/>
  <c r="J238" i="12" s="1"/>
  <c r="K238" i="12" s="1"/>
  <c r="L238" i="12" s="1"/>
  <c r="F237" i="12"/>
  <c r="J237" i="12" s="1"/>
  <c r="K237" i="12" s="1"/>
  <c r="L237" i="12" s="1"/>
  <c r="F236" i="12"/>
  <c r="J236" i="12" s="1"/>
  <c r="K236" i="12" s="1"/>
  <c r="L236" i="12" s="1"/>
  <c r="F235" i="12"/>
  <c r="J235" i="12" s="1"/>
  <c r="K235" i="12" s="1"/>
  <c r="L235" i="12" s="1"/>
  <c r="F234" i="12"/>
  <c r="J234" i="12" s="1"/>
  <c r="K234" i="12" s="1"/>
  <c r="L234" i="12" s="1"/>
  <c r="F233" i="12"/>
  <c r="J233" i="12" s="1"/>
  <c r="K233" i="12" s="1"/>
  <c r="L233" i="12" s="1"/>
  <c r="F232" i="12"/>
  <c r="J232" i="12" s="1"/>
  <c r="K232" i="12" s="1"/>
  <c r="L232" i="12" s="1"/>
  <c r="F231" i="12"/>
  <c r="J231" i="12" s="1"/>
  <c r="K231" i="12" s="1"/>
  <c r="L231" i="12" s="1"/>
  <c r="F230" i="12"/>
  <c r="J230" i="12" s="1"/>
  <c r="K230" i="12" s="1"/>
  <c r="L230" i="12" s="1"/>
  <c r="F229" i="12"/>
  <c r="J229" i="12" s="1"/>
  <c r="K229" i="12" s="1"/>
  <c r="L229" i="12" s="1"/>
  <c r="F228" i="12"/>
  <c r="J228" i="12" s="1"/>
  <c r="K228" i="12" s="1"/>
  <c r="L228" i="12" s="1"/>
  <c r="F227" i="12"/>
  <c r="J227" i="12" s="1"/>
  <c r="K227" i="12" s="1"/>
  <c r="L227" i="12" s="1"/>
  <c r="F226" i="12"/>
  <c r="J226" i="12" s="1"/>
  <c r="K226" i="12" s="1"/>
  <c r="L226" i="12" s="1"/>
  <c r="F225" i="12"/>
  <c r="J225" i="12" s="1"/>
  <c r="K225" i="12" s="1"/>
  <c r="L225" i="12" s="1"/>
  <c r="F224" i="12"/>
  <c r="J224" i="12" s="1"/>
  <c r="K224" i="12" s="1"/>
  <c r="L224" i="12" s="1"/>
  <c r="F223" i="12"/>
  <c r="J223" i="12" s="1"/>
  <c r="K223" i="12" s="1"/>
  <c r="L223" i="12" s="1"/>
  <c r="F222" i="12"/>
  <c r="J222" i="12" s="1"/>
  <c r="K222" i="12" s="1"/>
  <c r="L222" i="12" s="1"/>
  <c r="F221" i="12"/>
  <c r="J221" i="12" s="1"/>
  <c r="K221" i="12" s="1"/>
  <c r="L221" i="12" s="1"/>
  <c r="F220" i="12"/>
  <c r="J220" i="12" s="1"/>
  <c r="K220" i="12" s="1"/>
  <c r="L220" i="12" s="1"/>
  <c r="F219" i="12"/>
  <c r="J219" i="12" s="1"/>
  <c r="K219" i="12" s="1"/>
  <c r="L219" i="12" s="1"/>
  <c r="F218" i="12"/>
  <c r="J218" i="12" s="1"/>
  <c r="K218" i="12" s="1"/>
  <c r="L218" i="12" s="1"/>
  <c r="F217" i="12"/>
  <c r="J217" i="12" s="1"/>
  <c r="K217" i="12" s="1"/>
  <c r="L217" i="12" s="1"/>
  <c r="F216" i="12"/>
  <c r="J216" i="12" s="1"/>
  <c r="K216" i="12" s="1"/>
  <c r="L216" i="12" s="1"/>
  <c r="F215" i="12"/>
  <c r="J215" i="12" s="1"/>
  <c r="K215" i="12" s="1"/>
  <c r="L215" i="12" s="1"/>
  <c r="F214" i="12"/>
  <c r="J214" i="12" s="1"/>
  <c r="K214" i="12" s="1"/>
  <c r="L214" i="12" s="1"/>
  <c r="F213" i="12"/>
  <c r="J213" i="12" s="1"/>
  <c r="K213" i="12" s="1"/>
  <c r="L213" i="12" s="1"/>
  <c r="F212" i="12"/>
  <c r="J212" i="12" s="1"/>
  <c r="K212" i="12" s="1"/>
  <c r="L212" i="12" s="1"/>
  <c r="F211" i="12"/>
  <c r="J211" i="12" s="1"/>
  <c r="K211" i="12" s="1"/>
  <c r="L211" i="12" s="1"/>
  <c r="F210" i="12"/>
  <c r="J210" i="12" s="1"/>
  <c r="K210" i="12" s="1"/>
  <c r="L210" i="12" s="1"/>
  <c r="F209" i="12"/>
  <c r="J209" i="12" s="1"/>
  <c r="K209" i="12" s="1"/>
  <c r="L209" i="12" s="1"/>
  <c r="F208" i="12"/>
  <c r="J208" i="12" s="1"/>
  <c r="K208" i="12" s="1"/>
  <c r="L208" i="12" s="1"/>
  <c r="F207" i="12"/>
  <c r="J207" i="12" s="1"/>
  <c r="K207" i="12" s="1"/>
  <c r="L207" i="12" s="1"/>
  <c r="F206" i="12"/>
  <c r="J206" i="12" s="1"/>
  <c r="K206" i="12" s="1"/>
  <c r="L206" i="12" s="1"/>
  <c r="F205" i="12"/>
  <c r="J205" i="12" s="1"/>
  <c r="K205" i="12" s="1"/>
  <c r="L205" i="12" s="1"/>
  <c r="F204" i="12"/>
  <c r="J204" i="12" s="1"/>
  <c r="K204" i="12" s="1"/>
  <c r="L204" i="12" s="1"/>
  <c r="F203" i="12"/>
  <c r="J203" i="12" s="1"/>
  <c r="K203" i="12" s="1"/>
  <c r="L203" i="12" s="1"/>
  <c r="F202" i="12"/>
  <c r="J202" i="12" s="1"/>
  <c r="K202" i="12" s="1"/>
  <c r="L202" i="12" s="1"/>
  <c r="F201" i="12"/>
  <c r="J201" i="12" s="1"/>
  <c r="K201" i="12" s="1"/>
  <c r="L201" i="12" s="1"/>
  <c r="F200" i="12"/>
  <c r="J200" i="12" s="1"/>
  <c r="K200" i="12" s="1"/>
  <c r="L200" i="12" s="1"/>
  <c r="F199" i="12"/>
  <c r="J199" i="12" s="1"/>
  <c r="K199" i="12" s="1"/>
  <c r="L199" i="12" s="1"/>
  <c r="F198" i="12"/>
  <c r="J198" i="12" s="1"/>
  <c r="K198" i="12" s="1"/>
  <c r="L198" i="12" s="1"/>
  <c r="F197" i="12"/>
  <c r="J197" i="12" s="1"/>
  <c r="K197" i="12" s="1"/>
  <c r="L197" i="12" s="1"/>
  <c r="F196" i="12"/>
  <c r="J196" i="12" s="1"/>
  <c r="K196" i="12" s="1"/>
  <c r="L196" i="12" s="1"/>
  <c r="F195" i="12"/>
  <c r="J195" i="12" s="1"/>
  <c r="K195" i="12" s="1"/>
  <c r="L195" i="12" s="1"/>
  <c r="F194" i="12"/>
  <c r="J194" i="12" s="1"/>
  <c r="K194" i="12" s="1"/>
  <c r="L194" i="12" s="1"/>
  <c r="F193" i="12"/>
  <c r="J193" i="12" s="1"/>
  <c r="K193" i="12" s="1"/>
  <c r="L193" i="12" s="1"/>
  <c r="F192" i="12"/>
  <c r="J192" i="12" s="1"/>
  <c r="K192" i="12" s="1"/>
  <c r="L192" i="12" s="1"/>
  <c r="F191" i="12"/>
  <c r="J191" i="12" s="1"/>
  <c r="K191" i="12" s="1"/>
  <c r="L191" i="12" s="1"/>
  <c r="F190" i="12"/>
  <c r="J190" i="12" s="1"/>
  <c r="K190" i="12" s="1"/>
  <c r="L190" i="12" s="1"/>
  <c r="F189" i="12"/>
  <c r="J189" i="12" s="1"/>
  <c r="K189" i="12" s="1"/>
  <c r="L189" i="12" s="1"/>
  <c r="F188" i="12"/>
  <c r="J188" i="12" s="1"/>
  <c r="K188" i="12" s="1"/>
  <c r="L188" i="12" s="1"/>
  <c r="F187" i="12"/>
  <c r="J187" i="12" s="1"/>
  <c r="K187" i="12" s="1"/>
  <c r="L187" i="12" s="1"/>
  <c r="F186" i="12"/>
  <c r="J186" i="12" s="1"/>
  <c r="K186" i="12" s="1"/>
  <c r="L186" i="12" s="1"/>
  <c r="F185" i="12"/>
  <c r="J185" i="12" s="1"/>
  <c r="K185" i="12" s="1"/>
  <c r="L185" i="12" s="1"/>
  <c r="F184" i="12"/>
  <c r="J184" i="12" s="1"/>
  <c r="K184" i="12" s="1"/>
  <c r="L184" i="12" s="1"/>
  <c r="F183" i="12"/>
  <c r="J183" i="12" s="1"/>
  <c r="K183" i="12" s="1"/>
  <c r="L183" i="12" s="1"/>
  <c r="F182" i="12"/>
  <c r="J182" i="12" s="1"/>
  <c r="K182" i="12" s="1"/>
  <c r="L182" i="12" s="1"/>
  <c r="F181" i="12"/>
  <c r="J181" i="12" s="1"/>
  <c r="K181" i="12" s="1"/>
  <c r="L181" i="12" s="1"/>
  <c r="F180" i="12"/>
  <c r="J180" i="12" s="1"/>
  <c r="K180" i="12" s="1"/>
  <c r="L180" i="12" s="1"/>
  <c r="F179" i="12"/>
  <c r="J179" i="12" s="1"/>
  <c r="K179" i="12" s="1"/>
  <c r="L179" i="12" s="1"/>
  <c r="F178" i="12"/>
  <c r="J178" i="12" s="1"/>
  <c r="K178" i="12" s="1"/>
  <c r="L178" i="12" s="1"/>
  <c r="F177" i="12"/>
  <c r="J177" i="12" s="1"/>
  <c r="K177" i="12" s="1"/>
  <c r="L177" i="12" s="1"/>
  <c r="F176" i="12"/>
  <c r="J176" i="12" s="1"/>
  <c r="K176" i="12" s="1"/>
  <c r="L176" i="12" s="1"/>
  <c r="F175" i="12"/>
  <c r="J175" i="12" s="1"/>
  <c r="K175" i="12" s="1"/>
  <c r="L175" i="12" s="1"/>
  <c r="F174" i="12"/>
  <c r="J174" i="12" s="1"/>
  <c r="K174" i="12" s="1"/>
  <c r="L174" i="12" s="1"/>
  <c r="F173" i="12"/>
  <c r="J173" i="12" s="1"/>
  <c r="K173" i="12" s="1"/>
  <c r="L173" i="12" s="1"/>
  <c r="F172" i="12"/>
  <c r="J172" i="12" s="1"/>
  <c r="K172" i="12" s="1"/>
  <c r="L172" i="12" s="1"/>
  <c r="F171" i="12"/>
  <c r="J171" i="12" s="1"/>
  <c r="K171" i="12" s="1"/>
  <c r="L171" i="12" s="1"/>
  <c r="F170" i="12"/>
  <c r="J170" i="12" s="1"/>
  <c r="K170" i="12" s="1"/>
  <c r="L170" i="12" s="1"/>
  <c r="F169" i="12"/>
  <c r="J169" i="12" s="1"/>
  <c r="K169" i="12" s="1"/>
  <c r="L169" i="12" s="1"/>
  <c r="F168" i="12"/>
  <c r="J168" i="12" s="1"/>
  <c r="K168" i="12" s="1"/>
  <c r="L168" i="12" s="1"/>
  <c r="F167" i="12"/>
  <c r="J167" i="12" s="1"/>
  <c r="K167" i="12" s="1"/>
  <c r="L167" i="12" s="1"/>
  <c r="F166" i="12"/>
  <c r="J166" i="12" s="1"/>
  <c r="K166" i="12" s="1"/>
  <c r="L166" i="12" s="1"/>
  <c r="F165" i="12"/>
  <c r="J165" i="12" s="1"/>
  <c r="K165" i="12" s="1"/>
  <c r="L165" i="12" s="1"/>
  <c r="F164" i="12"/>
  <c r="J164" i="12" s="1"/>
  <c r="K164" i="12" s="1"/>
  <c r="L164" i="12" s="1"/>
  <c r="F163" i="12"/>
  <c r="J163" i="12" s="1"/>
  <c r="K163" i="12" s="1"/>
  <c r="L163" i="12" s="1"/>
  <c r="F162" i="12"/>
  <c r="J162" i="12" s="1"/>
  <c r="K162" i="12" s="1"/>
  <c r="L162" i="12" s="1"/>
  <c r="F161" i="12"/>
  <c r="J161" i="12" s="1"/>
  <c r="K161" i="12" s="1"/>
  <c r="L161" i="12" s="1"/>
  <c r="F160" i="12"/>
  <c r="J160" i="12" s="1"/>
  <c r="K160" i="12" s="1"/>
  <c r="L160" i="12" s="1"/>
  <c r="F159" i="12"/>
  <c r="J159" i="12" s="1"/>
  <c r="K159" i="12" s="1"/>
  <c r="L159" i="12" s="1"/>
  <c r="F158" i="12"/>
  <c r="J158" i="12" s="1"/>
  <c r="K158" i="12" s="1"/>
  <c r="L158" i="12" s="1"/>
  <c r="F157" i="12"/>
  <c r="J157" i="12" s="1"/>
  <c r="K157" i="12" s="1"/>
  <c r="L157" i="12" s="1"/>
  <c r="F156" i="12"/>
  <c r="J156" i="12" s="1"/>
  <c r="K156" i="12" s="1"/>
  <c r="L156" i="12" s="1"/>
  <c r="F155" i="12"/>
  <c r="J155" i="12" s="1"/>
  <c r="K155" i="12" s="1"/>
  <c r="L155" i="12" s="1"/>
  <c r="F154" i="12"/>
  <c r="J154" i="12" s="1"/>
  <c r="K154" i="12" s="1"/>
  <c r="L154" i="12" s="1"/>
  <c r="F153" i="12"/>
  <c r="J153" i="12" s="1"/>
  <c r="K153" i="12" s="1"/>
  <c r="L153" i="12" s="1"/>
  <c r="F152" i="12"/>
  <c r="J152" i="12" s="1"/>
  <c r="K152" i="12" s="1"/>
  <c r="L152" i="12" s="1"/>
  <c r="F151" i="12"/>
  <c r="J151" i="12" s="1"/>
  <c r="K151" i="12" s="1"/>
  <c r="L151" i="12" s="1"/>
  <c r="F150" i="12"/>
  <c r="J150" i="12" s="1"/>
  <c r="K150" i="12" s="1"/>
  <c r="L150" i="12" s="1"/>
  <c r="F149" i="12"/>
  <c r="J149" i="12" s="1"/>
  <c r="K149" i="12" s="1"/>
  <c r="L149" i="12" s="1"/>
  <c r="F148" i="12"/>
  <c r="J148" i="12" s="1"/>
  <c r="K148" i="12" s="1"/>
  <c r="L148" i="12" s="1"/>
  <c r="F147" i="12"/>
  <c r="J147" i="12" s="1"/>
  <c r="K147" i="12" s="1"/>
  <c r="L147" i="12" s="1"/>
  <c r="F146" i="12"/>
  <c r="J146" i="12" s="1"/>
  <c r="K146" i="12" s="1"/>
  <c r="L146" i="12" s="1"/>
  <c r="F145" i="12"/>
  <c r="J145" i="12" s="1"/>
  <c r="K145" i="12" s="1"/>
  <c r="L145" i="12" s="1"/>
  <c r="F144" i="12"/>
  <c r="J144" i="12" s="1"/>
  <c r="K144" i="12" s="1"/>
  <c r="L144" i="12" s="1"/>
  <c r="F143" i="12"/>
  <c r="F142" i="12"/>
  <c r="J142" i="12" s="1"/>
  <c r="K142" i="12" s="1"/>
  <c r="L142" i="12" s="1"/>
  <c r="F141" i="12"/>
  <c r="F140" i="12"/>
  <c r="J140" i="12" s="1"/>
  <c r="K140" i="12" s="1"/>
  <c r="L140" i="12" s="1"/>
  <c r="F139" i="12"/>
  <c r="F138" i="12"/>
  <c r="J138" i="12" s="1"/>
  <c r="K138" i="12" s="1"/>
  <c r="L138" i="12" s="1"/>
  <c r="F137" i="12"/>
  <c r="F136" i="12"/>
  <c r="J136" i="12" s="1"/>
  <c r="K136" i="12" s="1"/>
  <c r="L136" i="12" s="1"/>
  <c r="F135" i="12"/>
  <c r="F134" i="12"/>
  <c r="J134" i="12" s="1"/>
  <c r="K134" i="12" s="1"/>
  <c r="L134" i="12" s="1"/>
  <c r="F133" i="12"/>
  <c r="F132" i="12"/>
  <c r="J132" i="12" s="1"/>
  <c r="K132" i="12" s="1"/>
  <c r="L132" i="12" s="1"/>
  <c r="F131" i="12"/>
  <c r="F130" i="12"/>
  <c r="J130" i="12" s="1"/>
  <c r="K130" i="12" s="1"/>
  <c r="L130" i="12" s="1"/>
  <c r="F129" i="12"/>
  <c r="F128" i="12"/>
  <c r="J128" i="12" s="1"/>
  <c r="K128" i="12" s="1"/>
  <c r="L128" i="12" s="1"/>
  <c r="F127" i="12"/>
  <c r="F126" i="12"/>
  <c r="J126" i="12" s="1"/>
  <c r="K126" i="12" s="1"/>
  <c r="L126" i="12" s="1"/>
  <c r="F125" i="12"/>
  <c r="F124" i="12"/>
  <c r="J124" i="12" s="1"/>
  <c r="K124" i="12" s="1"/>
  <c r="L124" i="12" s="1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D2" i="12"/>
  <c r="E2" i="12" s="1"/>
  <c r="D3" i="12"/>
  <c r="E3" i="12" s="1"/>
  <c r="D4" i="12"/>
  <c r="E4" i="12" s="1"/>
  <c r="D5" i="12"/>
  <c r="E5" i="12" s="1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D15" i="12"/>
  <c r="E15" i="12" s="1"/>
  <c r="D16" i="12"/>
  <c r="E16" i="12" s="1"/>
  <c r="D17" i="12"/>
  <c r="E17" i="12" s="1"/>
  <c r="D18" i="12"/>
  <c r="E18" i="12" s="1"/>
  <c r="D19" i="12"/>
  <c r="E19" i="12" s="1"/>
  <c r="D20" i="12"/>
  <c r="E20" i="12" s="1"/>
  <c r="D21" i="12"/>
  <c r="E21" i="12" s="1"/>
  <c r="D22" i="12"/>
  <c r="E22" i="12" s="1"/>
  <c r="D23" i="12"/>
  <c r="E23" i="12" s="1"/>
  <c r="D24" i="12"/>
  <c r="E24" i="12" s="1"/>
  <c r="D25" i="12"/>
  <c r="E25" i="12" s="1"/>
  <c r="D26" i="12"/>
  <c r="E26" i="12" s="1"/>
  <c r="D27" i="12"/>
  <c r="E27" i="12" s="1"/>
  <c r="D28" i="12"/>
  <c r="E28" i="12" s="1"/>
  <c r="D29" i="12"/>
  <c r="E29" i="12" s="1"/>
  <c r="D30" i="12"/>
  <c r="E30" i="12" s="1"/>
  <c r="D31" i="12"/>
  <c r="E31" i="12" s="1"/>
  <c r="D32" i="12"/>
  <c r="E32" i="12" s="1"/>
  <c r="D33" i="12"/>
  <c r="E33" i="12" s="1"/>
  <c r="D34" i="12"/>
  <c r="E34" i="12" s="1"/>
  <c r="D35" i="12"/>
  <c r="E35" i="12" s="1"/>
  <c r="D36" i="12"/>
  <c r="E36" i="12" s="1"/>
  <c r="D37" i="12"/>
  <c r="E37" i="12" s="1"/>
  <c r="D38" i="12"/>
  <c r="E38" i="12" s="1"/>
  <c r="D39" i="12"/>
  <c r="E39" i="12" s="1"/>
  <c r="D40" i="12"/>
  <c r="E40" i="12" s="1"/>
  <c r="D41" i="12"/>
  <c r="E41" i="12" s="1"/>
  <c r="D42" i="12"/>
  <c r="E42" i="12" s="1"/>
  <c r="D43" i="12"/>
  <c r="E43" i="12" s="1"/>
  <c r="D44" i="12"/>
  <c r="E44" i="12" s="1"/>
  <c r="D45" i="12"/>
  <c r="E45" i="12" s="1"/>
  <c r="D46" i="12"/>
  <c r="E46" i="12" s="1"/>
  <c r="D47" i="12"/>
  <c r="E47" i="12" s="1"/>
  <c r="D48" i="12"/>
  <c r="E48" i="12" s="1"/>
  <c r="D49" i="12"/>
  <c r="E49" i="12" s="1"/>
  <c r="D50" i="12"/>
  <c r="E50" i="12" s="1"/>
  <c r="D51" i="12"/>
  <c r="E51" i="12" s="1"/>
  <c r="D52" i="12"/>
  <c r="E52" i="12" s="1"/>
  <c r="D53" i="12"/>
  <c r="E53" i="12" s="1"/>
  <c r="D54" i="12"/>
  <c r="E54" i="12" s="1"/>
  <c r="D55" i="12"/>
  <c r="E55" i="12" s="1"/>
  <c r="D56" i="12"/>
  <c r="E56" i="12" s="1"/>
  <c r="D57" i="12"/>
  <c r="E57" i="12" s="1"/>
  <c r="D58" i="12"/>
  <c r="E58" i="12" s="1"/>
  <c r="D59" i="12"/>
  <c r="E59" i="12" s="1"/>
  <c r="D60" i="12"/>
  <c r="E60" i="12" s="1"/>
  <c r="D61" i="12"/>
  <c r="E61" i="12" s="1"/>
  <c r="D62" i="12"/>
  <c r="E62" i="12" s="1"/>
  <c r="D63" i="12"/>
  <c r="E63" i="12" s="1"/>
  <c r="D64" i="12"/>
  <c r="E64" i="12" s="1"/>
  <c r="D65" i="12"/>
  <c r="E65" i="12" s="1"/>
  <c r="D66" i="12"/>
  <c r="E66" i="12" s="1"/>
  <c r="D67" i="12"/>
  <c r="E67" i="12" s="1"/>
  <c r="D68" i="12"/>
  <c r="E68" i="12" s="1"/>
  <c r="D69" i="12"/>
  <c r="E69" i="12" s="1"/>
  <c r="D70" i="12"/>
  <c r="E70" i="12" s="1"/>
  <c r="D71" i="12"/>
  <c r="E71" i="12" s="1"/>
  <c r="D72" i="12"/>
  <c r="E72" i="12" s="1"/>
  <c r="D73" i="12"/>
  <c r="E73" i="12" s="1"/>
  <c r="D74" i="12"/>
  <c r="E74" i="12" s="1"/>
  <c r="D75" i="12"/>
  <c r="E75" i="12" s="1"/>
  <c r="D76" i="12"/>
  <c r="E76" i="12" s="1"/>
  <c r="D77" i="12"/>
  <c r="E77" i="12" s="1"/>
  <c r="D78" i="12"/>
  <c r="E78" i="12" s="1"/>
  <c r="D79" i="12"/>
  <c r="E79" i="12" s="1"/>
  <c r="D80" i="12"/>
  <c r="E80" i="12" s="1"/>
  <c r="D81" i="12"/>
  <c r="E81" i="12" s="1"/>
  <c r="D82" i="12"/>
  <c r="E82" i="12" s="1"/>
  <c r="D83" i="12"/>
  <c r="E83" i="12" s="1"/>
  <c r="D84" i="12"/>
  <c r="E84" i="12" s="1"/>
  <c r="D85" i="12"/>
  <c r="E85" i="12" s="1"/>
  <c r="D86" i="12"/>
  <c r="E86" i="12" s="1"/>
  <c r="D87" i="12"/>
  <c r="E87" i="12" s="1"/>
  <c r="D88" i="12"/>
  <c r="E88" i="12" s="1"/>
  <c r="D89" i="12"/>
  <c r="E89" i="12" s="1"/>
  <c r="D90" i="12"/>
  <c r="E90" i="12" s="1"/>
  <c r="D91" i="12"/>
  <c r="E91" i="12" s="1"/>
  <c r="D92" i="12"/>
  <c r="E92" i="12" s="1"/>
  <c r="D93" i="12"/>
  <c r="E93" i="12" s="1"/>
  <c r="D94" i="12"/>
  <c r="E94" i="12" s="1"/>
  <c r="D95" i="12"/>
  <c r="E95" i="12" s="1"/>
  <c r="D96" i="12"/>
  <c r="E96" i="12" s="1"/>
  <c r="D97" i="12"/>
  <c r="E97" i="12" s="1"/>
  <c r="D98" i="12"/>
  <c r="E98" i="12" s="1"/>
  <c r="D99" i="12"/>
  <c r="E99" i="12" s="1"/>
  <c r="D100" i="12"/>
  <c r="E100" i="12" s="1"/>
  <c r="D101" i="12"/>
  <c r="E101" i="12" s="1"/>
  <c r="D102" i="12"/>
  <c r="E102" i="12" s="1"/>
  <c r="D103" i="12"/>
  <c r="E103" i="12" s="1"/>
  <c r="D104" i="12"/>
  <c r="E104" i="12" s="1"/>
  <c r="D105" i="12"/>
  <c r="E105" i="12" s="1"/>
  <c r="D106" i="12"/>
  <c r="E106" i="12" s="1"/>
  <c r="D107" i="12"/>
  <c r="E107" i="12" s="1"/>
  <c r="D108" i="12"/>
  <c r="E108" i="12" s="1"/>
  <c r="D109" i="12"/>
  <c r="E109" i="12" s="1"/>
  <c r="D110" i="12"/>
  <c r="E110" i="12" s="1"/>
  <c r="D111" i="12"/>
  <c r="E111" i="12" s="1"/>
  <c r="D112" i="12"/>
  <c r="E112" i="12" s="1"/>
  <c r="D113" i="12"/>
  <c r="E113" i="12" s="1"/>
  <c r="D114" i="12"/>
  <c r="E114" i="12" s="1"/>
  <c r="D115" i="12"/>
  <c r="E115" i="12" s="1"/>
  <c r="D116" i="12"/>
  <c r="E116" i="12" s="1"/>
  <c r="D117" i="12"/>
  <c r="E117" i="12" s="1"/>
  <c r="D118" i="12"/>
  <c r="E118" i="12" s="1"/>
  <c r="D119" i="12"/>
  <c r="E119" i="12" s="1"/>
  <c r="D120" i="12"/>
  <c r="E120" i="12" s="1"/>
  <c r="D121" i="12"/>
  <c r="E121" i="12" s="1"/>
  <c r="D122" i="12"/>
  <c r="E122" i="12" s="1"/>
  <c r="D123" i="12"/>
  <c r="E123" i="12" s="1"/>
  <c r="D124" i="12"/>
  <c r="E124" i="12" s="1"/>
  <c r="D125" i="12"/>
  <c r="E125" i="12" s="1"/>
  <c r="D126" i="12"/>
  <c r="E126" i="12" s="1"/>
  <c r="D127" i="12"/>
  <c r="E127" i="12" s="1"/>
  <c r="D128" i="12"/>
  <c r="E128" i="12" s="1"/>
  <c r="D129" i="12"/>
  <c r="E129" i="12" s="1"/>
  <c r="D130" i="12"/>
  <c r="E130" i="12" s="1"/>
  <c r="D131" i="12"/>
  <c r="E131" i="12" s="1"/>
  <c r="D132" i="12"/>
  <c r="E132" i="12" s="1"/>
  <c r="D133" i="12"/>
  <c r="E133" i="12" s="1"/>
  <c r="D134" i="12"/>
  <c r="E134" i="12" s="1"/>
  <c r="D135" i="12"/>
  <c r="E135" i="12" s="1"/>
  <c r="D136" i="12"/>
  <c r="E136" i="12" s="1"/>
  <c r="D137" i="12"/>
  <c r="E137" i="12" s="1"/>
  <c r="D138" i="12"/>
  <c r="E138" i="12" s="1"/>
  <c r="D139" i="12"/>
  <c r="E139" i="12" s="1"/>
  <c r="D140" i="12"/>
  <c r="E140" i="12" s="1"/>
  <c r="D141" i="12"/>
  <c r="E141" i="12" s="1"/>
  <c r="D142" i="12"/>
  <c r="E142" i="12" s="1"/>
  <c r="D143" i="12"/>
  <c r="E143" i="12" s="1"/>
  <c r="D144" i="12"/>
  <c r="E144" i="12" s="1"/>
  <c r="D145" i="12"/>
  <c r="E145" i="12" s="1"/>
  <c r="D146" i="12"/>
  <c r="E146" i="12" s="1"/>
  <c r="D147" i="12"/>
  <c r="E147" i="12" s="1"/>
  <c r="D148" i="12"/>
  <c r="E148" i="12" s="1"/>
  <c r="D149" i="12"/>
  <c r="E149" i="12" s="1"/>
  <c r="D150" i="12"/>
  <c r="E150" i="12" s="1"/>
  <c r="D151" i="12"/>
  <c r="E151" i="12" s="1"/>
  <c r="D152" i="12"/>
  <c r="E152" i="12" s="1"/>
  <c r="D153" i="12"/>
  <c r="E153" i="12" s="1"/>
  <c r="D154" i="12"/>
  <c r="E154" i="12" s="1"/>
  <c r="D155" i="12"/>
  <c r="E155" i="12" s="1"/>
  <c r="D156" i="12"/>
  <c r="E156" i="12" s="1"/>
  <c r="D157" i="12"/>
  <c r="E157" i="12" s="1"/>
  <c r="D158" i="12"/>
  <c r="E158" i="12" s="1"/>
  <c r="D159" i="12"/>
  <c r="E159" i="12" s="1"/>
  <c r="D160" i="12"/>
  <c r="E160" i="12" s="1"/>
  <c r="D161" i="12"/>
  <c r="E161" i="12" s="1"/>
  <c r="D162" i="12"/>
  <c r="E162" i="12" s="1"/>
  <c r="D163" i="12"/>
  <c r="E163" i="12" s="1"/>
  <c r="D164" i="12"/>
  <c r="E164" i="12" s="1"/>
  <c r="D165" i="12"/>
  <c r="E165" i="12" s="1"/>
  <c r="D166" i="12"/>
  <c r="E166" i="12" s="1"/>
  <c r="D167" i="12"/>
  <c r="E167" i="12" s="1"/>
  <c r="D168" i="12"/>
  <c r="E168" i="12" s="1"/>
  <c r="D169" i="12"/>
  <c r="E169" i="12" s="1"/>
  <c r="D170" i="12"/>
  <c r="E170" i="12" s="1"/>
  <c r="D171" i="12"/>
  <c r="E171" i="12" s="1"/>
  <c r="D172" i="12"/>
  <c r="E172" i="12" s="1"/>
  <c r="D173" i="12"/>
  <c r="E173" i="12" s="1"/>
  <c r="D174" i="12"/>
  <c r="E174" i="12" s="1"/>
  <c r="D175" i="12"/>
  <c r="E175" i="12" s="1"/>
  <c r="D176" i="12"/>
  <c r="E176" i="12" s="1"/>
  <c r="D177" i="12"/>
  <c r="E177" i="12" s="1"/>
  <c r="D178" i="12"/>
  <c r="E178" i="12" s="1"/>
  <c r="D179" i="12"/>
  <c r="E179" i="12" s="1"/>
  <c r="D180" i="12"/>
  <c r="E180" i="12" s="1"/>
  <c r="D181" i="12"/>
  <c r="E181" i="12" s="1"/>
  <c r="D182" i="12"/>
  <c r="E182" i="12" s="1"/>
  <c r="D183" i="12"/>
  <c r="E183" i="12" s="1"/>
  <c r="D184" i="12"/>
  <c r="E184" i="12" s="1"/>
  <c r="D185" i="12"/>
  <c r="E185" i="12" s="1"/>
  <c r="D186" i="12"/>
  <c r="E186" i="12" s="1"/>
  <c r="D187" i="12"/>
  <c r="E187" i="12" s="1"/>
  <c r="D188" i="12"/>
  <c r="E188" i="12" s="1"/>
  <c r="D189" i="12"/>
  <c r="E189" i="12" s="1"/>
  <c r="D190" i="12"/>
  <c r="E190" i="12" s="1"/>
  <c r="D191" i="12"/>
  <c r="E191" i="12" s="1"/>
  <c r="D192" i="12"/>
  <c r="E192" i="12" s="1"/>
  <c r="D193" i="12"/>
  <c r="E193" i="12" s="1"/>
  <c r="D194" i="12"/>
  <c r="E194" i="12" s="1"/>
  <c r="D195" i="12"/>
  <c r="E195" i="12" s="1"/>
  <c r="D196" i="12"/>
  <c r="E196" i="12" s="1"/>
  <c r="D197" i="12"/>
  <c r="E197" i="12" s="1"/>
  <c r="D198" i="12"/>
  <c r="E198" i="12" s="1"/>
  <c r="D199" i="12"/>
  <c r="E199" i="12" s="1"/>
  <c r="D200" i="12"/>
  <c r="E200" i="12" s="1"/>
  <c r="D201" i="12"/>
  <c r="E201" i="12" s="1"/>
  <c r="D202" i="12"/>
  <c r="E202" i="12" s="1"/>
  <c r="D203" i="12"/>
  <c r="E203" i="12" s="1"/>
  <c r="D204" i="12"/>
  <c r="E204" i="12" s="1"/>
  <c r="D205" i="12"/>
  <c r="E205" i="12" s="1"/>
  <c r="D206" i="12"/>
  <c r="E206" i="12" s="1"/>
  <c r="D207" i="12"/>
  <c r="E207" i="12" s="1"/>
  <c r="D208" i="12"/>
  <c r="E208" i="12" s="1"/>
  <c r="D209" i="12"/>
  <c r="E209" i="12" s="1"/>
  <c r="D210" i="12"/>
  <c r="E210" i="12" s="1"/>
  <c r="D211" i="12"/>
  <c r="E211" i="12" s="1"/>
  <c r="D212" i="12"/>
  <c r="E212" i="12" s="1"/>
  <c r="D213" i="12"/>
  <c r="E213" i="12" s="1"/>
  <c r="D214" i="12"/>
  <c r="E214" i="12" s="1"/>
  <c r="D215" i="12"/>
  <c r="E215" i="12" s="1"/>
  <c r="D216" i="12"/>
  <c r="E216" i="12" s="1"/>
  <c r="D217" i="12"/>
  <c r="E217" i="12" s="1"/>
  <c r="D218" i="12"/>
  <c r="E218" i="12" s="1"/>
  <c r="D219" i="12"/>
  <c r="E219" i="12" s="1"/>
  <c r="D220" i="12"/>
  <c r="E220" i="12" s="1"/>
  <c r="D221" i="12"/>
  <c r="E221" i="12" s="1"/>
  <c r="D222" i="12"/>
  <c r="E222" i="12" s="1"/>
  <c r="D223" i="12"/>
  <c r="E223" i="12" s="1"/>
  <c r="D224" i="12"/>
  <c r="E224" i="12" s="1"/>
  <c r="D225" i="12"/>
  <c r="E225" i="12" s="1"/>
  <c r="D226" i="12"/>
  <c r="E226" i="12" s="1"/>
  <c r="D227" i="12"/>
  <c r="E227" i="12" s="1"/>
  <c r="D228" i="12"/>
  <c r="E228" i="12" s="1"/>
  <c r="D229" i="12"/>
  <c r="E229" i="12" s="1"/>
  <c r="D230" i="12"/>
  <c r="E230" i="12" s="1"/>
  <c r="D231" i="12"/>
  <c r="E231" i="12" s="1"/>
  <c r="D232" i="12"/>
  <c r="E232" i="12" s="1"/>
  <c r="D233" i="12"/>
  <c r="E233" i="12" s="1"/>
  <c r="D234" i="12"/>
  <c r="E234" i="12" s="1"/>
  <c r="D235" i="12"/>
  <c r="E235" i="12" s="1"/>
  <c r="D236" i="12"/>
  <c r="E236" i="12" s="1"/>
  <c r="D237" i="12"/>
  <c r="E237" i="12" s="1"/>
  <c r="D238" i="12"/>
  <c r="E238" i="12" s="1"/>
  <c r="D239" i="12"/>
  <c r="E239" i="12" s="1"/>
  <c r="D240" i="12"/>
  <c r="E240" i="12" s="1"/>
  <c r="D241" i="12"/>
  <c r="E241" i="12" s="1"/>
  <c r="D242" i="12"/>
  <c r="E242" i="12" s="1"/>
  <c r="D243" i="12"/>
  <c r="E243" i="12" s="1"/>
  <c r="D244" i="12"/>
  <c r="E244" i="12" s="1"/>
  <c r="D245" i="12"/>
  <c r="E245" i="12" s="1"/>
  <c r="D246" i="12"/>
  <c r="E246" i="12" s="1"/>
  <c r="D247" i="12"/>
  <c r="E247" i="12" s="1"/>
  <c r="D248" i="12"/>
  <c r="E248" i="12" s="1"/>
  <c r="D249" i="12"/>
  <c r="E249" i="12" s="1"/>
  <c r="D250" i="12"/>
  <c r="E250" i="12" s="1"/>
  <c r="D251" i="12"/>
  <c r="E251" i="12" s="1"/>
  <c r="D252" i="12"/>
  <c r="E252" i="12" s="1"/>
  <c r="D253" i="12"/>
  <c r="E253" i="12" s="1"/>
  <c r="D254" i="12"/>
  <c r="E254" i="12" s="1"/>
  <c r="D255" i="12"/>
  <c r="E255" i="12" s="1"/>
  <c r="D256" i="12"/>
  <c r="E256" i="12" s="1"/>
  <c r="D257" i="12"/>
  <c r="E257" i="12" s="1"/>
  <c r="D258" i="12"/>
  <c r="E258" i="12" s="1"/>
  <c r="D259" i="12"/>
  <c r="E259" i="12" s="1"/>
  <c r="D260" i="12"/>
  <c r="E260" i="12" s="1"/>
  <c r="D261" i="12"/>
  <c r="E261" i="12" s="1"/>
  <c r="D262" i="12"/>
  <c r="E262" i="12" s="1"/>
  <c r="D263" i="12"/>
  <c r="E263" i="12" s="1"/>
  <c r="D264" i="12"/>
  <c r="E264" i="12" s="1"/>
  <c r="D265" i="12"/>
  <c r="E265" i="12" s="1"/>
  <c r="D266" i="12"/>
  <c r="E266" i="12" s="1"/>
  <c r="D267" i="12"/>
  <c r="E267" i="12" s="1"/>
  <c r="D268" i="12"/>
  <c r="E268" i="12" s="1"/>
  <c r="D269" i="12"/>
  <c r="E269" i="12" s="1"/>
  <c r="D270" i="12"/>
  <c r="E270" i="12" s="1"/>
  <c r="D271" i="12"/>
  <c r="E271" i="12" s="1"/>
  <c r="D272" i="12"/>
  <c r="E272" i="12" s="1"/>
  <c r="D273" i="12"/>
  <c r="E273" i="12" s="1"/>
  <c r="D274" i="12"/>
  <c r="E274" i="12" s="1"/>
  <c r="D275" i="12"/>
  <c r="E275" i="12" s="1"/>
  <c r="D276" i="12"/>
  <c r="E276" i="12" s="1"/>
  <c r="D277" i="12"/>
  <c r="E277" i="12" s="1"/>
  <c r="D278" i="12"/>
  <c r="E278" i="12" s="1"/>
  <c r="D279" i="12"/>
  <c r="E279" i="12" s="1"/>
  <c r="D280" i="12"/>
  <c r="E280" i="12" s="1"/>
  <c r="D281" i="12"/>
  <c r="E281" i="12" s="1"/>
  <c r="D282" i="12"/>
  <c r="E282" i="12" s="1"/>
  <c r="D283" i="12"/>
  <c r="E283" i="12" s="1"/>
  <c r="D284" i="12"/>
  <c r="E284" i="12" s="1"/>
  <c r="D285" i="12"/>
  <c r="E285" i="12" s="1"/>
  <c r="D286" i="12"/>
  <c r="E286" i="12" s="1"/>
  <c r="D287" i="12"/>
  <c r="E287" i="12" s="1"/>
  <c r="D288" i="12"/>
  <c r="E288" i="12" s="1"/>
  <c r="D289" i="12"/>
  <c r="E289" i="12" s="1"/>
  <c r="D290" i="12"/>
  <c r="E290" i="12" s="1"/>
  <c r="D291" i="12"/>
  <c r="E291" i="12" s="1"/>
  <c r="D292" i="12"/>
  <c r="E292" i="12" s="1"/>
  <c r="D293" i="12"/>
  <c r="E293" i="12" s="1"/>
  <c r="D294" i="12"/>
  <c r="E294" i="12" s="1"/>
  <c r="D295" i="12"/>
  <c r="E295" i="12" s="1"/>
  <c r="D296" i="12"/>
  <c r="E296" i="12" s="1"/>
  <c r="D297" i="12"/>
  <c r="E297" i="12" s="1"/>
  <c r="D298" i="12"/>
  <c r="E298" i="12" s="1"/>
  <c r="D299" i="12"/>
  <c r="E299" i="12" s="1"/>
  <c r="D300" i="12"/>
  <c r="E300" i="12" s="1"/>
  <c r="D301" i="12"/>
  <c r="E301" i="12" s="1"/>
  <c r="D302" i="12"/>
  <c r="E302" i="12" s="1"/>
  <c r="D303" i="12"/>
  <c r="E303" i="12" s="1"/>
  <c r="D304" i="12"/>
  <c r="E304" i="12" s="1"/>
  <c r="D305" i="12"/>
  <c r="E305" i="12" s="1"/>
  <c r="D306" i="12"/>
  <c r="E306" i="12" s="1"/>
  <c r="D307" i="12"/>
  <c r="E307" i="12" s="1"/>
  <c r="D308" i="12"/>
  <c r="E308" i="12" s="1"/>
  <c r="D309" i="12"/>
  <c r="E309" i="12" s="1"/>
  <c r="D310" i="12"/>
  <c r="E310" i="12" s="1"/>
  <c r="D311" i="12"/>
  <c r="E311" i="12" s="1"/>
  <c r="D312" i="12"/>
  <c r="E312" i="12" s="1"/>
  <c r="D313" i="12"/>
  <c r="E313" i="12" s="1"/>
  <c r="D314" i="12"/>
  <c r="E314" i="12" s="1"/>
  <c r="D315" i="12"/>
  <c r="E315" i="12" s="1"/>
  <c r="D316" i="12"/>
  <c r="E316" i="12" s="1"/>
  <c r="D317" i="12"/>
  <c r="E317" i="12" s="1"/>
  <c r="D318" i="12"/>
  <c r="E318" i="12" s="1"/>
  <c r="D319" i="12"/>
  <c r="E319" i="12" s="1"/>
  <c r="D320" i="12"/>
  <c r="E320" i="12" s="1"/>
  <c r="D321" i="12"/>
  <c r="E321" i="12" s="1"/>
  <c r="D322" i="12"/>
  <c r="E322" i="12" s="1"/>
  <c r="D323" i="12"/>
  <c r="E323" i="12" s="1"/>
  <c r="D324" i="12"/>
  <c r="E324" i="12" s="1"/>
  <c r="D325" i="12"/>
  <c r="E325" i="12" s="1"/>
  <c r="D326" i="12"/>
  <c r="E326" i="12" s="1"/>
  <c r="D327" i="12"/>
  <c r="E327" i="12" s="1"/>
  <c r="D328" i="12"/>
  <c r="E328" i="12" s="1"/>
  <c r="D329" i="12"/>
  <c r="E329" i="12" s="1"/>
  <c r="D330" i="12"/>
  <c r="E330" i="12" s="1"/>
  <c r="D331" i="12"/>
  <c r="E331" i="12" s="1"/>
  <c r="D332" i="12"/>
  <c r="E332" i="12" s="1"/>
  <c r="D333" i="12"/>
  <c r="E333" i="12" s="1"/>
  <c r="D334" i="12"/>
  <c r="E334" i="12" s="1"/>
  <c r="D335" i="12"/>
  <c r="E335" i="12" s="1"/>
  <c r="D336" i="12"/>
  <c r="E336" i="12" s="1"/>
  <c r="D337" i="12"/>
  <c r="E337" i="12" s="1"/>
  <c r="D338" i="12"/>
  <c r="E338" i="12" s="1"/>
  <c r="D339" i="12"/>
  <c r="E339" i="12" s="1"/>
  <c r="D340" i="12"/>
  <c r="E340" i="12" s="1"/>
  <c r="D341" i="12"/>
  <c r="E341" i="12" s="1"/>
  <c r="D342" i="12"/>
  <c r="E342" i="12" s="1"/>
  <c r="D343" i="12"/>
  <c r="E343" i="12" s="1"/>
  <c r="D344" i="12"/>
  <c r="E344" i="12" s="1"/>
  <c r="D345" i="12"/>
  <c r="E345" i="12" s="1"/>
  <c r="D346" i="12"/>
  <c r="E346" i="12" s="1"/>
  <c r="D347" i="12"/>
  <c r="E347" i="12" s="1"/>
  <c r="D348" i="12"/>
  <c r="E348" i="12" s="1"/>
  <c r="D349" i="12"/>
  <c r="E349" i="12" s="1"/>
  <c r="D350" i="12"/>
  <c r="E350" i="12" s="1"/>
  <c r="D351" i="12"/>
  <c r="E351" i="12" s="1"/>
  <c r="D352" i="12"/>
  <c r="E352" i="12" s="1"/>
  <c r="D353" i="12"/>
  <c r="E353" i="12" s="1"/>
  <c r="D354" i="12"/>
  <c r="E354" i="12" s="1"/>
  <c r="D355" i="12"/>
  <c r="E355" i="12" s="1"/>
  <c r="D356" i="12"/>
  <c r="E356" i="12" s="1"/>
  <c r="D357" i="12"/>
  <c r="E357" i="12" s="1"/>
  <c r="D358" i="12"/>
  <c r="E358" i="12" s="1"/>
  <c r="D359" i="12"/>
  <c r="E359" i="12" s="1"/>
  <c r="M2" i="12"/>
  <c r="P2" i="12"/>
  <c r="S2" i="12"/>
  <c r="J3" i="12" l="1"/>
  <c r="K3" i="12" s="1"/>
  <c r="L3" i="12" s="1"/>
  <c r="G3" i="12"/>
  <c r="J5" i="12"/>
  <c r="K5" i="12" s="1"/>
  <c r="L5" i="12" s="1"/>
  <c r="G5" i="12"/>
  <c r="J7" i="12"/>
  <c r="K7" i="12" s="1"/>
  <c r="L7" i="12" s="1"/>
  <c r="G7" i="12"/>
  <c r="J9" i="12"/>
  <c r="K9" i="12" s="1"/>
  <c r="L9" i="12" s="1"/>
  <c r="G9" i="12"/>
  <c r="J11" i="12"/>
  <c r="K11" i="12" s="1"/>
  <c r="L11" i="12" s="1"/>
  <c r="G11" i="12"/>
  <c r="J13" i="12"/>
  <c r="K13" i="12" s="1"/>
  <c r="L13" i="12" s="1"/>
  <c r="G13" i="12"/>
  <c r="J15" i="12"/>
  <c r="K15" i="12" s="1"/>
  <c r="L15" i="12" s="1"/>
  <c r="G15" i="12"/>
  <c r="J17" i="12"/>
  <c r="K17" i="12" s="1"/>
  <c r="L17" i="12" s="1"/>
  <c r="G17" i="12"/>
  <c r="J19" i="12"/>
  <c r="K19" i="12" s="1"/>
  <c r="L19" i="12" s="1"/>
  <c r="G19" i="12"/>
  <c r="J21" i="12"/>
  <c r="K21" i="12" s="1"/>
  <c r="L21" i="12" s="1"/>
  <c r="G21" i="12"/>
  <c r="J23" i="12"/>
  <c r="K23" i="12" s="1"/>
  <c r="L23" i="12" s="1"/>
  <c r="G23" i="12"/>
  <c r="J25" i="12"/>
  <c r="K25" i="12" s="1"/>
  <c r="L25" i="12" s="1"/>
  <c r="G25" i="12"/>
  <c r="J27" i="12"/>
  <c r="K27" i="12" s="1"/>
  <c r="L27" i="12" s="1"/>
  <c r="G27" i="12"/>
  <c r="J29" i="12"/>
  <c r="K29" i="12" s="1"/>
  <c r="L29" i="12" s="1"/>
  <c r="G29" i="12"/>
  <c r="J31" i="12"/>
  <c r="K31" i="12" s="1"/>
  <c r="L31" i="12" s="1"/>
  <c r="G31" i="12"/>
  <c r="J33" i="12"/>
  <c r="K33" i="12" s="1"/>
  <c r="L33" i="12" s="1"/>
  <c r="G33" i="12"/>
  <c r="J35" i="12"/>
  <c r="K35" i="12" s="1"/>
  <c r="L35" i="12" s="1"/>
  <c r="G35" i="12"/>
  <c r="J37" i="12"/>
  <c r="K37" i="12" s="1"/>
  <c r="L37" i="12" s="1"/>
  <c r="G37" i="12"/>
  <c r="J39" i="12"/>
  <c r="K39" i="12" s="1"/>
  <c r="L39" i="12" s="1"/>
  <c r="G39" i="12"/>
  <c r="J41" i="12"/>
  <c r="K41" i="12" s="1"/>
  <c r="L41" i="12" s="1"/>
  <c r="G41" i="12"/>
  <c r="J43" i="12"/>
  <c r="K43" i="12" s="1"/>
  <c r="L43" i="12" s="1"/>
  <c r="G43" i="12"/>
  <c r="J45" i="12"/>
  <c r="K45" i="12" s="1"/>
  <c r="L45" i="12" s="1"/>
  <c r="G45" i="12"/>
  <c r="J47" i="12"/>
  <c r="K47" i="12" s="1"/>
  <c r="L47" i="12" s="1"/>
  <c r="G47" i="12"/>
  <c r="J49" i="12"/>
  <c r="K49" i="12" s="1"/>
  <c r="L49" i="12" s="1"/>
  <c r="G49" i="12"/>
  <c r="J51" i="12"/>
  <c r="K51" i="12" s="1"/>
  <c r="L51" i="12" s="1"/>
  <c r="G51" i="12"/>
  <c r="J53" i="12"/>
  <c r="K53" i="12" s="1"/>
  <c r="L53" i="12" s="1"/>
  <c r="G53" i="12"/>
  <c r="J55" i="12"/>
  <c r="K55" i="12" s="1"/>
  <c r="L55" i="12" s="1"/>
  <c r="G55" i="12"/>
  <c r="J57" i="12"/>
  <c r="K57" i="12" s="1"/>
  <c r="L57" i="12" s="1"/>
  <c r="G57" i="12"/>
  <c r="J59" i="12"/>
  <c r="K59" i="12" s="1"/>
  <c r="L59" i="12" s="1"/>
  <c r="G59" i="12"/>
  <c r="J61" i="12"/>
  <c r="K61" i="12" s="1"/>
  <c r="L61" i="12" s="1"/>
  <c r="G61" i="12"/>
  <c r="J63" i="12"/>
  <c r="K63" i="12" s="1"/>
  <c r="L63" i="12" s="1"/>
  <c r="G63" i="12"/>
  <c r="J65" i="12"/>
  <c r="K65" i="12" s="1"/>
  <c r="L65" i="12" s="1"/>
  <c r="G65" i="12"/>
  <c r="J67" i="12"/>
  <c r="K67" i="12" s="1"/>
  <c r="L67" i="12" s="1"/>
  <c r="G67" i="12"/>
  <c r="J69" i="12"/>
  <c r="K69" i="12" s="1"/>
  <c r="L69" i="12" s="1"/>
  <c r="G69" i="12"/>
  <c r="J71" i="12"/>
  <c r="K71" i="12" s="1"/>
  <c r="L71" i="12" s="1"/>
  <c r="G71" i="12"/>
  <c r="J73" i="12"/>
  <c r="K73" i="12" s="1"/>
  <c r="L73" i="12" s="1"/>
  <c r="G73" i="12"/>
  <c r="J75" i="12"/>
  <c r="K75" i="12" s="1"/>
  <c r="L75" i="12" s="1"/>
  <c r="G75" i="12"/>
  <c r="J77" i="12"/>
  <c r="K77" i="12" s="1"/>
  <c r="L77" i="12" s="1"/>
  <c r="G77" i="12"/>
  <c r="J79" i="12"/>
  <c r="K79" i="12" s="1"/>
  <c r="L79" i="12" s="1"/>
  <c r="G79" i="12"/>
  <c r="J81" i="12"/>
  <c r="K81" i="12" s="1"/>
  <c r="L81" i="12" s="1"/>
  <c r="G81" i="12"/>
  <c r="J83" i="12"/>
  <c r="K83" i="12" s="1"/>
  <c r="L83" i="12" s="1"/>
  <c r="G83" i="12"/>
  <c r="J85" i="12"/>
  <c r="K85" i="12" s="1"/>
  <c r="L85" i="12" s="1"/>
  <c r="G85" i="12"/>
  <c r="J87" i="12"/>
  <c r="K87" i="12" s="1"/>
  <c r="L87" i="12" s="1"/>
  <c r="G87" i="12"/>
  <c r="J89" i="12"/>
  <c r="K89" i="12" s="1"/>
  <c r="L89" i="12" s="1"/>
  <c r="G89" i="12"/>
  <c r="J91" i="12"/>
  <c r="K91" i="12" s="1"/>
  <c r="L91" i="12" s="1"/>
  <c r="G91" i="12"/>
  <c r="J93" i="12"/>
  <c r="K93" i="12" s="1"/>
  <c r="L93" i="12" s="1"/>
  <c r="G93" i="12"/>
  <c r="J95" i="12"/>
  <c r="K95" i="12" s="1"/>
  <c r="L95" i="12" s="1"/>
  <c r="G95" i="12"/>
  <c r="J97" i="12"/>
  <c r="K97" i="12" s="1"/>
  <c r="L97" i="12" s="1"/>
  <c r="G97" i="12"/>
  <c r="J99" i="12"/>
  <c r="K99" i="12" s="1"/>
  <c r="L99" i="12" s="1"/>
  <c r="G99" i="12"/>
  <c r="J101" i="12"/>
  <c r="K101" i="12" s="1"/>
  <c r="L101" i="12" s="1"/>
  <c r="G101" i="12"/>
  <c r="J103" i="12"/>
  <c r="K103" i="12" s="1"/>
  <c r="L103" i="12" s="1"/>
  <c r="G103" i="12"/>
  <c r="J105" i="12"/>
  <c r="K105" i="12" s="1"/>
  <c r="L105" i="12" s="1"/>
  <c r="G105" i="12"/>
  <c r="J107" i="12"/>
  <c r="K107" i="12" s="1"/>
  <c r="L107" i="12" s="1"/>
  <c r="G107" i="12"/>
  <c r="J109" i="12"/>
  <c r="K109" i="12" s="1"/>
  <c r="L109" i="12" s="1"/>
  <c r="G109" i="12"/>
  <c r="J111" i="12"/>
  <c r="K111" i="12" s="1"/>
  <c r="L111" i="12" s="1"/>
  <c r="G111" i="12"/>
  <c r="J113" i="12"/>
  <c r="K113" i="12" s="1"/>
  <c r="L113" i="12" s="1"/>
  <c r="G113" i="12"/>
  <c r="J115" i="12"/>
  <c r="K115" i="12" s="1"/>
  <c r="L115" i="12" s="1"/>
  <c r="G115" i="12"/>
  <c r="J117" i="12"/>
  <c r="K117" i="12" s="1"/>
  <c r="L117" i="12" s="1"/>
  <c r="G117" i="12"/>
  <c r="J119" i="12"/>
  <c r="K119" i="12" s="1"/>
  <c r="L119" i="12" s="1"/>
  <c r="G119" i="12"/>
  <c r="J121" i="12"/>
  <c r="K121" i="12" s="1"/>
  <c r="L121" i="12" s="1"/>
  <c r="G121" i="12"/>
  <c r="J123" i="12"/>
  <c r="K123" i="12" s="1"/>
  <c r="L123" i="12" s="1"/>
  <c r="G123" i="12"/>
  <c r="J125" i="12"/>
  <c r="K125" i="12" s="1"/>
  <c r="L125" i="12" s="1"/>
  <c r="G125" i="12"/>
  <c r="J127" i="12"/>
  <c r="K127" i="12" s="1"/>
  <c r="L127" i="12" s="1"/>
  <c r="G127" i="12"/>
  <c r="J129" i="12"/>
  <c r="K129" i="12" s="1"/>
  <c r="L129" i="12" s="1"/>
  <c r="G129" i="12"/>
  <c r="J131" i="12"/>
  <c r="K131" i="12" s="1"/>
  <c r="L131" i="12" s="1"/>
  <c r="G131" i="12"/>
  <c r="J133" i="12"/>
  <c r="K133" i="12" s="1"/>
  <c r="L133" i="12" s="1"/>
  <c r="G133" i="12"/>
  <c r="J135" i="12"/>
  <c r="K135" i="12" s="1"/>
  <c r="L135" i="12" s="1"/>
  <c r="G135" i="12"/>
  <c r="J137" i="12"/>
  <c r="K137" i="12" s="1"/>
  <c r="L137" i="12" s="1"/>
  <c r="G137" i="12"/>
  <c r="J139" i="12"/>
  <c r="K139" i="12" s="1"/>
  <c r="L139" i="12" s="1"/>
  <c r="G139" i="12"/>
  <c r="J141" i="12"/>
  <c r="K141" i="12" s="1"/>
  <c r="L141" i="12" s="1"/>
  <c r="G141" i="12"/>
  <c r="J143" i="12"/>
  <c r="K143" i="12" s="1"/>
  <c r="L143" i="12" s="1"/>
  <c r="G143" i="12"/>
  <c r="G359" i="12"/>
  <c r="G357" i="12"/>
  <c r="G355" i="12"/>
  <c r="G353" i="12"/>
  <c r="G351" i="12"/>
  <c r="G349" i="12"/>
  <c r="G347" i="12"/>
  <c r="G345" i="12"/>
  <c r="G343" i="12"/>
  <c r="G341" i="12"/>
  <c r="G339" i="12"/>
  <c r="G337" i="12"/>
  <c r="G335" i="12"/>
  <c r="G333" i="12"/>
  <c r="G331" i="12"/>
  <c r="G329" i="12"/>
  <c r="G327" i="12"/>
  <c r="G325" i="12"/>
  <c r="G323" i="12"/>
  <c r="G321" i="12"/>
  <c r="G319" i="12"/>
  <c r="G317" i="12"/>
  <c r="G315" i="12"/>
  <c r="G313" i="12"/>
  <c r="G311" i="12"/>
  <c r="G309" i="12"/>
  <c r="G307" i="12"/>
  <c r="G305" i="12"/>
  <c r="G303" i="12"/>
  <c r="G301" i="12"/>
  <c r="G299" i="12"/>
  <c r="G297" i="12"/>
  <c r="G295" i="12"/>
  <c r="G293" i="12"/>
  <c r="G291" i="12"/>
  <c r="G289" i="12"/>
  <c r="G287" i="12"/>
  <c r="G285" i="12"/>
  <c r="G283" i="12"/>
  <c r="G281" i="12"/>
  <c r="G279" i="12"/>
  <c r="G277" i="12"/>
  <c r="G275" i="12"/>
  <c r="G273" i="12"/>
  <c r="G271" i="12"/>
  <c r="G269" i="12"/>
  <c r="G267" i="12"/>
  <c r="G265" i="12"/>
  <c r="G263" i="12"/>
  <c r="G261" i="12"/>
  <c r="G259" i="12"/>
  <c r="G257" i="12"/>
  <c r="G255" i="12"/>
  <c r="G253" i="12"/>
  <c r="G251" i="12"/>
  <c r="G249" i="12"/>
  <c r="G247" i="12"/>
  <c r="G245" i="12"/>
  <c r="G243" i="12"/>
  <c r="G241" i="12"/>
  <c r="G239" i="12"/>
  <c r="G237" i="12"/>
  <c r="G235" i="12"/>
  <c r="G233" i="12"/>
  <c r="G231" i="12"/>
  <c r="G229" i="12"/>
  <c r="G227" i="12"/>
  <c r="G225" i="12"/>
  <c r="G223" i="12"/>
  <c r="G221" i="12"/>
  <c r="G219" i="12"/>
  <c r="G217" i="12"/>
  <c r="G215" i="12"/>
  <c r="G213" i="12"/>
  <c r="G211" i="12"/>
  <c r="G209" i="12"/>
  <c r="G207" i="12"/>
  <c r="G205" i="12"/>
  <c r="G203" i="12"/>
  <c r="G201" i="12"/>
  <c r="G199" i="12"/>
  <c r="G197" i="12"/>
  <c r="G195" i="12"/>
  <c r="G193" i="12"/>
  <c r="G191" i="12"/>
  <c r="G189" i="12"/>
  <c r="G187" i="12"/>
  <c r="G185" i="12"/>
  <c r="G183" i="12"/>
  <c r="G181" i="12"/>
  <c r="G179" i="12"/>
  <c r="G177" i="12"/>
  <c r="G175" i="12"/>
  <c r="G173" i="12"/>
  <c r="G171" i="12"/>
  <c r="G169" i="12"/>
  <c r="G167" i="12"/>
  <c r="G165" i="12"/>
  <c r="G163" i="12"/>
  <c r="G161" i="12"/>
  <c r="G159" i="12"/>
  <c r="G157" i="12"/>
  <c r="G155" i="12"/>
  <c r="G153" i="12"/>
  <c r="G151" i="12"/>
  <c r="G149" i="12"/>
  <c r="G147" i="12"/>
  <c r="G145" i="12"/>
  <c r="G142" i="12"/>
  <c r="G138" i="12"/>
  <c r="G134" i="12"/>
  <c r="G130" i="12"/>
  <c r="G126" i="12"/>
  <c r="J2" i="12"/>
  <c r="K2" i="12" s="1"/>
  <c r="L2" i="12" s="1"/>
  <c r="G2" i="12"/>
  <c r="G4" i="12"/>
  <c r="J4" i="12"/>
  <c r="K4" i="12" s="1"/>
  <c r="L4" i="12" s="1"/>
  <c r="J6" i="12"/>
  <c r="K6" i="12" s="1"/>
  <c r="L6" i="12" s="1"/>
  <c r="G6" i="12"/>
  <c r="J8" i="12"/>
  <c r="K8" i="12" s="1"/>
  <c r="L8" i="12" s="1"/>
  <c r="G8" i="12"/>
  <c r="J10" i="12"/>
  <c r="K10" i="12" s="1"/>
  <c r="L10" i="12" s="1"/>
  <c r="G10" i="12"/>
  <c r="J12" i="12"/>
  <c r="K12" i="12" s="1"/>
  <c r="L12" i="12" s="1"/>
  <c r="G12" i="12"/>
  <c r="J14" i="12"/>
  <c r="K14" i="12" s="1"/>
  <c r="L14" i="12" s="1"/>
  <c r="G14" i="12"/>
  <c r="J16" i="12"/>
  <c r="K16" i="12" s="1"/>
  <c r="L16" i="12" s="1"/>
  <c r="G16" i="12"/>
  <c r="J18" i="12"/>
  <c r="K18" i="12" s="1"/>
  <c r="L18" i="12" s="1"/>
  <c r="G18" i="12"/>
  <c r="J20" i="12"/>
  <c r="K20" i="12" s="1"/>
  <c r="L20" i="12" s="1"/>
  <c r="G20" i="12"/>
  <c r="J22" i="12"/>
  <c r="K22" i="12" s="1"/>
  <c r="L22" i="12" s="1"/>
  <c r="G22" i="12"/>
  <c r="J24" i="12"/>
  <c r="K24" i="12" s="1"/>
  <c r="L24" i="12" s="1"/>
  <c r="G24" i="12"/>
  <c r="J26" i="12"/>
  <c r="K26" i="12" s="1"/>
  <c r="L26" i="12" s="1"/>
  <c r="G26" i="12"/>
  <c r="J28" i="12"/>
  <c r="K28" i="12" s="1"/>
  <c r="L28" i="12" s="1"/>
  <c r="G28" i="12"/>
  <c r="J30" i="12"/>
  <c r="K30" i="12" s="1"/>
  <c r="L30" i="12" s="1"/>
  <c r="G30" i="12"/>
  <c r="J32" i="12"/>
  <c r="K32" i="12" s="1"/>
  <c r="L32" i="12" s="1"/>
  <c r="G32" i="12"/>
  <c r="J34" i="12"/>
  <c r="K34" i="12" s="1"/>
  <c r="L34" i="12" s="1"/>
  <c r="G34" i="12"/>
  <c r="J36" i="12"/>
  <c r="K36" i="12" s="1"/>
  <c r="L36" i="12" s="1"/>
  <c r="G36" i="12"/>
  <c r="J38" i="12"/>
  <c r="K38" i="12" s="1"/>
  <c r="L38" i="12" s="1"/>
  <c r="G38" i="12"/>
  <c r="J40" i="12"/>
  <c r="K40" i="12" s="1"/>
  <c r="L40" i="12" s="1"/>
  <c r="G40" i="12"/>
  <c r="J42" i="12"/>
  <c r="K42" i="12" s="1"/>
  <c r="L42" i="12" s="1"/>
  <c r="G42" i="12"/>
  <c r="J44" i="12"/>
  <c r="K44" i="12" s="1"/>
  <c r="L44" i="12" s="1"/>
  <c r="G44" i="12"/>
  <c r="J46" i="12"/>
  <c r="K46" i="12" s="1"/>
  <c r="L46" i="12" s="1"/>
  <c r="G46" i="12"/>
  <c r="J48" i="12"/>
  <c r="K48" i="12" s="1"/>
  <c r="L48" i="12" s="1"/>
  <c r="G48" i="12"/>
  <c r="G50" i="12"/>
  <c r="J50" i="12"/>
  <c r="K50" i="12" s="1"/>
  <c r="L50" i="12" s="1"/>
  <c r="G52" i="12"/>
  <c r="J52" i="12"/>
  <c r="K52" i="12" s="1"/>
  <c r="L52" i="12" s="1"/>
  <c r="G54" i="12"/>
  <c r="J54" i="12"/>
  <c r="K54" i="12" s="1"/>
  <c r="L54" i="12" s="1"/>
  <c r="G56" i="12"/>
  <c r="J56" i="12"/>
  <c r="K56" i="12" s="1"/>
  <c r="L56" i="12" s="1"/>
  <c r="G58" i="12"/>
  <c r="J58" i="12"/>
  <c r="K58" i="12" s="1"/>
  <c r="L58" i="12" s="1"/>
  <c r="G60" i="12"/>
  <c r="J60" i="12"/>
  <c r="K60" i="12" s="1"/>
  <c r="L60" i="12" s="1"/>
  <c r="G62" i="12"/>
  <c r="J62" i="12"/>
  <c r="K62" i="12" s="1"/>
  <c r="L62" i="12" s="1"/>
  <c r="G64" i="12"/>
  <c r="J64" i="12"/>
  <c r="K64" i="12" s="1"/>
  <c r="L64" i="12" s="1"/>
  <c r="J66" i="12"/>
  <c r="K66" i="12" s="1"/>
  <c r="L66" i="12" s="1"/>
  <c r="G66" i="12"/>
  <c r="J68" i="12"/>
  <c r="K68" i="12" s="1"/>
  <c r="L68" i="12" s="1"/>
  <c r="G68" i="12"/>
  <c r="G70" i="12"/>
  <c r="J70" i="12"/>
  <c r="K70" i="12" s="1"/>
  <c r="L70" i="12" s="1"/>
  <c r="J72" i="12"/>
  <c r="K72" i="12" s="1"/>
  <c r="L72" i="12" s="1"/>
  <c r="G72" i="12"/>
  <c r="J74" i="12"/>
  <c r="K74" i="12" s="1"/>
  <c r="L74" i="12" s="1"/>
  <c r="G74" i="12"/>
  <c r="J76" i="12"/>
  <c r="K76" i="12" s="1"/>
  <c r="L76" i="12" s="1"/>
  <c r="G76" i="12"/>
  <c r="J78" i="12"/>
  <c r="K78" i="12" s="1"/>
  <c r="L78" i="12" s="1"/>
  <c r="G78" i="12"/>
  <c r="G80" i="12"/>
  <c r="J80" i="12"/>
  <c r="K80" i="12" s="1"/>
  <c r="L80" i="12" s="1"/>
  <c r="J82" i="12"/>
  <c r="K82" i="12" s="1"/>
  <c r="L82" i="12" s="1"/>
  <c r="G82" i="12"/>
  <c r="J84" i="12"/>
  <c r="K84" i="12" s="1"/>
  <c r="L84" i="12" s="1"/>
  <c r="G84" i="12"/>
  <c r="J86" i="12"/>
  <c r="K86" i="12" s="1"/>
  <c r="L86" i="12" s="1"/>
  <c r="G86" i="12"/>
  <c r="J88" i="12"/>
  <c r="K88" i="12" s="1"/>
  <c r="L88" i="12" s="1"/>
  <c r="G88" i="12"/>
  <c r="J90" i="12"/>
  <c r="K90" i="12" s="1"/>
  <c r="L90" i="12" s="1"/>
  <c r="G90" i="12"/>
  <c r="J92" i="12"/>
  <c r="K92" i="12" s="1"/>
  <c r="L92" i="12" s="1"/>
  <c r="G92" i="12"/>
  <c r="J94" i="12"/>
  <c r="K94" i="12" s="1"/>
  <c r="L94" i="12" s="1"/>
  <c r="G94" i="12"/>
  <c r="G96" i="12"/>
  <c r="J96" i="12"/>
  <c r="K96" i="12" s="1"/>
  <c r="L96" i="12" s="1"/>
  <c r="J98" i="12"/>
  <c r="K98" i="12" s="1"/>
  <c r="L98" i="12" s="1"/>
  <c r="G98" i="12"/>
  <c r="G100" i="12"/>
  <c r="J100" i="12"/>
  <c r="K100" i="12" s="1"/>
  <c r="L100" i="12" s="1"/>
  <c r="G102" i="12"/>
  <c r="J102" i="12"/>
  <c r="K102" i="12" s="1"/>
  <c r="L102" i="12" s="1"/>
  <c r="J104" i="12"/>
  <c r="K104" i="12" s="1"/>
  <c r="L104" i="12" s="1"/>
  <c r="G104" i="12"/>
  <c r="G106" i="12"/>
  <c r="J106" i="12"/>
  <c r="K106" i="12" s="1"/>
  <c r="L106" i="12" s="1"/>
  <c r="G108" i="12"/>
  <c r="J108" i="12"/>
  <c r="K108" i="12" s="1"/>
  <c r="L108" i="12" s="1"/>
  <c r="G110" i="12"/>
  <c r="J110" i="12"/>
  <c r="K110" i="12" s="1"/>
  <c r="L110" i="12" s="1"/>
  <c r="G112" i="12"/>
  <c r="J112" i="12"/>
  <c r="K112" i="12" s="1"/>
  <c r="L112" i="12" s="1"/>
  <c r="G114" i="12"/>
  <c r="J114" i="12"/>
  <c r="K114" i="12" s="1"/>
  <c r="L114" i="12" s="1"/>
  <c r="G116" i="12"/>
  <c r="J116" i="12"/>
  <c r="K116" i="12" s="1"/>
  <c r="L116" i="12" s="1"/>
  <c r="J118" i="12"/>
  <c r="K118" i="12" s="1"/>
  <c r="L118" i="12" s="1"/>
  <c r="G118" i="12"/>
  <c r="G120" i="12"/>
  <c r="J120" i="12"/>
  <c r="K120" i="12" s="1"/>
  <c r="L120" i="12" s="1"/>
  <c r="G122" i="12"/>
  <c r="J122" i="12"/>
  <c r="K122" i="12" s="1"/>
  <c r="L122" i="12" s="1"/>
  <c r="G358" i="12"/>
  <c r="G356" i="12"/>
  <c r="G354" i="12"/>
  <c r="G352" i="12"/>
  <c r="G350" i="12"/>
  <c r="G348" i="12"/>
  <c r="G346" i="12"/>
  <c r="G344" i="12"/>
  <c r="G342" i="12"/>
  <c r="G340" i="12"/>
  <c r="G338" i="12"/>
  <c r="G336" i="12"/>
  <c r="G334" i="12"/>
  <c r="G332" i="12"/>
  <c r="G330" i="12"/>
  <c r="G328" i="12"/>
  <c r="G326" i="12"/>
  <c r="G324" i="12"/>
  <c r="G322" i="12"/>
  <c r="G320" i="12"/>
  <c r="G318" i="12"/>
  <c r="G316" i="12"/>
  <c r="G314" i="12"/>
  <c r="G312" i="12"/>
  <c r="G310" i="12"/>
  <c r="G308" i="12"/>
  <c r="G306" i="12"/>
  <c r="G304" i="12"/>
  <c r="G302" i="12"/>
  <c r="G300" i="12"/>
  <c r="G298" i="12"/>
  <c r="G296" i="12"/>
  <c r="G294" i="12"/>
  <c r="G292" i="12"/>
  <c r="G290" i="12"/>
  <c r="G288" i="12"/>
  <c r="G286" i="12"/>
  <c r="G284" i="12"/>
  <c r="G282" i="12"/>
  <c r="G280" i="12"/>
  <c r="G278" i="12"/>
  <c r="G276" i="12"/>
  <c r="G274" i="12"/>
  <c r="G272" i="12"/>
  <c r="G270" i="12"/>
  <c r="G268" i="12"/>
  <c r="G266" i="12"/>
  <c r="G264" i="12"/>
  <c r="G262" i="12"/>
  <c r="G260" i="12"/>
  <c r="G258" i="12"/>
  <c r="G256" i="12"/>
  <c r="G254" i="12"/>
  <c r="G252" i="12"/>
  <c r="G250" i="12"/>
  <c r="G248" i="12"/>
  <c r="G246" i="12"/>
  <c r="G244" i="12"/>
  <c r="G242" i="12"/>
  <c r="G240" i="12"/>
  <c r="G238" i="12"/>
  <c r="G236" i="12"/>
  <c r="G234" i="12"/>
  <c r="G232" i="12"/>
  <c r="G230" i="12"/>
  <c r="G228" i="12"/>
  <c r="G226" i="12"/>
  <c r="G224" i="12"/>
  <c r="G222" i="12"/>
  <c r="G220" i="12"/>
  <c r="G218" i="12"/>
  <c r="G216" i="12"/>
  <c r="G214" i="12"/>
  <c r="G212" i="12"/>
  <c r="G210" i="12"/>
  <c r="G208" i="12"/>
  <c r="G206" i="12"/>
  <c r="G204" i="12"/>
  <c r="G202" i="12"/>
  <c r="G200" i="12"/>
  <c r="G198" i="12"/>
  <c r="G196" i="12"/>
  <c r="G194" i="12"/>
  <c r="G192" i="12"/>
  <c r="G190" i="12"/>
  <c r="G188" i="12"/>
  <c r="G186" i="12"/>
  <c r="G184" i="12"/>
  <c r="G182" i="12"/>
  <c r="G180" i="12"/>
  <c r="G178" i="12"/>
  <c r="G176" i="12"/>
  <c r="G174" i="12"/>
  <c r="G172" i="12"/>
  <c r="G170" i="12"/>
  <c r="G168" i="12"/>
  <c r="G166" i="12"/>
  <c r="G164" i="12"/>
  <c r="G162" i="12"/>
  <c r="G160" i="12"/>
  <c r="G158" i="12"/>
  <c r="G156" i="12"/>
  <c r="G154" i="12"/>
  <c r="G152" i="12"/>
  <c r="G150" i="12"/>
  <c r="G148" i="12"/>
  <c r="G146" i="12"/>
  <c r="G144" i="12"/>
  <c r="G140" i="12"/>
  <c r="G136" i="12"/>
  <c r="G132" i="12"/>
  <c r="G128" i="12"/>
  <c r="G124" i="12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C547" i="7"/>
  <c r="B547" i="7"/>
  <c r="A547" i="7"/>
  <c r="C546" i="7"/>
  <c r="B546" i="7"/>
  <c r="A546" i="7"/>
  <c r="C545" i="7"/>
  <c r="B545" i="7"/>
  <c r="A545" i="7"/>
  <c r="D545" i="7" s="1"/>
  <c r="C544" i="7"/>
  <c r="B544" i="7"/>
  <c r="A544" i="7"/>
  <c r="C543" i="7"/>
  <c r="B543" i="7"/>
  <c r="A543" i="7"/>
  <c r="C542" i="7"/>
  <c r="B542" i="7"/>
  <c r="A542" i="7"/>
  <c r="C541" i="7"/>
  <c r="B541" i="7"/>
  <c r="A541" i="7"/>
  <c r="C540" i="7"/>
  <c r="B540" i="7"/>
  <c r="A540" i="7"/>
  <c r="C539" i="7"/>
  <c r="B539" i="7"/>
  <c r="A539" i="7"/>
  <c r="C538" i="7"/>
  <c r="B538" i="7"/>
  <c r="A538" i="7"/>
  <c r="C537" i="7"/>
  <c r="B537" i="7"/>
  <c r="A537" i="7"/>
  <c r="C536" i="7"/>
  <c r="B536" i="7"/>
  <c r="A536" i="7"/>
  <c r="C535" i="7"/>
  <c r="B535" i="7"/>
  <c r="A535" i="7"/>
  <c r="C534" i="7"/>
  <c r="B534" i="7"/>
  <c r="A534" i="7"/>
  <c r="C533" i="7"/>
  <c r="B533" i="7"/>
  <c r="A533" i="7"/>
  <c r="C532" i="7"/>
  <c r="B532" i="7"/>
  <c r="A532" i="7"/>
  <c r="C531" i="7"/>
  <c r="B531" i="7"/>
  <c r="A531" i="7"/>
  <c r="C530" i="7"/>
  <c r="B530" i="7"/>
  <c r="A530" i="7"/>
  <c r="C529" i="7"/>
  <c r="B529" i="7"/>
  <c r="A529" i="7"/>
  <c r="C528" i="7"/>
  <c r="B528" i="7"/>
  <c r="A528" i="7"/>
  <c r="C527" i="7"/>
  <c r="B527" i="7"/>
  <c r="A527" i="7"/>
  <c r="C526" i="7"/>
  <c r="B526" i="7"/>
  <c r="A526" i="7"/>
  <c r="C525" i="7"/>
  <c r="B525" i="7"/>
  <c r="A525" i="7"/>
  <c r="C524" i="7"/>
  <c r="B524" i="7"/>
  <c r="A524" i="7"/>
  <c r="C523" i="7"/>
  <c r="B523" i="7"/>
  <c r="A523" i="7"/>
  <c r="C522" i="7"/>
  <c r="B522" i="7"/>
  <c r="A522" i="7"/>
  <c r="C521" i="7"/>
  <c r="B521" i="7"/>
  <c r="A521" i="7"/>
  <c r="C520" i="7"/>
  <c r="B520" i="7"/>
  <c r="A520" i="7"/>
  <c r="C519" i="7"/>
  <c r="B519" i="7"/>
  <c r="A519" i="7"/>
  <c r="C518" i="7"/>
  <c r="B518" i="7"/>
  <c r="A518" i="7"/>
  <c r="C517" i="7"/>
  <c r="B517" i="7"/>
  <c r="A517" i="7"/>
  <c r="C516" i="7"/>
  <c r="B516" i="7"/>
  <c r="A516" i="7"/>
  <c r="C515" i="7"/>
  <c r="B515" i="7"/>
  <c r="A515" i="7"/>
  <c r="C514" i="7"/>
  <c r="B514" i="7"/>
  <c r="A514" i="7"/>
  <c r="C513" i="7"/>
  <c r="B513" i="7"/>
  <c r="A513" i="7"/>
  <c r="C512" i="7"/>
  <c r="B512" i="7"/>
  <c r="A512" i="7"/>
  <c r="D512" i="7" s="1"/>
  <c r="C511" i="7"/>
  <c r="B511" i="7"/>
  <c r="A511" i="7"/>
  <c r="D511" i="7" s="1"/>
  <c r="C510" i="7"/>
  <c r="B510" i="7"/>
  <c r="A510" i="7"/>
  <c r="D510" i="7" s="1"/>
  <c r="C509" i="7"/>
  <c r="B509" i="7"/>
  <c r="A509" i="7"/>
  <c r="D509" i="7" s="1"/>
  <c r="C508" i="7"/>
  <c r="B508" i="7"/>
  <c r="A508" i="7"/>
  <c r="D508" i="7" s="1"/>
  <c r="C507" i="7"/>
  <c r="B507" i="7"/>
  <c r="A507" i="7"/>
  <c r="D507" i="7" s="1"/>
  <c r="C506" i="7"/>
  <c r="B506" i="7"/>
  <c r="A506" i="7"/>
  <c r="D506" i="7" s="1"/>
  <c r="C505" i="7"/>
  <c r="B505" i="7"/>
  <c r="A505" i="7"/>
  <c r="D505" i="7" s="1"/>
  <c r="C504" i="7"/>
  <c r="B504" i="7"/>
  <c r="A504" i="7"/>
  <c r="D504" i="7" s="1"/>
  <c r="C503" i="7"/>
  <c r="B503" i="7"/>
  <c r="A503" i="7"/>
  <c r="D503" i="7" s="1"/>
  <c r="C502" i="7"/>
  <c r="B502" i="7"/>
  <c r="A502" i="7"/>
  <c r="D502" i="7" s="1"/>
  <c r="C501" i="7"/>
  <c r="B501" i="7"/>
  <c r="A501" i="7"/>
  <c r="D501" i="7" s="1"/>
  <c r="C500" i="7"/>
  <c r="B500" i="7"/>
  <c r="A500" i="7"/>
  <c r="D500" i="7" s="1"/>
  <c r="C499" i="7"/>
  <c r="B499" i="7"/>
  <c r="A499" i="7"/>
  <c r="D499" i="7" s="1"/>
  <c r="C498" i="7"/>
  <c r="B498" i="7"/>
  <c r="A498" i="7"/>
  <c r="D498" i="7" s="1"/>
  <c r="C497" i="7"/>
  <c r="B497" i="7"/>
  <c r="A497" i="7"/>
  <c r="D497" i="7" s="1"/>
  <c r="C496" i="7"/>
  <c r="B496" i="7"/>
  <c r="A496" i="7"/>
  <c r="D496" i="7" s="1"/>
  <c r="C495" i="7"/>
  <c r="B495" i="7"/>
  <c r="A495" i="7"/>
  <c r="D495" i="7" s="1"/>
  <c r="C494" i="7"/>
  <c r="B494" i="7"/>
  <c r="A494" i="7"/>
  <c r="D494" i="7" s="1"/>
  <c r="C493" i="7"/>
  <c r="B493" i="7"/>
  <c r="A493" i="7"/>
  <c r="D493" i="7" s="1"/>
  <c r="C492" i="7"/>
  <c r="B492" i="7"/>
  <c r="A492" i="7"/>
  <c r="D492" i="7" s="1"/>
  <c r="C491" i="7"/>
  <c r="B491" i="7"/>
  <c r="A491" i="7"/>
  <c r="D491" i="7" s="1"/>
  <c r="C490" i="7"/>
  <c r="B490" i="7"/>
  <c r="A490" i="7"/>
  <c r="D490" i="7" s="1"/>
  <c r="C489" i="7"/>
  <c r="B489" i="7"/>
  <c r="A489" i="7"/>
  <c r="D489" i="7" s="1"/>
  <c r="C488" i="7"/>
  <c r="B488" i="7"/>
  <c r="A488" i="7"/>
  <c r="D488" i="7" s="1"/>
  <c r="C487" i="7"/>
  <c r="B487" i="7"/>
  <c r="A487" i="7"/>
  <c r="D487" i="7" s="1"/>
  <c r="C486" i="7"/>
  <c r="B486" i="7"/>
  <c r="A486" i="7"/>
  <c r="D486" i="7" s="1"/>
  <c r="C485" i="7"/>
  <c r="B485" i="7"/>
  <c r="A485" i="7"/>
  <c r="D485" i="7" s="1"/>
  <c r="C484" i="7"/>
  <c r="B484" i="7"/>
  <c r="A484" i="7"/>
  <c r="D484" i="7" s="1"/>
  <c r="C483" i="7"/>
  <c r="B483" i="7"/>
  <c r="A483" i="7"/>
  <c r="D483" i="7" s="1"/>
  <c r="C482" i="7"/>
  <c r="B482" i="7"/>
  <c r="A482" i="7"/>
  <c r="D482" i="7" s="1"/>
  <c r="C481" i="7"/>
  <c r="B481" i="7"/>
  <c r="A481" i="7"/>
  <c r="D481" i="7" s="1"/>
  <c r="C480" i="7"/>
  <c r="B480" i="7"/>
  <c r="A480" i="7"/>
  <c r="D480" i="7" s="1"/>
  <c r="C479" i="7"/>
  <c r="B479" i="7"/>
  <c r="A479" i="7"/>
  <c r="D479" i="7" s="1"/>
  <c r="C478" i="7"/>
  <c r="B478" i="7"/>
  <c r="A478" i="7"/>
  <c r="D478" i="7" s="1"/>
  <c r="C477" i="7"/>
  <c r="B477" i="7"/>
  <c r="A477" i="7"/>
  <c r="D477" i="7" s="1"/>
  <c r="C476" i="7"/>
  <c r="B476" i="7"/>
  <c r="A476" i="7"/>
  <c r="D476" i="7" s="1"/>
  <c r="C475" i="7"/>
  <c r="B475" i="7"/>
  <c r="A475" i="7"/>
  <c r="D475" i="7" s="1"/>
  <c r="C474" i="7"/>
  <c r="B474" i="7"/>
  <c r="A474" i="7"/>
  <c r="D474" i="7" s="1"/>
  <c r="C473" i="7"/>
  <c r="B473" i="7"/>
  <c r="A473" i="7"/>
  <c r="D473" i="7" s="1"/>
  <c r="C472" i="7"/>
  <c r="B472" i="7"/>
  <c r="A472" i="7"/>
  <c r="D472" i="7" s="1"/>
  <c r="C471" i="7"/>
  <c r="B471" i="7"/>
  <c r="A471" i="7"/>
  <c r="D471" i="7" s="1"/>
  <c r="C470" i="7"/>
  <c r="B470" i="7"/>
  <c r="A470" i="7"/>
  <c r="D470" i="7" s="1"/>
  <c r="C469" i="7"/>
  <c r="B469" i="7"/>
  <c r="A469" i="7"/>
  <c r="D469" i="7" s="1"/>
  <c r="C468" i="7"/>
  <c r="B468" i="7"/>
  <c r="A468" i="7"/>
  <c r="D468" i="7" s="1"/>
  <c r="C467" i="7"/>
  <c r="B467" i="7"/>
  <c r="A467" i="7"/>
  <c r="D467" i="7" s="1"/>
  <c r="C466" i="7"/>
  <c r="B466" i="7"/>
  <c r="A466" i="7"/>
  <c r="D466" i="7" s="1"/>
  <c r="C465" i="7"/>
  <c r="B465" i="7"/>
  <c r="A465" i="7"/>
  <c r="D465" i="7" s="1"/>
  <c r="C464" i="7"/>
  <c r="B464" i="7"/>
  <c r="A464" i="7"/>
  <c r="D464" i="7" s="1"/>
  <c r="C463" i="7"/>
  <c r="B463" i="7"/>
  <c r="A463" i="7"/>
  <c r="D463" i="7" s="1"/>
  <c r="C462" i="7"/>
  <c r="B462" i="7"/>
  <c r="A462" i="7"/>
  <c r="D462" i="7" s="1"/>
  <c r="C461" i="7"/>
  <c r="B461" i="7"/>
  <c r="A461" i="7"/>
  <c r="D461" i="7" s="1"/>
  <c r="C460" i="7"/>
  <c r="B460" i="7"/>
  <c r="A460" i="7"/>
  <c r="D460" i="7" s="1"/>
  <c r="C459" i="7"/>
  <c r="B459" i="7"/>
  <c r="A459" i="7"/>
  <c r="D459" i="7" s="1"/>
  <c r="C458" i="7"/>
  <c r="B458" i="7"/>
  <c r="A458" i="7"/>
  <c r="D458" i="7" s="1"/>
  <c r="C457" i="7"/>
  <c r="B457" i="7"/>
  <c r="A457" i="7"/>
  <c r="D457" i="7" s="1"/>
  <c r="C456" i="7"/>
  <c r="B456" i="7"/>
  <c r="A456" i="7"/>
  <c r="D456" i="7" s="1"/>
  <c r="C455" i="7"/>
  <c r="B455" i="7"/>
  <c r="A455" i="7"/>
  <c r="D455" i="7" s="1"/>
  <c r="C454" i="7"/>
  <c r="B454" i="7"/>
  <c r="A454" i="7"/>
  <c r="D454" i="7" s="1"/>
  <c r="C453" i="7"/>
  <c r="B453" i="7"/>
  <c r="A453" i="7"/>
  <c r="D453" i="7" s="1"/>
  <c r="C452" i="7"/>
  <c r="B452" i="7"/>
  <c r="A452" i="7"/>
  <c r="D452" i="7" s="1"/>
  <c r="C451" i="7"/>
  <c r="B451" i="7"/>
  <c r="A451" i="7"/>
  <c r="D451" i="7" s="1"/>
  <c r="C450" i="7"/>
  <c r="B450" i="7"/>
  <c r="A450" i="7"/>
  <c r="D450" i="7" s="1"/>
  <c r="C449" i="7"/>
  <c r="B449" i="7"/>
  <c r="A449" i="7"/>
  <c r="D449" i="7" s="1"/>
  <c r="C448" i="7"/>
  <c r="B448" i="7"/>
  <c r="A448" i="7"/>
  <c r="D448" i="7" s="1"/>
  <c r="C447" i="7"/>
  <c r="B447" i="7"/>
  <c r="A447" i="7"/>
  <c r="D447" i="7" s="1"/>
  <c r="C446" i="7"/>
  <c r="B446" i="7"/>
  <c r="A446" i="7"/>
  <c r="D446" i="7" s="1"/>
  <c r="C445" i="7"/>
  <c r="B445" i="7"/>
  <c r="A445" i="7"/>
  <c r="D445" i="7" s="1"/>
  <c r="C444" i="7"/>
  <c r="B444" i="7"/>
  <c r="A444" i="7"/>
  <c r="D444" i="7" s="1"/>
  <c r="C443" i="7"/>
  <c r="B443" i="7"/>
  <c r="A443" i="7"/>
  <c r="D443" i="7" s="1"/>
  <c r="C442" i="7"/>
  <c r="B442" i="7"/>
  <c r="A442" i="7"/>
  <c r="D442" i="7" s="1"/>
  <c r="C441" i="7"/>
  <c r="B441" i="7"/>
  <c r="A441" i="7"/>
  <c r="D441" i="7" s="1"/>
  <c r="C440" i="7"/>
  <c r="B440" i="7"/>
  <c r="A440" i="7"/>
  <c r="D440" i="7" s="1"/>
  <c r="C439" i="7"/>
  <c r="B439" i="7"/>
  <c r="A439" i="7"/>
  <c r="D439" i="7" s="1"/>
  <c r="C438" i="7"/>
  <c r="B438" i="7"/>
  <c r="A438" i="7"/>
  <c r="D438" i="7" s="1"/>
  <c r="C437" i="7"/>
  <c r="B437" i="7"/>
  <c r="A437" i="7"/>
  <c r="D437" i="7" s="1"/>
  <c r="C436" i="7"/>
  <c r="B436" i="7"/>
  <c r="A436" i="7"/>
  <c r="D436" i="7" s="1"/>
  <c r="C435" i="7"/>
  <c r="B435" i="7"/>
  <c r="A435" i="7"/>
  <c r="D435" i="7" s="1"/>
  <c r="C434" i="7"/>
  <c r="B434" i="7"/>
  <c r="A434" i="7"/>
  <c r="D434" i="7" s="1"/>
  <c r="C433" i="7"/>
  <c r="B433" i="7"/>
  <c r="A433" i="7"/>
  <c r="D433" i="7" s="1"/>
  <c r="C432" i="7"/>
  <c r="B432" i="7"/>
  <c r="A432" i="7"/>
  <c r="D432" i="7" s="1"/>
  <c r="C431" i="7"/>
  <c r="B431" i="7"/>
  <c r="A431" i="7"/>
  <c r="D431" i="7" s="1"/>
  <c r="C430" i="7"/>
  <c r="B430" i="7"/>
  <c r="A430" i="7"/>
  <c r="D430" i="7" s="1"/>
  <c r="C429" i="7"/>
  <c r="B429" i="7"/>
  <c r="A429" i="7"/>
  <c r="D429" i="7" s="1"/>
  <c r="C428" i="7"/>
  <c r="B428" i="7"/>
  <c r="A428" i="7"/>
  <c r="D428" i="7" s="1"/>
  <c r="C427" i="7"/>
  <c r="B427" i="7"/>
  <c r="A427" i="7"/>
  <c r="D427" i="7" s="1"/>
  <c r="C426" i="7"/>
  <c r="B426" i="7"/>
  <c r="A426" i="7"/>
  <c r="D426" i="7" s="1"/>
  <c r="C425" i="7"/>
  <c r="B425" i="7"/>
  <c r="A425" i="7"/>
  <c r="D425" i="7" s="1"/>
  <c r="C424" i="7"/>
  <c r="B424" i="7"/>
  <c r="A424" i="7"/>
  <c r="D424" i="7" s="1"/>
  <c r="C423" i="7"/>
  <c r="B423" i="7"/>
  <c r="A423" i="7"/>
  <c r="D423" i="7" s="1"/>
  <c r="C422" i="7"/>
  <c r="B422" i="7"/>
  <c r="A422" i="7"/>
  <c r="D422" i="7" s="1"/>
  <c r="C421" i="7"/>
  <c r="B421" i="7"/>
  <c r="A421" i="7"/>
  <c r="D421" i="7" s="1"/>
  <c r="C420" i="7"/>
  <c r="B420" i="7"/>
  <c r="A420" i="7"/>
  <c r="D420" i="7" s="1"/>
  <c r="C419" i="7"/>
  <c r="B419" i="7"/>
  <c r="A419" i="7"/>
  <c r="D419" i="7" s="1"/>
  <c r="C418" i="7"/>
  <c r="B418" i="7"/>
  <c r="A418" i="7"/>
  <c r="D418" i="7" s="1"/>
  <c r="C417" i="7"/>
  <c r="B417" i="7"/>
  <c r="A417" i="7"/>
  <c r="D417" i="7" s="1"/>
  <c r="C416" i="7"/>
  <c r="B416" i="7"/>
  <c r="A416" i="7"/>
  <c r="D416" i="7" s="1"/>
  <c r="C415" i="7"/>
  <c r="B415" i="7"/>
  <c r="A415" i="7"/>
  <c r="D415" i="7" s="1"/>
  <c r="C414" i="7"/>
  <c r="B414" i="7"/>
  <c r="A414" i="7"/>
  <c r="D414" i="7" s="1"/>
  <c r="C413" i="7"/>
  <c r="B413" i="7"/>
  <c r="A413" i="7"/>
  <c r="D413" i="7" s="1"/>
  <c r="C412" i="7"/>
  <c r="B412" i="7"/>
  <c r="A412" i="7"/>
  <c r="D412" i="7" s="1"/>
  <c r="C411" i="7"/>
  <c r="B411" i="7"/>
  <c r="A411" i="7"/>
  <c r="D411" i="7" s="1"/>
  <c r="C410" i="7"/>
  <c r="B410" i="7"/>
  <c r="A410" i="7"/>
  <c r="D410" i="7" s="1"/>
  <c r="C409" i="7"/>
  <c r="B409" i="7"/>
  <c r="A409" i="7"/>
  <c r="D409" i="7" s="1"/>
  <c r="C408" i="7"/>
  <c r="B408" i="7"/>
  <c r="A408" i="7"/>
  <c r="D408" i="7" s="1"/>
  <c r="C407" i="7"/>
  <c r="B407" i="7"/>
  <c r="A407" i="7"/>
  <c r="D407" i="7" s="1"/>
  <c r="C406" i="7"/>
  <c r="B406" i="7"/>
  <c r="A406" i="7"/>
  <c r="D406" i="7" s="1"/>
  <c r="C405" i="7"/>
  <c r="B405" i="7"/>
  <c r="A405" i="7"/>
  <c r="D405" i="7" s="1"/>
  <c r="C404" i="7"/>
  <c r="B404" i="7"/>
  <c r="A404" i="7"/>
  <c r="D404" i="7" s="1"/>
  <c r="C403" i="7"/>
  <c r="B403" i="7"/>
  <c r="A403" i="7"/>
  <c r="D403" i="7" s="1"/>
  <c r="C402" i="7"/>
  <c r="B402" i="7"/>
  <c r="A402" i="7"/>
  <c r="D402" i="7" s="1"/>
  <c r="C401" i="7"/>
  <c r="B401" i="7"/>
  <c r="A401" i="7"/>
  <c r="D401" i="7" s="1"/>
  <c r="C400" i="7"/>
  <c r="B400" i="7"/>
  <c r="A400" i="7"/>
  <c r="D400" i="7" s="1"/>
  <c r="C399" i="7"/>
  <c r="B399" i="7"/>
  <c r="A399" i="7"/>
  <c r="D399" i="7" s="1"/>
  <c r="C398" i="7"/>
  <c r="B398" i="7"/>
  <c r="A398" i="7"/>
  <c r="D398" i="7" s="1"/>
  <c r="C397" i="7"/>
  <c r="B397" i="7"/>
  <c r="A397" i="7"/>
  <c r="D397" i="7" s="1"/>
  <c r="C396" i="7"/>
  <c r="B396" i="7"/>
  <c r="A396" i="7"/>
  <c r="D396" i="7" s="1"/>
  <c r="C395" i="7"/>
  <c r="B395" i="7"/>
  <c r="A395" i="7"/>
  <c r="D395" i="7" s="1"/>
  <c r="C394" i="7"/>
  <c r="B394" i="7"/>
  <c r="A394" i="7"/>
  <c r="D394" i="7" s="1"/>
  <c r="C393" i="7"/>
  <c r="B393" i="7"/>
  <c r="A393" i="7"/>
  <c r="D393" i="7" s="1"/>
  <c r="C392" i="7"/>
  <c r="B392" i="7"/>
  <c r="A392" i="7"/>
  <c r="D392" i="7" s="1"/>
  <c r="C391" i="7"/>
  <c r="B391" i="7"/>
  <c r="A391" i="7"/>
  <c r="D391" i="7" s="1"/>
  <c r="C390" i="7"/>
  <c r="B390" i="7"/>
  <c r="A390" i="7"/>
  <c r="D390" i="7" s="1"/>
  <c r="C389" i="7"/>
  <c r="B389" i="7"/>
  <c r="A389" i="7"/>
  <c r="D389" i="7" s="1"/>
  <c r="C388" i="7"/>
  <c r="B388" i="7"/>
  <c r="A388" i="7"/>
  <c r="D388" i="7" s="1"/>
  <c r="C387" i="7"/>
  <c r="B387" i="7"/>
  <c r="A387" i="7"/>
  <c r="D387" i="7" s="1"/>
  <c r="C386" i="7"/>
  <c r="B386" i="7"/>
  <c r="A386" i="7"/>
  <c r="D386" i="7" s="1"/>
  <c r="C385" i="7"/>
  <c r="B385" i="7"/>
  <c r="A385" i="7"/>
  <c r="D385" i="7" s="1"/>
  <c r="C384" i="7"/>
  <c r="B384" i="7"/>
  <c r="A384" i="7"/>
  <c r="D384" i="7" s="1"/>
  <c r="C383" i="7"/>
  <c r="B383" i="7"/>
  <c r="A383" i="7"/>
  <c r="D383" i="7" s="1"/>
  <c r="C382" i="7"/>
  <c r="B382" i="7"/>
  <c r="A382" i="7"/>
  <c r="D382" i="7" s="1"/>
  <c r="C381" i="7"/>
  <c r="B381" i="7"/>
  <c r="A381" i="7"/>
  <c r="D381" i="7" s="1"/>
  <c r="C380" i="7"/>
  <c r="B380" i="7"/>
  <c r="A380" i="7"/>
  <c r="D380" i="7" s="1"/>
  <c r="C379" i="7"/>
  <c r="B379" i="7"/>
  <c r="A379" i="7"/>
  <c r="D379" i="7" s="1"/>
  <c r="C378" i="7"/>
  <c r="B378" i="7"/>
  <c r="A378" i="7"/>
  <c r="D378" i="7" s="1"/>
  <c r="C377" i="7"/>
  <c r="B377" i="7"/>
  <c r="A377" i="7"/>
  <c r="D377" i="7" s="1"/>
  <c r="C376" i="7"/>
  <c r="B376" i="7"/>
  <c r="A376" i="7"/>
  <c r="D376" i="7" s="1"/>
  <c r="C375" i="7"/>
  <c r="B375" i="7"/>
  <c r="A375" i="7"/>
  <c r="D375" i="7" s="1"/>
  <c r="C374" i="7"/>
  <c r="B374" i="7"/>
  <c r="A374" i="7"/>
  <c r="D374" i="7" s="1"/>
  <c r="C373" i="7"/>
  <c r="B373" i="7"/>
  <c r="A373" i="7"/>
  <c r="D373" i="7" s="1"/>
  <c r="C372" i="7"/>
  <c r="B372" i="7"/>
  <c r="A372" i="7"/>
  <c r="D372" i="7" s="1"/>
  <c r="C371" i="7"/>
  <c r="B371" i="7"/>
  <c r="A371" i="7"/>
  <c r="D371" i="7" s="1"/>
  <c r="C370" i="7"/>
  <c r="B370" i="7"/>
  <c r="A370" i="7"/>
  <c r="D370" i="7" s="1"/>
  <c r="C369" i="7"/>
  <c r="B369" i="7"/>
  <c r="A369" i="7"/>
  <c r="D369" i="7" s="1"/>
  <c r="C368" i="7"/>
  <c r="B368" i="7"/>
  <c r="A368" i="7"/>
  <c r="D368" i="7" s="1"/>
  <c r="C367" i="7"/>
  <c r="B367" i="7"/>
  <c r="A367" i="7"/>
  <c r="D367" i="7" s="1"/>
  <c r="C366" i="7"/>
  <c r="B366" i="7"/>
  <c r="A366" i="7"/>
  <c r="D366" i="7" s="1"/>
  <c r="C365" i="7"/>
  <c r="B365" i="7"/>
  <c r="A365" i="7"/>
  <c r="D365" i="7" s="1"/>
  <c r="C364" i="7"/>
  <c r="B364" i="7"/>
  <c r="A364" i="7"/>
  <c r="D364" i="7" s="1"/>
  <c r="C363" i="7"/>
  <c r="B363" i="7"/>
  <c r="A363" i="7"/>
  <c r="D363" i="7" s="1"/>
  <c r="C362" i="7"/>
  <c r="B362" i="7"/>
  <c r="A362" i="7"/>
  <c r="D362" i="7" s="1"/>
  <c r="C361" i="7"/>
  <c r="B361" i="7"/>
  <c r="A361" i="7"/>
  <c r="D361" i="7" s="1"/>
  <c r="C360" i="7"/>
  <c r="B360" i="7"/>
  <c r="A360" i="7"/>
  <c r="D360" i="7" s="1"/>
  <c r="D515" i="7" l="1"/>
  <c r="D519" i="7"/>
  <c r="D523" i="7"/>
  <c r="D527" i="7"/>
  <c r="D531" i="7"/>
  <c r="D535" i="7"/>
  <c r="D547" i="7"/>
  <c r="D524" i="7"/>
  <c r="D513" i="7"/>
  <c r="D525" i="7"/>
  <c r="D537" i="7"/>
  <c r="D520" i="7"/>
  <c r="D532" i="7"/>
  <c r="D521" i="7"/>
  <c r="D536" i="7"/>
  <c r="D539" i="7"/>
  <c r="D540" i="7"/>
  <c r="D514" i="7"/>
  <c r="D526" i="7"/>
  <c r="D538" i="7"/>
  <c r="D516" i="7"/>
  <c r="D528" i="7"/>
  <c r="D517" i="7"/>
  <c r="D529" i="7"/>
  <c r="D541" i="7"/>
  <c r="D518" i="7"/>
  <c r="D530" i="7"/>
  <c r="D542" i="7"/>
  <c r="D543" i="7"/>
  <c r="D544" i="7"/>
  <c r="D533" i="7"/>
  <c r="D522" i="7"/>
  <c r="D534" i="7"/>
  <c r="D546" i="7"/>
  <c r="F26" i="6"/>
  <c r="F3" i="6" l="1"/>
  <c r="B4" i="6" s="1"/>
  <c r="F4" i="6"/>
  <c r="B5" i="6" s="1"/>
  <c r="F5" i="6"/>
  <c r="F6" i="6"/>
  <c r="B6" i="6" s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C359" i="7" l="1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  <c r="C20" i="6" l="1"/>
  <c r="C19" i="6"/>
  <c r="C18" i="6"/>
  <c r="C17" i="6"/>
  <c r="C16" i="6"/>
  <c r="C15" i="6"/>
  <c r="C14" i="6"/>
  <c r="C13" i="6"/>
  <c r="C12" i="6"/>
  <c r="C11" i="6"/>
  <c r="C10" i="6"/>
  <c r="C9" i="6"/>
  <c r="B10" i="6"/>
  <c r="B11" i="6"/>
  <c r="B12" i="6"/>
  <c r="B13" i="6"/>
  <c r="B14" i="6"/>
  <c r="B15" i="6"/>
  <c r="B16" i="6"/>
  <c r="B17" i="6"/>
  <c r="B18" i="6"/>
  <c r="B19" i="6"/>
  <c r="B20" i="6"/>
  <c r="B9" i="6"/>
  <c r="B21" i="6" l="1"/>
  <c r="B25" i="6"/>
  <c r="B24" i="6"/>
  <c r="C24" i="6"/>
  <c r="C25" i="6"/>
  <c r="D355" i="7" l="1"/>
  <c r="D343" i="7"/>
  <c r="D331" i="7"/>
  <c r="D319" i="7"/>
  <c r="D307" i="7"/>
  <c r="D295" i="7"/>
  <c r="D283" i="7"/>
  <c r="D271" i="7"/>
  <c r="D259" i="7"/>
  <c r="D247" i="7"/>
  <c r="D235" i="7"/>
  <c r="D223" i="7"/>
  <c r="D211" i="7"/>
  <c r="D199" i="7"/>
  <c r="D187" i="7"/>
  <c r="D175" i="7"/>
  <c r="D163" i="7"/>
  <c r="D151" i="7"/>
  <c r="D139" i="7"/>
  <c r="D127" i="7"/>
  <c r="D115" i="7"/>
  <c r="D103" i="7"/>
  <c r="D91" i="7"/>
  <c r="D79" i="7"/>
  <c r="D67" i="7"/>
  <c r="D55" i="7"/>
  <c r="D43" i="7"/>
  <c r="D31" i="7"/>
  <c r="D19" i="7"/>
  <c r="D7" i="7"/>
  <c r="D354" i="7"/>
  <c r="D353" i="7"/>
  <c r="D341" i="7"/>
  <c r="D329" i="7"/>
  <c r="D317" i="7"/>
  <c r="D305" i="7"/>
  <c r="D293" i="7"/>
  <c r="D281" i="7"/>
  <c r="D269" i="7"/>
  <c r="D257" i="7"/>
  <c r="D245" i="7"/>
  <c r="D233" i="7"/>
  <c r="D221" i="7"/>
  <c r="D209" i="7"/>
  <c r="D197" i="7"/>
  <c r="D185" i="7"/>
  <c r="D173" i="7"/>
  <c r="D161" i="7"/>
  <c r="D149" i="7"/>
  <c r="D137" i="7"/>
  <c r="D125" i="7"/>
  <c r="D113" i="7"/>
  <c r="D101" i="7"/>
  <c r="D89" i="7"/>
  <c r="D77" i="7"/>
  <c r="D65" i="7"/>
  <c r="D53" i="7"/>
  <c r="D41" i="7"/>
  <c r="D29" i="7"/>
  <c r="D17" i="7"/>
  <c r="D5" i="7"/>
  <c r="D4" i="7"/>
  <c r="D352" i="7"/>
  <c r="D340" i="7"/>
  <c r="D328" i="7"/>
  <c r="D316" i="7"/>
  <c r="D304" i="7"/>
  <c r="D292" i="7"/>
  <c r="D280" i="7"/>
  <c r="D268" i="7"/>
  <c r="D256" i="7"/>
  <c r="D244" i="7"/>
  <c r="D232" i="7"/>
  <c r="D220" i="7"/>
  <c r="D208" i="7"/>
  <c r="D196" i="7"/>
  <c r="D184" i="7"/>
  <c r="D172" i="7"/>
  <c r="D160" i="7"/>
  <c r="D148" i="7"/>
  <c r="D136" i="7"/>
  <c r="D124" i="7"/>
  <c r="D112" i="7"/>
  <c r="D100" i="7"/>
  <c r="D88" i="7"/>
  <c r="D76" i="7"/>
  <c r="D64" i="7"/>
  <c r="D52" i="7"/>
  <c r="D40" i="7"/>
  <c r="D28" i="7"/>
  <c r="D16" i="7"/>
  <c r="D351" i="7"/>
  <c r="D339" i="7"/>
  <c r="D327" i="7"/>
  <c r="D315" i="7"/>
  <c r="D303" i="7"/>
  <c r="D291" i="7"/>
  <c r="D279" i="7"/>
  <c r="D267" i="7"/>
  <c r="D255" i="7"/>
  <c r="D243" i="7"/>
  <c r="D231" i="7"/>
  <c r="D219" i="7"/>
  <c r="D207" i="7"/>
  <c r="D195" i="7"/>
  <c r="D183" i="7"/>
  <c r="D171" i="7"/>
  <c r="D159" i="7"/>
  <c r="D147" i="7"/>
  <c r="D135" i="7"/>
  <c r="D123" i="7"/>
  <c r="D111" i="7"/>
  <c r="D99" i="7"/>
  <c r="D87" i="7"/>
  <c r="D75" i="7"/>
  <c r="D63" i="7"/>
  <c r="D51" i="7"/>
  <c r="D39" i="7"/>
  <c r="D27" i="7"/>
  <c r="D15" i="7"/>
  <c r="D3" i="7"/>
  <c r="D350" i="7"/>
  <c r="D338" i="7"/>
  <c r="D326" i="7"/>
  <c r="D314" i="7"/>
  <c r="D302" i="7"/>
  <c r="D290" i="7"/>
  <c r="D278" i="7"/>
  <c r="D266" i="7"/>
  <c r="D254" i="7"/>
  <c r="D242" i="7"/>
  <c r="D230" i="7"/>
  <c r="D218" i="7"/>
  <c r="D206" i="7"/>
  <c r="D194" i="7"/>
  <c r="D182" i="7"/>
  <c r="D170" i="7"/>
  <c r="D158" i="7"/>
  <c r="D146" i="7"/>
  <c r="D134" i="7"/>
  <c r="D122" i="7"/>
  <c r="D110" i="7"/>
  <c r="D98" i="7"/>
  <c r="D86" i="7"/>
  <c r="D74" i="7"/>
  <c r="D62" i="7"/>
  <c r="D50" i="7"/>
  <c r="D38" i="7"/>
  <c r="D349" i="7"/>
  <c r="D337" i="7"/>
  <c r="D325" i="7"/>
  <c r="D313" i="7"/>
  <c r="D301" i="7"/>
  <c r="D289" i="7"/>
  <c r="D277" i="7"/>
  <c r="D265" i="7"/>
  <c r="D253" i="7"/>
  <c r="D241" i="7"/>
  <c r="D229" i="7"/>
  <c r="D217" i="7"/>
  <c r="D205" i="7"/>
  <c r="D193" i="7"/>
  <c r="D181" i="7"/>
  <c r="D169" i="7"/>
  <c r="D157" i="7"/>
  <c r="D145" i="7"/>
  <c r="D133" i="7"/>
  <c r="D121" i="7"/>
  <c r="D109" i="7"/>
  <c r="D97" i="7"/>
  <c r="D85" i="7"/>
  <c r="D73" i="7"/>
  <c r="D61" i="7"/>
  <c r="D49" i="7"/>
  <c r="D37" i="7"/>
  <c r="D25" i="7"/>
  <c r="D13" i="7"/>
  <c r="D348" i="7"/>
  <c r="D336" i="7"/>
  <c r="D324" i="7"/>
  <c r="D312" i="7"/>
  <c r="D300" i="7"/>
  <c r="D288" i="7"/>
  <c r="D276" i="7"/>
  <c r="D264" i="7"/>
  <c r="D252" i="7"/>
  <c r="D240" i="7"/>
  <c r="D228" i="7"/>
  <c r="D216" i="7"/>
  <c r="D204" i="7"/>
  <c r="D192" i="7"/>
  <c r="D180" i="7"/>
  <c r="D168" i="7"/>
  <c r="D156" i="7"/>
  <c r="D144" i="7"/>
  <c r="D132" i="7"/>
  <c r="D120" i="7"/>
  <c r="D108" i="7"/>
  <c r="D96" i="7"/>
  <c r="D84" i="7"/>
  <c r="D72" i="7"/>
  <c r="D60" i="7"/>
  <c r="D48" i="7"/>
  <c r="D36" i="7"/>
  <c r="D24" i="7"/>
  <c r="D12" i="7"/>
  <c r="D359" i="7"/>
  <c r="D347" i="7"/>
  <c r="D335" i="7"/>
  <c r="D323" i="7"/>
  <c r="D311" i="7"/>
  <c r="D299" i="7"/>
  <c r="D287" i="7"/>
  <c r="D275" i="7"/>
  <c r="D263" i="7"/>
  <c r="D251" i="7"/>
  <c r="D239" i="7"/>
  <c r="D227" i="7"/>
  <c r="D215" i="7"/>
  <c r="D203" i="7"/>
  <c r="D191" i="7"/>
  <c r="D179" i="7"/>
  <c r="D167" i="7"/>
  <c r="D155" i="7"/>
  <c r="D143" i="7"/>
  <c r="D131" i="7"/>
  <c r="D119" i="7"/>
  <c r="D107" i="7"/>
  <c r="D95" i="7"/>
  <c r="D83" i="7"/>
  <c r="D71" i="7"/>
  <c r="D59" i="7"/>
  <c r="D47" i="7"/>
  <c r="D35" i="7"/>
  <c r="D358" i="7"/>
  <c r="D346" i="7"/>
  <c r="D334" i="7"/>
  <c r="D322" i="7"/>
  <c r="D310" i="7"/>
  <c r="D298" i="7"/>
  <c r="D286" i="7"/>
  <c r="D274" i="7"/>
  <c r="D262" i="7"/>
  <c r="D250" i="7"/>
  <c r="D238" i="7"/>
  <c r="D226" i="7"/>
  <c r="D214" i="7"/>
  <c r="D202" i="7"/>
  <c r="D190" i="7"/>
  <c r="D178" i="7"/>
  <c r="D166" i="7"/>
  <c r="D154" i="7"/>
  <c r="D142" i="7"/>
  <c r="D130" i="7"/>
  <c r="D118" i="7"/>
  <c r="D106" i="7"/>
  <c r="D94" i="7"/>
  <c r="D82" i="7"/>
  <c r="D70" i="7"/>
  <c r="D58" i="7"/>
  <c r="D46" i="7"/>
  <c r="D34" i="7"/>
  <c r="D22" i="7"/>
  <c r="D10" i="7"/>
  <c r="D357" i="7"/>
  <c r="D345" i="7"/>
  <c r="D333" i="7"/>
  <c r="D321" i="7"/>
  <c r="D309" i="7"/>
  <c r="D297" i="7"/>
  <c r="D285" i="7"/>
  <c r="D273" i="7"/>
  <c r="D261" i="7"/>
  <c r="D249" i="7"/>
  <c r="D237" i="7"/>
  <c r="D225" i="7"/>
  <c r="D213" i="7"/>
  <c r="D201" i="7"/>
  <c r="D189" i="7"/>
  <c r="D177" i="7"/>
  <c r="D165" i="7"/>
  <c r="D153" i="7"/>
  <c r="D141" i="7"/>
  <c r="D129" i="7"/>
  <c r="D117" i="7"/>
  <c r="D105" i="7"/>
  <c r="D93" i="7"/>
  <c r="D81" i="7"/>
  <c r="D69" i="7"/>
  <c r="D57" i="7"/>
  <c r="D45" i="7"/>
  <c r="D356" i="7"/>
  <c r="D320" i="7"/>
  <c r="D248" i="7"/>
  <c r="D176" i="7"/>
  <c r="D104" i="7"/>
  <c r="D33" i="7"/>
  <c r="D6" i="7"/>
  <c r="D318" i="7"/>
  <c r="D246" i="7"/>
  <c r="D174" i="7"/>
  <c r="D102" i="7"/>
  <c r="D32" i="7"/>
  <c r="D2" i="7"/>
  <c r="D162" i="7"/>
  <c r="D308" i="7"/>
  <c r="D236" i="7"/>
  <c r="D164" i="7"/>
  <c r="D92" i="7"/>
  <c r="D30" i="7"/>
  <c r="D234" i="7"/>
  <c r="D26" i="7"/>
  <c r="D306" i="7"/>
  <c r="D90" i="7"/>
  <c r="D296" i="7"/>
  <c r="D224" i="7"/>
  <c r="D152" i="7"/>
  <c r="D80" i="7"/>
  <c r="D23" i="7"/>
  <c r="D140" i="7"/>
  <c r="D294" i="7"/>
  <c r="D222" i="7"/>
  <c r="D150" i="7"/>
  <c r="D78" i="7"/>
  <c r="D21" i="7"/>
  <c r="D68" i="7"/>
  <c r="D284" i="7"/>
  <c r="D212" i="7"/>
  <c r="D20" i="7"/>
  <c r="D282" i="7"/>
  <c r="D210" i="7"/>
  <c r="D138" i="7"/>
  <c r="D66" i="7"/>
  <c r="D18" i="7"/>
  <c r="D344" i="7"/>
  <c r="D272" i="7"/>
  <c r="D200" i="7"/>
  <c r="D128" i="7"/>
  <c r="D56" i="7"/>
  <c r="D14" i="7"/>
  <c r="D342" i="7"/>
  <c r="D270" i="7"/>
  <c r="D198" i="7"/>
  <c r="D126" i="7"/>
  <c r="D54" i="7"/>
  <c r="D11" i="7"/>
  <c r="D188" i="7"/>
  <c r="D186" i="7"/>
  <c r="D116" i="7"/>
  <c r="D114" i="7"/>
  <c r="D44" i="7"/>
  <c r="D42" i="7"/>
  <c r="D9" i="7"/>
  <c r="D8" i="7"/>
  <c r="D260" i="7"/>
  <c r="D258" i="7"/>
  <c r="D332" i="7"/>
  <c r="D330" i="7"/>
  <c r="C7" i="6" l="1"/>
  <c r="C22" i="6" s="1"/>
  <c r="B7" i="6"/>
  <c r="B22" i="6" s="1"/>
  <c r="B27" i="6" s="1"/>
  <c r="C8" i="6" l="1"/>
  <c r="C23" i="6" s="1"/>
  <c r="B8" i="6"/>
  <c r="B23" i="6" s="1"/>
  <c r="C4" i="6"/>
  <c r="C6" i="6" l="1"/>
  <c r="C5" i="6"/>
  <c r="C21" i="6" l="1"/>
  <c r="H2" i="12" l="1"/>
  <c r="I2" i="12" s="1"/>
  <c r="H50" i="12"/>
  <c r="I50" i="12" s="1"/>
  <c r="H98" i="12"/>
  <c r="I98" i="12" s="1"/>
  <c r="H158" i="12"/>
  <c r="I158" i="12" s="1"/>
  <c r="H206" i="12"/>
  <c r="I206" i="12" s="1"/>
  <c r="H254" i="12"/>
  <c r="I254" i="12" s="1"/>
  <c r="H302" i="12"/>
  <c r="I302" i="12" s="1"/>
  <c r="H16" i="12"/>
  <c r="I16" i="12" s="1"/>
  <c r="H71" i="12"/>
  <c r="I71" i="12" s="1"/>
  <c r="H166" i="12"/>
  <c r="I166" i="12" s="1"/>
  <c r="H232" i="12"/>
  <c r="I232" i="12" s="1"/>
  <c r="H300" i="12"/>
  <c r="I300" i="12" s="1"/>
  <c r="H356" i="12"/>
  <c r="I356" i="12" s="1"/>
  <c r="H354" i="12"/>
  <c r="I354" i="12" s="1"/>
  <c r="H78" i="12"/>
  <c r="I78" i="12" s="1"/>
  <c r="H33" i="12"/>
  <c r="I33" i="12" s="1"/>
  <c r="H7" i="12"/>
  <c r="I7" i="12" s="1"/>
  <c r="H107" i="12"/>
  <c r="I107" i="12" s="1"/>
  <c r="H251" i="12"/>
  <c r="I251" i="12" s="1"/>
  <c r="H11" i="12"/>
  <c r="I11" i="12" s="1"/>
  <c r="H104" i="12"/>
  <c r="I104" i="12" s="1"/>
  <c r="H321" i="12"/>
  <c r="I321" i="12" s="1"/>
  <c r="H294" i="12"/>
  <c r="I294" i="12" s="1"/>
  <c r="H198" i="12"/>
  <c r="I198" i="12" s="1"/>
  <c r="H39" i="12"/>
  <c r="I39" i="12" s="1"/>
  <c r="H87" i="12"/>
  <c r="I87" i="12" s="1"/>
  <c r="H147" i="12"/>
  <c r="I147" i="12" s="1"/>
  <c r="H195" i="12"/>
  <c r="I195" i="12" s="1"/>
  <c r="H255" i="12"/>
  <c r="I255" i="12" s="1"/>
  <c r="H315" i="12"/>
  <c r="I315" i="12" s="1"/>
  <c r="H30" i="12"/>
  <c r="I30" i="12" s="1"/>
  <c r="H112" i="12"/>
  <c r="I112" i="12" s="1"/>
  <c r="H167" i="12"/>
  <c r="I167" i="12" s="1"/>
  <c r="H272" i="12"/>
  <c r="I272" i="12" s="1"/>
  <c r="H357" i="12"/>
  <c r="I357" i="12" s="1"/>
  <c r="H4" i="12"/>
  <c r="I4" i="12" s="1"/>
  <c r="H304" i="12"/>
  <c r="I304" i="12"/>
  <c r="H31" i="12"/>
  <c r="I31" i="12" s="1"/>
  <c r="H328" i="12"/>
  <c r="I328" i="12" s="1"/>
  <c r="H157" i="12"/>
  <c r="I157" i="12" s="1"/>
  <c r="H353" i="12"/>
  <c r="I353" i="12" s="1"/>
  <c r="H114" i="12"/>
  <c r="I114" i="12" s="1"/>
  <c r="H299" i="12"/>
  <c r="I299" i="12" s="1"/>
  <c r="H56" i="12"/>
  <c r="I56" i="12" s="1"/>
  <c r="H216" i="12"/>
  <c r="I216" i="12" s="1"/>
  <c r="H307" i="12"/>
  <c r="I307" i="12" s="1"/>
  <c r="H103" i="12"/>
  <c r="I103" i="12" s="1"/>
  <c r="H303" i="12"/>
  <c r="I303" i="12" s="1"/>
  <c r="H14" i="12"/>
  <c r="I14" i="12" s="1"/>
  <c r="H74" i="12"/>
  <c r="I74" i="12" s="1"/>
  <c r="H146" i="12"/>
  <c r="I146" i="12" s="1"/>
  <c r="H218" i="12"/>
  <c r="I218" i="12" s="1"/>
  <c r="H278" i="12"/>
  <c r="I278" i="12" s="1"/>
  <c r="H350" i="12"/>
  <c r="I350" i="12" s="1"/>
  <c r="H125" i="12"/>
  <c r="I125" i="12" s="1"/>
  <c r="H193" i="12"/>
  <c r="I193" i="12" s="1"/>
  <c r="H271" i="12"/>
  <c r="I271" i="12" s="1"/>
  <c r="H44" i="12"/>
  <c r="I44" i="12" s="1"/>
  <c r="H162" i="12"/>
  <c r="I162" i="12" s="1"/>
  <c r="H129" i="12"/>
  <c r="I129" i="12" s="1"/>
  <c r="H183" i="12"/>
  <c r="I183" i="12" s="1"/>
  <c r="H267" i="12"/>
  <c r="I267" i="12" s="1"/>
  <c r="H72" i="12"/>
  <c r="I72" i="12" s="1"/>
  <c r="H179" i="12"/>
  <c r="I179" i="12" s="1"/>
  <c r="H358" i="12"/>
  <c r="I358" i="12" s="1"/>
  <c r="H100" i="12"/>
  <c r="I100" i="12" s="1"/>
  <c r="H172" i="12"/>
  <c r="I172" i="12" s="1"/>
  <c r="H127" i="12"/>
  <c r="I127" i="12" s="1"/>
  <c r="H77" i="12"/>
  <c r="I77" i="12" s="1"/>
  <c r="H222" i="12"/>
  <c r="I222" i="12" s="1"/>
  <c r="H212" i="12"/>
  <c r="I212" i="12" s="1"/>
  <c r="H91" i="12"/>
  <c r="I91" i="12" s="1"/>
  <c r="H236" i="12"/>
  <c r="I236" i="12" s="1"/>
  <c r="H346" i="12"/>
  <c r="I346" i="12" s="1"/>
  <c r="H338" i="12"/>
  <c r="I338" i="12" s="1"/>
  <c r="H324" i="12"/>
  <c r="I324" i="12" s="1"/>
  <c r="H265" i="12"/>
  <c r="I265" i="12" s="1"/>
  <c r="H189" i="12"/>
  <c r="I189" i="12" s="1"/>
  <c r="H349" i="12"/>
  <c r="I349" i="12" s="1"/>
  <c r="H250" i="12"/>
  <c r="I250" i="12" s="1"/>
  <c r="H96" i="12"/>
  <c r="I96" i="12" s="1"/>
  <c r="H36" i="12"/>
  <c r="I36" i="12" s="1"/>
  <c r="H37" i="12"/>
  <c r="I37" i="12" s="1"/>
  <c r="H331" i="12"/>
  <c r="I331" i="12" s="1"/>
  <c r="H51" i="12"/>
  <c r="I51" i="12" s="1"/>
  <c r="H123" i="12"/>
  <c r="I123" i="12" s="1"/>
  <c r="H351" i="12"/>
  <c r="I351" i="12" s="1"/>
  <c r="H301" i="12"/>
  <c r="I301" i="12" s="1"/>
  <c r="H28" i="12"/>
  <c r="I28" i="12" s="1"/>
  <c r="H256" i="12"/>
  <c r="I256" i="12" s="1"/>
  <c r="H316" i="12"/>
  <c r="I316" i="12" s="1"/>
  <c r="H247" i="12"/>
  <c r="I247" i="12" s="1"/>
  <c r="H344" i="12"/>
  <c r="I344" i="12" s="1"/>
  <c r="H210" i="12"/>
  <c r="I210" i="12" s="1"/>
  <c r="H173" i="12"/>
  <c r="I173" i="12" s="1"/>
  <c r="H281" i="12"/>
  <c r="I281" i="12" s="1"/>
  <c r="H19" i="12"/>
  <c r="I19" i="12" s="1"/>
  <c r="H288" i="12"/>
  <c r="I288" i="12" s="1"/>
  <c r="H61" i="12"/>
  <c r="I61" i="12" s="1"/>
  <c r="H334" i="12"/>
  <c r="I334" i="12" s="1"/>
  <c r="H8" i="12"/>
  <c r="I8" i="12" s="1"/>
  <c r="H252" i="12"/>
  <c r="I252" i="12" s="1"/>
  <c r="H105" i="12"/>
  <c r="I105" i="12" s="1"/>
  <c r="H322" i="12"/>
  <c r="I322" i="12" s="1"/>
  <c r="H223" i="12"/>
  <c r="I223" i="12" s="1"/>
  <c r="H176" i="12"/>
  <c r="I176" i="12" s="1"/>
  <c r="H348" i="12"/>
  <c r="I348" i="12" s="1"/>
  <c r="H23" i="12"/>
  <c r="I23" i="12" s="1"/>
  <c r="H311" i="12"/>
  <c r="I311" i="12" s="1"/>
  <c r="H187" i="12"/>
  <c r="I187" i="12" s="1"/>
  <c r="H121" i="12"/>
  <c r="I121" i="12" s="1"/>
  <c r="H26" i="12"/>
  <c r="I26" i="12" s="1"/>
  <c r="H230" i="12"/>
  <c r="I230" i="12" s="1"/>
  <c r="H138" i="12"/>
  <c r="I138" i="12" s="1"/>
  <c r="H153" i="12"/>
  <c r="I153" i="12" s="1"/>
  <c r="H148" i="12"/>
  <c r="I148" i="12" s="1"/>
  <c r="H268" i="12"/>
  <c r="I268" i="12" s="1"/>
  <c r="H113" i="12"/>
  <c r="I113" i="12" s="1"/>
  <c r="H259" i="12"/>
  <c r="I259" i="12"/>
  <c r="H49" i="12"/>
  <c r="I49" i="12" s="1"/>
  <c r="H197" i="12"/>
  <c r="I197" i="12" s="1"/>
  <c r="H128" i="12"/>
  <c r="I128" i="12" s="1"/>
  <c r="H69" i="12"/>
  <c r="I69" i="12" s="1"/>
  <c r="H335" i="12"/>
  <c r="I335" i="12" s="1"/>
  <c r="H92" i="12"/>
  <c r="I92" i="12" s="1"/>
  <c r="H106" i="12"/>
  <c r="I106" i="12" s="1"/>
  <c r="H325" i="12"/>
  <c r="I325" i="12" s="1"/>
  <c r="H228" i="12"/>
  <c r="I228" i="12" s="1"/>
  <c r="H120" i="12"/>
  <c r="I120" i="12" s="1"/>
  <c r="H22" i="12"/>
  <c r="I22" i="12" s="1"/>
  <c r="H140" i="12"/>
  <c r="I140" i="12" s="1"/>
  <c r="H67" i="12"/>
  <c r="I67" i="12" s="1"/>
  <c r="H170" i="12"/>
  <c r="I170" i="12" s="1"/>
  <c r="H5" i="12"/>
  <c r="I5" i="12" s="1"/>
  <c r="H329" i="12"/>
  <c r="I329" i="12" s="1"/>
  <c r="H12" i="12"/>
  <c r="I12" i="12" s="1"/>
  <c r="H10" i="12"/>
  <c r="I10" i="12" s="1"/>
  <c r="H134" i="12"/>
  <c r="I134" i="12" s="1"/>
  <c r="H326" i="12"/>
  <c r="I326" i="12" s="1"/>
  <c r="H257" i="12"/>
  <c r="I257" i="12" s="1"/>
  <c r="H76" i="12"/>
  <c r="I76" i="12" s="1"/>
  <c r="H171" i="12"/>
  <c r="I171" i="12" s="1"/>
  <c r="H58" i="12"/>
  <c r="I58" i="12" s="1"/>
  <c r="H154" i="12"/>
  <c r="I154" i="12" s="1"/>
  <c r="H40" i="12"/>
  <c r="I40" i="12" s="1"/>
  <c r="H160" i="12"/>
  <c r="I160" i="12" s="1"/>
  <c r="H352" i="12"/>
  <c r="I352" i="12" s="1"/>
  <c r="H209" i="12"/>
  <c r="I209" i="12" s="1"/>
  <c r="H261" i="12"/>
  <c r="I261" i="12" s="1"/>
  <c r="H142" i="12"/>
  <c r="I142" i="12" s="1"/>
  <c r="H34" i="12"/>
  <c r="I34" i="12" s="1"/>
  <c r="H224" i="12"/>
  <c r="I224" i="12" s="1"/>
  <c r="H320" i="12"/>
  <c r="I320" i="12" s="1"/>
  <c r="H117" i="12"/>
  <c r="I117" i="12" s="1"/>
  <c r="H309" i="12"/>
  <c r="I309" i="12" s="1"/>
  <c r="H164" i="12"/>
  <c r="I164" i="12" s="1"/>
  <c r="H38" i="12"/>
  <c r="I38" i="12" s="1"/>
  <c r="H29" i="12"/>
  <c r="I29" i="12" s="1"/>
  <c r="H150" i="12"/>
  <c r="I150" i="12" s="1"/>
  <c r="H313" i="12"/>
  <c r="I313" i="12" s="1"/>
  <c r="H274" i="12"/>
  <c r="I274" i="12" s="1"/>
  <c r="H52" i="12"/>
  <c r="I52" i="12" s="1"/>
  <c r="H275" i="12"/>
  <c r="I275" i="12" s="1"/>
  <c r="H109" i="12"/>
  <c r="I109" i="12" s="1"/>
  <c r="H132" i="12"/>
  <c r="I132" i="12" s="1"/>
  <c r="H337" i="12"/>
  <c r="I337" i="12" s="1"/>
  <c r="H242" i="12"/>
  <c r="I242" i="12" s="1"/>
  <c r="H75" i="12"/>
  <c r="I75" i="12" s="1"/>
  <c r="H291" i="12"/>
  <c r="I291" i="12" s="1"/>
  <c r="H258" i="12"/>
  <c r="I258" i="12" s="1"/>
  <c r="H280" i="12"/>
  <c r="I280" i="12" s="1"/>
  <c r="H155" i="12"/>
  <c r="I155" i="12" s="1"/>
  <c r="H273" i="12"/>
  <c r="I273" i="12" s="1"/>
  <c r="H137" i="12"/>
  <c r="I137" i="12" s="1"/>
  <c r="H156" i="12"/>
  <c r="I156" i="12" s="1"/>
  <c r="H89" i="12"/>
  <c r="I89" i="12" s="1"/>
  <c r="H186" i="12"/>
  <c r="I186" i="12" s="1"/>
  <c r="H229" i="12"/>
  <c r="I229" i="12" s="1"/>
  <c r="H108" i="12"/>
  <c r="I108" i="12" s="1"/>
  <c r="H319" i="12"/>
  <c r="I319" i="12" s="1"/>
  <c r="H93" i="12"/>
  <c r="I93" i="12" s="1"/>
  <c r="H119" i="12"/>
  <c r="I119" i="12" s="1"/>
  <c r="H184" i="12"/>
  <c r="I184" i="12" s="1"/>
  <c r="H18" i="12"/>
  <c r="I18" i="12" s="1"/>
  <c r="H238" i="12"/>
  <c r="I238" i="12" s="1"/>
  <c r="H239" i="12"/>
  <c r="I239" i="12" s="1"/>
  <c r="H177" i="12"/>
  <c r="I177" i="12" s="1"/>
  <c r="H94" i="12"/>
  <c r="I94" i="12" s="1"/>
  <c r="H219" i="12"/>
  <c r="I219" i="12" s="1"/>
  <c r="H17" i="12"/>
  <c r="I17" i="12" s="1"/>
  <c r="H246" i="12"/>
  <c r="I246" i="12" s="1"/>
  <c r="H317" i="12"/>
  <c r="I317" i="12" s="1"/>
  <c r="H341" i="12"/>
  <c r="I341" i="12" s="1"/>
  <c r="H181" i="12"/>
  <c r="I181" i="12" s="1"/>
  <c r="H190" i="12"/>
  <c r="I190" i="12" s="1"/>
  <c r="H82" i="12"/>
  <c r="I82" i="12" s="1"/>
  <c r="H83" i="12"/>
  <c r="I83" i="12" s="1"/>
  <c r="H323" i="12"/>
  <c r="I323" i="12" s="1"/>
  <c r="H237" i="12"/>
  <c r="I237" i="12" s="1"/>
  <c r="H347" i="12"/>
  <c r="I347" i="12" s="1"/>
  <c r="H233" i="12"/>
  <c r="I233" i="12" s="1"/>
  <c r="H220" i="12"/>
  <c r="I220" i="12" s="1"/>
  <c r="H248" i="12"/>
  <c r="I248" i="12" s="1"/>
  <c r="H200" i="12"/>
  <c r="I200" i="12" s="1"/>
  <c r="H86" i="12"/>
  <c r="I86" i="12" s="1"/>
  <c r="H269" i="12"/>
  <c r="I269" i="12" s="1"/>
  <c r="H24" i="12"/>
  <c r="I24" i="12" s="1"/>
  <c r="H47" i="12"/>
  <c r="I47" i="12" s="1"/>
  <c r="H297" i="12"/>
  <c r="I297" i="12" s="1"/>
  <c r="H207" i="12"/>
  <c r="I207" i="12" s="1"/>
  <c r="H32" i="12"/>
  <c r="I32" i="12" s="1"/>
  <c r="H95" i="12"/>
  <c r="I95" i="12" s="1"/>
  <c r="H276" i="12"/>
  <c r="I276" i="12" s="1"/>
  <c r="H80" i="12"/>
  <c r="I80" i="12" s="1"/>
  <c r="H144" i="12"/>
  <c r="I144" i="12" s="1"/>
  <c r="H332" i="12"/>
  <c r="I332" i="12" s="1"/>
  <c r="H180" i="12"/>
  <c r="I180" i="12" s="1"/>
  <c r="H249" i="12"/>
  <c r="I249" i="12" s="1"/>
  <c r="H64" i="12"/>
  <c r="I64" i="12" s="1"/>
  <c r="H60" i="12"/>
  <c r="I60" i="12" s="1"/>
  <c r="H68" i="12"/>
  <c r="I68" i="12" s="1"/>
  <c r="H62" i="12"/>
  <c r="I62" i="12" s="1"/>
  <c r="H194" i="12"/>
  <c r="I194" i="12" s="1"/>
  <c r="H42" i="12"/>
  <c r="I42" i="12" s="1"/>
  <c r="H27" i="12"/>
  <c r="I27" i="12" s="1"/>
  <c r="H286" i="12"/>
  <c r="I286" i="12" s="1"/>
  <c r="H90" i="12"/>
  <c r="I90" i="12" s="1"/>
  <c r="H196" i="12"/>
  <c r="I196" i="12" s="1"/>
  <c r="H168" i="12"/>
  <c r="I168" i="12" s="1"/>
  <c r="H359" i="12"/>
  <c r="I359" i="12" s="1"/>
  <c r="H41" i="12"/>
  <c r="I41" i="12" s="1"/>
  <c r="H185" i="12"/>
  <c r="I185" i="12" s="1"/>
  <c r="H235" i="12"/>
  <c r="I235" i="12" s="1"/>
  <c r="H6" i="12"/>
  <c r="I6" i="12" s="1"/>
  <c r="H199" i="12"/>
  <c r="I199" i="12" s="1"/>
  <c r="H152" i="12"/>
  <c r="I152" i="12" s="1"/>
  <c r="H131" i="12"/>
  <c r="I131" i="12" s="1"/>
  <c r="H175" i="12"/>
  <c r="I175" i="12" s="1"/>
  <c r="H84" i="12"/>
  <c r="I84" i="12" s="1"/>
  <c r="H188" i="12"/>
  <c r="I188" i="12" s="1"/>
  <c r="H333" i="12"/>
  <c r="I333" i="12" s="1"/>
  <c r="H260" i="12"/>
  <c r="I260" i="12" s="1"/>
  <c r="H310" i="12"/>
  <c r="I310" i="12" s="1"/>
  <c r="H289" i="12"/>
  <c r="I289" i="12" s="1"/>
  <c r="H145" i="12"/>
  <c r="I145" i="12" s="1"/>
  <c r="H115" i="12"/>
  <c r="I115" i="12" s="1"/>
  <c r="H88" i="12"/>
  <c r="I88" i="12" s="1"/>
  <c r="H201" i="12"/>
  <c r="I201" i="12" s="1"/>
  <c r="H57" i="12"/>
  <c r="I57" i="12" s="1"/>
  <c r="H43" i="12"/>
  <c r="I43" i="12" s="1"/>
  <c r="H245" i="12"/>
  <c r="I245" i="12" s="1"/>
  <c r="H46" i="12"/>
  <c r="I46" i="12" s="1"/>
  <c r="H340" i="12"/>
  <c r="I340" i="12" s="1"/>
  <c r="H295" i="12"/>
  <c r="I295" i="12" s="1"/>
  <c r="H21" i="12"/>
  <c r="I21" i="12" s="1"/>
  <c r="H298" i="12"/>
  <c r="I298" i="12" s="1"/>
  <c r="H97" i="12"/>
  <c r="I97" i="12" s="1"/>
  <c r="H205" i="12"/>
  <c r="I205" i="12" s="1"/>
  <c r="H234" i="12"/>
  <c r="I234" i="12" s="1"/>
  <c r="H63" i="12"/>
  <c r="I63" i="12" s="1"/>
  <c r="H231" i="12"/>
  <c r="I231" i="12" s="1"/>
  <c r="H343" i="12"/>
  <c r="I343" i="12" s="1"/>
  <c r="H208" i="12"/>
  <c r="I208" i="12" s="1"/>
  <c r="H296" i="12"/>
  <c r="I296" i="12" s="1"/>
  <c r="H53" i="12"/>
  <c r="I53" i="12" s="1"/>
  <c r="H48" i="12"/>
  <c r="I48" i="12" s="1"/>
  <c r="H54" i="12"/>
  <c r="I54" i="12" s="1"/>
  <c r="H217" i="12"/>
  <c r="I217" i="12" s="1"/>
  <c r="H191" i="12"/>
  <c r="I191" i="12" s="1"/>
  <c r="H192" i="12"/>
  <c r="I192" i="12" s="1"/>
  <c r="H116" i="12"/>
  <c r="I116" i="12" s="1"/>
  <c r="H266" i="12"/>
  <c r="I266" i="12"/>
  <c r="H126" i="12"/>
  <c r="I126" i="12" s="1"/>
  <c r="H203" i="12"/>
  <c r="I203" i="12" s="1"/>
  <c r="H99" i="12"/>
  <c r="I99" i="12" s="1"/>
  <c r="H243" i="12"/>
  <c r="I243" i="12" s="1"/>
  <c r="H221" i="12"/>
  <c r="I221" i="12" s="1"/>
  <c r="H65" i="12"/>
  <c r="I65" i="12" s="1"/>
  <c r="H110" i="12"/>
  <c r="I110" i="12" s="1"/>
  <c r="H15" i="12"/>
  <c r="I15" i="12" s="1"/>
  <c r="H136" i="12"/>
  <c r="I136" i="12" s="1"/>
  <c r="H149" i="12"/>
  <c r="I149" i="12" s="1"/>
  <c r="H240" i="12"/>
  <c r="I240" i="12" s="1"/>
  <c r="H165" i="12"/>
  <c r="I165" i="12" s="1"/>
  <c r="H227" i="12"/>
  <c r="I227" i="12" s="1"/>
  <c r="H45" i="12"/>
  <c r="I45" i="12" s="1"/>
  <c r="H312" i="12"/>
  <c r="I312" i="12" s="1"/>
  <c r="H214" i="12"/>
  <c r="I214" i="12" s="1"/>
  <c r="H143" i="12"/>
  <c r="I143" i="12" s="1"/>
  <c r="H264" i="12"/>
  <c r="I264" i="12" s="1"/>
  <c r="H290" i="12"/>
  <c r="I290" i="12" s="1"/>
  <c r="H305" i="12"/>
  <c r="I305" i="12" s="1"/>
  <c r="H204" i="12"/>
  <c r="I204" i="12" s="1"/>
  <c r="H20" i="12"/>
  <c r="I20" i="12" s="1"/>
  <c r="H330" i="12"/>
  <c r="I330" i="12" s="1"/>
  <c r="H79" i="12"/>
  <c r="I79" i="12" s="1"/>
  <c r="H124" i="12"/>
  <c r="I124" i="12" s="1"/>
  <c r="H163" i="12"/>
  <c r="I163" i="12" s="1"/>
  <c r="H73" i="12"/>
  <c r="I73" i="12" s="1"/>
  <c r="H178" i="12"/>
  <c r="I178" i="12" s="1"/>
  <c r="H318" i="12"/>
  <c r="I318" i="12" s="1"/>
  <c r="H85" i="12"/>
  <c r="I85" i="12" s="1"/>
  <c r="H225" i="12"/>
  <c r="I225" i="12" s="1"/>
  <c r="H118" i="12"/>
  <c r="I118" i="12" s="1"/>
  <c r="H122" i="12"/>
  <c r="I122" i="12" s="1"/>
  <c r="H70" i="12"/>
  <c r="I70" i="12" s="1"/>
  <c r="H174" i="12"/>
  <c r="I174" i="12" s="1"/>
  <c r="H308" i="12"/>
  <c r="I308" i="12" s="1"/>
  <c r="H342" i="12"/>
  <c r="I342" i="12" s="1"/>
  <c r="H35" i="12"/>
  <c r="I35" i="12" s="1"/>
  <c r="H314" i="12"/>
  <c r="I314" i="12" s="1"/>
  <c r="H241" i="12"/>
  <c r="I241" i="12" s="1"/>
  <c r="H263" i="12"/>
  <c r="I263" i="12" s="1"/>
  <c r="H3" i="12"/>
  <c r="I3" i="12" s="1"/>
  <c r="H101" i="12"/>
  <c r="I101" i="12" s="1"/>
  <c r="H9" i="12"/>
  <c r="I9" i="12" s="1"/>
  <c r="H135" i="12"/>
  <c r="I135" i="12" s="1"/>
  <c r="H151" i="12"/>
  <c r="I151" i="12" s="1"/>
  <c r="H244" i="12"/>
  <c r="I244" i="12" s="1"/>
  <c r="H287" i="12"/>
  <c r="I287" i="12" s="1"/>
  <c r="H161" i="12"/>
  <c r="I161" i="12" s="1"/>
  <c r="H284" i="12"/>
  <c r="I284" i="12" s="1"/>
  <c r="H285" i="12"/>
  <c r="I285" i="12" s="1"/>
  <c r="H262" i="12"/>
  <c r="I262" i="12" s="1"/>
  <c r="H202" i="12"/>
  <c r="I202" i="12" s="1"/>
  <c r="H141" i="12"/>
  <c r="I141" i="12" s="1"/>
  <c r="H327" i="12"/>
  <c r="I327" i="12" s="1"/>
  <c r="H213" i="12"/>
  <c r="I213" i="12" s="1"/>
  <c r="H226" i="12"/>
  <c r="I226" i="12" s="1"/>
  <c r="H292" i="12"/>
  <c r="I292" i="12" s="1"/>
  <c r="H81" i="12"/>
  <c r="I81" i="12" s="1"/>
  <c r="H66" i="12"/>
  <c r="I66" i="12" s="1"/>
  <c r="H279" i="12"/>
  <c r="I279" i="12" s="1"/>
  <c r="H336" i="12"/>
  <c r="I336" i="12" s="1"/>
  <c r="H306" i="12"/>
  <c r="I306" i="12" s="1"/>
  <c r="H339" i="12"/>
  <c r="I339" i="12" s="1"/>
  <c r="H282" i="12"/>
  <c r="I282" i="12" s="1"/>
  <c r="H13" i="12"/>
  <c r="I13" i="12" s="1"/>
  <c r="H139" i="12"/>
  <c r="I139" i="12" s="1"/>
  <c r="H133" i="12"/>
  <c r="I133" i="12" s="1"/>
  <c r="H182" i="12"/>
  <c r="I182" i="12" s="1"/>
  <c r="H293" i="12"/>
  <c r="I293" i="12" s="1"/>
  <c r="H345" i="12"/>
  <c r="I345" i="12" s="1"/>
  <c r="H25" i="12"/>
  <c r="I25" i="12" s="1"/>
  <c r="H283" i="12"/>
  <c r="I283" i="12" s="1"/>
  <c r="H211" i="12"/>
  <c r="I211" i="12" s="1"/>
  <c r="H159" i="12"/>
  <c r="I159" i="12" s="1"/>
  <c r="H270" i="12"/>
  <c r="I270" i="12" s="1"/>
  <c r="H253" i="12"/>
  <c r="I253" i="12" s="1"/>
  <c r="H102" i="12"/>
  <c r="I102" i="12" s="1"/>
  <c r="H55" i="12"/>
  <c r="I55" i="12" s="1"/>
  <c r="H355" i="12"/>
  <c r="I355" i="12" s="1"/>
  <c r="H215" i="12"/>
  <c r="I215" i="12" s="1"/>
  <c r="H59" i="12"/>
  <c r="I59" i="12" s="1"/>
  <c r="H169" i="12"/>
  <c r="I169" i="12" s="1"/>
  <c r="H277" i="12"/>
  <c r="I277" i="12" s="1"/>
  <c r="H130" i="12"/>
  <c r="I130" i="12" s="1"/>
  <c r="H111" i="12"/>
  <c r="I111" i="12" s="1"/>
</calcChain>
</file>

<file path=xl/sharedStrings.xml><?xml version="1.0" encoding="utf-8"?>
<sst xmlns="http://schemas.openxmlformats.org/spreadsheetml/2006/main" count="1184" uniqueCount="812">
  <si>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</si>
  <si>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</si>
  <si>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</si>
  <si>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</si>
  <si>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</si>
  <si>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</si>
  <si>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</si>
  <si>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</si>
  <si>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</si>
  <si>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</si>
  <si>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</si>
  <si>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</si>
  <si>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</si>
  <si>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</si>
  <si>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</si>
  <si>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</si>
  <si>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</si>
  <si>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</si>
  <si>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</si>
  <si>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</si>
  <si>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</si>
  <si>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</si>
  <si>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</si>
  <si>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</si>
  <si>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</si>
  <si>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</si>
  <si>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</si>
  <si>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</si>
  <si>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</si>
  <si>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</si>
  <si>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</si>
  <si>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</si>
  <si>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</si>
  <si>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</si>
  <si>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</si>
  <si>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</si>
  <si>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</si>
  <si>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</si>
  <si>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</si>
  <si>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</si>
  <si>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</si>
  <si>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</si>
  <si>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</si>
  <si>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</si>
  <si>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</si>
  <si>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</si>
  <si>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</si>
  <si>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</si>
  <si>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</si>
  <si>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</si>
  <si>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</si>
  <si>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</si>
  <si>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</si>
  <si>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</si>
  <si>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</si>
  <si>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</si>
  <si>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</si>
  <si>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</si>
  <si>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</si>
  <si>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</si>
  <si>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</si>
  <si>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</si>
  <si>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</si>
  <si>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</si>
  <si>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</si>
  <si>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</si>
  <si>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</si>
  <si>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</si>
  <si>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</si>
  <si>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</si>
  <si>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</si>
  <si>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</si>
  <si>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</si>
  <si>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</si>
  <si>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</si>
  <si>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</si>
  <si>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</si>
  <si>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</si>
  <si>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</si>
  <si>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</si>
  <si>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</si>
  <si>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</si>
  <si>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</si>
  <si>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</si>
  <si>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</si>
  <si>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</si>
  <si>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</si>
  <si>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</si>
  <si>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</si>
  <si>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</si>
  <si>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</si>
  <si>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</si>
  <si>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</si>
  <si>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</si>
  <si>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</si>
  <si>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</si>
  <si>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</si>
  <si>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</si>
  <si>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</si>
  <si>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</si>
  <si>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</si>
  <si>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</si>
  <si>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</si>
  <si>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</si>
  <si>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</si>
  <si>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</si>
  <si>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</si>
  <si>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</si>
  <si>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</si>
  <si>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</si>
  <si>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</si>
  <si>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</si>
  <si>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</si>
  <si>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</si>
  <si>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</si>
  <si>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</si>
  <si>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</si>
  <si>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</si>
  <si>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</si>
  <si>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</si>
  <si>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</si>
  <si>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</si>
  <si>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</si>
  <si>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</si>
  <si>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</si>
  <si>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</si>
  <si>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</si>
  <si>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</si>
  <si>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</si>
  <si>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</si>
  <si>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</si>
  <si>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</si>
  <si>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</si>
  <si>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</si>
  <si>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</si>
  <si>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</si>
  <si>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</si>
  <si>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</si>
  <si>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</si>
  <si>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</si>
  <si>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</si>
  <si>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</si>
  <si>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</si>
  <si>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</si>
  <si>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</si>
  <si>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</si>
  <si>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</si>
  <si>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</si>
  <si>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</si>
  <si>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</si>
  <si>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</si>
  <si>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</si>
  <si>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</si>
  <si>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</si>
  <si>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</si>
  <si>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</si>
  <si>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</si>
  <si>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</si>
  <si>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</si>
  <si>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</si>
  <si>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</si>
  <si>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</si>
  <si>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</si>
  <si>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</si>
  <si>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</si>
  <si>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</si>
  <si>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</si>
  <si>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</si>
  <si>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</si>
  <si>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</si>
  <si>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</si>
  <si>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</si>
  <si>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</si>
  <si>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</si>
  <si>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</si>
  <si>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</si>
  <si>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</si>
  <si>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</si>
  <si>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</si>
  <si>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</si>
  <si>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</si>
  <si>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</si>
  <si>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</si>
  <si>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</si>
  <si>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</si>
  <si>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</si>
  <si>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</si>
  <si>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</si>
  <si>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</si>
  <si>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</si>
  <si>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</si>
  <si>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</si>
  <si>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</si>
  <si>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</si>
  <si>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</si>
  <si>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</si>
  <si>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</si>
  <si>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</si>
  <si>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</si>
  <si>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</si>
  <si>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</si>
  <si>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</si>
  <si>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</si>
  <si>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</si>
  <si>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</si>
  <si>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</si>
  <si>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</si>
  <si>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</si>
  <si>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</si>
  <si>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</si>
  <si>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</si>
  <si>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</si>
  <si>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</si>
  <si>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</si>
  <si>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</si>
  <si>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</si>
  <si>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</si>
  <si>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</si>
  <si>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</si>
  <si>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</si>
  <si>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</si>
  <si>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</si>
  <si>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</si>
  <si>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</si>
  <si>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</si>
  <si>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</si>
  <si>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</si>
  <si>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</si>
  <si>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</si>
  <si>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</si>
  <si>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</si>
  <si>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</si>
  <si>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</si>
  <si>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</si>
  <si>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</si>
  <si>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</si>
  <si>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</si>
  <si>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</si>
  <si>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</si>
  <si>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</si>
  <si>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</si>
  <si>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</si>
  <si>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</si>
  <si>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</si>
  <si>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</si>
  <si>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</si>
  <si>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</si>
  <si>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</si>
  <si>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</si>
  <si>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</si>
  <si>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</si>
  <si>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</si>
  <si>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</si>
  <si>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</si>
  <si>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</si>
  <si>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</si>
  <si>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</si>
  <si>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</si>
  <si>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</si>
  <si>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</si>
  <si>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</si>
  <si>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</si>
  <si>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</si>
  <si>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</si>
  <si>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</si>
  <si>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</si>
  <si>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</si>
  <si>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</si>
  <si>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</si>
  <si>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</si>
  <si>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</si>
  <si>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</si>
  <si>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</si>
  <si>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</si>
  <si>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</si>
  <si>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</si>
  <si>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</si>
  <si>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</si>
  <si>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</si>
  <si>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</si>
  <si>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</si>
  <si>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</si>
  <si>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</si>
  <si>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</si>
  <si>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</si>
  <si>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</si>
  <si>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</si>
  <si>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</si>
  <si>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</si>
  <si>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</si>
  <si>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</si>
  <si>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</si>
  <si>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</si>
  <si>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</si>
  <si>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</si>
  <si>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</si>
  <si>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</si>
  <si>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</si>
  <si>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</si>
  <si>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</si>
  <si>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</si>
  <si>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</si>
  <si>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</si>
  <si>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</si>
  <si>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</si>
  <si>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</si>
  <si>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</si>
  <si>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</si>
  <si>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</si>
  <si>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</si>
  <si>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</si>
  <si>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</si>
  <si>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</si>
  <si>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</si>
  <si>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</si>
  <si>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</si>
  <si>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</si>
  <si>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</si>
  <si>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</si>
  <si>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</si>
  <si>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</si>
  <si>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</si>
  <si>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</si>
  <si>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</si>
  <si>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</si>
  <si>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</si>
  <si>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</si>
  <si>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</si>
  <si>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</si>
  <si>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</si>
  <si>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</si>
  <si>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</si>
  <si>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</si>
  <si>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</si>
  <si>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</si>
  <si>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</si>
  <si>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</si>
  <si>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</si>
  <si>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</si>
  <si>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</si>
  <si>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</si>
  <si>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</si>
  <si>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</si>
  <si>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</si>
  <si>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</si>
  <si>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</si>
  <si>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</si>
  <si>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</si>
  <si>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</si>
  <si>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</si>
  <si>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</si>
  <si>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</si>
  <si>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</si>
  <si>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</si>
  <si>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</si>
  <si>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</si>
  <si>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</si>
  <si>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</si>
  <si>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S6</t>
  </si>
  <si>
    <t>S11</t>
  </si>
  <si>
    <t>S12</t>
  </si>
  <si>
    <t>S28</t>
  </si>
  <si>
    <t>S29</t>
  </si>
  <si>
    <t>S30</t>
  </si>
  <si>
    <t>S31</t>
  </si>
  <si>
    <t>S33</t>
  </si>
  <si>
    <t>S46</t>
  </si>
  <si>
    <t>S47</t>
  </si>
  <si>
    <t>S52</t>
  </si>
  <si>
    <t>S53</t>
  </si>
  <si>
    <t>S59</t>
  </si>
  <si>
    <t>S62</t>
  </si>
  <si>
    <t>S64</t>
  </si>
  <si>
    <t>S65</t>
  </si>
  <si>
    <t>S69</t>
  </si>
  <si>
    <t>S70</t>
  </si>
  <si>
    <t>S71</t>
  </si>
  <si>
    <t>S72</t>
  </si>
  <si>
    <t>S79</t>
  </si>
  <si>
    <t>S86</t>
  </si>
  <si>
    <t>S92</t>
  </si>
  <si>
    <t>S94</t>
  </si>
  <si>
    <t>S103</t>
  </si>
  <si>
    <t>S104</t>
  </si>
  <si>
    <t>S109</t>
  </si>
  <si>
    <t>S114</t>
  </si>
  <si>
    <t>S116</t>
  </si>
  <si>
    <t>S121</t>
  </si>
  <si>
    <t>S124</t>
  </si>
  <si>
    <t>S125</t>
  </si>
  <si>
    <t>S138</t>
  </si>
  <si>
    <t>S143</t>
  </si>
  <si>
    <t>S147</t>
  </si>
  <si>
    <t>S149</t>
  </si>
  <si>
    <t>S150</t>
  </si>
  <si>
    <t>S151</t>
  </si>
  <si>
    <t>S153</t>
  </si>
  <si>
    <t>S161</t>
  </si>
  <si>
    <t>S165</t>
  </si>
  <si>
    <t>S168</t>
  </si>
  <si>
    <t>S177</t>
  </si>
  <si>
    <t>S179</t>
  </si>
  <si>
    <t>S180</t>
  </si>
  <si>
    <t>S181</t>
  </si>
  <si>
    <t>S187</t>
  </si>
  <si>
    <t>S192</t>
  </si>
  <si>
    <t>S194</t>
  </si>
  <si>
    <t>S197</t>
  </si>
  <si>
    <t>S200</t>
  </si>
  <si>
    <t>S202</t>
  </si>
  <si>
    <t>S207</t>
  </si>
  <si>
    <t>S214</t>
  </si>
  <si>
    <t>S216</t>
  </si>
  <si>
    <t>S220</t>
  </si>
  <si>
    <t>S227</t>
  </si>
  <si>
    <t>S231</t>
  </si>
  <si>
    <t>S232</t>
  </si>
  <si>
    <t>S244</t>
  </si>
  <si>
    <t>S245</t>
  </si>
  <si>
    <t>S249</t>
  </si>
  <si>
    <t>S252</t>
  </si>
  <si>
    <t>S254</t>
  </si>
  <si>
    <t>S255</t>
  </si>
  <si>
    <t>S259</t>
  </si>
  <si>
    <t>S263</t>
  </si>
  <si>
    <t>S265</t>
  </si>
  <si>
    <t>S272</t>
  </si>
  <si>
    <t>S273</t>
  </si>
  <si>
    <t>S276</t>
  </si>
  <si>
    <t>S287</t>
  </si>
  <si>
    <t>S289</t>
  </si>
  <si>
    <t>S291</t>
  </si>
  <si>
    <t>S293</t>
  </si>
  <si>
    <t>S295</t>
  </si>
  <si>
    <t>S310</t>
  </si>
  <si>
    <t>S314</t>
  </si>
  <si>
    <t>S315</t>
  </si>
  <si>
    <t>S318</t>
  </si>
  <si>
    <t>S321</t>
  </si>
  <si>
    <t>S322</t>
  </si>
  <si>
    <t>S326</t>
  </si>
  <si>
    <t>S330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</si>
  <si>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</si>
  <si>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</si>
  <si>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</si>
  <si>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</si>
  <si>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</si>
  <si>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</si>
  <si>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</si>
  <si>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</si>
  <si>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</si>
  <si>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</si>
  <si>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</si>
  <si>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</si>
  <si>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</si>
  <si>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</si>
  <si>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</si>
  <si>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</si>
  <si>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</si>
  <si>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</si>
  <si>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</si>
  <si>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</si>
  <si>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</si>
  <si>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</si>
  <si>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</si>
  <si>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</si>
  <si>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</si>
  <si>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</si>
  <si>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</si>
  <si>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</si>
  <si>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</si>
  <si>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</si>
  <si>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</si>
  <si>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</si>
  <si>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</si>
  <si>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</si>
  <si>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</si>
  <si>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</si>
  <si>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</si>
  <si>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</si>
  <si>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</si>
  <si>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</si>
  <si>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</si>
  <si>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</si>
  <si>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</si>
  <si>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</si>
  <si>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</si>
  <si>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</si>
  <si>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</si>
  <si>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</si>
  <si>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</si>
  <si>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</si>
  <si>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</si>
  <si>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</si>
  <si>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</si>
  <si>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</si>
  <si>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</si>
  <si>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</si>
  <si>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</si>
  <si>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</si>
  <si>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</si>
  <si>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</si>
  <si>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</si>
  <si>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</si>
  <si>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</si>
  <si>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</si>
  <si>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</si>
  <si>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</si>
  <si>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</si>
  <si>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</si>
  <si>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</si>
  <si>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</si>
  <si>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</si>
  <si>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</si>
  <si>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</si>
  <si>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</si>
  <si>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</si>
  <si>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</si>
  <si>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</si>
  <si>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</si>
  <si>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</si>
  <si>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</si>
  <si>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</si>
  <si>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</si>
  <si>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</si>
  <si>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</si>
  <si>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</si>
  <si>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</si>
  <si>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</si>
  <si>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</si>
  <si>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</si>
  <si>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</si>
  <si>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</si>
  <si>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</si>
  <si>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</si>
  <si>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</si>
  <si>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</si>
  <si>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</si>
  <si>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S77</t>
  </si>
  <si>
    <t>S113</t>
  </si>
  <si>
    <t>S115</t>
  </si>
  <si>
    <t>S127</t>
  </si>
  <si>
    <t>S129</t>
  </si>
  <si>
    <t>S203</t>
  </si>
  <si>
    <t>S239</t>
  </si>
  <si>
    <t>S248</t>
  </si>
  <si>
    <t>616082.383</t>
  </si>
  <si>
    <t>6788805.117</t>
  </si>
  <si>
    <t>471786.855</t>
  </si>
  <si>
    <t>6305857.614</t>
  </si>
  <si>
    <t>391974.531</t>
  </si>
  <si>
    <t>6368268.429</t>
  </si>
  <si>
    <t>546863.723</t>
  </si>
  <si>
    <t>6400508.784</t>
  </si>
  <si>
    <t>638830.703</t>
  </si>
  <si>
    <t>7045603.806</t>
  </si>
  <si>
    <t>460401.372</t>
  </si>
  <si>
    <t>6284393.216</t>
  </si>
  <si>
    <t>474480.891</t>
  </si>
  <si>
    <t>6343579.863</t>
  </si>
  <si>
    <t>487388.737</t>
  </si>
  <si>
    <t>6371779.548</t>
  </si>
  <si>
    <t>446889.271</t>
  </si>
  <si>
    <t>6371841.022</t>
  </si>
  <si>
    <t>443114.301</t>
  </si>
  <si>
    <t>6190853.762</t>
  </si>
  <si>
    <t>517314.007</t>
  </si>
  <si>
    <t>6317033.542</t>
  </si>
  <si>
    <t>540462.971</t>
  </si>
  <si>
    <t>6751332.822</t>
  </si>
  <si>
    <t>526387.375</t>
  </si>
  <si>
    <t>6262296.108</t>
  </si>
  <si>
    <t>453716.219</t>
  </si>
  <si>
    <t>6779949.128</t>
  </si>
  <si>
    <t>547203.684</t>
  </si>
  <si>
    <t>6731675.11</t>
  </si>
  <si>
    <t>571611.773</t>
  </si>
  <si>
    <t>6500526.624</t>
  </si>
  <si>
    <t>521609.56</t>
  </si>
  <si>
    <t>6387838.679</t>
  </si>
  <si>
    <t>396583.442</t>
  </si>
  <si>
    <t>6615360.993</t>
  </si>
  <si>
    <t>421697.541</t>
  </si>
  <si>
    <t>6242646.927</t>
  </si>
  <si>
    <t>574953.384</t>
  </si>
  <si>
    <t>6816447.791</t>
  </si>
  <si>
    <t>337325.403</t>
  </si>
  <si>
    <t>6346711.332</t>
  </si>
  <si>
    <t>576471.111</t>
  </si>
  <si>
    <t>7034954.789</t>
  </si>
  <si>
    <t>409911.313</t>
  </si>
  <si>
    <t>6771715.71</t>
  </si>
  <si>
    <t>541719.65</t>
  </si>
  <si>
    <t>6852534.141</t>
  </si>
  <si>
    <t>714799.006</t>
  </si>
  <si>
    <t>7246572.79</t>
  </si>
  <si>
    <t>538315.729</t>
  </si>
  <si>
    <t>6288533.279</t>
  </si>
  <si>
    <t>393351.246</t>
  </si>
  <si>
    <t>6580294.983</t>
  </si>
  <si>
    <t>384352.186</t>
  </si>
  <si>
    <t>6229294.213</t>
  </si>
  <si>
    <t>524879.804</t>
  </si>
  <si>
    <t>6528881.518</t>
  </si>
  <si>
    <t>412525.939</t>
  </si>
  <si>
    <t>6384775.435</t>
  </si>
  <si>
    <t>687599.024</t>
  </si>
  <si>
    <t>7025401.576</t>
  </si>
  <si>
    <t>416771.21</t>
  </si>
  <si>
    <t>6670533.736</t>
  </si>
  <si>
    <t>564332.341</t>
  </si>
  <si>
    <t>6307254.689</t>
  </si>
  <si>
    <t>434196.756</t>
  </si>
  <si>
    <t>6214218.833</t>
  </si>
  <si>
    <t>540909.073</t>
  </si>
  <si>
    <t>6690061.521</t>
  </si>
  <si>
    <t>434822.027</t>
  </si>
  <si>
    <t>6406141.17</t>
  </si>
  <si>
    <t>384838.894</t>
  </si>
  <si>
    <t>6322310.669</t>
  </si>
  <si>
    <t>785794.93</t>
  </si>
  <si>
    <t>7202452.334</t>
  </si>
  <si>
    <t>555772.983</t>
  </si>
  <si>
    <t>6289444.695</t>
  </si>
  <si>
    <t>423767.964</t>
  </si>
  <si>
    <t>6412644.422</t>
  </si>
  <si>
    <t>570728.086</t>
  </si>
  <si>
    <t>6494459.622</t>
  </si>
  <si>
    <t>690465.795</t>
  </si>
  <si>
    <t>7285826.417</t>
  </si>
  <si>
    <t>368030.898</t>
  </si>
  <si>
    <t>6347223.499</t>
  </si>
  <si>
    <t>600413.891</t>
  </si>
  <si>
    <t>6794193.933</t>
  </si>
  <si>
    <t>722958.445</t>
  </si>
  <si>
    <t>7140317.721</t>
  </si>
  <si>
    <t>781340.018</t>
  </si>
  <si>
    <t>7188247.107</t>
  </si>
  <si>
    <t>555524.753</t>
  </si>
  <si>
    <t>6801908.009</t>
  </si>
  <si>
    <t>869583.087</t>
  </si>
  <si>
    <t>7327590.757</t>
  </si>
  <si>
    <t>620765.442</t>
  </si>
  <si>
    <t>6569741.032</t>
  </si>
  <si>
    <t>477718.151</t>
  </si>
  <si>
    <t>6762643.549</t>
  </si>
  <si>
    <t>801248.35</t>
  </si>
  <si>
    <t>7258181.704</t>
  </si>
  <si>
    <t>785596.145</t>
  </si>
  <si>
    <t>7281210.53</t>
  </si>
  <si>
    <t>832959.329</t>
  </si>
  <si>
    <t>7307211.15</t>
  </si>
  <si>
    <t>771463.114</t>
  </si>
  <si>
    <t>7098747.489</t>
  </si>
  <si>
    <t>400411.134</t>
  </si>
  <si>
    <t>6373765.668</t>
  </si>
  <si>
    <t>526537.858</t>
  </si>
  <si>
    <t>6665115.875</t>
  </si>
  <si>
    <t>466681.988</t>
  </si>
  <si>
    <t>6294067.614</t>
  </si>
  <si>
    <t>473342.963</t>
  </si>
  <si>
    <t>6962925.136</t>
  </si>
  <si>
    <t>397511.051</t>
  </si>
  <si>
    <t>6245117.83</t>
  </si>
  <si>
    <t>775026.349</t>
  </si>
  <si>
    <t>440374.34</t>
  </si>
  <si>
    <t>6332688.221</t>
  </si>
  <si>
    <t>GpsNorth</t>
  </si>
  <si>
    <t>GPSEast</t>
  </si>
  <si>
    <t>Capacity</t>
  </si>
  <si>
    <t>sawmal</t>
  </si>
  <si>
    <t>sawmpi</t>
  </si>
  <si>
    <t>sawmsp</t>
  </si>
  <si>
    <t>Location</t>
  </si>
  <si>
    <t>Gävle</t>
  </si>
  <si>
    <t>Frövi</t>
  </si>
  <si>
    <t>Iggesund</t>
  </si>
  <si>
    <t>Holmen</t>
  </si>
  <si>
    <t>Hallsta</t>
  </si>
  <si>
    <t>Holmen Paper AB</t>
  </si>
  <si>
    <t>Braviken</t>
  </si>
  <si>
    <t>Domsjö Fabriker AB</t>
  </si>
  <si>
    <t>Husum</t>
  </si>
  <si>
    <t>Metsä Board</t>
  </si>
  <si>
    <t>Waggeryd Cell AB</t>
  </si>
  <si>
    <t>Vallviks Bruk AB (Rottneros)</t>
  </si>
  <si>
    <t>Stora Enso Pulp AB</t>
  </si>
  <si>
    <t>Hylte</t>
  </si>
  <si>
    <t>Stora Enso Paper</t>
  </si>
  <si>
    <t>Skoghall</t>
  </si>
  <si>
    <t>Skärblacka</t>
  </si>
  <si>
    <t>Stora Enso Nymölla AB</t>
  </si>
  <si>
    <t>Kvarnsveden</t>
  </si>
  <si>
    <t xml:space="preserve">Stora Enso </t>
  </si>
  <si>
    <t>Fors</t>
  </si>
  <si>
    <t>Stora Enso</t>
  </si>
  <si>
    <t>Piteå</t>
  </si>
  <si>
    <t xml:space="preserve">Smurfit Kappa </t>
  </si>
  <si>
    <t>Obbola</t>
  </si>
  <si>
    <t>Munksund</t>
  </si>
  <si>
    <t>SCA</t>
  </si>
  <si>
    <t>Ortviken</t>
  </si>
  <si>
    <t>Östrand</t>
  </si>
  <si>
    <t>Södra Cell Värö</t>
  </si>
  <si>
    <t>Södra Cell Mörrum</t>
  </si>
  <si>
    <t>Karlsborg</t>
  </si>
  <si>
    <t>Södra Cell Mönsterås</t>
  </si>
  <si>
    <t>Rottneros Bruk AB</t>
  </si>
  <si>
    <t>Säffle</t>
  </si>
  <si>
    <t xml:space="preserve">Nordic Paper </t>
  </si>
  <si>
    <t>Bäckhammar</t>
  </si>
  <si>
    <t>Ahlstrom-Munksjö AB, Billingsfors Bruk</t>
  </si>
  <si>
    <t>Ahlstrom-Munksjö AB, Jönköpingsanläggningen</t>
  </si>
  <si>
    <t>M-real Sverige AB</t>
  </si>
  <si>
    <t>Dynäs</t>
  </si>
  <si>
    <t xml:space="preserve">Mondi </t>
  </si>
  <si>
    <t>Lessebo Bruk</t>
  </si>
  <si>
    <t>Billerud/Korsnäs Rockhammar AB</t>
  </si>
  <si>
    <t>Gruvön</t>
  </si>
  <si>
    <t xml:space="preserve">BillerudKorsnäs </t>
  </si>
  <si>
    <t>-</t>
  </si>
  <si>
    <t>Heatpl</t>
  </si>
  <si>
    <t>PuDiss</t>
  </si>
  <si>
    <t>Massa: Sulfat marknadsmassa</t>
  </si>
  <si>
    <t>Papper: Säck, MF kraftpapper , MG kraftpapper , Kraftliner, Fluting, Vätskekartong
Massa: Sulfat marknadsmassa</t>
  </si>
  <si>
    <t>Papper: Specialpapper
Massa: Integrerad sulfat</t>
  </si>
  <si>
    <t>Papper: Sulfatkartong, Vätskekartong
Massa: Integrerad sulfat</t>
  </si>
  <si>
    <t>Papper: Säck, MF kraftpapper
Massa: Sulfat marknadsmassa, Integrerad sulfat</t>
  </si>
  <si>
    <t>Papper: Kraftliner, Övrig kartong
Massa: Sulfat marknadsmassa, Integrerad sulfat</t>
  </si>
  <si>
    <t>Papper: Specialpapper
Massa: Sulfat marknadsmassa, Integrerad sulfat</t>
  </si>
  <si>
    <t>Papper: Säck, MF kraftpapper , MG kraftpapper
Massa: Sulfat marknadsmassa, Integrerad sulfat</t>
  </si>
  <si>
    <t>Papper: Säck, MF kraftpapper
Massa: Integrerad sulfat</t>
  </si>
  <si>
    <t>Papper: Sulfatkartong
Massa: Sulfat marknadsmassa, Integrerad sulfat</t>
  </si>
  <si>
    <t>Massa: Sulfat marknadsmassa, Mekanisk marknadsmassa</t>
  </si>
  <si>
    <t>Papper: Kraftliner
Massa: Integrerad sulfat</t>
  </si>
  <si>
    <t>Papper: Kraftliner, Testliner
Massa: Integrerad sulfat</t>
  </si>
  <si>
    <t>Company</t>
  </si>
  <si>
    <t>Skutskär</t>
  </si>
  <si>
    <t>Papper: Vätskekartong, Övrig kartong
Massa: Integrerad sulfat, Integrerad mekanisk</t>
  </si>
  <si>
    <t>Papper: Finpapper
Massa: Sulfit marknadsmassa, Integrerad sulfit</t>
  </si>
  <si>
    <t>Massa: Integrerad mekanisk</t>
  </si>
  <si>
    <t>Papper: Tidningspapper, SC/LWC
Massa: Integrerad mekanisk</t>
  </si>
  <si>
    <t>Papper: SC/LWC
Massa: Integrerad mekanisk</t>
  </si>
  <si>
    <t>Papper: Tidningspapper
Massa: Integrerad mekanisk</t>
  </si>
  <si>
    <t>Skogsindustrierna (ej: Domsjö)</t>
  </si>
  <si>
    <t>Papper: Övrig kartong
Massa: Integrerad mekanisk (CTMP)</t>
  </si>
  <si>
    <t>Domsjö</t>
  </si>
  <si>
    <t>Massa: Dissolving (cellulosa, lignin och bioetanol)</t>
  </si>
  <si>
    <t>Papper: Säck, MF kraftpapper , MG kraftpapper , Fluting
Massa: Sultfat (?)</t>
  </si>
  <si>
    <t>Papper: Övrig kartong
Massa: Integrerad sulfat</t>
  </si>
  <si>
    <t>Massa: Sulfat marknadsmassa, Mekanisk marknadsmassa (CTMP)</t>
  </si>
  <si>
    <t>Vaggeryd</t>
  </si>
  <si>
    <t>Massa: Mekanisk marknadsmassa (BCTMP)</t>
  </si>
  <si>
    <t>PuChem</t>
  </si>
  <si>
    <t>PaChem</t>
  </si>
  <si>
    <t>OtChem</t>
  </si>
  <si>
    <t>OtMech</t>
  </si>
  <si>
    <t>PuMech</t>
  </si>
  <si>
    <t>NwMech</t>
  </si>
  <si>
    <t>PuCTMP</t>
  </si>
  <si>
    <t>PuBCCS</t>
  </si>
  <si>
    <t>HTLpl_</t>
  </si>
  <si>
    <t>PaBCCS</t>
  </si>
  <si>
    <t>OtBCCS</t>
  </si>
  <si>
    <t>Process</t>
  </si>
  <si>
    <t>Sawmpi</t>
  </si>
  <si>
    <t>Sawmsp</t>
  </si>
  <si>
    <t>Sawmal</t>
  </si>
  <si>
    <t>CHPpl_</t>
  </si>
  <si>
    <t>No.</t>
  </si>
  <si>
    <t>Sawmills</t>
  </si>
  <si>
    <t>Pulp mills</t>
  </si>
  <si>
    <t>Paper mills</t>
  </si>
  <si>
    <t>DHPs</t>
  </si>
  <si>
    <t>DHPs  w. el.</t>
  </si>
  <si>
    <t>Eget</t>
  </si>
  <si>
    <t>FTDpl_</t>
  </si>
  <si>
    <t>sawmbe</t>
  </si>
  <si>
    <t>T1</t>
  </si>
  <si>
    <t>T2</t>
  </si>
  <si>
    <t>T3</t>
  </si>
  <si>
    <t>T4</t>
  </si>
  <si>
    <t>Facility_1</t>
  </si>
  <si>
    <t>Facility_2</t>
  </si>
  <si>
    <t>Facility_3</t>
  </si>
  <si>
    <t>Facility_4</t>
  </si>
  <si>
    <t>Facility_5</t>
  </si>
  <si>
    <t>Facility_6</t>
  </si>
  <si>
    <t>Type2</t>
  </si>
  <si>
    <t>Capacity3</t>
  </si>
  <si>
    <t>Type4</t>
  </si>
  <si>
    <t>Capacity5</t>
  </si>
  <si>
    <t>Type6</t>
  </si>
  <si>
    <t>Comments</t>
  </si>
  <si>
    <t>Type1</t>
  </si>
  <si>
    <t>Capacity1</t>
  </si>
  <si>
    <t>Capacity2</t>
  </si>
  <si>
    <t>Capacity6</t>
  </si>
  <si>
    <t>Type3</t>
  </si>
  <si>
    <t>Capacity4</t>
  </si>
  <si>
    <t>Type5</t>
  </si>
  <si>
    <t>X100</t>
  </si>
  <si>
    <t>Y222</t>
  </si>
  <si>
    <t>TotalDeliveries</t>
  </si>
  <si>
    <t>ShareHeat</t>
  </si>
  <si>
    <t>ShareEl</t>
  </si>
  <si>
    <t>MinCHPpl</t>
  </si>
  <si>
    <t>MinHeatpl</t>
  </si>
  <si>
    <t>Production</t>
  </si>
  <si>
    <t>Min sawm</t>
  </si>
  <si>
    <t>TerSee</t>
  </si>
  <si>
    <t>TerHea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</si>
</sst>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62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95B3D7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1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</cellStyleXfs>
  <cellXfs count="38">
    <xf numFmtId="0" fontId="0" fillId="0" borderId="0" xfId="0"/>
    <xf numFmtId="0" fontId="0" fillId="0" borderId="0" xfId="0"/>
    <xf numFmtId="0" fontId="0" fillId="0" borderId="0" xfId="0" applyFill="1"/>
    <xf numFmtId="0" fontId="0" fillId="0" borderId="3" xfId="0" applyBorder="1"/>
    <xf numFmtId="0" fontId="4" fillId="0" borderId="0" xfId="0" applyFont="1"/>
    <xf numFmtId="0" fontId="0" fillId="0" borderId="3" xfId="0" applyFill="1" applyBorder="1"/>
    <xf numFmtId="0" fontId="0" fillId="0" borderId="0" xfId="0" applyBorder="1"/>
    <xf numFmtId="3" fontId="0" fillId="0" borderId="0" xfId="0" applyNumberFormat="1"/>
    <xf numFmtId="0" fontId="0" fillId="0" borderId="4" xfId="0" applyBorder="1"/>
    <xf numFmtId="3" fontId="0" fillId="0" borderId="0" xfId="0" applyNumberFormat="1" applyBorder="1"/>
    <xf numFmtId="0" fontId="5" fillId="0" borderId="0" xfId="0" applyFont="1"/>
    <xf numFmtId="3" fontId="5" fillId="0" borderId="0" xfId="0" applyNumberFormat="1" applyFont="1"/>
    <xf numFmtId="0" fontId="5" fillId="0" borderId="4" xfId="0" applyFont="1" applyBorder="1"/>
    <xf numFmtId="3" fontId="5" fillId="0" borderId="4" xfId="0" applyNumberFormat="1" applyFont="1" applyBorder="1"/>
    <xf numFmtId="3" fontId="0" fillId="0" borderId="0" xfId="0" applyNumberFormat="1" applyFill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1" fontId="0" fillId="0" borderId="0" xfId="0" applyNumberFormat="1" applyAlignment="1"/>
    <xf numFmtId="1" fontId="0" fillId="2" borderId="2" xfId="0" applyNumberFormat="1" applyFill="1" applyBorder="1"/>
    <xf numFmtId="0" fontId="0" fillId="2" borderId="2" xfId="0" applyFill="1" applyBorder="1"/>
    <xf numFmtId="1" fontId="0" fillId="2" borderId="2" xfId="0" applyNumberFormat="1" applyFill="1" applyBorder="1" applyAlignment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2" xfId="0" applyBorder="1"/>
    <xf numFmtId="0" fontId="6" fillId="0" borderId="0" xfId="0" applyFont="1"/>
    <xf numFmtId="0" fontId="6" fillId="0" borderId="6" xfId="0" applyFont="1" applyBorder="1"/>
    <xf numFmtId="0" fontId="0" fillId="0" borderId="0" xfId="0" applyFont="1"/>
    <xf numFmtId="3" fontId="0" fillId="0" borderId="0" xfId="0" applyNumberFormat="1" applyFont="1"/>
    <xf numFmtId="0" fontId="0" fillId="3" borderId="0" xfId="0" applyFill="1"/>
    <xf numFmtId="0" fontId="0" fillId="3" borderId="3" xfId="0" applyFill="1" applyBorder="1"/>
    <xf numFmtId="0" fontId="0" fillId="3" borderId="0" xfId="0" applyFill="1" applyBorder="1"/>
    <xf numFmtId="0" fontId="0" fillId="3" borderId="7" xfId="0" applyFill="1" applyBorder="1"/>
    <xf numFmtId="0" fontId="0" fillId="3" borderId="5" xfId="0" applyFill="1" applyBorder="1"/>
    <xf numFmtId="1" fontId="6" fillId="0" borderId="0" xfId="0" applyNumberFormat="1" applyFont="1"/>
    <xf numFmtId="1" fontId="0" fillId="0" borderId="5" xfId="0" applyNumberFormat="1" applyBorder="1"/>
    <xf numFmtId="1" fontId="0" fillId="3" borderId="0" xfId="0" applyNumberFormat="1" applyFill="1" applyBorder="1"/>
  </cellXfs>
  <cellStyles count="8">
    <cellStyle name="Head" xfId="2" xr:uid="{00000000-0005-0000-0000-000000000000}"/>
    <cellStyle name="Normal" xfId="0" builtinId="0"/>
    <cellStyle name="Normal 2" xfId="6" xr:uid="{00000000-0005-0000-0000-000002000000}"/>
    <cellStyle name="Normal 3" xfId="5" xr:uid="{00000000-0005-0000-0000-000003000000}"/>
    <cellStyle name="Normal 5" xfId="1" xr:uid="{00000000-0005-0000-0000-000004000000}"/>
    <cellStyle name="Normal 7" xfId="3" xr:uid="{00000000-0005-0000-0000-000005000000}"/>
    <cellStyle name="Normal 8" xfId="7" xr:uid="{00000000-0005-0000-0000-000006000000}"/>
    <cellStyle name="Procent 4" xfId="4" xr:uid="{00000000-0005-0000-0000-000007000000}"/>
  </cellStyles>
  <dxfs count="69">
    <dxf>
      <numFmt numFmtId="3" formatCode="#,##0"/>
    </dxf>
    <dxf>
      <numFmt numFmtId="3" formatCode="#,##0"/>
    </dxf>
    <dxf>
      <border outline="0">
        <bottom style="medium">
          <color indexed="64"/>
        </bottom>
      </border>
    </dxf>
    <dxf>
      <border outline="0">
        <bottom style="medium">
          <color indexed="64"/>
        </bottom>
      </border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oframeData\NewIO\Input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s"/>
      <sheetName val="Processes"/>
      <sheetName val="IO"/>
      <sheetName val="ConvFact"/>
      <sheetName val="Trp"/>
      <sheetName val="SKA22"/>
      <sheetName val="FAO"/>
      <sheetName val="IIASA"/>
      <sheetName val="Cforest"/>
      <sheetName val="Termin"/>
      <sheetName val="Sawmpi"/>
      <sheetName val="Sawmsp"/>
      <sheetName val="Sawmal"/>
      <sheetName val="Heatpl"/>
      <sheetName val="CHPpl_"/>
      <sheetName val="HTLpl_"/>
      <sheetName val="PuChem"/>
      <sheetName val="PuCTMP"/>
      <sheetName val="PuMech"/>
      <sheetName val="PuDiss"/>
      <sheetName val="PaChem"/>
      <sheetName val="OtChem"/>
      <sheetName val="OtMech"/>
      <sheetName val="NwMech"/>
      <sheetName val="PuBCCS"/>
      <sheetName val="PaBCCS"/>
      <sheetName val="OtBCCS"/>
    </sheetNames>
    <sheetDataSet>
      <sheetData sheetId="0">
        <row r="1">
          <cell r="A1" t="str">
            <v>Factor</v>
          </cell>
        </row>
      </sheetData>
      <sheetData sheetId="1">
        <row r="2">
          <cell r="A2" t="str">
            <v>Sawmpi</v>
          </cell>
        </row>
        <row r="3">
          <cell r="A3" t="str">
            <v>Sawmsp</v>
          </cell>
        </row>
        <row r="4">
          <cell r="A4" t="str">
            <v>Sawmbe</v>
          </cell>
        </row>
        <row r="5">
          <cell r="A5" t="str">
            <v>Sawmal</v>
          </cell>
        </row>
        <row r="6">
          <cell r="A6" t="str">
            <v>Heatpl</v>
          </cell>
        </row>
        <row r="7">
          <cell r="A7" t="str">
            <v>CHPpl_</v>
          </cell>
        </row>
        <row r="8">
          <cell r="A8" t="str">
            <v>FTDpl_</v>
          </cell>
        </row>
        <row r="9">
          <cell r="A9" t="str">
            <v>PuChem</v>
          </cell>
        </row>
        <row r="10">
          <cell r="A10" t="str">
            <v>PuCTMP</v>
          </cell>
        </row>
        <row r="11">
          <cell r="A11" t="str">
            <v>PuMech</v>
          </cell>
        </row>
        <row r="12">
          <cell r="A12" t="str">
            <v>PuDiss</v>
          </cell>
        </row>
        <row r="13">
          <cell r="A13" t="str">
            <v>PaChem</v>
          </cell>
        </row>
        <row r="14">
          <cell r="A14" t="str">
            <v>OtChem</v>
          </cell>
        </row>
        <row r="15">
          <cell r="A15" t="str">
            <v>OtMech</v>
          </cell>
        </row>
        <row r="16">
          <cell r="A16" t="str">
            <v>NwMech</v>
          </cell>
        </row>
        <row r="17">
          <cell r="A17" t="str">
            <v>PuBCCS</v>
          </cell>
        </row>
        <row r="18">
          <cell r="A18" t="str">
            <v>PaBCCS</v>
          </cell>
        </row>
        <row r="19">
          <cell r="A19" t="str">
            <v>OtBCCS</v>
          </cell>
        </row>
        <row r="20">
          <cell r="A20" t="str">
            <v>TerFTD</v>
          </cell>
        </row>
        <row r="21">
          <cell r="A21" t="str">
            <v>TerTsp</v>
          </cell>
        </row>
        <row r="22">
          <cell r="A22" t="str">
            <v>TerTal</v>
          </cell>
        </row>
        <row r="23">
          <cell r="A23" t="str">
            <v>TerPsp</v>
          </cell>
        </row>
        <row r="24">
          <cell r="A24" t="str">
            <v>TerPal</v>
          </cell>
        </row>
        <row r="25">
          <cell r="A25" t="str">
            <v>TerHea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U400" totalsRowShown="0" headerRowDxfId="68">
  <tableColumns count="21">
    <tableColumn id="1" xr3:uid="{00000000-0010-0000-0000-000001000000}" name="Location"/>
    <tableColumn id="2" xr3:uid="{00000000-0010-0000-0000-000002000000}" name="GpsNorth"/>
    <tableColumn id="3" xr3:uid="{00000000-0010-0000-0000-000003000000}" name="GPSEast"/>
    <tableColumn id="4" xr3:uid="{00000000-0010-0000-0000-000004000000}" name="Facility_1" dataDxfId="67">
      <calculatedColumnFormula>$A2&amp;"F"</calculatedColumnFormula>
    </tableColumn>
    <tableColumn id="5" xr3:uid="{00000000-0010-0000-0000-000005000000}" name="Type1"/>
    <tableColumn id="6" xr3:uid="{00000000-0010-0000-0000-000006000000}" name="Capacity1" dataDxfId="66"/>
    <tableColumn id="7" xr3:uid="{00000000-0010-0000-0000-000007000000}" name="Facility_2" dataDxfId="65">
      <calculatedColumnFormula>D2&amp;"F"&amp;RIGHT(G$1,1)</calculatedColumnFormula>
    </tableColumn>
    <tableColumn id="8" xr3:uid="{00000000-0010-0000-0000-000008000000}" name="Type2"/>
    <tableColumn id="9" xr3:uid="{00000000-0010-0000-0000-000009000000}" name="Capacity2" dataDxfId="64"/>
    <tableColumn id="10" xr3:uid="{00000000-0010-0000-0000-00000A000000}" name="Facility_3" dataDxfId="63">
      <calculatedColumnFormula>G2&amp;"F"&amp;RIGHT(J$1,1)</calculatedColumnFormula>
    </tableColumn>
    <tableColumn id="11" xr3:uid="{00000000-0010-0000-0000-00000B000000}" name="Type3"/>
    <tableColumn id="12" xr3:uid="{00000000-0010-0000-0000-00000C000000}" name="Capacity3" dataDxfId="62"/>
    <tableColumn id="13" xr3:uid="{00000000-0010-0000-0000-00000D000000}" name="Facility_4" dataDxfId="61">
      <calculatedColumnFormula>J2&amp;"F"&amp;RIGHT(M$1,1)</calculatedColumnFormula>
    </tableColumn>
    <tableColumn id="14" xr3:uid="{00000000-0010-0000-0000-00000E000000}" name="Type4"/>
    <tableColumn id="15" xr3:uid="{00000000-0010-0000-0000-00000F000000}" name="Capacity4" dataDxfId="60"/>
    <tableColumn id="16" xr3:uid="{00000000-0010-0000-0000-000010000000}" name="Facility_5" dataDxfId="59">
      <calculatedColumnFormula>M2&amp;"F"&amp;RIGHT(P$1,1)</calculatedColumnFormula>
    </tableColumn>
    <tableColumn id="17" xr3:uid="{00000000-0010-0000-0000-000011000000}" name="Type5"/>
    <tableColumn id="18" xr3:uid="{00000000-0010-0000-0000-000012000000}" name="Capacity5" dataDxfId="58"/>
    <tableColumn id="19" xr3:uid="{00000000-0010-0000-0000-000013000000}" name="Facility_6" dataDxfId="57">
      <calculatedColumnFormula>P2&amp;"F"&amp;RIGHT(S$1,1)</calculatedColumnFormula>
    </tableColumn>
    <tableColumn id="20" xr3:uid="{00000000-0010-0000-0000-000014000000}" name="Type6"/>
    <tableColumn id="21" xr3:uid="{00000000-0010-0000-0000-000015000000}" name="Capacity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35" displayName="Table35" ref="A1:U400" totalsRowShown="0" headerRowDxfId="56">
  <tableColumns count="21">
    <tableColumn id="1" xr3:uid="{00000000-0010-0000-0100-000001000000}" name="Location"/>
    <tableColumn id="2" xr3:uid="{00000000-0010-0000-0100-000002000000}" name="GpsNorth"/>
    <tableColumn id="3" xr3:uid="{00000000-0010-0000-0100-000003000000}" name="GPSEast"/>
    <tableColumn id="4" xr3:uid="{00000000-0010-0000-0100-000004000000}" name="Facility_1" dataDxfId="55">
      <calculatedColumnFormula>$A2&amp;RIGHT(D$1,1)&amp;"F"</calculatedColumnFormula>
    </tableColumn>
    <tableColumn id="5" xr3:uid="{00000000-0010-0000-0100-000005000000}" name="Type1" dataDxfId="54">
      <calculatedColumnFormula>IF(D2="-","-","Heatpl")</calculatedColumnFormula>
    </tableColumn>
    <tableColumn id="6" xr3:uid="{00000000-0010-0000-0100-000006000000}" name="Capacity1" dataDxfId="53">
      <calculatedColumnFormula>IF(1.2*1000*$V2&gt;=$Y$3,1.2*$V2*1000,"-")</calculatedColumnFormula>
    </tableColumn>
    <tableColumn id="7" xr3:uid="{00000000-0010-0000-0100-000007000000}" name="Facility_2" dataDxfId="52">
      <calculatedColumnFormula>IF(Table35[[#This Row],[Capacity1]]&lt;&gt;"-",Table35[[#This Row],[Location]]&amp;RIGHT(Table35[[#Headers],[Facility_2]],1)&amp;"F","-")</calculatedColumnFormula>
    </tableColumn>
    <tableColumn id="8" xr3:uid="{00000000-0010-0000-0100-000008000000}" name="Type2" dataDxfId="51">
      <calculatedColumnFormula>IF(G2="-","-","TerHea")</calculatedColumnFormula>
    </tableColumn>
    <tableColumn id="9" xr3:uid="{00000000-0010-0000-0100-000009000000}" name="Capacity2" dataDxfId="50">
      <calculatedColumnFormula>IF(H2="-",0,9999)</calculatedColumnFormula>
    </tableColumn>
    <tableColumn id="10" xr3:uid="{00000000-0010-0000-0100-00000A000000}" name="Facility_3" dataDxfId="49">
      <calculatedColumnFormula>IF(Table35[[#This Row],[Capacity1]]*X2&gt;=$Y$5,Table35[[#This Row],[Location]]&amp;RIGHT(Table35[[#Headers],[Facility_3]],1)&amp;"F","-")</calculatedColumnFormula>
    </tableColumn>
    <tableColumn id="11" xr3:uid="{00000000-0010-0000-0100-00000B000000}" name="Type3" dataDxfId="48">
      <calculatedColumnFormula>IF(J2="-","-","CHPpl_")</calculatedColumnFormula>
    </tableColumn>
    <tableColumn id="12" xr3:uid="{00000000-0010-0000-0100-00000C000000}" name="Capacity3" dataDxfId="47">
      <calculatedColumnFormula>IF(K2="-","-",F2*X2)</calculatedColumnFormula>
    </tableColumn>
    <tableColumn id="13" xr3:uid="{00000000-0010-0000-0100-00000D000000}" name="Facility_4" dataDxfId="46"/>
    <tableColumn id="14" xr3:uid="{00000000-0010-0000-0100-00000E000000}" name="Type4"/>
    <tableColumn id="15" xr3:uid="{00000000-0010-0000-0100-00000F000000}" name="Capacity4" dataDxfId="45"/>
    <tableColumn id="16" xr3:uid="{00000000-0010-0000-0100-000010000000}" name="Facility_5" dataDxfId="44"/>
    <tableColumn id="17" xr3:uid="{00000000-0010-0000-0100-000011000000}" name="Type5"/>
    <tableColumn id="18" xr3:uid="{00000000-0010-0000-0100-000012000000}" name="Capacity5" dataDxfId="43"/>
    <tableColumn id="19" xr3:uid="{00000000-0010-0000-0100-000013000000}" name="Facility_6" dataDxfId="42"/>
    <tableColumn id="20" xr3:uid="{00000000-0010-0000-0100-000014000000}" name="Type6"/>
    <tableColumn id="21" xr3:uid="{00000000-0010-0000-0100-000015000000}" name="Capacity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36" displayName="Table36" ref="A1:U400" totalsRowShown="0" headerRowDxfId="41">
  <sortState xmlns:xlrd2="http://schemas.microsoft.com/office/spreadsheetml/2017/richdata2" ref="A2:U400">
    <sortCondition ref="A2:A400"/>
  </sortState>
  <tableColumns count="21">
    <tableColumn id="1" xr3:uid="{00000000-0010-0000-0200-000001000000}" name="Location"/>
    <tableColumn id="2" xr3:uid="{00000000-0010-0000-0200-000002000000}" name="GpsNorth"/>
    <tableColumn id="3" xr3:uid="{00000000-0010-0000-0200-000003000000}" name="GPSEast"/>
    <tableColumn id="4" xr3:uid="{00000000-0010-0000-0200-000004000000}" name="Facility_1" dataDxfId="40">
      <calculatedColumnFormula>$A2&amp;"F"</calculatedColumnFormula>
    </tableColumn>
    <tableColumn id="5" xr3:uid="{00000000-0010-0000-0200-000005000000}" name="Type1"/>
    <tableColumn id="6" xr3:uid="{00000000-0010-0000-0200-000006000000}" name="Capacity1" dataDxfId="39">
      <calculatedColumnFormula>IF(Table36[[#This Row],[Facility_1]]="-",0,V2)</calculatedColumnFormula>
    </tableColumn>
    <tableColumn id="7" xr3:uid="{00000000-0010-0000-0200-000007000000}" name="Facility_2" dataDxfId="38">
      <calculatedColumnFormula>IF(D2="-","-",$A2&amp;"L"&amp;G$1)</calculatedColumnFormula>
    </tableColumn>
    <tableColumn id="8" xr3:uid="{00000000-0010-0000-0200-000008000000}" name="Type2" dataDxfId="37">
      <calculatedColumnFormula>IF(E2="sawmal","TerTal",IF(E2="sawmpi","TerTpi",IF(E2="sawmsp","TerTsp","")))</calculatedColumnFormula>
    </tableColumn>
    <tableColumn id="9" xr3:uid="{00000000-0010-0000-0200-000009000000}" name="Capacity2" dataDxfId="36"/>
    <tableColumn id="10" xr3:uid="{00000000-0010-0000-0200-00000A000000}" name="Facility_3" dataDxfId="35">
      <calculatedColumnFormula>$A2&amp;RIGHT(J$1,1)&amp;"F"</calculatedColumnFormula>
    </tableColumn>
    <tableColumn id="11" xr3:uid="{00000000-0010-0000-0200-00000B000000}" name="Type3"/>
    <tableColumn id="12" xr3:uid="{00000000-0010-0000-0200-00000C000000}" name="Capacity3" dataDxfId="34">
      <calculatedColumnFormula>IF(Table36[[#This Row],[Facility_1]]="-",0,AB2)</calculatedColumnFormula>
    </tableColumn>
    <tableColumn id="13" xr3:uid="{00000000-0010-0000-0200-00000D000000}" name="Facility_4" dataDxfId="33">
      <calculatedColumnFormula>$A2&amp;RIGHT(M$1,1)&amp;"F"</calculatedColumnFormula>
    </tableColumn>
    <tableColumn id="14" xr3:uid="{00000000-0010-0000-0200-00000E000000}" name="Type4"/>
    <tableColumn id="15" xr3:uid="{00000000-0010-0000-0200-00000F000000}" name="Capacity4" dataDxfId="32"/>
    <tableColumn id="16" xr3:uid="{00000000-0010-0000-0200-000010000000}" name="Facility_5" dataDxfId="31">
      <calculatedColumnFormula>$A2&amp;RIGHT(P$1,1)&amp;"F"</calculatedColumnFormula>
    </tableColumn>
    <tableColumn id="17" xr3:uid="{00000000-0010-0000-0200-000011000000}" name="Type5"/>
    <tableColumn id="18" xr3:uid="{00000000-0010-0000-0200-000012000000}" name="Capacity5" dataDxfId="30"/>
    <tableColumn id="19" xr3:uid="{00000000-0010-0000-0200-000013000000}" name="Facility_6" dataDxfId="29">
      <calculatedColumnFormula>$A2&amp;RIGHT(S$1,1)&amp;"F"</calculatedColumnFormula>
    </tableColumn>
    <tableColumn id="20" xr3:uid="{00000000-0010-0000-0200-000014000000}" name="Type6"/>
    <tableColumn id="21" xr3:uid="{00000000-0010-0000-0200-000015000000}" name="Capacity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37" displayName="Table37" ref="A1:U400" totalsRowShown="0" headerRowDxfId="28">
  <tableColumns count="21">
    <tableColumn id="1" xr3:uid="{00000000-0010-0000-0300-000001000000}" name="Location"/>
    <tableColumn id="2" xr3:uid="{00000000-0010-0000-0300-000002000000}" name="GpsNorth"/>
    <tableColumn id="3" xr3:uid="{00000000-0010-0000-0300-000003000000}" name="GPSEast"/>
    <tableColumn id="4" xr3:uid="{00000000-0010-0000-0300-000004000000}" name="Facility_1" dataDxfId="27">
      <calculatedColumnFormula>$A2&amp;"F"</calculatedColumnFormula>
    </tableColumn>
    <tableColumn id="5" xr3:uid="{00000000-0010-0000-0300-000005000000}" name="Type1"/>
    <tableColumn id="6" xr3:uid="{00000000-0010-0000-0300-000006000000}" name="Capacity1" dataDxfId="26"/>
    <tableColumn id="7" xr3:uid="{00000000-0010-0000-0300-000007000000}" name="Facility_2" dataDxfId="25">
      <calculatedColumnFormula>$A2&amp;RIGHT(G$1,1)&amp;"F"</calculatedColumnFormula>
    </tableColumn>
    <tableColumn id="8" xr3:uid="{00000000-0010-0000-0300-000008000000}" name="Type2"/>
    <tableColumn id="9" xr3:uid="{00000000-0010-0000-0300-000009000000}" name="Capacity2" dataDxfId="24"/>
    <tableColumn id="10" xr3:uid="{00000000-0010-0000-0300-00000A000000}" name="Facility_3" dataDxfId="23">
      <calculatedColumnFormula>$A2&amp;RIGHT(J$1,1)&amp;"F"</calculatedColumnFormula>
    </tableColumn>
    <tableColumn id="11" xr3:uid="{00000000-0010-0000-0300-00000B000000}" name="Type3"/>
    <tableColumn id="12" xr3:uid="{00000000-0010-0000-0300-00000C000000}" name="Capacity3" dataDxfId="22"/>
    <tableColumn id="13" xr3:uid="{00000000-0010-0000-0300-00000D000000}" name="Facility_4" dataDxfId="21">
      <calculatedColumnFormula>$A2&amp;RIGHT(M$1,1)&amp;"F"</calculatedColumnFormula>
    </tableColumn>
    <tableColumn id="14" xr3:uid="{00000000-0010-0000-0300-00000E000000}" name="Type4"/>
    <tableColumn id="15" xr3:uid="{00000000-0010-0000-0300-00000F000000}" name="Capacity4" dataDxfId="20"/>
    <tableColumn id="16" xr3:uid="{00000000-0010-0000-0300-000010000000}" name="Facility_5" dataDxfId="19">
      <calculatedColumnFormula>$A2&amp;RIGHT(P$1,1)&amp;"F"</calculatedColumnFormula>
    </tableColumn>
    <tableColumn id="17" xr3:uid="{00000000-0010-0000-0300-000011000000}" name="Type5"/>
    <tableColumn id="18" xr3:uid="{00000000-0010-0000-0300-000012000000}" name="Capacity5" dataDxfId="18"/>
    <tableColumn id="19" xr3:uid="{00000000-0010-0000-0300-000013000000}" name="Facility_6" dataDxfId="17">
      <calculatedColumnFormula>$A2&amp;RIGHT(S$1,1)&amp;"F"</calculatedColumnFormula>
    </tableColumn>
    <tableColumn id="20" xr3:uid="{00000000-0010-0000-0300-000014000000}" name="Type6"/>
    <tableColumn id="21" xr3:uid="{00000000-0010-0000-0300-000015000000}" name="Capacity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38" displayName="Table38" ref="A1:U400" totalsRowShown="0" headerRowDxfId="16">
  <tableColumns count="21">
    <tableColumn id="1" xr3:uid="{00000000-0010-0000-0400-000001000000}" name="Location"/>
    <tableColumn id="2" xr3:uid="{00000000-0010-0000-0400-000002000000}" name="GpsNorth"/>
    <tableColumn id="3" xr3:uid="{00000000-0010-0000-0400-000003000000}" name="GPSEast"/>
    <tableColumn id="4" xr3:uid="{00000000-0010-0000-0400-000004000000}" name="Facility_1" dataDxfId="15">
      <calculatedColumnFormula>$A2&amp;"F"</calculatedColumnFormula>
    </tableColumn>
    <tableColumn id="5" xr3:uid="{00000000-0010-0000-0400-000005000000}" name="Type1" dataDxfId="14">
      <calculatedColumnFormula>IF(Table38[[#This Row],[Capacity1]]&gt;0,"TerSee","-")</calculatedColumnFormula>
    </tableColumn>
    <tableColumn id="6" xr3:uid="{00000000-0010-0000-0400-000006000000}" name="Capacity1" dataDxfId="13"/>
    <tableColumn id="7" xr3:uid="{00000000-0010-0000-0400-000007000000}" name="Facility_2" dataDxfId="12">
      <calculatedColumnFormula>$A2&amp;RIGHT(G$1,1)&amp;"F"</calculatedColumnFormula>
    </tableColumn>
    <tableColumn id="8" xr3:uid="{00000000-0010-0000-0400-000008000000}" name="Type2"/>
    <tableColumn id="9" xr3:uid="{00000000-0010-0000-0400-000009000000}" name="Capacity2" dataDxfId="11"/>
    <tableColumn id="10" xr3:uid="{00000000-0010-0000-0400-00000A000000}" name="Facility_3" dataDxfId="10">
      <calculatedColumnFormula>$A2&amp;RIGHT(J$1,1)&amp;"F"</calculatedColumnFormula>
    </tableColumn>
    <tableColumn id="11" xr3:uid="{00000000-0010-0000-0400-00000B000000}" name="Type3"/>
    <tableColumn id="12" xr3:uid="{00000000-0010-0000-0400-00000C000000}" name="Capacity3" dataDxfId="9"/>
    <tableColumn id="13" xr3:uid="{00000000-0010-0000-0400-00000D000000}" name="Facility_4" dataDxfId="8">
      <calculatedColumnFormula>$A2&amp;RIGHT(M$1,1)&amp;"F"</calculatedColumnFormula>
    </tableColumn>
    <tableColumn id="14" xr3:uid="{00000000-0010-0000-0400-00000E000000}" name="Type4"/>
    <tableColumn id="15" xr3:uid="{00000000-0010-0000-0400-00000F000000}" name="Capacity4" dataDxfId="7"/>
    <tableColumn id="16" xr3:uid="{00000000-0010-0000-0400-000010000000}" name="Facility_5" dataDxfId="6">
      <calculatedColumnFormula>$A2&amp;RIGHT(P$1,1)&amp;"F"</calculatedColumnFormula>
    </tableColumn>
    <tableColumn id="17" xr3:uid="{00000000-0010-0000-0400-000011000000}" name="Type5"/>
    <tableColumn id="18" xr3:uid="{00000000-0010-0000-0400-000012000000}" name="Capacity5" dataDxfId="5"/>
    <tableColumn id="19" xr3:uid="{00000000-0010-0000-0400-000013000000}" name="Facility_6" dataDxfId="4">
      <calculatedColumnFormula>$A2&amp;RIGHT(S$1,1)&amp;"F"</calculatedColumnFormula>
    </tableColumn>
    <tableColumn id="20" xr3:uid="{00000000-0010-0000-0400-000014000000}" name="Type6"/>
    <tableColumn id="21" xr3:uid="{00000000-0010-0000-0400-000015000000}" name="Capacity6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1" displayName="Table1" ref="A2:C25" totalsRowShown="0" headerRowBorderDxfId="3" tableBorderDxfId="2">
  <autoFilter ref="A2:C25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500-000001000000}" name="Process"/>
    <tableColumn id="2" xr3:uid="{00000000-0010-0000-0500-000002000000}" name="No." dataDxfId="1"/>
    <tableColumn id="3" xr3:uid="{00000000-0010-0000-0500-000003000000}" name="Capacity" dataDxfId="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2" displayName="Table2" ref="E2:F26" totalsRowShown="0">
  <tableColumns count="2">
    <tableColumn id="2" xr3:uid="{00000000-0010-0000-0600-000002000000}" name="No."/>
    <tableColumn id="3" xr3:uid="{00000000-0010-0000-0600-000003000000}" name="Proces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0"/>
  <sheetViews>
    <sheetView zoomScale="130" zoomScaleNormal="130" workbookViewId="0">
      <selection activeCell="G3" sqref="G3"/>
    </sheetView>
  </sheetViews>
  <sheetFormatPr defaultRowHeight="15" x14ac:dyDescent="0.25"/>
  <cols>
    <col min="1" max="1" width="10.140625" customWidth="1"/>
    <col min="2" max="2" width="10.85546875" customWidth="1"/>
    <col min="3" max="3" width="9.7109375" customWidth="1"/>
    <col min="4" max="4" width="10.7109375" customWidth="1"/>
    <col min="6" max="6" width="10.140625" customWidth="1"/>
    <col min="7" max="7" width="10.7109375" style="3" customWidth="1"/>
    <col min="8" max="8" width="8.85546875" style="6"/>
    <col min="9" max="9" width="11.140625" style="23" customWidth="1"/>
    <col min="10" max="10" width="10.7109375" style="3" customWidth="1"/>
    <col min="11" max="11" width="8.85546875" style="6"/>
    <col min="12" max="12" width="11.140625" style="23" customWidth="1"/>
    <col min="13" max="13" width="10.7109375" style="3" customWidth="1"/>
    <col min="14" max="14" width="8.85546875" style="6"/>
    <col min="15" max="15" width="11.140625" style="23" customWidth="1"/>
    <col min="16" max="16" width="10.7109375" style="3" customWidth="1"/>
    <col min="17" max="17" width="8.85546875" style="6"/>
    <col min="18" max="18" width="11.140625" style="23" customWidth="1"/>
    <col min="19" max="19" width="10.7109375" customWidth="1"/>
    <col min="20" max="20" width="9" customWidth="1"/>
    <col min="21" max="21" width="12.140625" customWidth="1"/>
  </cols>
  <sheetData>
    <row r="1" spans="1:22" s="4" customFormat="1" ht="15.75" x14ac:dyDescent="0.25">
      <c r="A1" s="26" t="s">
        <v>673</v>
      </c>
      <c r="B1" s="26" t="s">
        <v>667</v>
      </c>
      <c r="C1" s="26" t="s">
        <v>668</v>
      </c>
      <c r="D1" s="26" t="s">
        <v>782</v>
      </c>
      <c r="E1" s="26" t="s">
        <v>794</v>
      </c>
      <c r="F1" s="26" t="s">
        <v>795</v>
      </c>
      <c r="G1" s="27" t="s">
        <v>783</v>
      </c>
      <c r="H1" s="26" t="s">
        <v>788</v>
      </c>
      <c r="I1" s="26" t="s">
        <v>796</v>
      </c>
      <c r="J1" s="27" t="s">
        <v>784</v>
      </c>
      <c r="K1" s="26" t="s">
        <v>798</v>
      </c>
      <c r="L1" s="26" t="s">
        <v>789</v>
      </c>
      <c r="M1" s="27" t="s">
        <v>785</v>
      </c>
      <c r="N1" s="26" t="s">
        <v>790</v>
      </c>
      <c r="O1" s="26" t="s">
        <v>799</v>
      </c>
      <c r="P1" s="27" t="s">
        <v>786</v>
      </c>
      <c r="Q1" s="26" t="s">
        <v>800</v>
      </c>
      <c r="R1" s="26" t="s">
        <v>791</v>
      </c>
      <c r="S1" s="27" t="s">
        <v>787</v>
      </c>
      <c r="T1" s="26" t="s">
        <v>792</v>
      </c>
      <c r="U1" s="26" t="s">
        <v>797</v>
      </c>
      <c r="V1" s="4" t="s">
        <v>793</v>
      </c>
    </row>
    <row r="2" spans="1:22" x14ac:dyDescent="0.25">
      <c r="A2" t="s">
        <v>801</v>
      </c>
      <c r="B2">
        <v>1234567</v>
      </c>
      <c r="C2">
        <v>123456</v>
      </c>
      <c r="D2" s="5" t="str">
        <f>A2&amp;"F"&amp;RIGHT(D$1,1)</f>
        <v>X100F1</v>
      </c>
      <c r="E2" s="22"/>
      <c r="F2" s="22"/>
      <c r="G2" s="5" t="str">
        <f t="shared" ref="G2" si="0">D2&amp;"F"&amp;RIGHT(G$1,1)</f>
        <v>X100F1F2</v>
      </c>
      <c r="J2" s="5" t="str">
        <f t="shared" ref="J2" si="1">G2&amp;"F"&amp;RIGHT(J$1,1)</f>
        <v>X100F1F2F3</v>
      </c>
      <c r="M2" s="5" t="str">
        <f t="shared" ref="M2" si="2">J2&amp;"F"&amp;RIGHT(M$1,1)</f>
        <v>X100F1F2F3F4</v>
      </c>
      <c r="P2" s="5" t="str">
        <f t="shared" ref="P2" si="3">M2&amp;"F"&amp;RIGHT(P$1,1)</f>
        <v>X100F1F2F3F4F5</v>
      </c>
      <c r="S2" s="5" t="str">
        <f t="shared" ref="S2" si="4">P2&amp;"F"&amp;RIGHT(S$1,1)</f>
        <v>X100F1F2F3F4F5F6</v>
      </c>
    </row>
    <row r="3" spans="1:22" x14ac:dyDescent="0.25">
      <c r="A3" t="s">
        <v>802</v>
      </c>
      <c r="D3" s="5" t="str">
        <f>A3&amp;"F"&amp;RIGHT(D$1,1)</f>
        <v>Y222F1</v>
      </c>
      <c r="E3" s="6"/>
      <c r="F3" s="6"/>
      <c r="G3" s="5" t="str">
        <f>D3&amp;"F"&amp;RIGHT(G$1,1)</f>
        <v>Y222F1F2</v>
      </c>
    </row>
    <row r="4" spans="1:22" x14ac:dyDescent="0.25">
      <c r="D4" s="3"/>
      <c r="E4" s="6"/>
      <c r="F4" s="6"/>
    </row>
    <row r="5" spans="1:22" x14ac:dyDescent="0.25">
      <c r="D5" s="3"/>
      <c r="E5" s="6"/>
      <c r="F5" s="6"/>
    </row>
    <row r="6" spans="1:22" x14ac:dyDescent="0.25">
      <c r="D6" s="3"/>
      <c r="E6" s="6"/>
      <c r="F6" s="6"/>
    </row>
    <row r="7" spans="1:22" x14ac:dyDescent="0.25">
      <c r="D7" s="3"/>
      <c r="E7" s="6"/>
      <c r="F7" s="6"/>
    </row>
    <row r="8" spans="1:22" x14ac:dyDescent="0.25">
      <c r="D8" s="3"/>
      <c r="E8" s="6"/>
      <c r="F8" s="6"/>
    </row>
    <row r="9" spans="1:22" x14ac:dyDescent="0.25">
      <c r="D9" s="3"/>
      <c r="E9" s="6"/>
      <c r="F9" s="6"/>
    </row>
    <row r="10" spans="1:22" x14ac:dyDescent="0.25">
      <c r="D10" s="3"/>
      <c r="E10" s="6"/>
      <c r="F10" s="6"/>
    </row>
    <row r="11" spans="1:22" x14ac:dyDescent="0.25">
      <c r="D11" s="3"/>
      <c r="E11" s="6"/>
      <c r="F11" s="6"/>
    </row>
    <row r="12" spans="1:22" x14ac:dyDescent="0.25">
      <c r="D12" s="3"/>
      <c r="E12" s="6"/>
      <c r="F12" s="6"/>
    </row>
    <row r="13" spans="1:22" x14ac:dyDescent="0.25">
      <c r="D13" s="3"/>
      <c r="E13" s="6"/>
      <c r="F13" s="6"/>
    </row>
    <row r="14" spans="1:22" x14ac:dyDescent="0.25">
      <c r="D14" s="3"/>
      <c r="E14" s="6"/>
      <c r="F14" s="6"/>
    </row>
    <row r="15" spans="1:22" x14ac:dyDescent="0.25">
      <c r="D15" s="3"/>
      <c r="E15" s="6"/>
      <c r="F15" s="6"/>
    </row>
    <row r="16" spans="1:22" x14ac:dyDescent="0.25">
      <c r="D16" s="3"/>
      <c r="E16" s="6"/>
      <c r="F16" s="6"/>
    </row>
    <row r="17" spans="4:6" x14ac:dyDescent="0.25">
      <c r="D17" s="3"/>
      <c r="E17" s="6"/>
      <c r="F17" s="6"/>
    </row>
    <row r="18" spans="4:6" x14ac:dyDescent="0.25">
      <c r="D18" s="3"/>
      <c r="E18" s="6"/>
      <c r="F18" s="6"/>
    </row>
    <row r="19" spans="4:6" x14ac:dyDescent="0.25">
      <c r="D19" s="3"/>
      <c r="E19" s="6"/>
      <c r="F19" s="6"/>
    </row>
    <row r="20" spans="4:6" x14ac:dyDescent="0.25">
      <c r="D20" s="3"/>
      <c r="E20" s="6"/>
      <c r="F20" s="6"/>
    </row>
    <row r="21" spans="4:6" x14ac:dyDescent="0.25">
      <c r="D21" s="3"/>
      <c r="E21" s="6"/>
      <c r="F21" s="6"/>
    </row>
    <row r="22" spans="4:6" x14ac:dyDescent="0.25">
      <c r="D22" s="3"/>
      <c r="E22" s="6"/>
      <c r="F22" s="6"/>
    </row>
    <row r="23" spans="4:6" x14ac:dyDescent="0.25">
      <c r="D23" s="3"/>
      <c r="E23" s="6"/>
      <c r="F23" s="6"/>
    </row>
    <row r="24" spans="4:6" x14ac:dyDescent="0.25">
      <c r="D24" s="3"/>
      <c r="E24" s="6"/>
      <c r="F24" s="6"/>
    </row>
    <row r="25" spans="4:6" x14ac:dyDescent="0.25">
      <c r="D25" s="3"/>
      <c r="E25" s="6"/>
      <c r="F25" s="6"/>
    </row>
    <row r="26" spans="4:6" x14ac:dyDescent="0.25">
      <c r="D26" s="3"/>
      <c r="E26" s="6"/>
      <c r="F26" s="6"/>
    </row>
    <row r="27" spans="4:6" x14ac:dyDescent="0.25">
      <c r="D27" s="3"/>
      <c r="E27" s="6"/>
      <c r="F27" s="6"/>
    </row>
    <row r="28" spans="4:6" x14ac:dyDescent="0.25">
      <c r="D28" s="3"/>
      <c r="E28" s="6"/>
      <c r="F28" s="6"/>
    </row>
    <row r="29" spans="4:6" x14ac:dyDescent="0.25">
      <c r="D29" s="3"/>
      <c r="E29" s="6"/>
      <c r="F29" s="6"/>
    </row>
    <row r="30" spans="4:6" x14ac:dyDescent="0.25">
      <c r="D30" s="3"/>
      <c r="E30" s="6"/>
      <c r="F30" s="6"/>
    </row>
    <row r="31" spans="4:6" x14ac:dyDescent="0.25">
      <c r="D31" s="3"/>
      <c r="E31" s="6"/>
      <c r="F31" s="6"/>
    </row>
    <row r="32" spans="4:6" x14ac:dyDescent="0.25">
      <c r="D32" s="3"/>
      <c r="E32" s="6"/>
      <c r="F32" s="6"/>
    </row>
    <row r="33" spans="4:6" x14ac:dyDescent="0.25">
      <c r="D33" s="3"/>
      <c r="E33" s="6"/>
      <c r="F33" s="6"/>
    </row>
    <row r="34" spans="4:6" x14ac:dyDescent="0.25">
      <c r="D34" s="3"/>
      <c r="E34" s="6"/>
      <c r="F34" s="6"/>
    </row>
    <row r="35" spans="4:6" x14ac:dyDescent="0.25">
      <c r="D35" s="3"/>
      <c r="E35" s="6"/>
      <c r="F35" s="6"/>
    </row>
    <row r="36" spans="4:6" x14ac:dyDescent="0.25">
      <c r="D36" s="3"/>
      <c r="E36" s="6"/>
      <c r="F36" s="6"/>
    </row>
    <row r="37" spans="4:6" x14ac:dyDescent="0.25">
      <c r="D37" s="3"/>
      <c r="E37" s="6"/>
      <c r="F37" s="6"/>
    </row>
    <row r="38" spans="4:6" x14ac:dyDescent="0.25">
      <c r="D38" s="3"/>
      <c r="E38" s="6"/>
      <c r="F38" s="6"/>
    </row>
    <row r="39" spans="4:6" x14ac:dyDescent="0.25">
      <c r="D39" s="3"/>
      <c r="E39" s="6"/>
      <c r="F39" s="6"/>
    </row>
    <row r="40" spans="4:6" x14ac:dyDescent="0.25">
      <c r="D40" s="3"/>
      <c r="E40" s="6"/>
      <c r="F40" s="6"/>
    </row>
    <row r="41" spans="4:6" x14ac:dyDescent="0.25">
      <c r="D41" s="3"/>
      <c r="E41" s="6"/>
      <c r="F41" s="6"/>
    </row>
    <row r="42" spans="4:6" x14ac:dyDescent="0.25">
      <c r="D42" s="3"/>
      <c r="E42" s="6"/>
      <c r="F42" s="6"/>
    </row>
    <row r="43" spans="4:6" x14ac:dyDescent="0.25">
      <c r="D43" s="3"/>
      <c r="E43" s="6"/>
      <c r="F43" s="6"/>
    </row>
    <row r="44" spans="4:6" x14ac:dyDescent="0.25">
      <c r="D44" s="3"/>
      <c r="E44" s="6"/>
      <c r="F44" s="6"/>
    </row>
    <row r="45" spans="4:6" x14ac:dyDescent="0.25">
      <c r="D45" s="3"/>
      <c r="E45" s="6"/>
      <c r="F45" s="6"/>
    </row>
    <row r="46" spans="4:6" x14ac:dyDescent="0.25">
      <c r="D46" s="3"/>
      <c r="E46" s="6"/>
      <c r="F46" s="6"/>
    </row>
    <row r="47" spans="4:6" x14ac:dyDescent="0.25">
      <c r="D47" s="3"/>
      <c r="E47" s="6"/>
      <c r="F47" s="6"/>
    </row>
    <row r="48" spans="4:6" x14ac:dyDescent="0.25">
      <c r="D48" s="3"/>
      <c r="E48" s="6"/>
      <c r="F48" s="6"/>
    </row>
    <row r="49" spans="4:6" x14ac:dyDescent="0.25">
      <c r="D49" s="3"/>
      <c r="E49" s="6"/>
      <c r="F49" s="6"/>
    </row>
    <row r="50" spans="4:6" x14ac:dyDescent="0.25">
      <c r="D50" s="3"/>
      <c r="E50" s="6"/>
      <c r="F50" s="6"/>
    </row>
    <row r="51" spans="4:6" x14ac:dyDescent="0.25">
      <c r="D51" s="3"/>
      <c r="E51" s="6"/>
      <c r="F51" s="6"/>
    </row>
    <row r="52" spans="4:6" x14ac:dyDescent="0.25">
      <c r="D52" s="3"/>
      <c r="E52" s="6"/>
      <c r="F52" s="6"/>
    </row>
    <row r="53" spans="4:6" x14ac:dyDescent="0.25">
      <c r="D53" s="3"/>
      <c r="E53" s="6"/>
      <c r="F53" s="6"/>
    </row>
    <row r="54" spans="4:6" x14ac:dyDescent="0.25">
      <c r="D54" s="3"/>
      <c r="E54" s="6"/>
      <c r="F54" s="6"/>
    </row>
    <row r="55" spans="4:6" x14ac:dyDescent="0.25">
      <c r="D55" s="3"/>
      <c r="E55" s="6"/>
      <c r="F55" s="6"/>
    </row>
    <row r="56" spans="4:6" x14ac:dyDescent="0.25">
      <c r="D56" s="3"/>
      <c r="E56" s="6"/>
      <c r="F56" s="6"/>
    </row>
    <row r="57" spans="4:6" x14ac:dyDescent="0.25">
      <c r="D57" s="3"/>
      <c r="E57" s="6"/>
      <c r="F57" s="6"/>
    </row>
    <row r="58" spans="4:6" x14ac:dyDescent="0.25">
      <c r="D58" s="3"/>
      <c r="E58" s="6"/>
      <c r="F58" s="6"/>
    </row>
    <row r="59" spans="4:6" x14ac:dyDescent="0.25">
      <c r="D59" s="3"/>
      <c r="E59" s="6"/>
      <c r="F59" s="6"/>
    </row>
    <row r="60" spans="4:6" x14ac:dyDescent="0.25">
      <c r="D60" s="3"/>
      <c r="E60" s="6"/>
      <c r="F60" s="6"/>
    </row>
    <row r="61" spans="4:6" x14ac:dyDescent="0.25">
      <c r="D61" s="3"/>
      <c r="E61" s="6"/>
      <c r="F61" s="6"/>
    </row>
    <row r="62" spans="4:6" x14ac:dyDescent="0.25">
      <c r="D62" s="3"/>
      <c r="E62" s="6"/>
      <c r="F62" s="6"/>
    </row>
    <row r="63" spans="4:6" x14ac:dyDescent="0.25">
      <c r="D63" s="3"/>
      <c r="E63" s="6"/>
      <c r="F63" s="6"/>
    </row>
    <row r="64" spans="4:6" x14ac:dyDescent="0.25">
      <c r="D64" s="3"/>
      <c r="E64" s="6"/>
      <c r="F64" s="6"/>
    </row>
    <row r="65" spans="4:6" x14ac:dyDescent="0.25">
      <c r="D65" s="3"/>
      <c r="E65" s="6"/>
      <c r="F65" s="6"/>
    </row>
    <row r="66" spans="4:6" x14ac:dyDescent="0.25">
      <c r="D66" s="3"/>
      <c r="E66" s="6"/>
      <c r="F66" s="6"/>
    </row>
    <row r="67" spans="4:6" x14ac:dyDescent="0.25">
      <c r="D67" s="3"/>
      <c r="E67" s="6"/>
      <c r="F67" s="6"/>
    </row>
    <row r="68" spans="4:6" x14ac:dyDescent="0.25">
      <c r="D68" s="3"/>
      <c r="E68" s="6"/>
      <c r="F68" s="6"/>
    </row>
    <row r="69" spans="4:6" x14ac:dyDescent="0.25">
      <c r="D69" s="3"/>
      <c r="E69" s="6"/>
      <c r="F69" s="6"/>
    </row>
    <row r="70" spans="4:6" x14ac:dyDescent="0.25">
      <c r="D70" s="3"/>
      <c r="E70" s="6"/>
      <c r="F70" s="6"/>
    </row>
    <row r="71" spans="4:6" x14ac:dyDescent="0.25">
      <c r="D71" s="3"/>
      <c r="E71" s="6"/>
      <c r="F71" s="6"/>
    </row>
    <row r="72" spans="4:6" x14ac:dyDescent="0.25">
      <c r="D72" s="3"/>
      <c r="E72" s="6"/>
      <c r="F72" s="6"/>
    </row>
    <row r="73" spans="4:6" x14ac:dyDescent="0.25">
      <c r="D73" s="3"/>
      <c r="E73" s="6"/>
      <c r="F73" s="6"/>
    </row>
    <row r="74" spans="4:6" x14ac:dyDescent="0.25">
      <c r="D74" s="3"/>
      <c r="E74" s="6"/>
      <c r="F74" s="6"/>
    </row>
    <row r="75" spans="4:6" x14ac:dyDescent="0.25">
      <c r="D75" s="3"/>
      <c r="E75" s="6"/>
      <c r="F75" s="6"/>
    </row>
    <row r="76" spans="4:6" x14ac:dyDescent="0.25">
      <c r="D76" s="3"/>
      <c r="E76" s="6"/>
      <c r="F76" s="6"/>
    </row>
    <row r="77" spans="4:6" x14ac:dyDescent="0.25">
      <c r="D77" s="3"/>
      <c r="E77" s="6"/>
      <c r="F77" s="6"/>
    </row>
    <row r="78" spans="4:6" x14ac:dyDescent="0.25">
      <c r="D78" s="3"/>
      <c r="E78" s="6"/>
      <c r="F78" s="6"/>
    </row>
    <row r="79" spans="4:6" x14ac:dyDescent="0.25">
      <c r="D79" s="3"/>
      <c r="E79" s="6"/>
      <c r="F79" s="6"/>
    </row>
    <row r="80" spans="4:6" x14ac:dyDescent="0.25">
      <c r="D80" s="3"/>
      <c r="E80" s="6"/>
      <c r="F80" s="6"/>
    </row>
    <row r="81" spans="4:6" x14ac:dyDescent="0.25">
      <c r="D81" s="3"/>
      <c r="E81" s="6"/>
      <c r="F81" s="6"/>
    </row>
    <row r="82" spans="4:6" x14ac:dyDescent="0.25">
      <c r="D82" s="3"/>
      <c r="E82" s="6"/>
      <c r="F82" s="6"/>
    </row>
    <row r="83" spans="4:6" x14ac:dyDescent="0.25">
      <c r="D83" s="3"/>
      <c r="E83" s="6"/>
      <c r="F83" s="6"/>
    </row>
    <row r="84" spans="4:6" x14ac:dyDescent="0.25">
      <c r="D84" s="3"/>
      <c r="E84" s="6"/>
      <c r="F84" s="6"/>
    </row>
    <row r="85" spans="4:6" x14ac:dyDescent="0.25">
      <c r="D85" s="3"/>
      <c r="E85" s="6"/>
      <c r="F85" s="6"/>
    </row>
    <row r="86" spans="4:6" x14ac:dyDescent="0.25">
      <c r="D86" s="3"/>
      <c r="E86" s="6"/>
      <c r="F86" s="6"/>
    </row>
    <row r="87" spans="4:6" x14ac:dyDescent="0.25">
      <c r="D87" s="3"/>
      <c r="E87" s="6"/>
      <c r="F87" s="6"/>
    </row>
    <row r="88" spans="4:6" x14ac:dyDescent="0.25">
      <c r="D88" s="3"/>
      <c r="E88" s="6"/>
      <c r="F88" s="6"/>
    </row>
    <row r="89" spans="4:6" x14ac:dyDescent="0.25">
      <c r="D89" s="3"/>
      <c r="E89" s="6"/>
      <c r="F89" s="6"/>
    </row>
    <row r="90" spans="4:6" x14ac:dyDescent="0.25">
      <c r="D90" s="3"/>
      <c r="E90" s="6"/>
      <c r="F90" s="6"/>
    </row>
    <row r="91" spans="4:6" x14ac:dyDescent="0.25">
      <c r="D91" s="3"/>
      <c r="E91" s="6"/>
      <c r="F91" s="6"/>
    </row>
    <row r="92" spans="4:6" x14ac:dyDescent="0.25">
      <c r="D92" s="3"/>
      <c r="E92" s="6"/>
      <c r="F92" s="6"/>
    </row>
    <row r="93" spans="4:6" x14ac:dyDescent="0.25">
      <c r="D93" s="3"/>
      <c r="E93" s="6"/>
      <c r="F93" s="6"/>
    </row>
    <row r="94" spans="4:6" x14ac:dyDescent="0.25">
      <c r="D94" s="3"/>
      <c r="E94" s="6"/>
      <c r="F94" s="6"/>
    </row>
    <row r="95" spans="4:6" x14ac:dyDescent="0.25">
      <c r="D95" s="3"/>
      <c r="E95" s="6"/>
      <c r="F95" s="6"/>
    </row>
    <row r="96" spans="4:6" x14ac:dyDescent="0.25">
      <c r="D96" s="3"/>
      <c r="E96" s="6"/>
      <c r="F96" s="6"/>
    </row>
    <row r="97" spans="4:6" x14ac:dyDescent="0.25">
      <c r="D97" s="3"/>
      <c r="E97" s="6"/>
      <c r="F97" s="6"/>
    </row>
    <row r="98" spans="4:6" x14ac:dyDescent="0.25">
      <c r="D98" s="3"/>
      <c r="E98" s="6"/>
      <c r="F98" s="6"/>
    </row>
    <row r="99" spans="4:6" x14ac:dyDescent="0.25">
      <c r="D99" s="3"/>
      <c r="E99" s="6"/>
      <c r="F99" s="6"/>
    </row>
    <row r="100" spans="4:6" x14ac:dyDescent="0.25">
      <c r="D100" s="3"/>
      <c r="E100" s="6"/>
      <c r="F100" s="6"/>
    </row>
    <row r="101" spans="4:6" x14ac:dyDescent="0.25">
      <c r="D101" s="3"/>
      <c r="E101" s="6"/>
      <c r="F101" s="6"/>
    </row>
    <row r="102" spans="4:6" x14ac:dyDescent="0.25">
      <c r="D102" s="3"/>
      <c r="E102" s="6"/>
      <c r="F102" s="6"/>
    </row>
    <row r="103" spans="4:6" x14ac:dyDescent="0.25">
      <c r="D103" s="3"/>
      <c r="E103" s="6"/>
      <c r="F103" s="6"/>
    </row>
    <row r="104" spans="4:6" x14ac:dyDescent="0.25">
      <c r="D104" s="3"/>
      <c r="E104" s="6"/>
      <c r="F104" s="6"/>
    </row>
    <row r="105" spans="4:6" x14ac:dyDescent="0.25">
      <c r="D105" s="3"/>
      <c r="E105" s="6"/>
      <c r="F105" s="6"/>
    </row>
    <row r="106" spans="4:6" x14ac:dyDescent="0.25">
      <c r="D106" s="3"/>
      <c r="E106" s="6"/>
      <c r="F106" s="6"/>
    </row>
    <row r="107" spans="4:6" x14ac:dyDescent="0.25">
      <c r="D107" s="3"/>
      <c r="E107" s="6"/>
      <c r="F107" s="6"/>
    </row>
    <row r="108" spans="4:6" x14ac:dyDescent="0.25">
      <c r="D108" s="3"/>
      <c r="E108" s="6"/>
      <c r="F108" s="6"/>
    </row>
    <row r="109" spans="4:6" x14ac:dyDescent="0.25">
      <c r="D109" s="3"/>
      <c r="E109" s="6"/>
      <c r="F109" s="6"/>
    </row>
    <row r="110" spans="4:6" x14ac:dyDescent="0.25">
      <c r="D110" s="3"/>
      <c r="E110" s="6"/>
      <c r="F110" s="6"/>
    </row>
    <row r="111" spans="4:6" x14ac:dyDescent="0.25">
      <c r="D111" s="3"/>
      <c r="E111" s="6"/>
      <c r="F111" s="6"/>
    </row>
    <row r="112" spans="4:6" x14ac:dyDescent="0.25">
      <c r="D112" s="3"/>
      <c r="E112" s="6"/>
      <c r="F112" s="6"/>
    </row>
    <row r="113" spans="4:6" x14ac:dyDescent="0.25">
      <c r="D113" s="3"/>
      <c r="E113" s="6"/>
      <c r="F113" s="6"/>
    </row>
    <row r="114" spans="4:6" x14ac:dyDescent="0.25">
      <c r="D114" s="3"/>
      <c r="E114" s="6"/>
      <c r="F114" s="6"/>
    </row>
    <row r="115" spans="4:6" x14ac:dyDescent="0.25">
      <c r="D115" s="3"/>
      <c r="E115" s="6"/>
      <c r="F115" s="6"/>
    </row>
    <row r="116" spans="4:6" x14ac:dyDescent="0.25">
      <c r="D116" s="3"/>
      <c r="E116" s="6"/>
      <c r="F116" s="6"/>
    </row>
    <row r="117" spans="4:6" x14ac:dyDescent="0.25">
      <c r="D117" s="3"/>
      <c r="E117" s="6"/>
      <c r="F117" s="6"/>
    </row>
    <row r="118" spans="4:6" x14ac:dyDescent="0.25">
      <c r="D118" s="3"/>
      <c r="E118" s="6"/>
      <c r="F118" s="6"/>
    </row>
    <row r="119" spans="4:6" x14ac:dyDescent="0.25">
      <c r="D119" s="3"/>
      <c r="E119" s="6"/>
      <c r="F119" s="6"/>
    </row>
    <row r="120" spans="4:6" x14ac:dyDescent="0.25">
      <c r="D120" s="3"/>
      <c r="E120" s="6"/>
      <c r="F120" s="6"/>
    </row>
    <row r="121" spans="4:6" x14ac:dyDescent="0.25">
      <c r="D121" s="3"/>
      <c r="E121" s="6"/>
      <c r="F121" s="6"/>
    </row>
    <row r="122" spans="4:6" x14ac:dyDescent="0.25">
      <c r="D122" s="3"/>
      <c r="E122" s="6"/>
      <c r="F122" s="6"/>
    </row>
    <row r="123" spans="4:6" x14ac:dyDescent="0.25">
      <c r="D123" s="3"/>
      <c r="E123" s="6"/>
      <c r="F123" s="6"/>
    </row>
    <row r="124" spans="4:6" x14ac:dyDescent="0.25">
      <c r="D124" s="3"/>
      <c r="E124" s="6"/>
      <c r="F124" s="6"/>
    </row>
    <row r="125" spans="4:6" x14ac:dyDescent="0.25">
      <c r="D125" s="3"/>
      <c r="E125" s="6"/>
      <c r="F125" s="6"/>
    </row>
    <row r="126" spans="4:6" x14ac:dyDescent="0.25">
      <c r="D126" s="3"/>
      <c r="E126" s="6"/>
      <c r="F126" s="6"/>
    </row>
    <row r="127" spans="4:6" x14ac:dyDescent="0.25">
      <c r="D127" s="3"/>
      <c r="E127" s="6"/>
      <c r="F127" s="6"/>
    </row>
    <row r="128" spans="4:6" x14ac:dyDescent="0.25">
      <c r="D128" s="3"/>
      <c r="E128" s="6"/>
      <c r="F128" s="6"/>
    </row>
    <row r="129" spans="4:6" x14ac:dyDescent="0.25">
      <c r="D129" s="3"/>
      <c r="E129" s="6"/>
      <c r="F129" s="6"/>
    </row>
    <row r="130" spans="4:6" x14ac:dyDescent="0.25">
      <c r="D130" s="3"/>
      <c r="E130" s="6"/>
      <c r="F130" s="6"/>
    </row>
    <row r="131" spans="4:6" x14ac:dyDescent="0.25">
      <c r="D131" s="3"/>
      <c r="E131" s="6"/>
      <c r="F131" s="6"/>
    </row>
    <row r="132" spans="4:6" x14ac:dyDescent="0.25">
      <c r="D132" s="3"/>
      <c r="E132" s="6"/>
      <c r="F132" s="6"/>
    </row>
    <row r="133" spans="4:6" x14ac:dyDescent="0.25">
      <c r="D133" s="3"/>
      <c r="E133" s="6"/>
      <c r="F133" s="6"/>
    </row>
    <row r="134" spans="4:6" x14ac:dyDescent="0.25">
      <c r="D134" s="3"/>
      <c r="E134" s="6"/>
      <c r="F134" s="6"/>
    </row>
    <row r="135" spans="4:6" x14ac:dyDescent="0.25">
      <c r="D135" s="3"/>
      <c r="E135" s="6"/>
      <c r="F135" s="6"/>
    </row>
    <row r="136" spans="4:6" x14ac:dyDescent="0.25">
      <c r="D136" s="3"/>
      <c r="E136" s="6"/>
      <c r="F136" s="6"/>
    </row>
    <row r="137" spans="4:6" x14ac:dyDescent="0.25">
      <c r="D137" s="3"/>
      <c r="E137" s="6"/>
      <c r="F137" s="6"/>
    </row>
    <row r="138" spans="4:6" x14ac:dyDescent="0.25">
      <c r="D138" s="3"/>
      <c r="E138" s="6"/>
      <c r="F138" s="6"/>
    </row>
    <row r="139" spans="4:6" x14ac:dyDescent="0.25">
      <c r="D139" s="3"/>
      <c r="E139" s="6"/>
      <c r="F139" s="6"/>
    </row>
    <row r="140" spans="4:6" x14ac:dyDescent="0.25">
      <c r="D140" s="3"/>
      <c r="E140" s="6"/>
      <c r="F140" s="6"/>
    </row>
    <row r="141" spans="4:6" x14ac:dyDescent="0.25">
      <c r="D141" s="3"/>
      <c r="E141" s="6"/>
      <c r="F141" s="6"/>
    </row>
    <row r="142" spans="4:6" x14ac:dyDescent="0.25">
      <c r="D142" s="3"/>
      <c r="E142" s="6"/>
      <c r="F142" s="6"/>
    </row>
    <row r="143" spans="4:6" x14ac:dyDescent="0.25">
      <c r="D143" s="3"/>
      <c r="E143" s="6"/>
      <c r="F143" s="6"/>
    </row>
    <row r="144" spans="4:6" x14ac:dyDescent="0.25">
      <c r="D144" s="3"/>
      <c r="E144" s="6"/>
      <c r="F144" s="6"/>
    </row>
    <row r="145" spans="4:6" x14ac:dyDescent="0.25">
      <c r="D145" s="3"/>
      <c r="E145" s="6"/>
      <c r="F145" s="6"/>
    </row>
    <row r="146" spans="4:6" x14ac:dyDescent="0.25">
      <c r="D146" s="3"/>
      <c r="E146" s="6"/>
      <c r="F146" s="6"/>
    </row>
    <row r="147" spans="4:6" x14ac:dyDescent="0.25">
      <c r="D147" s="3"/>
      <c r="E147" s="6"/>
      <c r="F147" s="6"/>
    </row>
    <row r="148" spans="4:6" x14ac:dyDescent="0.25">
      <c r="D148" s="3"/>
      <c r="E148" s="6"/>
      <c r="F148" s="6"/>
    </row>
    <row r="149" spans="4:6" x14ac:dyDescent="0.25">
      <c r="D149" s="3"/>
      <c r="E149" s="6"/>
      <c r="F149" s="6"/>
    </row>
    <row r="150" spans="4:6" x14ac:dyDescent="0.25">
      <c r="D150" s="3"/>
      <c r="E150" s="6"/>
      <c r="F150" s="6"/>
    </row>
    <row r="151" spans="4:6" x14ac:dyDescent="0.25">
      <c r="D151" s="3"/>
      <c r="E151" s="6"/>
      <c r="F151" s="6"/>
    </row>
    <row r="152" spans="4:6" x14ac:dyDescent="0.25">
      <c r="D152" s="3"/>
      <c r="E152" s="6"/>
      <c r="F152" s="6"/>
    </row>
    <row r="153" spans="4:6" x14ac:dyDescent="0.25">
      <c r="D153" s="3"/>
      <c r="E153" s="6"/>
      <c r="F153" s="6"/>
    </row>
    <row r="154" spans="4:6" x14ac:dyDescent="0.25">
      <c r="D154" s="3"/>
      <c r="E154" s="6"/>
      <c r="F154" s="6"/>
    </row>
    <row r="155" spans="4:6" x14ac:dyDescent="0.25">
      <c r="D155" s="3"/>
      <c r="E155" s="6"/>
      <c r="F155" s="6"/>
    </row>
    <row r="156" spans="4:6" x14ac:dyDescent="0.25">
      <c r="D156" s="3"/>
      <c r="E156" s="6"/>
      <c r="F156" s="6"/>
    </row>
    <row r="157" spans="4:6" x14ac:dyDescent="0.25">
      <c r="D157" s="3"/>
      <c r="E157" s="6"/>
      <c r="F157" s="6"/>
    </row>
    <row r="158" spans="4:6" x14ac:dyDescent="0.25">
      <c r="D158" s="3"/>
      <c r="E158" s="6"/>
      <c r="F158" s="6"/>
    </row>
    <row r="159" spans="4:6" x14ac:dyDescent="0.25">
      <c r="D159" s="3"/>
      <c r="E159" s="6"/>
      <c r="F159" s="6"/>
    </row>
    <row r="160" spans="4:6" x14ac:dyDescent="0.25">
      <c r="D160" s="3"/>
      <c r="E160" s="6"/>
      <c r="F160" s="6"/>
    </row>
    <row r="161" spans="4:6" x14ac:dyDescent="0.25">
      <c r="D161" s="3"/>
      <c r="E161" s="6"/>
      <c r="F161" s="6"/>
    </row>
    <row r="162" spans="4:6" x14ac:dyDescent="0.25">
      <c r="D162" s="3"/>
      <c r="E162" s="6"/>
      <c r="F162" s="6"/>
    </row>
    <row r="163" spans="4:6" x14ac:dyDescent="0.25">
      <c r="D163" s="3"/>
      <c r="E163" s="6"/>
      <c r="F163" s="6"/>
    </row>
    <row r="164" spans="4:6" x14ac:dyDescent="0.25">
      <c r="D164" s="3"/>
      <c r="E164" s="6"/>
      <c r="F164" s="6"/>
    </row>
    <row r="165" spans="4:6" x14ac:dyDescent="0.25">
      <c r="D165" s="3"/>
      <c r="E165" s="6"/>
      <c r="F165" s="6"/>
    </row>
    <row r="166" spans="4:6" x14ac:dyDescent="0.25">
      <c r="D166" s="3"/>
      <c r="E166" s="6"/>
      <c r="F166" s="6"/>
    </row>
    <row r="167" spans="4:6" x14ac:dyDescent="0.25">
      <c r="D167" s="3"/>
      <c r="E167" s="6"/>
      <c r="F167" s="6"/>
    </row>
    <row r="168" spans="4:6" x14ac:dyDescent="0.25">
      <c r="D168" s="3"/>
      <c r="E168" s="6"/>
      <c r="F168" s="6"/>
    </row>
    <row r="169" spans="4:6" x14ac:dyDescent="0.25">
      <c r="D169" s="3"/>
      <c r="E169" s="6"/>
      <c r="F169" s="6"/>
    </row>
    <row r="170" spans="4:6" x14ac:dyDescent="0.25">
      <c r="D170" s="3"/>
      <c r="E170" s="6"/>
      <c r="F170" s="6"/>
    </row>
    <row r="171" spans="4:6" x14ac:dyDescent="0.25">
      <c r="D171" s="3"/>
      <c r="E171" s="6"/>
      <c r="F171" s="6"/>
    </row>
    <row r="172" spans="4:6" x14ac:dyDescent="0.25">
      <c r="D172" s="3"/>
      <c r="E172" s="6"/>
      <c r="F172" s="6"/>
    </row>
    <row r="173" spans="4:6" x14ac:dyDescent="0.25">
      <c r="D173" s="3"/>
      <c r="E173" s="6"/>
      <c r="F173" s="6"/>
    </row>
    <row r="174" spans="4:6" x14ac:dyDescent="0.25">
      <c r="D174" s="3"/>
      <c r="E174" s="6"/>
      <c r="F174" s="6"/>
    </row>
    <row r="175" spans="4:6" x14ac:dyDescent="0.25">
      <c r="D175" s="3"/>
      <c r="E175" s="6"/>
      <c r="F175" s="6"/>
    </row>
    <row r="176" spans="4:6" x14ac:dyDescent="0.25">
      <c r="D176" s="3"/>
      <c r="E176" s="6"/>
      <c r="F176" s="6"/>
    </row>
    <row r="177" spans="4:6" x14ac:dyDescent="0.25">
      <c r="D177" s="3"/>
      <c r="E177" s="6"/>
      <c r="F177" s="6"/>
    </row>
    <row r="178" spans="4:6" x14ac:dyDescent="0.25">
      <c r="D178" s="3"/>
      <c r="E178" s="6"/>
      <c r="F178" s="6"/>
    </row>
    <row r="179" spans="4:6" x14ac:dyDescent="0.25">
      <c r="D179" s="3"/>
      <c r="E179" s="6"/>
      <c r="F179" s="6"/>
    </row>
    <row r="180" spans="4:6" x14ac:dyDescent="0.25">
      <c r="D180" s="3"/>
      <c r="E180" s="6"/>
      <c r="F180" s="6"/>
    </row>
    <row r="181" spans="4:6" x14ac:dyDescent="0.25">
      <c r="D181" s="3"/>
      <c r="E181" s="6"/>
      <c r="F181" s="6"/>
    </row>
    <row r="182" spans="4:6" x14ac:dyDescent="0.25">
      <c r="D182" s="3"/>
      <c r="E182" s="6"/>
      <c r="F182" s="6"/>
    </row>
    <row r="183" spans="4:6" x14ac:dyDescent="0.25">
      <c r="D183" s="3"/>
      <c r="E183" s="6"/>
      <c r="F183" s="6"/>
    </row>
    <row r="184" spans="4:6" x14ac:dyDescent="0.25">
      <c r="D184" s="3"/>
      <c r="E184" s="6"/>
      <c r="F184" s="6"/>
    </row>
    <row r="185" spans="4:6" x14ac:dyDescent="0.25">
      <c r="D185" s="3"/>
      <c r="E185" s="6"/>
      <c r="F185" s="6"/>
    </row>
    <row r="186" spans="4:6" x14ac:dyDescent="0.25">
      <c r="D186" s="3"/>
      <c r="E186" s="6"/>
      <c r="F186" s="6"/>
    </row>
    <row r="187" spans="4:6" x14ac:dyDescent="0.25">
      <c r="D187" s="3"/>
      <c r="E187" s="6"/>
      <c r="F187" s="6"/>
    </row>
    <row r="188" spans="4:6" x14ac:dyDescent="0.25">
      <c r="D188" s="3"/>
      <c r="E188" s="6"/>
      <c r="F188" s="6"/>
    </row>
    <row r="189" spans="4:6" x14ac:dyDescent="0.25">
      <c r="D189" s="3"/>
      <c r="E189" s="6"/>
      <c r="F189" s="6"/>
    </row>
    <row r="190" spans="4:6" x14ac:dyDescent="0.25">
      <c r="D190" s="3"/>
      <c r="E190" s="6"/>
      <c r="F190" s="6"/>
    </row>
    <row r="191" spans="4:6" x14ac:dyDescent="0.25">
      <c r="D191" s="3"/>
      <c r="E191" s="6"/>
      <c r="F191" s="6"/>
    </row>
    <row r="192" spans="4:6" x14ac:dyDescent="0.25">
      <c r="D192" s="3"/>
      <c r="E192" s="6"/>
      <c r="F192" s="6"/>
    </row>
    <row r="193" spans="4:6" x14ac:dyDescent="0.25">
      <c r="D193" s="3"/>
      <c r="E193" s="6"/>
      <c r="F193" s="6"/>
    </row>
    <row r="194" spans="4:6" x14ac:dyDescent="0.25">
      <c r="D194" s="3"/>
      <c r="E194" s="6"/>
      <c r="F194" s="6"/>
    </row>
    <row r="195" spans="4:6" x14ac:dyDescent="0.25">
      <c r="D195" s="3"/>
      <c r="E195" s="6"/>
      <c r="F195" s="6"/>
    </row>
    <row r="196" spans="4:6" x14ac:dyDescent="0.25">
      <c r="D196" s="3"/>
      <c r="E196" s="6"/>
      <c r="F196" s="6"/>
    </row>
    <row r="197" spans="4:6" x14ac:dyDescent="0.25">
      <c r="D197" s="3"/>
      <c r="E197" s="6"/>
      <c r="F197" s="6"/>
    </row>
    <row r="198" spans="4:6" x14ac:dyDescent="0.25">
      <c r="D198" s="3"/>
      <c r="E198" s="6"/>
      <c r="F198" s="6"/>
    </row>
    <row r="199" spans="4:6" x14ac:dyDescent="0.25">
      <c r="D199" s="3"/>
      <c r="E199" s="6"/>
      <c r="F199" s="6"/>
    </row>
    <row r="200" spans="4:6" x14ac:dyDescent="0.25">
      <c r="D200" s="3"/>
      <c r="E200" s="6"/>
      <c r="F200" s="6"/>
    </row>
    <row r="201" spans="4:6" x14ac:dyDescent="0.25">
      <c r="D201" s="3"/>
      <c r="E201" s="6"/>
      <c r="F201" s="6"/>
    </row>
    <row r="202" spans="4:6" x14ac:dyDescent="0.25">
      <c r="D202" s="3"/>
      <c r="E202" s="6"/>
      <c r="F202" s="6"/>
    </row>
    <row r="203" spans="4:6" x14ac:dyDescent="0.25">
      <c r="D203" s="3"/>
      <c r="E203" s="6"/>
      <c r="F203" s="6"/>
    </row>
    <row r="204" spans="4:6" x14ac:dyDescent="0.25">
      <c r="D204" s="3"/>
      <c r="E204" s="6"/>
      <c r="F204" s="6"/>
    </row>
    <row r="205" spans="4:6" x14ac:dyDescent="0.25">
      <c r="D205" s="3"/>
      <c r="E205" s="6"/>
      <c r="F205" s="6"/>
    </row>
    <row r="206" spans="4:6" x14ac:dyDescent="0.25">
      <c r="D206" s="3"/>
      <c r="E206" s="6"/>
      <c r="F206" s="6"/>
    </row>
    <row r="207" spans="4:6" x14ac:dyDescent="0.25">
      <c r="D207" s="3"/>
      <c r="E207" s="6"/>
      <c r="F207" s="6"/>
    </row>
    <row r="208" spans="4:6" x14ac:dyDescent="0.25">
      <c r="D208" s="3"/>
      <c r="E208" s="6"/>
      <c r="F208" s="6"/>
    </row>
    <row r="209" spans="4:6" x14ac:dyDescent="0.25">
      <c r="D209" s="3"/>
      <c r="E209" s="6"/>
      <c r="F209" s="6"/>
    </row>
    <row r="210" spans="4:6" x14ac:dyDescent="0.25">
      <c r="D210" s="3"/>
      <c r="E210" s="6"/>
      <c r="F210" s="6"/>
    </row>
    <row r="211" spans="4:6" x14ac:dyDescent="0.25">
      <c r="D211" s="3"/>
      <c r="E211" s="6"/>
      <c r="F211" s="6"/>
    </row>
    <row r="212" spans="4:6" x14ac:dyDescent="0.25">
      <c r="D212" s="3"/>
      <c r="E212" s="6"/>
      <c r="F212" s="6"/>
    </row>
    <row r="213" spans="4:6" x14ac:dyDescent="0.25">
      <c r="D213" s="3"/>
      <c r="E213" s="6"/>
      <c r="F213" s="6"/>
    </row>
    <row r="214" spans="4:6" x14ac:dyDescent="0.25">
      <c r="D214" s="3"/>
      <c r="E214" s="6"/>
      <c r="F214" s="6"/>
    </row>
    <row r="215" spans="4:6" x14ac:dyDescent="0.25">
      <c r="D215" s="3"/>
      <c r="E215" s="6"/>
      <c r="F215" s="6"/>
    </row>
    <row r="216" spans="4:6" x14ac:dyDescent="0.25">
      <c r="D216" s="3"/>
      <c r="E216" s="6"/>
      <c r="F216" s="6"/>
    </row>
    <row r="217" spans="4:6" x14ac:dyDescent="0.25">
      <c r="D217" s="3"/>
      <c r="E217" s="6"/>
      <c r="F217" s="6"/>
    </row>
    <row r="218" spans="4:6" x14ac:dyDescent="0.25">
      <c r="D218" s="3"/>
      <c r="E218" s="6"/>
      <c r="F218" s="6"/>
    </row>
    <row r="219" spans="4:6" x14ac:dyDescent="0.25">
      <c r="D219" s="3"/>
      <c r="E219" s="6"/>
      <c r="F219" s="6"/>
    </row>
    <row r="220" spans="4:6" x14ac:dyDescent="0.25">
      <c r="D220" s="3"/>
      <c r="E220" s="6"/>
      <c r="F220" s="6"/>
    </row>
    <row r="221" spans="4:6" x14ac:dyDescent="0.25">
      <c r="D221" s="3"/>
      <c r="E221" s="6"/>
      <c r="F221" s="6"/>
    </row>
    <row r="222" spans="4:6" x14ac:dyDescent="0.25">
      <c r="D222" s="3"/>
      <c r="E222" s="6"/>
      <c r="F222" s="6"/>
    </row>
    <row r="223" spans="4:6" x14ac:dyDescent="0.25">
      <c r="D223" s="3"/>
      <c r="E223" s="6"/>
      <c r="F223" s="6"/>
    </row>
    <row r="224" spans="4:6" x14ac:dyDescent="0.25">
      <c r="D224" s="3"/>
      <c r="E224" s="6"/>
      <c r="F224" s="6"/>
    </row>
    <row r="225" spans="4:6" x14ac:dyDescent="0.25">
      <c r="D225" s="3"/>
      <c r="E225" s="6"/>
      <c r="F225" s="6"/>
    </row>
    <row r="226" spans="4:6" x14ac:dyDescent="0.25">
      <c r="D226" s="3"/>
      <c r="E226" s="6"/>
      <c r="F226" s="6"/>
    </row>
    <row r="227" spans="4:6" x14ac:dyDescent="0.25">
      <c r="D227" s="3"/>
      <c r="E227" s="6"/>
      <c r="F227" s="6"/>
    </row>
    <row r="228" spans="4:6" x14ac:dyDescent="0.25">
      <c r="D228" s="3"/>
      <c r="E228" s="6"/>
      <c r="F228" s="6"/>
    </row>
    <row r="229" spans="4:6" x14ac:dyDescent="0.25">
      <c r="D229" s="3"/>
      <c r="E229" s="6"/>
      <c r="F229" s="6"/>
    </row>
    <row r="230" spans="4:6" x14ac:dyDescent="0.25">
      <c r="D230" s="3"/>
      <c r="E230" s="6"/>
      <c r="F230" s="6"/>
    </row>
    <row r="231" spans="4:6" x14ac:dyDescent="0.25">
      <c r="D231" s="3"/>
      <c r="E231" s="6"/>
      <c r="F231" s="6"/>
    </row>
    <row r="232" spans="4:6" x14ac:dyDescent="0.25">
      <c r="D232" s="3"/>
      <c r="E232" s="6"/>
      <c r="F232" s="6"/>
    </row>
    <row r="233" spans="4:6" x14ac:dyDescent="0.25">
      <c r="D233" s="3"/>
      <c r="E233" s="6"/>
      <c r="F233" s="6"/>
    </row>
    <row r="234" spans="4:6" x14ac:dyDescent="0.25">
      <c r="D234" s="3"/>
      <c r="E234" s="6"/>
      <c r="F234" s="6"/>
    </row>
    <row r="235" spans="4:6" x14ac:dyDescent="0.25">
      <c r="D235" s="3"/>
      <c r="E235" s="6"/>
      <c r="F235" s="6"/>
    </row>
    <row r="236" spans="4:6" x14ac:dyDescent="0.25">
      <c r="D236" s="3"/>
      <c r="E236" s="6"/>
      <c r="F236" s="6"/>
    </row>
    <row r="237" spans="4:6" x14ac:dyDescent="0.25">
      <c r="D237" s="3"/>
      <c r="E237" s="6"/>
      <c r="F237" s="6"/>
    </row>
    <row r="238" spans="4:6" x14ac:dyDescent="0.25">
      <c r="D238" s="3"/>
      <c r="E238" s="6"/>
      <c r="F238" s="6"/>
    </row>
    <row r="239" spans="4:6" x14ac:dyDescent="0.25">
      <c r="D239" s="3"/>
      <c r="E239" s="6"/>
      <c r="F239" s="6"/>
    </row>
    <row r="240" spans="4:6" x14ac:dyDescent="0.25">
      <c r="D240" s="3"/>
      <c r="E240" s="6"/>
      <c r="F240" s="6"/>
    </row>
    <row r="241" spans="4:6" x14ac:dyDescent="0.25">
      <c r="D241" s="3"/>
      <c r="E241" s="6"/>
      <c r="F241" s="6"/>
    </row>
    <row r="242" spans="4:6" x14ac:dyDescent="0.25">
      <c r="D242" s="3"/>
      <c r="E242" s="6"/>
      <c r="F242" s="6"/>
    </row>
    <row r="243" spans="4:6" x14ac:dyDescent="0.25">
      <c r="D243" s="3"/>
      <c r="E243" s="6"/>
      <c r="F243" s="6"/>
    </row>
    <row r="244" spans="4:6" x14ac:dyDescent="0.25">
      <c r="D244" s="3"/>
      <c r="E244" s="6"/>
      <c r="F244" s="6"/>
    </row>
    <row r="245" spans="4:6" x14ac:dyDescent="0.25">
      <c r="D245" s="3"/>
      <c r="E245" s="6"/>
      <c r="F245" s="6"/>
    </row>
    <row r="246" spans="4:6" x14ac:dyDescent="0.25">
      <c r="D246" s="3"/>
      <c r="E246" s="6"/>
      <c r="F246" s="6"/>
    </row>
    <row r="247" spans="4:6" x14ac:dyDescent="0.25">
      <c r="D247" s="3"/>
      <c r="E247" s="6"/>
      <c r="F247" s="6"/>
    </row>
    <row r="248" spans="4:6" x14ac:dyDescent="0.25">
      <c r="D248" s="3"/>
      <c r="E248" s="6"/>
      <c r="F248" s="6"/>
    </row>
    <row r="249" spans="4:6" x14ac:dyDescent="0.25">
      <c r="D249" s="3"/>
      <c r="E249" s="6"/>
      <c r="F249" s="6"/>
    </row>
    <row r="250" spans="4:6" x14ac:dyDescent="0.25">
      <c r="D250" s="3"/>
      <c r="E250" s="6"/>
      <c r="F250" s="6"/>
    </row>
    <row r="251" spans="4:6" x14ac:dyDescent="0.25">
      <c r="D251" s="3"/>
      <c r="E251" s="6"/>
      <c r="F251" s="6"/>
    </row>
    <row r="252" spans="4:6" x14ac:dyDescent="0.25">
      <c r="D252" s="3"/>
      <c r="E252" s="6"/>
      <c r="F252" s="6"/>
    </row>
    <row r="253" spans="4:6" x14ac:dyDescent="0.25">
      <c r="D253" s="3"/>
      <c r="E253" s="6"/>
      <c r="F253" s="6"/>
    </row>
    <row r="254" spans="4:6" x14ac:dyDescent="0.25">
      <c r="D254" s="3"/>
      <c r="E254" s="6"/>
      <c r="F254" s="6"/>
    </row>
    <row r="255" spans="4:6" x14ac:dyDescent="0.25">
      <c r="D255" s="3"/>
      <c r="E255" s="6"/>
      <c r="F255" s="6"/>
    </row>
    <row r="256" spans="4:6" x14ac:dyDescent="0.25">
      <c r="D256" s="3"/>
      <c r="E256" s="6"/>
      <c r="F256" s="6"/>
    </row>
    <row r="257" spans="4:6" x14ac:dyDescent="0.25">
      <c r="D257" s="3"/>
      <c r="E257" s="6"/>
      <c r="F257" s="6"/>
    </row>
    <row r="258" spans="4:6" x14ac:dyDescent="0.25">
      <c r="D258" s="3"/>
      <c r="E258" s="6"/>
      <c r="F258" s="6"/>
    </row>
    <row r="259" spans="4:6" x14ac:dyDescent="0.25">
      <c r="D259" s="3"/>
      <c r="E259" s="6"/>
      <c r="F259" s="6"/>
    </row>
    <row r="260" spans="4:6" x14ac:dyDescent="0.25">
      <c r="D260" s="3"/>
      <c r="E260" s="6"/>
      <c r="F260" s="6"/>
    </row>
    <row r="261" spans="4:6" x14ac:dyDescent="0.25">
      <c r="D261" s="3"/>
      <c r="E261" s="6"/>
      <c r="F261" s="6"/>
    </row>
    <row r="262" spans="4:6" x14ac:dyDescent="0.25">
      <c r="D262" s="3"/>
      <c r="E262" s="6"/>
      <c r="F262" s="6"/>
    </row>
    <row r="263" spans="4:6" x14ac:dyDescent="0.25">
      <c r="D263" s="3"/>
      <c r="E263" s="6"/>
      <c r="F263" s="6"/>
    </row>
    <row r="264" spans="4:6" x14ac:dyDescent="0.25">
      <c r="D264" s="3"/>
      <c r="E264" s="6"/>
      <c r="F264" s="6"/>
    </row>
    <row r="265" spans="4:6" x14ac:dyDescent="0.25">
      <c r="D265" s="3"/>
      <c r="E265" s="6"/>
      <c r="F265" s="6"/>
    </row>
    <row r="266" spans="4:6" x14ac:dyDescent="0.25">
      <c r="D266" s="3"/>
      <c r="E266" s="6"/>
      <c r="F266" s="6"/>
    </row>
    <row r="267" spans="4:6" x14ac:dyDescent="0.25">
      <c r="D267" s="3"/>
      <c r="E267" s="6"/>
      <c r="F267" s="6"/>
    </row>
    <row r="268" spans="4:6" x14ac:dyDescent="0.25">
      <c r="D268" s="3"/>
      <c r="E268" s="6"/>
      <c r="F268" s="6"/>
    </row>
    <row r="269" spans="4:6" x14ac:dyDescent="0.25">
      <c r="D269" s="3"/>
      <c r="E269" s="6"/>
      <c r="F269" s="6"/>
    </row>
    <row r="270" spans="4:6" x14ac:dyDescent="0.25">
      <c r="D270" s="3"/>
      <c r="E270" s="6"/>
      <c r="F270" s="6"/>
    </row>
    <row r="271" spans="4:6" x14ac:dyDescent="0.25">
      <c r="D271" s="3"/>
      <c r="E271" s="6"/>
      <c r="F271" s="6"/>
    </row>
    <row r="272" spans="4:6" x14ac:dyDescent="0.25">
      <c r="D272" s="3"/>
      <c r="E272" s="6"/>
      <c r="F272" s="6"/>
    </row>
    <row r="273" spans="4:6" x14ac:dyDescent="0.25">
      <c r="D273" s="3"/>
      <c r="E273" s="6"/>
      <c r="F273" s="6"/>
    </row>
    <row r="274" spans="4:6" x14ac:dyDescent="0.25">
      <c r="D274" s="3"/>
      <c r="E274" s="6"/>
      <c r="F274" s="6"/>
    </row>
    <row r="275" spans="4:6" x14ac:dyDescent="0.25">
      <c r="D275" s="3"/>
      <c r="E275" s="6"/>
      <c r="F275" s="6"/>
    </row>
    <row r="276" spans="4:6" x14ac:dyDescent="0.25">
      <c r="D276" s="3"/>
      <c r="E276" s="6"/>
      <c r="F276" s="6"/>
    </row>
    <row r="277" spans="4:6" x14ac:dyDescent="0.25">
      <c r="D277" s="3"/>
      <c r="E277" s="6"/>
      <c r="F277" s="6"/>
    </row>
    <row r="278" spans="4:6" x14ac:dyDescent="0.25">
      <c r="D278" s="3"/>
      <c r="E278" s="6"/>
      <c r="F278" s="6"/>
    </row>
    <row r="279" spans="4:6" x14ac:dyDescent="0.25">
      <c r="D279" s="3"/>
      <c r="E279" s="6"/>
      <c r="F279" s="6"/>
    </row>
    <row r="280" spans="4:6" x14ac:dyDescent="0.25">
      <c r="D280" s="3"/>
      <c r="E280" s="6"/>
      <c r="F280" s="6"/>
    </row>
    <row r="281" spans="4:6" x14ac:dyDescent="0.25">
      <c r="D281" s="3"/>
      <c r="E281" s="6"/>
      <c r="F281" s="6"/>
    </row>
    <row r="282" spans="4:6" x14ac:dyDescent="0.25">
      <c r="D282" s="3"/>
      <c r="E282" s="6"/>
      <c r="F282" s="6"/>
    </row>
    <row r="283" spans="4:6" x14ac:dyDescent="0.25">
      <c r="D283" s="3"/>
      <c r="E283" s="6"/>
      <c r="F283" s="6"/>
    </row>
    <row r="284" spans="4:6" x14ac:dyDescent="0.25">
      <c r="D284" s="3"/>
      <c r="E284" s="6"/>
      <c r="F284" s="6"/>
    </row>
    <row r="285" spans="4:6" x14ac:dyDescent="0.25">
      <c r="D285" s="3"/>
      <c r="E285" s="6"/>
      <c r="F285" s="6"/>
    </row>
    <row r="286" spans="4:6" x14ac:dyDescent="0.25">
      <c r="D286" s="3"/>
      <c r="E286" s="6"/>
      <c r="F286" s="6"/>
    </row>
    <row r="287" spans="4:6" x14ac:dyDescent="0.25">
      <c r="D287" s="3"/>
      <c r="E287" s="6"/>
      <c r="F287" s="6"/>
    </row>
    <row r="288" spans="4:6" x14ac:dyDescent="0.25">
      <c r="D288" s="3"/>
      <c r="E288" s="6"/>
      <c r="F288" s="6"/>
    </row>
    <row r="289" spans="4:6" x14ac:dyDescent="0.25">
      <c r="D289" s="3"/>
      <c r="E289" s="6"/>
      <c r="F289" s="6"/>
    </row>
    <row r="290" spans="4:6" x14ac:dyDescent="0.25">
      <c r="D290" s="3"/>
      <c r="E290" s="6"/>
      <c r="F290" s="6"/>
    </row>
    <row r="291" spans="4:6" x14ac:dyDescent="0.25">
      <c r="D291" s="3"/>
      <c r="E291" s="6"/>
      <c r="F291" s="6"/>
    </row>
    <row r="292" spans="4:6" x14ac:dyDescent="0.25">
      <c r="D292" s="3"/>
      <c r="E292" s="6"/>
      <c r="F292" s="6"/>
    </row>
    <row r="293" spans="4:6" x14ac:dyDescent="0.25">
      <c r="D293" s="3"/>
      <c r="E293" s="6"/>
      <c r="F293" s="6"/>
    </row>
    <row r="294" spans="4:6" x14ac:dyDescent="0.25">
      <c r="D294" s="3"/>
      <c r="E294" s="6"/>
      <c r="F294" s="6"/>
    </row>
    <row r="295" spans="4:6" x14ac:dyDescent="0.25">
      <c r="D295" s="3"/>
      <c r="E295" s="6"/>
      <c r="F295" s="6"/>
    </row>
    <row r="296" spans="4:6" x14ac:dyDescent="0.25">
      <c r="D296" s="3"/>
      <c r="E296" s="6"/>
      <c r="F296" s="6"/>
    </row>
    <row r="297" spans="4:6" x14ac:dyDescent="0.25">
      <c r="D297" s="3"/>
      <c r="E297" s="6"/>
      <c r="F297" s="6"/>
    </row>
    <row r="298" spans="4:6" x14ac:dyDescent="0.25">
      <c r="D298" s="3"/>
      <c r="E298" s="6"/>
      <c r="F298" s="6"/>
    </row>
    <row r="299" spans="4:6" x14ac:dyDescent="0.25">
      <c r="D299" s="3"/>
      <c r="E299" s="6"/>
      <c r="F299" s="6"/>
    </row>
    <row r="300" spans="4:6" x14ac:dyDescent="0.25">
      <c r="D300" s="3"/>
      <c r="E300" s="6"/>
      <c r="F300" s="6"/>
    </row>
    <row r="301" spans="4:6" x14ac:dyDescent="0.25">
      <c r="D301" s="3"/>
      <c r="E301" s="6"/>
      <c r="F301" s="6"/>
    </row>
    <row r="302" spans="4:6" x14ac:dyDescent="0.25">
      <c r="D302" s="3"/>
      <c r="E302" s="6"/>
      <c r="F302" s="6"/>
    </row>
    <row r="303" spans="4:6" x14ac:dyDescent="0.25">
      <c r="D303" s="3"/>
      <c r="E303" s="6"/>
      <c r="F303" s="6"/>
    </row>
    <row r="304" spans="4:6" x14ac:dyDescent="0.25">
      <c r="D304" s="3"/>
      <c r="E304" s="6"/>
      <c r="F304" s="6"/>
    </row>
    <row r="305" spans="4:6" x14ac:dyDescent="0.25">
      <c r="D305" s="3"/>
      <c r="E305" s="6"/>
      <c r="F305" s="6"/>
    </row>
    <row r="306" spans="4:6" x14ac:dyDescent="0.25">
      <c r="D306" s="3"/>
      <c r="E306" s="6"/>
      <c r="F306" s="6"/>
    </row>
    <row r="307" spans="4:6" x14ac:dyDescent="0.25">
      <c r="D307" s="3"/>
      <c r="E307" s="6"/>
      <c r="F307" s="6"/>
    </row>
    <row r="308" spans="4:6" x14ac:dyDescent="0.25">
      <c r="D308" s="3"/>
      <c r="E308" s="6"/>
      <c r="F308" s="6"/>
    </row>
    <row r="309" spans="4:6" x14ac:dyDescent="0.25">
      <c r="D309" s="3"/>
      <c r="E309" s="6"/>
      <c r="F309" s="6"/>
    </row>
    <row r="310" spans="4:6" x14ac:dyDescent="0.25">
      <c r="D310" s="3"/>
      <c r="E310" s="6"/>
      <c r="F310" s="6"/>
    </row>
    <row r="311" spans="4:6" x14ac:dyDescent="0.25">
      <c r="D311" s="3"/>
      <c r="E311" s="6"/>
      <c r="F311" s="6"/>
    </row>
    <row r="312" spans="4:6" x14ac:dyDescent="0.25">
      <c r="D312" s="3"/>
      <c r="E312" s="6"/>
      <c r="F312" s="6"/>
    </row>
    <row r="313" spans="4:6" x14ac:dyDescent="0.25">
      <c r="D313" s="3"/>
      <c r="E313" s="6"/>
      <c r="F313" s="6"/>
    </row>
    <row r="314" spans="4:6" x14ac:dyDescent="0.25">
      <c r="D314" s="3"/>
      <c r="E314" s="6"/>
      <c r="F314" s="6"/>
    </row>
    <row r="315" spans="4:6" x14ac:dyDescent="0.25">
      <c r="D315" s="3"/>
      <c r="E315" s="6"/>
      <c r="F315" s="6"/>
    </row>
    <row r="316" spans="4:6" x14ac:dyDescent="0.25">
      <c r="D316" s="3"/>
      <c r="E316" s="6"/>
      <c r="F316" s="6"/>
    </row>
    <row r="317" spans="4:6" x14ac:dyDescent="0.25">
      <c r="D317" s="3"/>
      <c r="E317" s="6"/>
      <c r="F317" s="6"/>
    </row>
    <row r="318" spans="4:6" x14ac:dyDescent="0.25">
      <c r="D318" s="3"/>
      <c r="E318" s="6"/>
      <c r="F318" s="6"/>
    </row>
    <row r="319" spans="4:6" x14ac:dyDescent="0.25">
      <c r="D319" s="3"/>
      <c r="E319" s="6"/>
      <c r="F319" s="6"/>
    </row>
    <row r="320" spans="4:6" x14ac:dyDescent="0.25">
      <c r="D320" s="3"/>
      <c r="E320" s="6"/>
      <c r="F320" s="6"/>
    </row>
    <row r="321" spans="4:6" x14ac:dyDescent="0.25">
      <c r="D321" s="3"/>
      <c r="E321" s="6"/>
      <c r="F321" s="6"/>
    </row>
    <row r="322" spans="4:6" x14ac:dyDescent="0.25">
      <c r="D322" s="3"/>
      <c r="E322" s="6"/>
      <c r="F322" s="6"/>
    </row>
    <row r="323" spans="4:6" x14ac:dyDescent="0.25">
      <c r="D323" s="3"/>
      <c r="E323" s="6"/>
      <c r="F323" s="6"/>
    </row>
    <row r="324" spans="4:6" x14ac:dyDescent="0.25">
      <c r="D324" s="3"/>
      <c r="E324" s="6"/>
      <c r="F324" s="6"/>
    </row>
    <row r="325" spans="4:6" x14ac:dyDescent="0.25">
      <c r="D325" s="3"/>
      <c r="E325" s="6"/>
      <c r="F325" s="6"/>
    </row>
    <row r="326" spans="4:6" x14ac:dyDescent="0.25">
      <c r="D326" s="3"/>
      <c r="E326" s="6"/>
      <c r="F326" s="6"/>
    </row>
    <row r="327" spans="4:6" x14ac:dyDescent="0.25">
      <c r="D327" s="3"/>
      <c r="E327" s="6"/>
      <c r="F327" s="6"/>
    </row>
    <row r="328" spans="4:6" x14ac:dyDescent="0.25">
      <c r="D328" s="3"/>
      <c r="E328" s="6"/>
      <c r="F328" s="6"/>
    </row>
    <row r="329" spans="4:6" x14ac:dyDescent="0.25">
      <c r="D329" s="3"/>
      <c r="E329" s="6"/>
      <c r="F329" s="6"/>
    </row>
    <row r="330" spans="4:6" x14ac:dyDescent="0.25">
      <c r="D330" s="3"/>
      <c r="E330" s="6"/>
      <c r="F330" s="6"/>
    </row>
    <row r="331" spans="4:6" x14ac:dyDescent="0.25">
      <c r="D331" s="3"/>
      <c r="E331" s="6"/>
      <c r="F331" s="6"/>
    </row>
    <row r="332" spans="4:6" x14ac:dyDescent="0.25">
      <c r="D332" s="3"/>
      <c r="E332" s="6"/>
      <c r="F332" s="6"/>
    </row>
    <row r="333" spans="4:6" x14ac:dyDescent="0.25">
      <c r="D333" s="3"/>
      <c r="E333" s="6"/>
      <c r="F333" s="6"/>
    </row>
    <row r="334" spans="4:6" x14ac:dyDescent="0.25">
      <c r="D334" s="3"/>
      <c r="E334" s="6"/>
      <c r="F334" s="6"/>
    </row>
    <row r="335" spans="4:6" x14ac:dyDescent="0.25">
      <c r="D335" s="3"/>
      <c r="E335" s="6"/>
      <c r="F335" s="6"/>
    </row>
    <row r="336" spans="4:6" x14ac:dyDescent="0.25">
      <c r="D336" s="3"/>
      <c r="E336" s="6"/>
      <c r="F336" s="6"/>
    </row>
    <row r="337" spans="4:6" x14ac:dyDescent="0.25">
      <c r="D337" s="3"/>
      <c r="E337" s="6"/>
      <c r="F337" s="6"/>
    </row>
    <row r="338" spans="4:6" x14ac:dyDescent="0.25">
      <c r="D338" s="3"/>
      <c r="E338" s="6"/>
      <c r="F338" s="6"/>
    </row>
    <row r="339" spans="4:6" x14ac:dyDescent="0.25">
      <c r="D339" s="3"/>
      <c r="E339" s="6"/>
      <c r="F339" s="6"/>
    </row>
    <row r="340" spans="4:6" x14ac:dyDescent="0.25">
      <c r="D340" s="3"/>
      <c r="E340" s="6"/>
      <c r="F340" s="6"/>
    </row>
    <row r="341" spans="4:6" x14ac:dyDescent="0.25">
      <c r="D341" s="3"/>
      <c r="E341" s="6"/>
      <c r="F341" s="6"/>
    </row>
    <row r="342" spans="4:6" x14ac:dyDescent="0.25">
      <c r="D342" s="3"/>
      <c r="E342" s="6"/>
      <c r="F342" s="6"/>
    </row>
    <row r="343" spans="4:6" x14ac:dyDescent="0.25">
      <c r="D343" s="3"/>
      <c r="E343" s="6"/>
      <c r="F343" s="6"/>
    </row>
    <row r="344" spans="4:6" x14ac:dyDescent="0.25">
      <c r="D344" s="3"/>
      <c r="E344" s="6"/>
      <c r="F344" s="6"/>
    </row>
    <row r="345" spans="4:6" x14ac:dyDescent="0.25">
      <c r="D345" s="3"/>
      <c r="E345" s="6"/>
      <c r="F345" s="6"/>
    </row>
    <row r="346" spans="4:6" x14ac:dyDescent="0.25">
      <c r="D346" s="3"/>
      <c r="E346" s="6"/>
      <c r="F346" s="6"/>
    </row>
    <row r="347" spans="4:6" x14ac:dyDescent="0.25">
      <c r="D347" s="3"/>
      <c r="E347" s="6"/>
      <c r="F347" s="6"/>
    </row>
    <row r="348" spans="4:6" x14ac:dyDescent="0.25">
      <c r="D348" s="3"/>
      <c r="E348" s="6"/>
      <c r="F348" s="6"/>
    </row>
    <row r="349" spans="4:6" x14ac:dyDescent="0.25">
      <c r="D349" s="3"/>
      <c r="E349" s="6"/>
      <c r="F349" s="6"/>
    </row>
    <row r="350" spans="4:6" x14ac:dyDescent="0.25">
      <c r="D350" s="3"/>
      <c r="E350" s="6"/>
      <c r="F350" s="6"/>
    </row>
    <row r="351" spans="4:6" x14ac:dyDescent="0.25">
      <c r="D351" s="3"/>
      <c r="E351" s="6"/>
      <c r="F351" s="6"/>
    </row>
    <row r="352" spans="4:6" x14ac:dyDescent="0.25">
      <c r="D352" s="3"/>
      <c r="E352" s="6"/>
      <c r="F352" s="6"/>
    </row>
    <row r="353" spans="4:6" x14ac:dyDescent="0.25">
      <c r="D353" s="3"/>
      <c r="E353" s="6"/>
      <c r="F353" s="6"/>
    </row>
    <row r="354" spans="4:6" x14ac:dyDescent="0.25">
      <c r="D354" s="3"/>
      <c r="E354" s="6"/>
      <c r="F354" s="6"/>
    </row>
    <row r="355" spans="4:6" x14ac:dyDescent="0.25">
      <c r="D355" s="3"/>
      <c r="E355" s="6"/>
      <c r="F355" s="6"/>
    </row>
    <row r="356" spans="4:6" x14ac:dyDescent="0.25">
      <c r="D356" s="3"/>
      <c r="E356" s="6"/>
      <c r="F356" s="6"/>
    </row>
    <row r="357" spans="4:6" x14ac:dyDescent="0.25">
      <c r="D357" s="3"/>
      <c r="E357" s="6"/>
      <c r="F357" s="6"/>
    </row>
    <row r="358" spans="4:6" x14ac:dyDescent="0.25">
      <c r="D358" s="3"/>
      <c r="E358" s="6"/>
      <c r="F358" s="6"/>
    </row>
    <row r="359" spans="4:6" x14ac:dyDescent="0.25">
      <c r="D359" s="3"/>
      <c r="E359" s="6"/>
      <c r="F359" s="6"/>
    </row>
    <row r="360" spans="4:6" x14ac:dyDescent="0.25">
      <c r="D360" s="3"/>
      <c r="E360" s="6"/>
      <c r="F360" s="6"/>
    </row>
    <row r="361" spans="4:6" x14ac:dyDescent="0.25">
      <c r="D361" s="3"/>
      <c r="E361" s="6"/>
      <c r="F361" s="6"/>
    </row>
    <row r="362" spans="4:6" x14ac:dyDescent="0.25">
      <c r="D362" s="3"/>
      <c r="E362" s="6"/>
      <c r="F362" s="6"/>
    </row>
    <row r="363" spans="4:6" x14ac:dyDescent="0.25">
      <c r="D363" s="3"/>
      <c r="E363" s="6"/>
      <c r="F363" s="6"/>
    </row>
    <row r="364" spans="4:6" x14ac:dyDescent="0.25">
      <c r="D364" s="3"/>
      <c r="E364" s="6"/>
      <c r="F364" s="6"/>
    </row>
    <row r="365" spans="4:6" x14ac:dyDescent="0.25">
      <c r="D365" s="3"/>
      <c r="E365" s="6"/>
      <c r="F365" s="6"/>
    </row>
    <row r="366" spans="4:6" x14ac:dyDescent="0.25">
      <c r="D366" s="3"/>
      <c r="E366" s="6"/>
      <c r="F366" s="6"/>
    </row>
    <row r="367" spans="4:6" x14ac:dyDescent="0.25">
      <c r="D367" s="3"/>
      <c r="E367" s="6"/>
      <c r="F367" s="6"/>
    </row>
    <row r="368" spans="4:6" x14ac:dyDescent="0.25">
      <c r="D368" s="3"/>
      <c r="E368" s="6"/>
      <c r="F368" s="6"/>
    </row>
    <row r="369" spans="4:6" x14ac:dyDescent="0.25">
      <c r="D369" s="3"/>
      <c r="E369" s="6"/>
      <c r="F369" s="6"/>
    </row>
    <row r="370" spans="4:6" x14ac:dyDescent="0.25">
      <c r="D370" s="3"/>
      <c r="E370" s="6"/>
      <c r="F370" s="6"/>
    </row>
    <row r="371" spans="4:6" x14ac:dyDescent="0.25">
      <c r="D371" s="3"/>
      <c r="E371" s="6"/>
      <c r="F371" s="6"/>
    </row>
    <row r="372" spans="4:6" x14ac:dyDescent="0.25">
      <c r="D372" s="3"/>
      <c r="E372" s="6"/>
      <c r="F372" s="6"/>
    </row>
    <row r="373" spans="4:6" x14ac:dyDescent="0.25">
      <c r="D373" s="3"/>
      <c r="E373" s="6"/>
      <c r="F373" s="6"/>
    </row>
    <row r="374" spans="4:6" x14ac:dyDescent="0.25">
      <c r="D374" s="3"/>
      <c r="E374" s="6"/>
      <c r="F374" s="6"/>
    </row>
    <row r="375" spans="4:6" x14ac:dyDescent="0.25">
      <c r="D375" s="3"/>
      <c r="E375" s="6"/>
      <c r="F375" s="6"/>
    </row>
    <row r="376" spans="4:6" x14ac:dyDescent="0.25">
      <c r="D376" s="3"/>
      <c r="E376" s="6"/>
      <c r="F376" s="6"/>
    </row>
    <row r="377" spans="4:6" x14ac:dyDescent="0.25">
      <c r="D377" s="3"/>
      <c r="E377" s="6"/>
      <c r="F377" s="6"/>
    </row>
    <row r="378" spans="4:6" x14ac:dyDescent="0.25">
      <c r="D378" s="3"/>
      <c r="E378" s="6"/>
      <c r="F378" s="6"/>
    </row>
    <row r="379" spans="4:6" x14ac:dyDescent="0.25">
      <c r="D379" s="3"/>
      <c r="E379" s="6"/>
      <c r="F379" s="6"/>
    </row>
    <row r="380" spans="4:6" x14ac:dyDescent="0.25">
      <c r="D380" s="3"/>
      <c r="E380" s="6"/>
      <c r="F380" s="6"/>
    </row>
    <row r="381" spans="4:6" x14ac:dyDescent="0.25">
      <c r="D381" s="3"/>
      <c r="E381" s="6"/>
      <c r="F381" s="6"/>
    </row>
    <row r="382" spans="4:6" x14ac:dyDescent="0.25">
      <c r="D382" s="3"/>
      <c r="E382" s="6"/>
      <c r="F382" s="6"/>
    </row>
    <row r="383" spans="4:6" x14ac:dyDescent="0.25">
      <c r="D383" s="3"/>
      <c r="E383" s="6"/>
      <c r="F383" s="6"/>
    </row>
    <row r="384" spans="4:6" x14ac:dyDescent="0.25">
      <c r="D384" s="3"/>
      <c r="E384" s="6"/>
      <c r="F384" s="6"/>
    </row>
    <row r="385" spans="4:6" x14ac:dyDescent="0.25">
      <c r="D385" s="3"/>
      <c r="E385" s="6"/>
      <c r="F385" s="6"/>
    </row>
    <row r="386" spans="4:6" x14ac:dyDescent="0.25">
      <c r="D386" s="3"/>
      <c r="E386" s="6"/>
      <c r="F386" s="6"/>
    </row>
    <row r="387" spans="4:6" x14ac:dyDescent="0.25">
      <c r="D387" s="3"/>
      <c r="E387" s="6"/>
      <c r="F387" s="6"/>
    </row>
    <row r="388" spans="4:6" x14ac:dyDescent="0.25">
      <c r="D388" s="3"/>
      <c r="E388" s="6"/>
      <c r="F388" s="6"/>
    </row>
    <row r="389" spans="4:6" x14ac:dyDescent="0.25">
      <c r="D389" s="3"/>
      <c r="E389" s="6"/>
      <c r="F389" s="6"/>
    </row>
    <row r="390" spans="4:6" x14ac:dyDescent="0.25">
      <c r="D390" s="3"/>
      <c r="E390" s="6"/>
      <c r="F390" s="6"/>
    </row>
    <row r="391" spans="4:6" x14ac:dyDescent="0.25">
      <c r="D391" s="3"/>
      <c r="E391" s="6"/>
      <c r="F391" s="6"/>
    </row>
    <row r="392" spans="4:6" x14ac:dyDescent="0.25">
      <c r="D392" s="3"/>
      <c r="E392" s="6"/>
      <c r="F392" s="6"/>
    </row>
    <row r="393" spans="4:6" x14ac:dyDescent="0.25">
      <c r="D393" s="3"/>
      <c r="E393" s="6"/>
      <c r="F393" s="6"/>
    </row>
    <row r="394" spans="4:6" x14ac:dyDescent="0.25">
      <c r="D394" s="3"/>
      <c r="E394" s="6"/>
      <c r="F394" s="6"/>
    </row>
    <row r="395" spans="4:6" x14ac:dyDescent="0.25">
      <c r="D395" s="3"/>
      <c r="E395" s="6"/>
      <c r="F395" s="6"/>
    </row>
    <row r="396" spans="4:6" x14ac:dyDescent="0.25">
      <c r="D396" s="3"/>
      <c r="E396" s="6"/>
      <c r="F396" s="6"/>
    </row>
    <row r="397" spans="4:6" x14ac:dyDescent="0.25">
      <c r="D397" s="3"/>
      <c r="E397" s="6"/>
      <c r="F397" s="6"/>
    </row>
    <row r="398" spans="4:6" x14ac:dyDescent="0.25">
      <c r="D398" s="3"/>
      <c r="E398" s="6"/>
      <c r="F398" s="6"/>
    </row>
    <row r="399" spans="4:6" x14ac:dyDescent="0.25">
      <c r="D399" s="3"/>
      <c r="E399" s="6"/>
      <c r="F399" s="6"/>
    </row>
    <row r="400" spans="4:6" x14ac:dyDescent="0.25">
      <c r="D400" s="24"/>
      <c r="E400" s="25"/>
      <c r="F400" s="2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00"/>
  <sheetViews>
    <sheetView tabSelected="1" topLeftCell="A283" workbookViewId="0">
      <selection activeCell="A360" sqref="A360:U400"/>
    </sheetView>
  </sheetViews>
  <sheetFormatPr defaultColWidth="8.85546875" defaultRowHeight="15" x14ac:dyDescent="0.25"/>
  <cols>
    <col min="1" max="1" width="10.140625" style="1" customWidth="1"/>
    <col min="2" max="2" width="10.85546875" style="1" customWidth="1"/>
    <col min="3" max="3" width="9.7109375" style="1" customWidth="1"/>
    <col min="4" max="4" width="10.7109375" style="1" customWidth="1"/>
    <col min="5" max="5" width="8.85546875" style="1"/>
    <col min="6" max="6" width="10.140625" style="1" customWidth="1"/>
    <col min="7" max="7" width="10.7109375" style="3" customWidth="1"/>
    <col min="8" max="8" width="8.85546875" style="6"/>
    <col min="9" max="9" width="11.140625" style="23" customWidth="1"/>
    <col min="10" max="10" width="10.7109375" style="3" customWidth="1"/>
    <col min="11" max="11" width="8.85546875" style="6"/>
    <col min="12" max="12" width="11.140625" style="23" customWidth="1"/>
    <col min="13" max="13" width="10.7109375" style="3" customWidth="1"/>
    <col min="14" max="14" width="8.85546875" style="6"/>
    <col min="15" max="15" width="11.140625" style="23" customWidth="1"/>
    <col min="16" max="16" width="10.7109375" style="3" customWidth="1"/>
    <col min="17" max="17" width="8.85546875" style="6"/>
    <col min="18" max="18" width="11.140625" style="23" customWidth="1"/>
    <col min="19" max="19" width="10.7109375" style="1" customWidth="1"/>
    <col min="20" max="20" width="9" style="1" customWidth="1"/>
    <col min="21" max="21" width="12.140625" style="1" customWidth="1"/>
    <col min="22" max="16384" width="8.85546875" style="1"/>
  </cols>
  <sheetData>
    <row r="1" spans="1:25" s="4" customFormat="1" ht="15.75" x14ac:dyDescent="0.25">
      <c r="A1" s="26" t="s">
        <v>673</v>
      </c>
      <c r="B1" s="26" t="s">
        <v>667</v>
      </c>
      <c r="C1" s="26" t="s">
        <v>668</v>
      </c>
      <c r="D1" s="26" t="s">
        <v>782</v>
      </c>
      <c r="E1" s="26" t="s">
        <v>794</v>
      </c>
      <c r="F1" s="26" t="s">
        <v>795</v>
      </c>
      <c r="G1" s="27" t="s">
        <v>783</v>
      </c>
      <c r="H1" s="26" t="s">
        <v>788</v>
      </c>
      <c r="I1" s="26" t="s">
        <v>796</v>
      </c>
      <c r="J1" s="27" t="s">
        <v>784</v>
      </c>
      <c r="K1" s="26" t="s">
        <v>798</v>
      </c>
      <c r="L1" s="26" t="s">
        <v>789</v>
      </c>
      <c r="M1" s="27" t="s">
        <v>785</v>
      </c>
      <c r="N1" s="26" t="s">
        <v>790</v>
      </c>
      <c r="O1" s="26" t="s">
        <v>799</v>
      </c>
      <c r="P1" s="27" t="s">
        <v>786</v>
      </c>
      <c r="Q1" s="26" t="s">
        <v>800</v>
      </c>
      <c r="R1" s="26" t="s">
        <v>791</v>
      </c>
      <c r="S1" s="27" t="s">
        <v>787</v>
      </c>
      <c r="T1" s="26" t="s">
        <v>792</v>
      </c>
      <c r="U1" s="26" t="s">
        <v>797</v>
      </c>
      <c r="V1" s="4" t="s">
        <v>803</v>
      </c>
      <c r="W1" s="4" t="s">
        <v>804</v>
      </c>
      <c r="X1" s="4" t="s">
        <v>805</v>
      </c>
    </row>
    <row r="2" spans="1:25" x14ac:dyDescent="0.25">
      <c r="A2" s="1" t="s">
        <v>180</v>
      </c>
      <c r="B2" s="1">
        <v>6583451.2433470301</v>
      </c>
      <c r="C2" s="1">
        <v>676414.23453874304</v>
      </c>
      <c r="D2" s="5" t="str">
        <f t="shared" ref="D2:D65" si="0">$A2&amp;RIGHT(D$1,1)&amp;"F"</f>
        <v>H1811F</v>
      </c>
      <c r="E2" s="2" t="str">
        <f t="shared" ref="E2:E65" si="1">IF(D2="-","-","Heatpl")</f>
        <v>Heatpl</v>
      </c>
      <c r="F2" s="14">
        <f t="shared" ref="F2:F65" si="2">IF(1.2*1000*$V2&gt;=$Y$3,1.2*$V2*1000,"-")</f>
        <v>3685079.6973239994</v>
      </c>
      <c r="G2" s="5" t="str">
        <f>IF(Table35[[#This Row],[Capacity1]]&lt;&gt;"-",Table35[[#This Row],[Location]]&amp;RIGHT(Table35[[#Headers],[Facility_2]],1)&amp;"F","-")</f>
        <v>H1812F</v>
      </c>
      <c r="H2" s="2" t="str">
        <f t="shared" ref="H2:H65" si="3">IF(G2="-","-","TerHea")</f>
        <v>TerHea</v>
      </c>
      <c r="I2" s="2">
        <f t="shared" ref="I2:I65" si="4">IF(H2="-",0,9999)</f>
        <v>9999</v>
      </c>
      <c r="J2" s="5" t="str">
        <f>IF(Table35[[#This Row],[Capacity1]]*X2&gt;=$Y$5,Table35[[#This Row],[Location]]&amp;RIGHT(Table35[[#Headers],[Facility_3]],1)&amp;"F","-")</f>
        <v>H1813F</v>
      </c>
      <c r="K2" s="2" t="str">
        <f t="shared" ref="K2" si="5">IF(J2="-","-","CHPpl_")</f>
        <v>CHPpl_</v>
      </c>
      <c r="L2" s="14">
        <f t="shared" ref="L2" si="6">IF(K2="-","-",F2*X2)</f>
        <v>1707387.9413345237</v>
      </c>
      <c r="M2" s="5" t="str">
        <f t="shared" ref="M2" si="7">$A2&amp;RIGHT(M$1,1)&amp;"F"</f>
        <v>H1814F</v>
      </c>
      <c r="P2" s="5" t="str">
        <f t="shared" ref="P2" si="8">$A2&amp;RIGHT(P$1,1)&amp;"F"</f>
        <v>H1815F</v>
      </c>
      <c r="S2" s="5" t="str">
        <f t="shared" ref="S2" si="9">$A2&amp;RIGHT(S$1,1)&amp;"F"</f>
        <v>H1816F</v>
      </c>
      <c r="V2" s="1">
        <v>3070.8997477699995</v>
      </c>
      <c r="W2" s="1">
        <v>0.53667543674173979</v>
      </c>
      <c r="X2" s="1">
        <v>0.46332456325826021</v>
      </c>
      <c r="Y2" s="4" t="s">
        <v>807</v>
      </c>
    </row>
    <row r="3" spans="1:25" x14ac:dyDescent="0.25">
      <c r="A3" s="1" t="s">
        <v>189</v>
      </c>
      <c r="B3" s="1">
        <v>6568953.06850967</v>
      </c>
      <c r="C3" s="1">
        <v>512314.14833744499</v>
      </c>
      <c r="D3" s="5" t="str">
        <f t="shared" si="0"/>
        <v>H1901F</v>
      </c>
      <c r="E3" s="6" t="str">
        <f t="shared" si="1"/>
        <v>Heatpl</v>
      </c>
      <c r="F3" s="14">
        <f t="shared" si="2"/>
        <v>1073069.8800000001</v>
      </c>
      <c r="G3" s="5" t="str">
        <f>IF(Table35[[#This Row],[Capacity1]]&lt;&gt;"-",Table35[[#This Row],[Location]]&amp;RIGHT(Table35[[#Headers],[Facility_2]],1)&amp;"F","-")</f>
        <v>H1902F</v>
      </c>
      <c r="H3" s="6" t="str">
        <f t="shared" si="3"/>
        <v>TerHea</v>
      </c>
      <c r="I3" s="23">
        <f t="shared" si="4"/>
        <v>9999</v>
      </c>
      <c r="J3" s="5" t="str">
        <f>IF(Table35[[#This Row],[Capacity1]]*X3&gt;=$Y$5,Table35[[#This Row],[Location]]&amp;RIGHT(Table35[[#Headers],[Facility_3]],1)&amp;"F","-")</f>
        <v>H1903F</v>
      </c>
      <c r="K3" s="2" t="str">
        <f t="shared" ref="K3" si="10">IF(J3="-","-","CHPpl_")</f>
        <v>CHPpl_</v>
      </c>
      <c r="L3" s="14">
        <f t="shared" ref="L3:L66" si="11">IF(K3="-","-",F3*X3)</f>
        <v>519265.57931210008</v>
      </c>
      <c r="V3" s="1">
        <v>894.22490000000005</v>
      </c>
      <c r="W3" s="1">
        <v>0.5160934166635075</v>
      </c>
      <c r="X3" s="1">
        <v>0.4839065833364925</v>
      </c>
      <c r="Y3" s="7">
        <v>0</v>
      </c>
    </row>
    <row r="4" spans="1:25" x14ac:dyDescent="0.25">
      <c r="A4" s="1" t="s">
        <v>175</v>
      </c>
      <c r="B4" s="1">
        <v>6586695.0963807702</v>
      </c>
      <c r="C4" s="1">
        <v>583369.67015643895</v>
      </c>
      <c r="D4" s="5" t="str">
        <f t="shared" si="0"/>
        <v>H1761F</v>
      </c>
      <c r="E4" s="6" t="str">
        <f t="shared" si="1"/>
        <v>Heatpl</v>
      </c>
      <c r="F4" s="14">
        <f t="shared" si="2"/>
        <v>1008217.2000000001</v>
      </c>
      <c r="G4" s="5" t="str">
        <f>IF(Table35[[#This Row],[Capacity1]]&lt;&gt;"-",Table35[[#This Row],[Location]]&amp;RIGHT(Table35[[#Headers],[Facility_2]],1)&amp;"F","-")</f>
        <v>H1762F</v>
      </c>
      <c r="H4" s="6" t="str">
        <f t="shared" si="3"/>
        <v>TerHea</v>
      </c>
      <c r="I4" s="23">
        <f t="shared" si="4"/>
        <v>9999</v>
      </c>
      <c r="J4" s="5" t="str">
        <f>IF(Table35[[#This Row],[Capacity1]]*X4&gt;=$Y$5,Table35[[#This Row],[Location]]&amp;RIGHT(Table35[[#Headers],[Facility_3]],1)&amp;"F","-")</f>
        <v>H1763F</v>
      </c>
      <c r="K4" s="2" t="str">
        <f t="shared" ref="K4" si="12">IF(J4="-","-","CHPpl_")</f>
        <v>CHPpl_</v>
      </c>
      <c r="L4" s="14">
        <f t="shared" si="11"/>
        <v>349128.7844600337</v>
      </c>
      <c r="V4" s="1">
        <v>840.18100000000004</v>
      </c>
      <c r="W4" s="1">
        <v>0.6537166947161448</v>
      </c>
      <c r="X4" s="1">
        <v>0.3462833052838552</v>
      </c>
      <c r="Y4" s="4" t="s">
        <v>806</v>
      </c>
    </row>
    <row r="5" spans="1:25" x14ac:dyDescent="0.25">
      <c r="A5" s="1" t="s">
        <v>319</v>
      </c>
      <c r="B5" s="1">
        <v>6302421.5119920401</v>
      </c>
      <c r="C5" s="1">
        <v>488455.87398813298</v>
      </c>
      <c r="D5" s="5" t="str">
        <f t="shared" si="0"/>
        <v>H3201F</v>
      </c>
      <c r="E5" s="6" t="str">
        <f t="shared" si="1"/>
        <v>Heatpl</v>
      </c>
      <c r="F5" s="14">
        <f t="shared" si="2"/>
        <v>920640</v>
      </c>
      <c r="G5" s="5" t="str">
        <f>IF(Table35[[#This Row],[Capacity1]]&lt;&gt;"-",Table35[[#This Row],[Location]]&amp;RIGHT(Table35[[#Headers],[Facility_2]],1)&amp;"F","-")</f>
        <v>H3202F</v>
      </c>
      <c r="H5" s="6" t="str">
        <f t="shared" si="3"/>
        <v>TerHea</v>
      </c>
      <c r="I5" s="23">
        <f t="shared" si="4"/>
        <v>9999</v>
      </c>
      <c r="J5" s="5" t="str">
        <f>IF(Table35[[#This Row],[Capacity1]]*X5&gt;=$Y$5,Table35[[#This Row],[Location]]&amp;RIGHT(Table35[[#Headers],[Facility_3]],1)&amp;"F","-")</f>
        <v>H3203F</v>
      </c>
      <c r="K5" s="2" t="str">
        <f t="shared" ref="K5" si="13">IF(J5="-","-","CHPpl_")</f>
        <v>CHPpl_</v>
      </c>
      <c r="L5" s="14">
        <f t="shared" si="11"/>
        <v>468966.22873015027</v>
      </c>
      <c r="V5" s="1">
        <v>767.2</v>
      </c>
      <c r="W5" s="1">
        <v>0.49060845853954826</v>
      </c>
      <c r="X5" s="1">
        <v>0.50939154146045174</v>
      </c>
      <c r="Y5" s="7"/>
    </row>
    <row r="6" spans="1:25" x14ac:dyDescent="0.25">
      <c r="A6" s="1" t="s">
        <v>85</v>
      </c>
      <c r="B6" s="1">
        <v>7002099.5223458903</v>
      </c>
      <c r="C6" s="1">
        <v>481788.12780181202</v>
      </c>
      <c r="D6" s="5" t="str">
        <f t="shared" si="0"/>
        <v>H861F</v>
      </c>
      <c r="E6" s="6" t="str">
        <f t="shared" si="1"/>
        <v>Heatpl</v>
      </c>
      <c r="F6" s="14">
        <f t="shared" si="2"/>
        <v>683039.64</v>
      </c>
      <c r="G6" s="5" t="str">
        <f>IF(Table35[[#This Row],[Capacity1]]&lt;&gt;"-",Table35[[#This Row],[Location]]&amp;RIGHT(Table35[[#Headers],[Facility_2]],1)&amp;"F","-")</f>
        <v>H862F</v>
      </c>
      <c r="H6" s="6" t="str">
        <f t="shared" si="3"/>
        <v>TerHea</v>
      </c>
      <c r="I6" s="23">
        <f t="shared" si="4"/>
        <v>9999</v>
      </c>
      <c r="J6" s="5" t="str">
        <f>IF(Table35[[#This Row],[Capacity1]]*X6&gt;=$Y$5,Table35[[#This Row],[Location]]&amp;RIGHT(Table35[[#Headers],[Facility_3]],1)&amp;"F","-")</f>
        <v>H863F</v>
      </c>
      <c r="K6" s="2" t="str">
        <f t="shared" ref="K6" si="14">IF(J6="-","-","CHPpl_")</f>
        <v>CHPpl_</v>
      </c>
      <c r="L6" s="14">
        <f t="shared" si="11"/>
        <v>323615.79145473993</v>
      </c>
      <c r="V6" s="1">
        <v>569.19970000000001</v>
      </c>
      <c r="W6" s="1">
        <v>0.52621228329480274</v>
      </c>
      <c r="X6" s="1">
        <v>0.47378771670519726</v>
      </c>
    </row>
    <row r="7" spans="1:25" x14ac:dyDescent="0.25">
      <c r="A7" s="1" t="s">
        <v>181</v>
      </c>
      <c r="B7" s="1">
        <v>6579971.9682882903</v>
      </c>
      <c r="C7" s="1">
        <v>414797.68009715597</v>
      </c>
      <c r="D7" s="5" t="str">
        <f t="shared" si="0"/>
        <v>H1821F</v>
      </c>
      <c r="E7" s="6" t="str">
        <f t="shared" si="1"/>
        <v>Heatpl</v>
      </c>
      <c r="F7" s="14">
        <f t="shared" si="2"/>
        <v>671942.4</v>
      </c>
      <c r="G7" s="5" t="str">
        <f>IF(Table35[[#This Row],[Capacity1]]&lt;&gt;"-",Table35[[#This Row],[Location]]&amp;RIGHT(Table35[[#Headers],[Facility_2]],1)&amp;"F","-")</f>
        <v>H1822F</v>
      </c>
      <c r="H7" s="6" t="str">
        <f t="shared" si="3"/>
        <v>TerHea</v>
      </c>
      <c r="I7" s="23">
        <f t="shared" si="4"/>
        <v>9999</v>
      </c>
      <c r="J7" s="5" t="str">
        <f>IF(Table35[[#This Row],[Capacity1]]*X7&gt;=$Y$5,Table35[[#This Row],[Location]]&amp;RIGHT(Table35[[#Headers],[Facility_3]],1)&amp;"F","-")</f>
        <v>H1823F</v>
      </c>
      <c r="K7" s="2" t="str">
        <f t="shared" ref="K7" si="15">IF(J7="-","-","CHPpl_")</f>
        <v>CHPpl_</v>
      </c>
      <c r="L7" s="14">
        <f t="shared" si="11"/>
        <v>263067.13019699865</v>
      </c>
      <c r="V7" s="1">
        <v>559.952</v>
      </c>
      <c r="W7" s="1">
        <v>0.60849749889722893</v>
      </c>
      <c r="X7" s="1">
        <v>0.39150250110277107</v>
      </c>
    </row>
    <row r="8" spans="1:25" x14ac:dyDescent="0.25">
      <c r="A8" s="1" t="s">
        <v>267</v>
      </c>
      <c r="B8" s="1">
        <v>6402243.0772894695</v>
      </c>
      <c r="C8" s="1">
        <v>450109.38146477198</v>
      </c>
      <c r="D8" s="5" t="str">
        <f t="shared" si="0"/>
        <v>H2681F</v>
      </c>
      <c r="E8" s="6" t="str">
        <f t="shared" si="1"/>
        <v>Heatpl</v>
      </c>
      <c r="F8" s="14">
        <f t="shared" si="2"/>
        <v>664715.99999999988</v>
      </c>
      <c r="G8" s="5" t="str">
        <f>IF(Table35[[#This Row],[Capacity1]]&lt;&gt;"-",Table35[[#This Row],[Location]]&amp;RIGHT(Table35[[#Headers],[Facility_2]],1)&amp;"F","-")</f>
        <v>H2682F</v>
      </c>
      <c r="H8" s="6" t="str">
        <f t="shared" si="3"/>
        <v>TerHea</v>
      </c>
      <c r="I8" s="23">
        <f t="shared" si="4"/>
        <v>9999</v>
      </c>
      <c r="J8" s="5" t="str">
        <f>IF(Table35[[#This Row],[Capacity1]]*X8&gt;=$Y$5,Table35[[#This Row],[Location]]&amp;RIGHT(Table35[[#Headers],[Facility_3]],1)&amp;"F","-")</f>
        <v>H2683F</v>
      </c>
      <c r="K8" s="2" t="str">
        <f t="shared" ref="K8" si="16">IF(J8="-","-","CHPpl_")</f>
        <v>CHPpl_</v>
      </c>
      <c r="L8" s="14">
        <f t="shared" si="11"/>
        <v>274087.78519418475</v>
      </c>
      <c r="M8" s="5"/>
      <c r="S8" s="5"/>
      <c r="T8" s="6"/>
      <c r="U8" s="23"/>
      <c r="V8" s="1">
        <v>553.92999999999995</v>
      </c>
      <c r="W8" s="1">
        <v>0.58766182069607953</v>
      </c>
      <c r="X8" s="1">
        <v>0.41233817930392047</v>
      </c>
    </row>
    <row r="9" spans="1:25" x14ac:dyDescent="0.25">
      <c r="A9" s="1" t="s">
        <v>325</v>
      </c>
      <c r="B9" s="1">
        <v>6279434.0733405501</v>
      </c>
      <c r="C9" s="1">
        <v>583418.888945285</v>
      </c>
      <c r="D9" s="5" t="str">
        <f t="shared" si="0"/>
        <v>H3261F</v>
      </c>
      <c r="E9" s="6" t="str">
        <f t="shared" si="1"/>
        <v>Heatpl</v>
      </c>
      <c r="F9" s="14">
        <f t="shared" si="2"/>
        <v>637079.99999999988</v>
      </c>
      <c r="G9" s="5" t="str">
        <f>IF(Table35[[#This Row],[Capacity1]]&lt;&gt;"-",Table35[[#This Row],[Location]]&amp;RIGHT(Table35[[#Headers],[Facility_2]],1)&amp;"F","-")</f>
        <v>H3262F</v>
      </c>
      <c r="H9" s="6" t="str">
        <f t="shared" si="3"/>
        <v>TerHea</v>
      </c>
      <c r="I9" s="23">
        <f t="shared" si="4"/>
        <v>9999</v>
      </c>
      <c r="J9" s="5" t="str">
        <f>IF(Table35[[#This Row],[Capacity1]]*X9&gt;=$Y$5,Table35[[#This Row],[Location]]&amp;RIGHT(Table35[[#Headers],[Facility_3]],1)&amp;"F","-")</f>
        <v>H3263F</v>
      </c>
      <c r="K9" s="2" t="str">
        <f t="shared" ref="K9" si="17">IF(J9="-","-","CHPpl_")</f>
        <v>CHPpl_</v>
      </c>
      <c r="L9" s="14">
        <f t="shared" si="11"/>
        <v>302856.50954132678</v>
      </c>
      <c r="V9" s="1">
        <v>530.9</v>
      </c>
      <c r="W9" s="1">
        <v>0.52461777242838126</v>
      </c>
      <c r="X9" s="1">
        <v>0.47538222757161874</v>
      </c>
    </row>
    <row r="10" spans="1:25" x14ac:dyDescent="0.25">
      <c r="A10" s="1" t="s">
        <v>273</v>
      </c>
      <c r="B10" s="1">
        <v>6396012.8478683997</v>
      </c>
      <c r="C10" s="1">
        <v>376954.59363541898</v>
      </c>
      <c r="D10" s="5" t="str">
        <f t="shared" si="0"/>
        <v>H2741F</v>
      </c>
      <c r="E10" s="6" t="str">
        <f t="shared" si="1"/>
        <v>Heatpl</v>
      </c>
      <c r="F10" s="14">
        <f t="shared" si="2"/>
        <v>621863.40000000014</v>
      </c>
      <c r="G10" s="5" t="str">
        <f>IF(Table35[[#This Row],[Capacity1]]&lt;&gt;"-",Table35[[#This Row],[Location]]&amp;RIGHT(Table35[[#Headers],[Facility_2]],1)&amp;"F","-")</f>
        <v>H2742F</v>
      </c>
      <c r="H10" s="6" t="str">
        <f t="shared" si="3"/>
        <v>TerHea</v>
      </c>
      <c r="I10" s="23">
        <f t="shared" si="4"/>
        <v>9999</v>
      </c>
      <c r="J10" s="5" t="str">
        <f>IF(Table35[[#This Row],[Capacity1]]*X10&gt;=$Y$5,Table35[[#This Row],[Location]]&amp;RIGHT(Table35[[#Headers],[Facility_3]],1)&amp;"F","-")</f>
        <v>H2743F</v>
      </c>
      <c r="K10" s="2" t="str">
        <f t="shared" ref="K10" si="18">IF(J10="-","-","CHPpl_")</f>
        <v>CHPpl_</v>
      </c>
      <c r="L10" s="14">
        <f t="shared" si="11"/>
        <v>157515.69204445221</v>
      </c>
      <c r="V10" s="1">
        <v>518.21950000000015</v>
      </c>
      <c r="W10" s="1">
        <v>0.74670371010023717</v>
      </c>
      <c r="X10" s="1">
        <v>0.25329628989976283</v>
      </c>
    </row>
    <row r="11" spans="1:25" x14ac:dyDescent="0.25">
      <c r="A11" s="1" t="s">
        <v>71</v>
      </c>
      <c r="B11" s="1">
        <v>7094648.9431786397</v>
      </c>
      <c r="C11" s="1">
        <v>765953.48217487405</v>
      </c>
      <c r="D11" s="5" t="str">
        <f t="shared" si="0"/>
        <v>H721F</v>
      </c>
      <c r="E11" s="6" t="str">
        <f t="shared" si="1"/>
        <v>Heatpl</v>
      </c>
      <c r="F11" s="14">
        <f t="shared" si="2"/>
        <v>588948</v>
      </c>
      <c r="G11" s="5" t="str">
        <f>IF(Table35[[#This Row],[Capacity1]]&lt;&gt;"-",Table35[[#This Row],[Location]]&amp;RIGHT(Table35[[#Headers],[Facility_2]],1)&amp;"F","-")</f>
        <v>H722F</v>
      </c>
      <c r="H11" s="6" t="str">
        <f t="shared" si="3"/>
        <v>TerHea</v>
      </c>
      <c r="I11" s="23">
        <f t="shared" si="4"/>
        <v>9999</v>
      </c>
      <c r="J11" s="5" t="str">
        <f>IF(Table35[[#This Row],[Capacity1]]*X11&gt;=$Y$5,Table35[[#This Row],[Location]]&amp;RIGHT(Table35[[#Headers],[Facility_3]],1)&amp;"F","-")</f>
        <v>H723F</v>
      </c>
      <c r="K11" s="2" t="str">
        <f t="shared" ref="K11" si="19">IF(J11="-","-","CHPpl_")</f>
        <v>CHPpl_</v>
      </c>
      <c r="L11" s="14">
        <f t="shared" si="11"/>
        <v>242280.70634547086</v>
      </c>
      <c r="V11" s="1">
        <v>490.78999999999996</v>
      </c>
      <c r="W11" s="1">
        <v>0.58862122573559827</v>
      </c>
      <c r="X11" s="1">
        <v>0.41137877426440173</v>
      </c>
    </row>
    <row r="12" spans="1:25" x14ac:dyDescent="0.25">
      <c r="A12" s="1" t="s">
        <v>347</v>
      </c>
      <c r="B12" s="1">
        <v>6209659.44064881</v>
      </c>
      <c r="C12" s="1">
        <v>356474.53024613601</v>
      </c>
      <c r="D12" s="5" t="str">
        <f t="shared" si="0"/>
        <v>H3481F</v>
      </c>
      <c r="E12" s="6" t="str">
        <f t="shared" si="1"/>
        <v>Heatpl</v>
      </c>
      <c r="F12" s="14">
        <f t="shared" si="2"/>
        <v>564479.99999999988</v>
      </c>
      <c r="G12" s="5" t="str">
        <f>IF(Table35[[#This Row],[Capacity1]]&lt;&gt;"-",Table35[[#This Row],[Location]]&amp;RIGHT(Table35[[#Headers],[Facility_2]],1)&amp;"F","-")</f>
        <v>H3482F</v>
      </c>
      <c r="H12" s="6" t="str">
        <f t="shared" si="3"/>
        <v>TerHea</v>
      </c>
      <c r="I12" s="23">
        <f t="shared" si="4"/>
        <v>9999</v>
      </c>
      <c r="J12" s="5" t="str">
        <f>IF(Table35[[#This Row],[Capacity1]]*X12&gt;=$Y$5,Table35[[#This Row],[Location]]&amp;RIGHT(Table35[[#Headers],[Facility_3]],1)&amp;"F","-")</f>
        <v>H3483F</v>
      </c>
      <c r="K12" s="2" t="str">
        <f t="shared" ref="K12" si="20">IF(J12="-","-","CHPpl_")</f>
        <v>CHPpl_</v>
      </c>
      <c r="L12" s="14">
        <f t="shared" si="11"/>
        <v>288840.58596814203</v>
      </c>
      <c r="V12" s="1">
        <v>470.4</v>
      </c>
      <c r="W12" s="1">
        <v>0.48830678506210662</v>
      </c>
      <c r="X12" s="1">
        <v>0.51169321493789344</v>
      </c>
    </row>
    <row r="13" spans="1:25" x14ac:dyDescent="0.25">
      <c r="A13" s="1" t="s">
        <v>349</v>
      </c>
      <c r="B13" s="1">
        <v>6207231.7792394096</v>
      </c>
      <c r="C13" s="1">
        <v>447164.46725695097</v>
      </c>
      <c r="D13" s="5" t="str">
        <f t="shared" si="0"/>
        <v>H3501F</v>
      </c>
      <c r="E13" s="6" t="str">
        <f t="shared" si="1"/>
        <v>Heatpl</v>
      </c>
      <c r="F13" s="14">
        <f t="shared" si="2"/>
        <v>530660.4</v>
      </c>
      <c r="G13" s="5" t="str">
        <f>IF(Table35[[#This Row],[Capacity1]]&lt;&gt;"-",Table35[[#This Row],[Location]]&amp;RIGHT(Table35[[#Headers],[Facility_2]],1)&amp;"F","-")</f>
        <v>H3502F</v>
      </c>
      <c r="H13" s="6" t="str">
        <f t="shared" si="3"/>
        <v>TerHea</v>
      </c>
      <c r="I13" s="23">
        <f t="shared" si="4"/>
        <v>9999</v>
      </c>
      <c r="J13" s="5" t="str">
        <f>IF(Table35[[#This Row],[Capacity1]]*X13&gt;=$Y$5,Table35[[#This Row],[Location]]&amp;RIGHT(Table35[[#Headers],[Facility_3]],1)&amp;"F","-")</f>
        <v>H3503F</v>
      </c>
      <c r="K13" s="2" t="str">
        <f t="shared" ref="K13" si="21">IF(J13="-","-","CHPpl_")</f>
        <v>CHPpl_</v>
      </c>
      <c r="L13" s="14">
        <f t="shared" si="11"/>
        <v>206510.42501111218</v>
      </c>
      <c r="V13" s="1">
        <v>442.21699999999998</v>
      </c>
      <c r="W13" s="1">
        <v>0.61084259347199799</v>
      </c>
      <c r="X13" s="1">
        <v>0.38915740652800201</v>
      </c>
    </row>
    <row r="14" spans="1:25" x14ac:dyDescent="0.25">
      <c r="A14" s="1" t="s">
        <v>157</v>
      </c>
      <c r="B14" s="1">
        <v>6608483.1389010502</v>
      </c>
      <c r="C14" s="1">
        <v>587306.32478014496</v>
      </c>
      <c r="D14" s="5" t="str">
        <f t="shared" si="0"/>
        <v>H1581F</v>
      </c>
      <c r="E14" s="6" t="str">
        <f t="shared" si="1"/>
        <v>Heatpl</v>
      </c>
      <c r="F14" s="14">
        <f t="shared" si="2"/>
        <v>524195.95799999993</v>
      </c>
      <c r="G14" s="5" t="str">
        <f>IF(Table35[[#This Row],[Capacity1]]&lt;&gt;"-",Table35[[#This Row],[Location]]&amp;RIGHT(Table35[[#Headers],[Facility_2]],1)&amp;"F","-")</f>
        <v>H1582F</v>
      </c>
      <c r="H14" s="6" t="str">
        <f t="shared" si="3"/>
        <v>TerHea</v>
      </c>
      <c r="I14" s="23">
        <f t="shared" si="4"/>
        <v>9999</v>
      </c>
      <c r="J14" s="5" t="str">
        <f>IF(Table35[[#This Row],[Capacity1]]*X14&gt;=$Y$5,Table35[[#This Row],[Location]]&amp;RIGHT(Table35[[#Headers],[Facility_3]],1)&amp;"F","-")</f>
        <v>H1583F</v>
      </c>
      <c r="K14" s="2" t="str">
        <f t="shared" ref="K14" si="22">IF(J14="-","-","CHPpl_")</f>
        <v>CHPpl_</v>
      </c>
      <c r="L14" s="14">
        <f t="shared" si="11"/>
        <v>31622.285609623519</v>
      </c>
      <c r="V14" s="1">
        <v>436.82996499999996</v>
      </c>
      <c r="W14" s="1">
        <v>0.93967468629427409</v>
      </c>
      <c r="X14" s="1">
        <v>6.0325313705725914E-2</v>
      </c>
    </row>
    <row r="15" spans="1:25" x14ac:dyDescent="0.25">
      <c r="A15" s="1" t="s">
        <v>351</v>
      </c>
      <c r="B15" s="1">
        <v>6186114.0410754401</v>
      </c>
      <c r="C15" s="1">
        <v>393352.932309417</v>
      </c>
      <c r="D15" s="5" t="str">
        <f t="shared" si="0"/>
        <v>H3521F</v>
      </c>
      <c r="E15" s="6" t="str">
        <f t="shared" si="1"/>
        <v>Heatpl</v>
      </c>
      <c r="F15" s="14">
        <f t="shared" si="2"/>
        <v>501106.67999999993</v>
      </c>
      <c r="G15" s="5" t="str">
        <f>IF(Table35[[#This Row],[Capacity1]]&lt;&gt;"-",Table35[[#This Row],[Location]]&amp;RIGHT(Table35[[#Headers],[Facility_2]],1)&amp;"F","-")</f>
        <v>H3522F</v>
      </c>
      <c r="H15" s="6" t="str">
        <f t="shared" si="3"/>
        <v>TerHea</v>
      </c>
      <c r="I15" s="23">
        <f t="shared" si="4"/>
        <v>9999</v>
      </c>
      <c r="J15" s="5" t="str">
        <f>IF(Table35[[#This Row],[Capacity1]]*X15&gt;=$Y$5,Table35[[#This Row],[Location]]&amp;RIGHT(Table35[[#Headers],[Facility_3]],1)&amp;"F","-")</f>
        <v>H3523F</v>
      </c>
      <c r="K15" s="2" t="str">
        <f t="shared" ref="K15" si="23">IF(J15="-","-","CHPpl_")</f>
        <v>CHPpl_</v>
      </c>
      <c r="L15" s="14">
        <f t="shared" si="11"/>
        <v>218639.47642411839</v>
      </c>
      <c r="V15" s="1">
        <v>417.58889999999997</v>
      </c>
      <c r="W15" s="1">
        <v>0.56368676541266938</v>
      </c>
      <c r="X15" s="1">
        <v>0.43631323458733062</v>
      </c>
    </row>
    <row r="16" spans="1:25" x14ac:dyDescent="0.25">
      <c r="A16" s="1" t="s">
        <v>59</v>
      </c>
      <c r="B16" s="1">
        <v>7195510.4721916895</v>
      </c>
      <c r="C16" s="1">
        <v>782863.70452663803</v>
      </c>
      <c r="D16" s="5" t="str">
        <f t="shared" si="0"/>
        <v>H601F</v>
      </c>
      <c r="E16" s="6" t="str">
        <f t="shared" si="1"/>
        <v>Heatpl</v>
      </c>
      <c r="F16" s="14">
        <f t="shared" si="2"/>
        <v>486630.47998559999</v>
      </c>
      <c r="G16" s="5" t="str">
        <f>IF(Table35[[#This Row],[Capacity1]]&lt;&gt;"-",Table35[[#This Row],[Location]]&amp;RIGHT(Table35[[#Headers],[Facility_2]],1)&amp;"F","-")</f>
        <v>H602F</v>
      </c>
      <c r="H16" s="6" t="str">
        <f t="shared" si="3"/>
        <v>TerHea</v>
      </c>
      <c r="I16" s="23">
        <f t="shared" si="4"/>
        <v>9999</v>
      </c>
      <c r="J16" s="5" t="str">
        <f>IF(Table35[[#This Row],[Capacity1]]*X16&gt;=$Y$5,Table35[[#This Row],[Location]]&amp;RIGHT(Table35[[#Headers],[Facility_3]],1)&amp;"F","-")</f>
        <v>H603F</v>
      </c>
      <c r="K16" s="2" t="str">
        <f t="shared" ref="K16" si="24">IF(J16="-","-","CHPpl_")</f>
        <v>CHPpl_</v>
      </c>
      <c r="L16" s="14">
        <f t="shared" si="11"/>
        <v>229081.00828631551</v>
      </c>
      <c r="V16" s="1">
        <v>405.525399988</v>
      </c>
      <c r="W16" s="1">
        <v>0.52925059627770477</v>
      </c>
      <c r="X16" s="1">
        <v>0.47074940372229523</v>
      </c>
    </row>
    <row r="17" spans="1:24" x14ac:dyDescent="0.25">
      <c r="A17" s="1" t="s">
        <v>121</v>
      </c>
      <c r="B17" s="1">
        <v>6717141.6776961703</v>
      </c>
      <c r="C17" s="1">
        <v>534120.68538649299</v>
      </c>
      <c r="D17" s="5" t="str">
        <f t="shared" si="0"/>
        <v>H1221F</v>
      </c>
      <c r="E17" s="6" t="str">
        <f t="shared" si="1"/>
        <v>Heatpl</v>
      </c>
      <c r="F17" s="14">
        <f t="shared" si="2"/>
        <v>395376.00000000006</v>
      </c>
      <c r="G17" s="5" t="str">
        <f>IF(Table35[[#This Row],[Capacity1]]&lt;&gt;"-",Table35[[#This Row],[Location]]&amp;RIGHT(Table35[[#Headers],[Facility_2]],1)&amp;"F","-")</f>
        <v>H1222F</v>
      </c>
      <c r="H17" s="6" t="str">
        <f t="shared" si="3"/>
        <v>TerHea</v>
      </c>
      <c r="I17" s="23">
        <f t="shared" si="4"/>
        <v>9999</v>
      </c>
      <c r="J17" s="5" t="str">
        <f>IF(Table35[[#This Row],[Capacity1]]*X17&gt;=$Y$5,Table35[[#This Row],[Location]]&amp;RIGHT(Table35[[#Headers],[Facility_3]],1)&amp;"F","-")</f>
        <v>H1223F</v>
      </c>
      <c r="K17" s="2" t="str">
        <f t="shared" ref="K17" si="25">IF(J17="-","-","CHPpl_")</f>
        <v>CHPpl_</v>
      </c>
      <c r="L17" s="14">
        <f t="shared" si="11"/>
        <v>150247.90798473964</v>
      </c>
      <c r="V17" s="1">
        <v>329.48</v>
      </c>
      <c r="W17" s="1">
        <v>0.61998728302997752</v>
      </c>
      <c r="X17" s="1">
        <v>0.38001271697002248</v>
      </c>
    </row>
    <row r="18" spans="1:24" x14ac:dyDescent="0.25">
      <c r="A18" s="1" t="s">
        <v>268</v>
      </c>
      <c r="B18" s="1">
        <v>6399426.5803876603</v>
      </c>
      <c r="C18" s="1">
        <v>327716.38782402303</v>
      </c>
      <c r="D18" s="5" t="str">
        <f t="shared" si="0"/>
        <v>H2691F</v>
      </c>
      <c r="E18" s="6" t="str">
        <f t="shared" si="1"/>
        <v>Heatpl</v>
      </c>
      <c r="F18" s="14">
        <f t="shared" si="2"/>
        <v>378924.59999999992</v>
      </c>
      <c r="G18" s="5" t="str">
        <f>IF(Table35[[#This Row],[Capacity1]]&lt;&gt;"-",Table35[[#This Row],[Location]]&amp;RIGHT(Table35[[#Headers],[Facility_2]],1)&amp;"F","-")</f>
        <v>H2692F</v>
      </c>
      <c r="H18" s="6" t="str">
        <f t="shared" si="3"/>
        <v>TerHea</v>
      </c>
      <c r="I18" s="23">
        <f t="shared" si="4"/>
        <v>9999</v>
      </c>
      <c r="J18" s="5" t="str">
        <f>IF(Table35[[#This Row],[Capacity1]]*X18&gt;=$Y$5,Table35[[#This Row],[Location]]&amp;RIGHT(Table35[[#Headers],[Facility_3]],1)&amp;"F","-")</f>
        <v>H2693F</v>
      </c>
      <c r="K18" s="2" t="str">
        <f t="shared" ref="K18" si="26">IF(J18="-","-","CHPpl_")</f>
        <v>CHPpl_</v>
      </c>
      <c r="L18" s="14">
        <f t="shared" si="11"/>
        <v>51325.037460948784</v>
      </c>
      <c r="V18" s="1">
        <v>315.77049999999997</v>
      </c>
      <c r="W18" s="1">
        <v>0.86455079068250307</v>
      </c>
      <c r="X18" s="1">
        <v>0.13544920931749693</v>
      </c>
    </row>
    <row r="19" spans="1:24" x14ac:dyDescent="0.25">
      <c r="A19" s="1" t="s">
        <v>116</v>
      </c>
      <c r="B19" s="1">
        <v>6727738.3617179804</v>
      </c>
      <c r="C19" s="1">
        <v>617468.97245594196</v>
      </c>
      <c r="D19" s="5" t="str">
        <f t="shared" si="0"/>
        <v>H1171F</v>
      </c>
      <c r="E19" s="6" t="str">
        <f t="shared" si="1"/>
        <v>Heatpl</v>
      </c>
      <c r="F19" s="14">
        <f t="shared" si="2"/>
        <v>369446.64</v>
      </c>
      <c r="G19" s="5" t="str">
        <f>IF(Table35[[#This Row],[Capacity1]]&lt;&gt;"-",Table35[[#This Row],[Location]]&amp;RIGHT(Table35[[#Headers],[Facility_2]],1)&amp;"F","-")</f>
        <v>H1172F</v>
      </c>
      <c r="H19" s="6" t="str">
        <f t="shared" si="3"/>
        <v>TerHea</v>
      </c>
      <c r="I19" s="23">
        <f t="shared" si="4"/>
        <v>9999</v>
      </c>
      <c r="J19" s="5" t="str">
        <f>IF(Table35[[#This Row],[Capacity1]]*X19&gt;=$Y$5,Table35[[#This Row],[Location]]&amp;RIGHT(Table35[[#Headers],[Facility_3]],1)&amp;"F","-")</f>
        <v>H1173F</v>
      </c>
      <c r="K19" s="2" t="str">
        <f t="shared" ref="K19" si="27">IF(J19="-","-","CHPpl_")</f>
        <v>CHPpl_</v>
      </c>
      <c r="L19" s="14">
        <f t="shared" si="11"/>
        <v>125205.06132131537</v>
      </c>
      <c r="V19" s="1">
        <v>307.87220000000002</v>
      </c>
      <c r="W19" s="1">
        <v>0.66110109616556434</v>
      </c>
      <c r="X19" s="1">
        <v>0.33889890383443566</v>
      </c>
    </row>
    <row r="20" spans="1:24" x14ac:dyDescent="0.25">
      <c r="A20" s="1" t="s">
        <v>192</v>
      </c>
      <c r="B20" s="1">
        <v>6563596.8155395696</v>
      </c>
      <c r="C20" s="1">
        <v>671486.37453514605</v>
      </c>
      <c r="D20" s="5" t="str">
        <f t="shared" si="0"/>
        <v>H1931F</v>
      </c>
      <c r="E20" s="6" t="str">
        <f t="shared" si="1"/>
        <v>Heatpl</v>
      </c>
      <c r="F20" s="14">
        <f t="shared" si="2"/>
        <v>357473.4522</v>
      </c>
      <c r="G20" s="5" t="str">
        <f>IF(Table35[[#This Row],[Capacity1]]&lt;&gt;"-",Table35[[#This Row],[Location]]&amp;RIGHT(Table35[[#Headers],[Facility_2]],1)&amp;"F","-")</f>
        <v>H1932F</v>
      </c>
      <c r="H20" s="6" t="str">
        <f t="shared" si="3"/>
        <v>TerHea</v>
      </c>
      <c r="I20" s="23">
        <f t="shared" si="4"/>
        <v>9999</v>
      </c>
      <c r="J20" s="5" t="str">
        <f>IF(Table35[[#This Row],[Capacity1]]*X20&gt;=$Y$5,Table35[[#This Row],[Location]]&amp;RIGHT(Table35[[#Headers],[Facility_3]],1)&amp;"F","-")</f>
        <v>H1933F</v>
      </c>
      <c r="K20" s="2" t="str">
        <f t="shared" ref="K20" si="28">IF(J20="-","-","CHPpl_")</f>
        <v>CHPpl_</v>
      </c>
      <c r="L20" s="14">
        <f t="shared" si="11"/>
        <v>187835.42165665588</v>
      </c>
      <c r="V20" s="1">
        <v>297.8945435</v>
      </c>
      <c r="W20" s="1">
        <v>0.47454721322475912</v>
      </c>
      <c r="X20" s="1">
        <v>0.52545278677524088</v>
      </c>
    </row>
    <row r="21" spans="1:24" x14ac:dyDescent="0.25">
      <c r="A21" s="1" t="s">
        <v>235</v>
      </c>
      <c r="B21" s="1">
        <v>6459951.5511551704</v>
      </c>
      <c r="C21" s="1">
        <v>341575.48158309702</v>
      </c>
      <c r="D21" s="5" t="str">
        <f t="shared" si="0"/>
        <v>H2361F</v>
      </c>
      <c r="E21" s="6" t="str">
        <f t="shared" si="1"/>
        <v>Heatpl</v>
      </c>
      <c r="F21" s="14">
        <f t="shared" si="2"/>
        <v>356880.23999999993</v>
      </c>
      <c r="G21" s="5" t="str">
        <f>IF(Table35[[#This Row],[Capacity1]]&lt;&gt;"-",Table35[[#This Row],[Location]]&amp;RIGHT(Table35[[#Headers],[Facility_2]],1)&amp;"F","-")</f>
        <v>H2362F</v>
      </c>
      <c r="H21" s="6" t="str">
        <f t="shared" si="3"/>
        <v>TerHea</v>
      </c>
      <c r="I21" s="23">
        <f t="shared" si="4"/>
        <v>9999</v>
      </c>
      <c r="J21" s="5" t="str">
        <f>IF(Table35[[#This Row],[Capacity1]]*X21&gt;=$Y$5,Table35[[#This Row],[Location]]&amp;RIGHT(Table35[[#Headers],[Facility_3]],1)&amp;"F","-")</f>
        <v>H2363F</v>
      </c>
      <c r="K21" s="2" t="str">
        <f t="shared" ref="K21" si="29">IF(J21="-","-","CHPpl_")</f>
        <v>CHPpl_</v>
      </c>
      <c r="L21" s="14">
        <f t="shared" si="11"/>
        <v>25632.153812587112</v>
      </c>
      <c r="V21" s="1">
        <v>297.40019999999998</v>
      </c>
      <c r="W21" s="1">
        <v>0.92817715597650596</v>
      </c>
      <c r="X21" s="1">
        <v>7.1822844023494037E-2</v>
      </c>
    </row>
    <row r="22" spans="1:24" x14ac:dyDescent="0.25">
      <c r="A22" s="1" t="s">
        <v>230</v>
      </c>
      <c r="B22" s="1">
        <v>6465572.8515754398</v>
      </c>
      <c r="C22" s="1">
        <v>431618.73514961201</v>
      </c>
      <c r="D22" s="5" t="str">
        <f t="shared" si="0"/>
        <v>H2311F</v>
      </c>
      <c r="E22" s="6" t="str">
        <f t="shared" si="1"/>
        <v>Heatpl</v>
      </c>
      <c r="F22" s="14">
        <f t="shared" si="2"/>
        <v>351452.4</v>
      </c>
      <c r="G22" s="5" t="str">
        <f>IF(Table35[[#This Row],[Capacity1]]&lt;&gt;"-",Table35[[#This Row],[Location]]&amp;RIGHT(Table35[[#Headers],[Facility_2]],1)&amp;"F","-")</f>
        <v>H2312F</v>
      </c>
      <c r="H22" s="6" t="str">
        <f t="shared" si="3"/>
        <v>TerHea</v>
      </c>
      <c r="I22" s="23">
        <f t="shared" si="4"/>
        <v>9999</v>
      </c>
      <c r="J22" s="5" t="str">
        <f>IF(Table35[[#This Row],[Capacity1]]*X22&gt;=$Y$5,Table35[[#This Row],[Location]]&amp;RIGHT(Table35[[#Headers],[Facility_3]],1)&amp;"F","-")</f>
        <v>H2313F</v>
      </c>
      <c r="K22" s="2" t="str">
        <f t="shared" ref="K22" si="30">IF(J22="-","-","CHPpl_")</f>
        <v>CHPpl_</v>
      </c>
      <c r="L22" s="14">
        <f t="shared" si="11"/>
        <v>57395.804027615603</v>
      </c>
      <c r="V22" s="1">
        <v>292.87700000000001</v>
      </c>
      <c r="W22" s="1">
        <v>0.83668967966183871</v>
      </c>
      <c r="X22" s="1">
        <v>0.16331032033816129</v>
      </c>
    </row>
    <row r="23" spans="1:24" x14ac:dyDescent="0.25">
      <c r="A23" s="1" t="s">
        <v>340</v>
      </c>
      <c r="B23" s="1">
        <v>6223069.3778121201</v>
      </c>
      <c r="C23" s="1">
        <v>536318.67544215603</v>
      </c>
      <c r="D23" s="5" t="str">
        <f t="shared" si="0"/>
        <v>H3411F</v>
      </c>
      <c r="E23" s="6" t="str">
        <f t="shared" si="1"/>
        <v>Heatpl</v>
      </c>
      <c r="F23" s="14">
        <f t="shared" si="2"/>
        <v>316948.68</v>
      </c>
      <c r="G23" s="5" t="str">
        <f>IF(Table35[[#This Row],[Capacity1]]&lt;&gt;"-",Table35[[#This Row],[Location]]&amp;RIGHT(Table35[[#Headers],[Facility_2]],1)&amp;"F","-")</f>
        <v>H3412F</v>
      </c>
      <c r="H23" s="6" t="str">
        <f t="shared" si="3"/>
        <v>TerHea</v>
      </c>
      <c r="I23" s="23">
        <f t="shared" si="4"/>
        <v>9999</v>
      </c>
      <c r="J23" s="5" t="str">
        <f>IF(Table35[[#This Row],[Capacity1]]*X23&gt;=$Y$5,Table35[[#This Row],[Location]]&amp;RIGHT(Table35[[#Headers],[Facility_3]],1)&amp;"F","-")</f>
        <v>H3413F</v>
      </c>
      <c r="K23" s="2" t="str">
        <f t="shared" ref="K23" si="31">IF(J23="-","-","CHPpl_")</f>
        <v>CHPpl_</v>
      </c>
      <c r="L23" s="14">
        <f t="shared" si="11"/>
        <v>101948.27801343074</v>
      </c>
      <c r="V23" s="1">
        <v>264.12389999999999</v>
      </c>
      <c r="W23" s="1">
        <v>0.67834452563919578</v>
      </c>
      <c r="X23" s="1">
        <v>0.32165547436080422</v>
      </c>
    </row>
    <row r="24" spans="1:24" x14ac:dyDescent="0.25">
      <c r="A24" s="1" t="s">
        <v>79</v>
      </c>
      <c r="B24" s="1">
        <v>7023179.7510742899</v>
      </c>
      <c r="C24" s="1">
        <v>686143.26990073896</v>
      </c>
      <c r="D24" s="5" t="str">
        <f t="shared" si="0"/>
        <v>H801F</v>
      </c>
      <c r="E24" s="6" t="str">
        <f t="shared" si="1"/>
        <v>Heatpl</v>
      </c>
      <c r="F24" s="14">
        <f t="shared" si="2"/>
        <v>314120.39999999991</v>
      </c>
      <c r="G24" s="5" t="str">
        <f>IF(Table35[[#This Row],[Capacity1]]&lt;&gt;"-",Table35[[#This Row],[Location]]&amp;RIGHT(Table35[[#Headers],[Facility_2]],1)&amp;"F","-")</f>
        <v>H802F</v>
      </c>
      <c r="H24" s="6" t="str">
        <f t="shared" si="3"/>
        <v>TerHea</v>
      </c>
      <c r="I24" s="23">
        <f t="shared" si="4"/>
        <v>9999</v>
      </c>
      <c r="J24" s="5" t="str">
        <f>IF(Table35[[#This Row],[Capacity1]]*X24&gt;=$Y$5,Table35[[#This Row],[Location]]&amp;RIGHT(Table35[[#Headers],[Facility_3]],1)&amp;"F","-")</f>
        <v>H803F</v>
      </c>
      <c r="K24" s="2" t="str">
        <f t="shared" ref="K24" si="32">IF(J24="-","-","CHPpl_")</f>
        <v>CHPpl_</v>
      </c>
      <c r="L24" s="14">
        <f t="shared" si="11"/>
        <v>183650.33442060134</v>
      </c>
      <c r="V24" s="1">
        <v>261.76699999999994</v>
      </c>
      <c r="W24" s="1">
        <v>0.41535050120717598</v>
      </c>
      <c r="X24" s="1">
        <v>0.58464949879282402</v>
      </c>
    </row>
    <row r="25" spans="1:24" x14ac:dyDescent="0.25">
      <c r="A25" s="1" t="s">
        <v>277</v>
      </c>
      <c r="B25" s="1">
        <v>6390244.9749262398</v>
      </c>
      <c r="C25" s="1">
        <v>322019.97547272302</v>
      </c>
      <c r="D25" s="5" t="str">
        <f t="shared" si="0"/>
        <v>H2781F</v>
      </c>
      <c r="E25" s="6" t="str">
        <f t="shared" si="1"/>
        <v>Heatpl</v>
      </c>
      <c r="F25" s="14">
        <f t="shared" si="2"/>
        <v>309333.84000000003</v>
      </c>
      <c r="G25" s="5" t="str">
        <f>IF(Table35[[#This Row],[Capacity1]]&lt;&gt;"-",Table35[[#This Row],[Location]]&amp;RIGHT(Table35[[#Headers],[Facility_2]],1)&amp;"F","-")</f>
        <v>H2782F</v>
      </c>
      <c r="H25" s="6" t="str">
        <f t="shared" si="3"/>
        <v>TerHea</v>
      </c>
      <c r="I25" s="23">
        <f t="shared" si="4"/>
        <v>9999</v>
      </c>
      <c r="J25" s="5" t="str">
        <f>IF(Table35[[#This Row],[Capacity1]]*X25&gt;=$Y$5,Table35[[#This Row],[Location]]&amp;RIGHT(Table35[[#Headers],[Facility_3]],1)&amp;"F","-")</f>
        <v>H2783F</v>
      </c>
      <c r="K25" s="2" t="str">
        <f t="shared" ref="K25" si="33">IF(J25="-","-","CHPpl_")</f>
        <v>CHPpl_</v>
      </c>
      <c r="L25" s="14">
        <f t="shared" si="11"/>
        <v>151470.57639958849</v>
      </c>
      <c r="V25" s="1">
        <v>257.77820000000003</v>
      </c>
      <c r="W25" s="1">
        <v>0.51033299040419089</v>
      </c>
      <c r="X25" s="1">
        <v>0.48966700959580911</v>
      </c>
    </row>
    <row r="26" spans="1:24" x14ac:dyDescent="0.25">
      <c r="A26" s="1" t="s">
        <v>191</v>
      </c>
      <c r="B26" s="1">
        <v>6563947.8330924697</v>
      </c>
      <c r="C26" s="1">
        <v>649828.96672664199</v>
      </c>
      <c r="D26" s="5" t="str">
        <f t="shared" si="0"/>
        <v>H1921F</v>
      </c>
      <c r="E26" s="6" t="str">
        <f t="shared" si="1"/>
        <v>Heatpl</v>
      </c>
      <c r="F26" s="14">
        <f t="shared" si="2"/>
        <v>299834.04767999996</v>
      </c>
      <c r="G26" s="5" t="str">
        <f>IF(Table35[[#This Row],[Capacity1]]&lt;&gt;"-",Table35[[#This Row],[Location]]&amp;RIGHT(Table35[[#Headers],[Facility_2]],1)&amp;"F","-")</f>
        <v>H1922F</v>
      </c>
      <c r="H26" s="6" t="str">
        <f t="shared" si="3"/>
        <v>TerHea</v>
      </c>
      <c r="I26" s="23">
        <f t="shared" si="4"/>
        <v>9999</v>
      </c>
      <c r="J26" s="5" t="str">
        <f>IF(Table35[[#This Row],[Capacity1]]*X26&gt;=$Y$5,Table35[[#This Row],[Location]]&amp;RIGHT(Table35[[#Headers],[Facility_3]],1)&amp;"F","-")</f>
        <v>H1923F</v>
      </c>
      <c r="K26" s="2" t="str">
        <f t="shared" ref="K26" si="34">IF(J26="-","-","CHPpl_")</f>
        <v>CHPpl_</v>
      </c>
      <c r="L26" s="14">
        <f t="shared" si="11"/>
        <v>157660.05669072611</v>
      </c>
      <c r="V26" s="1">
        <v>249.8617064</v>
      </c>
      <c r="W26" s="1">
        <v>0.47417560510342727</v>
      </c>
      <c r="X26" s="1">
        <v>0.52582439489657273</v>
      </c>
    </row>
    <row r="27" spans="1:24" x14ac:dyDescent="0.25">
      <c r="A27" s="1" t="s">
        <v>269</v>
      </c>
      <c r="B27" s="1">
        <v>6399426.5803876603</v>
      </c>
      <c r="C27" s="1">
        <v>327716.38782402303</v>
      </c>
      <c r="D27" s="5" t="str">
        <f t="shared" si="0"/>
        <v>H2701F</v>
      </c>
      <c r="E27" s="6" t="str">
        <f t="shared" si="1"/>
        <v>Heatpl</v>
      </c>
      <c r="F27" s="14">
        <f t="shared" si="2"/>
        <v>291306.00000000006</v>
      </c>
      <c r="G27" s="5" t="str">
        <f>IF(Table35[[#This Row],[Capacity1]]&lt;&gt;"-",Table35[[#This Row],[Location]]&amp;RIGHT(Table35[[#Headers],[Facility_2]],1)&amp;"F","-")</f>
        <v>H2702F</v>
      </c>
      <c r="H27" s="6" t="str">
        <f t="shared" si="3"/>
        <v>TerHea</v>
      </c>
      <c r="I27" s="23">
        <f t="shared" si="4"/>
        <v>9999</v>
      </c>
      <c r="J27" s="5" t="str">
        <f>IF(Table35[[#This Row],[Capacity1]]*X27&gt;=$Y$5,Table35[[#This Row],[Location]]&amp;RIGHT(Table35[[#Headers],[Facility_3]],1)&amp;"F","-")</f>
        <v>H2703F</v>
      </c>
      <c r="K27" s="2" t="str">
        <f t="shared" ref="K27" si="35">IF(J27="-","-","CHPpl_")</f>
        <v>CHPpl_</v>
      </c>
      <c r="L27" s="14">
        <f t="shared" si="11"/>
        <v>56867.765740084717</v>
      </c>
      <c r="V27" s="1">
        <v>242.75500000000002</v>
      </c>
      <c r="W27" s="1">
        <v>0.80478340391174674</v>
      </c>
      <c r="X27" s="1">
        <v>0.19521659608825326</v>
      </c>
    </row>
    <row r="28" spans="1:24" x14ac:dyDescent="0.25">
      <c r="A28" s="1" t="s">
        <v>80</v>
      </c>
      <c r="B28" s="1">
        <v>7023179.7510742899</v>
      </c>
      <c r="C28" s="1">
        <v>686143.26990073896</v>
      </c>
      <c r="D28" s="5" t="str">
        <f t="shared" si="0"/>
        <v>H811F</v>
      </c>
      <c r="E28" s="6" t="str">
        <f t="shared" si="1"/>
        <v>Heatpl</v>
      </c>
      <c r="F28" s="14">
        <f t="shared" si="2"/>
        <v>277238.43599999999</v>
      </c>
      <c r="G28" s="5" t="str">
        <f>IF(Table35[[#This Row],[Capacity1]]&lt;&gt;"-",Table35[[#This Row],[Location]]&amp;RIGHT(Table35[[#Headers],[Facility_2]],1)&amp;"F","-")</f>
        <v>H812F</v>
      </c>
      <c r="H28" s="6" t="str">
        <f t="shared" si="3"/>
        <v>TerHea</v>
      </c>
      <c r="I28" s="23">
        <f t="shared" si="4"/>
        <v>9999</v>
      </c>
      <c r="J28" s="5" t="str">
        <f>IF(Table35[[#This Row],[Capacity1]]*X28&gt;=$Y$5,Table35[[#This Row],[Location]]&amp;RIGHT(Table35[[#Headers],[Facility_3]],1)&amp;"F","-")</f>
        <v>H813F</v>
      </c>
      <c r="K28" s="2" t="str">
        <f t="shared" ref="K28" si="36">IF(J28="-","-","CHPpl_")</f>
        <v>CHPpl_</v>
      </c>
      <c r="L28" s="14">
        <f t="shared" si="11"/>
        <v>0</v>
      </c>
      <c r="V28" s="1">
        <v>231.03202999999999</v>
      </c>
      <c r="W28" s="1">
        <v>1</v>
      </c>
      <c r="X28" s="1">
        <v>0</v>
      </c>
    </row>
    <row r="29" spans="1:24" x14ac:dyDescent="0.25">
      <c r="A29" s="1" t="s">
        <v>297</v>
      </c>
      <c r="B29" s="1">
        <v>6362096.1051759897</v>
      </c>
      <c r="C29" s="1">
        <v>504914.14497717301</v>
      </c>
      <c r="D29" s="5" t="str">
        <f t="shared" si="0"/>
        <v>H2981F</v>
      </c>
      <c r="E29" s="6" t="str">
        <f t="shared" si="1"/>
        <v>Heatpl</v>
      </c>
      <c r="F29" s="14">
        <f t="shared" si="2"/>
        <v>264787.94640000002</v>
      </c>
      <c r="G29" s="5" t="str">
        <f>IF(Table35[[#This Row],[Capacity1]]&lt;&gt;"-",Table35[[#This Row],[Location]]&amp;RIGHT(Table35[[#Headers],[Facility_2]],1)&amp;"F","-")</f>
        <v>H2982F</v>
      </c>
      <c r="H29" s="6" t="str">
        <f t="shared" si="3"/>
        <v>TerHea</v>
      </c>
      <c r="I29" s="23">
        <f t="shared" si="4"/>
        <v>9999</v>
      </c>
      <c r="J29" s="5" t="str">
        <f>IF(Table35[[#This Row],[Capacity1]]*X29&gt;=$Y$5,Table35[[#This Row],[Location]]&amp;RIGHT(Table35[[#Headers],[Facility_3]],1)&amp;"F","-")</f>
        <v>H2983F</v>
      </c>
      <c r="K29" s="2" t="str">
        <f t="shared" ref="K29" si="37">IF(J29="-","-","CHPpl_")</f>
        <v>CHPpl_</v>
      </c>
      <c r="L29" s="14">
        <f t="shared" si="11"/>
        <v>0</v>
      </c>
      <c r="V29" s="1">
        <v>220.656622</v>
      </c>
      <c r="W29" s="1">
        <v>1</v>
      </c>
      <c r="X29" s="1">
        <v>0</v>
      </c>
    </row>
    <row r="30" spans="1:24" x14ac:dyDescent="0.25">
      <c r="A30" s="1" t="s">
        <v>234</v>
      </c>
      <c r="B30" s="1">
        <v>6462620.61407845</v>
      </c>
      <c r="C30" s="1">
        <v>507869.87634178298</v>
      </c>
      <c r="D30" s="5" t="str">
        <f t="shared" si="0"/>
        <v>H2351F</v>
      </c>
      <c r="E30" s="6" t="str">
        <f t="shared" si="1"/>
        <v>Heatpl</v>
      </c>
      <c r="F30" s="14">
        <f t="shared" si="2"/>
        <v>258014.42400000003</v>
      </c>
      <c r="G30" s="5" t="str">
        <f>IF(Table35[[#This Row],[Capacity1]]&lt;&gt;"-",Table35[[#This Row],[Location]]&amp;RIGHT(Table35[[#Headers],[Facility_2]],1)&amp;"F","-")</f>
        <v>H2352F</v>
      </c>
      <c r="H30" s="6" t="str">
        <f t="shared" si="3"/>
        <v>TerHea</v>
      </c>
      <c r="I30" s="23">
        <f t="shared" si="4"/>
        <v>9999</v>
      </c>
      <c r="J30" s="5" t="str">
        <f>IF(Table35[[#This Row],[Capacity1]]*X30&gt;=$Y$5,Table35[[#This Row],[Location]]&amp;RIGHT(Table35[[#Headers],[Facility_3]],1)&amp;"F","-")</f>
        <v>H2353F</v>
      </c>
      <c r="K30" s="2" t="str">
        <f t="shared" ref="K30" si="38">IF(J30="-","-","CHPpl_")</f>
        <v>CHPpl_</v>
      </c>
      <c r="L30" s="14">
        <f t="shared" si="11"/>
        <v>92021.524016838826</v>
      </c>
      <c r="V30" s="1">
        <v>215.01202000000001</v>
      </c>
      <c r="W30" s="1">
        <v>0.64334736566185613</v>
      </c>
      <c r="X30" s="1">
        <v>0.35665263433814387</v>
      </c>
    </row>
    <row r="31" spans="1:24" x14ac:dyDescent="0.25">
      <c r="A31" s="1" t="s">
        <v>218</v>
      </c>
      <c r="B31" s="1">
        <v>6486497.2079723701</v>
      </c>
      <c r="C31" s="1">
        <v>502872.31564512203</v>
      </c>
      <c r="D31" s="5" t="str">
        <f t="shared" si="0"/>
        <v>H2191F</v>
      </c>
      <c r="E31" s="6" t="str">
        <f t="shared" si="1"/>
        <v>Heatpl</v>
      </c>
      <c r="F31" s="14">
        <f t="shared" si="2"/>
        <v>233735.97360000003</v>
      </c>
      <c r="G31" s="5" t="str">
        <f>IF(Table35[[#This Row],[Capacity1]]&lt;&gt;"-",Table35[[#This Row],[Location]]&amp;RIGHT(Table35[[#Headers],[Facility_2]],1)&amp;"F","-")</f>
        <v>H2192F</v>
      </c>
      <c r="H31" s="6" t="str">
        <f t="shared" si="3"/>
        <v>TerHea</v>
      </c>
      <c r="I31" s="23">
        <f t="shared" si="4"/>
        <v>9999</v>
      </c>
      <c r="J31" s="5" t="str">
        <f>IF(Table35[[#This Row],[Capacity1]]*X31&gt;=$Y$5,Table35[[#This Row],[Location]]&amp;RIGHT(Table35[[#Headers],[Facility_3]],1)&amp;"F","-")</f>
        <v>H2193F</v>
      </c>
      <c r="K31" s="2" t="str">
        <f t="shared" ref="K31" si="39">IF(J31="-","-","CHPpl_")</f>
        <v>CHPpl_</v>
      </c>
      <c r="L31" s="14">
        <f t="shared" si="11"/>
        <v>36880.500255588777</v>
      </c>
      <c r="V31" s="1">
        <v>194.77997800000003</v>
      </c>
      <c r="W31" s="1">
        <v>0.84221299063402377</v>
      </c>
      <c r="X31" s="1">
        <v>0.15778700936597623</v>
      </c>
    </row>
    <row r="32" spans="1:24" x14ac:dyDescent="0.25">
      <c r="A32" s="1" t="s">
        <v>177</v>
      </c>
      <c r="B32" s="1">
        <v>6584117.3427056</v>
      </c>
      <c r="C32" s="1">
        <v>668508.46280014899</v>
      </c>
      <c r="D32" s="5" t="str">
        <f t="shared" si="0"/>
        <v>H1781F</v>
      </c>
      <c r="E32" s="6" t="str">
        <f t="shared" si="1"/>
        <v>Heatpl</v>
      </c>
      <c r="F32" s="14">
        <f t="shared" si="2"/>
        <v>231047.99999999997</v>
      </c>
      <c r="G32" s="5" t="str">
        <f>IF(Table35[[#This Row],[Capacity1]]&lt;&gt;"-",Table35[[#This Row],[Location]]&amp;RIGHT(Table35[[#Headers],[Facility_2]],1)&amp;"F","-")</f>
        <v>H1782F</v>
      </c>
      <c r="H32" s="6" t="str">
        <f t="shared" si="3"/>
        <v>TerHea</v>
      </c>
      <c r="I32" s="23">
        <f t="shared" si="4"/>
        <v>9999</v>
      </c>
      <c r="J32" s="5" t="str">
        <f>IF(Table35[[#This Row],[Capacity1]]*X32&gt;=$Y$5,Table35[[#This Row],[Location]]&amp;RIGHT(Table35[[#Headers],[Facility_3]],1)&amp;"F","-")</f>
        <v>H1783F</v>
      </c>
      <c r="K32" s="2" t="str">
        <f t="shared" ref="K32" si="40">IF(J32="-","-","CHPpl_")</f>
        <v>CHPpl_</v>
      </c>
      <c r="L32" s="14">
        <f t="shared" si="11"/>
        <v>0</v>
      </c>
      <c r="V32" s="1">
        <v>192.54</v>
      </c>
      <c r="W32" s="1">
        <v>1</v>
      </c>
      <c r="X32" s="1">
        <v>0</v>
      </c>
    </row>
    <row r="33" spans="1:24" x14ac:dyDescent="0.25">
      <c r="A33" s="1" t="s">
        <v>146</v>
      </c>
      <c r="B33" s="1">
        <v>6642989.4577388</v>
      </c>
      <c r="C33" s="1">
        <v>589874.97796123801</v>
      </c>
      <c r="D33" s="5" t="str">
        <f t="shared" si="0"/>
        <v>H1471F</v>
      </c>
      <c r="E33" s="6" t="str">
        <f t="shared" si="1"/>
        <v>Heatpl</v>
      </c>
      <c r="F33" s="14">
        <f t="shared" si="2"/>
        <v>229837.66800000001</v>
      </c>
      <c r="G33" s="5" t="str">
        <f>IF(Table35[[#This Row],[Capacity1]]&lt;&gt;"-",Table35[[#This Row],[Location]]&amp;RIGHT(Table35[[#Headers],[Facility_2]],1)&amp;"F","-")</f>
        <v>H1472F</v>
      </c>
      <c r="H33" s="6" t="str">
        <f t="shared" si="3"/>
        <v>TerHea</v>
      </c>
      <c r="I33" s="23">
        <f t="shared" si="4"/>
        <v>9999</v>
      </c>
      <c r="J33" s="5" t="str">
        <f>IF(Table35[[#This Row],[Capacity1]]*X33&gt;=$Y$5,Table35[[#This Row],[Location]]&amp;RIGHT(Table35[[#Headers],[Facility_3]],1)&amp;"F","-")</f>
        <v>H1473F</v>
      </c>
      <c r="K33" s="2" t="str">
        <f t="shared" ref="K33" si="41">IF(J33="-","-","CHPpl_")</f>
        <v>CHPpl_</v>
      </c>
      <c r="L33" s="14">
        <f t="shared" si="11"/>
        <v>52205.235432482841</v>
      </c>
      <c r="V33" s="1">
        <v>191.53139000000002</v>
      </c>
      <c r="W33" s="1">
        <v>0.77286040235805542</v>
      </c>
      <c r="X33" s="1">
        <v>0.22713959764194458</v>
      </c>
    </row>
    <row r="34" spans="1:24" x14ac:dyDescent="0.25">
      <c r="A34" s="1" t="s">
        <v>324</v>
      </c>
      <c r="B34" s="1">
        <v>6278949.4599451302</v>
      </c>
      <c r="C34" s="1">
        <v>369277.24178992398</v>
      </c>
      <c r="D34" s="5" t="str">
        <f t="shared" si="0"/>
        <v>H3251F</v>
      </c>
      <c r="E34" s="6" t="str">
        <f t="shared" si="1"/>
        <v>Heatpl</v>
      </c>
      <c r="F34" s="14">
        <f t="shared" si="2"/>
        <v>228599.88</v>
      </c>
      <c r="G34" s="5" t="str">
        <f>IF(Table35[[#This Row],[Capacity1]]&lt;&gt;"-",Table35[[#This Row],[Location]]&amp;RIGHT(Table35[[#Headers],[Facility_2]],1)&amp;"F","-")</f>
        <v>H3252F</v>
      </c>
      <c r="H34" s="6" t="str">
        <f t="shared" si="3"/>
        <v>TerHea</v>
      </c>
      <c r="I34" s="23">
        <f t="shared" si="4"/>
        <v>9999</v>
      </c>
      <c r="J34" s="5" t="str">
        <f>IF(Table35[[#This Row],[Capacity1]]*X34&gt;=$Y$5,Table35[[#This Row],[Location]]&amp;RIGHT(Table35[[#Headers],[Facility_3]],1)&amp;"F","-")</f>
        <v>H3253F</v>
      </c>
      <c r="K34" s="2" t="str">
        <f t="shared" ref="K34" si="42">IF(J34="-","-","CHPpl_")</f>
        <v>CHPpl_</v>
      </c>
      <c r="L34" s="14">
        <f t="shared" si="11"/>
        <v>45497.641167112612</v>
      </c>
      <c r="V34" s="1">
        <v>190.49990000000003</v>
      </c>
      <c r="W34" s="1">
        <v>0.80097259383026531</v>
      </c>
      <c r="X34" s="1">
        <v>0.19902740616973469</v>
      </c>
    </row>
    <row r="35" spans="1:24" x14ac:dyDescent="0.25">
      <c r="A35" s="1" t="s">
        <v>284</v>
      </c>
      <c r="B35" s="1">
        <v>6387699.7217788901</v>
      </c>
      <c r="C35" s="1">
        <v>481853.649697032</v>
      </c>
      <c r="D35" s="5" t="str">
        <f t="shared" si="0"/>
        <v>H2851F</v>
      </c>
      <c r="E35" s="6" t="str">
        <f t="shared" si="1"/>
        <v>Heatpl</v>
      </c>
      <c r="F35" s="14">
        <f t="shared" si="2"/>
        <v>225547.91999999998</v>
      </c>
      <c r="G35" s="5" t="str">
        <f>IF(Table35[[#This Row],[Capacity1]]&lt;&gt;"-",Table35[[#This Row],[Location]]&amp;RIGHT(Table35[[#Headers],[Facility_2]],1)&amp;"F","-")</f>
        <v>H2852F</v>
      </c>
      <c r="H35" s="6" t="str">
        <f t="shared" si="3"/>
        <v>TerHea</v>
      </c>
      <c r="I35" s="23">
        <f t="shared" si="4"/>
        <v>9999</v>
      </c>
      <c r="J35" s="5" t="str">
        <f>IF(Table35[[#This Row],[Capacity1]]*X35&gt;=$Y$5,Table35[[#This Row],[Location]]&amp;RIGHT(Table35[[#Headers],[Facility_3]],1)&amp;"F","-")</f>
        <v>H2853F</v>
      </c>
      <c r="K35" s="2" t="str">
        <f t="shared" ref="K35" si="43">IF(J35="-","-","CHPpl_")</f>
        <v>CHPpl_</v>
      </c>
      <c r="L35" s="14">
        <f t="shared" si="11"/>
        <v>70051.547299348356</v>
      </c>
      <c r="V35" s="1">
        <v>187.95659999999998</v>
      </c>
      <c r="W35" s="1">
        <v>0.6894161236363946</v>
      </c>
      <c r="X35" s="1">
        <v>0.3105838763636054</v>
      </c>
    </row>
    <row r="36" spans="1:24" x14ac:dyDescent="0.25">
      <c r="A36" s="1" t="s">
        <v>124</v>
      </c>
      <c r="B36" s="1">
        <v>6703253.3517492404</v>
      </c>
      <c r="C36" s="1">
        <v>523528.32386231399</v>
      </c>
      <c r="D36" s="5" t="str">
        <f t="shared" si="0"/>
        <v>H1251F</v>
      </c>
      <c r="E36" s="6" t="str">
        <f t="shared" si="1"/>
        <v>Heatpl</v>
      </c>
      <c r="F36" s="14">
        <f t="shared" si="2"/>
        <v>219691.19999999998</v>
      </c>
      <c r="G36" s="5" t="str">
        <f>IF(Table35[[#This Row],[Capacity1]]&lt;&gt;"-",Table35[[#This Row],[Location]]&amp;RIGHT(Table35[[#Headers],[Facility_2]],1)&amp;"F","-")</f>
        <v>H1252F</v>
      </c>
      <c r="H36" s="6" t="str">
        <f t="shared" si="3"/>
        <v>TerHea</v>
      </c>
      <c r="I36" s="23">
        <f t="shared" si="4"/>
        <v>9999</v>
      </c>
      <c r="J36" s="5" t="str">
        <f>IF(Table35[[#This Row],[Capacity1]]*X36&gt;=$Y$5,Table35[[#This Row],[Location]]&amp;RIGHT(Table35[[#Headers],[Facility_3]],1)&amp;"F","-")</f>
        <v>H1253F</v>
      </c>
      <c r="K36" s="2" t="str">
        <f t="shared" ref="K36" si="44">IF(J36="-","-","CHPpl_")</f>
        <v>CHPpl_</v>
      </c>
      <c r="L36" s="14">
        <f t="shared" si="11"/>
        <v>0</v>
      </c>
      <c r="V36" s="1">
        <v>183.07599999999999</v>
      </c>
      <c r="W36" s="1">
        <v>1</v>
      </c>
      <c r="X36" s="1">
        <v>0</v>
      </c>
    </row>
    <row r="37" spans="1:24" x14ac:dyDescent="0.25">
      <c r="A37" s="1" t="s">
        <v>109</v>
      </c>
      <c r="B37" s="1">
        <v>6796930.7098859204</v>
      </c>
      <c r="C37" s="1">
        <v>608974.08294069802</v>
      </c>
      <c r="D37" s="5" t="str">
        <f t="shared" si="0"/>
        <v>H1101F</v>
      </c>
      <c r="E37" s="6" t="str">
        <f t="shared" si="1"/>
        <v>Heatpl</v>
      </c>
      <c r="F37" s="14">
        <f t="shared" si="2"/>
        <v>217753.2</v>
      </c>
      <c r="G37" s="5" t="str">
        <f>IF(Table35[[#This Row],[Capacity1]]&lt;&gt;"-",Table35[[#This Row],[Location]]&amp;RIGHT(Table35[[#Headers],[Facility_2]],1)&amp;"F","-")</f>
        <v>H1102F</v>
      </c>
      <c r="H37" s="6" t="str">
        <f t="shared" si="3"/>
        <v>TerHea</v>
      </c>
      <c r="I37" s="23">
        <f t="shared" si="4"/>
        <v>9999</v>
      </c>
      <c r="J37" s="5" t="str">
        <f>IF(Table35[[#This Row],[Capacity1]]*X37&gt;=$Y$5,Table35[[#This Row],[Location]]&amp;RIGHT(Table35[[#Headers],[Facility_3]],1)&amp;"F","-")</f>
        <v>H1103F</v>
      </c>
      <c r="K37" s="2" t="str">
        <f t="shared" ref="K37" si="45">IF(J37="-","-","CHPpl_")</f>
        <v>CHPpl_</v>
      </c>
      <c r="L37" s="14">
        <f t="shared" si="11"/>
        <v>89447.351071210505</v>
      </c>
      <c r="V37" s="1">
        <v>181.46100000000001</v>
      </c>
      <c r="W37" s="1">
        <v>0.5892260087511435</v>
      </c>
      <c r="X37" s="1">
        <v>0.4107739912488565</v>
      </c>
    </row>
    <row r="38" spans="1:24" x14ac:dyDescent="0.25">
      <c r="A38" s="1" t="s">
        <v>149</v>
      </c>
      <c r="B38" s="1">
        <v>6630873.0497755902</v>
      </c>
      <c r="C38" s="1">
        <v>707919.87262874795</v>
      </c>
      <c r="D38" s="5" t="str">
        <f t="shared" si="0"/>
        <v>H1501F</v>
      </c>
      <c r="E38" s="6" t="str">
        <f t="shared" si="1"/>
        <v>Heatpl</v>
      </c>
      <c r="F38" s="14">
        <f t="shared" si="2"/>
        <v>211466.95200000002</v>
      </c>
      <c r="G38" s="5" t="str">
        <f>IF(Table35[[#This Row],[Capacity1]]&lt;&gt;"-",Table35[[#This Row],[Location]]&amp;RIGHT(Table35[[#Headers],[Facility_2]],1)&amp;"F","-")</f>
        <v>H1502F</v>
      </c>
      <c r="H38" s="6" t="str">
        <f t="shared" si="3"/>
        <v>TerHea</v>
      </c>
      <c r="I38" s="23">
        <f t="shared" si="4"/>
        <v>9999</v>
      </c>
      <c r="J38" s="5" t="str">
        <f>IF(Table35[[#This Row],[Capacity1]]*X38&gt;=$Y$5,Table35[[#This Row],[Location]]&amp;RIGHT(Table35[[#Headers],[Facility_3]],1)&amp;"F","-")</f>
        <v>H1503F</v>
      </c>
      <c r="K38" s="2" t="str">
        <f t="shared" ref="K38" si="46">IF(J38="-","-","CHPpl_")</f>
        <v>CHPpl_</v>
      </c>
      <c r="L38" s="14">
        <f t="shared" si="11"/>
        <v>62389.877959556114</v>
      </c>
      <c r="V38" s="1">
        <v>176.22246000000001</v>
      </c>
      <c r="W38" s="1">
        <v>0.70496629676888656</v>
      </c>
      <c r="X38" s="1">
        <v>0.29503370323111344</v>
      </c>
    </row>
    <row r="39" spans="1:24" x14ac:dyDescent="0.25">
      <c r="A39" s="1" t="s">
        <v>250</v>
      </c>
      <c r="B39" s="1">
        <v>6430124.87155052</v>
      </c>
      <c r="C39" s="1">
        <v>498891.72700252797</v>
      </c>
      <c r="D39" s="5" t="str">
        <f t="shared" si="0"/>
        <v>H2511F</v>
      </c>
      <c r="E39" s="6" t="str">
        <f t="shared" si="1"/>
        <v>Heatpl</v>
      </c>
      <c r="F39" s="14">
        <f t="shared" si="2"/>
        <v>210983.99999999997</v>
      </c>
      <c r="G39" s="5" t="str">
        <f>IF(Table35[[#This Row],[Capacity1]]&lt;&gt;"-",Table35[[#This Row],[Location]]&amp;RIGHT(Table35[[#Headers],[Facility_2]],1)&amp;"F","-")</f>
        <v>H2512F</v>
      </c>
      <c r="H39" s="6" t="str">
        <f t="shared" si="3"/>
        <v>TerHea</v>
      </c>
      <c r="I39" s="23">
        <f t="shared" si="4"/>
        <v>9999</v>
      </c>
      <c r="J39" s="5" t="str">
        <f>IF(Table35[[#This Row],[Capacity1]]*X39&gt;=$Y$5,Table35[[#This Row],[Location]]&amp;RIGHT(Table35[[#Headers],[Facility_3]],1)&amp;"F","-")</f>
        <v>H2513F</v>
      </c>
      <c r="K39" s="2" t="str">
        <f t="shared" ref="K39" si="47">IF(J39="-","-","CHPpl_")</f>
        <v>CHPpl_</v>
      </c>
      <c r="L39" s="14">
        <f t="shared" si="11"/>
        <v>69075.68712269864</v>
      </c>
      <c r="V39" s="1">
        <v>175.82</v>
      </c>
      <c r="W39" s="1">
        <v>0.67260224887812037</v>
      </c>
      <c r="X39" s="1">
        <v>0.32739775112187963</v>
      </c>
    </row>
    <row r="40" spans="1:24" x14ac:dyDescent="0.25">
      <c r="A40" s="1" t="s">
        <v>95</v>
      </c>
      <c r="B40" s="1">
        <v>6918943.8991992101</v>
      </c>
      <c r="C40" s="1">
        <v>619728.125165315</v>
      </c>
      <c r="D40" s="5" t="str">
        <f t="shared" si="0"/>
        <v>H961F</v>
      </c>
      <c r="E40" s="6" t="str">
        <f t="shared" si="1"/>
        <v>Heatpl</v>
      </c>
      <c r="F40" s="14">
        <f t="shared" si="2"/>
        <v>206450.4</v>
      </c>
      <c r="G40" s="5" t="str">
        <f>IF(Table35[[#This Row],[Capacity1]]&lt;&gt;"-",Table35[[#This Row],[Location]]&amp;RIGHT(Table35[[#Headers],[Facility_2]],1)&amp;"F","-")</f>
        <v>H962F</v>
      </c>
      <c r="H40" s="6" t="str">
        <f t="shared" si="3"/>
        <v>TerHea</v>
      </c>
      <c r="I40" s="23">
        <f t="shared" si="4"/>
        <v>9999</v>
      </c>
      <c r="J40" s="5" t="str">
        <f>IF(Table35[[#This Row],[Capacity1]]*X40&gt;=$Y$5,Table35[[#This Row],[Location]]&amp;RIGHT(Table35[[#Headers],[Facility_3]],1)&amp;"F","-")</f>
        <v>H963F</v>
      </c>
      <c r="K40" s="2" t="str">
        <f t="shared" ref="K40" si="48">IF(J40="-","-","CHPpl_")</f>
        <v>CHPpl_</v>
      </c>
      <c r="L40" s="14">
        <f t="shared" si="11"/>
        <v>0</v>
      </c>
      <c r="V40" s="1">
        <v>172.042</v>
      </c>
      <c r="W40" s="1">
        <v>1</v>
      </c>
      <c r="X40" s="1">
        <v>0</v>
      </c>
    </row>
    <row r="41" spans="1:24" x14ac:dyDescent="0.25">
      <c r="A41" s="1" t="s">
        <v>303</v>
      </c>
      <c r="B41" s="1">
        <v>6346912.8316198997</v>
      </c>
      <c r="C41" s="1">
        <v>588119.36217856803</v>
      </c>
      <c r="D41" s="5" t="str">
        <f t="shared" si="0"/>
        <v>H3041F</v>
      </c>
      <c r="E41" s="6" t="str">
        <f t="shared" si="1"/>
        <v>Heatpl</v>
      </c>
      <c r="F41" s="14">
        <f t="shared" si="2"/>
        <v>205320.03600000005</v>
      </c>
      <c r="G41" s="5" t="str">
        <f>IF(Table35[[#This Row],[Capacity1]]&lt;&gt;"-",Table35[[#This Row],[Location]]&amp;RIGHT(Table35[[#Headers],[Facility_2]],1)&amp;"F","-")</f>
        <v>H3042F</v>
      </c>
      <c r="H41" s="6" t="str">
        <f t="shared" si="3"/>
        <v>TerHea</v>
      </c>
      <c r="I41" s="23">
        <f t="shared" si="4"/>
        <v>9999</v>
      </c>
      <c r="J41" s="5" t="str">
        <f>IF(Table35[[#This Row],[Capacity1]]*X41&gt;=$Y$5,Table35[[#This Row],[Location]]&amp;RIGHT(Table35[[#Headers],[Facility_3]],1)&amp;"F","-")</f>
        <v>H3043F</v>
      </c>
      <c r="K41" s="2" t="str">
        <f t="shared" ref="K41" si="49">IF(J41="-","-","CHPpl_")</f>
        <v>CHPpl_</v>
      </c>
      <c r="L41" s="14">
        <f t="shared" si="11"/>
        <v>34240.995877323956</v>
      </c>
      <c r="V41" s="1">
        <v>171.10003000000003</v>
      </c>
      <c r="W41" s="1">
        <v>0.83323110328441619</v>
      </c>
      <c r="X41" s="1">
        <v>0.16676889671558381</v>
      </c>
    </row>
    <row r="42" spans="1:24" x14ac:dyDescent="0.25">
      <c r="A42" s="1" t="s">
        <v>292</v>
      </c>
      <c r="B42" s="1">
        <v>6371179.2605691804</v>
      </c>
      <c r="C42" s="1">
        <v>550607.23748044798</v>
      </c>
      <c r="D42" s="5" t="str">
        <f t="shared" si="0"/>
        <v>H2931F</v>
      </c>
      <c r="E42" s="6" t="str">
        <f t="shared" si="1"/>
        <v>Heatpl</v>
      </c>
      <c r="F42" s="14">
        <f t="shared" si="2"/>
        <v>201074.39999999997</v>
      </c>
      <c r="G42" s="5" t="str">
        <f>IF(Table35[[#This Row],[Capacity1]]&lt;&gt;"-",Table35[[#This Row],[Location]]&amp;RIGHT(Table35[[#Headers],[Facility_2]],1)&amp;"F","-")</f>
        <v>H2932F</v>
      </c>
      <c r="H42" s="6" t="str">
        <f t="shared" si="3"/>
        <v>TerHea</v>
      </c>
      <c r="I42" s="23">
        <f t="shared" si="4"/>
        <v>9999</v>
      </c>
      <c r="J42" s="5" t="str">
        <f>IF(Table35[[#This Row],[Capacity1]]*X42&gt;=$Y$5,Table35[[#This Row],[Location]]&amp;RIGHT(Table35[[#Headers],[Facility_3]],1)&amp;"F","-")</f>
        <v>H2933F</v>
      </c>
      <c r="K42" s="2" t="str">
        <f t="shared" ref="K42" si="50">IF(J42="-","-","CHPpl_")</f>
        <v>CHPpl_</v>
      </c>
      <c r="L42" s="14">
        <f t="shared" si="11"/>
        <v>82415.545108953156</v>
      </c>
      <c r="V42" s="1">
        <v>167.56199999999998</v>
      </c>
      <c r="W42" s="1">
        <v>0.59012412764154376</v>
      </c>
      <c r="X42" s="1">
        <v>0.40987587235845624</v>
      </c>
    </row>
    <row r="43" spans="1:24" x14ac:dyDescent="0.25">
      <c r="A43" s="1" t="s">
        <v>305</v>
      </c>
      <c r="B43" s="1">
        <v>6336406.8961287299</v>
      </c>
      <c r="C43" s="1">
        <v>441484.62247094</v>
      </c>
      <c r="D43" s="5" t="str">
        <f t="shared" si="0"/>
        <v>H3061F</v>
      </c>
      <c r="E43" s="6" t="str">
        <f t="shared" si="1"/>
        <v>Heatpl</v>
      </c>
      <c r="F43" s="14">
        <f t="shared" si="2"/>
        <v>200634.02399999998</v>
      </c>
      <c r="G43" s="5" t="str">
        <f>IF(Table35[[#This Row],[Capacity1]]&lt;&gt;"-",Table35[[#This Row],[Location]]&amp;RIGHT(Table35[[#Headers],[Facility_2]],1)&amp;"F","-")</f>
        <v>H3062F</v>
      </c>
      <c r="H43" s="6" t="str">
        <f t="shared" si="3"/>
        <v>TerHea</v>
      </c>
      <c r="I43" s="23">
        <f t="shared" si="4"/>
        <v>9999</v>
      </c>
      <c r="J43" s="5" t="str">
        <f>IF(Table35[[#This Row],[Capacity1]]*X43&gt;=$Y$5,Table35[[#This Row],[Location]]&amp;RIGHT(Table35[[#Headers],[Facility_3]],1)&amp;"F","-")</f>
        <v>H3063F</v>
      </c>
      <c r="K43" s="2" t="str">
        <f t="shared" ref="K43" si="51">IF(J43="-","-","CHPpl_")</f>
        <v>CHPpl_</v>
      </c>
      <c r="L43" s="14">
        <f t="shared" si="11"/>
        <v>42540.009566527231</v>
      </c>
      <c r="V43" s="1">
        <v>167.19502</v>
      </c>
      <c r="W43" s="1">
        <v>0.78797210603458145</v>
      </c>
      <c r="X43" s="1">
        <v>0.21202789396541855</v>
      </c>
    </row>
    <row r="44" spans="1:24" x14ac:dyDescent="0.25">
      <c r="A44" s="1" t="s">
        <v>63</v>
      </c>
      <c r="B44" s="1">
        <v>7168357.5145948399</v>
      </c>
      <c r="C44" s="1">
        <v>675507.21505889902</v>
      </c>
      <c r="D44" s="5" t="str">
        <f t="shared" si="0"/>
        <v>H641F</v>
      </c>
      <c r="E44" s="6" t="str">
        <f t="shared" si="1"/>
        <v>Heatpl</v>
      </c>
      <c r="F44" s="14">
        <f t="shared" si="2"/>
        <v>192304.26960119998</v>
      </c>
      <c r="G44" s="5" t="str">
        <f>IF(Table35[[#This Row],[Capacity1]]&lt;&gt;"-",Table35[[#This Row],[Location]]&amp;RIGHT(Table35[[#Headers],[Facility_2]],1)&amp;"F","-")</f>
        <v>H642F</v>
      </c>
      <c r="H44" s="6" t="str">
        <f t="shared" si="3"/>
        <v>TerHea</v>
      </c>
      <c r="I44" s="23">
        <f t="shared" si="4"/>
        <v>9999</v>
      </c>
      <c r="J44" s="5" t="str">
        <f>IF(Table35[[#This Row],[Capacity1]]*X44&gt;=$Y$5,Table35[[#This Row],[Location]]&amp;RIGHT(Table35[[#Headers],[Facility_3]],1)&amp;"F","-")</f>
        <v>H643F</v>
      </c>
      <c r="K44" s="2" t="str">
        <f t="shared" ref="K44" si="52">IF(J44="-","-","CHPpl_")</f>
        <v>CHPpl_</v>
      </c>
      <c r="L44" s="14">
        <f t="shared" si="11"/>
        <v>92164.750482920965</v>
      </c>
      <c r="V44" s="1">
        <v>160.25355800099999</v>
      </c>
      <c r="W44" s="1">
        <v>0.52073476749085212</v>
      </c>
      <c r="X44" s="1">
        <v>0.47926523250914788</v>
      </c>
    </row>
    <row r="45" spans="1:24" x14ac:dyDescent="0.25">
      <c r="A45" s="1" t="s">
        <v>193</v>
      </c>
      <c r="B45" s="1">
        <v>6562978.7153409896</v>
      </c>
      <c r="C45" s="1">
        <v>679242.60432613804</v>
      </c>
      <c r="D45" s="5" t="str">
        <f t="shared" si="0"/>
        <v>H1941F</v>
      </c>
      <c r="E45" s="6" t="str">
        <f t="shared" si="1"/>
        <v>Heatpl</v>
      </c>
      <c r="F45" s="14">
        <f t="shared" si="2"/>
        <v>188555.99999999997</v>
      </c>
      <c r="G45" s="5" t="str">
        <f>IF(Table35[[#This Row],[Capacity1]]&lt;&gt;"-",Table35[[#This Row],[Location]]&amp;RIGHT(Table35[[#Headers],[Facility_2]],1)&amp;"F","-")</f>
        <v>H1942F</v>
      </c>
      <c r="H45" s="6" t="str">
        <f t="shared" si="3"/>
        <v>TerHea</v>
      </c>
      <c r="I45" s="23">
        <f t="shared" si="4"/>
        <v>9999</v>
      </c>
      <c r="J45" s="5" t="str">
        <f>IF(Table35[[#This Row],[Capacity1]]*X45&gt;=$Y$5,Table35[[#This Row],[Location]]&amp;RIGHT(Table35[[#Headers],[Facility_3]],1)&amp;"F","-")</f>
        <v>H1943F</v>
      </c>
      <c r="K45" s="2" t="str">
        <f t="shared" ref="K45" si="53">IF(J45="-","-","CHPpl_")</f>
        <v>CHPpl_</v>
      </c>
      <c r="L45" s="14">
        <f t="shared" si="11"/>
        <v>0</v>
      </c>
      <c r="V45" s="1">
        <v>157.13</v>
      </c>
      <c r="W45" s="1">
        <v>1</v>
      </c>
      <c r="X45" s="1">
        <v>0</v>
      </c>
    </row>
    <row r="46" spans="1:24" x14ac:dyDescent="0.25">
      <c r="A46" s="1" t="s">
        <v>89</v>
      </c>
      <c r="B46" s="1">
        <v>6947331.4436209798</v>
      </c>
      <c r="C46" s="1">
        <v>650596.03464276297</v>
      </c>
      <c r="D46" s="5" t="str">
        <f t="shared" si="0"/>
        <v>H901F</v>
      </c>
      <c r="E46" s="6" t="str">
        <f t="shared" si="1"/>
        <v>Heatpl</v>
      </c>
      <c r="F46" s="14">
        <f t="shared" si="2"/>
        <v>183480</v>
      </c>
      <c r="G46" s="5" t="str">
        <f>IF(Table35[[#This Row],[Capacity1]]&lt;&gt;"-",Table35[[#This Row],[Location]]&amp;RIGHT(Table35[[#Headers],[Facility_2]],1)&amp;"F","-")</f>
        <v>H902F</v>
      </c>
      <c r="H46" s="6" t="str">
        <f t="shared" si="3"/>
        <v>TerHea</v>
      </c>
      <c r="I46" s="23">
        <f t="shared" si="4"/>
        <v>9999</v>
      </c>
      <c r="J46" s="5" t="str">
        <f>IF(Table35[[#This Row],[Capacity1]]*X46&gt;=$Y$5,Table35[[#This Row],[Location]]&amp;RIGHT(Table35[[#Headers],[Facility_3]],1)&amp;"F","-")</f>
        <v>H903F</v>
      </c>
      <c r="K46" s="2" t="str">
        <f t="shared" ref="K46" si="54">IF(J46="-","-","CHPpl_")</f>
        <v>CHPpl_</v>
      </c>
      <c r="L46" s="14">
        <f t="shared" si="11"/>
        <v>63605.812003845647</v>
      </c>
      <c r="V46" s="1">
        <v>152.9</v>
      </c>
      <c r="W46" s="1">
        <v>0.65333653802133396</v>
      </c>
      <c r="X46" s="1">
        <v>0.34666346197866604</v>
      </c>
    </row>
    <row r="47" spans="1:24" x14ac:dyDescent="0.25">
      <c r="A47" s="1" t="s">
        <v>282</v>
      </c>
      <c r="B47" s="1">
        <v>6390619.7473151702</v>
      </c>
      <c r="C47" s="1">
        <v>550556.26446403097</v>
      </c>
      <c r="D47" s="5" t="str">
        <f t="shared" si="0"/>
        <v>H2831F</v>
      </c>
      <c r="E47" s="6" t="str">
        <f t="shared" si="1"/>
        <v>Heatpl</v>
      </c>
      <c r="F47" s="14">
        <f t="shared" si="2"/>
        <v>181899.6</v>
      </c>
      <c r="G47" s="5" t="str">
        <f>IF(Table35[[#This Row],[Capacity1]]&lt;&gt;"-",Table35[[#This Row],[Location]]&amp;RIGHT(Table35[[#Headers],[Facility_2]],1)&amp;"F","-")</f>
        <v>H2832F</v>
      </c>
      <c r="H47" s="6" t="str">
        <f t="shared" si="3"/>
        <v>TerHea</v>
      </c>
      <c r="I47" s="23">
        <f t="shared" si="4"/>
        <v>9999</v>
      </c>
      <c r="J47" s="5" t="str">
        <f>IF(Table35[[#This Row],[Capacity1]]*X47&gt;=$Y$5,Table35[[#This Row],[Location]]&amp;RIGHT(Table35[[#Headers],[Facility_3]],1)&amp;"F","-")</f>
        <v>H2833F</v>
      </c>
      <c r="K47" s="2" t="str">
        <f t="shared" ref="K47" si="55">IF(J47="-","-","CHPpl_")</f>
        <v>CHPpl_</v>
      </c>
      <c r="L47" s="14">
        <f t="shared" si="11"/>
        <v>64314.484474397577</v>
      </c>
      <c r="V47" s="1">
        <v>151.583</v>
      </c>
      <c r="W47" s="1">
        <v>0.64642866463478987</v>
      </c>
      <c r="X47" s="1">
        <v>0.35357133536521013</v>
      </c>
    </row>
    <row r="48" spans="1:24" x14ac:dyDescent="0.25">
      <c r="A48" s="1" t="s">
        <v>280</v>
      </c>
      <c r="B48" s="1">
        <v>6393875.2845315002</v>
      </c>
      <c r="C48" s="1">
        <v>696684.75313160999</v>
      </c>
      <c r="D48" s="5" t="str">
        <f t="shared" si="0"/>
        <v>H2811F</v>
      </c>
      <c r="E48" s="6" t="str">
        <f t="shared" si="1"/>
        <v>Heatpl</v>
      </c>
      <c r="F48" s="14">
        <f t="shared" si="2"/>
        <v>177221.99999999994</v>
      </c>
      <c r="G48" s="5" t="str">
        <f>IF(Table35[[#This Row],[Capacity1]]&lt;&gt;"-",Table35[[#This Row],[Location]]&amp;RIGHT(Table35[[#Headers],[Facility_2]],1)&amp;"F","-")</f>
        <v>H2812F</v>
      </c>
      <c r="H48" s="6" t="str">
        <f t="shared" si="3"/>
        <v>TerHea</v>
      </c>
      <c r="I48" s="23">
        <f t="shared" si="4"/>
        <v>9999</v>
      </c>
      <c r="J48" s="5" t="str">
        <f>IF(Table35[[#This Row],[Capacity1]]*X48&gt;=$Y$5,Table35[[#This Row],[Location]]&amp;RIGHT(Table35[[#Headers],[Facility_3]],1)&amp;"F","-")</f>
        <v>H2813F</v>
      </c>
      <c r="K48" s="2" t="str">
        <f t="shared" ref="K48" si="56">IF(J48="-","-","CHPpl_")</f>
        <v>CHPpl_</v>
      </c>
      <c r="L48" s="14">
        <f t="shared" si="11"/>
        <v>0</v>
      </c>
      <c r="V48" s="1">
        <v>147.68499999999997</v>
      </c>
      <c r="W48" s="1">
        <v>1</v>
      </c>
      <c r="X48" s="1">
        <v>0</v>
      </c>
    </row>
    <row r="49" spans="1:24" x14ac:dyDescent="0.25">
      <c r="A49" s="1" t="s">
        <v>288</v>
      </c>
      <c r="B49" s="1">
        <v>6373017.6287777796</v>
      </c>
      <c r="C49" s="1">
        <v>359452.17676144902</v>
      </c>
      <c r="D49" s="5" t="str">
        <f t="shared" si="0"/>
        <v>H2891F</v>
      </c>
      <c r="E49" s="6" t="str">
        <f t="shared" si="1"/>
        <v>Heatpl</v>
      </c>
      <c r="F49" s="14">
        <f t="shared" si="2"/>
        <v>170100</v>
      </c>
      <c r="G49" s="5" t="str">
        <f>IF(Table35[[#This Row],[Capacity1]]&lt;&gt;"-",Table35[[#This Row],[Location]]&amp;RIGHT(Table35[[#Headers],[Facility_2]],1)&amp;"F","-")</f>
        <v>H2892F</v>
      </c>
      <c r="H49" s="6" t="str">
        <f t="shared" si="3"/>
        <v>TerHea</v>
      </c>
      <c r="I49" s="23">
        <f t="shared" si="4"/>
        <v>9999</v>
      </c>
      <c r="J49" s="5" t="str">
        <f>IF(Table35[[#This Row],[Capacity1]]*X49&gt;=$Y$5,Table35[[#This Row],[Location]]&amp;RIGHT(Table35[[#Headers],[Facility_3]],1)&amp;"F","-")</f>
        <v>H2893F</v>
      </c>
      <c r="K49" s="2" t="str">
        <f t="shared" ref="K49" si="57">IF(J49="-","-","CHPpl_")</f>
        <v>CHPpl_</v>
      </c>
      <c r="L49" s="14">
        <f t="shared" si="11"/>
        <v>32226.624651677961</v>
      </c>
      <c r="V49" s="1">
        <v>141.75</v>
      </c>
      <c r="W49" s="1">
        <v>0.81054306495192263</v>
      </c>
      <c r="X49" s="1">
        <v>0.18945693504807737</v>
      </c>
    </row>
    <row r="50" spans="1:24" x14ac:dyDescent="0.25">
      <c r="A50" s="1" t="s">
        <v>245</v>
      </c>
      <c r="B50" s="1">
        <v>6445873.5732541904</v>
      </c>
      <c r="C50" s="1">
        <v>414902.14150154399</v>
      </c>
      <c r="D50" s="5" t="str">
        <f t="shared" si="0"/>
        <v>H2461F</v>
      </c>
      <c r="E50" s="6" t="str">
        <f t="shared" si="1"/>
        <v>Heatpl</v>
      </c>
      <c r="F50" s="14">
        <f t="shared" si="2"/>
        <v>165360</v>
      </c>
      <c r="G50" s="5" t="str">
        <f>IF(Table35[[#This Row],[Capacity1]]&lt;&gt;"-",Table35[[#This Row],[Location]]&amp;RIGHT(Table35[[#Headers],[Facility_2]],1)&amp;"F","-")</f>
        <v>H2462F</v>
      </c>
      <c r="H50" s="6" t="str">
        <f t="shared" si="3"/>
        <v>TerHea</v>
      </c>
      <c r="I50" s="23">
        <f t="shared" si="4"/>
        <v>9999</v>
      </c>
      <c r="J50" s="5" t="str">
        <f>IF(Table35[[#This Row],[Capacity1]]*X50&gt;=$Y$5,Table35[[#This Row],[Location]]&amp;RIGHT(Table35[[#Headers],[Facility_3]],1)&amp;"F","-")</f>
        <v>H2463F</v>
      </c>
      <c r="K50" s="2" t="str">
        <f t="shared" ref="K50" si="58">IF(J50="-","-","CHPpl_")</f>
        <v>CHPpl_</v>
      </c>
      <c r="L50" s="14">
        <f t="shared" si="11"/>
        <v>34051.684890530552</v>
      </c>
      <c r="V50" s="1">
        <v>137.80000000000001</v>
      </c>
      <c r="W50" s="1">
        <v>0.79407544212306147</v>
      </c>
      <c r="X50" s="1">
        <v>0.20592455787693853</v>
      </c>
    </row>
    <row r="51" spans="1:24" x14ac:dyDescent="0.25">
      <c r="A51" s="1" t="s">
        <v>220</v>
      </c>
      <c r="B51" s="1">
        <v>6484777.7908117501</v>
      </c>
      <c r="C51" s="1">
        <v>410580.86241337197</v>
      </c>
      <c r="D51" s="5" t="str">
        <f t="shared" si="0"/>
        <v>H2211F</v>
      </c>
      <c r="E51" s="6" t="str">
        <f t="shared" si="1"/>
        <v>Heatpl</v>
      </c>
      <c r="F51" s="14">
        <f t="shared" si="2"/>
        <v>161477.99999999997</v>
      </c>
      <c r="G51" s="5" t="str">
        <f>IF(Table35[[#This Row],[Capacity1]]&lt;&gt;"-",Table35[[#This Row],[Location]]&amp;RIGHT(Table35[[#Headers],[Facility_2]],1)&amp;"F","-")</f>
        <v>H2212F</v>
      </c>
      <c r="H51" s="6" t="str">
        <f t="shared" si="3"/>
        <v>TerHea</v>
      </c>
      <c r="I51" s="23">
        <f t="shared" si="4"/>
        <v>9999</v>
      </c>
      <c r="J51" s="5" t="str">
        <f>IF(Table35[[#This Row],[Capacity1]]*X51&gt;=$Y$5,Table35[[#This Row],[Location]]&amp;RIGHT(Table35[[#Headers],[Facility_3]],1)&amp;"F","-")</f>
        <v>H2213F</v>
      </c>
      <c r="K51" s="2" t="str">
        <f t="shared" ref="K51" si="59">IF(J51="-","-","CHPpl_")</f>
        <v>CHPpl_</v>
      </c>
      <c r="L51" s="14">
        <f t="shared" si="11"/>
        <v>0</v>
      </c>
      <c r="V51" s="1">
        <v>134.565</v>
      </c>
      <c r="W51" s="1">
        <v>1</v>
      </c>
      <c r="X51" s="1">
        <v>0</v>
      </c>
    </row>
    <row r="52" spans="1:24" x14ac:dyDescent="0.25">
      <c r="A52" s="1" t="s">
        <v>337</v>
      </c>
      <c r="B52" s="1">
        <v>6227215.51808515</v>
      </c>
      <c r="C52" s="1">
        <v>517551.47744656203</v>
      </c>
      <c r="D52" s="5" t="str">
        <f t="shared" si="0"/>
        <v>H3381F</v>
      </c>
      <c r="E52" s="6" t="str">
        <f t="shared" si="1"/>
        <v>Heatpl</v>
      </c>
      <c r="F52" s="14">
        <f t="shared" si="2"/>
        <v>159600.18000000002</v>
      </c>
      <c r="G52" s="5" t="str">
        <f>IF(Table35[[#This Row],[Capacity1]]&lt;&gt;"-",Table35[[#This Row],[Location]]&amp;RIGHT(Table35[[#Headers],[Facility_2]],1)&amp;"F","-")</f>
        <v>H3382F</v>
      </c>
      <c r="H52" s="6" t="str">
        <f t="shared" si="3"/>
        <v>TerHea</v>
      </c>
      <c r="I52" s="23">
        <f t="shared" si="4"/>
        <v>9999</v>
      </c>
      <c r="J52" s="5" t="str">
        <f>IF(Table35[[#This Row],[Capacity1]]*X52&gt;=$Y$5,Table35[[#This Row],[Location]]&amp;RIGHT(Table35[[#Headers],[Facility_3]],1)&amp;"F","-")</f>
        <v>H3383F</v>
      </c>
      <c r="K52" s="2" t="str">
        <f t="shared" ref="K52" si="60">IF(J52="-","-","CHPpl_")</f>
        <v>CHPpl_</v>
      </c>
      <c r="L52" s="14">
        <f t="shared" si="11"/>
        <v>0</v>
      </c>
      <c r="V52" s="1">
        <v>133.00015000000002</v>
      </c>
      <c r="W52" s="1">
        <v>1</v>
      </c>
      <c r="X52" s="1">
        <v>0</v>
      </c>
    </row>
    <row r="53" spans="1:24" x14ac:dyDescent="0.25">
      <c r="A53" s="1" t="s">
        <v>40</v>
      </c>
      <c r="B53" s="1">
        <v>7462379.1219927296</v>
      </c>
      <c r="C53" s="1">
        <v>744888.21263924905</v>
      </c>
      <c r="D53" s="5" t="str">
        <f t="shared" si="0"/>
        <v>H411F</v>
      </c>
      <c r="E53" s="6" t="str">
        <f t="shared" si="1"/>
        <v>Heatpl</v>
      </c>
      <c r="F53" s="14">
        <f t="shared" si="2"/>
        <v>155040.00000000003</v>
      </c>
      <c r="G53" s="5" t="str">
        <f>IF(Table35[[#This Row],[Capacity1]]&lt;&gt;"-",Table35[[#This Row],[Location]]&amp;RIGHT(Table35[[#Headers],[Facility_2]],1)&amp;"F","-")</f>
        <v>H412F</v>
      </c>
      <c r="H53" s="6" t="str">
        <f t="shared" si="3"/>
        <v>TerHea</v>
      </c>
      <c r="I53" s="23">
        <f t="shared" si="4"/>
        <v>9999</v>
      </c>
      <c r="J53" s="5" t="str">
        <f>IF(Table35[[#This Row],[Capacity1]]*X53&gt;=$Y$5,Table35[[#This Row],[Location]]&amp;RIGHT(Table35[[#Headers],[Facility_3]],1)&amp;"F","-")</f>
        <v>H413F</v>
      </c>
      <c r="K53" s="2" t="str">
        <f t="shared" ref="K53" si="61">IF(J53="-","-","CHPpl_")</f>
        <v>CHPpl_</v>
      </c>
      <c r="L53" s="14">
        <f t="shared" si="11"/>
        <v>47000.660217800185</v>
      </c>
      <c r="V53" s="1">
        <v>129.20000000000002</v>
      </c>
      <c r="W53" s="1">
        <v>0.6968481668098544</v>
      </c>
      <c r="X53" s="1">
        <v>0.3031518331901456</v>
      </c>
    </row>
    <row r="54" spans="1:24" x14ac:dyDescent="0.25">
      <c r="A54" s="1" t="s">
        <v>43</v>
      </c>
      <c r="B54" s="1">
        <v>7330532.6122062001</v>
      </c>
      <c r="C54" s="1">
        <v>872321.234530741</v>
      </c>
      <c r="D54" s="5" t="str">
        <f t="shared" si="0"/>
        <v>H441F</v>
      </c>
      <c r="E54" s="6" t="str">
        <f t="shared" si="1"/>
        <v>Heatpl</v>
      </c>
      <c r="F54" s="14">
        <f t="shared" si="2"/>
        <v>153434.4</v>
      </c>
      <c r="G54" s="5" t="str">
        <f>IF(Table35[[#This Row],[Capacity1]]&lt;&gt;"-",Table35[[#This Row],[Location]]&amp;RIGHT(Table35[[#Headers],[Facility_2]],1)&amp;"F","-")</f>
        <v>H442F</v>
      </c>
      <c r="H54" s="6" t="str">
        <f t="shared" si="3"/>
        <v>TerHea</v>
      </c>
      <c r="I54" s="23">
        <f t="shared" si="4"/>
        <v>9999</v>
      </c>
      <c r="J54" s="5" t="str">
        <f>IF(Table35[[#This Row],[Capacity1]]*X54&gt;=$Y$5,Table35[[#This Row],[Location]]&amp;RIGHT(Table35[[#Headers],[Facility_3]],1)&amp;"F","-")</f>
        <v>H443F</v>
      </c>
      <c r="K54" s="2" t="str">
        <f t="shared" ref="K54" si="62">IF(J54="-","-","CHPpl_")</f>
        <v>CHPpl_</v>
      </c>
      <c r="L54" s="14">
        <f t="shared" si="11"/>
        <v>0</v>
      </c>
      <c r="V54" s="1">
        <v>127.86199999999999</v>
      </c>
      <c r="W54" s="1">
        <v>1</v>
      </c>
      <c r="X54" s="1">
        <v>0</v>
      </c>
    </row>
    <row r="55" spans="1:24" x14ac:dyDescent="0.25">
      <c r="A55" s="1" t="s">
        <v>289</v>
      </c>
      <c r="B55" s="1">
        <v>6371469.3583102701</v>
      </c>
      <c r="C55" s="1">
        <v>325100.49856703402</v>
      </c>
      <c r="D55" s="5" t="str">
        <f t="shared" si="0"/>
        <v>H2901F</v>
      </c>
      <c r="E55" s="6" t="str">
        <f t="shared" si="1"/>
        <v>Heatpl</v>
      </c>
      <c r="F55" s="14">
        <f t="shared" si="2"/>
        <v>152436</v>
      </c>
      <c r="G55" s="5" t="str">
        <f>IF(Table35[[#This Row],[Capacity1]]&lt;&gt;"-",Table35[[#This Row],[Location]]&amp;RIGHT(Table35[[#Headers],[Facility_2]],1)&amp;"F","-")</f>
        <v>H2902F</v>
      </c>
      <c r="H55" s="6" t="str">
        <f t="shared" si="3"/>
        <v>TerHea</v>
      </c>
      <c r="I55" s="23">
        <f t="shared" si="4"/>
        <v>9999</v>
      </c>
      <c r="J55" s="5" t="str">
        <f>IF(Table35[[#This Row],[Capacity1]]*X55&gt;=$Y$5,Table35[[#This Row],[Location]]&amp;RIGHT(Table35[[#Headers],[Facility_3]],1)&amp;"F","-")</f>
        <v>H2903F</v>
      </c>
      <c r="K55" s="2" t="str">
        <f t="shared" ref="K55" si="63">IF(J55="-","-","CHPpl_")</f>
        <v>CHPpl_</v>
      </c>
      <c r="L55" s="14">
        <f t="shared" si="11"/>
        <v>0</v>
      </c>
      <c r="V55" s="1">
        <v>127.03</v>
      </c>
      <c r="W55" s="1">
        <v>1</v>
      </c>
      <c r="X55" s="1">
        <v>0</v>
      </c>
    </row>
    <row r="56" spans="1:24" x14ac:dyDescent="0.25">
      <c r="A56" s="1" t="s">
        <v>253</v>
      </c>
      <c r="B56" s="1">
        <v>6419358.5435363296</v>
      </c>
      <c r="C56" s="1">
        <v>353874.31957456702</v>
      </c>
      <c r="D56" s="5" t="str">
        <f t="shared" si="0"/>
        <v>H2541F</v>
      </c>
      <c r="E56" s="6" t="str">
        <f t="shared" si="1"/>
        <v>Heatpl</v>
      </c>
      <c r="F56" s="14">
        <f t="shared" si="2"/>
        <v>149820</v>
      </c>
      <c r="G56" s="5" t="str">
        <f>IF(Table35[[#This Row],[Capacity1]]&lt;&gt;"-",Table35[[#This Row],[Location]]&amp;RIGHT(Table35[[#Headers],[Facility_2]],1)&amp;"F","-")</f>
        <v>H2542F</v>
      </c>
      <c r="H56" s="6" t="str">
        <f t="shared" si="3"/>
        <v>TerHea</v>
      </c>
      <c r="I56" s="23">
        <f t="shared" si="4"/>
        <v>9999</v>
      </c>
      <c r="J56" s="5" t="str">
        <f>IF(Table35[[#This Row],[Capacity1]]*X56&gt;=$Y$5,Table35[[#This Row],[Location]]&amp;RIGHT(Table35[[#Headers],[Facility_3]],1)&amp;"F","-")</f>
        <v>H2543F</v>
      </c>
      <c r="K56" s="2" t="str">
        <f t="shared" ref="K56" si="64">IF(J56="-","-","CHPpl_")</f>
        <v>CHPpl_</v>
      </c>
      <c r="L56" s="14">
        <f t="shared" si="11"/>
        <v>0</v>
      </c>
      <c r="V56" s="1">
        <v>124.85</v>
      </c>
      <c r="W56" s="1">
        <v>1</v>
      </c>
      <c r="X56" s="1">
        <v>0</v>
      </c>
    </row>
    <row r="57" spans="1:24" x14ac:dyDescent="0.25">
      <c r="A57" s="1" t="s">
        <v>120</v>
      </c>
      <c r="B57" s="1">
        <v>6720597.4634619802</v>
      </c>
      <c r="C57" s="1">
        <v>597127.44264675095</v>
      </c>
      <c r="D57" s="5" t="str">
        <f t="shared" si="0"/>
        <v>H1211F</v>
      </c>
      <c r="E57" s="6" t="str">
        <f t="shared" si="1"/>
        <v>Heatpl</v>
      </c>
      <c r="F57" s="14">
        <f t="shared" si="2"/>
        <v>148928.4</v>
      </c>
      <c r="G57" s="5" t="str">
        <f>IF(Table35[[#This Row],[Capacity1]]&lt;&gt;"-",Table35[[#This Row],[Location]]&amp;RIGHT(Table35[[#Headers],[Facility_2]],1)&amp;"F","-")</f>
        <v>H1212F</v>
      </c>
      <c r="H57" s="6" t="str">
        <f t="shared" si="3"/>
        <v>TerHea</v>
      </c>
      <c r="I57" s="23">
        <f t="shared" si="4"/>
        <v>9999</v>
      </c>
      <c r="J57" s="5" t="str">
        <f>IF(Table35[[#This Row],[Capacity1]]*X57&gt;=$Y$5,Table35[[#This Row],[Location]]&amp;RIGHT(Table35[[#Headers],[Facility_3]],1)&amp;"F","-")</f>
        <v>H1213F</v>
      </c>
      <c r="K57" s="2" t="str">
        <f t="shared" ref="K57" si="65">IF(J57="-","-","CHPpl_")</f>
        <v>CHPpl_</v>
      </c>
      <c r="L57" s="14">
        <f t="shared" si="11"/>
        <v>0</v>
      </c>
      <c r="V57" s="1">
        <v>124.107</v>
      </c>
      <c r="W57" s="1">
        <v>1</v>
      </c>
      <c r="X57" s="1">
        <v>0</v>
      </c>
    </row>
    <row r="58" spans="1:24" x14ac:dyDescent="0.25">
      <c r="A58" s="1" t="s">
        <v>357</v>
      </c>
      <c r="B58" s="1">
        <v>6140289.5495965099</v>
      </c>
      <c r="C58" s="1">
        <v>425565.96006899403</v>
      </c>
      <c r="D58" s="5" t="str">
        <f t="shared" si="0"/>
        <v>H3581F</v>
      </c>
      <c r="E58" s="6" t="str">
        <f t="shared" si="1"/>
        <v>Heatpl</v>
      </c>
      <c r="F58" s="14">
        <f t="shared" si="2"/>
        <v>145915.59599999999</v>
      </c>
      <c r="G58" s="5" t="str">
        <f>IF(Table35[[#This Row],[Capacity1]]&lt;&gt;"-",Table35[[#This Row],[Location]]&amp;RIGHT(Table35[[#Headers],[Facility_2]],1)&amp;"F","-")</f>
        <v>H3582F</v>
      </c>
      <c r="H58" s="6" t="str">
        <f t="shared" si="3"/>
        <v>TerHea</v>
      </c>
      <c r="I58" s="23">
        <f t="shared" si="4"/>
        <v>9999</v>
      </c>
      <c r="J58" s="5" t="str">
        <f>IF(Table35[[#This Row],[Capacity1]]*X58&gt;=$Y$5,Table35[[#This Row],[Location]]&amp;RIGHT(Table35[[#Headers],[Facility_3]],1)&amp;"F","-")</f>
        <v>H3583F</v>
      </c>
      <c r="K58" s="2" t="str">
        <f t="shared" ref="K58" si="66">IF(J58="-","-","CHPpl_")</f>
        <v>CHPpl_</v>
      </c>
      <c r="L58" s="14">
        <f t="shared" si="11"/>
        <v>0</v>
      </c>
      <c r="V58" s="1">
        <v>121.59632999999999</v>
      </c>
      <c r="W58" s="1">
        <v>1</v>
      </c>
      <c r="X58" s="1">
        <v>0</v>
      </c>
    </row>
    <row r="59" spans="1:24" x14ac:dyDescent="0.25">
      <c r="A59" s="1" t="s">
        <v>353</v>
      </c>
      <c r="B59" s="1">
        <v>6160983.9632025696</v>
      </c>
      <c r="C59" s="1">
        <v>374189.214127841</v>
      </c>
      <c r="D59" s="5" t="str">
        <f t="shared" si="0"/>
        <v>H3541F</v>
      </c>
      <c r="E59" s="6" t="str">
        <f t="shared" si="1"/>
        <v>Heatpl</v>
      </c>
      <c r="F59" s="14">
        <f t="shared" si="2"/>
        <v>145080</v>
      </c>
      <c r="G59" s="5" t="str">
        <f>IF(Table35[[#This Row],[Capacity1]]&lt;&gt;"-",Table35[[#This Row],[Location]]&amp;RIGHT(Table35[[#Headers],[Facility_2]],1)&amp;"F","-")</f>
        <v>H3542F</v>
      </c>
      <c r="H59" s="6" t="str">
        <f t="shared" si="3"/>
        <v>TerHea</v>
      </c>
      <c r="I59" s="23">
        <f t="shared" si="4"/>
        <v>9999</v>
      </c>
      <c r="J59" s="5" t="str">
        <f>IF(Table35[[#This Row],[Capacity1]]*X59&gt;=$Y$5,Table35[[#This Row],[Location]]&amp;RIGHT(Table35[[#Headers],[Facility_3]],1)&amp;"F","-")</f>
        <v>H3543F</v>
      </c>
      <c r="K59" s="2" t="str">
        <f t="shared" ref="K59" si="67">IF(J59="-","-","CHPpl_")</f>
        <v>CHPpl_</v>
      </c>
      <c r="L59" s="14">
        <f t="shared" si="11"/>
        <v>0</v>
      </c>
      <c r="V59" s="1">
        <v>120.9</v>
      </c>
      <c r="W59" s="1">
        <v>1</v>
      </c>
      <c r="X59" s="1">
        <v>0</v>
      </c>
    </row>
    <row r="60" spans="1:24" x14ac:dyDescent="0.25">
      <c r="A60" s="1" t="s">
        <v>52</v>
      </c>
      <c r="B60" s="1">
        <v>7234011.5230320496</v>
      </c>
      <c r="C60" s="1">
        <v>675171.99812517199</v>
      </c>
      <c r="D60" s="5" t="str">
        <f t="shared" si="0"/>
        <v>H531F</v>
      </c>
      <c r="E60" s="6" t="str">
        <f t="shared" si="1"/>
        <v>Heatpl</v>
      </c>
      <c r="F60" s="14">
        <f t="shared" si="2"/>
        <v>141634.44960000002</v>
      </c>
      <c r="G60" s="5" t="str">
        <f>IF(Table35[[#This Row],[Capacity1]]&lt;&gt;"-",Table35[[#This Row],[Location]]&amp;RIGHT(Table35[[#Headers],[Facility_2]],1)&amp;"F","-")</f>
        <v>H532F</v>
      </c>
      <c r="H60" s="6" t="str">
        <f t="shared" si="3"/>
        <v>TerHea</v>
      </c>
      <c r="I60" s="23">
        <f t="shared" si="4"/>
        <v>9999</v>
      </c>
      <c r="J60" s="5" t="str">
        <f>IF(Table35[[#This Row],[Capacity1]]*X60&gt;=$Y$5,Table35[[#This Row],[Location]]&amp;RIGHT(Table35[[#Headers],[Facility_3]],1)&amp;"F","-")</f>
        <v>H533F</v>
      </c>
      <c r="K60" s="2" t="str">
        <f t="shared" ref="K60" si="68">IF(J60="-","-","CHPpl_")</f>
        <v>CHPpl_</v>
      </c>
      <c r="L60" s="14">
        <f t="shared" si="11"/>
        <v>47329.168602908678</v>
      </c>
      <c r="V60" s="1">
        <v>118.02870800000002</v>
      </c>
      <c r="W60" s="1">
        <v>0.66583575721461574</v>
      </c>
      <c r="X60" s="1">
        <v>0.33416424278538426</v>
      </c>
    </row>
    <row r="61" spans="1:24" x14ac:dyDescent="0.25">
      <c r="A61" s="1" t="s">
        <v>178</v>
      </c>
      <c r="B61" s="1">
        <v>6582451.2161913197</v>
      </c>
      <c r="C61" s="1">
        <v>548039.13636567502</v>
      </c>
      <c r="D61" s="5" t="str">
        <f t="shared" si="0"/>
        <v>H1791F</v>
      </c>
      <c r="E61" s="6" t="str">
        <f t="shared" si="1"/>
        <v>Heatpl</v>
      </c>
      <c r="F61" s="14">
        <f t="shared" si="2"/>
        <v>126240</v>
      </c>
      <c r="G61" s="5" t="str">
        <f>IF(Table35[[#This Row],[Capacity1]]&lt;&gt;"-",Table35[[#This Row],[Location]]&amp;RIGHT(Table35[[#Headers],[Facility_2]],1)&amp;"F","-")</f>
        <v>H1792F</v>
      </c>
      <c r="H61" s="6" t="str">
        <f t="shared" si="3"/>
        <v>TerHea</v>
      </c>
      <c r="I61" s="23">
        <f t="shared" si="4"/>
        <v>9999</v>
      </c>
      <c r="J61" s="5" t="str">
        <f>IF(Table35[[#This Row],[Capacity1]]*X61&gt;=$Y$5,Table35[[#This Row],[Location]]&amp;RIGHT(Table35[[#Headers],[Facility_3]],1)&amp;"F","-")</f>
        <v>H1793F</v>
      </c>
      <c r="K61" s="2" t="str">
        <f t="shared" ref="K61" si="69">IF(J61="-","-","CHPpl_")</f>
        <v>CHPpl_</v>
      </c>
      <c r="L61" s="14">
        <f t="shared" si="11"/>
        <v>0</v>
      </c>
      <c r="V61" s="1">
        <v>105.2</v>
      </c>
      <c r="W61" s="1">
        <v>1</v>
      </c>
      <c r="X61" s="1">
        <v>0</v>
      </c>
    </row>
    <row r="62" spans="1:24" x14ac:dyDescent="0.25">
      <c r="A62" s="1" t="s">
        <v>155</v>
      </c>
      <c r="B62" s="1">
        <v>6611451.2513030497</v>
      </c>
      <c r="C62" s="1">
        <v>364318.97513904201</v>
      </c>
      <c r="D62" s="5" t="str">
        <f t="shared" si="0"/>
        <v>H1561F</v>
      </c>
      <c r="E62" s="6" t="str">
        <f t="shared" si="1"/>
        <v>Heatpl</v>
      </c>
      <c r="F62" s="14">
        <f t="shared" si="2"/>
        <v>120840</v>
      </c>
      <c r="G62" s="5" t="str">
        <f>IF(Table35[[#This Row],[Capacity1]]&lt;&gt;"-",Table35[[#This Row],[Location]]&amp;RIGHT(Table35[[#Headers],[Facility_2]],1)&amp;"F","-")</f>
        <v>H1562F</v>
      </c>
      <c r="H62" s="6" t="str">
        <f t="shared" si="3"/>
        <v>TerHea</v>
      </c>
      <c r="I62" s="23">
        <f t="shared" si="4"/>
        <v>9999</v>
      </c>
      <c r="J62" s="5" t="str">
        <f>IF(Table35[[#This Row],[Capacity1]]*X62&gt;=$Y$5,Table35[[#This Row],[Location]]&amp;RIGHT(Table35[[#Headers],[Facility_3]],1)&amp;"F","-")</f>
        <v>H1563F</v>
      </c>
      <c r="K62" s="2" t="str">
        <f t="shared" ref="K62" si="70">IF(J62="-","-","CHPpl_")</f>
        <v>CHPpl_</v>
      </c>
      <c r="L62" s="14">
        <f t="shared" si="11"/>
        <v>0</v>
      </c>
      <c r="V62" s="1">
        <v>100.7</v>
      </c>
      <c r="W62" s="1">
        <v>1</v>
      </c>
      <c r="X62" s="1">
        <v>0</v>
      </c>
    </row>
    <row r="63" spans="1:24" x14ac:dyDescent="0.25">
      <c r="A63" s="1" t="s">
        <v>187</v>
      </c>
      <c r="B63" s="1">
        <v>6572729.1151620001</v>
      </c>
      <c r="C63" s="1">
        <v>449311.39347196801</v>
      </c>
      <c r="D63" s="5" t="str">
        <f t="shared" si="0"/>
        <v>H1881F</v>
      </c>
      <c r="E63" s="6" t="str">
        <f t="shared" si="1"/>
        <v>Heatpl</v>
      </c>
      <c r="F63" s="14">
        <f t="shared" si="2"/>
        <v>120373.19999999998</v>
      </c>
      <c r="G63" s="5" t="str">
        <f>IF(Table35[[#This Row],[Capacity1]]&lt;&gt;"-",Table35[[#This Row],[Location]]&amp;RIGHT(Table35[[#Headers],[Facility_2]],1)&amp;"F","-")</f>
        <v>H1882F</v>
      </c>
      <c r="H63" s="6" t="str">
        <f t="shared" si="3"/>
        <v>TerHea</v>
      </c>
      <c r="I63" s="23">
        <f t="shared" si="4"/>
        <v>9999</v>
      </c>
      <c r="J63" s="5" t="str">
        <f>IF(Table35[[#This Row],[Capacity1]]*X63&gt;=$Y$5,Table35[[#This Row],[Location]]&amp;RIGHT(Table35[[#Headers],[Facility_3]],1)&amp;"F","-")</f>
        <v>H1883F</v>
      </c>
      <c r="K63" s="2" t="str">
        <f t="shared" ref="K63" si="71">IF(J63="-","-","CHPpl_")</f>
        <v>CHPpl_</v>
      </c>
      <c r="L63" s="14">
        <f t="shared" si="11"/>
        <v>0</v>
      </c>
      <c r="V63" s="1">
        <v>100.31099999999999</v>
      </c>
      <c r="W63" s="1">
        <v>1</v>
      </c>
      <c r="X63" s="1">
        <v>0</v>
      </c>
    </row>
    <row r="64" spans="1:24" x14ac:dyDescent="0.25">
      <c r="A64" s="1" t="s">
        <v>256</v>
      </c>
      <c r="B64" s="1">
        <v>6414195.3380078897</v>
      </c>
      <c r="C64" s="1">
        <v>320182.59453473199</v>
      </c>
      <c r="D64" s="5" t="str">
        <f t="shared" si="0"/>
        <v>H2571F</v>
      </c>
      <c r="E64" s="6" t="str">
        <f t="shared" si="1"/>
        <v>Heatpl</v>
      </c>
      <c r="F64" s="14">
        <f t="shared" si="2"/>
        <v>119759.99999999999</v>
      </c>
      <c r="G64" s="5" t="str">
        <f>IF(Table35[[#This Row],[Capacity1]]&lt;&gt;"-",Table35[[#This Row],[Location]]&amp;RIGHT(Table35[[#Headers],[Facility_2]],1)&amp;"F","-")</f>
        <v>H2572F</v>
      </c>
      <c r="H64" s="6" t="str">
        <f t="shared" si="3"/>
        <v>TerHea</v>
      </c>
      <c r="I64" s="23">
        <f t="shared" si="4"/>
        <v>9999</v>
      </c>
      <c r="J64" s="5" t="str">
        <f>IF(Table35[[#This Row],[Capacity1]]*X64&gt;=$Y$5,Table35[[#This Row],[Location]]&amp;RIGHT(Table35[[#Headers],[Facility_3]],1)&amp;"F","-")</f>
        <v>H2573F</v>
      </c>
      <c r="K64" s="2" t="str">
        <f t="shared" ref="K64" si="72">IF(J64="-","-","CHPpl_")</f>
        <v>CHPpl_</v>
      </c>
      <c r="L64" s="14">
        <f t="shared" si="11"/>
        <v>28189.397541106802</v>
      </c>
      <c r="V64" s="1">
        <v>99.8</v>
      </c>
      <c r="W64" s="1">
        <v>0.76461758900211418</v>
      </c>
      <c r="X64" s="1">
        <v>0.23538241099788582</v>
      </c>
    </row>
    <row r="65" spans="1:24" x14ac:dyDescent="0.25">
      <c r="A65" s="1" t="s">
        <v>342</v>
      </c>
      <c r="B65" s="1">
        <v>6221422.07753463</v>
      </c>
      <c r="C65" s="1">
        <v>423171.42182152101</v>
      </c>
      <c r="D65" s="5" t="str">
        <f t="shared" si="0"/>
        <v>H3431F</v>
      </c>
      <c r="E65" s="6" t="str">
        <f t="shared" si="1"/>
        <v>Heatpl</v>
      </c>
      <c r="F65" s="14">
        <f t="shared" si="2"/>
        <v>114960</v>
      </c>
      <c r="G65" s="5" t="str">
        <f>IF(Table35[[#This Row],[Capacity1]]&lt;&gt;"-",Table35[[#This Row],[Location]]&amp;RIGHT(Table35[[#Headers],[Facility_2]],1)&amp;"F","-")</f>
        <v>H3432F</v>
      </c>
      <c r="H65" s="6" t="str">
        <f t="shared" si="3"/>
        <v>TerHea</v>
      </c>
      <c r="I65" s="23">
        <f t="shared" si="4"/>
        <v>9999</v>
      </c>
      <c r="J65" s="5" t="str">
        <f>IF(Table35[[#This Row],[Capacity1]]*X65&gt;=$Y$5,Table35[[#This Row],[Location]]&amp;RIGHT(Table35[[#Headers],[Facility_3]],1)&amp;"F","-")</f>
        <v>H3433F</v>
      </c>
      <c r="K65" s="2" t="str">
        <f t="shared" ref="K65" si="73">IF(J65="-","-","CHPpl_")</f>
        <v>CHPpl_</v>
      </c>
      <c r="L65" s="14">
        <f t="shared" si="11"/>
        <v>0</v>
      </c>
      <c r="V65" s="1">
        <v>95.8</v>
      </c>
      <c r="W65" s="1">
        <v>1</v>
      </c>
      <c r="X65" s="1">
        <v>0</v>
      </c>
    </row>
    <row r="66" spans="1:24" x14ac:dyDescent="0.25">
      <c r="A66" s="1" t="s">
        <v>228</v>
      </c>
      <c r="B66" s="1">
        <v>6469257.7166812401</v>
      </c>
      <c r="C66" s="1">
        <v>408972.83531492401</v>
      </c>
      <c r="D66" s="5" t="str">
        <f t="shared" ref="D66:D129" si="74">$A66&amp;RIGHT(D$1,1)&amp;"F"</f>
        <v>H2291F</v>
      </c>
      <c r="E66" s="6" t="str">
        <f t="shared" ref="E66:E129" si="75">IF(D66="-","-","Heatpl")</f>
        <v>Heatpl</v>
      </c>
      <c r="F66" s="14">
        <f t="shared" ref="F66:F129" si="76">IF(1.2*1000*$V66&gt;=$Y$3,1.2*$V66*1000,"-")</f>
        <v>111600</v>
      </c>
      <c r="G66" s="5" t="str">
        <f>IF(Table35[[#This Row],[Capacity1]]&lt;&gt;"-",Table35[[#This Row],[Location]]&amp;RIGHT(Table35[[#Headers],[Facility_2]],1)&amp;"F","-")</f>
        <v>H2292F</v>
      </c>
      <c r="H66" s="6" t="str">
        <f t="shared" ref="H66:H129" si="77">IF(G66="-","-","TerHea")</f>
        <v>TerHea</v>
      </c>
      <c r="I66" s="23">
        <f t="shared" ref="I66:I129" si="78">IF(H66="-",0,9999)</f>
        <v>9999</v>
      </c>
      <c r="J66" s="5" t="str">
        <f>IF(Table35[[#This Row],[Capacity1]]*X66&gt;=$Y$5,Table35[[#This Row],[Location]]&amp;RIGHT(Table35[[#Headers],[Facility_3]],1)&amp;"F","-")</f>
        <v>H2293F</v>
      </c>
      <c r="K66" s="2" t="str">
        <f t="shared" ref="K66" si="79">IF(J66="-","-","CHPpl_")</f>
        <v>CHPpl_</v>
      </c>
      <c r="L66" s="14">
        <f t="shared" si="11"/>
        <v>0</v>
      </c>
      <c r="V66" s="1">
        <v>93</v>
      </c>
      <c r="W66" s="1">
        <v>1</v>
      </c>
      <c r="X66" s="1">
        <v>0</v>
      </c>
    </row>
    <row r="67" spans="1:24" x14ac:dyDescent="0.25">
      <c r="A67" s="1" t="s">
        <v>147</v>
      </c>
      <c r="B67" s="1">
        <v>6638186.9166061301</v>
      </c>
      <c r="C67" s="1">
        <v>648120.36922178103</v>
      </c>
      <c r="D67" s="5" t="str">
        <f t="shared" si="74"/>
        <v>H1481F</v>
      </c>
      <c r="E67" s="6" t="str">
        <f t="shared" si="75"/>
        <v>Heatpl</v>
      </c>
      <c r="F67" s="14">
        <f t="shared" si="76"/>
        <v>109576.80036000001</v>
      </c>
      <c r="G67" s="5" t="str">
        <f>IF(Table35[[#This Row],[Capacity1]]&lt;&gt;"-",Table35[[#This Row],[Location]]&amp;RIGHT(Table35[[#Headers],[Facility_2]],1)&amp;"F","-")</f>
        <v>H1482F</v>
      </c>
      <c r="H67" s="6" t="str">
        <f t="shared" si="77"/>
        <v>TerHea</v>
      </c>
      <c r="I67" s="23">
        <f t="shared" si="78"/>
        <v>9999</v>
      </c>
      <c r="J67" s="5" t="str">
        <f>IF(Table35[[#This Row],[Capacity1]]*X67&gt;=$Y$5,Table35[[#This Row],[Location]]&amp;RIGHT(Table35[[#Headers],[Facility_3]],1)&amp;"F","-")</f>
        <v>H1483F</v>
      </c>
      <c r="K67" s="2" t="str">
        <f t="shared" ref="K67" si="80">IF(J67="-","-","CHPpl_")</f>
        <v>CHPpl_</v>
      </c>
      <c r="L67" s="14">
        <f t="shared" ref="L67:L130" si="81">IF(K67="-","-",F67*X67)</f>
        <v>44789.470260513473</v>
      </c>
      <c r="V67" s="1">
        <v>91.314000300000004</v>
      </c>
      <c r="W67" s="1">
        <v>0.59125042788835203</v>
      </c>
      <c r="X67" s="1">
        <v>0.40874957211164797</v>
      </c>
    </row>
    <row r="68" spans="1:24" x14ac:dyDescent="0.25">
      <c r="A68" s="1" t="s">
        <v>136</v>
      </c>
      <c r="B68" s="1">
        <v>6664634.4130483801</v>
      </c>
      <c r="C68" s="1">
        <v>388648.04353927402</v>
      </c>
      <c r="D68" s="5" t="str">
        <f t="shared" si="74"/>
        <v>H1371F</v>
      </c>
      <c r="E68" s="6" t="str">
        <f t="shared" si="75"/>
        <v>Heatpl</v>
      </c>
      <c r="F68" s="14">
        <f t="shared" si="76"/>
        <v>105699.59999999999</v>
      </c>
      <c r="G68" s="5" t="str">
        <f>IF(Table35[[#This Row],[Capacity1]]&lt;&gt;"-",Table35[[#This Row],[Location]]&amp;RIGHT(Table35[[#Headers],[Facility_2]],1)&amp;"F","-")</f>
        <v>H1372F</v>
      </c>
      <c r="H68" s="6" t="str">
        <f t="shared" si="77"/>
        <v>TerHea</v>
      </c>
      <c r="I68" s="23">
        <f t="shared" si="78"/>
        <v>9999</v>
      </c>
      <c r="J68" s="5" t="str">
        <f>IF(Table35[[#This Row],[Capacity1]]*X68&gt;=$Y$5,Table35[[#This Row],[Location]]&amp;RIGHT(Table35[[#Headers],[Facility_3]],1)&amp;"F","-")</f>
        <v>H1373F</v>
      </c>
      <c r="K68" s="2" t="str">
        <f t="shared" ref="K68" si="82">IF(J68="-","-","CHPpl_")</f>
        <v>CHPpl_</v>
      </c>
      <c r="L68" s="14">
        <f t="shared" si="81"/>
        <v>0</v>
      </c>
      <c r="V68" s="1">
        <v>88.082999999999998</v>
      </c>
      <c r="W68" s="1">
        <v>1</v>
      </c>
      <c r="X68" s="1">
        <v>0</v>
      </c>
    </row>
    <row r="69" spans="1:24" x14ac:dyDescent="0.25">
      <c r="A69" s="1" t="s">
        <v>270</v>
      </c>
      <c r="B69" s="1">
        <v>6401950.7936748099</v>
      </c>
      <c r="C69" s="1">
        <v>597630.43629741098</v>
      </c>
      <c r="D69" s="5" t="str">
        <f t="shared" si="74"/>
        <v>H2711F</v>
      </c>
      <c r="E69" s="6" t="str">
        <f t="shared" si="75"/>
        <v>Heatpl</v>
      </c>
      <c r="F69" s="14">
        <f t="shared" si="76"/>
        <v>105199.2</v>
      </c>
      <c r="G69" s="5" t="str">
        <f>IF(Table35[[#This Row],[Capacity1]]&lt;&gt;"-",Table35[[#This Row],[Location]]&amp;RIGHT(Table35[[#Headers],[Facility_2]],1)&amp;"F","-")</f>
        <v>H2712F</v>
      </c>
      <c r="H69" s="6" t="str">
        <f t="shared" si="77"/>
        <v>TerHea</v>
      </c>
      <c r="I69" s="23">
        <f t="shared" si="78"/>
        <v>9999</v>
      </c>
      <c r="J69" s="5" t="str">
        <f>IF(Table35[[#This Row],[Capacity1]]*X69&gt;=$Y$5,Table35[[#This Row],[Location]]&amp;RIGHT(Table35[[#Headers],[Facility_3]],1)&amp;"F","-")</f>
        <v>H2713F</v>
      </c>
      <c r="K69" s="2" t="str">
        <f t="shared" ref="K69" si="83">IF(J69="-","-","CHPpl_")</f>
        <v>CHPpl_</v>
      </c>
      <c r="L69" s="14">
        <f t="shared" si="81"/>
        <v>0</v>
      </c>
      <c r="V69" s="1">
        <v>87.665999999999997</v>
      </c>
      <c r="W69" s="1">
        <v>1</v>
      </c>
      <c r="X69" s="1">
        <v>0</v>
      </c>
    </row>
    <row r="70" spans="1:24" x14ac:dyDescent="0.25">
      <c r="A70" s="1" t="s">
        <v>156</v>
      </c>
      <c r="B70" s="1">
        <v>6612180.9258937398</v>
      </c>
      <c r="C70" s="1">
        <v>617580.05346963799</v>
      </c>
      <c r="D70" s="5" t="str">
        <f t="shared" si="74"/>
        <v>H1571F</v>
      </c>
      <c r="E70" s="6" t="str">
        <f t="shared" si="75"/>
        <v>Heatpl</v>
      </c>
      <c r="F70" s="14">
        <f t="shared" si="76"/>
        <v>104399.99999999999</v>
      </c>
      <c r="G70" s="5" t="str">
        <f>IF(Table35[[#This Row],[Capacity1]]&lt;&gt;"-",Table35[[#This Row],[Location]]&amp;RIGHT(Table35[[#Headers],[Facility_2]],1)&amp;"F","-")</f>
        <v>H1572F</v>
      </c>
      <c r="H70" s="6" t="str">
        <f t="shared" si="77"/>
        <v>TerHea</v>
      </c>
      <c r="I70" s="23">
        <f t="shared" si="78"/>
        <v>9999</v>
      </c>
      <c r="J70" s="5" t="str">
        <f>IF(Table35[[#This Row],[Capacity1]]*X70&gt;=$Y$5,Table35[[#This Row],[Location]]&amp;RIGHT(Table35[[#Headers],[Facility_3]],1)&amp;"F","-")</f>
        <v>H1573F</v>
      </c>
      <c r="K70" s="2" t="str">
        <f t="shared" ref="K70" si="84">IF(J70="-","-","CHPpl_")</f>
        <v>CHPpl_</v>
      </c>
      <c r="L70" s="14">
        <f t="shared" si="81"/>
        <v>29935.815910161953</v>
      </c>
      <c r="V70" s="1">
        <v>87</v>
      </c>
      <c r="W70" s="1">
        <v>0.71325846829346784</v>
      </c>
      <c r="X70" s="1">
        <v>0.28674153170653216</v>
      </c>
    </row>
    <row r="71" spans="1:24" x14ac:dyDescent="0.25">
      <c r="A71" s="1" t="s">
        <v>215</v>
      </c>
      <c r="B71" s="1">
        <v>6494326.8668242795</v>
      </c>
      <c r="C71" s="1">
        <v>568914.189517722</v>
      </c>
      <c r="D71" s="5" t="str">
        <f t="shared" si="74"/>
        <v>H2161F</v>
      </c>
      <c r="E71" s="6" t="str">
        <f t="shared" si="75"/>
        <v>Heatpl</v>
      </c>
      <c r="F71" s="14">
        <f t="shared" si="76"/>
        <v>101160.00000000001</v>
      </c>
      <c r="G71" s="5" t="str">
        <f>IF(Table35[[#This Row],[Capacity1]]&lt;&gt;"-",Table35[[#This Row],[Location]]&amp;RIGHT(Table35[[#Headers],[Facility_2]],1)&amp;"F","-")</f>
        <v>H2162F</v>
      </c>
      <c r="H71" s="6" t="str">
        <f t="shared" si="77"/>
        <v>TerHea</v>
      </c>
      <c r="I71" s="23">
        <f t="shared" si="78"/>
        <v>9999</v>
      </c>
      <c r="J71" s="5" t="str">
        <f>IF(Table35[[#This Row],[Capacity1]]*X71&gt;=$Y$5,Table35[[#This Row],[Location]]&amp;RIGHT(Table35[[#Headers],[Facility_3]],1)&amp;"F","-")</f>
        <v>H2163F</v>
      </c>
      <c r="K71" s="2" t="str">
        <f t="shared" ref="K71" si="85">IF(J71="-","-","CHPpl_")</f>
        <v>CHPpl_</v>
      </c>
      <c r="L71" s="14">
        <f t="shared" si="81"/>
        <v>43138.888269415562</v>
      </c>
      <c r="V71" s="1">
        <v>84.300000000000011</v>
      </c>
      <c r="W71" s="1">
        <v>0.57355784628889328</v>
      </c>
      <c r="X71" s="1">
        <v>0.42644215371110672</v>
      </c>
    </row>
    <row r="72" spans="1:24" x14ac:dyDescent="0.25">
      <c r="A72" s="1" t="s">
        <v>144</v>
      </c>
      <c r="B72" s="1">
        <v>6648911.5233588396</v>
      </c>
      <c r="C72" s="1">
        <v>545536.30476547405</v>
      </c>
      <c r="D72" s="5" t="str">
        <f t="shared" si="74"/>
        <v>H1451F</v>
      </c>
      <c r="E72" s="6" t="str">
        <f t="shared" si="75"/>
        <v>Heatpl</v>
      </c>
      <c r="F72" s="14">
        <f t="shared" si="76"/>
        <v>99206.399999999994</v>
      </c>
      <c r="G72" s="5" t="str">
        <f>IF(Table35[[#This Row],[Capacity1]]&lt;&gt;"-",Table35[[#This Row],[Location]]&amp;RIGHT(Table35[[#Headers],[Facility_2]],1)&amp;"F","-")</f>
        <v>H1452F</v>
      </c>
      <c r="H72" s="6" t="str">
        <f t="shared" si="77"/>
        <v>TerHea</v>
      </c>
      <c r="I72" s="23">
        <f t="shared" si="78"/>
        <v>9999</v>
      </c>
      <c r="J72" s="5" t="str">
        <f>IF(Table35[[#This Row],[Capacity1]]*X72&gt;=$Y$5,Table35[[#This Row],[Location]]&amp;RIGHT(Table35[[#Headers],[Facility_3]],1)&amp;"F","-")</f>
        <v>H1453F</v>
      </c>
      <c r="K72" s="2" t="str">
        <f t="shared" ref="K72" si="86">IF(J72="-","-","CHPpl_")</f>
        <v>CHPpl_</v>
      </c>
      <c r="L72" s="14">
        <f t="shared" si="81"/>
        <v>0</v>
      </c>
      <c r="V72" s="1">
        <v>82.671999999999997</v>
      </c>
      <c r="W72" s="1">
        <v>1</v>
      </c>
      <c r="X72" s="1">
        <v>0</v>
      </c>
    </row>
    <row r="73" spans="1:24" x14ac:dyDescent="0.25">
      <c r="A73" s="1" t="s">
        <v>11</v>
      </c>
      <c r="B73" s="1">
        <v>6594491.4330000002</v>
      </c>
      <c r="C73" s="1">
        <v>672744.73</v>
      </c>
      <c r="D73" s="5" t="str">
        <f t="shared" si="74"/>
        <v>H121F</v>
      </c>
      <c r="E73" s="6" t="str">
        <f t="shared" si="75"/>
        <v>Heatpl</v>
      </c>
      <c r="F73" s="14">
        <f t="shared" si="76"/>
        <v>94440</v>
      </c>
      <c r="G73" s="5" t="str">
        <f>IF(Table35[[#This Row],[Capacity1]]&lt;&gt;"-",Table35[[#This Row],[Location]]&amp;RIGHT(Table35[[#Headers],[Facility_2]],1)&amp;"F","-")</f>
        <v>H122F</v>
      </c>
      <c r="H73" s="6" t="str">
        <f t="shared" si="77"/>
        <v>TerHea</v>
      </c>
      <c r="I73" s="23">
        <f t="shared" si="78"/>
        <v>9999</v>
      </c>
      <c r="J73" s="5" t="str">
        <f>IF(Table35[[#This Row],[Capacity1]]*X73&gt;=$Y$5,Table35[[#This Row],[Location]]&amp;RIGHT(Table35[[#Headers],[Facility_3]],1)&amp;"F","-")</f>
        <v>H123F</v>
      </c>
      <c r="K73" s="2" t="str">
        <f t="shared" ref="K73" si="87">IF(J73="-","-","CHPpl_")</f>
        <v>CHPpl_</v>
      </c>
      <c r="L73" s="14">
        <f t="shared" si="81"/>
        <v>0</v>
      </c>
      <c r="V73" s="1">
        <v>78.7</v>
      </c>
      <c r="W73" s="1">
        <v>1</v>
      </c>
      <c r="X73" s="1">
        <v>0</v>
      </c>
    </row>
    <row r="74" spans="1:24" x14ac:dyDescent="0.25">
      <c r="A74" s="1" t="s">
        <v>317</v>
      </c>
      <c r="B74" s="1">
        <v>6303994.9319403097</v>
      </c>
      <c r="C74" s="1">
        <v>472683.46364800801</v>
      </c>
      <c r="D74" s="5" t="str">
        <f t="shared" si="74"/>
        <v>H3181F</v>
      </c>
      <c r="E74" s="6" t="str">
        <f t="shared" si="75"/>
        <v>Heatpl</v>
      </c>
      <c r="F74" s="14">
        <f t="shared" si="76"/>
        <v>93600</v>
      </c>
      <c r="G74" s="5" t="str">
        <f>IF(Table35[[#This Row],[Capacity1]]&lt;&gt;"-",Table35[[#This Row],[Location]]&amp;RIGHT(Table35[[#Headers],[Facility_2]],1)&amp;"F","-")</f>
        <v>H3182F</v>
      </c>
      <c r="H74" s="6" t="str">
        <f t="shared" si="77"/>
        <v>TerHea</v>
      </c>
      <c r="I74" s="23">
        <f t="shared" si="78"/>
        <v>9999</v>
      </c>
      <c r="J74" s="5" t="str">
        <f>IF(Table35[[#This Row],[Capacity1]]*X74&gt;=$Y$5,Table35[[#This Row],[Location]]&amp;RIGHT(Table35[[#Headers],[Facility_3]],1)&amp;"F","-")</f>
        <v>H3183F</v>
      </c>
      <c r="K74" s="2" t="str">
        <f t="shared" ref="K74" si="88">IF(J74="-","-","CHPpl_")</f>
        <v>CHPpl_</v>
      </c>
      <c r="L74" s="14">
        <f t="shared" si="81"/>
        <v>0</v>
      </c>
      <c r="V74" s="1">
        <v>78</v>
      </c>
      <c r="W74" s="1">
        <v>1</v>
      </c>
      <c r="X74" s="1">
        <v>0</v>
      </c>
    </row>
    <row r="75" spans="1:24" x14ac:dyDescent="0.25">
      <c r="A75" s="1" t="s">
        <v>153</v>
      </c>
      <c r="B75" s="1">
        <v>6623813.0982177798</v>
      </c>
      <c r="C75" s="1">
        <v>656788.65622894198</v>
      </c>
      <c r="D75" s="5" t="str">
        <f t="shared" si="74"/>
        <v>H1541F</v>
      </c>
      <c r="E75" s="6" t="str">
        <f t="shared" si="75"/>
        <v>Heatpl</v>
      </c>
      <c r="F75" s="14">
        <f t="shared" si="76"/>
        <v>92508</v>
      </c>
      <c r="G75" s="5" t="str">
        <f>IF(Table35[[#This Row],[Capacity1]]&lt;&gt;"-",Table35[[#This Row],[Location]]&amp;RIGHT(Table35[[#Headers],[Facility_2]],1)&amp;"F","-")</f>
        <v>H1542F</v>
      </c>
      <c r="H75" s="6" t="str">
        <f t="shared" si="77"/>
        <v>TerHea</v>
      </c>
      <c r="I75" s="23">
        <f t="shared" si="78"/>
        <v>9999</v>
      </c>
      <c r="J75" s="5" t="str">
        <f>IF(Table35[[#This Row],[Capacity1]]*X75&gt;=$Y$5,Table35[[#This Row],[Location]]&amp;RIGHT(Table35[[#Headers],[Facility_3]],1)&amp;"F","-")</f>
        <v>H1543F</v>
      </c>
      <c r="K75" s="2" t="str">
        <f t="shared" ref="K75" si="89">IF(J75="-","-","CHPpl_")</f>
        <v>CHPpl_</v>
      </c>
      <c r="L75" s="14">
        <f t="shared" si="81"/>
        <v>0</v>
      </c>
      <c r="V75" s="1">
        <v>77.09</v>
      </c>
      <c r="W75" s="1">
        <v>1</v>
      </c>
      <c r="X75" s="1">
        <v>0</v>
      </c>
    </row>
    <row r="76" spans="1:24" x14ac:dyDescent="0.25">
      <c r="A76" s="1" t="s">
        <v>72</v>
      </c>
      <c r="B76" s="1">
        <v>7079590.11681074</v>
      </c>
      <c r="C76" s="1">
        <v>529967.46783154097</v>
      </c>
      <c r="D76" s="5" t="str">
        <f t="shared" si="74"/>
        <v>H731F</v>
      </c>
      <c r="E76" s="6" t="str">
        <f t="shared" si="75"/>
        <v>Heatpl</v>
      </c>
      <c r="F76" s="14">
        <f t="shared" si="76"/>
        <v>91440</v>
      </c>
      <c r="G76" s="5" t="str">
        <f>IF(Table35[[#This Row],[Capacity1]]&lt;&gt;"-",Table35[[#This Row],[Location]]&amp;RIGHT(Table35[[#Headers],[Facility_2]],1)&amp;"F","-")</f>
        <v>H732F</v>
      </c>
      <c r="H76" s="6" t="str">
        <f t="shared" si="77"/>
        <v>TerHea</v>
      </c>
      <c r="I76" s="23">
        <f t="shared" si="78"/>
        <v>9999</v>
      </c>
      <c r="J76" s="5" t="str">
        <f>IF(Table35[[#This Row],[Capacity1]]*X76&gt;=$Y$5,Table35[[#This Row],[Location]]&amp;RIGHT(Table35[[#Headers],[Facility_3]],1)&amp;"F","-")</f>
        <v>H733F</v>
      </c>
      <c r="K76" s="2" t="str">
        <f t="shared" ref="K76" si="90">IF(J76="-","-","CHPpl_")</f>
        <v>CHPpl_</v>
      </c>
      <c r="L76" s="14">
        <f t="shared" si="81"/>
        <v>0</v>
      </c>
      <c r="V76" s="1">
        <v>76.2</v>
      </c>
      <c r="W76" s="1">
        <v>1</v>
      </c>
      <c r="X76" s="1">
        <v>0</v>
      </c>
    </row>
    <row r="77" spans="1:24" x14ac:dyDescent="0.25">
      <c r="A77" s="1" t="s">
        <v>101</v>
      </c>
      <c r="B77" s="1">
        <v>6854073.6633401401</v>
      </c>
      <c r="C77" s="1">
        <v>557759.26579993102</v>
      </c>
      <c r="D77" s="5" t="str">
        <f t="shared" si="74"/>
        <v>H1021F</v>
      </c>
      <c r="E77" s="6" t="str">
        <f t="shared" si="75"/>
        <v>Heatpl</v>
      </c>
      <c r="F77" s="14">
        <f t="shared" si="76"/>
        <v>88079.999999999985</v>
      </c>
      <c r="G77" s="5" t="str">
        <f>IF(Table35[[#This Row],[Capacity1]]&lt;&gt;"-",Table35[[#This Row],[Location]]&amp;RIGHT(Table35[[#Headers],[Facility_2]],1)&amp;"F","-")</f>
        <v>H1022F</v>
      </c>
      <c r="H77" s="6" t="str">
        <f t="shared" si="77"/>
        <v>TerHea</v>
      </c>
      <c r="I77" s="23">
        <f t="shared" si="78"/>
        <v>9999</v>
      </c>
      <c r="J77" s="5" t="str">
        <f>IF(Table35[[#This Row],[Capacity1]]*X77&gt;=$Y$5,Table35[[#This Row],[Location]]&amp;RIGHT(Table35[[#Headers],[Facility_3]],1)&amp;"F","-")</f>
        <v>H1023F</v>
      </c>
      <c r="K77" s="2" t="str">
        <f t="shared" ref="K77" si="91">IF(J77="-","-","CHPpl_")</f>
        <v>CHPpl_</v>
      </c>
      <c r="L77" s="14">
        <f t="shared" si="81"/>
        <v>0</v>
      </c>
      <c r="V77" s="1">
        <v>73.399999999999991</v>
      </c>
      <c r="W77" s="1">
        <v>1</v>
      </c>
      <c r="X77" s="1">
        <v>0</v>
      </c>
    </row>
    <row r="78" spans="1:24" x14ac:dyDescent="0.25">
      <c r="A78" s="1" t="s">
        <v>316</v>
      </c>
      <c r="B78" s="1">
        <v>6305569.94905023</v>
      </c>
      <c r="C78" s="1">
        <v>347111.46899296099</v>
      </c>
      <c r="D78" s="5" t="str">
        <f t="shared" si="74"/>
        <v>H3171F</v>
      </c>
      <c r="E78" s="6" t="str">
        <f t="shared" si="75"/>
        <v>Heatpl</v>
      </c>
      <c r="F78" s="14">
        <f t="shared" si="76"/>
        <v>85886.399999999994</v>
      </c>
      <c r="G78" s="5" t="str">
        <f>IF(Table35[[#This Row],[Capacity1]]&lt;&gt;"-",Table35[[#This Row],[Location]]&amp;RIGHT(Table35[[#Headers],[Facility_2]],1)&amp;"F","-")</f>
        <v>H3172F</v>
      </c>
      <c r="H78" s="6" t="str">
        <f t="shared" si="77"/>
        <v>TerHea</v>
      </c>
      <c r="I78" s="23">
        <f t="shared" si="78"/>
        <v>9999</v>
      </c>
      <c r="J78" s="5" t="str">
        <f>IF(Table35[[#This Row],[Capacity1]]*X78&gt;=$Y$5,Table35[[#This Row],[Location]]&amp;RIGHT(Table35[[#Headers],[Facility_3]],1)&amp;"F","-")</f>
        <v>H3173F</v>
      </c>
      <c r="K78" s="2" t="str">
        <f t="shared" ref="K78" si="92">IF(J78="-","-","CHPpl_")</f>
        <v>CHPpl_</v>
      </c>
      <c r="L78" s="14">
        <f t="shared" si="81"/>
        <v>0</v>
      </c>
      <c r="V78" s="1">
        <v>71.572000000000003</v>
      </c>
      <c r="W78" s="1">
        <v>1</v>
      </c>
      <c r="X78" s="1">
        <v>0</v>
      </c>
    </row>
    <row r="79" spans="1:24" x14ac:dyDescent="0.25">
      <c r="A79" s="1" t="s">
        <v>131</v>
      </c>
      <c r="B79" s="1">
        <v>6681433.9039958296</v>
      </c>
      <c r="C79" s="1">
        <v>554152.73182229802</v>
      </c>
      <c r="D79" s="5" t="str">
        <f t="shared" si="74"/>
        <v>H1321F</v>
      </c>
      <c r="E79" s="6" t="str">
        <f t="shared" si="75"/>
        <v>Heatpl</v>
      </c>
      <c r="F79" s="14">
        <f t="shared" si="76"/>
        <v>85800.12000000001</v>
      </c>
      <c r="G79" s="5" t="str">
        <f>IF(Table35[[#This Row],[Capacity1]]&lt;&gt;"-",Table35[[#This Row],[Location]]&amp;RIGHT(Table35[[#Headers],[Facility_2]],1)&amp;"F","-")</f>
        <v>H1322F</v>
      </c>
      <c r="H79" s="6" t="str">
        <f t="shared" si="77"/>
        <v>TerHea</v>
      </c>
      <c r="I79" s="23">
        <f t="shared" si="78"/>
        <v>9999</v>
      </c>
      <c r="J79" s="5" t="str">
        <f>IF(Table35[[#This Row],[Capacity1]]*X79&gt;=$Y$5,Table35[[#This Row],[Location]]&amp;RIGHT(Table35[[#Headers],[Facility_3]],1)&amp;"F","-")</f>
        <v>H1323F</v>
      </c>
      <c r="K79" s="2" t="str">
        <f t="shared" ref="K79" si="93">IF(J79="-","-","CHPpl_")</f>
        <v>CHPpl_</v>
      </c>
      <c r="L79" s="14">
        <f t="shared" si="81"/>
        <v>15000.510202947931</v>
      </c>
      <c r="V79" s="1">
        <v>71.500100000000003</v>
      </c>
      <c r="W79" s="1">
        <v>0.82516912327222935</v>
      </c>
      <c r="X79" s="1">
        <v>0.17483087672777065</v>
      </c>
    </row>
    <row r="80" spans="1:24" x14ac:dyDescent="0.25">
      <c r="A80" s="1" t="s">
        <v>209</v>
      </c>
      <c r="B80" s="1">
        <v>6514490.23109926</v>
      </c>
      <c r="C80" s="1">
        <v>617018.51149125304</v>
      </c>
      <c r="D80" s="5" t="str">
        <f t="shared" si="74"/>
        <v>H2101F</v>
      </c>
      <c r="E80" s="6" t="str">
        <f t="shared" si="75"/>
        <v>Heatpl</v>
      </c>
      <c r="F80" s="14">
        <f t="shared" si="76"/>
        <v>84951.599999999991</v>
      </c>
      <c r="G80" s="5" t="str">
        <f>IF(Table35[[#This Row],[Capacity1]]&lt;&gt;"-",Table35[[#This Row],[Location]]&amp;RIGHT(Table35[[#Headers],[Facility_2]],1)&amp;"F","-")</f>
        <v>H2102F</v>
      </c>
      <c r="H80" s="6" t="str">
        <f t="shared" si="77"/>
        <v>TerHea</v>
      </c>
      <c r="I80" s="23">
        <f t="shared" si="78"/>
        <v>9999</v>
      </c>
      <c r="J80" s="5" t="str">
        <f>IF(Table35[[#This Row],[Capacity1]]*X80&gt;=$Y$5,Table35[[#This Row],[Location]]&amp;RIGHT(Table35[[#Headers],[Facility_3]],1)&amp;"F","-")</f>
        <v>H2103F</v>
      </c>
      <c r="K80" s="2" t="str">
        <f t="shared" ref="K80" si="94">IF(J80="-","-","CHPpl_")</f>
        <v>CHPpl_</v>
      </c>
      <c r="L80" s="14">
        <f t="shared" si="81"/>
        <v>17702.029946605646</v>
      </c>
      <c r="V80" s="1">
        <v>70.792999999999992</v>
      </c>
      <c r="W80" s="1">
        <v>0.7916221713704551</v>
      </c>
      <c r="X80" s="1">
        <v>0.2083778286295449</v>
      </c>
    </row>
    <row r="81" spans="1:24" x14ac:dyDescent="0.25">
      <c r="A81" s="1" t="s">
        <v>122</v>
      </c>
      <c r="B81" s="1">
        <v>6711958.3935811296</v>
      </c>
      <c r="C81" s="1">
        <v>570757.32503488101</v>
      </c>
      <c r="D81" s="5" t="str">
        <f t="shared" si="74"/>
        <v>H1231F</v>
      </c>
      <c r="E81" s="6" t="str">
        <f t="shared" si="75"/>
        <v>Heatpl</v>
      </c>
      <c r="F81" s="14">
        <f t="shared" si="76"/>
        <v>84049.176000000007</v>
      </c>
      <c r="G81" s="5" t="str">
        <f>IF(Table35[[#This Row],[Capacity1]]&lt;&gt;"-",Table35[[#This Row],[Location]]&amp;RIGHT(Table35[[#Headers],[Facility_2]],1)&amp;"F","-")</f>
        <v>H1232F</v>
      </c>
      <c r="H81" s="6" t="str">
        <f t="shared" si="77"/>
        <v>TerHea</v>
      </c>
      <c r="I81" s="23">
        <f t="shared" si="78"/>
        <v>9999</v>
      </c>
      <c r="J81" s="5" t="str">
        <f>IF(Table35[[#This Row],[Capacity1]]*X81&gt;=$Y$5,Table35[[#This Row],[Location]]&amp;RIGHT(Table35[[#Headers],[Facility_3]],1)&amp;"F","-")</f>
        <v>H1233F</v>
      </c>
      <c r="K81" s="2" t="str">
        <f t="shared" ref="K81" si="95">IF(J81="-","-","CHPpl_")</f>
        <v>CHPpl_</v>
      </c>
      <c r="L81" s="14">
        <f t="shared" si="81"/>
        <v>0</v>
      </c>
      <c r="V81" s="1">
        <v>70.040980000000005</v>
      </c>
      <c r="W81" s="1">
        <v>1</v>
      </c>
      <c r="X81" s="1">
        <v>0</v>
      </c>
    </row>
    <row r="82" spans="1:24" x14ac:dyDescent="0.25">
      <c r="A82" s="1" t="s">
        <v>322</v>
      </c>
      <c r="B82" s="1">
        <v>6287735.79245626</v>
      </c>
      <c r="C82" s="1">
        <v>555460.11254990404</v>
      </c>
      <c r="D82" s="5" t="str">
        <f t="shared" si="74"/>
        <v>H3231F</v>
      </c>
      <c r="E82" s="6" t="str">
        <f t="shared" si="75"/>
        <v>Heatpl</v>
      </c>
      <c r="F82" s="14">
        <f t="shared" si="76"/>
        <v>84000</v>
      </c>
      <c r="G82" s="5" t="str">
        <f>IF(Table35[[#This Row],[Capacity1]]&lt;&gt;"-",Table35[[#This Row],[Location]]&amp;RIGHT(Table35[[#Headers],[Facility_2]],1)&amp;"F","-")</f>
        <v>H3232F</v>
      </c>
      <c r="H82" s="6" t="str">
        <f t="shared" si="77"/>
        <v>TerHea</v>
      </c>
      <c r="I82" s="23">
        <f t="shared" si="78"/>
        <v>9999</v>
      </c>
      <c r="J82" s="5" t="str">
        <f>IF(Table35[[#This Row],[Capacity1]]*X82&gt;=$Y$5,Table35[[#This Row],[Location]]&amp;RIGHT(Table35[[#Headers],[Facility_3]],1)&amp;"F","-")</f>
        <v>H3233F</v>
      </c>
      <c r="K82" s="2" t="str">
        <f t="shared" ref="K82" si="96">IF(J82="-","-","CHPpl_")</f>
        <v>CHPpl_</v>
      </c>
      <c r="L82" s="14">
        <f t="shared" si="81"/>
        <v>27246.450764989077</v>
      </c>
      <c r="V82" s="1">
        <v>70</v>
      </c>
      <c r="W82" s="1">
        <v>0.67563749089298719</v>
      </c>
      <c r="X82" s="1">
        <v>0.32436250910701281</v>
      </c>
    </row>
    <row r="83" spans="1:24" x14ac:dyDescent="0.25">
      <c r="A83" s="1" t="s">
        <v>159</v>
      </c>
      <c r="B83" s="1">
        <v>6608111.97583206</v>
      </c>
      <c r="C83" s="1">
        <v>687916.32336416002</v>
      </c>
      <c r="D83" s="5" t="str">
        <f t="shared" si="74"/>
        <v>H1601F</v>
      </c>
      <c r="E83" s="6" t="str">
        <f t="shared" si="75"/>
        <v>Heatpl</v>
      </c>
      <c r="F83" s="14">
        <f t="shared" si="76"/>
        <v>83759.999999999985</v>
      </c>
      <c r="G83" s="5" t="str">
        <f>IF(Table35[[#This Row],[Capacity1]]&lt;&gt;"-",Table35[[#This Row],[Location]]&amp;RIGHT(Table35[[#Headers],[Facility_2]],1)&amp;"F","-")</f>
        <v>H1602F</v>
      </c>
      <c r="H83" s="6" t="str">
        <f t="shared" si="77"/>
        <v>TerHea</v>
      </c>
      <c r="I83" s="23">
        <f t="shared" si="78"/>
        <v>9999</v>
      </c>
      <c r="J83" s="5" t="str">
        <f>IF(Table35[[#This Row],[Capacity1]]*X83&gt;=$Y$5,Table35[[#This Row],[Location]]&amp;RIGHT(Table35[[#Headers],[Facility_3]],1)&amp;"F","-")</f>
        <v>H1603F</v>
      </c>
      <c r="K83" s="2" t="str">
        <f t="shared" ref="K83" si="97">IF(J83="-","-","CHPpl_")</f>
        <v>CHPpl_</v>
      </c>
      <c r="L83" s="14">
        <f t="shared" si="81"/>
        <v>0</v>
      </c>
      <c r="V83" s="1">
        <v>69.8</v>
      </c>
      <c r="W83" s="1">
        <v>1</v>
      </c>
      <c r="X83" s="1">
        <v>0</v>
      </c>
    </row>
    <row r="84" spans="1:24" x14ac:dyDescent="0.25">
      <c r="A84" s="1" t="s">
        <v>225</v>
      </c>
      <c r="B84" s="1">
        <v>6475349.2023807801</v>
      </c>
      <c r="C84" s="1">
        <v>450013.61398812197</v>
      </c>
      <c r="D84" s="5" t="str">
        <f t="shared" si="74"/>
        <v>H2261F</v>
      </c>
      <c r="E84" s="6" t="str">
        <f t="shared" si="75"/>
        <v>Heatpl</v>
      </c>
      <c r="F84" s="14">
        <f t="shared" si="76"/>
        <v>83279.999999999985</v>
      </c>
      <c r="G84" s="5" t="str">
        <f>IF(Table35[[#This Row],[Capacity1]]&lt;&gt;"-",Table35[[#This Row],[Location]]&amp;RIGHT(Table35[[#Headers],[Facility_2]],1)&amp;"F","-")</f>
        <v>H2262F</v>
      </c>
      <c r="H84" s="6" t="str">
        <f t="shared" si="77"/>
        <v>TerHea</v>
      </c>
      <c r="I84" s="23">
        <f t="shared" si="78"/>
        <v>9999</v>
      </c>
      <c r="J84" s="5" t="str">
        <f>IF(Table35[[#This Row],[Capacity1]]*X84&gt;=$Y$5,Table35[[#This Row],[Location]]&amp;RIGHT(Table35[[#Headers],[Facility_3]],1)&amp;"F","-")</f>
        <v>H2263F</v>
      </c>
      <c r="K84" s="2" t="str">
        <f t="shared" ref="K84" si="98">IF(J84="-","-","CHPpl_")</f>
        <v>CHPpl_</v>
      </c>
      <c r="L84" s="14">
        <f t="shared" si="81"/>
        <v>0</v>
      </c>
      <c r="V84" s="1">
        <v>69.399999999999991</v>
      </c>
      <c r="W84" s="1">
        <v>1</v>
      </c>
      <c r="X84" s="1">
        <v>0</v>
      </c>
    </row>
    <row r="85" spans="1:24" x14ac:dyDescent="0.25">
      <c r="A85" s="1" t="s">
        <v>84</v>
      </c>
      <c r="B85" s="1">
        <v>7005141.6711281398</v>
      </c>
      <c r="C85" s="1">
        <v>614504.20641886396</v>
      </c>
      <c r="D85" s="5" t="str">
        <f t="shared" si="74"/>
        <v>H851F</v>
      </c>
      <c r="E85" s="6" t="str">
        <f t="shared" si="75"/>
        <v>Heatpl</v>
      </c>
      <c r="F85" s="14">
        <f t="shared" si="76"/>
        <v>82320</v>
      </c>
      <c r="G85" s="5" t="str">
        <f>IF(Table35[[#This Row],[Capacity1]]&lt;&gt;"-",Table35[[#This Row],[Location]]&amp;RIGHT(Table35[[#Headers],[Facility_2]],1)&amp;"F","-")</f>
        <v>H852F</v>
      </c>
      <c r="H85" s="6" t="str">
        <f t="shared" si="77"/>
        <v>TerHea</v>
      </c>
      <c r="I85" s="23">
        <f t="shared" si="78"/>
        <v>9999</v>
      </c>
      <c r="J85" s="5" t="str">
        <f>IF(Table35[[#This Row],[Capacity1]]*X85&gt;=$Y$5,Table35[[#This Row],[Location]]&amp;RIGHT(Table35[[#Headers],[Facility_3]],1)&amp;"F","-")</f>
        <v>H853F</v>
      </c>
      <c r="K85" s="2" t="str">
        <f t="shared" ref="K85" si="99">IF(J85="-","-","CHPpl_")</f>
        <v>CHPpl_</v>
      </c>
      <c r="L85" s="14">
        <f t="shared" si="81"/>
        <v>0</v>
      </c>
      <c r="V85" s="1">
        <v>68.599999999999994</v>
      </c>
      <c r="W85" s="1">
        <v>1</v>
      </c>
      <c r="X85" s="1">
        <v>0</v>
      </c>
    </row>
    <row r="86" spans="1:24" x14ac:dyDescent="0.25">
      <c r="A86" s="1" t="s">
        <v>113</v>
      </c>
      <c r="B86" s="1">
        <v>6760757.82706038</v>
      </c>
      <c r="C86" s="1">
        <v>475228.300052704</v>
      </c>
      <c r="D86" s="5" t="str">
        <f t="shared" si="74"/>
        <v>H1141F</v>
      </c>
      <c r="E86" s="6" t="str">
        <f t="shared" si="75"/>
        <v>Heatpl</v>
      </c>
      <c r="F86" s="14">
        <f t="shared" si="76"/>
        <v>81769.2</v>
      </c>
      <c r="G86" s="5" t="str">
        <f>IF(Table35[[#This Row],[Capacity1]]&lt;&gt;"-",Table35[[#This Row],[Location]]&amp;RIGHT(Table35[[#Headers],[Facility_2]],1)&amp;"F","-")</f>
        <v>H1142F</v>
      </c>
      <c r="H86" s="6" t="str">
        <f t="shared" si="77"/>
        <v>TerHea</v>
      </c>
      <c r="I86" s="23">
        <f t="shared" si="78"/>
        <v>9999</v>
      </c>
      <c r="J86" s="5" t="str">
        <f>IF(Table35[[#This Row],[Capacity1]]*X86&gt;=$Y$5,Table35[[#This Row],[Location]]&amp;RIGHT(Table35[[#Headers],[Facility_3]],1)&amp;"F","-")</f>
        <v>H1143F</v>
      </c>
      <c r="K86" s="2" t="str">
        <f t="shared" ref="K86" si="100">IF(J86="-","-","CHPpl_")</f>
        <v>CHPpl_</v>
      </c>
      <c r="L86" s="14">
        <f t="shared" si="81"/>
        <v>0</v>
      </c>
      <c r="V86" s="1">
        <v>68.141000000000005</v>
      </c>
      <c r="W86" s="1">
        <v>1</v>
      </c>
      <c r="X86" s="1">
        <v>0</v>
      </c>
    </row>
    <row r="87" spans="1:24" x14ac:dyDescent="0.25">
      <c r="A87" s="1" t="s">
        <v>77</v>
      </c>
      <c r="B87" s="1">
        <v>7027605.24470188</v>
      </c>
      <c r="C87" s="1">
        <v>404332.631066042</v>
      </c>
      <c r="D87" s="5" t="str">
        <f t="shared" si="74"/>
        <v>H781F</v>
      </c>
      <c r="E87" s="6" t="str">
        <f t="shared" si="75"/>
        <v>Heatpl</v>
      </c>
      <c r="F87" s="14">
        <f t="shared" si="76"/>
        <v>81600</v>
      </c>
      <c r="G87" s="5" t="str">
        <f>IF(Table35[[#This Row],[Capacity1]]&lt;&gt;"-",Table35[[#This Row],[Location]]&amp;RIGHT(Table35[[#Headers],[Facility_2]],1)&amp;"F","-")</f>
        <v>H782F</v>
      </c>
      <c r="H87" s="6" t="str">
        <f t="shared" si="77"/>
        <v>TerHea</v>
      </c>
      <c r="I87" s="23">
        <f t="shared" si="78"/>
        <v>9999</v>
      </c>
      <c r="J87" s="5" t="str">
        <f>IF(Table35[[#This Row],[Capacity1]]*X87&gt;=$Y$5,Table35[[#This Row],[Location]]&amp;RIGHT(Table35[[#Headers],[Facility_3]],1)&amp;"F","-")</f>
        <v>H783F</v>
      </c>
      <c r="K87" s="2" t="str">
        <f t="shared" ref="K87" si="101">IF(J87="-","-","CHPpl_")</f>
        <v>CHPpl_</v>
      </c>
      <c r="L87" s="14">
        <f t="shared" si="81"/>
        <v>0</v>
      </c>
      <c r="V87" s="1">
        <v>68</v>
      </c>
      <c r="W87" s="1">
        <v>1</v>
      </c>
      <c r="X87" s="1">
        <v>0</v>
      </c>
    </row>
    <row r="88" spans="1:24" x14ac:dyDescent="0.25">
      <c r="A88" s="1" t="s">
        <v>278</v>
      </c>
      <c r="B88" s="1">
        <v>6390244.9749262398</v>
      </c>
      <c r="C88" s="1">
        <v>322019.97547272302</v>
      </c>
      <c r="D88" s="5" t="str">
        <f t="shared" si="74"/>
        <v>H2791F</v>
      </c>
      <c r="E88" s="6" t="str">
        <f t="shared" si="75"/>
        <v>Heatpl</v>
      </c>
      <c r="F88" s="14">
        <f t="shared" si="76"/>
        <v>78601.200000000012</v>
      </c>
      <c r="G88" s="5" t="str">
        <f>IF(Table35[[#This Row],[Capacity1]]&lt;&gt;"-",Table35[[#This Row],[Location]]&amp;RIGHT(Table35[[#Headers],[Facility_2]],1)&amp;"F","-")</f>
        <v>H2792F</v>
      </c>
      <c r="H88" s="6" t="str">
        <f t="shared" si="77"/>
        <v>TerHea</v>
      </c>
      <c r="I88" s="23">
        <f t="shared" si="78"/>
        <v>9999</v>
      </c>
      <c r="J88" s="5" t="str">
        <f>IF(Table35[[#This Row],[Capacity1]]*X88&gt;=$Y$5,Table35[[#This Row],[Location]]&amp;RIGHT(Table35[[#Headers],[Facility_3]],1)&amp;"F","-")</f>
        <v>H2793F</v>
      </c>
      <c r="K88" s="2" t="str">
        <f t="shared" ref="K88" si="102">IF(J88="-","-","CHPpl_")</f>
        <v>CHPpl_</v>
      </c>
      <c r="L88" s="14">
        <f t="shared" si="81"/>
        <v>42340.393591646069</v>
      </c>
      <c r="V88" s="1">
        <v>65.501000000000005</v>
      </c>
      <c r="W88" s="1">
        <v>0.46132637171384072</v>
      </c>
      <c r="X88" s="1">
        <v>0.53867362828615928</v>
      </c>
    </row>
    <row r="89" spans="1:24" x14ac:dyDescent="0.25">
      <c r="A89" s="1" t="s">
        <v>327</v>
      </c>
      <c r="B89" s="1">
        <v>6265690.23511016</v>
      </c>
      <c r="C89" s="1">
        <v>446717.06497844099</v>
      </c>
      <c r="D89" s="5" t="str">
        <f t="shared" si="74"/>
        <v>H3281F</v>
      </c>
      <c r="E89" s="6" t="str">
        <f t="shared" si="75"/>
        <v>Heatpl</v>
      </c>
      <c r="F89" s="14">
        <f t="shared" si="76"/>
        <v>78540</v>
      </c>
      <c r="G89" s="5" t="str">
        <f>IF(Table35[[#This Row],[Capacity1]]&lt;&gt;"-",Table35[[#This Row],[Location]]&amp;RIGHT(Table35[[#Headers],[Facility_2]],1)&amp;"F","-")</f>
        <v>H3282F</v>
      </c>
      <c r="H89" s="6" t="str">
        <f t="shared" si="77"/>
        <v>TerHea</v>
      </c>
      <c r="I89" s="23">
        <f t="shared" si="78"/>
        <v>9999</v>
      </c>
      <c r="J89" s="5" t="str">
        <f>IF(Table35[[#This Row],[Capacity1]]*X89&gt;=$Y$5,Table35[[#This Row],[Location]]&amp;RIGHT(Table35[[#Headers],[Facility_3]],1)&amp;"F","-")</f>
        <v>H3283F</v>
      </c>
      <c r="K89" s="2" t="str">
        <f t="shared" ref="K89" si="103">IF(J89="-","-","CHPpl_")</f>
        <v>CHPpl_</v>
      </c>
      <c r="L89" s="14">
        <f t="shared" si="81"/>
        <v>0</v>
      </c>
      <c r="V89" s="1">
        <v>65.45</v>
      </c>
      <c r="W89" s="1">
        <v>1</v>
      </c>
      <c r="X89" s="1">
        <v>0</v>
      </c>
    </row>
    <row r="90" spans="1:24" x14ac:dyDescent="0.25">
      <c r="A90" s="1" t="s">
        <v>128</v>
      </c>
      <c r="B90" s="1">
        <v>6691845.8553862302</v>
      </c>
      <c r="C90" s="1">
        <v>638746.24942327302</v>
      </c>
      <c r="D90" s="5" t="str">
        <f t="shared" si="74"/>
        <v>H1291F</v>
      </c>
      <c r="E90" s="6" t="str">
        <f t="shared" si="75"/>
        <v>Heatpl</v>
      </c>
      <c r="F90" s="14">
        <f t="shared" si="76"/>
        <v>78360</v>
      </c>
      <c r="G90" s="5" t="str">
        <f>IF(Table35[[#This Row],[Capacity1]]&lt;&gt;"-",Table35[[#This Row],[Location]]&amp;RIGHT(Table35[[#Headers],[Facility_2]],1)&amp;"F","-")</f>
        <v>H1292F</v>
      </c>
      <c r="H90" s="6" t="str">
        <f t="shared" si="77"/>
        <v>TerHea</v>
      </c>
      <c r="I90" s="23">
        <f t="shared" si="78"/>
        <v>9999</v>
      </c>
      <c r="J90" s="5" t="str">
        <f>IF(Table35[[#This Row],[Capacity1]]*X90&gt;=$Y$5,Table35[[#This Row],[Location]]&amp;RIGHT(Table35[[#Headers],[Facility_3]],1)&amp;"F","-")</f>
        <v>H1293F</v>
      </c>
      <c r="K90" s="2" t="str">
        <f t="shared" ref="K90" si="104">IF(J90="-","-","CHPpl_")</f>
        <v>CHPpl_</v>
      </c>
      <c r="L90" s="14">
        <f t="shared" si="81"/>
        <v>0</v>
      </c>
      <c r="V90" s="1">
        <v>65.3</v>
      </c>
      <c r="W90" s="1">
        <v>1</v>
      </c>
      <c r="X90" s="1">
        <v>0</v>
      </c>
    </row>
    <row r="91" spans="1:24" x14ac:dyDescent="0.25">
      <c r="A91" s="1" t="s">
        <v>130</v>
      </c>
      <c r="B91" s="1">
        <v>6688463.8942728098</v>
      </c>
      <c r="C91" s="1">
        <v>540832.811241035</v>
      </c>
      <c r="D91" s="5" t="str">
        <f t="shared" si="74"/>
        <v>H1311F</v>
      </c>
      <c r="E91" s="6" t="str">
        <f t="shared" si="75"/>
        <v>Heatpl</v>
      </c>
      <c r="F91" s="14">
        <f t="shared" si="76"/>
        <v>76319.892000000007</v>
      </c>
      <c r="G91" s="5" t="str">
        <f>IF(Table35[[#This Row],[Capacity1]]&lt;&gt;"-",Table35[[#This Row],[Location]]&amp;RIGHT(Table35[[#Headers],[Facility_2]],1)&amp;"F","-")</f>
        <v>H1312F</v>
      </c>
      <c r="H91" s="6" t="str">
        <f t="shared" si="77"/>
        <v>TerHea</v>
      </c>
      <c r="I91" s="23">
        <f t="shared" si="78"/>
        <v>9999</v>
      </c>
      <c r="J91" s="5" t="str">
        <f>IF(Table35[[#This Row],[Capacity1]]*X91&gt;=$Y$5,Table35[[#This Row],[Location]]&amp;RIGHT(Table35[[#Headers],[Facility_3]],1)&amp;"F","-")</f>
        <v>H1313F</v>
      </c>
      <c r="K91" s="2" t="str">
        <f t="shared" ref="K91" si="105">IF(J91="-","-","CHPpl_")</f>
        <v>CHPpl_</v>
      </c>
      <c r="L91" s="14">
        <f t="shared" si="81"/>
        <v>15874.322403382594</v>
      </c>
      <c r="V91" s="1">
        <v>63.599910000000008</v>
      </c>
      <c r="W91" s="1">
        <v>0.79200281882759227</v>
      </c>
      <c r="X91" s="1">
        <v>0.20799718117240773</v>
      </c>
    </row>
    <row r="92" spans="1:24" x14ac:dyDescent="0.25">
      <c r="A92" s="1" t="s">
        <v>320</v>
      </c>
      <c r="B92" s="1">
        <v>6296442.2703860402</v>
      </c>
      <c r="C92" s="1">
        <v>435031.37375332299</v>
      </c>
      <c r="D92" s="5" t="str">
        <f t="shared" si="74"/>
        <v>H3211F</v>
      </c>
      <c r="E92" s="6" t="str">
        <f t="shared" si="75"/>
        <v>Heatpl</v>
      </c>
      <c r="F92" s="14">
        <f t="shared" si="76"/>
        <v>75023.999999999985</v>
      </c>
      <c r="G92" s="5" t="str">
        <f>IF(Table35[[#This Row],[Capacity1]]&lt;&gt;"-",Table35[[#This Row],[Location]]&amp;RIGHT(Table35[[#Headers],[Facility_2]],1)&amp;"F","-")</f>
        <v>H3212F</v>
      </c>
      <c r="H92" s="6" t="str">
        <f t="shared" si="77"/>
        <v>TerHea</v>
      </c>
      <c r="I92" s="23">
        <f t="shared" si="78"/>
        <v>9999</v>
      </c>
      <c r="J92" s="5" t="str">
        <f>IF(Table35[[#This Row],[Capacity1]]*X92&gt;=$Y$5,Table35[[#This Row],[Location]]&amp;RIGHT(Table35[[#Headers],[Facility_3]],1)&amp;"F","-")</f>
        <v>H3213F</v>
      </c>
      <c r="K92" s="2" t="str">
        <f t="shared" ref="K92" si="106">IF(J92="-","-","CHPpl_")</f>
        <v>CHPpl_</v>
      </c>
      <c r="L92" s="14">
        <f t="shared" si="81"/>
        <v>8854.5383727067674</v>
      </c>
      <c r="V92" s="1">
        <v>62.519999999999996</v>
      </c>
      <c r="W92" s="1">
        <v>0.88197725564210427</v>
      </c>
      <c r="X92" s="1">
        <v>0.11802274435789573</v>
      </c>
    </row>
    <row r="93" spans="1:24" x14ac:dyDescent="0.25">
      <c r="A93" s="1" t="s">
        <v>346</v>
      </c>
      <c r="B93" s="1">
        <v>6212137.4166017501</v>
      </c>
      <c r="C93" s="1">
        <v>390477.74247858702</v>
      </c>
      <c r="D93" s="5" t="str">
        <f t="shared" si="74"/>
        <v>H3471F</v>
      </c>
      <c r="E93" s="6" t="str">
        <f t="shared" si="75"/>
        <v>Heatpl</v>
      </c>
      <c r="F93" s="14">
        <f t="shared" si="76"/>
        <v>73896</v>
      </c>
      <c r="G93" s="5" t="str">
        <f>IF(Table35[[#This Row],[Capacity1]]&lt;&gt;"-",Table35[[#This Row],[Location]]&amp;RIGHT(Table35[[#Headers],[Facility_2]],1)&amp;"F","-")</f>
        <v>H3472F</v>
      </c>
      <c r="H93" s="6" t="str">
        <f t="shared" si="77"/>
        <v>TerHea</v>
      </c>
      <c r="I93" s="23">
        <f t="shared" si="78"/>
        <v>9999</v>
      </c>
      <c r="J93" s="5" t="str">
        <f>IF(Table35[[#This Row],[Capacity1]]*X93&gt;=$Y$5,Table35[[#This Row],[Location]]&amp;RIGHT(Table35[[#Headers],[Facility_3]],1)&amp;"F","-")</f>
        <v>H3473F</v>
      </c>
      <c r="K93" s="2" t="str">
        <f t="shared" ref="K93" si="107">IF(J93="-","-","CHPpl_")</f>
        <v>CHPpl_</v>
      </c>
      <c r="L93" s="14">
        <f t="shared" si="81"/>
        <v>0</v>
      </c>
      <c r="V93" s="1">
        <v>61.58</v>
      </c>
      <c r="W93" s="1">
        <v>1</v>
      </c>
      <c r="X93" s="1">
        <v>0</v>
      </c>
    </row>
    <row r="94" spans="1:24" x14ac:dyDescent="0.25">
      <c r="A94" s="1" t="s">
        <v>226</v>
      </c>
      <c r="B94" s="1">
        <v>6473956.0641298797</v>
      </c>
      <c r="C94" s="1">
        <v>538345.82955567096</v>
      </c>
      <c r="D94" s="5" t="str">
        <f t="shared" si="74"/>
        <v>H2271F</v>
      </c>
      <c r="E94" s="6" t="str">
        <f t="shared" si="75"/>
        <v>Heatpl</v>
      </c>
      <c r="F94" s="14">
        <f t="shared" si="76"/>
        <v>72480</v>
      </c>
      <c r="G94" s="5" t="str">
        <f>IF(Table35[[#This Row],[Capacity1]]&lt;&gt;"-",Table35[[#This Row],[Location]]&amp;RIGHT(Table35[[#Headers],[Facility_2]],1)&amp;"F","-")</f>
        <v>H2272F</v>
      </c>
      <c r="H94" s="6" t="str">
        <f t="shared" si="77"/>
        <v>TerHea</v>
      </c>
      <c r="I94" s="23">
        <f t="shared" si="78"/>
        <v>9999</v>
      </c>
      <c r="J94" s="5" t="str">
        <f>IF(Table35[[#This Row],[Capacity1]]*X94&gt;=$Y$5,Table35[[#This Row],[Location]]&amp;RIGHT(Table35[[#Headers],[Facility_3]],1)&amp;"F","-")</f>
        <v>H2273F</v>
      </c>
      <c r="K94" s="2" t="str">
        <f t="shared" ref="K94" si="108">IF(J94="-","-","CHPpl_")</f>
        <v>CHPpl_</v>
      </c>
      <c r="L94" s="14">
        <f t="shared" si="81"/>
        <v>28680.725153557065</v>
      </c>
      <c r="V94" s="1">
        <v>60.400000000000006</v>
      </c>
      <c r="W94" s="1">
        <v>0.60429463088359459</v>
      </c>
      <c r="X94" s="1">
        <v>0.39570536911640541</v>
      </c>
    </row>
    <row r="95" spans="1:24" x14ac:dyDescent="0.25">
      <c r="A95" s="1" t="s">
        <v>298</v>
      </c>
      <c r="B95" s="1">
        <v>6359357.2461358896</v>
      </c>
      <c r="C95" s="1">
        <v>480048.90657875699</v>
      </c>
      <c r="D95" s="5" t="str">
        <f t="shared" si="74"/>
        <v>H2991F</v>
      </c>
      <c r="E95" s="6" t="str">
        <f t="shared" si="75"/>
        <v>Heatpl</v>
      </c>
      <c r="F95" s="14">
        <f t="shared" si="76"/>
        <v>70172.399999999994</v>
      </c>
      <c r="G95" s="5" t="str">
        <f>IF(Table35[[#This Row],[Capacity1]]&lt;&gt;"-",Table35[[#This Row],[Location]]&amp;RIGHT(Table35[[#Headers],[Facility_2]],1)&amp;"F","-")</f>
        <v>H2992F</v>
      </c>
      <c r="H95" s="6" t="str">
        <f t="shared" si="77"/>
        <v>TerHea</v>
      </c>
      <c r="I95" s="23">
        <f t="shared" si="78"/>
        <v>9999</v>
      </c>
      <c r="J95" s="5" t="str">
        <f>IF(Table35[[#This Row],[Capacity1]]*X95&gt;=$Y$5,Table35[[#This Row],[Location]]&amp;RIGHT(Table35[[#Headers],[Facility_3]],1)&amp;"F","-")</f>
        <v>H2993F</v>
      </c>
      <c r="K95" s="2" t="str">
        <f t="shared" ref="K95" si="109">IF(J95="-","-","CHPpl_")</f>
        <v>CHPpl_</v>
      </c>
      <c r="L95" s="14">
        <f t="shared" si="81"/>
        <v>0</v>
      </c>
      <c r="V95" s="1">
        <v>58.477000000000004</v>
      </c>
      <c r="W95" s="1">
        <v>1</v>
      </c>
      <c r="X95" s="1">
        <v>0</v>
      </c>
    </row>
    <row r="96" spans="1:24" x14ac:dyDescent="0.25">
      <c r="A96" s="1" t="s">
        <v>355</v>
      </c>
      <c r="B96" s="1">
        <v>6154231.9055916602</v>
      </c>
      <c r="C96" s="1">
        <v>459316.28717159299</v>
      </c>
      <c r="D96" s="5" t="str">
        <f t="shared" si="74"/>
        <v>H3561F</v>
      </c>
      <c r="E96" s="6" t="str">
        <f t="shared" si="75"/>
        <v>Heatpl</v>
      </c>
      <c r="F96" s="14">
        <f t="shared" si="76"/>
        <v>64080</v>
      </c>
      <c r="G96" s="5" t="str">
        <f>IF(Table35[[#This Row],[Capacity1]]&lt;&gt;"-",Table35[[#This Row],[Location]]&amp;RIGHT(Table35[[#Headers],[Facility_2]],1)&amp;"F","-")</f>
        <v>H3562F</v>
      </c>
      <c r="H96" s="6" t="str">
        <f t="shared" si="77"/>
        <v>TerHea</v>
      </c>
      <c r="I96" s="23">
        <f t="shared" si="78"/>
        <v>9999</v>
      </c>
      <c r="J96" s="5" t="str">
        <f>IF(Table35[[#This Row],[Capacity1]]*X96&gt;=$Y$5,Table35[[#This Row],[Location]]&amp;RIGHT(Table35[[#Headers],[Facility_3]],1)&amp;"F","-")</f>
        <v>H3563F</v>
      </c>
      <c r="K96" s="2" t="str">
        <f t="shared" ref="K96" si="110">IF(J96="-","-","CHPpl_")</f>
        <v>CHPpl_</v>
      </c>
      <c r="L96" s="14">
        <f t="shared" si="81"/>
        <v>0</v>
      </c>
      <c r="V96" s="1">
        <v>53.4</v>
      </c>
      <c r="W96" s="1">
        <v>1</v>
      </c>
      <c r="X96" s="1">
        <v>0</v>
      </c>
    </row>
    <row r="97" spans="1:24" x14ac:dyDescent="0.25">
      <c r="A97" s="1" t="s">
        <v>326</v>
      </c>
      <c r="B97" s="1">
        <v>6274174.0054459097</v>
      </c>
      <c r="C97" s="1">
        <v>533012.65348677803</v>
      </c>
      <c r="D97" s="5" t="str">
        <f t="shared" si="74"/>
        <v>H3271F</v>
      </c>
      <c r="E97" s="6" t="str">
        <f t="shared" si="75"/>
        <v>Heatpl</v>
      </c>
      <c r="F97" s="14">
        <f t="shared" si="76"/>
        <v>63720</v>
      </c>
      <c r="G97" s="5" t="str">
        <f>IF(Table35[[#This Row],[Capacity1]]&lt;&gt;"-",Table35[[#This Row],[Location]]&amp;RIGHT(Table35[[#Headers],[Facility_2]],1)&amp;"F","-")</f>
        <v>H3272F</v>
      </c>
      <c r="H97" s="6" t="str">
        <f t="shared" si="77"/>
        <v>TerHea</v>
      </c>
      <c r="I97" s="23">
        <f t="shared" si="78"/>
        <v>9999</v>
      </c>
      <c r="J97" s="5" t="str">
        <f>IF(Table35[[#This Row],[Capacity1]]*X97&gt;=$Y$5,Table35[[#This Row],[Location]]&amp;RIGHT(Table35[[#Headers],[Facility_3]],1)&amp;"F","-")</f>
        <v>H3273F</v>
      </c>
      <c r="K97" s="2" t="str">
        <f t="shared" ref="K97" si="111">IF(J97="-","-","CHPpl_")</f>
        <v>CHPpl_</v>
      </c>
      <c r="L97" s="14">
        <f t="shared" si="81"/>
        <v>0</v>
      </c>
      <c r="V97" s="1">
        <v>53.1</v>
      </c>
      <c r="W97" s="1">
        <v>1</v>
      </c>
      <c r="X97" s="1">
        <v>0</v>
      </c>
    </row>
    <row r="98" spans="1:24" x14ac:dyDescent="0.25">
      <c r="A98" s="1" t="s">
        <v>140</v>
      </c>
      <c r="B98" s="1">
        <v>6656628.1682370203</v>
      </c>
      <c r="C98" s="1">
        <v>429620.08588173299</v>
      </c>
      <c r="D98" s="5" t="str">
        <f t="shared" si="74"/>
        <v>H1411F</v>
      </c>
      <c r="E98" s="6" t="str">
        <f t="shared" si="75"/>
        <v>Heatpl</v>
      </c>
      <c r="F98" s="14">
        <f t="shared" si="76"/>
        <v>62160</v>
      </c>
      <c r="G98" s="5" t="str">
        <f>IF(Table35[[#This Row],[Capacity1]]&lt;&gt;"-",Table35[[#This Row],[Location]]&amp;RIGHT(Table35[[#Headers],[Facility_2]],1)&amp;"F","-")</f>
        <v>H1412F</v>
      </c>
      <c r="H98" s="6" t="str">
        <f t="shared" si="77"/>
        <v>TerHea</v>
      </c>
      <c r="I98" s="23">
        <f t="shared" si="78"/>
        <v>9999</v>
      </c>
      <c r="J98" s="5" t="str">
        <f>IF(Table35[[#This Row],[Capacity1]]*X98&gt;=$Y$5,Table35[[#This Row],[Location]]&amp;RIGHT(Table35[[#Headers],[Facility_3]],1)&amp;"F","-")</f>
        <v>H1413F</v>
      </c>
      <c r="K98" s="2" t="str">
        <f t="shared" ref="K98" si="112">IF(J98="-","-","CHPpl_")</f>
        <v>CHPpl_</v>
      </c>
      <c r="L98" s="14">
        <f t="shared" si="81"/>
        <v>0</v>
      </c>
      <c r="V98" s="1">
        <v>51.8</v>
      </c>
      <c r="W98" s="1">
        <v>1</v>
      </c>
      <c r="X98" s="1">
        <v>0</v>
      </c>
    </row>
    <row r="99" spans="1:24" x14ac:dyDescent="0.25">
      <c r="A99" s="1" t="s">
        <v>229</v>
      </c>
      <c r="B99" s="1">
        <v>6467420.7700494602</v>
      </c>
      <c r="C99" s="1">
        <v>321004.390855101</v>
      </c>
      <c r="D99" s="5" t="str">
        <f t="shared" si="74"/>
        <v>H2301F</v>
      </c>
      <c r="E99" s="6" t="str">
        <f t="shared" si="75"/>
        <v>Heatpl</v>
      </c>
      <c r="F99" s="14">
        <f t="shared" si="76"/>
        <v>61272.523200000003</v>
      </c>
      <c r="G99" s="5" t="str">
        <f>IF(Table35[[#This Row],[Capacity1]]&lt;&gt;"-",Table35[[#This Row],[Location]]&amp;RIGHT(Table35[[#Headers],[Facility_2]],1)&amp;"F","-")</f>
        <v>H2302F</v>
      </c>
      <c r="H99" s="6" t="str">
        <f t="shared" si="77"/>
        <v>TerHea</v>
      </c>
      <c r="I99" s="23">
        <f t="shared" si="78"/>
        <v>9999</v>
      </c>
      <c r="J99" s="5" t="str">
        <f>IF(Table35[[#This Row],[Capacity1]]*X99&gt;=$Y$5,Table35[[#This Row],[Location]]&amp;RIGHT(Table35[[#Headers],[Facility_3]],1)&amp;"F","-")</f>
        <v>H2303F</v>
      </c>
      <c r="K99" s="2" t="str">
        <f t="shared" ref="K99" si="113">IF(J99="-","-","CHPpl_")</f>
        <v>CHPpl_</v>
      </c>
      <c r="L99" s="14">
        <f t="shared" si="81"/>
        <v>0</v>
      </c>
      <c r="V99" s="1">
        <v>51.060436000000003</v>
      </c>
      <c r="W99" s="1">
        <v>1</v>
      </c>
      <c r="X99" s="1">
        <v>0</v>
      </c>
    </row>
    <row r="100" spans="1:24" x14ac:dyDescent="0.25">
      <c r="A100" s="1" t="s">
        <v>201</v>
      </c>
      <c r="B100" s="1">
        <v>6539363.08786688</v>
      </c>
      <c r="C100" s="1">
        <v>569401.82564115396</v>
      </c>
      <c r="D100" s="5" t="str">
        <f t="shared" si="74"/>
        <v>H2021F</v>
      </c>
      <c r="E100" s="6" t="str">
        <f t="shared" si="75"/>
        <v>Heatpl</v>
      </c>
      <c r="F100" s="14">
        <f t="shared" si="76"/>
        <v>59879.951999999997</v>
      </c>
      <c r="G100" s="5" t="str">
        <f>IF(Table35[[#This Row],[Capacity1]]&lt;&gt;"-",Table35[[#This Row],[Location]]&amp;RIGHT(Table35[[#Headers],[Facility_2]],1)&amp;"F","-")</f>
        <v>H2022F</v>
      </c>
      <c r="H100" s="6" t="str">
        <f t="shared" si="77"/>
        <v>TerHea</v>
      </c>
      <c r="I100" s="23">
        <f t="shared" si="78"/>
        <v>9999</v>
      </c>
      <c r="J100" s="5" t="str">
        <f>IF(Table35[[#This Row],[Capacity1]]*X100&gt;=$Y$5,Table35[[#This Row],[Location]]&amp;RIGHT(Table35[[#Headers],[Facility_3]],1)&amp;"F","-")</f>
        <v>H2023F</v>
      </c>
      <c r="K100" s="2" t="str">
        <f t="shared" ref="K100" si="114">IF(J100="-","-","CHPpl_")</f>
        <v>CHPpl_</v>
      </c>
      <c r="L100" s="14">
        <f t="shared" si="81"/>
        <v>4390.7038498723505</v>
      </c>
      <c r="V100" s="1">
        <v>49.89996</v>
      </c>
      <c r="W100" s="1">
        <v>0.926674893629301</v>
      </c>
      <c r="X100" s="1">
        <v>7.3325106370699E-2</v>
      </c>
    </row>
    <row r="101" spans="1:24" x14ac:dyDescent="0.25">
      <c r="A101" s="1" t="s">
        <v>179</v>
      </c>
      <c r="B101" s="1">
        <v>6582933.0809581401</v>
      </c>
      <c r="C101" s="1">
        <v>615148.41691129596</v>
      </c>
      <c r="D101" s="5" t="str">
        <f t="shared" si="74"/>
        <v>H1801F</v>
      </c>
      <c r="E101" s="6" t="str">
        <f t="shared" si="75"/>
        <v>Heatpl</v>
      </c>
      <c r="F101" s="14">
        <f t="shared" si="76"/>
        <v>59612.04</v>
      </c>
      <c r="G101" s="5" t="str">
        <f>IF(Table35[[#This Row],[Capacity1]]&lt;&gt;"-",Table35[[#This Row],[Location]]&amp;RIGHT(Table35[[#Headers],[Facility_2]],1)&amp;"F","-")</f>
        <v>H1802F</v>
      </c>
      <c r="H101" s="6" t="str">
        <f t="shared" si="77"/>
        <v>TerHea</v>
      </c>
      <c r="I101" s="23">
        <f t="shared" si="78"/>
        <v>9999</v>
      </c>
      <c r="J101" s="5" t="str">
        <f>IF(Table35[[#This Row],[Capacity1]]*X101&gt;=$Y$5,Table35[[#This Row],[Location]]&amp;RIGHT(Table35[[#Headers],[Facility_3]],1)&amp;"F","-")</f>
        <v>H1803F</v>
      </c>
      <c r="K101" s="2" t="str">
        <f t="shared" ref="K101" si="115">IF(J101="-","-","CHPpl_")</f>
        <v>CHPpl_</v>
      </c>
      <c r="L101" s="14">
        <f t="shared" si="81"/>
        <v>4254.53835545526</v>
      </c>
      <c r="V101" s="1">
        <v>49.676700000000004</v>
      </c>
      <c r="W101" s="1">
        <v>0.92862954605386328</v>
      </c>
      <c r="X101" s="1">
        <v>7.1370453946136725E-2</v>
      </c>
    </row>
    <row r="102" spans="1:24" x14ac:dyDescent="0.25">
      <c r="A102" s="1" t="s">
        <v>344</v>
      </c>
      <c r="B102" s="1">
        <v>6219123.6683906</v>
      </c>
      <c r="C102" s="1">
        <v>400550.08068270597</v>
      </c>
      <c r="D102" s="5" t="str">
        <f t="shared" si="74"/>
        <v>H3451F</v>
      </c>
      <c r="E102" s="6" t="str">
        <f t="shared" si="75"/>
        <v>Heatpl</v>
      </c>
      <c r="F102" s="14">
        <f t="shared" si="76"/>
        <v>57588</v>
      </c>
      <c r="G102" s="5" t="str">
        <f>IF(Table35[[#This Row],[Capacity1]]&lt;&gt;"-",Table35[[#This Row],[Location]]&amp;RIGHT(Table35[[#Headers],[Facility_2]],1)&amp;"F","-")</f>
        <v>H3452F</v>
      </c>
      <c r="H102" s="6" t="str">
        <f t="shared" si="77"/>
        <v>TerHea</v>
      </c>
      <c r="I102" s="23">
        <f t="shared" si="78"/>
        <v>9999</v>
      </c>
      <c r="J102" s="5" t="str">
        <f>IF(Table35[[#This Row],[Capacity1]]*X102&gt;=$Y$5,Table35[[#This Row],[Location]]&amp;RIGHT(Table35[[#Headers],[Facility_3]],1)&amp;"F","-")</f>
        <v>H3453F</v>
      </c>
      <c r="K102" s="2" t="str">
        <f t="shared" ref="K102" si="116">IF(J102="-","-","CHPpl_")</f>
        <v>CHPpl_</v>
      </c>
      <c r="L102" s="14">
        <f t="shared" si="81"/>
        <v>0</v>
      </c>
      <c r="V102" s="1">
        <v>47.99</v>
      </c>
      <c r="W102" s="1">
        <v>1</v>
      </c>
      <c r="X102" s="1">
        <v>0</v>
      </c>
    </row>
    <row r="103" spans="1:24" x14ac:dyDescent="0.25">
      <c r="A103" s="1" t="s">
        <v>174</v>
      </c>
      <c r="B103" s="1">
        <v>6588250.2417551801</v>
      </c>
      <c r="C103" s="1">
        <v>663030.31727310398</v>
      </c>
      <c r="D103" s="5" t="str">
        <f t="shared" si="74"/>
        <v>H1751F</v>
      </c>
      <c r="E103" s="6" t="str">
        <f t="shared" si="75"/>
        <v>Heatpl</v>
      </c>
      <c r="F103" s="14">
        <f t="shared" si="76"/>
        <v>56400</v>
      </c>
      <c r="G103" s="5" t="str">
        <f>IF(Table35[[#This Row],[Capacity1]]&lt;&gt;"-",Table35[[#This Row],[Location]]&amp;RIGHT(Table35[[#Headers],[Facility_2]],1)&amp;"F","-")</f>
        <v>H1752F</v>
      </c>
      <c r="H103" s="6" t="str">
        <f t="shared" si="77"/>
        <v>TerHea</v>
      </c>
      <c r="I103" s="23">
        <f t="shared" si="78"/>
        <v>9999</v>
      </c>
      <c r="J103" s="5" t="str">
        <f>IF(Table35[[#This Row],[Capacity1]]*X103&gt;=$Y$5,Table35[[#This Row],[Location]]&amp;RIGHT(Table35[[#Headers],[Facility_3]],1)&amp;"F","-")</f>
        <v>H1753F</v>
      </c>
      <c r="K103" s="2" t="str">
        <f t="shared" ref="K103" si="117">IF(J103="-","-","CHPpl_")</f>
        <v>CHPpl_</v>
      </c>
      <c r="L103" s="14">
        <f t="shared" si="81"/>
        <v>0</v>
      </c>
      <c r="V103" s="1">
        <v>47</v>
      </c>
      <c r="W103" s="1">
        <v>1</v>
      </c>
      <c r="X103" s="1">
        <v>0</v>
      </c>
    </row>
    <row r="104" spans="1:24" x14ac:dyDescent="0.25">
      <c r="A104" s="1" t="s">
        <v>182</v>
      </c>
      <c r="B104" s="1">
        <v>6581384.0617712401</v>
      </c>
      <c r="C104" s="1">
        <v>692633.83456328104</v>
      </c>
      <c r="D104" s="5" t="str">
        <f t="shared" si="74"/>
        <v>H1831F</v>
      </c>
      <c r="E104" s="6" t="str">
        <f t="shared" si="75"/>
        <v>Heatpl</v>
      </c>
      <c r="F104" s="14">
        <f t="shared" si="76"/>
        <v>56364</v>
      </c>
      <c r="G104" s="5" t="str">
        <f>IF(Table35[[#This Row],[Capacity1]]&lt;&gt;"-",Table35[[#This Row],[Location]]&amp;RIGHT(Table35[[#Headers],[Facility_2]],1)&amp;"F","-")</f>
        <v>H1832F</v>
      </c>
      <c r="H104" s="6" t="str">
        <f t="shared" si="77"/>
        <v>TerHea</v>
      </c>
      <c r="I104" s="23">
        <f t="shared" si="78"/>
        <v>9999</v>
      </c>
      <c r="J104" s="5" t="str">
        <f>IF(Table35[[#This Row],[Capacity1]]*X104&gt;=$Y$5,Table35[[#This Row],[Location]]&amp;RIGHT(Table35[[#Headers],[Facility_3]],1)&amp;"F","-")</f>
        <v>H1833F</v>
      </c>
      <c r="K104" s="2" t="str">
        <f t="shared" ref="K104" si="118">IF(J104="-","-","CHPpl_")</f>
        <v>CHPpl_</v>
      </c>
      <c r="L104" s="14">
        <f t="shared" si="81"/>
        <v>0</v>
      </c>
      <c r="V104" s="1">
        <v>46.97</v>
      </c>
      <c r="W104" s="1">
        <v>1</v>
      </c>
      <c r="X104" s="1">
        <v>0</v>
      </c>
    </row>
    <row r="105" spans="1:24" x14ac:dyDescent="0.25">
      <c r="A105" s="1" t="s">
        <v>106</v>
      </c>
      <c r="B105" s="1">
        <v>6803247.0547590898</v>
      </c>
      <c r="C105" s="1">
        <v>543724.78329123696</v>
      </c>
      <c r="D105" s="5" t="str">
        <f t="shared" si="74"/>
        <v>H1071F</v>
      </c>
      <c r="E105" s="6" t="str">
        <f t="shared" si="75"/>
        <v>Heatpl</v>
      </c>
      <c r="F105" s="14">
        <f t="shared" si="76"/>
        <v>54217.799999999996</v>
      </c>
      <c r="G105" s="5" t="str">
        <f>IF(Table35[[#This Row],[Capacity1]]&lt;&gt;"-",Table35[[#This Row],[Location]]&amp;RIGHT(Table35[[#Headers],[Facility_2]],1)&amp;"F","-")</f>
        <v>H1072F</v>
      </c>
      <c r="H105" s="6" t="str">
        <f t="shared" si="77"/>
        <v>TerHea</v>
      </c>
      <c r="I105" s="23">
        <f t="shared" si="78"/>
        <v>9999</v>
      </c>
      <c r="J105" s="5" t="str">
        <f>IF(Table35[[#This Row],[Capacity1]]*X105&gt;=$Y$5,Table35[[#This Row],[Location]]&amp;RIGHT(Table35[[#Headers],[Facility_3]],1)&amp;"F","-")</f>
        <v>H1073F</v>
      </c>
      <c r="K105" s="2" t="str">
        <f t="shared" ref="K105" si="119">IF(J105="-","-","CHPpl_")</f>
        <v>CHPpl_</v>
      </c>
      <c r="L105" s="14">
        <f t="shared" si="81"/>
        <v>0</v>
      </c>
      <c r="V105" s="1">
        <v>45.1815</v>
      </c>
      <c r="W105" s="1">
        <v>1</v>
      </c>
      <c r="X105" s="1">
        <v>0</v>
      </c>
    </row>
    <row r="106" spans="1:24" x14ac:dyDescent="0.25">
      <c r="A106" s="1" t="s">
        <v>238</v>
      </c>
      <c r="B106" s="1">
        <v>6456080.9095016504</v>
      </c>
      <c r="C106" s="1">
        <v>380334.58423816698</v>
      </c>
      <c r="D106" s="5" t="str">
        <f t="shared" si="74"/>
        <v>H2391F</v>
      </c>
      <c r="E106" s="6" t="str">
        <f t="shared" si="75"/>
        <v>Heatpl</v>
      </c>
      <c r="F106" s="14">
        <f t="shared" si="76"/>
        <v>53247.384000000005</v>
      </c>
      <c r="G106" s="5" t="str">
        <f>IF(Table35[[#This Row],[Capacity1]]&lt;&gt;"-",Table35[[#This Row],[Location]]&amp;RIGHT(Table35[[#Headers],[Facility_2]],1)&amp;"F","-")</f>
        <v>H2392F</v>
      </c>
      <c r="H106" s="6" t="str">
        <f t="shared" si="77"/>
        <v>TerHea</v>
      </c>
      <c r="I106" s="23">
        <f t="shared" si="78"/>
        <v>9999</v>
      </c>
      <c r="J106" s="5" t="str">
        <f>IF(Table35[[#This Row],[Capacity1]]*X106&gt;=$Y$5,Table35[[#This Row],[Location]]&amp;RIGHT(Table35[[#Headers],[Facility_3]],1)&amp;"F","-")</f>
        <v>H2393F</v>
      </c>
      <c r="K106" s="2" t="str">
        <f t="shared" ref="K106" si="120">IF(J106="-","-","CHPpl_")</f>
        <v>CHPpl_</v>
      </c>
      <c r="L106" s="14">
        <f t="shared" si="81"/>
        <v>0</v>
      </c>
      <c r="V106" s="1">
        <v>44.372820000000004</v>
      </c>
      <c r="W106" s="1">
        <v>1</v>
      </c>
      <c r="X106" s="1">
        <v>0</v>
      </c>
    </row>
    <row r="107" spans="1:24" x14ac:dyDescent="0.25">
      <c r="A107" s="1" t="s">
        <v>332</v>
      </c>
      <c r="B107" s="1">
        <v>6235053.9696700601</v>
      </c>
      <c r="C107" s="1">
        <v>470672.33724211802</v>
      </c>
      <c r="D107" s="5" t="str">
        <f t="shared" si="74"/>
        <v>H3331F</v>
      </c>
      <c r="E107" s="6" t="str">
        <f t="shared" si="75"/>
        <v>Heatpl</v>
      </c>
      <c r="F107" s="14">
        <f t="shared" si="76"/>
        <v>53196</v>
      </c>
      <c r="G107" s="5" t="str">
        <f>IF(Table35[[#This Row],[Capacity1]]&lt;&gt;"-",Table35[[#This Row],[Location]]&amp;RIGHT(Table35[[#Headers],[Facility_2]],1)&amp;"F","-")</f>
        <v>H3332F</v>
      </c>
      <c r="H107" s="6" t="str">
        <f t="shared" si="77"/>
        <v>TerHea</v>
      </c>
      <c r="I107" s="23">
        <f t="shared" si="78"/>
        <v>9999</v>
      </c>
      <c r="J107" s="5" t="str">
        <f>IF(Table35[[#This Row],[Capacity1]]*X107&gt;=$Y$5,Table35[[#This Row],[Location]]&amp;RIGHT(Table35[[#Headers],[Facility_3]],1)&amp;"F","-")</f>
        <v>H3333F</v>
      </c>
      <c r="K107" s="2" t="str">
        <f t="shared" ref="K107" si="121">IF(J107="-","-","CHPpl_")</f>
        <v>CHPpl_</v>
      </c>
      <c r="L107" s="14">
        <f t="shared" si="81"/>
        <v>0</v>
      </c>
      <c r="V107" s="1">
        <v>44.33</v>
      </c>
      <c r="W107" s="1">
        <v>1</v>
      </c>
      <c r="X107" s="1">
        <v>0</v>
      </c>
    </row>
    <row r="108" spans="1:24" x14ac:dyDescent="0.25">
      <c r="A108" s="1" t="s">
        <v>190</v>
      </c>
      <c r="B108" s="1">
        <v>6563924.7894626204</v>
      </c>
      <c r="C108" s="1">
        <v>467500.55891205597</v>
      </c>
      <c r="D108" s="5" t="str">
        <f t="shared" si="74"/>
        <v>H1911F</v>
      </c>
      <c r="E108" s="6" t="str">
        <f t="shared" si="75"/>
        <v>Heatpl</v>
      </c>
      <c r="F108" s="14">
        <f t="shared" si="76"/>
        <v>52854</v>
      </c>
      <c r="G108" s="5" t="str">
        <f>IF(Table35[[#This Row],[Capacity1]]&lt;&gt;"-",Table35[[#This Row],[Location]]&amp;RIGHT(Table35[[#Headers],[Facility_2]],1)&amp;"F","-")</f>
        <v>H1912F</v>
      </c>
      <c r="H108" s="6" t="str">
        <f t="shared" si="77"/>
        <v>TerHea</v>
      </c>
      <c r="I108" s="23">
        <f t="shared" si="78"/>
        <v>9999</v>
      </c>
      <c r="J108" s="5" t="str">
        <f>IF(Table35[[#This Row],[Capacity1]]*X108&gt;=$Y$5,Table35[[#This Row],[Location]]&amp;RIGHT(Table35[[#Headers],[Facility_3]],1)&amp;"F","-")</f>
        <v>H1913F</v>
      </c>
      <c r="K108" s="2" t="str">
        <f t="shared" ref="K108" si="122">IF(J108="-","-","CHPpl_")</f>
        <v>CHPpl_</v>
      </c>
      <c r="L108" s="14">
        <f t="shared" si="81"/>
        <v>0</v>
      </c>
      <c r="V108" s="1">
        <v>44.045000000000002</v>
      </c>
      <c r="W108" s="1">
        <v>1</v>
      </c>
      <c r="X108" s="1">
        <v>0</v>
      </c>
    </row>
    <row r="109" spans="1:24" x14ac:dyDescent="0.25">
      <c r="A109" s="1" t="s">
        <v>41</v>
      </c>
      <c r="B109" s="1">
        <v>7395466.4754984798</v>
      </c>
      <c r="C109" s="1">
        <v>714800.57508422097</v>
      </c>
      <c r="D109" s="5" t="str">
        <f t="shared" si="74"/>
        <v>H421F</v>
      </c>
      <c r="E109" s="6" t="str">
        <f t="shared" si="75"/>
        <v>Heatpl</v>
      </c>
      <c r="F109" s="14">
        <f t="shared" si="76"/>
        <v>52800</v>
      </c>
      <c r="G109" s="5" t="str">
        <f>IF(Table35[[#This Row],[Capacity1]]&lt;&gt;"-",Table35[[#This Row],[Location]]&amp;RIGHT(Table35[[#Headers],[Facility_2]],1)&amp;"F","-")</f>
        <v>H422F</v>
      </c>
      <c r="H109" s="6" t="str">
        <f t="shared" si="77"/>
        <v>TerHea</v>
      </c>
      <c r="I109" s="23">
        <f t="shared" si="78"/>
        <v>9999</v>
      </c>
      <c r="J109" s="5" t="str">
        <f>IF(Table35[[#This Row],[Capacity1]]*X109&gt;=$Y$5,Table35[[#This Row],[Location]]&amp;RIGHT(Table35[[#Headers],[Facility_3]],1)&amp;"F","-")</f>
        <v>H423F</v>
      </c>
      <c r="K109" s="2" t="str">
        <f t="shared" ref="K109" si="123">IF(J109="-","-","CHPpl_")</f>
        <v>CHPpl_</v>
      </c>
      <c r="L109" s="14">
        <f t="shared" si="81"/>
        <v>0</v>
      </c>
      <c r="V109" s="1">
        <v>44</v>
      </c>
      <c r="W109" s="1">
        <v>1</v>
      </c>
      <c r="X109" s="1">
        <v>0</v>
      </c>
    </row>
    <row r="110" spans="1:24" x14ac:dyDescent="0.25">
      <c r="A110" s="1" t="s">
        <v>54</v>
      </c>
      <c r="B110" s="1">
        <v>7219718.5976614896</v>
      </c>
      <c r="C110" s="1">
        <v>599326.87958215806</v>
      </c>
      <c r="D110" s="5" t="str">
        <f t="shared" si="74"/>
        <v>H551F</v>
      </c>
      <c r="E110" s="6" t="str">
        <f t="shared" si="75"/>
        <v>Heatpl</v>
      </c>
      <c r="F110" s="14">
        <f t="shared" si="76"/>
        <v>52354.799999999996</v>
      </c>
      <c r="G110" s="5" t="str">
        <f>IF(Table35[[#This Row],[Capacity1]]&lt;&gt;"-",Table35[[#This Row],[Location]]&amp;RIGHT(Table35[[#Headers],[Facility_2]],1)&amp;"F","-")</f>
        <v>H552F</v>
      </c>
      <c r="H110" s="6" t="str">
        <f t="shared" si="77"/>
        <v>TerHea</v>
      </c>
      <c r="I110" s="23">
        <f t="shared" si="78"/>
        <v>9999</v>
      </c>
      <c r="J110" s="5" t="str">
        <f>IF(Table35[[#This Row],[Capacity1]]*X110&gt;=$Y$5,Table35[[#This Row],[Location]]&amp;RIGHT(Table35[[#Headers],[Facility_3]],1)&amp;"F","-")</f>
        <v>H553F</v>
      </c>
      <c r="K110" s="2" t="str">
        <f t="shared" ref="K110" si="124">IF(J110="-","-","CHPpl_")</f>
        <v>CHPpl_</v>
      </c>
      <c r="L110" s="14">
        <f t="shared" si="81"/>
        <v>0</v>
      </c>
      <c r="V110" s="1">
        <v>43.628999999999998</v>
      </c>
      <c r="W110" s="1">
        <v>1</v>
      </c>
      <c r="X110" s="1">
        <v>0</v>
      </c>
    </row>
    <row r="111" spans="1:24" x14ac:dyDescent="0.25">
      <c r="A111" s="1" t="s">
        <v>237</v>
      </c>
      <c r="B111" s="1">
        <v>6459858.0717770597</v>
      </c>
      <c r="C111" s="1">
        <v>458310.85179008899</v>
      </c>
      <c r="D111" s="5" t="str">
        <f t="shared" si="74"/>
        <v>H2381F</v>
      </c>
      <c r="E111" s="6" t="str">
        <f t="shared" si="75"/>
        <v>Heatpl</v>
      </c>
      <c r="F111" s="14">
        <f t="shared" si="76"/>
        <v>51359.999999999993</v>
      </c>
      <c r="G111" s="5" t="str">
        <f>IF(Table35[[#This Row],[Capacity1]]&lt;&gt;"-",Table35[[#This Row],[Location]]&amp;RIGHT(Table35[[#Headers],[Facility_2]],1)&amp;"F","-")</f>
        <v>H2382F</v>
      </c>
      <c r="H111" s="6" t="str">
        <f t="shared" si="77"/>
        <v>TerHea</v>
      </c>
      <c r="I111" s="23">
        <f t="shared" si="78"/>
        <v>9999</v>
      </c>
      <c r="J111" s="5" t="str">
        <f>IF(Table35[[#This Row],[Capacity1]]*X111&gt;=$Y$5,Table35[[#This Row],[Location]]&amp;RIGHT(Table35[[#Headers],[Facility_3]],1)&amp;"F","-")</f>
        <v>H2383F</v>
      </c>
      <c r="K111" s="2" t="str">
        <f t="shared" ref="K111" si="125">IF(J111="-","-","CHPpl_")</f>
        <v>CHPpl_</v>
      </c>
      <c r="L111" s="14">
        <f t="shared" si="81"/>
        <v>0</v>
      </c>
      <c r="V111" s="1">
        <v>42.8</v>
      </c>
      <c r="W111" s="1">
        <v>1</v>
      </c>
      <c r="X111" s="1">
        <v>0</v>
      </c>
    </row>
    <row r="112" spans="1:24" x14ac:dyDescent="0.25">
      <c r="A112" s="1" t="s">
        <v>199</v>
      </c>
      <c r="B112" s="1">
        <v>6544397.8065401101</v>
      </c>
      <c r="C112" s="1">
        <v>367986.565930599</v>
      </c>
      <c r="D112" s="5" t="str">
        <f t="shared" si="74"/>
        <v>H2001F</v>
      </c>
      <c r="E112" s="6" t="str">
        <f t="shared" si="75"/>
        <v>Heatpl</v>
      </c>
      <c r="F112" s="14">
        <f t="shared" si="76"/>
        <v>51083.999999999993</v>
      </c>
      <c r="G112" s="5" t="str">
        <f>IF(Table35[[#This Row],[Capacity1]]&lt;&gt;"-",Table35[[#This Row],[Location]]&amp;RIGHT(Table35[[#Headers],[Facility_2]],1)&amp;"F","-")</f>
        <v>H2002F</v>
      </c>
      <c r="H112" s="6" t="str">
        <f t="shared" si="77"/>
        <v>TerHea</v>
      </c>
      <c r="I112" s="23">
        <f t="shared" si="78"/>
        <v>9999</v>
      </c>
      <c r="J112" s="5" t="str">
        <f>IF(Table35[[#This Row],[Capacity1]]*X112&gt;=$Y$5,Table35[[#This Row],[Location]]&amp;RIGHT(Table35[[#Headers],[Facility_3]],1)&amp;"F","-")</f>
        <v>H2003F</v>
      </c>
      <c r="K112" s="2" t="str">
        <f t="shared" ref="K112" si="126">IF(J112="-","-","CHPpl_")</f>
        <v>CHPpl_</v>
      </c>
      <c r="L112" s="14">
        <f t="shared" si="81"/>
        <v>0</v>
      </c>
      <c r="V112" s="1">
        <v>42.57</v>
      </c>
      <c r="W112" s="1">
        <v>1</v>
      </c>
      <c r="X112" s="1">
        <v>0</v>
      </c>
    </row>
    <row r="113" spans="1:24" x14ac:dyDescent="0.25">
      <c r="A113" s="1" t="s">
        <v>165</v>
      </c>
      <c r="B113" s="1">
        <v>6599637.5391512904</v>
      </c>
      <c r="C113" s="1">
        <v>649538.68097547803</v>
      </c>
      <c r="D113" s="5" t="str">
        <f t="shared" si="74"/>
        <v>H1661F</v>
      </c>
      <c r="E113" s="6" t="str">
        <f t="shared" si="75"/>
        <v>Heatpl</v>
      </c>
      <c r="F113" s="14">
        <f t="shared" si="76"/>
        <v>48480.000000000007</v>
      </c>
      <c r="G113" s="5" t="str">
        <f>IF(Table35[[#This Row],[Capacity1]]&lt;&gt;"-",Table35[[#This Row],[Location]]&amp;RIGHT(Table35[[#Headers],[Facility_2]],1)&amp;"F","-")</f>
        <v>H1662F</v>
      </c>
      <c r="H113" s="6" t="str">
        <f t="shared" si="77"/>
        <v>TerHea</v>
      </c>
      <c r="I113" s="23">
        <f t="shared" si="78"/>
        <v>9999</v>
      </c>
      <c r="J113" s="5" t="str">
        <f>IF(Table35[[#This Row],[Capacity1]]*X113&gt;=$Y$5,Table35[[#This Row],[Location]]&amp;RIGHT(Table35[[#Headers],[Facility_3]],1)&amp;"F","-")</f>
        <v>H1663F</v>
      </c>
      <c r="K113" s="2" t="str">
        <f t="shared" ref="K113" si="127">IF(J113="-","-","CHPpl_")</f>
        <v>CHPpl_</v>
      </c>
      <c r="L113" s="14">
        <f t="shared" si="81"/>
        <v>0</v>
      </c>
      <c r="V113" s="1">
        <v>40.400000000000006</v>
      </c>
      <c r="W113" s="1">
        <v>1</v>
      </c>
      <c r="X113" s="1">
        <v>0</v>
      </c>
    </row>
    <row r="114" spans="1:24" x14ac:dyDescent="0.25">
      <c r="A114" s="1" t="s">
        <v>115</v>
      </c>
      <c r="B114" s="1">
        <v>6730908.7539162198</v>
      </c>
      <c r="C114" s="1">
        <v>500195.14087190601</v>
      </c>
      <c r="D114" s="5" t="str">
        <f t="shared" si="74"/>
        <v>H1161F</v>
      </c>
      <c r="E114" s="6" t="str">
        <f t="shared" si="75"/>
        <v>Heatpl</v>
      </c>
      <c r="F114" s="14">
        <f t="shared" si="76"/>
        <v>48001.2</v>
      </c>
      <c r="G114" s="5" t="str">
        <f>IF(Table35[[#This Row],[Capacity1]]&lt;&gt;"-",Table35[[#This Row],[Location]]&amp;RIGHT(Table35[[#Headers],[Facility_2]],1)&amp;"F","-")</f>
        <v>H1162F</v>
      </c>
      <c r="H114" s="6" t="str">
        <f t="shared" si="77"/>
        <v>TerHea</v>
      </c>
      <c r="I114" s="23">
        <f t="shared" si="78"/>
        <v>9999</v>
      </c>
      <c r="J114" s="5" t="str">
        <f>IF(Table35[[#This Row],[Capacity1]]*X114&gt;=$Y$5,Table35[[#This Row],[Location]]&amp;RIGHT(Table35[[#Headers],[Facility_3]],1)&amp;"F","-")</f>
        <v>H1163F</v>
      </c>
      <c r="K114" s="2" t="str">
        <f t="shared" ref="K114" si="128">IF(J114="-","-","CHPpl_")</f>
        <v>CHPpl_</v>
      </c>
      <c r="L114" s="14">
        <f t="shared" si="81"/>
        <v>0</v>
      </c>
      <c r="V114" s="1">
        <v>40.000999999999998</v>
      </c>
      <c r="W114" s="1">
        <v>1</v>
      </c>
      <c r="X114" s="1">
        <v>0</v>
      </c>
    </row>
    <row r="115" spans="1:24" x14ac:dyDescent="0.25">
      <c r="A115" s="1" t="s">
        <v>27</v>
      </c>
      <c r="B115" s="1">
        <v>6372078.0240000002</v>
      </c>
      <c r="C115" s="1">
        <v>549539.21400000004</v>
      </c>
      <c r="D115" s="5" t="str">
        <f t="shared" si="74"/>
        <v>H281F</v>
      </c>
      <c r="E115" s="6" t="str">
        <f t="shared" si="75"/>
        <v>Heatpl</v>
      </c>
      <c r="F115" s="14">
        <f t="shared" si="76"/>
        <v>47872.799999999996</v>
      </c>
      <c r="G115" s="5" t="str">
        <f>IF(Table35[[#This Row],[Capacity1]]&lt;&gt;"-",Table35[[#This Row],[Location]]&amp;RIGHT(Table35[[#Headers],[Facility_2]],1)&amp;"F","-")</f>
        <v>H282F</v>
      </c>
      <c r="H115" s="6" t="str">
        <f t="shared" si="77"/>
        <v>TerHea</v>
      </c>
      <c r="I115" s="23">
        <f t="shared" si="78"/>
        <v>9999</v>
      </c>
      <c r="J115" s="5" t="str">
        <f>IF(Table35[[#This Row],[Capacity1]]*X115&gt;=$Y$5,Table35[[#This Row],[Location]]&amp;RIGHT(Table35[[#Headers],[Facility_3]],1)&amp;"F","-")</f>
        <v>H283F</v>
      </c>
      <c r="K115" s="2" t="str">
        <f t="shared" ref="K115" si="129">IF(J115="-","-","CHPpl_")</f>
        <v>CHPpl_</v>
      </c>
      <c r="L115" s="14">
        <f t="shared" si="81"/>
        <v>0</v>
      </c>
      <c r="V115" s="1">
        <v>39.893999999999998</v>
      </c>
      <c r="W115" s="1">
        <v>1</v>
      </c>
      <c r="X115" s="1">
        <v>0</v>
      </c>
    </row>
    <row r="116" spans="1:24" x14ac:dyDescent="0.25">
      <c r="A116" s="1" t="s">
        <v>211</v>
      </c>
      <c r="B116" s="1">
        <v>6505697.2930237101</v>
      </c>
      <c r="C116" s="1">
        <v>546600.07211426401</v>
      </c>
      <c r="D116" s="5" t="str">
        <f t="shared" si="74"/>
        <v>H2121F</v>
      </c>
      <c r="E116" s="6" t="str">
        <f t="shared" si="75"/>
        <v>Heatpl</v>
      </c>
      <c r="F116" s="14">
        <f t="shared" si="76"/>
        <v>46440.000000000007</v>
      </c>
      <c r="G116" s="5" t="str">
        <f>IF(Table35[[#This Row],[Capacity1]]&lt;&gt;"-",Table35[[#This Row],[Location]]&amp;RIGHT(Table35[[#Headers],[Facility_2]],1)&amp;"F","-")</f>
        <v>H2122F</v>
      </c>
      <c r="H116" s="6" t="str">
        <f t="shared" si="77"/>
        <v>TerHea</v>
      </c>
      <c r="I116" s="23">
        <f t="shared" si="78"/>
        <v>9999</v>
      </c>
      <c r="J116" s="5" t="str">
        <f>IF(Table35[[#This Row],[Capacity1]]*X116&gt;=$Y$5,Table35[[#This Row],[Location]]&amp;RIGHT(Table35[[#Headers],[Facility_3]],1)&amp;"F","-")</f>
        <v>H2123F</v>
      </c>
      <c r="K116" s="2" t="str">
        <f t="shared" ref="K116" si="130">IF(J116="-","-","CHPpl_")</f>
        <v>CHPpl_</v>
      </c>
      <c r="L116" s="14">
        <f t="shared" si="81"/>
        <v>0</v>
      </c>
      <c r="V116" s="1">
        <v>38.700000000000003</v>
      </c>
      <c r="W116" s="1">
        <v>1</v>
      </c>
      <c r="X116" s="1">
        <v>0</v>
      </c>
    </row>
    <row r="117" spans="1:24" x14ac:dyDescent="0.25">
      <c r="A117" s="1" t="s">
        <v>168</v>
      </c>
      <c r="B117" s="1">
        <v>6596166.6428046003</v>
      </c>
      <c r="C117" s="1">
        <v>655840.61270447995</v>
      </c>
      <c r="D117" s="5" t="str">
        <f t="shared" si="74"/>
        <v>H1691F</v>
      </c>
      <c r="E117" s="6" t="str">
        <f t="shared" si="75"/>
        <v>Heatpl</v>
      </c>
      <c r="F117" s="14">
        <f t="shared" si="76"/>
        <v>46320</v>
      </c>
      <c r="G117" s="5" t="str">
        <f>IF(Table35[[#This Row],[Capacity1]]&lt;&gt;"-",Table35[[#This Row],[Location]]&amp;RIGHT(Table35[[#Headers],[Facility_2]],1)&amp;"F","-")</f>
        <v>H1692F</v>
      </c>
      <c r="H117" s="6" t="str">
        <f t="shared" si="77"/>
        <v>TerHea</v>
      </c>
      <c r="I117" s="23">
        <f t="shared" si="78"/>
        <v>9999</v>
      </c>
      <c r="J117" s="5" t="str">
        <f>IF(Table35[[#This Row],[Capacity1]]*X117&gt;=$Y$5,Table35[[#This Row],[Location]]&amp;RIGHT(Table35[[#Headers],[Facility_3]],1)&amp;"F","-")</f>
        <v>H1693F</v>
      </c>
      <c r="K117" s="2" t="str">
        <f t="shared" ref="K117" si="131">IF(J117="-","-","CHPpl_")</f>
        <v>CHPpl_</v>
      </c>
      <c r="L117" s="14">
        <f t="shared" si="81"/>
        <v>0</v>
      </c>
      <c r="V117" s="1">
        <v>38.6</v>
      </c>
      <c r="W117" s="1">
        <v>1</v>
      </c>
      <c r="X117" s="1">
        <v>0</v>
      </c>
    </row>
    <row r="118" spans="1:24" x14ac:dyDescent="0.25">
      <c r="A118" s="1" t="s">
        <v>163</v>
      </c>
      <c r="B118" s="1">
        <v>6603514.86436076</v>
      </c>
      <c r="C118" s="1">
        <v>674176.27276112896</v>
      </c>
      <c r="D118" s="5" t="str">
        <f t="shared" si="74"/>
        <v>H1641F</v>
      </c>
      <c r="E118" s="6" t="str">
        <f t="shared" si="75"/>
        <v>Heatpl</v>
      </c>
      <c r="F118" s="14">
        <f t="shared" si="76"/>
        <v>44400</v>
      </c>
      <c r="G118" s="5" t="str">
        <f>IF(Table35[[#This Row],[Capacity1]]&lt;&gt;"-",Table35[[#This Row],[Location]]&amp;RIGHT(Table35[[#Headers],[Facility_2]],1)&amp;"F","-")</f>
        <v>H1642F</v>
      </c>
      <c r="H118" s="6" t="str">
        <f t="shared" si="77"/>
        <v>TerHea</v>
      </c>
      <c r="I118" s="23">
        <f t="shared" si="78"/>
        <v>9999</v>
      </c>
      <c r="J118" s="5" t="str">
        <f>IF(Table35[[#This Row],[Capacity1]]*X118&gt;=$Y$5,Table35[[#This Row],[Location]]&amp;RIGHT(Table35[[#Headers],[Facility_3]],1)&amp;"F","-")</f>
        <v>H1643F</v>
      </c>
      <c r="K118" s="2" t="str">
        <f t="shared" ref="K118" si="132">IF(J118="-","-","CHPpl_")</f>
        <v>CHPpl_</v>
      </c>
      <c r="L118" s="14">
        <f t="shared" si="81"/>
        <v>0</v>
      </c>
      <c r="V118" s="1">
        <v>37</v>
      </c>
      <c r="W118" s="1">
        <v>1</v>
      </c>
      <c r="X118" s="1">
        <v>0</v>
      </c>
    </row>
    <row r="119" spans="1:24" x14ac:dyDescent="0.25">
      <c r="A119" s="1" t="s">
        <v>3</v>
      </c>
      <c r="B119" s="1">
        <v>6980892.1189999999</v>
      </c>
      <c r="C119" s="1">
        <v>643439.22699999996</v>
      </c>
      <c r="D119" s="5" t="str">
        <f t="shared" si="74"/>
        <v>H41F</v>
      </c>
      <c r="E119" s="6" t="str">
        <f t="shared" si="75"/>
        <v>Heatpl</v>
      </c>
      <c r="F119" s="14">
        <f t="shared" si="76"/>
        <v>44258.399999999994</v>
      </c>
      <c r="G119" s="5" t="str">
        <f>IF(Table35[[#This Row],[Capacity1]]&lt;&gt;"-",Table35[[#This Row],[Location]]&amp;RIGHT(Table35[[#Headers],[Facility_2]],1)&amp;"F","-")</f>
        <v>H42F</v>
      </c>
      <c r="H119" s="6" t="str">
        <f t="shared" si="77"/>
        <v>TerHea</v>
      </c>
      <c r="I119" s="23">
        <f t="shared" si="78"/>
        <v>9999</v>
      </c>
      <c r="J119" s="5" t="str">
        <f>IF(Table35[[#This Row],[Capacity1]]*X119&gt;=$Y$5,Table35[[#This Row],[Location]]&amp;RIGHT(Table35[[#Headers],[Facility_3]],1)&amp;"F","-")</f>
        <v>H43F</v>
      </c>
      <c r="K119" s="2" t="str">
        <f t="shared" ref="K119" si="133">IF(J119="-","-","CHPpl_")</f>
        <v>CHPpl_</v>
      </c>
      <c r="L119" s="14">
        <f t="shared" si="81"/>
        <v>0</v>
      </c>
      <c r="V119" s="1">
        <v>36.881999999999998</v>
      </c>
      <c r="W119" s="1">
        <v>1</v>
      </c>
      <c r="X119" s="1">
        <v>0</v>
      </c>
    </row>
    <row r="120" spans="1:24" x14ac:dyDescent="0.25">
      <c r="A120" s="1" t="s">
        <v>202</v>
      </c>
      <c r="B120" s="1">
        <v>6536372.1978897704</v>
      </c>
      <c r="C120" s="1">
        <v>477986.29937446897</v>
      </c>
      <c r="D120" s="5" t="str">
        <f t="shared" si="74"/>
        <v>H2031F</v>
      </c>
      <c r="E120" s="6" t="str">
        <f t="shared" si="75"/>
        <v>Heatpl</v>
      </c>
      <c r="F120" s="14">
        <f t="shared" si="76"/>
        <v>44226.000000000007</v>
      </c>
      <c r="G120" s="5" t="str">
        <f>IF(Table35[[#This Row],[Capacity1]]&lt;&gt;"-",Table35[[#This Row],[Location]]&amp;RIGHT(Table35[[#Headers],[Facility_2]],1)&amp;"F","-")</f>
        <v>H2032F</v>
      </c>
      <c r="H120" s="6" t="str">
        <f t="shared" si="77"/>
        <v>TerHea</v>
      </c>
      <c r="I120" s="23">
        <f t="shared" si="78"/>
        <v>9999</v>
      </c>
      <c r="J120" s="5" t="str">
        <f>IF(Table35[[#This Row],[Capacity1]]*X120&gt;=$Y$5,Table35[[#This Row],[Location]]&amp;RIGHT(Table35[[#Headers],[Facility_3]],1)&amp;"F","-")</f>
        <v>H2033F</v>
      </c>
      <c r="K120" s="2" t="str">
        <f t="shared" ref="K120" si="134">IF(J120="-","-","CHPpl_")</f>
        <v>CHPpl_</v>
      </c>
      <c r="L120" s="14">
        <f t="shared" si="81"/>
        <v>0</v>
      </c>
      <c r="V120" s="1">
        <v>36.855000000000004</v>
      </c>
      <c r="W120" s="1">
        <v>1</v>
      </c>
      <c r="X120" s="1">
        <v>0</v>
      </c>
    </row>
    <row r="121" spans="1:24" x14ac:dyDescent="0.25">
      <c r="A121" s="1" t="s">
        <v>300</v>
      </c>
      <c r="B121" s="1">
        <v>6348732.2803024901</v>
      </c>
      <c r="C121" s="1">
        <v>412342.86302056297</v>
      </c>
      <c r="D121" s="5" t="str">
        <f t="shared" si="74"/>
        <v>H3011F</v>
      </c>
      <c r="E121" s="6" t="str">
        <f t="shared" si="75"/>
        <v>Heatpl</v>
      </c>
      <c r="F121" s="14">
        <f t="shared" si="76"/>
        <v>43911.6</v>
      </c>
      <c r="G121" s="5" t="str">
        <f>IF(Table35[[#This Row],[Capacity1]]&lt;&gt;"-",Table35[[#This Row],[Location]]&amp;RIGHT(Table35[[#Headers],[Facility_2]],1)&amp;"F","-")</f>
        <v>H3012F</v>
      </c>
      <c r="H121" s="6" t="str">
        <f t="shared" si="77"/>
        <v>TerHea</v>
      </c>
      <c r="I121" s="23">
        <f t="shared" si="78"/>
        <v>9999</v>
      </c>
      <c r="J121" s="5" t="str">
        <f>IF(Table35[[#This Row],[Capacity1]]*X121&gt;=$Y$5,Table35[[#This Row],[Location]]&amp;RIGHT(Table35[[#Headers],[Facility_3]],1)&amp;"F","-")</f>
        <v>H3013F</v>
      </c>
      <c r="K121" s="2" t="str">
        <f t="shared" ref="K121" si="135">IF(J121="-","-","CHPpl_")</f>
        <v>CHPpl_</v>
      </c>
      <c r="L121" s="14">
        <f t="shared" si="81"/>
        <v>0</v>
      </c>
      <c r="V121" s="1">
        <v>36.593000000000004</v>
      </c>
      <c r="W121" s="1">
        <v>1</v>
      </c>
      <c r="X121" s="1">
        <v>0</v>
      </c>
    </row>
    <row r="122" spans="1:24" x14ac:dyDescent="0.25">
      <c r="A122" s="1" t="s">
        <v>23</v>
      </c>
      <c r="B122" s="1">
        <v>6411344.2110000001</v>
      </c>
      <c r="C122" s="1">
        <v>489900.27500000002</v>
      </c>
      <c r="D122" s="5" t="str">
        <f t="shared" si="74"/>
        <v>H241F</v>
      </c>
      <c r="E122" s="6" t="str">
        <f t="shared" si="75"/>
        <v>Heatpl</v>
      </c>
      <c r="F122" s="14">
        <f t="shared" si="76"/>
        <v>43476.000000000007</v>
      </c>
      <c r="G122" s="5" t="str">
        <f>IF(Table35[[#This Row],[Capacity1]]&lt;&gt;"-",Table35[[#This Row],[Location]]&amp;RIGHT(Table35[[#Headers],[Facility_2]],1)&amp;"F","-")</f>
        <v>H242F</v>
      </c>
      <c r="H122" s="6" t="str">
        <f t="shared" si="77"/>
        <v>TerHea</v>
      </c>
      <c r="I122" s="23">
        <f t="shared" si="78"/>
        <v>9999</v>
      </c>
      <c r="J122" s="5" t="str">
        <f>IF(Table35[[#This Row],[Capacity1]]*X122&gt;=$Y$5,Table35[[#This Row],[Location]]&amp;RIGHT(Table35[[#Headers],[Facility_3]],1)&amp;"F","-")</f>
        <v>H243F</v>
      </c>
      <c r="K122" s="2" t="str">
        <f t="shared" ref="K122" si="136">IF(J122="-","-","CHPpl_")</f>
        <v>CHPpl_</v>
      </c>
      <c r="L122" s="14">
        <f t="shared" si="81"/>
        <v>0</v>
      </c>
      <c r="V122" s="1">
        <v>36.230000000000004</v>
      </c>
      <c r="W122" s="1">
        <v>1</v>
      </c>
      <c r="X122" s="1">
        <v>0</v>
      </c>
    </row>
    <row r="123" spans="1:24" x14ac:dyDescent="0.25">
      <c r="A123" s="1" t="s">
        <v>134</v>
      </c>
      <c r="B123" s="1">
        <v>6667107.08093738</v>
      </c>
      <c r="C123" s="1">
        <v>564713.68303619197</v>
      </c>
      <c r="D123" s="5" t="str">
        <f t="shared" si="74"/>
        <v>H1351F</v>
      </c>
      <c r="E123" s="6" t="str">
        <f t="shared" si="75"/>
        <v>Heatpl</v>
      </c>
      <c r="F123" s="14">
        <f t="shared" si="76"/>
        <v>43263.671999999991</v>
      </c>
      <c r="G123" s="5" t="str">
        <f>IF(Table35[[#This Row],[Capacity1]]&lt;&gt;"-",Table35[[#This Row],[Location]]&amp;RIGHT(Table35[[#Headers],[Facility_2]],1)&amp;"F","-")</f>
        <v>H1352F</v>
      </c>
      <c r="H123" s="6" t="str">
        <f t="shared" si="77"/>
        <v>TerHea</v>
      </c>
      <c r="I123" s="23">
        <f t="shared" si="78"/>
        <v>9999</v>
      </c>
      <c r="J123" s="5" t="str">
        <f>IF(Table35[[#This Row],[Capacity1]]*X123&gt;=$Y$5,Table35[[#This Row],[Location]]&amp;RIGHT(Table35[[#Headers],[Facility_3]],1)&amp;"F","-")</f>
        <v>H1353F</v>
      </c>
      <c r="K123" s="2" t="str">
        <f t="shared" ref="K123" si="137">IF(J123="-","-","CHPpl_")</f>
        <v>CHPpl_</v>
      </c>
      <c r="L123" s="14">
        <f t="shared" si="81"/>
        <v>0</v>
      </c>
      <c r="V123" s="1">
        <v>36.053059999999995</v>
      </c>
      <c r="W123" s="1">
        <v>1</v>
      </c>
      <c r="X123" s="1">
        <v>0</v>
      </c>
    </row>
    <row r="124" spans="1:24" x14ac:dyDescent="0.25">
      <c r="A124" s="1" t="s">
        <v>158</v>
      </c>
      <c r="B124" s="1">
        <v>6608483.1389010502</v>
      </c>
      <c r="C124" s="1">
        <v>587306.32478014496</v>
      </c>
      <c r="D124" s="5" t="str">
        <f t="shared" si="74"/>
        <v>H1591F</v>
      </c>
      <c r="E124" s="6" t="str">
        <f t="shared" si="75"/>
        <v>Heatpl</v>
      </c>
      <c r="F124" s="14">
        <f t="shared" si="76"/>
        <v>42929.182800000002</v>
      </c>
      <c r="G124" s="5" t="str">
        <f>IF(Table35[[#This Row],[Capacity1]]&lt;&gt;"-",Table35[[#This Row],[Location]]&amp;RIGHT(Table35[[#Headers],[Facility_2]],1)&amp;"F","-")</f>
        <v>H1592F</v>
      </c>
      <c r="H124" s="6" t="str">
        <f t="shared" si="77"/>
        <v>TerHea</v>
      </c>
      <c r="I124" s="23">
        <f t="shared" si="78"/>
        <v>9999</v>
      </c>
      <c r="J124" s="5" t="str">
        <f>IF(Table35[[#This Row],[Capacity1]]*X124&gt;=$Y$5,Table35[[#This Row],[Location]]&amp;RIGHT(Table35[[#Headers],[Facility_3]],1)&amp;"F","-")</f>
        <v>H1593F</v>
      </c>
      <c r="K124" s="2" t="str">
        <f t="shared" ref="K124" si="138">IF(J124="-","-","CHPpl_")</f>
        <v>CHPpl_</v>
      </c>
      <c r="L124" s="14">
        <f t="shared" si="81"/>
        <v>18804.265164133554</v>
      </c>
      <c r="V124" s="1">
        <v>35.774318999999998</v>
      </c>
      <c r="W124" s="1">
        <v>0.56197011129376651</v>
      </c>
      <c r="X124" s="1">
        <v>0.43802988870623349</v>
      </c>
    </row>
    <row r="125" spans="1:24" x14ac:dyDescent="0.25">
      <c r="A125" s="1" t="s">
        <v>266</v>
      </c>
      <c r="B125" s="1">
        <v>6402317.4830520796</v>
      </c>
      <c r="C125" s="1">
        <v>337831.27725552802</v>
      </c>
      <c r="D125" s="5" t="str">
        <f t="shared" si="74"/>
        <v>H2671F</v>
      </c>
      <c r="E125" s="6" t="str">
        <f t="shared" si="75"/>
        <v>Heatpl</v>
      </c>
      <c r="F125" s="14">
        <f t="shared" si="76"/>
        <v>42240</v>
      </c>
      <c r="G125" s="5" t="str">
        <f>IF(Table35[[#This Row],[Capacity1]]&lt;&gt;"-",Table35[[#This Row],[Location]]&amp;RIGHT(Table35[[#Headers],[Facility_2]],1)&amp;"F","-")</f>
        <v>H2672F</v>
      </c>
      <c r="H125" s="6" t="str">
        <f t="shared" si="77"/>
        <v>TerHea</v>
      </c>
      <c r="I125" s="23">
        <f t="shared" si="78"/>
        <v>9999</v>
      </c>
      <c r="J125" s="5" t="str">
        <f>IF(Table35[[#This Row],[Capacity1]]*X125&gt;=$Y$5,Table35[[#This Row],[Location]]&amp;RIGHT(Table35[[#Headers],[Facility_3]],1)&amp;"F","-")</f>
        <v>H2673F</v>
      </c>
      <c r="K125" s="2" t="str">
        <f t="shared" ref="K125" si="139">IF(J125="-","-","CHPpl_")</f>
        <v>CHPpl_</v>
      </c>
      <c r="L125" s="14">
        <f t="shared" si="81"/>
        <v>0</v>
      </c>
      <c r="V125" s="1">
        <v>35.200000000000003</v>
      </c>
      <c r="W125" s="1">
        <v>1</v>
      </c>
      <c r="X125" s="1">
        <v>0</v>
      </c>
    </row>
    <row r="126" spans="1:24" x14ac:dyDescent="0.25">
      <c r="A126" s="1" t="s">
        <v>291</v>
      </c>
      <c r="B126" s="1">
        <v>6370405.4441102399</v>
      </c>
      <c r="C126" s="1">
        <v>449091.39590796799</v>
      </c>
      <c r="D126" s="5" t="str">
        <f t="shared" si="74"/>
        <v>H2921F</v>
      </c>
      <c r="E126" s="6" t="str">
        <f t="shared" si="75"/>
        <v>Heatpl</v>
      </c>
      <c r="F126" s="14">
        <f t="shared" si="76"/>
        <v>40834.799999999996</v>
      </c>
      <c r="G126" s="5" t="str">
        <f>IF(Table35[[#This Row],[Capacity1]]&lt;&gt;"-",Table35[[#This Row],[Location]]&amp;RIGHT(Table35[[#Headers],[Facility_2]],1)&amp;"F","-")</f>
        <v>H2922F</v>
      </c>
      <c r="H126" s="6" t="str">
        <f t="shared" si="77"/>
        <v>TerHea</v>
      </c>
      <c r="I126" s="23">
        <f t="shared" si="78"/>
        <v>9999</v>
      </c>
      <c r="J126" s="5" t="str">
        <f>IF(Table35[[#This Row],[Capacity1]]*X126&gt;=$Y$5,Table35[[#This Row],[Location]]&amp;RIGHT(Table35[[#Headers],[Facility_3]],1)&amp;"F","-")</f>
        <v>H2923F</v>
      </c>
      <c r="K126" s="2" t="str">
        <f t="shared" ref="K126" si="140">IF(J126="-","-","CHPpl_")</f>
        <v>CHPpl_</v>
      </c>
      <c r="L126" s="14">
        <f t="shared" si="81"/>
        <v>0</v>
      </c>
      <c r="V126" s="1">
        <v>34.028999999999996</v>
      </c>
      <c r="W126" s="1">
        <v>1</v>
      </c>
      <c r="X126" s="1">
        <v>0</v>
      </c>
    </row>
    <row r="127" spans="1:24" x14ac:dyDescent="0.25">
      <c r="A127" s="1" t="s">
        <v>330</v>
      </c>
      <c r="B127" s="1">
        <v>6235707.39867038</v>
      </c>
      <c r="C127" s="1">
        <v>393622.43818727101</v>
      </c>
      <c r="D127" s="5" t="str">
        <f t="shared" si="74"/>
        <v>H3311F</v>
      </c>
      <c r="E127" s="6" t="str">
        <f t="shared" si="75"/>
        <v>Heatpl</v>
      </c>
      <c r="F127" s="14">
        <f t="shared" si="76"/>
        <v>40462.800000000003</v>
      </c>
      <c r="G127" s="5" t="str">
        <f>IF(Table35[[#This Row],[Capacity1]]&lt;&gt;"-",Table35[[#This Row],[Location]]&amp;RIGHT(Table35[[#Headers],[Facility_2]],1)&amp;"F","-")</f>
        <v>H3312F</v>
      </c>
      <c r="H127" s="6" t="str">
        <f t="shared" si="77"/>
        <v>TerHea</v>
      </c>
      <c r="I127" s="23">
        <f t="shared" si="78"/>
        <v>9999</v>
      </c>
      <c r="J127" s="5" t="str">
        <f>IF(Table35[[#This Row],[Capacity1]]*X127&gt;=$Y$5,Table35[[#This Row],[Location]]&amp;RIGHT(Table35[[#Headers],[Facility_3]],1)&amp;"F","-")</f>
        <v>H3313F</v>
      </c>
      <c r="K127" s="2" t="str">
        <f t="shared" ref="K127" si="141">IF(J127="-","-","CHPpl_")</f>
        <v>CHPpl_</v>
      </c>
      <c r="L127" s="14">
        <f t="shared" si="81"/>
        <v>0</v>
      </c>
      <c r="V127" s="1">
        <v>33.719000000000001</v>
      </c>
      <c r="W127" s="1">
        <v>1</v>
      </c>
      <c r="X127" s="1">
        <v>0</v>
      </c>
    </row>
    <row r="128" spans="1:24" x14ac:dyDescent="0.25">
      <c r="A128" s="1" t="s">
        <v>194</v>
      </c>
      <c r="B128" s="1">
        <v>6554483.0642691199</v>
      </c>
      <c r="C128" s="1">
        <v>380591.37503644498</v>
      </c>
      <c r="D128" s="5" t="str">
        <f t="shared" si="74"/>
        <v>H1951F</v>
      </c>
      <c r="E128" s="6" t="str">
        <f t="shared" si="75"/>
        <v>Heatpl</v>
      </c>
      <c r="F128" s="14">
        <f t="shared" si="76"/>
        <v>39824.399999999994</v>
      </c>
      <c r="G128" s="5" t="str">
        <f>IF(Table35[[#This Row],[Capacity1]]&lt;&gt;"-",Table35[[#This Row],[Location]]&amp;RIGHT(Table35[[#Headers],[Facility_2]],1)&amp;"F","-")</f>
        <v>H1952F</v>
      </c>
      <c r="H128" s="6" t="str">
        <f t="shared" si="77"/>
        <v>TerHea</v>
      </c>
      <c r="I128" s="23">
        <f t="shared" si="78"/>
        <v>9999</v>
      </c>
      <c r="J128" s="5" t="str">
        <f>IF(Table35[[#This Row],[Capacity1]]*X128&gt;=$Y$5,Table35[[#This Row],[Location]]&amp;RIGHT(Table35[[#Headers],[Facility_3]],1)&amp;"F","-")</f>
        <v>H1953F</v>
      </c>
      <c r="K128" s="2" t="str">
        <f t="shared" ref="K128" si="142">IF(J128="-","-","CHPpl_")</f>
        <v>CHPpl_</v>
      </c>
      <c r="L128" s="14">
        <f t="shared" si="81"/>
        <v>0</v>
      </c>
      <c r="V128" s="1">
        <v>33.186999999999998</v>
      </c>
      <c r="W128" s="1">
        <v>1</v>
      </c>
      <c r="X128" s="1">
        <v>0</v>
      </c>
    </row>
    <row r="129" spans="1:24" x14ac:dyDescent="0.25">
      <c r="A129" s="1" t="s">
        <v>162</v>
      </c>
      <c r="B129" s="1">
        <v>6605018.2044927999</v>
      </c>
      <c r="C129" s="1">
        <v>641522.93889434997</v>
      </c>
      <c r="D129" s="5" t="str">
        <f t="shared" si="74"/>
        <v>H1631F</v>
      </c>
      <c r="E129" s="6" t="str">
        <f t="shared" si="75"/>
        <v>Heatpl</v>
      </c>
      <c r="F129" s="14">
        <f t="shared" si="76"/>
        <v>38503.199999999997</v>
      </c>
      <c r="G129" s="5" t="str">
        <f>IF(Table35[[#This Row],[Capacity1]]&lt;&gt;"-",Table35[[#This Row],[Location]]&amp;RIGHT(Table35[[#Headers],[Facility_2]],1)&amp;"F","-")</f>
        <v>H1632F</v>
      </c>
      <c r="H129" s="6" t="str">
        <f t="shared" si="77"/>
        <v>TerHea</v>
      </c>
      <c r="I129" s="23">
        <f t="shared" si="78"/>
        <v>9999</v>
      </c>
      <c r="J129" s="5" t="str">
        <f>IF(Table35[[#This Row],[Capacity1]]*X129&gt;=$Y$5,Table35[[#This Row],[Location]]&amp;RIGHT(Table35[[#Headers],[Facility_3]],1)&amp;"F","-")</f>
        <v>H1633F</v>
      </c>
      <c r="K129" s="2" t="str">
        <f t="shared" ref="K129" si="143">IF(J129="-","-","CHPpl_")</f>
        <v>CHPpl_</v>
      </c>
      <c r="L129" s="14">
        <f t="shared" si="81"/>
        <v>0</v>
      </c>
      <c r="V129" s="1">
        <v>32.085999999999999</v>
      </c>
      <c r="W129" s="1">
        <v>1</v>
      </c>
      <c r="X129" s="1">
        <v>0</v>
      </c>
    </row>
    <row r="130" spans="1:24" x14ac:dyDescent="0.25">
      <c r="A130" s="1" t="s">
        <v>309</v>
      </c>
      <c r="B130" s="1">
        <v>6327359.5072367797</v>
      </c>
      <c r="C130" s="1">
        <v>333543.60459167999</v>
      </c>
      <c r="D130" s="5" t="str">
        <f t="shared" ref="D130:D193" si="144">$A130&amp;RIGHT(D$1,1)&amp;"F"</f>
        <v>H3101F</v>
      </c>
      <c r="E130" s="6" t="str">
        <f t="shared" ref="E130:E193" si="145">IF(D130="-","-","Heatpl")</f>
        <v>Heatpl</v>
      </c>
      <c r="F130" s="14">
        <f t="shared" ref="F130:F193" si="146">IF(1.2*1000*$V130&gt;=$Y$3,1.2*$V130*1000,"-")</f>
        <v>38498.399999999994</v>
      </c>
      <c r="G130" s="5" t="str">
        <f>IF(Table35[[#This Row],[Capacity1]]&lt;&gt;"-",Table35[[#This Row],[Location]]&amp;RIGHT(Table35[[#Headers],[Facility_2]],1)&amp;"F","-")</f>
        <v>H3102F</v>
      </c>
      <c r="H130" s="6" t="str">
        <f t="shared" ref="H130:H193" si="147">IF(G130="-","-","TerHea")</f>
        <v>TerHea</v>
      </c>
      <c r="I130" s="23">
        <f t="shared" ref="I130:I193" si="148">IF(H130="-",0,9999)</f>
        <v>9999</v>
      </c>
      <c r="J130" s="5" t="str">
        <f>IF(Table35[[#This Row],[Capacity1]]*X130&gt;=$Y$5,Table35[[#This Row],[Location]]&amp;RIGHT(Table35[[#Headers],[Facility_3]],1)&amp;"F","-")</f>
        <v>H3103F</v>
      </c>
      <c r="K130" s="2" t="str">
        <f t="shared" ref="K130" si="149">IF(J130="-","-","CHPpl_")</f>
        <v>CHPpl_</v>
      </c>
      <c r="L130" s="14">
        <f t="shared" si="81"/>
        <v>0</v>
      </c>
      <c r="V130" s="1">
        <v>32.082000000000001</v>
      </c>
      <c r="W130" s="1">
        <v>1</v>
      </c>
      <c r="X130" s="1">
        <v>0</v>
      </c>
    </row>
    <row r="131" spans="1:24" x14ac:dyDescent="0.25">
      <c r="A131" s="1" t="s">
        <v>260</v>
      </c>
      <c r="B131" s="1">
        <v>6417080.1208343301</v>
      </c>
      <c r="C131" s="1">
        <v>583212.86664115696</v>
      </c>
      <c r="D131" s="5" t="str">
        <f t="shared" si="144"/>
        <v>H2611F</v>
      </c>
      <c r="E131" s="6" t="str">
        <f t="shared" si="145"/>
        <v>Heatpl</v>
      </c>
      <c r="F131" s="14">
        <f t="shared" si="146"/>
        <v>38495.999999999993</v>
      </c>
      <c r="G131" s="5" t="str">
        <f>IF(Table35[[#This Row],[Capacity1]]&lt;&gt;"-",Table35[[#This Row],[Location]]&amp;RIGHT(Table35[[#Headers],[Facility_2]],1)&amp;"F","-")</f>
        <v>H2612F</v>
      </c>
      <c r="H131" s="6" t="str">
        <f t="shared" si="147"/>
        <v>TerHea</v>
      </c>
      <c r="I131" s="23">
        <f t="shared" si="148"/>
        <v>9999</v>
      </c>
      <c r="J131" s="5" t="str">
        <f>IF(Table35[[#This Row],[Capacity1]]*X131&gt;=$Y$5,Table35[[#This Row],[Location]]&amp;RIGHT(Table35[[#Headers],[Facility_3]],1)&amp;"F","-")</f>
        <v>H2613F</v>
      </c>
      <c r="K131" s="2" t="str">
        <f t="shared" ref="K131" si="150">IF(J131="-","-","CHPpl_")</f>
        <v>CHPpl_</v>
      </c>
      <c r="L131" s="14">
        <f t="shared" ref="L131:L194" si="151">IF(K131="-","-",F131*X131)</f>
        <v>0</v>
      </c>
      <c r="V131" s="1">
        <v>32.08</v>
      </c>
      <c r="W131" s="1">
        <v>1</v>
      </c>
      <c r="X131" s="1">
        <v>0</v>
      </c>
    </row>
    <row r="132" spans="1:24" x14ac:dyDescent="0.25">
      <c r="A132" s="1" t="s">
        <v>255</v>
      </c>
      <c r="B132" s="1">
        <v>6415918.6282498799</v>
      </c>
      <c r="C132" s="1">
        <v>445356.41350173298</v>
      </c>
      <c r="D132" s="5" t="str">
        <f t="shared" si="144"/>
        <v>H2561F</v>
      </c>
      <c r="E132" s="6" t="str">
        <f t="shared" si="145"/>
        <v>Heatpl</v>
      </c>
      <c r="F132" s="14">
        <f t="shared" si="146"/>
        <v>38160</v>
      </c>
      <c r="G132" s="5" t="str">
        <f>IF(Table35[[#This Row],[Capacity1]]&lt;&gt;"-",Table35[[#This Row],[Location]]&amp;RIGHT(Table35[[#Headers],[Facility_2]],1)&amp;"F","-")</f>
        <v>H2562F</v>
      </c>
      <c r="H132" s="6" t="str">
        <f t="shared" si="147"/>
        <v>TerHea</v>
      </c>
      <c r="I132" s="23">
        <f t="shared" si="148"/>
        <v>9999</v>
      </c>
      <c r="J132" s="5" t="str">
        <f>IF(Table35[[#This Row],[Capacity1]]*X132&gt;=$Y$5,Table35[[#This Row],[Location]]&amp;RIGHT(Table35[[#Headers],[Facility_3]],1)&amp;"F","-")</f>
        <v>H2563F</v>
      </c>
      <c r="K132" s="2" t="str">
        <f t="shared" ref="K132" si="152">IF(J132="-","-","CHPpl_")</f>
        <v>CHPpl_</v>
      </c>
      <c r="L132" s="14">
        <f t="shared" si="151"/>
        <v>0</v>
      </c>
      <c r="V132" s="1">
        <v>31.799999999999997</v>
      </c>
      <c r="W132" s="1">
        <v>1</v>
      </c>
      <c r="X132" s="1">
        <v>0</v>
      </c>
    </row>
    <row r="133" spans="1:24" x14ac:dyDescent="0.25">
      <c r="A133" s="1" t="s">
        <v>151</v>
      </c>
      <c r="B133" s="1">
        <v>6624279.8196928604</v>
      </c>
      <c r="C133" s="1">
        <v>472912.375212855</v>
      </c>
      <c r="D133" s="5" t="str">
        <f t="shared" si="144"/>
        <v>H1521F</v>
      </c>
      <c r="E133" s="6" t="str">
        <f t="shared" si="145"/>
        <v>Heatpl</v>
      </c>
      <c r="F133" s="14">
        <f t="shared" si="146"/>
        <v>38149.199999999997</v>
      </c>
      <c r="G133" s="5" t="str">
        <f>IF(Table35[[#This Row],[Capacity1]]&lt;&gt;"-",Table35[[#This Row],[Location]]&amp;RIGHT(Table35[[#Headers],[Facility_2]],1)&amp;"F","-")</f>
        <v>H1522F</v>
      </c>
      <c r="H133" s="6" t="str">
        <f t="shared" si="147"/>
        <v>TerHea</v>
      </c>
      <c r="I133" s="23">
        <f t="shared" si="148"/>
        <v>9999</v>
      </c>
      <c r="J133" s="5" t="str">
        <f>IF(Table35[[#This Row],[Capacity1]]*X133&gt;=$Y$5,Table35[[#This Row],[Location]]&amp;RIGHT(Table35[[#Headers],[Facility_3]],1)&amp;"F","-")</f>
        <v>H1523F</v>
      </c>
      <c r="K133" s="2" t="str">
        <f t="shared" ref="K133" si="153">IF(J133="-","-","CHPpl_")</f>
        <v>CHPpl_</v>
      </c>
      <c r="L133" s="14">
        <f t="shared" si="151"/>
        <v>0</v>
      </c>
      <c r="V133" s="1">
        <v>31.791</v>
      </c>
      <c r="W133" s="1">
        <v>1</v>
      </c>
      <c r="X133" s="1">
        <v>0</v>
      </c>
    </row>
    <row r="134" spans="1:24" x14ac:dyDescent="0.25">
      <c r="A134" s="1" t="s">
        <v>213</v>
      </c>
      <c r="B134" s="1">
        <v>6504091.8743293602</v>
      </c>
      <c r="C134" s="1">
        <v>449156.725453989</v>
      </c>
      <c r="D134" s="5" t="str">
        <f t="shared" si="144"/>
        <v>H2141F</v>
      </c>
      <c r="E134" s="6" t="str">
        <f t="shared" si="145"/>
        <v>Heatpl</v>
      </c>
      <c r="F134" s="14">
        <f t="shared" si="146"/>
        <v>36069.599999999991</v>
      </c>
      <c r="G134" s="5" t="str">
        <f>IF(Table35[[#This Row],[Capacity1]]&lt;&gt;"-",Table35[[#This Row],[Location]]&amp;RIGHT(Table35[[#Headers],[Facility_2]],1)&amp;"F","-")</f>
        <v>H2142F</v>
      </c>
      <c r="H134" s="6" t="str">
        <f t="shared" si="147"/>
        <v>TerHea</v>
      </c>
      <c r="I134" s="23">
        <f t="shared" si="148"/>
        <v>9999</v>
      </c>
      <c r="J134" s="5" t="str">
        <f>IF(Table35[[#This Row],[Capacity1]]*X134&gt;=$Y$5,Table35[[#This Row],[Location]]&amp;RIGHT(Table35[[#Headers],[Facility_3]],1)&amp;"F","-")</f>
        <v>H2143F</v>
      </c>
      <c r="K134" s="2" t="str">
        <f t="shared" ref="K134" si="154">IF(J134="-","-","CHPpl_")</f>
        <v>CHPpl_</v>
      </c>
      <c r="L134" s="14">
        <f t="shared" si="151"/>
        <v>0</v>
      </c>
      <c r="V134" s="1">
        <v>30.057999999999996</v>
      </c>
      <c r="W134" s="1">
        <v>1</v>
      </c>
      <c r="X134" s="1">
        <v>0</v>
      </c>
    </row>
    <row r="135" spans="1:24" x14ac:dyDescent="0.25">
      <c r="A135" s="1" t="s">
        <v>44</v>
      </c>
      <c r="B135" s="1">
        <v>7325572.6036253804</v>
      </c>
      <c r="C135" s="1">
        <v>831937.09170215903</v>
      </c>
      <c r="D135" s="5" t="str">
        <f t="shared" si="144"/>
        <v>H451F</v>
      </c>
      <c r="E135" s="6" t="str">
        <f t="shared" si="145"/>
        <v>Heatpl</v>
      </c>
      <c r="F135" s="14">
        <f t="shared" si="146"/>
        <v>35760</v>
      </c>
      <c r="G135" s="5" t="str">
        <f>IF(Table35[[#This Row],[Capacity1]]&lt;&gt;"-",Table35[[#This Row],[Location]]&amp;RIGHT(Table35[[#Headers],[Facility_2]],1)&amp;"F","-")</f>
        <v>H452F</v>
      </c>
      <c r="H135" s="6" t="str">
        <f t="shared" si="147"/>
        <v>TerHea</v>
      </c>
      <c r="I135" s="23">
        <f t="shared" si="148"/>
        <v>9999</v>
      </c>
      <c r="J135" s="5" t="str">
        <f>IF(Table35[[#This Row],[Capacity1]]*X135&gt;=$Y$5,Table35[[#This Row],[Location]]&amp;RIGHT(Table35[[#Headers],[Facility_3]],1)&amp;"F","-")</f>
        <v>H453F</v>
      </c>
      <c r="K135" s="2" t="str">
        <f t="shared" ref="K135" si="155">IF(J135="-","-","CHPpl_")</f>
        <v>CHPpl_</v>
      </c>
      <c r="L135" s="14">
        <f t="shared" si="151"/>
        <v>0</v>
      </c>
      <c r="V135" s="1">
        <v>29.8</v>
      </c>
      <c r="W135" s="1">
        <v>1</v>
      </c>
      <c r="X135" s="1">
        <v>0</v>
      </c>
    </row>
    <row r="136" spans="1:24" x14ac:dyDescent="0.25">
      <c r="A136" s="1" t="s">
        <v>283</v>
      </c>
      <c r="B136" s="1">
        <v>6389606.7862068703</v>
      </c>
      <c r="C136" s="1">
        <v>498652.67005440302</v>
      </c>
      <c r="D136" s="5" t="str">
        <f t="shared" si="144"/>
        <v>H2841F</v>
      </c>
      <c r="E136" s="6" t="str">
        <f t="shared" si="145"/>
        <v>Heatpl</v>
      </c>
      <c r="F136" s="14">
        <f t="shared" si="146"/>
        <v>35435.292000000001</v>
      </c>
      <c r="G136" s="5" t="str">
        <f>IF(Table35[[#This Row],[Capacity1]]&lt;&gt;"-",Table35[[#This Row],[Location]]&amp;RIGHT(Table35[[#Headers],[Facility_2]],1)&amp;"F","-")</f>
        <v>H2842F</v>
      </c>
      <c r="H136" s="6" t="str">
        <f t="shared" si="147"/>
        <v>TerHea</v>
      </c>
      <c r="I136" s="23">
        <f t="shared" si="148"/>
        <v>9999</v>
      </c>
      <c r="J136" s="5" t="str">
        <f>IF(Table35[[#This Row],[Capacity1]]*X136&gt;=$Y$5,Table35[[#This Row],[Location]]&amp;RIGHT(Table35[[#Headers],[Facility_3]],1)&amp;"F","-")</f>
        <v>H2843F</v>
      </c>
      <c r="K136" s="2" t="str">
        <f t="shared" ref="K136" si="156">IF(J136="-","-","CHPpl_")</f>
        <v>CHPpl_</v>
      </c>
      <c r="L136" s="14">
        <f t="shared" si="151"/>
        <v>0</v>
      </c>
      <c r="V136" s="1">
        <v>29.529410000000002</v>
      </c>
      <c r="W136" s="1">
        <v>1</v>
      </c>
      <c r="X136" s="1">
        <v>0</v>
      </c>
    </row>
    <row r="137" spans="1:24" x14ac:dyDescent="0.25">
      <c r="A137" s="1" t="s">
        <v>241</v>
      </c>
      <c r="B137" s="1">
        <v>6449611.4706640104</v>
      </c>
      <c r="C137" s="1">
        <v>492345.22179132001</v>
      </c>
      <c r="D137" s="5" t="str">
        <f t="shared" si="144"/>
        <v>H2421F</v>
      </c>
      <c r="E137" s="6" t="str">
        <f t="shared" si="145"/>
        <v>Heatpl</v>
      </c>
      <c r="F137" s="14">
        <f t="shared" si="146"/>
        <v>34995.599999999999</v>
      </c>
      <c r="G137" s="5" t="str">
        <f>IF(Table35[[#This Row],[Capacity1]]&lt;&gt;"-",Table35[[#This Row],[Location]]&amp;RIGHT(Table35[[#Headers],[Facility_2]],1)&amp;"F","-")</f>
        <v>H2422F</v>
      </c>
      <c r="H137" s="6" t="str">
        <f t="shared" si="147"/>
        <v>TerHea</v>
      </c>
      <c r="I137" s="23">
        <f t="shared" si="148"/>
        <v>9999</v>
      </c>
      <c r="J137" s="5" t="str">
        <f>IF(Table35[[#This Row],[Capacity1]]*X137&gt;=$Y$5,Table35[[#This Row],[Location]]&amp;RIGHT(Table35[[#Headers],[Facility_3]],1)&amp;"F","-")</f>
        <v>H2423F</v>
      </c>
      <c r="K137" s="2" t="str">
        <f t="shared" ref="K137" si="157">IF(J137="-","-","CHPpl_")</f>
        <v>CHPpl_</v>
      </c>
      <c r="L137" s="14">
        <f t="shared" si="151"/>
        <v>0</v>
      </c>
      <c r="V137" s="1">
        <v>29.163</v>
      </c>
      <c r="W137" s="1">
        <v>1</v>
      </c>
      <c r="X137" s="1">
        <v>0</v>
      </c>
    </row>
    <row r="138" spans="1:24" x14ac:dyDescent="0.25">
      <c r="A138" s="1" t="s">
        <v>118</v>
      </c>
      <c r="B138" s="1">
        <v>6724292.0530103398</v>
      </c>
      <c r="C138" s="1">
        <v>429222.21765546099</v>
      </c>
      <c r="D138" s="5" t="str">
        <f t="shared" si="144"/>
        <v>H1191F</v>
      </c>
      <c r="E138" s="6" t="str">
        <f t="shared" si="145"/>
        <v>Heatpl</v>
      </c>
      <c r="F138" s="14">
        <f t="shared" si="146"/>
        <v>34920</v>
      </c>
      <c r="G138" s="5" t="str">
        <f>IF(Table35[[#This Row],[Capacity1]]&lt;&gt;"-",Table35[[#This Row],[Location]]&amp;RIGHT(Table35[[#Headers],[Facility_2]],1)&amp;"F","-")</f>
        <v>H1192F</v>
      </c>
      <c r="H138" s="6" t="str">
        <f t="shared" si="147"/>
        <v>TerHea</v>
      </c>
      <c r="I138" s="23">
        <f t="shared" si="148"/>
        <v>9999</v>
      </c>
      <c r="J138" s="5" t="str">
        <f>IF(Table35[[#This Row],[Capacity1]]*X138&gt;=$Y$5,Table35[[#This Row],[Location]]&amp;RIGHT(Table35[[#Headers],[Facility_3]],1)&amp;"F","-")</f>
        <v>H1193F</v>
      </c>
      <c r="K138" s="2" t="str">
        <f t="shared" ref="K138" si="158">IF(J138="-","-","CHPpl_")</f>
        <v>CHPpl_</v>
      </c>
      <c r="L138" s="14">
        <f t="shared" si="151"/>
        <v>0</v>
      </c>
      <c r="V138" s="1">
        <v>29.1</v>
      </c>
      <c r="W138" s="1">
        <v>1</v>
      </c>
      <c r="X138" s="1">
        <v>0</v>
      </c>
    </row>
    <row r="139" spans="1:24" x14ac:dyDescent="0.25">
      <c r="A139" s="1" t="s">
        <v>242</v>
      </c>
      <c r="B139" s="1">
        <v>6449761.8506036</v>
      </c>
      <c r="C139" s="1">
        <v>558752.36921642802</v>
      </c>
      <c r="D139" s="5" t="str">
        <f t="shared" si="144"/>
        <v>H2431F</v>
      </c>
      <c r="E139" s="6" t="str">
        <f t="shared" si="145"/>
        <v>Heatpl</v>
      </c>
      <c r="F139" s="14">
        <f t="shared" si="146"/>
        <v>33684.707999999999</v>
      </c>
      <c r="G139" s="5" t="str">
        <f>IF(Table35[[#This Row],[Capacity1]]&lt;&gt;"-",Table35[[#This Row],[Location]]&amp;RIGHT(Table35[[#Headers],[Facility_2]],1)&amp;"F","-")</f>
        <v>H2432F</v>
      </c>
      <c r="H139" s="6" t="str">
        <f t="shared" si="147"/>
        <v>TerHea</v>
      </c>
      <c r="I139" s="23">
        <f t="shared" si="148"/>
        <v>9999</v>
      </c>
      <c r="J139" s="5" t="str">
        <f>IF(Table35[[#This Row],[Capacity1]]*X139&gt;=$Y$5,Table35[[#This Row],[Location]]&amp;RIGHT(Table35[[#Headers],[Facility_3]],1)&amp;"F","-")</f>
        <v>H2433F</v>
      </c>
      <c r="K139" s="2" t="str">
        <f t="shared" ref="K139" si="159">IF(J139="-","-","CHPpl_")</f>
        <v>CHPpl_</v>
      </c>
      <c r="L139" s="14">
        <f t="shared" si="151"/>
        <v>0</v>
      </c>
      <c r="V139" s="1">
        <v>28.070590000000003</v>
      </c>
      <c r="W139" s="1">
        <v>1</v>
      </c>
      <c r="X139" s="1">
        <v>0</v>
      </c>
    </row>
    <row r="140" spans="1:24" x14ac:dyDescent="0.25">
      <c r="A140" s="1" t="s">
        <v>265</v>
      </c>
      <c r="B140" s="1">
        <v>6403391.5254150396</v>
      </c>
      <c r="C140" s="1">
        <v>405695.59722574602</v>
      </c>
      <c r="D140" s="5" t="str">
        <f t="shared" si="144"/>
        <v>H2661F</v>
      </c>
      <c r="E140" s="6" t="str">
        <f t="shared" si="145"/>
        <v>Heatpl</v>
      </c>
      <c r="F140" s="14">
        <f t="shared" si="146"/>
        <v>33560.904000000002</v>
      </c>
      <c r="G140" s="5" t="str">
        <f>IF(Table35[[#This Row],[Capacity1]]&lt;&gt;"-",Table35[[#This Row],[Location]]&amp;RIGHT(Table35[[#Headers],[Facility_2]],1)&amp;"F","-")</f>
        <v>H2662F</v>
      </c>
      <c r="H140" s="6" t="str">
        <f t="shared" si="147"/>
        <v>TerHea</v>
      </c>
      <c r="I140" s="23">
        <f t="shared" si="148"/>
        <v>9999</v>
      </c>
      <c r="J140" s="5" t="str">
        <f>IF(Table35[[#This Row],[Capacity1]]*X140&gt;=$Y$5,Table35[[#This Row],[Location]]&amp;RIGHT(Table35[[#Headers],[Facility_3]],1)&amp;"F","-")</f>
        <v>H2663F</v>
      </c>
      <c r="K140" s="2" t="str">
        <f t="shared" ref="K140" si="160">IF(J140="-","-","CHPpl_")</f>
        <v>CHPpl_</v>
      </c>
      <c r="L140" s="14">
        <f t="shared" si="151"/>
        <v>0</v>
      </c>
      <c r="V140" s="1">
        <v>27.967420000000001</v>
      </c>
      <c r="W140" s="1">
        <v>1</v>
      </c>
      <c r="X140" s="1">
        <v>0</v>
      </c>
    </row>
    <row r="141" spans="1:24" x14ac:dyDescent="0.25">
      <c r="A141" s="1" t="s">
        <v>112</v>
      </c>
      <c r="B141" s="1">
        <v>6773505.8276772201</v>
      </c>
      <c r="C141" s="1">
        <v>479596.61678931699</v>
      </c>
      <c r="D141" s="5" t="str">
        <f t="shared" si="144"/>
        <v>H1131F</v>
      </c>
      <c r="E141" s="6" t="str">
        <f t="shared" si="145"/>
        <v>Heatpl</v>
      </c>
      <c r="F141" s="14">
        <f t="shared" si="146"/>
        <v>33480</v>
      </c>
      <c r="G141" s="5" t="str">
        <f>IF(Table35[[#This Row],[Capacity1]]&lt;&gt;"-",Table35[[#This Row],[Location]]&amp;RIGHT(Table35[[#Headers],[Facility_2]],1)&amp;"F","-")</f>
        <v>H1132F</v>
      </c>
      <c r="H141" s="6" t="str">
        <f t="shared" si="147"/>
        <v>TerHea</v>
      </c>
      <c r="I141" s="23">
        <f t="shared" si="148"/>
        <v>9999</v>
      </c>
      <c r="J141" s="5" t="str">
        <f>IF(Table35[[#This Row],[Capacity1]]*X141&gt;=$Y$5,Table35[[#This Row],[Location]]&amp;RIGHT(Table35[[#Headers],[Facility_3]],1)&amp;"F","-")</f>
        <v>H1133F</v>
      </c>
      <c r="K141" s="2" t="str">
        <f t="shared" ref="K141" si="161">IF(J141="-","-","CHPpl_")</f>
        <v>CHPpl_</v>
      </c>
      <c r="L141" s="14">
        <f t="shared" si="151"/>
        <v>0</v>
      </c>
      <c r="V141" s="1">
        <v>27.9</v>
      </c>
      <c r="W141" s="1">
        <v>1</v>
      </c>
      <c r="X141" s="1">
        <v>0</v>
      </c>
    </row>
    <row r="142" spans="1:24" x14ac:dyDescent="0.25">
      <c r="A142" s="1" t="s">
        <v>318</v>
      </c>
      <c r="B142" s="1">
        <v>6304019.2809433499</v>
      </c>
      <c r="C142" s="1">
        <v>601462.81144965999</v>
      </c>
      <c r="D142" s="5" t="str">
        <f t="shared" si="144"/>
        <v>H3191F</v>
      </c>
      <c r="E142" s="6" t="str">
        <f t="shared" si="145"/>
        <v>Heatpl</v>
      </c>
      <c r="F142" s="14">
        <f t="shared" si="146"/>
        <v>32341.200000000001</v>
      </c>
      <c r="G142" s="5" t="str">
        <f>IF(Table35[[#This Row],[Capacity1]]&lt;&gt;"-",Table35[[#This Row],[Location]]&amp;RIGHT(Table35[[#Headers],[Facility_2]],1)&amp;"F","-")</f>
        <v>H3192F</v>
      </c>
      <c r="H142" s="6" t="str">
        <f t="shared" si="147"/>
        <v>TerHea</v>
      </c>
      <c r="I142" s="23">
        <f t="shared" si="148"/>
        <v>9999</v>
      </c>
      <c r="J142" s="5" t="str">
        <f>IF(Table35[[#This Row],[Capacity1]]*X142&gt;=$Y$5,Table35[[#This Row],[Location]]&amp;RIGHT(Table35[[#Headers],[Facility_3]],1)&amp;"F","-")</f>
        <v>H3193F</v>
      </c>
      <c r="K142" s="2" t="str">
        <f t="shared" ref="K142" si="162">IF(J142="-","-","CHPpl_")</f>
        <v>CHPpl_</v>
      </c>
      <c r="L142" s="14">
        <f t="shared" si="151"/>
        <v>0</v>
      </c>
      <c r="V142" s="1">
        <v>26.951000000000001</v>
      </c>
      <c r="W142" s="1">
        <v>1</v>
      </c>
      <c r="X142" s="1">
        <v>0</v>
      </c>
    </row>
    <row r="143" spans="1:24" x14ac:dyDescent="0.25">
      <c r="A143" s="1" t="s">
        <v>295</v>
      </c>
      <c r="B143" s="1">
        <v>6362674.1413989598</v>
      </c>
      <c r="C143" s="1">
        <v>445501.680928924</v>
      </c>
      <c r="D143" s="5" t="str">
        <f t="shared" si="144"/>
        <v>H2961F</v>
      </c>
      <c r="E143" s="6" t="str">
        <f t="shared" si="145"/>
        <v>Heatpl</v>
      </c>
      <c r="F143" s="14">
        <f t="shared" si="146"/>
        <v>31921.199999999997</v>
      </c>
      <c r="G143" s="5" t="str">
        <f>IF(Table35[[#This Row],[Capacity1]]&lt;&gt;"-",Table35[[#This Row],[Location]]&amp;RIGHT(Table35[[#Headers],[Facility_2]],1)&amp;"F","-")</f>
        <v>H2962F</v>
      </c>
      <c r="H143" s="6" t="str">
        <f t="shared" si="147"/>
        <v>TerHea</v>
      </c>
      <c r="I143" s="23">
        <f t="shared" si="148"/>
        <v>9999</v>
      </c>
      <c r="J143" s="5" t="str">
        <f>IF(Table35[[#This Row],[Capacity1]]*X143&gt;=$Y$5,Table35[[#This Row],[Location]]&amp;RIGHT(Table35[[#Headers],[Facility_3]],1)&amp;"F","-")</f>
        <v>H2963F</v>
      </c>
      <c r="K143" s="2" t="str">
        <f t="shared" ref="K143" si="163">IF(J143="-","-","CHPpl_")</f>
        <v>CHPpl_</v>
      </c>
      <c r="L143" s="14">
        <f t="shared" si="151"/>
        <v>0</v>
      </c>
      <c r="V143" s="1">
        <v>26.600999999999999</v>
      </c>
      <c r="W143" s="1">
        <v>1</v>
      </c>
      <c r="X143" s="1">
        <v>0</v>
      </c>
    </row>
    <row r="144" spans="1:24" x14ac:dyDescent="0.25">
      <c r="A144" s="1" t="s">
        <v>334</v>
      </c>
      <c r="B144" s="1">
        <v>6229184.9675980499</v>
      </c>
      <c r="C144" s="1">
        <v>507306.05280465202</v>
      </c>
      <c r="D144" s="5" t="str">
        <f t="shared" si="144"/>
        <v>H3351F</v>
      </c>
      <c r="E144" s="6" t="str">
        <f t="shared" si="145"/>
        <v>Heatpl</v>
      </c>
      <c r="F144" s="14">
        <f t="shared" si="146"/>
        <v>31799.997599999999</v>
      </c>
      <c r="G144" s="5" t="str">
        <f>IF(Table35[[#This Row],[Capacity1]]&lt;&gt;"-",Table35[[#This Row],[Location]]&amp;RIGHT(Table35[[#Headers],[Facility_2]],1)&amp;"F","-")</f>
        <v>H3352F</v>
      </c>
      <c r="H144" s="6" t="str">
        <f t="shared" si="147"/>
        <v>TerHea</v>
      </c>
      <c r="I144" s="23">
        <f t="shared" si="148"/>
        <v>9999</v>
      </c>
      <c r="J144" s="5" t="str">
        <f>IF(Table35[[#This Row],[Capacity1]]*X144&gt;=$Y$5,Table35[[#This Row],[Location]]&amp;RIGHT(Table35[[#Headers],[Facility_3]],1)&amp;"F","-")</f>
        <v>H3353F</v>
      </c>
      <c r="K144" s="2" t="str">
        <f t="shared" ref="K144" si="164">IF(J144="-","-","CHPpl_")</f>
        <v>CHPpl_</v>
      </c>
      <c r="L144" s="14">
        <f t="shared" si="151"/>
        <v>0</v>
      </c>
      <c r="V144" s="1">
        <v>26.499997999999998</v>
      </c>
      <c r="W144" s="1">
        <v>1</v>
      </c>
      <c r="X144" s="1">
        <v>0</v>
      </c>
    </row>
    <row r="145" spans="1:24" x14ac:dyDescent="0.25">
      <c r="A145" s="1" t="s">
        <v>254</v>
      </c>
      <c r="B145" s="1">
        <v>6416824.0025974596</v>
      </c>
      <c r="C145" s="1">
        <v>433598.71472676197</v>
      </c>
      <c r="D145" s="5" t="str">
        <f t="shared" si="144"/>
        <v>H2551F</v>
      </c>
      <c r="E145" s="6" t="str">
        <f t="shared" si="145"/>
        <v>Heatpl</v>
      </c>
      <c r="F145" s="14">
        <f t="shared" si="146"/>
        <v>31680</v>
      </c>
      <c r="G145" s="5" t="str">
        <f>IF(Table35[[#This Row],[Capacity1]]&lt;&gt;"-",Table35[[#This Row],[Location]]&amp;RIGHT(Table35[[#Headers],[Facility_2]],1)&amp;"F","-")</f>
        <v>H2552F</v>
      </c>
      <c r="H145" s="6" t="str">
        <f t="shared" si="147"/>
        <v>TerHea</v>
      </c>
      <c r="I145" s="23">
        <f t="shared" si="148"/>
        <v>9999</v>
      </c>
      <c r="J145" s="5" t="str">
        <f>IF(Table35[[#This Row],[Capacity1]]*X145&gt;=$Y$5,Table35[[#This Row],[Location]]&amp;RIGHT(Table35[[#Headers],[Facility_3]],1)&amp;"F","-")</f>
        <v>H2553F</v>
      </c>
      <c r="K145" s="2" t="str">
        <f t="shared" ref="K145" si="165">IF(J145="-","-","CHPpl_")</f>
        <v>CHPpl_</v>
      </c>
      <c r="L145" s="14">
        <f t="shared" si="151"/>
        <v>0</v>
      </c>
      <c r="V145" s="1">
        <v>26.400000000000002</v>
      </c>
      <c r="W145" s="1">
        <v>1</v>
      </c>
      <c r="X145" s="1">
        <v>0</v>
      </c>
    </row>
    <row r="146" spans="1:24" x14ac:dyDescent="0.25">
      <c r="A146" s="1" t="s">
        <v>206</v>
      </c>
      <c r="B146" s="1">
        <v>6533451.9096664796</v>
      </c>
      <c r="C146" s="1">
        <v>670170.64406811504</v>
      </c>
      <c r="D146" s="5" t="str">
        <f t="shared" si="144"/>
        <v>H2071F</v>
      </c>
      <c r="E146" s="6" t="str">
        <f t="shared" si="145"/>
        <v>Heatpl</v>
      </c>
      <c r="F146" s="14">
        <f t="shared" si="146"/>
        <v>31558.838399999997</v>
      </c>
      <c r="G146" s="5" t="str">
        <f>IF(Table35[[#This Row],[Capacity1]]&lt;&gt;"-",Table35[[#This Row],[Location]]&amp;RIGHT(Table35[[#Headers],[Facility_2]],1)&amp;"F","-")</f>
        <v>H2072F</v>
      </c>
      <c r="H146" s="6" t="str">
        <f t="shared" si="147"/>
        <v>TerHea</v>
      </c>
      <c r="I146" s="23">
        <f t="shared" si="148"/>
        <v>9999</v>
      </c>
      <c r="J146" s="5" t="str">
        <f>IF(Table35[[#This Row],[Capacity1]]*X146&gt;=$Y$5,Table35[[#This Row],[Location]]&amp;RIGHT(Table35[[#Headers],[Facility_3]],1)&amp;"F","-")</f>
        <v>H2073F</v>
      </c>
      <c r="K146" s="2" t="str">
        <f t="shared" ref="K146" si="166">IF(J146="-","-","CHPpl_")</f>
        <v>CHPpl_</v>
      </c>
      <c r="L146" s="14">
        <f t="shared" si="151"/>
        <v>0</v>
      </c>
      <c r="V146" s="1">
        <v>26.299031999999997</v>
      </c>
      <c r="W146" s="1">
        <v>1</v>
      </c>
      <c r="X146" s="1">
        <v>0</v>
      </c>
    </row>
    <row r="147" spans="1:24" x14ac:dyDescent="0.25">
      <c r="A147" s="1" t="s">
        <v>21</v>
      </c>
      <c r="B147" s="1">
        <v>6439280.6780000003</v>
      </c>
      <c r="C147" s="1">
        <v>383786.61</v>
      </c>
      <c r="D147" s="5" t="str">
        <f t="shared" si="144"/>
        <v>H221F</v>
      </c>
      <c r="E147" s="6" t="str">
        <f t="shared" si="145"/>
        <v>Heatpl</v>
      </c>
      <c r="F147" s="14">
        <f t="shared" si="146"/>
        <v>31520.519999999997</v>
      </c>
      <c r="G147" s="5" t="str">
        <f>IF(Table35[[#This Row],[Capacity1]]&lt;&gt;"-",Table35[[#This Row],[Location]]&amp;RIGHT(Table35[[#Headers],[Facility_2]],1)&amp;"F","-")</f>
        <v>H222F</v>
      </c>
      <c r="H147" s="6" t="str">
        <f t="shared" si="147"/>
        <v>TerHea</v>
      </c>
      <c r="I147" s="23">
        <f t="shared" si="148"/>
        <v>9999</v>
      </c>
      <c r="J147" s="5" t="str">
        <f>IF(Table35[[#This Row],[Capacity1]]*X147&gt;=$Y$5,Table35[[#This Row],[Location]]&amp;RIGHT(Table35[[#Headers],[Facility_3]],1)&amp;"F","-")</f>
        <v>H223F</v>
      </c>
      <c r="K147" s="2" t="str">
        <f t="shared" ref="K147" si="167">IF(J147="-","-","CHPpl_")</f>
        <v>CHPpl_</v>
      </c>
      <c r="L147" s="14">
        <f t="shared" si="151"/>
        <v>0</v>
      </c>
      <c r="V147" s="1">
        <v>26.267099999999999</v>
      </c>
      <c r="W147" s="1">
        <v>1</v>
      </c>
      <c r="X147" s="1">
        <v>0</v>
      </c>
    </row>
    <row r="148" spans="1:24" x14ac:dyDescent="0.25">
      <c r="A148" s="1" t="s">
        <v>46</v>
      </c>
      <c r="B148" s="1">
        <v>7294078.8309761696</v>
      </c>
      <c r="C148" s="1">
        <v>829831.23632208596</v>
      </c>
      <c r="D148" s="5" t="str">
        <f t="shared" si="144"/>
        <v>H471F</v>
      </c>
      <c r="E148" s="6" t="str">
        <f t="shared" si="145"/>
        <v>Heatpl</v>
      </c>
      <c r="F148" s="14">
        <f t="shared" si="146"/>
        <v>31439.999999999996</v>
      </c>
      <c r="G148" s="5" t="str">
        <f>IF(Table35[[#This Row],[Capacity1]]&lt;&gt;"-",Table35[[#This Row],[Location]]&amp;RIGHT(Table35[[#Headers],[Facility_2]],1)&amp;"F","-")</f>
        <v>H472F</v>
      </c>
      <c r="H148" s="6" t="str">
        <f t="shared" si="147"/>
        <v>TerHea</v>
      </c>
      <c r="I148" s="23">
        <f t="shared" si="148"/>
        <v>9999</v>
      </c>
      <c r="J148" s="5" t="str">
        <f>IF(Table35[[#This Row],[Capacity1]]*X148&gt;=$Y$5,Table35[[#This Row],[Location]]&amp;RIGHT(Table35[[#Headers],[Facility_3]],1)&amp;"F","-")</f>
        <v>H473F</v>
      </c>
      <c r="K148" s="2" t="str">
        <f t="shared" ref="K148" si="168">IF(J148="-","-","CHPpl_")</f>
        <v>CHPpl_</v>
      </c>
      <c r="L148" s="14">
        <f t="shared" si="151"/>
        <v>0</v>
      </c>
      <c r="V148" s="1">
        <v>26.2</v>
      </c>
      <c r="W148" s="1">
        <v>1</v>
      </c>
      <c r="X148" s="1">
        <v>0</v>
      </c>
    </row>
    <row r="149" spans="1:24" x14ac:dyDescent="0.25">
      <c r="A149" s="1" t="s">
        <v>352</v>
      </c>
      <c r="B149" s="1">
        <v>6165233.6077760598</v>
      </c>
      <c r="C149" s="1">
        <v>386048.65733774099</v>
      </c>
      <c r="D149" s="5" t="str">
        <f t="shared" si="144"/>
        <v>H3531F</v>
      </c>
      <c r="E149" s="6" t="str">
        <f t="shared" si="145"/>
        <v>Heatpl</v>
      </c>
      <c r="F149" s="14">
        <f t="shared" si="146"/>
        <v>31101.599999999999</v>
      </c>
      <c r="G149" s="5" t="str">
        <f>IF(Table35[[#This Row],[Capacity1]]&lt;&gt;"-",Table35[[#This Row],[Location]]&amp;RIGHT(Table35[[#Headers],[Facility_2]],1)&amp;"F","-")</f>
        <v>H3532F</v>
      </c>
      <c r="H149" s="6" t="str">
        <f t="shared" si="147"/>
        <v>TerHea</v>
      </c>
      <c r="I149" s="23">
        <f t="shared" si="148"/>
        <v>9999</v>
      </c>
      <c r="J149" s="5" t="str">
        <f>IF(Table35[[#This Row],[Capacity1]]*X149&gt;=$Y$5,Table35[[#This Row],[Location]]&amp;RIGHT(Table35[[#Headers],[Facility_3]],1)&amp;"F","-")</f>
        <v>H3533F</v>
      </c>
      <c r="K149" s="2" t="str">
        <f t="shared" ref="K149" si="169">IF(J149="-","-","CHPpl_")</f>
        <v>CHPpl_</v>
      </c>
      <c r="L149" s="14">
        <f t="shared" si="151"/>
        <v>0</v>
      </c>
      <c r="V149" s="1">
        <v>25.917999999999999</v>
      </c>
      <c r="W149" s="1">
        <v>1</v>
      </c>
      <c r="X149" s="1">
        <v>0</v>
      </c>
    </row>
    <row r="150" spans="1:24" x14ac:dyDescent="0.25">
      <c r="A150" s="1" t="s">
        <v>35</v>
      </c>
      <c r="B150" s="1">
        <v>6218089.7850000001</v>
      </c>
      <c r="C150" s="1">
        <v>370458.94900000002</v>
      </c>
      <c r="D150" s="5" t="str">
        <f t="shared" si="144"/>
        <v>H361F</v>
      </c>
      <c r="E150" s="6" t="str">
        <f t="shared" si="145"/>
        <v>Heatpl</v>
      </c>
      <c r="F150" s="14">
        <f t="shared" si="146"/>
        <v>30991.200000000001</v>
      </c>
      <c r="G150" s="5" t="str">
        <f>IF(Table35[[#This Row],[Capacity1]]&lt;&gt;"-",Table35[[#This Row],[Location]]&amp;RIGHT(Table35[[#Headers],[Facility_2]],1)&amp;"F","-")</f>
        <v>H362F</v>
      </c>
      <c r="H150" s="6" t="str">
        <f t="shared" si="147"/>
        <v>TerHea</v>
      </c>
      <c r="I150" s="23">
        <f t="shared" si="148"/>
        <v>9999</v>
      </c>
      <c r="J150" s="5" t="str">
        <f>IF(Table35[[#This Row],[Capacity1]]*X150&gt;=$Y$5,Table35[[#This Row],[Location]]&amp;RIGHT(Table35[[#Headers],[Facility_3]],1)&amp;"F","-")</f>
        <v>H363F</v>
      </c>
      <c r="K150" s="2" t="str">
        <f t="shared" ref="K150" si="170">IF(J150="-","-","CHPpl_")</f>
        <v>CHPpl_</v>
      </c>
      <c r="L150" s="14">
        <f t="shared" si="151"/>
        <v>0</v>
      </c>
      <c r="V150" s="1">
        <v>25.826000000000001</v>
      </c>
      <c r="W150" s="1">
        <v>1</v>
      </c>
      <c r="X150" s="1">
        <v>0</v>
      </c>
    </row>
    <row r="151" spans="1:24" x14ac:dyDescent="0.25">
      <c r="A151" s="1" t="s">
        <v>88</v>
      </c>
      <c r="B151" s="1">
        <v>6955607.3430477204</v>
      </c>
      <c r="C151" s="1">
        <v>521729.179399329</v>
      </c>
      <c r="D151" s="5" t="str">
        <f t="shared" si="144"/>
        <v>H891F</v>
      </c>
      <c r="E151" s="6" t="str">
        <f t="shared" si="145"/>
        <v>Heatpl</v>
      </c>
      <c r="F151" s="14">
        <f t="shared" si="146"/>
        <v>30960</v>
      </c>
      <c r="G151" s="5" t="str">
        <f>IF(Table35[[#This Row],[Capacity1]]&lt;&gt;"-",Table35[[#This Row],[Location]]&amp;RIGHT(Table35[[#Headers],[Facility_2]],1)&amp;"F","-")</f>
        <v>H892F</v>
      </c>
      <c r="H151" s="6" t="str">
        <f t="shared" si="147"/>
        <v>TerHea</v>
      </c>
      <c r="I151" s="23">
        <f t="shared" si="148"/>
        <v>9999</v>
      </c>
      <c r="J151" s="5" t="str">
        <f>IF(Table35[[#This Row],[Capacity1]]*X151&gt;=$Y$5,Table35[[#This Row],[Location]]&amp;RIGHT(Table35[[#Headers],[Facility_3]],1)&amp;"F","-")</f>
        <v>H893F</v>
      </c>
      <c r="K151" s="2" t="str">
        <f t="shared" ref="K151" si="171">IF(J151="-","-","CHPpl_")</f>
        <v>CHPpl_</v>
      </c>
      <c r="L151" s="14">
        <f t="shared" si="151"/>
        <v>0</v>
      </c>
      <c r="V151" s="1">
        <v>25.8</v>
      </c>
      <c r="W151" s="1">
        <v>1</v>
      </c>
      <c r="X151" s="1">
        <v>0</v>
      </c>
    </row>
    <row r="152" spans="1:24" x14ac:dyDescent="0.25">
      <c r="A152" s="1" t="s">
        <v>110</v>
      </c>
      <c r="B152" s="1">
        <v>6788204.0264717098</v>
      </c>
      <c r="C152" s="1">
        <v>584275.97883665503</v>
      </c>
      <c r="D152" s="5" t="str">
        <f t="shared" si="144"/>
        <v>H1111F</v>
      </c>
      <c r="E152" s="6" t="str">
        <f t="shared" si="145"/>
        <v>Heatpl</v>
      </c>
      <c r="F152" s="14">
        <f t="shared" si="146"/>
        <v>30900</v>
      </c>
      <c r="G152" s="5" t="str">
        <f>IF(Table35[[#This Row],[Capacity1]]&lt;&gt;"-",Table35[[#This Row],[Location]]&amp;RIGHT(Table35[[#Headers],[Facility_2]],1)&amp;"F","-")</f>
        <v>H1112F</v>
      </c>
      <c r="H152" s="6" t="str">
        <f t="shared" si="147"/>
        <v>TerHea</v>
      </c>
      <c r="I152" s="23">
        <f t="shared" si="148"/>
        <v>9999</v>
      </c>
      <c r="J152" s="5" t="str">
        <f>IF(Table35[[#This Row],[Capacity1]]*X152&gt;=$Y$5,Table35[[#This Row],[Location]]&amp;RIGHT(Table35[[#Headers],[Facility_3]],1)&amp;"F","-")</f>
        <v>H1113F</v>
      </c>
      <c r="K152" s="2" t="str">
        <f t="shared" ref="K152" si="172">IF(J152="-","-","CHPpl_")</f>
        <v>CHPpl_</v>
      </c>
      <c r="L152" s="14">
        <f t="shared" si="151"/>
        <v>0</v>
      </c>
      <c r="V152" s="1">
        <v>25.75</v>
      </c>
      <c r="W152" s="1">
        <v>1</v>
      </c>
      <c r="X152" s="1">
        <v>0</v>
      </c>
    </row>
    <row r="153" spans="1:24" x14ac:dyDescent="0.25">
      <c r="A153" s="1" t="s">
        <v>173</v>
      </c>
      <c r="B153" s="1">
        <v>6589922.8736690097</v>
      </c>
      <c r="C153" s="1">
        <v>690243.69264328701</v>
      </c>
      <c r="D153" s="5" t="str">
        <f t="shared" si="144"/>
        <v>H1741F</v>
      </c>
      <c r="E153" s="6" t="str">
        <f t="shared" si="145"/>
        <v>Heatpl</v>
      </c>
      <c r="F153" s="14">
        <f t="shared" si="146"/>
        <v>30479.999999999996</v>
      </c>
      <c r="G153" s="5" t="str">
        <f>IF(Table35[[#This Row],[Capacity1]]&lt;&gt;"-",Table35[[#This Row],[Location]]&amp;RIGHT(Table35[[#Headers],[Facility_2]],1)&amp;"F","-")</f>
        <v>H1742F</v>
      </c>
      <c r="H153" s="6" t="str">
        <f t="shared" si="147"/>
        <v>TerHea</v>
      </c>
      <c r="I153" s="23">
        <f t="shared" si="148"/>
        <v>9999</v>
      </c>
      <c r="J153" s="5" t="str">
        <f>IF(Table35[[#This Row],[Capacity1]]*X153&gt;=$Y$5,Table35[[#This Row],[Location]]&amp;RIGHT(Table35[[#Headers],[Facility_3]],1)&amp;"F","-")</f>
        <v>H1743F</v>
      </c>
      <c r="K153" s="2" t="str">
        <f t="shared" ref="K153" si="173">IF(J153="-","-","CHPpl_")</f>
        <v>CHPpl_</v>
      </c>
      <c r="L153" s="14">
        <f t="shared" si="151"/>
        <v>0</v>
      </c>
      <c r="V153" s="1">
        <v>25.4</v>
      </c>
      <c r="W153" s="1">
        <v>1</v>
      </c>
      <c r="X153" s="1">
        <v>0</v>
      </c>
    </row>
    <row r="154" spans="1:24" x14ac:dyDescent="0.25">
      <c r="A154" s="1" t="s">
        <v>350</v>
      </c>
      <c r="B154" s="1">
        <v>6189770.4136367599</v>
      </c>
      <c r="C154" s="1">
        <v>364289.41447054502</v>
      </c>
      <c r="D154" s="5" t="str">
        <f t="shared" si="144"/>
        <v>H3511F</v>
      </c>
      <c r="E154" s="6" t="str">
        <f t="shared" si="145"/>
        <v>Heatpl</v>
      </c>
      <c r="F154" s="14">
        <f t="shared" si="146"/>
        <v>30240</v>
      </c>
      <c r="G154" s="5" t="str">
        <f>IF(Table35[[#This Row],[Capacity1]]&lt;&gt;"-",Table35[[#This Row],[Location]]&amp;RIGHT(Table35[[#Headers],[Facility_2]],1)&amp;"F","-")</f>
        <v>H3512F</v>
      </c>
      <c r="H154" s="6" t="str">
        <f t="shared" si="147"/>
        <v>TerHea</v>
      </c>
      <c r="I154" s="23">
        <f t="shared" si="148"/>
        <v>9999</v>
      </c>
      <c r="J154" s="5" t="str">
        <f>IF(Table35[[#This Row],[Capacity1]]*X154&gt;=$Y$5,Table35[[#This Row],[Location]]&amp;RIGHT(Table35[[#Headers],[Facility_3]],1)&amp;"F","-")</f>
        <v>H3513F</v>
      </c>
      <c r="K154" s="2" t="str">
        <f t="shared" ref="K154" si="174">IF(J154="-","-","CHPpl_")</f>
        <v>CHPpl_</v>
      </c>
      <c r="L154" s="14">
        <f t="shared" si="151"/>
        <v>0</v>
      </c>
      <c r="V154" s="1">
        <v>25.2</v>
      </c>
      <c r="W154" s="1">
        <v>1</v>
      </c>
      <c r="X154" s="1">
        <v>0</v>
      </c>
    </row>
    <row r="155" spans="1:24" x14ac:dyDescent="0.25">
      <c r="A155" s="1" t="s">
        <v>98</v>
      </c>
      <c r="B155" s="1">
        <v>6908751.5130666597</v>
      </c>
      <c r="C155" s="1">
        <v>623362.40935463004</v>
      </c>
      <c r="D155" s="5" t="str">
        <f t="shared" si="144"/>
        <v>H991F</v>
      </c>
      <c r="E155" s="6" t="str">
        <f t="shared" si="145"/>
        <v>Heatpl</v>
      </c>
      <c r="F155" s="14">
        <f t="shared" si="146"/>
        <v>29935.200000000001</v>
      </c>
      <c r="G155" s="5" t="str">
        <f>IF(Table35[[#This Row],[Capacity1]]&lt;&gt;"-",Table35[[#This Row],[Location]]&amp;RIGHT(Table35[[#Headers],[Facility_2]],1)&amp;"F","-")</f>
        <v>H992F</v>
      </c>
      <c r="H155" s="6" t="str">
        <f t="shared" si="147"/>
        <v>TerHea</v>
      </c>
      <c r="I155" s="23">
        <f t="shared" si="148"/>
        <v>9999</v>
      </c>
      <c r="J155" s="5" t="str">
        <f>IF(Table35[[#This Row],[Capacity1]]*X155&gt;=$Y$5,Table35[[#This Row],[Location]]&amp;RIGHT(Table35[[#Headers],[Facility_3]],1)&amp;"F","-")</f>
        <v>H993F</v>
      </c>
      <c r="K155" s="2" t="str">
        <f t="shared" ref="K155" si="175">IF(J155="-","-","CHPpl_")</f>
        <v>CHPpl_</v>
      </c>
      <c r="L155" s="14">
        <f t="shared" si="151"/>
        <v>0</v>
      </c>
      <c r="V155" s="1">
        <v>24.946000000000002</v>
      </c>
      <c r="W155" s="1">
        <v>1</v>
      </c>
      <c r="X155" s="1">
        <v>0</v>
      </c>
    </row>
    <row r="156" spans="1:24" x14ac:dyDescent="0.25">
      <c r="A156" s="1" t="s">
        <v>252</v>
      </c>
      <c r="B156" s="1">
        <v>6425428.0269822301</v>
      </c>
      <c r="C156" s="1">
        <v>537555.60749056505</v>
      </c>
      <c r="D156" s="5" t="str">
        <f t="shared" si="144"/>
        <v>H2531F</v>
      </c>
      <c r="E156" s="6" t="str">
        <f t="shared" si="145"/>
        <v>Heatpl</v>
      </c>
      <c r="F156" s="14">
        <f t="shared" si="146"/>
        <v>29788.199999999997</v>
      </c>
      <c r="G156" s="5" t="str">
        <f>IF(Table35[[#This Row],[Capacity1]]&lt;&gt;"-",Table35[[#This Row],[Location]]&amp;RIGHT(Table35[[#Headers],[Facility_2]],1)&amp;"F","-")</f>
        <v>H2532F</v>
      </c>
      <c r="H156" s="6" t="str">
        <f t="shared" si="147"/>
        <v>TerHea</v>
      </c>
      <c r="I156" s="23">
        <f t="shared" si="148"/>
        <v>9999</v>
      </c>
      <c r="J156" s="5" t="str">
        <f>IF(Table35[[#This Row],[Capacity1]]*X156&gt;=$Y$5,Table35[[#This Row],[Location]]&amp;RIGHT(Table35[[#Headers],[Facility_3]],1)&amp;"F","-")</f>
        <v>H2533F</v>
      </c>
      <c r="K156" s="2" t="str">
        <f t="shared" ref="K156" si="176">IF(J156="-","-","CHPpl_")</f>
        <v>CHPpl_</v>
      </c>
      <c r="L156" s="14">
        <f t="shared" si="151"/>
        <v>0</v>
      </c>
      <c r="V156" s="1">
        <v>24.823499999999999</v>
      </c>
      <c r="W156" s="1">
        <v>1</v>
      </c>
      <c r="X156" s="1">
        <v>0</v>
      </c>
    </row>
    <row r="157" spans="1:24" x14ac:dyDescent="0.25">
      <c r="A157" s="1" t="s">
        <v>81</v>
      </c>
      <c r="B157" s="1">
        <v>7019269.40801581</v>
      </c>
      <c r="C157" s="1">
        <v>472418.776527151</v>
      </c>
      <c r="D157" s="5" t="str">
        <f t="shared" si="144"/>
        <v>H821F</v>
      </c>
      <c r="E157" s="6" t="str">
        <f t="shared" si="145"/>
        <v>Heatpl</v>
      </c>
      <c r="F157" s="14">
        <f t="shared" si="146"/>
        <v>29216.519999999997</v>
      </c>
      <c r="G157" s="5" t="str">
        <f>IF(Table35[[#This Row],[Capacity1]]&lt;&gt;"-",Table35[[#This Row],[Location]]&amp;RIGHT(Table35[[#Headers],[Facility_2]],1)&amp;"F","-")</f>
        <v>H822F</v>
      </c>
      <c r="H157" s="6" t="str">
        <f t="shared" si="147"/>
        <v>TerHea</v>
      </c>
      <c r="I157" s="23">
        <f t="shared" si="148"/>
        <v>9999</v>
      </c>
      <c r="J157" s="5" t="str">
        <f>IF(Table35[[#This Row],[Capacity1]]*X157&gt;=$Y$5,Table35[[#This Row],[Location]]&amp;RIGHT(Table35[[#Headers],[Facility_3]],1)&amp;"F","-")</f>
        <v>H823F</v>
      </c>
      <c r="K157" s="2" t="str">
        <f t="shared" ref="K157" si="177">IF(J157="-","-","CHPpl_")</f>
        <v>CHPpl_</v>
      </c>
      <c r="L157" s="14">
        <f t="shared" si="151"/>
        <v>0</v>
      </c>
      <c r="V157" s="1">
        <v>24.347099999999998</v>
      </c>
      <c r="W157" s="1">
        <v>1</v>
      </c>
      <c r="X157" s="1">
        <v>0</v>
      </c>
    </row>
    <row r="158" spans="1:24" x14ac:dyDescent="0.25">
      <c r="A158" s="1" t="s">
        <v>341</v>
      </c>
      <c r="B158" s="1">
        <v>6221609.8224939797</v>
      </c>
      <c r="C158" s="1">
        <v>413151.92461101199</v>
      </c>
      <c r="D158" s="5" t="str">
        <f t="shared" si="144"/>
        <v>H3421F</v>
      </c>
      <c r="E158" s="6" t="str">
        <f t="shared" si="145"/>
        <v>Heatpl</v>
      </c>
      <c r="F158" s="14">
        <f t="shared" si="146"/>
        <v>28920</v>
      </c>
      <c r="G158" s="5" t="str">
        <f>IF(Table35[[#This Row],[Capacity1]]&lt;&gt;"-",Table35[[#This Row],[Location]]&amp;RIGHT(Table35[[#Headers],[Facility_2]],1)&amp;"F","-")</f>
        <v>H3422F</v>
      </c>
      <c r="H158" s="6" t="str">
        <f t="shared" si="147"/>
        <v>TerHea</v>
      </c>
      <c r="I158" s="23">
        <f t="shared" si="148"/>
        <v>9999</v>
      </c>
      <c r="J158" s="5" t="str">
        <f>IF(Table35[[#This Row],[Capacity1]]*X158&gt;=$Y$5,Table35[[#This Row],[Location]]&amp;RIGHT(Table35[[#Headers],[Facility_3]],1)&amp;"F","-")</f>
        <v>H3423F</v>
      </c>
      <c r="K158" s="2" t="str">
        <f t="shared" ref="K158" si="178">IF(J158="-","-","CHPpl_")</f>
        <v>CHPpl_</v>
      </c>
      <c r="L158" s="14">
        <f t="shared" si="151"/>
        <v>0</v>
      </c>
      <c r="V158" s="1">
        <v>24.1</v>
      </c>
      <c r="W158" s="1">
        <v>1</v>
      </c>
      <c r="X158" s="1">
        <v>0</v>
      </c>
    </row>
    <row r="159" spans="1:24" x14ac:dyDescent="0.25">
      <c r="A159" s="1" t="s">
        <v>145</v>
      </c>
      <c r="B159" s="1">
        <v>6649821.6294332296</v>
      </c>
      <c r="C159" s="1">
        <v>651152.04095974402</v>
      </c>
      <c r="D159" s="5" t="str">
        <f t="shared" si="144"/>
        <v>H1461F</v>
      </c>
      <c r="E159" s="6" t="str">
        <f t="shared" si="145"/>
        <v>Heatpl</v>
      </c>
      <c r="F159" s="14">
        <f t="shared" si="146"/>
        <v>28439.999999999996</v>
      </c>
      <c r="G159" s="5" t="str">
        <f>IF(Table35[[#This Row],[Capacity1]]&lt;&gt;"-",Table35[[#This Row],[Location]]&amp;RIGHT(Table35[[#Headers],[Facility_2]],1)&amp;"F","-")</f>
        <v>H1462F</v>
      </c>
      <c r="H159" s="6" t="str">
        <f t="shared" si="147"/>
        <v>TerHea</v>
      </c>
      <c r="I159" s="23">
        <f t="shared" si="148"/>
        <v>9999</v>
      </c>
      <c r="J159" s="5" t="str">
        <f>IF(Table35[[#This Row],[Capacity1]]*X159&gt;=$Y$5,Table35[[#This Row],[Location]]&amp;RIGHT(Table35[[#Headers],[Facility_3]],1)&amp;"F","-")</f>
        <v>H1463F</v>
      </c>
      <c r="K159" s="2" t="str">
        <f t="shared" ref="K159" si="179">IF(J159="-","-","CHPpl_")</f>
        <v>CHPpl_</v>
      </c>
      <c r="L159" s="14">
        <f t="shared" si="151"/>
        <v>0</v>
      </c>
      <c r="V159" s="1">
        <v>23.7</v>
      </c>
      <c r="W159" s="1">
        <v>1</v>
      </c>
      <c r="X159" s="1">
        <v>0</v>
      </c>
    </row>
    <row r="160" spans="1:24" x14ac:dyDescent="0.25">
      <c r="A160" s="1" t="s">
        <v>207</v>
      </c>
      <c r="B160" s="1">
        <v>6530893.2141135</v>
      </c>
      <c r="C160" s="1">
        <v>646853.669883052</v>
      </c>
      <c r="D160" s="5" t="str">
        <f t="shared" si="144"/>
        <v>H2081F</v>
      </c>
      <c r="E160" s="6" t="str">
        <f t="shared" si="145"/>
        <v>Heatpl</v>
      </c>
      <c r="F160" s="14">
        <f t="shared" si="146"/>
        <v>28163.999999999996</v>
      </c>
      <c r="G160" s="5" t="str">
        <f>IF(Table35[[#This Row],[Capacity1]]&lt;&gt;"-",Table35[[#This Row],[Location]]&amp;RIGHT(Table35[[#Headers],[Facility_2]],1)&amp;"F","-")</f>
        <v>H2082F</v>
      </c>
      <c r="H160" s="6" t="str">
        <f t="shared" si="147"/>
        <v>TerHea</v>
      </c>
      <c r="I160" s="23">
        <f t="shared" si="148"/>
        <v>9999</v>
      </c>
      <c r="J160" s="5" t="str">
        <f>IF(Table35[[#This Row],[Capacity1]]*X160&gt;=$Y$5,Table35[[#This Row],[Location]]&amp;RIGHT(Table35[[#Headers],[Facility_3]],1)&amp;"F","-")</f>
        <v>H2083F</v>
      </c>
      <c r="K160" s="2" t="str">
        <f t="shared" ref="K160" si="180">IF(J160="-","-","CHPpl_")</f>
        <v>CHPpl_</v>
      </c>
      <c r="L160" s="14">
        <f t="shared" si="151"/>
        <v>0</v>
      </c>
      <c r="V160" s="1">
        <v>23.47</v>
      </c>
      <c r="W160" s="1">
        <v>1</v>
      </c>
      <c r="X160" s="1">
        <v>0</v>
      </c>
    </row>
    <row r="161" spans="1:24" x14ac:dyDescent="0.25">
      <c r="A161" s="1" t="s">
        <v>321</v>
      </c>
      <c r="B161" s="1">
        <v>6291209.5754656</v>
      </c>
      <c r="C161" s="1">
        <v>466615.57397045498</v>
      </c>
      <c r="D161" s="5" t="str">
        <f t="shared" si="144"/>
        <v>H3221F</v>
      </c>
      <c r="E161" s="6" t="str">
        <f t="shared" si="145"/>
        <v>Heatpl</v>
      </c>
      <c r="F161" s="14">
        <f t="shared" si="146"/>
        <v>27360</v>
      </c>
      <c r="G161" s="5" t="str">
        <f>IF(Table35[[#This Row],[Capacity1]]&lt;&gt;"-",Table35[[#This Row],[Location]]&amp;RIGHT(Table35[[#Headers],[Facility_2]],1)&amp;"F","-")</f>
        <v>H3222F</v>
      </c>
      <c r="H161" s="6" t="str">
        <f t="shared" si="147"/>
        <v>TerHea</v>
      </c>
      <c r="I161" s="23">
        <f t="shared" si="148"/>
        <v>9999</v>
      </c>
      <c r="J161" s="5" t="str">
        <f>IF(Table35[[#This Row],[Capacity1]]*X161&gt;=$Y$5,Table35[[#This Row],[Location]]&amp;RIGHT(Table35[[#Headers],[Facility_3]],1)&amp;"F","-")</f>
        <v>H3223F</v>
      </c>
      <c r="K161" s="2" t="str">
        <f t="shared" ref="K161" si="181">IF(J161="-","-","CHPpl_")</f>
        <v>CHPpl_</v>
      </c>
      <c r="L161" s="14">
        <f t="shared" si="151"/>
        <v>0</v>
      </c>
      <c r="V161" s="1">
        <v>22.8</v>
      </c>
      <c r="W161" s="1">
        <v>1</v>
      </c>
      <c r="X161" s="1">
        <v>0</v>
      </c>
    </row>
    <row r="162" spans="1:24" x14ac:dyDescent="0.25">
      <c r="A162" s="1" t="s">
        <v>262</v>
      </c>
      <c r="B162" s="1">
        <v>6407817.9585601501</v>
      </c>
      <c r="C162" s="1">
        <v>381577.62101621699</v>
      </c>
      <c r="D162" s="5" t="str">
        <f t="shared" si="144"/>
        <v>H2631F</v>
      </c>
      <c r="E162" s="6" t="str">
        <f t="shared" si="145"/>
        <v>Heatpl</v>
      </c>
      <c r="F162" s="14">
        <f t="shared" si="146"/>
        <v>26831.999999999996</v>
      </c>
      <c r="G162" s="5" t="str">
        <f>IF(Table35[[#This Row],[Capacity1]]&lt;&gt;"-",Table35[[#This Row],[Location]]&amp;RIGHT(Table35[[#Headers],[Facility_2]],1)&amp;"F","-")</f>
        <v>H2632F</v>
      </c>
      <c r="H162" s="6" t="str">
        <f t="shared" si="147"/>
        <v>TerHea</v>
      </c>
      <c r="I162" s="23">
        <f t="shared" si="148"/>
        <v>9999</v>
      </c>
      <c r="J162" s="5" t="str">
        <f>IF(Table35[[#This Row],[Capacity1]]*X162&gt;=$Y$5,Table35[[#This Row],[Location]]&amp;RIGHT(Table35[[#Headers],[Facility_3]],1)&amp;"F","-")</f>
        <v>H2633F</v>
      </c>
      <c r="K162" s="2" t="str">
        <f t="shared" ref="K162" si="182">IF(J162="-","-","CHPpl_")</f>
        <v>CHPpl_</v>
      </c>
      <c r="L162" s="14">
        <f t="shared" si="151"/>
        <v>0</v>
      </c>
      <c r="V162" s="1">
        <v>22.36</v>
      </c>
      <c r="W162" s="1">
        <v>1</v>
      </c>
      <c r="X162" s="1">
        <v>0</v>
      </c>
    </row>
    <row r="163" spans="1:24" x14ac:dyDescent="0.25">
      <c r="A163" s="1" t="s">
        <v>30</v>
      </c>
      <c r="B163" s="1">
        <v>6313847.4469999997</v>
      </c>
      <c r="C163" s="1">
        <v>518094.09299999999</v>
      </c>
      <c r="D163" s="5" t="str">
        <f t="shared" si="144"/>
        <v>H311F</v>
      </c>
      <c r="E163" s="6" t="str">
        <f t="shared" si="145"/>
        <v>Heatpl</v>
      </c>
      <c r="F163" s="14">
        <f t="shared" si="146"/>
        <v>26160</v>
      </c>
      <c r="G163" s="5" t="str">
        <f>IF(Table35[[#This Row],[Capacity1]]&lt;&gt;"-",Table35[[#This Row],[Location]]&amp;RIGHT(Table35[[#Headers],[Facility_2]],1)&amp;"F","-")</f>
        <v>H312F</v>
      </c>
      <c r="H163" s="6" t="str">
        <f t="shared" si="147"/>
        <v>TerHea</v>
      </c>
      <c r="I163" s="23">
        <f t="shared" si="148"/>
        <v>9999</v>
      </c>
      <c r="J163" s="5" t="str">
        <f>IF(Table35[[#This Row],[Capacity1]]*X163&gt;=$Y$5,Table35[[#This Row],[Location]]&amp;RIGHT(Table35[[#Headers],[Facility_3]],1)&amp;"F","-")</f>
        <v>H313F</v>
      </c>
      <c r="K163" s="2" t="str">
        <f t="shared" ref="K163" si="183">IF(J163="-","-","CHPpl_")</f>
        <v>CHPpl_</v>
      </c>
      <c r="L163" s="14">
        <f t="shared" si="151"/>
        <v>0</v>
      </c>
      <c r="V163" s="1">
        <v>21.8</v>
      </c>
      <c r="W163" s="1">
        <v>1</v>
      </c>
      <c r="X163" s="1">
        <v>0</v>
      </c>
    </row>
    <row r="164" spans="1:24" x14ac:dyDescent="0.25">
      <c r="A164" s="1" t="s">
        <v>243</v>
      </c>
      <c r="B164" s="1">
        <v>6448376.0865532197</v>
      </c>
      <c r="C164" s="1">
        <v>502557.275187577</v>
      </c>
      <c r="D164" s="5" t="str">
        <f t="shared" si="144"/>
        <v>H2441F</v>
      </c>
      <c r="E164" s="6" t="str">
        <f t="shared" si="145"/>
        <v>Heatpl</v>
      </c>
      <c r="F164" s="14">
        <f t="shared" si="146"/>
        <v>26040</v>
      </c>
      <c r="G164" s="5" t="str">
        <f>IF(Table35[[#This Row],[Capacity1]]&lt;&gt;"-",Table35[[#This Row],[Location]]&amp;RIGHT(Table35[[#Headers],[Facility_2]],1)&amp;"F","-")</f>
        <v>H2442F</v>
      </c>
      <c r="H164" s="6" t="str">
        <f t="shared" si="147"/>
        <v>TerHea</v>
      </c>
      <c r="I164" s="23">
        <f t="shared" si="148"/>
        <v>9999</v>
      </c>
      <c r="J164" s="5" t="str">
        <f>IF(Table35[[#This Row],[Capacity1]]*X164&gt;=$Y$5,Table35[[#This Row],[Location]]&amp;RIGHT(Table35[[#Headers],[Facility_3]],1)&amp;"F","-")</f>
        <v>H2443F</v>
      </c>
      <c r="K164" s="2" t="str">
        <f t="shared" ref="K164" si="184">IF(J164="-","-","CHPpl_")</f>
        <v>CHPpl_</v>
      </c>
      <c r="L164" s="14">
        <f t="shared" si="151"/>
        <v>0</v>
      </c>
      <c r="V164" s="1">
        <v>21.7</v>
      </c>
      <c r="W164" s="1">
        <v>1</v>
      </c>
      <c r="X164" s="1">
        <v>0</v>
      </c>
    </row>
    <row r="165" spans="1:24" x14ac:dyDescent="0.25">
      <c r="A165" s="1" t="s">
        <v>176</v>
      </c>
      <c r="B165" s="1">
        <v>6585991.0794471595</v>
      </c>
      <c r="C165" s="1">
        <v>562145.06770080398</v>
      </c>
      <c r="D165" s="5" t="str">
        <f t="shared" si="144"/>
        <v>H1771F</v>
      </c>
      <c r="E165" s="6" t="str">
        <f t="shared" si="145"/>
        <v>Heatpl</v>
      </c>
      <c r="F165" s="14">
        <f t="shared" si="146"/>
        <v>26016</v>
      </c>
      <c r="G165" s="5" t="str">
        <f>IF(Table35[[#This Row],[Capacity1]]&lt;&gt;"-",Table35[[#This Row],[Location]]&amp;RIGHT(Table35[[#Headers],[Facility_2]],1)&amp;"F","-")</f>
        <v>H1772F</v>
      </c>
      <c r="H165" s="6" t="str">
        <f t="shared" si="147"/>
        <v>TerHea</v>
      </c>
      <c r="I165" s="23">
        <f t="shared" si="148"/>
        <v>9999</v>
      </c>
      <c r="J165" s="5" t="str">
        <f>IF(Table35[[#This Row],[Capacity1]]*X165&gt;=$Y$5,Table35[[#This Row],[Location]]&amp;RIGHT(Table35[[#Headers],[Facility_3]],1)&amp;"F","-")</f>
        <v>H1773F</v>
      </c>
      <c r="K165" s="2" t="str">
        <f t="shared" ref="K165" si="185">IF(J165="-","-","CHPpl_")</f>
        <v>CHPpl_</v>
      </c>
      <c r="L165" s="14">
        <f t="shared" si="151"/>
        <v>0</v>
      </c>
      <c r="V165" s="1">
        <v>21.68</v>
      </c>
      <c r="W165" s="1">
        <v>1</v>
      </c>
      <c r="X165" s="1">
        <v>0</v>
      </c>
    </row>
    <row r="166" spans="1:24" x14ac:dyDescent="0.25">
      <c r="A166" s="1" t="s">
        <v>286</v>
      </c>
      <c r="B166" s="1">
        <v>6383077.3420703895</v>
      </c>
      <c r="C166" s="1">
        <v>534762.88197148102</v>
      </c>
      <c r="D166" s="5" t="str">
        <f t="shared" si="144"/>
        <v>H2871F</v>
      </c>
      <c r="E166" s="6" t="str">
        <f t="shared" si="145"/>
        <v>Heatpl</v>
      </c>
      <c r="F166" s="14">
        <f t="shared" si="146"/>
        <v>25344</v>
      </c>
      <c r="G166" s="5" t="str">
        <f>IF(Table35[[#This Row],[Capacity1]]&lt;&gt;"-",Table35[[#This Row],[Location]]&amp;RIGHT(Table35[[#Headers],[Facility_2]],1)&amp;"F","-")</f>
        <v>H2872F</v>
      </c>
      <c r="H166" s="6" t="str">
        <f t="shared" si="147"/>
        <v>TerHea</v>
      </c>
      <c r="I166" s="23">
        <f t="shared" si="148"/>
        <v>9999</v>
      </c>
      <c r="J166" s="5" t="str">
        <f>IF(Table35[[#This Row],[Capacity1]]*X166&gt;=$Y$5,Table35[[#This Row],[Location]]&amp;RIGHT(Table35[[#Headers],[Facility_3]],1)&amp;"F","-")</f>
        <v>H2873F</v>
      </c>
      <c r="K166" s="2" t="str">
        <f t="shared" ref="K166" si="186">IF(J166="-","-","CHPpl_")</f>
        <v>CHPpl_</v>
      </c>
      <c r="L166" s="14">
        <f t="shared" si="151"/>
        <v>0</v>
      </c>
      <c r="V166" s="1">
        <v>21.12</v>
      </c>
      <c r="W166" s="1">
        <v>1</v>
      </c>
      <c r="X166" s="1">
        <v>0</v>
      </c>
    </row>
    <row r="167" spans="1:24" x14ac:dyDescent="0.25">
      <c r="A167" s="1" t="s">
        <v>64</v>
      </c>
      <c r="B167" s="1">
        <v>7167786.47631317</v>
      </c>
      <c r="C167" s="1">
        <v>771224.84560757503</v>
      </c>
      <c r="D167" s="5" t="str">
        <f t="shared" si="144"/>
        <v>H651F</v>
      </c>
      <c r="E167" s="6" t="str">
        <f t="shared" si="145"/>
        <v>Heatpl</v>
      </c>
      <c r="F167" s="14">
        <f t="shared" si="146"/>
        <v>24937.584000000003</v>
      </c>
      <c r="G167" s="5" t="str">
        <f>IF(Table35[[#This Row],[Capacity1]]&lt;&gt;"-",Table35[[#This Row],[Location]]&amp;RIGHT(Table35[[#Headers],[Facility_2]],1)&amp;"F","-")</f>
        <v>H652F</v>
      </c>
      <c r="H167" s="6" t="str">
        <f t="shared" si="147"/>
        <v>TerHea</v>
      </c>
      <c r="I167" s="23">
        <f t="shared" si="148"/>
        <v>9999</v>
      </c>
      <c r="J167" s="5" t="str">
        <f>IF(Table35[[#This Row],[Capacity1]]*X167&gt;=$Y$5,Table35[[#This Row],[Location]]&amp;RIGHT(Table35[[#Headers],[Facility_3]],1)&amp;"F","-")</f>
        <v>H653F</v>
      </c>
      <c r="K167" s="2" t="str">
        <f t="shared" ref="K167" si="187">IF(J167="-","-","CHPpl_")</f>
        <v>CHPpl_</v>
      </c>
      <c r="L167" s="14">
        <f t="shared" si="151"/>
        <v>0</v>
      </c>
      <c r="V167" s="1">
        <v>20.781320000000001</v>
      </c>
      <c r="W167" s="1">
        <v>1</v>
      </c>
      <c r="X167" s="1">
        <v>0</v>
      </c>
    </row>
    <row r="168" spans="1:24" x14ac:dyDescent="0.25">
      <c r="A168" s="1" t="s">
        <v>105</v>
      </c>
      <c r="B168" s="1">
        <v>6814567.6877298597</v>
      </c>
      <c r="C168" s="1">
        <v>573408.23071963701</v>
      </c>
      <c r="D168" s="5" t="str">
        <f t="shared" si="144"/>
        <v>H1061F</v>
      </c>
      <c r="E168" s="6" t="str">
        <f t="shared" si="145"/>
        <v>Heatpl</v>
      </c>
      <c r="F168" s="14">
        <f t="shared" si="146"/>
        <v>24407.999999999996</v>
      </c>
      <c r="G168" s="5" t="str">
        <f>IF(Table35[[#This Row],[Capacity1]]&lt;&gt;"-",Table35[[#This Row],[Location]]&amp;RIGHT(Table35[[#Headers],[Facility_2]],1)&amp;"F","-")</f>
        <v>H1062F</v>
      </c>
      <c r="H168" s="6" t="str">
        <f t="shared" si="147"/>
        <v>TerHea</v>
      </c>
      <c r="I168" s="23">
        <f t="shared" si="148"/>
        <v>9999</v>
      </c>
      <c r="J168" s="5" t="str">
        <f>IF(Table35[[#This Row],[Capacity1]]*X168&gt;=$Y$5,Table35[[#This Row],[Location]]&amp;RIGHT(Table35[[#Headers],[Facility_3]],1)&amp;"F","-")</f>
        <v>H1063F</v>
      </c>
      <c r="K168" s="2" t="str">
        <f t="shared" ref="K168" si="188">IF(J168="-","-","CHPpl_")</f>
        <v>CHPpl_</v>
      </c>
      <c r="L168" s="14">
        <f t="shared" si="151"/>
        <v>0</v>
      </c>
      <c r="V168" s="1">
        <v>20.34</v>
      </c>
      <c r="W168" s="1">
        <v>1</v>
      </c>
      <c r="X168" s="1">
        <v>0</v>
      </c>
    </row>
    <row r="169" spans="1:24" x14ac:dyDescent="0.25">
      <c r="A169" s="1" t="s">
        <v>45</v>
      </c>
      <c r="B169" s="1">
        <v>7319794.3061899701</v>
      </c>
      <c r="C169" s="1">
        <v>807418.76492992905</v>
      </c>
      <c r="D169" s="5" t="str">
        <f t="shared" si="144"/>
        <v>H461F</v>
      </c>
      <c r="E169" s="6" t="str">
        <f t="shared" si="145"/>
        <v>Heatpl</v>
      </c>
      <c r="F169" s="14">
        <f t="shared" si="146"/>
        <v>24000</v>
      </c>
      <c r="G169" s="5" t="str">
        <f>IF(Table35[[#This Row],[Capacity1]]&lt;&gt;"-",Table35[[#This Row],[Location]]&amp;RIGHT(Table35[[#Headers],[Facility_2]],1)&amp;"F","-")</f>
        <v>H462F</v>
      </c>
      <c r="H169" s="6" t="str">
        <f t="shared" si="147"/>
        <v>TerHea</v>
      </c>
      <c r="I169" s="23">
        <f t="shared" si="148"/>
        <v>9999</v>
      </c>
      <c r="J169" s="5" t="str">
        <f>IF(Table35[[#This Row],[Capacity1]]*X169&gt;=$Y$5,Table35[[#This Row],[Location]]&amp;RIGHT(Table35[[#Headers],[Facility_3]],1)&amp;"F","-")</f>
        <v>H463F</v>
      </c>
      <c r="K169" s="2" t="str">
        <f t="shared" ref="K169" si="189">IF(J169="-","-","CHPpl_")</f>
        <v>CHPpl_</v>
      </c>
      <c r="L169" s="14">
        <f t="shared" si="151"/>
        <v>0</v>
      </c>
      <c r="V169" s="1">
        <v>20</v>
      </c>
      <c r="W169" s="1">
        <v>1</v>
      </c>
      <c r="X169" s="1">
        <v>0</v>
      </c>
    </row>
    <row r="170" spans="1:24" x14ac:dyDescent="0.25">
      <c r="A170" s="1" t="s">
        <v>208</v>
      </c>
      <c r="B170" s="1">
        <v>6524331.4128970001</v>
      </c>
      <c r="C170" s="1">
        <v>494466.28884902399</v>
      </c>
      <c r="D170" s="5" t="str">
        <f t="shared" si="144"/>
        <v>H2091F</v>
      </c>
      <c r="E170" s="6" t="str">
        <f t="shared" si="145"/>
        <v>Heatpl</v>
      </c>
      <c r="F170" s="14">
        <f t="shared" si="146"/>
        <v>23711.999999999996</v>
      </c>
      <c r="G170" s="5" t="str">
        <f>IF(Table35[[#This Row],[Capacity1]]&lt;&gt;"-",Table35[[#This Row],[Location]]&amp;RIGHT(Table35[[#Headers],[Facility_2]],1)&amp;"F","-")</f>
        <v>H2092F</v>
      </c>
      <c r="H170" s="6" t="str">
        <f t="shared" si="147"/>
        <v>TerHea</v>
      </c>
      <c r="I170" s="23">
        <f t="shared" si="148"/>
        <v>9999</v>
      </c>
      <c r="J170" s="5" t="str">
        <f>IF(Table35[[#This Row],[Capacity1]]*X170&gt;=$Y$5,Table35[[#This Row],[Location]]&amp;RIGHT(Table35[[#Headers],[Facility_3]],1)&amp;"F","-")</f>
        <v>H2093F</v>
      </c>
      <c r="K170" s="2" t="str">
        <f t="shared" ref="K170" si="190">IF(J170="-","-","CHPpl_")</f>
        <v>CHPpl_</v>
      </c>
      <c r="L170" s="14">
        <f t="shared" si="151"/>
        <v>0</v>
      </c>
      <c r="V170" s="1">
        <v>19.759999999999998</v>
      </c>
      <c r="W170" s="1">
        <v>1</v>
      </c>
      <c r="X170" s="1">
        <v>0</v>
      </c>
    </row>
    <row r="171" spans="1:24" x14ac:dyDescent="0.25">
      <c r="A171" s="1" t="s">
        <v>150</v>
      </c>
      <c r="B171" s="1">
        <v>6628183.9426062601</v>
      </c>
      <c r="C171" s="1">
        <v>688815.20608888101</v>
      </c>
      <c r="D171" s="5" t="str">
        <f t="shared" si="144"/>
        <v>H1511F</v>
      </c>
      <c r="E171" s="6" t="str">
        <f t="shared" si="145"/>
        <v>Heatpl</v>
      </c>
      <c r="F171" s="14">
        <f t="shared" si="146"/>
        <v>23642.400000000001</v>
      </c>
      <c r="G171" s="5" t="str">
        <f>IF(Table35[[#This Row],[Capacity1]]&lt;&gt;"-",Table35[[#This Row],[Location]]&amp;RIGHT(Table35[[#Headers],[Facility_2]],1)&amp;"F","-")</f>
        <v>H1512F</v>
      </c>
      <c r="H171" s="6" t="str">
        <f t="shared" si="147"/>
        <v>TerHea</v>
      </c>
      <c r="I171" s="23">
        <f t="shared" si="148"/>
        <v>9999</v>
      </c>
      <c r="J171" s="5" t="str">
        <f>IF(Table35[[#This Row],[Capacity1]]*X171&gt;=$Y$5,Table35[[#This Row],[Location]]&amp;RIGHT(Table35[[#Headers],[Facility_3]],1)&amp;"F","-")</f>
        <v>H1513F</v>
      </c>
      <c r="K171" s="2" t="str">
        <f t="shared" ref="K171" si="191">IF(J171="-","-","CHPpl_")</f>
        <v>CHPpl_</v>
      </c>
      <c r="L171" s="14">
        <f t="shared" si="151"/>
        <v>0</v>
      </c>
      <c r="V171" s="1">
        <v>19.702000000000002</v>
      </c>
      <c r="W171" s="1">
        <v>1</v>
      </c>
      <c r="X171" s="1">
        <v>0</v>
      </c>
    </row>
    <row r="172" spans="1:24" x14ac:dyDescent="0.25">
      <c r="A172" s="1" t="s">
        <v>12</v>
      </c>
      <c r="B172" s="1">
        <v>6585451.3830000004</v>
      </c>
      <c r="C172" s="1">
        <v>335186.60399999999</v>
      </c>
      <c r="D172" s="5" t="str">
        <f t="shared" si="144"/>
        <v>H131F</v>
      </c>
      <c r="E172" s="6" t="str">
        <f t="shared" si="145"/>
        <v>Heatpl</v>
      </c>
      <c r="F172" s="14">
        <f t="shared" si="146"/>
        <v>23597.759999999998</v>
      </c>
      <c r="G172" s="5" t="str">
        <f>IF(Table35[[#This Row],[Capacity1]]&lt;&gt;"-",Table35[[#This Row],[Location]]&amp;RIGHT(Table35[[#Headers],[Facility_2]],1)&amp;"F","-")</f>
        <v>H132F</v>
      </c>
      <c r="H172" s="6" t="str">
        <f t="shared" si="147"/>
        <v>TerHea</v>
      </c>
      <c r="I172" s="23">
        <f t="shared" si="148"/>
        <v>9999</v>
      </c>
      <c r="J172" s="5" t="str">
        <f>IF(Table35[[#This Row],[Capacity1]]*X172&gt;=$Y$5,Table35[[#This Row],[Location]]&amp;RIGHT(Table35[[#Headers],[Facility_3]],1)&amp;"F","-")</f>
        <v>H133F</v>
      </c>
      <c r="K172" s="2" t="str">
        <f t="shared" ref="K172" si="192">IF(J172="-","-","CHPpl_")</f>
        <v>CHPpl_</v>
      </c>
      <c r="L172" s="14">
        <f t="shared" si="151"/>
        <v>0</v>
      </c>
      <c r="V172" s="1">
        <v>19.6648</v>
      </c>
      <c r="W172" s="1">
        <v>1</v>
      </c>
      <c r="X172" s="1">
        <v>0</v>
      </c>
    </row>
    <row r="173" spans="1:24" x14ac:dyDescent="0.25">
      <c r="A173" s="1" t="s">
        <v>108</v>
      </c>
      <c r="B173" s="1">
        <v>6800103.9986759303</v>
      </c>
      <c r="C173" s="1">
        <v>557243.57020522095</v>
      </c>
      <c r="D173" s="5" t="str">
        <f t="shared" si="144"/>
        <v>H1091F</v>
      </c>
      <c r="E173" s="6" t="str">
        <f t="shared" si="145"/>
        <v>Heatpl</v>
      </c>
      <c r="F173" s="14">
        <f t="shared" si="146"/>
        <v>22920</v>
      </c>
      <c r="G173" s="5" t="str">
        <f>IF(Table35[[#This Row],[Capacity1]]&lt;&gt;"-",Table35[[#This Row],[Location]]&amp;RIGHT(Table35[[#Headers],[Facility_2]],1)&amp;"F","-")</f>
        <v>H1092F</v>
      </c>
      <c r="H173" s="6" t="str">
        <f t="shared" si="147"/>
        <v>TerHea</v>
      </c>
      <c r="I173" s="23">
        <f t="shared" si="148"/>
        <v>9999</v>
      </c>
      <c r="J173" s="5" t="str">
        <f>IF(Table35[[#This Row],[Capacity1]]*X173&gt;=$Y$5,Table35[[#This Row],[Location]]&amp;RIGHT(Table35[[#Headers],[Facility_3]],1)&amp;"F","-")</f>
        <v>H1093F</v>
      </c>
      <c r="K173" s="2" t="str">
        <f t="shared" ref="K173" si="193">IF(J173="-","-","CHPpl_")</f>
        <v>CHPpl_</v>
      </c>
      <c r="L173" s="14">
        <f t="shared" si="151"/>
        <v>0</v>
      </c>
      <c r="V173" s="1">
        <v>19.100000000000001</v>
      </c>
      <c r="W173" s="1">
        <v>1</v>
      </c>
      <c r="X173" s="1">
        <v>0</v>
      </c>
    </row>
    <row r="174" spans="1:24" x14ac:dyDescent="0.25">
      <c r="A174" s="1" t="s">
        <v>138</v>
      </c>
      <c r="B174" s="1">
        <v>6665447.3156382795</v>
      </c>
      <c r="C174" s="1">
        <v>523077.75479307701</v>
      </c>
      <c r="D174" s="5" t="str">
        <f t="shared" si="144"/>
        <v>H1391F</v>
      </c>
      <c r="E174" s="6" t="str">
        <f t="shared" si="145"/>
        <v>Heatpl</v>
      </c>
      <c r="F174" s="14">
        <f t="shared" si="146"/>
        <v>22903.199999999997</v>
      </c>
      <c r="G174" s="5" t="str">
        <f>IF(Table35[[#This Row],[Capacity1]]&lt;&gt;"-",Table35[[#This Row],[Location]]&amp;RIGHT(Table35[[#Headers],[Facility_2]],1)&amp;"F","-")</f>
        <v>H1392F</v>
      </c>
      <c r="H174" s="6" t="str">
        <f t="shared" si="147"/>
        <v>TerHea</v>
      </c>
      <c r="I174" s="23">
        <f t="shared" si="148"/>
        <v>9999</v>
      </c>
      <c r="J174" s="5" t="str">
        <f>IF(Table35[[#This Row],[Capacity1]]*X174&gt;=$Y$5,Table35[[#This Row],[Location]]&amp;RIGHT(Table35[[#Headers],[Facility_3]],1)&amp;"F","-")</f>
        <v>H1393F</v>
      </c>
      <c r="K174" s="2" t="str">
        <f t="shared" ref="K174" si="194">IF(J174="-","-","CHPpl_")</f>
        <v>CHPpl_</v>
      </c>
      <c r="L174" s="14">
        <f t="shared" si="151"/>
        <v>0</v>
      </c>
      <c r="V174" s="1">
        <v>19.085999999999999</v>
      </c>
      <c r="W174" s="1">
        <v>1</v>
      </c>
      <c r="X174" s="1">
        <v>0</v>
      </c>
    </row>
    <row r="175" spans="1:24" x14ac:dyDescent="0.25">
      <c r="A175" s="1" t="s">
        <v>311</v>
      </c>
      <c r="B175" s="1">
        <v>6322210.1718534296</v>
      </c>
      <c r="C175" s="1">
        <v>503453.78740332898</v>
      </c>
      <c r="D175" s="5" t="str">
        <f t="shared" si="144"/>
        <v>H3121F</v>
      </c>
      <c r="E175" s="6" t="str">
        <f t="shared" si="145"/>
        <v>Heatpl</v>
      </c>
      <c r="F175" s="14">
        <f t="shared" si="146"/>
        <v>22844.399999999998</v>
      </c>
      <c r="G175" s="5" t="str">
        <f>IF(Table35[[#This Row],[Capacity1]]&lt;&gt;"-",Table35[[#This Row],[Location]]&amp;RIGHT(Table35[[#Headers],[Facility_2]],1)&amp;"F","-")</f>
        <v>H3122F</v>
      </c>
      <c r="H175" s="6" t="str">
        <f t="shared" si="147"/>
        <v>TerHea</v>
      </c>
      <c r="I175" s="23">
        <f t="shared" si="148"/>
        <v>9999</v>
      </c>
      <c r="J175" s="5" t="str">
        <f>IF(Table35[[#This Row],[Capacity1]]*X175&gt;=$Y$5,Table35[[#This Row],[Location]]&amp;RIGHT(Table35[[#Headers],[Facility_3]],1)&amp;"F","-")</f>
        <v>H3123F</v>
      </c>
      <c r="K175" s="2" t="str">
        <f t="shared" ref="K175" si="195">IF(J175="-","-","CHPpl_")</f>
        <v>CHPpl_</v>
      </c>
      <c r="L175" s="14">
        <f t="shared" si="151"/>
        <v>0</v>
      </c>
      <c r="V175" s="1">
        <v>19.036999999999999</v>
      </c>
      <c r="W175" s="1">
        <v>1</v>
      </c>
      <c r="X175" s="1">
        <v>0</v>
      </c>
    </row>
    <row r="176" spans="1:24" x14ac:dyDescent="0.25">
      <c r="A176" s="1" t="s">
        <v>195</v>
      </c>
      <c r="B176" s="1">
        <v>6554766.5836405298</v>
      </c>
      <c r="C176" s="1">
        <v>599428.932628109</v>
      </c>
      <c r="D176" s="5" t="str">
        <f t="shared" si="144"/>
        <v>H1961F</v>
      </c>
      <c r="E176" s="6" t="str">
        <f t="shared" si="145"/>
        <v>Heatpl</v>
      </c>
      <c r="F176" s="14">
        <f t="shared" si="146"/>
        <v>22560</v>
      </c>
      <c r="G176" s="5" t="str">
        <f>IF(Table35[[#This Row],[Capacity1]]&lt;&gt;"-",Table35[[#This Row],[Location]]&amp;RIGHT(Table35[[#Headers],[Facility_2]],1)&amp;"F","-")</f>
        <v>H1962F</v>
      </c>
      <c r="H176" s="6" t="str">
        <f t="shared" si="147"/>
        <v>TerHea</v>
      </c>
      <c r="I176" s="23">
        <f t="shared" si="148"/>
        <v>9999</v>
      </c>
      <c r="J176" s="5" t="str">
        <f>IF(Table35[[#This Row],[Capacity1]]*X176&gt;=$Y$5,Table35[[#This Row],[Location]]&amp;RIGHT(Table35[[#Headers],[Facility_3]],1)&amp;"F","-")</f>
        <v>H1963F</v>
      </c>
      <c r="K176" s="2" t="str">
        <f t="shared" ref="K176" si="196">IF(J176="-","-","CHPpl_")</f>
        <v>CHPpl_</v>
      </c>
      <c r="L176" s="14">
        <f t="shared" si="151"/>
        <v>0</v>
      </c>
      <c r="V176" s="1">
        <v>18.8</v>
      </c>
      <c r="W176" s="1">
        <v>1</v>
      </c>
      <c r="X176" s="1">
        <v>0</v>
      </c>
    </row>
    <row r="177" spans="1:24" x14ac:dyDescent="0.25">
      <c r="A177" s="1" t="s">
        <v>137</v>
      </c>
      <c r="B177" s="1">
        <v>6665938.37373849</v>
      </c>
      <c r="C177" s="1">
        <v>510235.09590710601</v>
      </c>
      <c r="D177" s="5" t="str">
        <f t="shared" si="144"/>
        <v>H1381F</v>
      </c>
      <c r="E177" s="6" t="str">
        <f t="shared" si="145"/>
        <v>Heatpl</v>
      </c>
      <c r="F177" s="14">
        <f t="shared" si="146"/>
        <v>22558.799999999999</v>
      </c>
      <c r="G177" s="5" t="str">
        <f>IF(Table35[[#This Row],[Capacity1]]&lt;&gt;"-",Table35[[#This Row],[Location]]&amp;RIGHT(Table35[[#Headers],[Facility_2]],1)&amp;"F","-")</f>
        <v>H1382F</v>
      </c>
      <c r="H177" s="6" t="str">
        <f t="shared" si="147"/>
        <v>TerHea</v>
      </c>
      <c r="I177" s="23">
        <f t="shared" si="148"/>
        <v>9999</v>
      </c>
      <c r="J177" s="5" t="str">
        <f>IF(Table35[[#This Row],[Capacity1]]*X177&gt;=$Y$5,Table35[[#This Row],[Location]]&amp;RIGHT(Table35[[#Headers],[Facility_3]],1)&amp;"F","-")</f>
        <v>H1383F</v>
      </c>
      <c r="K177" s="2" t="str">
        <f t="shared" ref="K177" si="197">IF(J177="-","-","CHPpl_")</f>
        <v>CHPpl_</v>
      </c>
      <c r="L177" s="14">
        <f t="shared" si="151"/>
        <v>0</v>
      </c>
      <c r="V177" s="1">
        <v>18.798999999999999</v>
      </c>
      <c r="W177" s="1">
        <v>1</v>
      </c>
      <c r="X177" s="1">
        <v>0</v>
      </c>
    </row>
    <row r="178" spans="1:24" x14ac:dyDescent="0.25">
      <c r="A178" s="1" t="s">
        <v>221</v>
      </c>
      <c r="B178" s="1">
        <v>6485102.3089768998</v>
      </c>
      <c r="C178" s="1">
        <v>471518.83771762502</v>
      </c>
      <c r="D178" s="5" t="str">
        <f t="shared" si="144"/>
        <v>H2221F</v>
      </c>
      <c r="E178" s="6" t="str">
        <f t="shared" si="145"/>
        <v>Heatpl</v>
      </c>
      <c r="F178" s="14">
        <f t="shared" si="146"/>
        <v>22023.600000000002</v>
      </c>
      <c r="G178" s="5" t="str">
        <f>IF(Table35[[#This Row],[Capacity1]]&lt;&gt;"-",Table35[[#This Row],[Location]]&amp;RIGHT(Table35[[#Headers],[Facility_2]],1)&amp;"F","-")</f>
        <v>H2222F</v>
      </c>
      <c r="H178" s="6" t="str">
        <f t="shared" si="147"/>
        <v>TerHea</v>
      </c>
      <c r="I178" s="23">
        <f t="shared" si="148"/>
        <v>9999</v>
      </c>
      <c r="J178" s="5" t="str">
        <f>IF(Table35[[#This Row],[Capacity1]]*X178&gt;=$Y$5,Table35[[#This Row],[Location]]&amp;RIGHT(Table35[[#Headers],[Facility_3]],1)&amp;"F","-")</f>
        <v>H2223F</v>
      </c>
      <c r="K178" s="2" t="str">
        <f t="shared" ref="K178" si="198">IF(J178="-","-","CHPpl_")</f>
        <v>CHPpl_</v>
      </c>
      <c r="L178" s="14">
        <f t="shared" si="151"/>
        <v>0</v>
      </c>
      <c r="V178" s="1">
        <v>18.353000000000002</v>
      </c>
      <c r="W178" s="1">
        <v>1</v>
      </c>
      <c r="X178" s="1">
        <v>0</v>
      </c>
    </row>
    <row r="179" spans="1:24" x14ac:dyDescent="0.25">
      <c r="A179" s="1" t="s">
        <v>169</v>
      </c>
      <c r="B179" s="1">
        <v>6592745.79653644</v>
      </c>
      <c r="C179" s="1">
        <v>672954.13078504696</v>
      </c>
      <c r="D179" s="5" t="str">
        <f t="shared" si="144"/>
        <v>H1701F</v>
      </c>
      <c r="E179" s="6" t="str">
        <f t="shared" si="145"/>
        <v>Heatpl</v>
      </c>
      <c r="F179" s="14">
        <f t="shared" si="146"/>
        <v>21204</v>
      </c>
      <c r="G179" s="5" t="str">
        <f>IF(Table35[[#This Row],[Capacity1]]&lt;&gt;"-",Table35[[#This Row],[Location]]&amp;RIGHT(Table35[[#Headers],[Facility_2]],1)&amp;"F","-")</f>
        <v>H1702F</v>
      </c>
      <c r="H179" s="6" t="str">
        <f t="shared" si="147"/>
        <v>TerHea</v>
      </c>
      <c r="I179" s="23">
        <f t="shared" si="148"/>
        <v>9999</v>
      </c>
      <c r="J179" s="5" t="str">
        <f>IF(Table35[[#This Row],[Capacity1]]*X179&gt;=$Y$5,Table35[[#This Row],[Location]]&amp;RIGHT(Table35[[#Headers],[Facility_3]],1)&amp;"F","-")</f>
        <v>H1703F</v>
      </c>
      <c r="K179" s="2" t="str">
        <f t="shared" ref="K179" si="199">IF(J179="-","-","CHPpl_")</f>
        <v>CHPpl_</v>
      </c>
      <c r="L179" s="14">
        <f t="shared" si="151"/>
        <v>0</v>
      </c>
      <c r="V179" s="1">
        <v>17.670000000000002</v>
      </c>
      <c r="W179" s="1">
        <v>1</v>
      </c>
      <c r="X179" s="1">
        <v>0</v>
      </c>
    </row>
    <row r="180" spans="1:24" x14ac:dyDescent="0.25">
      <c r="A180" s="1" t="s">
        <v>19</v>
      </c>
      <c r="B180" s="1">
        <v>6452722.7529999996</v>
      </c>
      <c r="C180" s="1">
        <v>593948.35900000005</v>
      </c>
      <c r="D180" s="5" t="str">
        <f t="shared" si="144"/>
        <v>H201F</v>
      </c>
      <c r="E180" s="6" t="str">
        <f t="shared" si="145"/>
        <v>Heatpl</v>
      </c>
      <c r="F180" s="14">
        <f t="shared" si="146"/>
        <v>20620.8</v>
      </c>
      <c r="G180" s="5" t="str">
        <f>IF(Table35[[#This Row],[Capacity1]]&lt;&gt;"-",Table35[[#This Row],[Location]]&amp;RIGHT(Table35[[#Headers],[Facility_2]],1)&amp;"F","-")</f>
        <v>H202F</v>
      </c>
      <c r="H180" s="6" t="str">
        <f t="shared" si="147"/>
        <v>TerHea</v>
      </c>
      <c r="I180" s="23">
        <f t="shared" si="148"/>
        <v>9999</v>
      </c>
      <c r="J180" s="5" t="str">
        <f>IF(Table35[[#This Row],[Capacity1]]*X180&gt;=$Y$5,Table35[[#This Row],[Location]]&amp;RIGHT(Table35[[#Headers],[Facility_3]],1)&amp;"F","-")</f>
        <v>H203F</v>
      </c>
      <c r="K180" s="2" t="str">
        <f t="shared" ref="K180" si="200">IF(J180="-","-","CHPpl_")</f>
        <v>CHPpl_</v>
      </c>
      <c r="L180" s="14">
        <f t="shared" si="151"/>
        <v>0</v>
      </c>
      <c r="V180" s="1">
        <v>17.184000000000001</v>
      </c>
      <c r="W180" s="1">
        <v>1</v>
      </c>
      <c r="X180" s="1">
        <v>0</v>
      </c>
    </row>
    <row r="181" spans="1:24" x14ac:dyDescent="0.25">
      <c r="A181" s="1" t="s">
        <v>31</v>
      </c>
      <c r="B181" s="1">
        <v>6252488.9979999997</v>
      </c>
      <c r="C181" s="1">
        <v>561689.89300000004</v>
      </c>
      <c r="D181" s="5" t="str">
        <f t="shared" si="144"/>
        <v>H321F</v>
      </c>
      <c r="E181" s="6" t="str">
        <f t="shared" si="145"/>
        <v>Heatpl</v>
      </c>
      <c r="F181" s="14">
        <f t="shared" si="146"/>
        <v>20533.32</v>
      </c>
      <c r="G181" s="5" t="str">
        <f>IF(Table35[[#This Row],[Capacity1]]&lt;&gt;"-",Table35[[#This Row],[Location]]&amp;RIGHT(Table35[[#Headers],[Facility_2]],1)&amp;"F","-")</f>
        <v>H322F</v>
      </c>
      <c r="H181" s="6" t="str">
        <f t="shared" si="147"/>
        <v>TerHea</v>
      </c>
      <c r="I181" s="23">
        <f t="shared" si="148"/>
        <v>9999</v>
      </c>
      <c r="J181" s="5" t="str">
        <f>IF(Table35[[#This Row],[Capacity1]]*X181&gt;=$Y$5,Table35[[#This Row],[Location]]&amp;RIGHT(Table35[[#Headers],[Facility_3]],1)&amp;"F","-")</f>
        <v>H323F</v>
      </c>
      <c r="K181" s="2" t="str">
        <f t="shared" ref="K181" si="201">IF(J181="-","-","CHPpl_")</f>
        <v>CHPpl_</v>
      </c>
      <c r="L181" s="14">
        <f t="shared" si="151"/>
        <v>0</v>
      </c>
      <c r="V181" s="1">
        <v>17.1111</v>
      </c>
      <c r="W181" s="1">
        <v>1</v>
      </c>
      <c r="X181" s="1">
        <v>0</v>
      </c>
    </row>
    <row r="182" spans="1:24" x14ac:dyDescent="0.25">
      <c r="A182" s="1" t="s">
        <v>240</v>
      </c>
      <c r="B182" s="1">
        <v>6451565.5104311304</v>
      </c>
      <c r="C182" s="1">
        <v>478870.94186812697</v>
      </c>
      <c r="D182" s="5" t="str">
        <f t="shared" si="144"/>
        <v>H2411F</v>
      </c>
      <c r="E182" s="6" t="str">
        <f t="shared" si="145"/>
        <v>Heatpl</v>
      </c>
      <c r="F182" s="14">
        <f t="shared" si="146"/>
        <v>20220.000000000004</v>
      </c>
      <c r="G182" s="5" t="str">
        <f>IF(Table35[[#This Row],[Capacity1]]&lt;&gt;"-",Table35[[#This Row],[Location]]&amp;RIGHT(Table35[[#Headers],[Facility_2]],1)&amp;"F","-")</f>
        <v>H2412F</v>
      </c>
      <c r="H182" s="6" t="str">
        <f t="shared" si="147"/>
        <v>TerHea</v>
      </c>
      <c r="I182" s="23">
        <f t="shared" si="148"/>
        <v>9999</v>
      </c>
      <c r="J182" s="5" t="str">
        <f>IF(Table35[[#This Row],[Capacity1]]*X182&gt;=$Y$5,Table35[[#This Row],[Location]]&amp;RIGHT(Table35[[#Headers],[Facility_3]],1)&amp;"F","-")</f>
        <v>H2413F</v>
      </c>
      <c r="K182" s="2" t="str">
        <f t="shared" ref="K182" si="202">IF(J182="-","-","CHPpl_")</f>
        <v>CHPpl_</v>
      </c>
      <c r="L182" s="14">
        <f t="shared" si="151"/>
        <v>0</v>
      </c>
      <c r="V182" s="1">
        <v>16.850000000000001</v>
      </c>
      <c r="W182" s="1">
        <v>1</v>
      </c>
      <c r="X182" s="1">
        <v>0</v>
      </c>
    </row>
    <row r="183" spans="1:24" x14ac:dyDescent="0.25">
      <c r="A183" s="1" t="s">
        <v>160</v>
      </c>
      <c r="B183" s="1">
        <v>6605601.0157614499</v>
      </c>
      <c r="C183" s="1">
        <v>547531.54421394598</v>
      </c>
      <c r="D183" s="5" t="str">
        <f t="shared" si="144"/>
        <v>H1611F</v>
      </c>
      <c r="E183" s="6" t="str">
        <f t="shared" si="145"/>
        <v>Heatpl</v>
      </c>
      <c r="F183" s="14">
        <f t="shared" si="146"/>
        <v>19560</v>
      </c>
      <c r="G183" s="5" t="str">
        <f>IF(Table35[[#This Row],[Capacity1]]&lt;&gt;"-",Table35[[#This Row],[Location]]&amp;RIGHT(Table35[[#Headers],[Facility_2]],1)&amp;"F","-")</f>
        <v>H1612F</v>
      </c>
      <c r="H183" s="6" t="str">
        <f t="shared" si="147"/>
        <v>TerHea</v>
      </c>
      <c r="I183" s="23">
        <f t="shared" si="148"/>
        <v>9999</v>
      </c>
      <c r="J183" s="5" t="str">
        <f>IF(Table35[[#This Row],[Capacity1]]*X183&gt;=$Y$5,Table35[[#This Row],[Location]]&amp;RIGHT(Table35[[#Headers],[Facility_3]],1)&amp;"F","-")</f>
        <v>H1613F</v>
      </c>
      <c r="K183" s="2" t="str">
        <f t="shared" ref="K183" si="203">IF(J183="-","-","CHPpl_")</f>
        <v>CHPpl_</v>
      </c>
      <c r="L183" s="14">
        <f t="shared" si="151"/>
        <v>0</v>
      </c>
      <c r="V183" s="1">
        <v>16.3</v>
      </c>
      <c r="W183" s="1">
        <v>1</v>
      </c>
      <c r="X183" s="1">
        <v>0</v>
      </c>
    </row>
    <row r="184" spans="1:24" x14ac:dyDescent="0.25">
      <c r="A184" s="1" t="s">
        <v>217</v>
      </c>
      <c r="B184" s="1">
        <v>6489358.4530394701</v>
      </c>
      <c r="C184" s="1">
        <v>516384.234400735</v>
      </c>
      <c r="D184" s="5" t="str">
        <f t="shared" si="144"/>
        <v>H2181F</v>
      </c>
      <c r="E184" s="6" t="str">
        <f t="shared" si="145"/>
        <v>Heatpl</v>
      </c>
      <c r="F184" s="14">
        <f t="shared" si="146"/>
        <v>19523.999999999996</v>
      </c>
      <c r="G184" s="5" t="str">
        <f>IF(Table35[[#This Row],[Capacity1]]&lt;&gt;"-",Table35[[#This Row],[Location]]&amp;RIGHT(Table35[[#Headers],[Facility_2]],1)&amp;"F","-")</f>
        <v>H2182F</v>
      </c>
      <c r="H184" s="6" t="str">
        <f t="shared" si="147"/>
        <v>TerHea</v>
      </c>
      <c r="I184" s="23">
        <f t="shared" si="148"/>
        <v>9999</v>
      </c>
      <c r="J184" s="5" t="str">
        <f>IF(Table35[[#This Row],[Capacity1]]*X184&gt;=$Y$5,Table35[[#This Row],[Location]]&amp;RIGHT(Table35[[#Headers],[Facility_3]],1)&amp;"F","-")</f>
        <v>H2183F</v>
      </c>
      <c r="K184" s="2" t="str">
        <f t="shared" ref="K184" si="204">IF(J184="-","-","CHPpl_")</f>
        <v>CHPpl_</v>
      </c>
      <c r="L184" s="14">
        <f t="shared" si="151"/>
        <v>0</v>
      </c>
      <c r="V184" s="1">
        <v>16.27</v>
      </c>
      <c r="W184" s="1">
        <v>1</v>
      </c>
      <c r="X184" s="1">
        <v>0</v>
      </c>
    </row>
    <row r="185" spans="1:24" x14ac:dyDescent="0.25">
      <c r="A185" s="1" t="s">
        <v>68</v>
      </c>
      <c r="B185" s="1">
        <v>7128297.0903356997</v>
      </c>
      <c r="C185" s="1">
        <v>728917.067823419</v>
      </c>
      <c r="D185" s="5" t="str">
        <f t="shared" si="144"/>
        <v>H691F</v>
      </c>
      <c r="E185" s="6" t="str">
        <f t="shared" si="145"/>
        <v>Heatpl</v>
      </c>
      <c r="F185" s="14">
        <f t="shared" si="146"/>
        <v>19494</v>
      </c>
      <c r="G185" s="5" t="str">
        <f>IF(Table35[[#This Row],[Capacity1]]&lt;&gt;"-",Table35[[#This Row],[Location]]&amp;RIGHT(Table35[[#Headers],[Facility_2]],1)&amp;"F","-")</f>
        <v>H692F</v>
      </c>
      <c r="H185" s="6" t="str">
        <f t="shared" si="147"/>
        <v>TerHea</v>
      </c>
      <c r="I185" s="23">
        <f t="shared" si="148"/>
        <v>9999</v>
      </c>
      <c r="J185" s="5" t="str">
        <f>IF(Table35[[#This Row],[Capacity1]]*X185&gt;=$Y$5,Table35[[#This Row],[Location]]&amp;RIGHT(Table35[[#Headers],[Facility_3]],1)&amp;"F","-")</f>
        <v>H693F</v>
      </c>
      <c r="K185" s="2" t="str">
        <f t="shared" ref="K185" si="205">IF(J185="-","-","CHPpl_")</f>
        <v>CHPpl_</v>
      </c>
      <c r="L185" s="14">
        <f t="shared" si="151"/>
        <v>0</v>
      </c>
      <c r="V185" s="1">
        <v>16.245000000000001</v>
      </c>
      <c r="W185" s="1">
        <v>1</v>
      </c>
      <c r="X185" s="1">
        <v>0</v>
      </c>
    </row>
    <row r="186" spans="1:24" x14ac:dyDescent="0.25">
      <c r="A186" s="1" t="s">
        <v>133</v>
      </c>
      <c r="B186" s="1">
        <v>6670628.6277071498</v>
      </c>
      <c r="C186" s="1">
        <v>416483.947296525</v>
      </c>
      <c r="D186" s="5" t="str">
        <f t="shared" si="144"/>
        <v>H1341F</v>
      </c>
      <c r="E186" s="6" t="str">
        <f t="shared" si="145"/>
        <v>Heatpl</v>
      </c>
      <c r="F186" s="14">
        <f t="shared" si="146"/>
        <v>19331.999999999996</v>
      </c>
      <c r="G186" s="5" t="str">
        <f>IF(Table35[[#This Row],[Capacity1]]&lt;&gt;"-",Table35[[#This Row],[Location]]&amp;RIGHT(Table35[[#Headers],[Facility_2]],1)&amp;"F","-")</f>
        <v>H1342F</v>
      </c>
      <c r="H186" s="6" t="str">
        <f t="shared" si="147"/>
        <v>TerHea</v>
      </c>
      <c r="I186" s="23">
        <f t="shared" si="148"/>
        <v>9999</v>
      </c>
      <c r="J186" s="5" t="str">
        <f>IF(Table35[[#This Row],[Capacity1]]*X186&gt;=$Y$5,Table35[[#This Row],[Location]]&amp;RIGHT(Table35[[#Headers],[Facility_3]],1)&amp;"F","-")</f>
        <v>H1343F</v>
      </c>
      <c r="K186" s="2" t="str">
        <f t="shared" ref="K186" si="206">IF(J186="-","-","CHPpl_")</f>
        <v>CHPpl_</v>
      </c>
      <c r="L186" s="14">
        <f t="shared" si="151"/>
        <v>0</v>
      </c>
      <c r="V186" s="1">
        <v>16.11</v>
      </c>
      <c r="W186" s="1">
        <v>1</v>
      </c>
      <c r="X186" s="1">
        <v>0</v>
      </c>
    </row>
    <row r="187" spans="1:24" x14ac:dyDescent="0.25">
      <c r="A187" s="1" t="s">
        <v>102</v>
      </c>
      <c r="B187" s="1">
        <v>6852109.8797692498</v>
      </c>
      <c r="C187" s="1">
        <v>582556.74089487398</v>
      </c>
      <c r="D187" s="5" t="str">
        <f t="shared" si="144"/>
        <v>H1031F</v>
      </c>
      <c r="E187" s="6" t="str">
        <f t="shared" si="145"/>
        <v>Heatpl</v>
      </c>
      <c r="F187" s="14">
        <f t="shared" si="146"/>
        <v>19014</v>
      </c>
      <c r="G187" s="5" t="str">
        <f>IF(Table35[[#This Row],[Capacity1]]&lt;&gt;"-",Table35[[#This Row],[Location]]&amp;RIGHT(Table35[[#Headers],[Facility_2]],1)&amp;"F","-")</f>
        <v>H1032F</v>
      </c>
      <c r="H187" s="6" t="str">
        <f t="shared" si="147"/>
        <v>TerHea</v>
      </c>
      <c r="I187" s="23">
        <f t="shared" si="148"/>
        <v>9999</v>
      </c>
      <c r="J187" s="5" t="str">
        <f>IF(Table35[[#This Row],[Capacity1]]*X187&gt;=$Y$5,Table35[[#This Row],[Location]]&amp;RIGHT(Table35[[#Headers],[Facility_3]],1)&amp;"F","-")</f>
        <v>H1033F</v>
      </c>
      <c r="K187" s="2" t="str">
        <f t="shared" ref="K187" si="207">IF(J187="-","-","CHPpl_")</f>
        <v>CHPpl_</v>
      </c>
      <c r="L187" s="14">
        <f t="shared" si="151"/>
        <v>0</v>
      </c>
      <c r="V187" s="1">
        <v>15.845000000000001</v>
      </c>
      <c r="W187" s="1">
        <v>1</v>
      </c>
      <c r="X187" s="1">
        <v>0</v>
      </c>
    </row>
    <row r="188" spans="1:24" x14ac:dyDescent="0.25">
      <c r="A188" s="1" t="s">
        <v>247</v>
      </c>
      <c r="B188" s="1">
        <v>6441087.4295596099</v>
      </c>
      <c r="C188" s="1">
        <v>331675.80442229699</v>
      </c>
      <c r="D188" s="5" t="str">
        <f t="shared" si="144"/>
        <v>H2481F</v>
      </c>
      <c r="E188" s="6" t="str">
        <f t="shared" si="145"/>
        <v>Heatpl</v>
      </c>
      <c r="F188" s="14">
        <f t="shared" si="146"/>
        <v>18960</v>
      </c>
      <c r="G188" s="5" t="str">
        <f>IF(Table35[[#This Row],[Capacity1]]&lt;&gt;"-",Table35[[#This Row],[Location]]&amp;RIGHT(Table35[[#Headers],[Facility_2]],1)&amp;"F","-")</f>
        <v>H2482F</v>
      </c>
      <c r="H188" s="6" t="str">
        <f t="shared" si="147"/>
        <v>TerHea</v>
      </c>
      <c r="I188" s="23">
        <f t="shared" si="148"/>
        <v>9999</v>
      </c>
      <c r="J188" s="5" t="str">
        <f>IF(Table35[[#This Row],[Capacity1]]*X188&gt;=$Y$5,Table35[[#This Row],[Location]]&amp;RIGHT(Table35[[#Headers],[Facility_3]],1)&amp;"F","-")</f>
        <v>H2483F</v>
      </c>
      <c r="K188" s="2" t="str">
        <f t="shared" ref="K188" si="208">IF(J188="-","-","CHPpl_")</f>
        <v>CHPpl_</v>
      </c>
      <c r="L188" s="14">
        <f t="shared" si="151"/>
        <v>0</v>
      </c>
      <c r="V188" s="1">
        <v>15.8</v>
      </c>
      <c r="W188" s="1">
        <v>1</v>
      </c>
      <c r="X188" s="1">
        <v>0</v>
      </c>
    </row>
    <row r="189" spans="1:24" x14ac:dyDescent="0.25">
      <c r="A189" s="1" t="s">
        <v>313</v>
      </c>
      <c r="B189" s="1">
        <v>6316003.2256627101</v>
      </c>
      <c r="C189" s="1">
        <v>474130.20103655901</v>
      </c>
      <c r="D189" s="5" t="str">
        <f t="shared" si="144"/>
        <v>H3141F</v>
      </c>
      <c r="E189" s="6" t="str">
        <f t="shared" si="145"/>
        <v>Heatpl</v>
      </c>
      <c r="F189" s="14">
        <f t="shared" si="146"/>
        <v>18960</v>
      </c>
      <c r="G189" s="5" t="str">
        <f>IF(Table35[[#This Row],[Capacity1]]&lt;&gt;"-",Table35[[#This Row],[Location]]&amp;RIGHT(Table35[[#Headers],[Facility_2]],1)&amp;"F","-")</f>
        <v>H3142F</v>
      </c>
      <c r="H189" s="6" t="str">
        <f t="shared" si="147"/>
        <v>TerHea</v>
      </c>
      <c r="I189" s="23">
        <f t="shared" si="148"/>
        <v>9999</v>
      </c>
      <c r="J189" s="5" t="str">
        <f>IF(Table35[[#This Row],[Capacity1]]*X189&gt;=$Y$5,Table35[[#This Row],[Location]]&amp;RIGHT(Table35[[#Headers],[Facility_3]],1)&amp;"F","-")</f>
        <v>H3143F</v>
      </c>
      <c r="K189" s="2" t="str">
        <f t="shared" ref="K189" si="209">IF(J189="-","-","CHPpl_")</f>
        <v>CHPpl_</v>
      </c>
      <c r="L189" s="14">
        <f t="shared" si="151"/>
        <v>0</v>
      </c>
      <c r="V189" s="1">
        <v>15.8</v>
      </c>
      <c r="W189" s="1">
        <v>1</v>
      </c>
      <c r="X189" s="1">
        <v>0</v>
      </c>
    </row>
    <row r="190" spans="1:24" x14ac:dyDescent="0.25">
      <c r="A190" s="1" t="s">
        <v>139</v>
      </c>
      <c r="B190" s="1">
        <v>6662829.7938500196</v>
      </c>
      <c r="C190" s="1">
        <v>700201.39924883202</v>
      </c>
      <c r="D190" s="5" t="str">
        <f t="shared" si="144"/>
        <v>H1401F</v>
      </c>
      <c r="E190" s="6" t="str">
        <f t="shared" si="145"/>
        <v>Heatpl</v>
      </c>
      <c r="F190" s="14">
        <f t="shared" si="146"/>
        <v>18552</v>
      </c>
      <c r="G190" s="5" t="str">
        <f>IF(Table35[[#This Row],[Capacity1]]&lt;&gt;"-",Table35[[#This Row],[Location]]&amp;RIGHT(Table35[[#Headers],[Facility_2]],1)&amp;"F","-")</f>
        <v>H1402F</v>
      </c>
      <c r="H190" s="6" t="str">
        <f t="shared" si="147"/>
        <v>TerHea</v>
      </c>
      <c r="I190" s="23">
        <f t="shared" si="148"/>
        <v>9999</v>
      </c>
      <c r="J190" s="5" t="str">
        <f>IF(Table35[[#This Row],[Capacity1]]*X190&gt;=$Y$5,Table35[[#This Row],[Location]]&amp;RIGHT(Table35[[#Headers],[Facility_3]],1)&amp;"F","-")</f>
        <v>H1403F</v>
      </c>
      <c r="K190" s="2" t="str">
        <f t="shared" ref="K190" si="210">IF(J190="-","-","CHPpl_")</f>
        <v>CHPpl_</v>
      </c>
      <c r="L190" s="14">
        <f t="shared" si="151"/>
        <v>0</v>
      </c>
      <c r="V190" s="1">
        <v>15.46</v>
      </c>
      <c r="W190" s="1">
        <v>1</v>
      </c>
      <c r="X190" s="1">
        <v>0</v>
      </c>
    </row>
    <row r="191" spans="1:24" x14ac:dyDescent="0.25">
      <c r="A191" s="1" t="s">
        <v>272</v>
      </c>
      <c r="B191" s="1">
        <v>6398243.1091877697</v>
      </c>
      <c r="C191" s="1">
        <v>547420.52113624895</v>
      </c>
      <c r="D191" s="5" t="str">
        <f t="shared" si="144"/>
        <v>H2731F</v>
      </c>
      <c r="E191" s="6" t="str">
        <f t="shared" si="145"/>
        <v>Heatpl</v>
      </c>
      <c r="F191" s="14">
        <f t="shared" si="146"/>
        <v>18516</v>
      </c>
      <c r="G191" s="5" t="str">
        <f>IF(Table35[[#This Row],[Capacity1]]&lt;&gt;"-",Table35[[#This Row],[Location]]&amp;RIGHT(Table35[[#Headers],[Facility_2]],1)&amp;"F","-")</f>
        <v>H2732F</v>
      </c>
      <c r="H191" s="6" t="str">
        <f t="shared" si="147"/>
        <v>TerHea</v>
      </c>
      <c r="I191" s="23">
        <f t="shared" si="148"/>
        <v>9999</v>
      </c>
      <c r="J191" s="5" t="str">
        <f>IF(Table35[[#This Row],[Capacity1]]*X191&gt;=$Y$5,Table35[[#This Row],[Location]]&amp;RIGHT(Table35[[#Headers],[Facility_3]],1)&amp;"F","-")</f>
        <v>H2733F</v>
      </c>
      <c r="K191" s="2" t="str">
        <f t="shared" ref="K191" si="211">IF(J191="-","-","CHPpl_")</f>
        <v>CHPpl_</v>
      </c>
      <c r="L191" s="14">
        <f t="shared" si="151"/>
        <v>0</v>
      </c>
      <c r="V191" s="1">
        <v>15.43</v>
      </c>
      <c r="W191" s="1">
        <v>1</v>
      </c>
      <c r="X191" s="1">
        <v>0</v>
      </c>
    </row>
    <row r="192" spans="1:24" x14ac:dyDescent="0.25">
      <c r="A192" s="1" t="s">
        <v>97</v>
      </c>
      <c r="B192" s="1">
        <v>6914403.0578819597</v>
      </c>
      <c r="C192" s="1">
        <v>606266.91047619504</v>
      </c>
      <c r="D192" s="5" t="str">
        <f t="shared" si="144"/>
        <v>H981F</v>
      </c>
      <c r="E192" s="6" t="str">
        <f t="shared" si="145"/>
        <v>Heatpl</v>
      </c>
      <c r="F192" s="14">
        <f t="shared" si="146"/>
        <v>18511.199999999997</v>
      </c>
      <c r="G192" s="5" t="str">
        <f>IF(Table35[[#This Row],[Capacity1]]&lt;&gt;"-",Table35[[#This Row],[Location]]&amp;RIGHT(Table35[[#Headers],[Facility_2]],1)&amp;"F","-")</f>
        <v>H982F</v>
      </c>
      <c r="H192" s="6" t="str">
        <f t="shared" si="147"/>
        <v>TerHea</v>
      </c>
      <c r="I192" s="23">
        <f t="shared" si="148"/>
        <v>9999</v>
      </c>
      <c r="J192" s="5" t="str">
        <f>IF(Table35[[#This Row],[Capacity1]]*X192&gt;=$Y$5,Table35[[#This Row],[Location]]&amp;RIGHT(Table35[[#Headers],[Facility_3]],1)&amp;"F","-")</f>
        <v>H983F</v>
      </c>
      <c r="K192" s="2" t="str">
        <f t="shared" ref="K192" si="212">IF(J192="-","-","CHPpl_")</f>
        <v>CHPpl_</v>
      </c>
      <c r="L192" s="14">
        <f t="shared" si="151"/>
        <v>0</v>
      </c>
      <c r="V192" s="1">
        <v>15.426</v>
      </c>
      <c r="W192" s="1">
        <v>1</v>
      </c>
      <c r="X192" s="1">
        <v>0</v>
      </c>
    </row>
    <row r="193" spans="1:24" x14ac:dyDescent="0.25">
      <c r="A193" s="1" t="s">
        <v>251</v>
      </c>
      <c r="B193" s="1">
        <v>6428636.01133746</v>
      </c>
      <c r="C193" s="1">
        <v>468371.14864293899</v>
      </c>
      <c r="D193" s="5" t="str">
        <f t="shared" si="144"/>
        <v>H2521F</v>
      </c>
      <c r="E193" s="6" t="str">
        <f t="shared" si="145"/>
        <v>Heatpl</v>
      </c>
      <c r="F193" s="14">
        <f t="shared" si="146"/>
        <v>18384</v>
      </c>
      <c r="G193" s="5" t="str">
        <f>IF(Table35[[#This Row],[Capacity1]]&lt;&gt;"-",Table35[[#This Row],[Location]]&amp;RIGHT(Table35[[#Headers],[Facility_2]],1)&amp;"F","-")</f>
        <v>H2522F</v>
      </c>
      <c r="H193" s="6" t="str">
        <f t="shared" si="147"/>
        <v>TerHea</v>
      </c>
      <c r="I193" s="23">
        <f t="shared" si="148"/>
        <v>9999</v>
      </c>
      <c r="J193" s="5" t="str">
        <f>IF(Table35[[#This Row],[Capacity1]]*X193&gt;=$Y$5,Table35[[#This Row],[Location]]&amp;RIGHT(Table35[[#Headers],[Facility_3]],1)&amp;"F","-")</f>
        <v>H2523F</v>
      </c>
      <c r="K193" s="2" t="str">
        <f t="shared" ref="K193" si="213">IF(J193="-","-","CHPpl_")</f>
        <v>CHPpl_</v>
      </c>
      <c r="L193" s="14">
        <f t="shared" si="151"/>
        <v>0</v>
      </c>
      <c r="V193" s="1">
        <v>15.32</v>
      </c>
      <c r="W193" s="1">
        <v>1</v>
      </c>
      <c r="X193" s="1">
        <v>0</v>
      </c>
    </row>
    <row r="194" spans="1:24" x14ac:dyDescent="0.25">
      <c r="A194" s="1" t="s">
        <v>333</v>
      </c>
      <c r="B194" s="1">
        <v>6232065.1327845203</v>
      </c>
      <c r="C194" s="1">
        <v>367225.67568171502</v>
      </c>
      <c r="D194" s="5" t="str">
        <f t="shared" ref="D194:D257" si="214">$A194&amp;RIGHT(D$1,1)&amp;"F"</f>
        <v>H3341F</v>
      </c>
      <c r="E194" s="6" t="str">
        <f t="shared" ref="E194:E257" si="215">IF(D194="-","-","Heatpl")</f>
        <v>Heatpl</v>
      </c>
      <c r="F194" s="14">
        <f t="shared" ref="F194:F257" si="216">IF(1.2*1000*$V194&gt;=$Y$3,1.2*$V194*1000,"-")</f>
        <v>18343.2</v>
      </c>
      <c r="G194" s="5" t="str">
        <f>IF(Table35[[#This Row],[Capacity1]]&lt;&gt;"-",Table35[[#This Row],[Location]]&amp;RIGHT(Table35[[#Headers],[Facility_2]],1)&amp;"F","-")</f>
        <v>H3342F</v>
      </c>
      <c r="H194" s="6" t="str">
        <f t="shared" ref="H194:H257" si="217">IF(G194="-","-","TerHea")</f>
        <v>TerHea</v>
      </c>
      <c r="I194" s="23">
        <f t="shared" ref="I194:I257" si="218">IF(H194="-",0,9999)</f>
        <v>9999</v>
      </c>
      <c r="J194" s="5" t="str">
        <f>IF(Table35[[#This Row],[Capacity1]]*X194&gt;=$Y$5,Table35[[#This Row],[Location]]&amp;RIGHT(Table35[[#Headers],[Facility_3]],1)&amp;"F","-")</f>
        <v>H3343F</v>
      </c>
      <c r="K194" s="2" t="str">
        <f t="shared" ref="K194" si="219">IF(J194="-","-","CHPpl_")</f>
        <v>CHPpl_</v>
      </c>
      <c r="L194" s="14">
        <f t="shared" si="151"/>
        <v>0</v>
      </c>
      <c r="V194" s="1">
        <v>15.286000000000001</v>
      </c>
      <c r="W194" s="1">
        <v>1</v>
      </c>
      <c r="X194" s="1">
        <v>0</v>
      </c>
    </row>
    <row r="195" spans="1:24" x14ac:dyDescent="0.25">
      <c r="A195" s="1" t="s">
        <v>244</v>
      </c>
      <c r="B195" s="1">
        <v>6446505.7736899303</v>
      </c>
      <c r="C195" s="1">
        <v>438850.873369804</v>
      </c>
      <c r="D195" s="5" t="str">
        <f t="shared" si="214"/>
        <v>H2451F</v>
      </c>
      <c r="E195" s="6" t="str">
        <f t="shared" si="215"/>
        <v>Heatpl</v>
      </c>
      <c r="F195" s="14">
        <f t="shared" si="216"/>
        <v>18163.560000000001</v>
      </c>
      <c r="G195" s="5" t="str">
        <f>IF(Table35[[#This Row],[Capacity1]]&lt;&gt;"-",Table35[[#This Row],[Location]]&amp;RIGHT(Table35[[#Headers],[Facility_2]],1)&amp;"F","-")</f>
        <v>H2452F</v>
      </c>
      <c r="H195" s="6" t="str">
        <f t="shared" si="217"/>
        <v>TerHea</v>
      </c>
      <c r="I195" s="23">
        <f t="shared" si="218"/>
        <v>9999</v>
      </c>
      <c r="J195" s="5" t="str">
        <f>IF(Table35[[#This Row],[Capacity1]]*X195&gt;=$Y$5,Table35[[#This Row],[Location]]&amp;RIGHT(Table35[[#Headers],[Facility_3]],1)&amp;"F","-")</f>
        <v>H2453F</v>
      </c>
      <c r="K195" s="2" t="str">
        <f t="shared" ref="K195" si="220">IF(J195="-","-","CHPpl_")</f>
        <v>CHPpl_</v>
      </c>
      <c r="L195" s="14">
        <f t="shared" ref="L195:L258" si="221">IF(K195="-","-",F195*X195)</f>
        <v>0</v>
      </c>
      <c r="V195" s="1">
        <v>15.1363</v>
      </c>
      <c r="W195" s="1">
        <v>1</v>
      </c>
      <c r="X195" s="1">
        <v>0</v>
      </c>
    </row>
    <row r="196" spans="1:24" x14ac:dyDescent="0.25">
      <c r="A196" s="1" t="s">
        <v>279</v>
      </c>
      <c r="B196" s="1">
        <v>6390244.9749262398</v>
      </c>
      <c r="C196" s="1">
        <v>322019.97547272302</v>
      </c>
      <c r="D196" s="5" t="str">
        <f t="shared" si="214"/>
        <v>H2801F</v>
      </c>
      <c r="E196" s="6" t="str">
        <f t="shared" si="215"/>
        <v>Heatpl</v>
      </c>
      <c r="F196" s="14">
        <f t="shared" si="216"/>
        <v>17785.2</v>
      </c>
      <c r="G196" s="5" t="str">
        <f>IF(Table35[[#This Row],[Capacity1]]&lt;&gt;"-",Table35[[#This Row],[Location]]&amp;RIGHT(Table35[[#Headers],[Facility_2]],1)&amp;"F","-")</f>
        <v>H2802F</v>
      </c>
      <c r="H196" s="6" t="str">
        <f t="shared" si="217"/>
        <v>TerHea</v>
      </c>
      <c r="I196" s="23">
        <f t="shared" si="218"/>
        <v>9999</v>
      </c>
      <c r="J196" s="5" t="str">
        <f>IF(Table35[[#This Row],[Capacity1]]*X196&gt;=$Y$5,Table35[[#This Row],[Location]]&amp;RIGHT(Table35[[#Headers],[Facility_3]],1)&amp;"F","-")</f>
        <v>H2803F</v>
      </c>
      <c r="K196" s="2" t="str">
        <f t="shared" ref="K196" si="222">IF(J196="-","-","CHPpl_")</f>
        <v>CHPpl_</v>
      </c>
      <c r="L196" s="14">
        <f t="shared" si="221"/>
        <v>9581.2995321818926</v>
      </c>
      <c r="V196" s="1">
        <v>14.821000000000002</v>
      </c>
      <c r="W196" s="1">
        <v>0.46127681824315203</v>
      </c>
      <c r="X196" s="1">
        <v>0.53872318175684797</v>
      </c>
    </row>
    <row r="197" spans="1:24" x14ac:dyDescent="0.25">
      <c r="A197" s="1" t="s">
        <v>132</v>
      </c>
      <c r="B197" s="1">
        <v>6675852.5992757902</v>
      </c>
      <c r="C197" s="1">
        <v>676351.917701951</v>
      </c>
      <c r="D197" s="5" t="str">
        <f t="shared" si="214"/>
        <v>H1331F</v>
      </c>
      <c r="E197" s="6" t="str">
        <f t="shared" si="215"/>
        <v>Heatpl</v>
      </c>
      <c r="F197" s="14">
        <f t="shared" si="216"/>
        <v>17555.999999999996</v>
      </c>
      <c r="G197" s="5" t="str">
        <f>IF(Table35[[#This Row],[Capacity1]]&lt;&gt;"-",Table35[[#This Row],[Location]]&amp;RIGHT(Table35[[#Headers],[Facility_2]],1)&amp;"F","-")</f>
        <v>H1332F</v>
      </c>
      <c r="H197" s="6" t="str">
        <f t="shared" si="217"/>
        <v>TerHea</v>
      </c>
      <c r="I197" s="23">
        <f t="shared" si="218"/>
        <v>9999</v>
      </c>
      <c r="J197" s="5" t="str">
        <f>IF(Table35[[#This Row],[Capacity1]]*X197&gt;=$Y$5,Table35[[#This Row],[Location]]&amp;RIGHT(Table35[[#Headers],[Facility_3]],1)&amp;"F","-")</f>
        <v>H1333F</v>
      </c>
      <c r="K197" s="2" t="str">
        <f t="shared" ref="K197" si="223">IF(J197="-","-","CHPpl_")</f>
        <v>CHPpl_</v>
      </c>
      <c r="L197" s="14">
        <f t="shared" si="221"/>
        <v>0</v>
      </c>
      <c r="V197" s="1">
        <v>14.629999999999999</v>
      </c>
      <c r="W197" s="1">
        <v>1</v>
      </c>
      <c r="X197" s="1">
        <v>0</v>
      </c>
    </row>
    <row r="198" spans="1:24" x14ac:dyDescent="0.25">
      <c r="A198" s="1" t="s">
        <v>148</v>
      </c>
      <c r="B198" s="1">
        <v>6634405.5210155305</v>
      </c>
      <c r="C198" s="1">
        <v>501138.68473782501</v>
      </c>
      <c r="D198" s="5" t="str">
        <f t="shared" si="214"/>
        <v>H1491F</v>
      </c>
      <c r="E198" s="6" t="str">
        <f t="shared" si="215"/>
        <v>Heatpl</v>
      </c>
      <c r="F198" s="14">
        <f t="shared" si="216"/>
        <v>17511.599999999999</v>
      </c>
      <c r="G198" s="5" t="str">
        <f>IF(Table35[[#This Row],[Capacity1]]&lt;&gt;"-",Table35[[#This Row],[Location]]&amp;RIGHT(Table35[[#Headers],[Facility_2]],1)&amp;"F","-")</f>
        <v>H1492F</v>
      </c>
      <c r="H198" s="6" t="str">
        <f t="shared" si="217"/>
        <v>TerHea</v>
      </c>
      <c r="I198" s="23">
        <f t="shared" si="218"/>
        <v>9999</v>
      </c>
      <c r="J198" s="5" t="str">
        <f>IF(Table35[[#This Row],[Capacity1]]*X198&gt;=$Y$5,Table35[[#This Row],[Location]]&amp;RIGHT(Table35[[#Headers],[Facility_3]],1)&amp;"F","-")</f>
        <v>H1493F</v>
      </c>
      <c r="K198" s="2" t="str">
        <f t="shared" ref="K198" si="224">IF(J198="-","-","CHPpl_")</f>
        <v>CHPpl_</v>
      </c>
      <c r="L198" s="14">
        <f t="shared" si="221"/>
        <v>0</v>
      </c>
      <c r="V198" s="1">
        <v>14.593</v>
      </c>
      <c r="W198" s="1">
        <v>1</v>
      </c>
      <c r="X198" s="1">
        <v>0</v>
      </c>
    </row>
    <row r="199" spans="1:24" x14ac:dyDescent="0.25">
      <c r="A199" s="1" t="s">
        <v>302</v>
      </c>
      <c r="B199" s="1">
        <v>6349339.7329245703</v>
      </c>
      <c r="C199" s="1">
        <v>704082.54934203404</v>
      </c>
      <c r="D199" s="5" t="str">
        <f t="shared" si="214"/>
        <v>H3031F</v>
      </c>
      <c r="E199" s="6" t="str">
        <f t="shared" si="215"/>
        <v>Heatpl</v>
      </c>
      <c r="F199" s="14">
        <f t="shared" si="216"/>
        <v>16618.8</v>
      </c>
      <c r="G199" s="5" t="str">
        <f>IF(Table35[[#This Row],[Capacity1]]&lt;&gt;"-",Table35[[#This Row],[Location]]&amp;RIGHT(Table35[[#Headers],[Facility_2]],1)&amp;"F","-")</f>
        <v>H3032F</v>
      </c>
      <c r="H199" s="6" t="str">
        <f t="shared" si="217"/>
        <v>TerHea</v>
      </c>
      <c r="I199" s="23">
        <f t="shared" si="218"/>
        <v>9999</v>
      </c>
      <c r="J199" s="5" t="str">
        <f>IF(Table35[[#This Row],[Capacity1]]*X199&gt;=$Y$5,Table35[[#This Row],[Location]]&amp;RIGHT(Table35[[#Headers],[Facility_3]],1)&amp;"F","-")</f>
        <v>H3033F</v>
      </c>
      <c r="K199" s="2" t="str">
        <f t="shared" ref="K199" si="225">IF(J199="-","-","CHPpl_")</f>
        <v>CHPpl_</v>
      </c>
      <c r="L199" s="14">
        <f t="shared" si="221"/>
        <v>0</v>
      </c>
      <c r="V199" s="1">
        <v>13.849</v>
      </c>
      <c r="W199" s="1">
        <v>1</v>
      </c>
      <c r="X199" s="1">
        <v>0</v>
      </c>
    </row>
    <row r="200" spans="1:24" x14ac:dyDescent="0.25">
      <c r="A200" s="1" t="s">
        <v>315</v>
      </c>
      <c r="B200" s="1">
        <v>6313037.5949919997</v>
      </c>
      <c r="C200" s="1">
        <v>458133.70998258202</v>
      </c>
      <c r="D200" s="5" t="str">
        <f t="shared" si="214"/>
        <v>H3161F</v>
      </c>
      <c r="E200" s="6" t="str">
        <f t="shared" si="215"/>
        <v>Heatpl</v>
      </c>
      <c r="F200" s="14">
        <f t="shared" si="216"/>
        <v>16423.079999999998</v>
      </c>
      <c r="G200" s="5" t="str">
        <f>IF(Table35[[#This Row],[Capacity1]]&lt;&gt;"-",Table35[[#This Row],[Location]]&amp;RIGHT(Table35[[#Headers],[Facility_2]],1)&amp;"F","-")</f>
        <v>H3162F</v>
      </c>
      <c r="H200" s="6" t="str">
        <f t="shared" si="217"/>
        <v>TerHea</v>
      </c>
      <c r="I200" s="23">
        <f t="shared" si="218"/>
        <v>9999</v>
      </c>
      <c r="J200" s="5" t="str">
        <f>IF(Table35[[#This Row],[Capacity1]]*X200&gt;=$Y$5,Table35[[#This Row],[Location]]&amp;RIGHT(Table35[[#Headers],[Facility_3]],1)&amp;"F","-")</f>
        <v>H3163F</v>
      </c>
      <c r="K200" s="2" t="str">
        <f t="shared" ref="K200" si="226">IF(J200="-","-","CHPpl_")</f>
        <v>CHPpl_</v>
      </c>
      <c r="L200" s="14">
        <f t="shared" si="221"/>
        <v>0</v>
      </c>
      <c r="V200" s="1">
        <v>13.6859</v>
      </c>
      <c r="W200" s="1">
        <v>1</v>
      </c>
      <c r="X200" s="1">
        <v>0</v>
      </c>
    </row>
    <row r="201" spans="1:24" x14ac:dyDescent="0.25">
      <c r="A201" s="1" t="s">
        <v>87</v>
      </c>
      <c r="B201" s="1">
        <v>6960354.9330147803</v>
      </c>
      <c r="C201" s="1">
        <v>470775.69610058499</v>
      </c>
      <c r="D201" s="5" t="str">
        <f t="shared" si="214"/>
        <v>H881F</v>
      </c>
      <c r="E201" s="6" t="str">
        <f t="shared" si="215"/>
        <v>Heatpl</v>
      </c>
      <c r="F201" s="14">
        <f t="shared" si="216"/>
        <v>16318.8</v>
      </c>
      <c r="G201" s="5" t="str">
        <f>IF(Table35[[#This Row],[Capacity1]]&lt;&gt;"-",Table35[[#This Row],[Location]]&amp;RIGHT(Table35[[#Headers],[Facility_2]],1)&amp;"F","-")</f>
        <v>H882F</v>
      </c>
      <c r="H201" s="6" t="str">
        <f t="shared" si="217"/>
        <v>TerHea</v>
      </c>
      <c r="I201" s="23">
        <f t="shared" si="218"/>
        <v>9999</v>
      </c>
      <c r="J201" s="5" t="str">
        <f>IF(Table35[[#This Row],[Capacity1]]*X201&gt;=$Y$5,Table35[[#This Row],[Location]]&amp;RIGHT(Table35[[#Headers],[Facility_3]],1)&amp;"F","-")</f>
        <v>H883F</v>
      </c>
      <c r="K201" s="2" t="str">
        <f t="shared" ref="K201" si="227">IF(J201="-","-","CHPpl_")</f>
        <v>CHPpl_</v>
      </c>
      <c r="L201" s="14">
        <f t="shared" si="221"/>
        <v>0</v>
      </c>
      <c r="V201" s="1">
        <v>13.599</v>
      </c>
      <c r="W201" s="1">
        <v>1</v>
      </c>
      <c r="X201" s="1">
        <v>0</v>
      </c>
    </row>
    <row r="202" spans="1:24" x14ac:dyDescent="0.25">
      <c r="A202" s="1" t="s">
        <v>141</v>
      </c>
      <c r="B202" s="1">
        <v>6657418.8429515902</v>
      </c>
      <c r="C202" s="1">
        <v>499703.75409351801</v>
      </c>
      <c r="D202" s="5" t="str">
        <f t="shared" si="214"/>
        <v>H1421F</v>
      </c>
      <c r="E202" s="6" t="str">
        <f t="shared" si="215"/>
        <v>Heatpl</v>
      </c>
      <c r="F202" s="14">
        <f t="shared" si="216"/>
        <v>16081.199999999999</v>
      </c>
      <c r="G202" s="5" t="str">
        <f>IF(Table35[[#This Row],[Capacity1]]&lt;&gt;"-",Table35[[#This Row],[Location]]&amp;RIGHT(Table35[[#Headers],[Facility_2]],1)&amp;"F","-")</f>
        <v>H1422F</v>
      </c>
      <c r="H202" s="6" t="str">
        <f t="shared" si="217"/>
        <v>TerHea</v>
      </c>
      <c r="I202" s="23">
        <f t="shared" si="218"/>
        <v>9999</v>
      </c>
      <c r="J202" s="5" t="str">
        <f>IF(Table35[[#This Row],[Capacity1]]*X202&gt;=$Y$5,Table35[[#This Row],[Location]]&amp;RIGHT(Table35[[#Headers],[Facility_3]],1)&amp;"F","-")</f>
        <v>H1423F</v>
      </c>
      <c r="K202" s="2" t="str">
        <f t="shared" ref="K202" si="228">IF(J202="-","-","CHPpl_")</f>
        <v>CHPpl_</v>
      </c>
      <c r="L202" s="14">
        <f t="shared" si="221"/>
        <v>0</v>
      </c>
      <c r="V202" s="1">
        <v>13.401</v>
      </c>
      <c r="W202" s="1">
        <v>1</v>
      </c>
      <c r="X202" s="1">
        <v>0</v>
      </c>
    </row>
    <row r="203" spans="1:24" x14ac:dyDescent="0.25">
      <c r="A203" s="1" t="s">
        <v>119</v>
      </c>
      <c r="B203" s="1">
        <v>6724492.4034554204</v>
      </c>
      <c r="C203" s="1">
        <v>505115.17485771899</v>
      </c>
      <c r="D203" s="5" t="str">
        <f t="shared" si="214"/>
        <v>H1201F</v>
      </c>
      <c r="E203" s="6" t="str">
        <f t="shared" si="215"/>
        <v>Heatpl</v>
      </c>
      <c r="F203" s="14">
        <f t="shared" si="216"/>
        <v>16014.119999999999</v>
      </c>
      <c r="G203" s="5" t="str">
        <f>IF(Table35[[#This Row],[Capacity1]]&lt;&gt;"-",Table35[[#This Row],[Location]]&amp;RIGHT(Table35[[#Headers],[Facility_2]],1)&amp;"F","-")</f>
        <v>H1202F</v>
      </c>
      <c r="H203" s="6" t="str">
        <f t="shared" si="217"/>
        <v>TerHea</v>
      </c>
      <c r="I203" s="23">
        <f t="shared" si="218"/>
        <v>9999</v>
      </c>
      <c r="J203" s="5" t="str">
        <f>IF(Table35[[#This Row],[Capacity1]]*X203&gt;=$Y$5,Table35[[#This Row],[Location]]&amp;RIGHT(Table35[[#Headers],[Facility_3]],1)&amp;"F","-")</f>
        <v>H1203F</v>
      </c>
      <c r="K203" s="2" t="str">
        <f t="shared" ref="K203" si="229">IF(J203="-","-","CHPpl_")</f>
        <v>CHPpl_</v>
      </c>
      <c r="L203" s="14">
        <f t="shared" si="221"/>
        <v>0</v>
      </c>
      <c r="V203" s="1">
        <v>13.3451</v>
      </c>
      <c r="W203" s="1">
        <v>1</v>
      </c>
      <c r="X203" s="1">
        <v>0</v>
      </c>
    </row>
    <row r="204" spans="1:24" x14ac:dyDescent="0.25">
      <c r="A204" s="1" t="s">
        <v>55</v>
      </c>
      <c r="B204" s="1">
        <v>7218860.33294586</v>
      </c>
      <c r="C204" s="1">
        <v>792310.96931451501</v>
      </c>
      <c r="D204" s="5" t="str">
        <f t="shared" si="214"/>
        <v>H561F</v>
      </c>
      <c r="E204" s="6" t="str">
        <f t="shared" si="215"/>
        <v>Heatpl</v>
      </c>
      <c r="F204" s="14">
        <f t="shared" si="216"/>
        <v>15829.2</v>
      </c>
      <c r="G204" s="5" t="str">
        <f>IF(Table35[[#This Row],[Capacity1]]&lt;&gt;"-",Table35[[#This Row],[Location]]&amp;RIGHT(Table35[[#Headers],[Facility_2]],1)&amp;"F","-")</f>
        <v>H562F</v>
      </c>
      <c r="H204" s="6" t="str">
        <f t="shared" si="217"/>
        <v>TerHea</v>
      </c>
      <c r="I204" s="23">
        <f t="shared" si="218"/>
        <v>9999</v>
      </c>
      <c r="J204" s="5" t="str">
        <f>IF(Table35[[#This Row],[Capacity1]]*X204&gt;=$Y$5,Table35[[#This Row],[Location]]&amp;RIGHT(Table35[[#Headers],[Facility_3]],1)&amp;"F","-")</f>
        <v>H563F</v>
      </c>
      <c r="K204" s="2" t="str">
        <f t="shared" ref="K204" si="230">IF(J204="-","-","CHPpl_")</f>
        <v>CHPpl_</v>
      </c>
      <c r="L204" s="14">
        <f t="shared" si="221"/>
        <v>0</v>
      </c>
      <c r="V204" s="1">
        <v>13.191000000000001</v>
      </c>
      <c r="W204" s="1">
        <v>1</v>
      </c>
      <c r="X204" s="1">
        <v>0</v>
      </c>
    </row>
    <row r="205" spans="1:24" x14ac:dyDescent="0.25">
      <c r="A205" s="1" t="s">
        <v>329</v>
      </c>
      <c r="B205" s="1">
        <v>6239587.7344139097</v>
      </c>
      <c r="C205" s="1">
        <v>362327.16454720701</v>
      </c>
      <c r="D205" s="5" t="str">
        <f t="shared" si="214"/>
        <v>H3301F</v>
      </c>
      <c r="E205" s="6" t="str">
        <f t="shared" si="215"/>
        <v>Heatpl</v>
      </c>
      <c r="F205" s="14">
        <f t="shared" si="216"/>
        <v>15828</v>
      </c>
      <c r="G205" s="5" t="str">
        <f>IF(Table35[[#This Row],[Capacity1]]&lt;&gt;"-",Table35[[#This Row],[Location]]&amp;RIGHT(Table35[[#Headers],[Facility_2]],1)&amp;"F","-")</f>
        <v>H3302F</v>
      </c>
      <c r="H205" s="6" t="str">
        <f t="shared" si="217"/>
        <v>TerHea</v>
      </c>
      <c r="I205" s="23">
        <f t="shared" si="218"/>
        <v>9999</v>
      </c>
      <c r="J205" s="5" t="str">
        <f>IF(Table35[[#This Row],[Capacity1]]*X205&gt;=$Y$5,Table35[[#This Row],[Location]]&amp;RIGHT(Table35[[#Headers],[Facility_3]],1)&amp;"F","-")</f>
        <v>H3303F</v>
      </c>
      <c r="K205" s="2" t="str">
        <f t="shared" ref="K205" si="231">IF(J205="-","-","CHPpl_")</f>
        <v>CHPpl_</v>
      </c>
      <c r="L205" s="14">
        <f t="shared" si="221"/>
        <v>0</v>
      </c>
      <c r="V205" s="1">
        <v>13.19</v>
      </c>
      <c r="W205" s="1">
        <v>1</v>
      </c>
      <c r="X205" s="1">
        <v>0</v>
      </c>
    </row>
    <row r="206" spans="1:24" x14ac:dyDescent="0.25">
      <c r="A206" s="1" t="s">
        <v>100</v>
      </c>
      <c r="B206" s="1">
        <v>6854124.6075927401</v>
      </c>
      <c r="C206" s="1">
        <v>561785.47139009601</v>
      </c>
      <c r="D206" s="5" t="str">
        <f t="shared" si="214"/>
        <v>H1011F</v>
      </c>
      <c r="E206" s="6" t="str">
        <f t="shared" si="215"/>
        <v>Heatpl</v>
      </c>
      <c r="F206" s="14">
        <f t="shared" si="216"/>
        <v>15360</v>
      </c>
      <c r="G206" s="5" t="str">
        <f>IF(Table35[[#This Row],[Capacity1]]&lt;&gt;"-",Table35[[#This Row],[Location]]&amp;RIGHT(Table35[[#Headers],[Facility_2]],1)&amp;"F","-")</f>
        <v>H1012F</v>
      </c>
      <c r="H206" s="6" t="str">
        <f t="shared" si="217"/>
        <v>TerHea</v>
      </c>
      <c r="I206" s="23">
        <f t="shared" si="218"/>
        <v>9999</v>
      </c>
      <c r="J206" s="5" t="str">
        <f>IF(Table35[[#This Row],[Capacity1]]*X206&gt;=$Y$5,Table35[[#This Row],[Location]]&amp;RIGHT(Table35[[#Headers],[Facility_3]],1)&amp;"F","-")</f>
        <v>H1013F</v>
      </c>
      <c r="K206" s="2" t="str">
        <f t="shared" ref="K206" si="232">IF(J206="-","-","CHPpl_")</f>
        <v>CHPpl_</v>
      </c>
      <c r="L206" s="14">
        <f t="shared" si="221"/>
        <v>0</v>
      </c>
      <c r="V206" s="1">
        <v>12.8</v>
      </c>
      <c r="W206" s="1">
        <v>1</v>
      </c>
      <c r="X206" s="1">
        <v>0</v>
      </c>
    </row>
    <row r="207" spans="1:24" x14ac:dyDescent="0.25">
      <c r="A207" s="1" t="s">
        <v>67</v>
      </c>
      <c r="B207" s="1">
        <v>7132640.7423807001</v>
      </c>
      <c r="C207" s="1">
        <v>784244.50010876299</v>
      </c>
      <c r="D207" s="5" t="str">
        <f t="shared" si="214"/>
        <v>H681F</v>
      </c>
      <c r="E207" s="6" t="str">
        <f t="shared" si="215"/>
        <v>Heatpl</v>
      </c>
      <c r="F207" s="14">
        <f t="shared" si="216"/>
        <v>15203.999999999998</v>
      </c>
      <c r="G207" s="5" t="str">
        <f>IF(Table35[[#This Row],[Capacity1]]&lt;&gt;"-",Table35[[#This Row],[Location]]&amp;RIGHT(Table35[[#Headers],[Facility_2]],1)&amp;"F","-")</f>
        <v>H682F</v>
      </c>
      <c r="H207" s="6" t="str">
        <f t="shared" si="217"/>
        <v>TerHea</v>
      </c>
      <c r="I207" s="23">
        <f t="shared" si="218"/>
        <v>9999</v>
      </c>
      <c r="J207" s="5" t="str">
        <f>IF(Table35[[#This Row],[Capacity1]]*X207&gt;=$Y$5,Table35[[#This Row],[Location]]&amp;RIGHT(Table35[[#Headers],[Facility_3]],1)&amp;"F","-")</f>
        <v>H683F</v>
      </c>
      <c r="K207" s="2" t="str">
        <f t="shared" ref="K207" si="233">IF(J207="-","-","CHPpl_")</f>
        <v>CHPpl_</v>
      </c>
      <c r="L207" s="14">
        <f t="shared" si="221"/>
        <v>0</v>
      </c>
      <c r="V207" s="1">
        <v>12.67</v>
      </c>
      <c r="W207" s="1">
        <v>1</v>
      </c>
      <c r="X207" s="1">
        <v>0</v>
      </c>
    </row>
    <row r="208" spans="1:24" x14ac:dyDescent="0.25">
      <c r="A208" s="1" t="s">
        <v>312</v>
      </c>
      <c r="B208" s="1">
        <v>6318215.5972801298</v>
      </c>
      <c r="C208" s="1">
        <v>493628.57354031398</v>
      </c>
      <c r="D208" s="5" t="str">
        <f t="shared" si="214"/>
        <v>H3131F</v>
      </c>
      <c r="E208" s="6" t="str">
        <f t="shared" si="215"/>
        <v>Heatpl</v>
      </c>
      <c r="F208" s="14">
        <f t="shared" si="216"/>
        <v>15196.8</v>
      </c>
      <c r="G208" s="5" t="str">
        <f>IF(Table35[[#This Row],[Capacity1]]&lt;&gt;"-",Table35[[#This Row],[Location]]&amp;RIGHT(Table35[[#Headers],[Facility_2]],1)&amp;"F","-")</f>
        <v>H3132F</v>
      </c>
      <c r="H208" s="6" t="str">
        <f t="shared" si="217"/>
        <v>TerHea</v>
      </c>
      <c r="I208" s="23">
        <f t="shared" si="218"/>
        <v>9999</v>
      </c>
      <c r="J208" s="5" t="str">
        <f>IF(Table35[[#This Row],[Capacity1]]*X208&gt;=$Y$5,Table35[[#This Row],[Location]]&amp;RIGHT(Table35[[#Headers],[Facility_3]],1)&amp;"F","-")</f>
        <v>H3133F</v>
      </c>
      <c r="K208" s="2" t="str">
        <f t="shared" ref="K208" si="234">IF(J208="-","-","CHPpl_")</f>
        <v>CHPpl_</v>
      </c>
      <c r="L208" s="14">
        <f t="shared" si="221"/>
        <v>0</v>
      </c>
      <c r="V208" s="1">
        <v>12.664</v>
      </c>
      <c r="W208" s="1">
        <v>1</v>
      </c>
      <c r="X208" s="1">
        <v>0</v>
      </c>
    </row>
    <row r="209" spans="1:24" x14ac:dyDescent="0.25">
      <c r="A209" s="1" t="s">
        <v>232</v>
      </c>
      <c r="B209" s="1">
        <v>6464761.5283474699</v>
      </c>
      <c r="C209" s="1">
        <v>431311.59354498098</v>
      </c>
      <c r="D209" s="5" t="str">
        <f t="shared" si="214"/>
        <v>H2331F</v>
      </c>
      <c r="E209" s="6" t="str">
        <f t="shared" si="215"/>
        <v>Heatpl</v>
      </c>
      <c r="F209" s="14">
        <f t="shared" si="216"/>
        <v>15120</v>
      </c>
      <c r="G209" s="5" t="str">
        <f>IF(Table35[[#This Row],[Capacity1]]&lt;&gt;"-",Table35[[#This Row],[Location]]&amp;RIGHT(Table35[[#Headers],[Facility_2]],1)&amp;"F","-")</f>
        <v>H2332F</v>
      </c>
      <c r="H209" s="6" t="str">
        <f t="shared" si="217"/>
        <v>TerHea</v>
      </c>
      <c r="I209" s="23">
        <f t="shared" si="218"/>
        <v>9999</v>
      </c>
      <c r="J209" s="5" t="str">
        <f>IF(Table35[[#This Row],[Capacity1]]*X209&gt;=$Y$5,Table35[[#This Row],[Location]]&amp;RIGHT(Table35[[#Headers],[Facility_3]],1)&amp;"F","-")</f>
        <v>H2333F</v>
      </c>
      <c r="K209" s="2" t="str">
        <f t="shared" ref="K209" si="235">IF(J209="-","-","CHPpl_")</f>
        <v>CHPpl_</v>
      </c>
      <c r="L209" s="14">
        <f t="shared" si="221"/>
        <v>0</v>
      </c>
      <c r="V209" s="1">
        <v>12.6</v>
      </c>
      <c r="W209" s="1">
        <v>1</v>
      </c>
      <c r="X209" s="1">
        <v>0</v>
      </c>
    </row>
    <row r="210" spans="1:24" x14ac:dyDescent="0.25">
      <c r="A210" s="1" t="s">
        <v>34</v>
      </c>
      <c r="B210" s="1">
        <v>6219139.8820000002</v>
      </c>
      <c r="C210" s="1">
        <v>432014.66700000002</v>
      </c>
      <c r="D210" s="5" t="str">
        <f t="shared" si="214"/>
        <v>H351F</v>
      </c>
      <c r="E210" s="6" t="str">
        <f t="shared" si="215"/>
        <v>Heatpl</v>
      </c>
      <c r="F210" s="14">
        <f t="shared" si="216"/>
        <v>14735.999999999998</v>
      </c>
      <c r="G210" s="5" t="str">
        <f>IF(Table35[[#This Row],[Capacity1]]&lt;&gt;"-",Table35[[#This Row],[Location]]&amp;RIGHT(Table35[[#Headers],[Facility_2]],1)&amp;"F","-")</f>
        <v>H352F</v>
      </c>
      <c r="H210" s="6" t="str">
        <f t="shared" si="217"/>
        <v>TerHea</v>
      </c>
      <c r="I210" s="23">
        <f t="shared" si="218"/>
        <v>9999</v>
      </c>
      <c r="J210" s="5" t="str">
        <f>IF(Table35[[#This Row],[Capacity1]]*X210&gt;=$Y$5,Table35[[#This Row],[Location]]&amp;RIGHT(Table35[[#Headers],[Facility_3]],1)&amp;"F","-")</f>
        <v>H353F</v>
      </c>
      <c r="K210" s="2" t="str">
        <f t="shared" ref="K210" si="236">IF(J210="-","-","CHPpl_")</f>
        <v>CHPpl_</v>
      </c>
      <c r="L210" s="14">
        <f t="shared" si="221"/>
        <v>0</v>
      </c>
      <c r="V210" s="1">
        <v>12.28</v>
      </c>
      <c r="W210" s="1">
        <v>1</v>
      </c>
      <c r="X210" s="1">
        <v>0</v>
      </c>
    </row>
    <row r="211" spans="1:24" x14ac:dyDescent="0.25">
      <c r="A211" s="1" t="s">
        <v>38</v>
      </c>
      <c r="B211" s="1">
        <v>7536378.6312776404</v>
      </c>
      <c r="C211" s="1">
        <v>720454.14612082299</v>
      </c>
      <c r="D211" s="5" t="str">
        <f t="shared" si="214"/>
        <v>H391F</v>
      </c>
      <c r="E211" s="6" t="str">
        <f t="shared" si="215"/>
        <v>Heatpl</v>
      </c>
      <c r="F211" s="14">
        <f t="shared" si="216"/>
        <v>14680.795199999999</v>
      </c>
      <c r="G211" s="5" t="str">
        <f>IF(Table35[[#This Row],[Capacity1]]&lt;&gt;"-",Table35[[#This Row],[Location]]&amp;RIGHT(Table35[[#Headers],[Facility_2]],1)&amp;"F","-")</f>
        <v>H392F</v>
      </c>
      <c r="H211" s="6" t="str">
        <f t="shared" si="217"/>
        <v>TerHea</v>
      </c>
      <c r="I211" s="23">
        <f t="shared" si="218"/>
        <v>9999</v>
      </c>
      <c r="J211" s="5" t="str">
        <f>IF(Table35[[#This Row],[Capacity1]]*X211&gt;=$Y$5,Table35[[#This Row],[Location]]&amp;RIGHT(Table35[[#Headers],[Facility_3]],1)&amp;"F","-")</f>
        <v>H393F</v>
      </c>
      <c r="K211" s="2" t="str">
        <f t="shared" ref="K211" si="237">IF(J211="-","-","CHPpl_")</f>
        <v>CHPpl_</v>
      </c>
      <c r="L211" s="14">
        <f t="shared" si="221"/>
        <v>0</v>
      </c>
      <c r="V211" s="1">
        <v>12.233995999999999</v>
      </c>
      <c r="W211" s="1">
        <v>1</v>
      </c>
      <c r="X211" s="1">
        <v>0</v>
      </c>
    </row>
    <row r="212" spans="1:24" x14ac:dyDescent="0.25">
      <c r="A212" s="1" t="s">
        <v>231</v>
      </c>
      <c r="B212" s="1">
        <v>6464315.9262228701</v>
      </c>
      <c r="C212" s="1">
        <v>364161.15732390399</v>
      </c>
      <c r="D212" s="5" t="str">
        <f t="shared" si="214"/>
        <v>H2321F</v>
      </c>
      <c r="E212" s="6" t="str">
        <f t="shared" si="215"/>
        <v>Heatpl</v>
      </c>
      <c r="F212" s="14">
        <f t="shared" si="216"/>
        <v>14568</v>
      </c>
      <c r="G212" s="5" t="str">
        <f>IF(Table35[[#This Row],[Capacity1]]&lt;&gt;"-",Table35[[#This Row],[Location]]&amp;RIGHT(Table35[[#Headers],[Facility_2]],1)&amp;"F","-")</f>
        <v>H2322F</v>
      </c>
      <c r="H212" s="6" t="str">
        <f t="shared" si="217"/>
        <v>TerHea</v>
      </c>
      <c r="I212" s="23">
        <f t="shared" si="218"/>
        <v>9999</v>
      </c>
      <c r="J212" s="5" t="str">
        <f>IF(Table35[[#This Row],[Capacity1]]*X212&gt;=$Y$5,Table35[[#This Row],[Location]]&amp;RIGHT(Table35[[#Headers],[Facility_3]],1)&amp;"F","-")</f>
        <v>H2323F</v>
      </c>
      <c r="K212" s="2" t="str">
        <f t="shared" ref="K212" si="238">IF(J212="-","-","CHPpl_")</f>
        <v>CHPpl_</v>
      </c>
      <c r="L212" s="14">
        <f t="shared" si="221"/>
        <v>0</v>
      </c>
      <c r="V212" s="1">
        <v>12.14</v>
      </c>
      <c r="W212" s="1">
        <v>1</v>
      </c>
      <c r="X212" s="1">
        <v>0</v>
      </c>
    </row>
    <row r="213" spans="1:24" x14ac:dyDescent="0.25">
      <c r="A213" s="1" t="s">
        <v>246</v>
      </c>
      <c r="B213" s="1">
        <v>6441930.8082012003</v>
      </c>
      <c r="C213" s="1">
        <v>401975.35702913802</v>
      </c>
      <c r="D213" s="5" t="str">
        <f t="shared" si="214"/>
        <v>H2471F</v>
      </c>
      <c r="E213" s="6" t="str">
        <f t="shared" si="215"/>
        <v>Heatpl</v>
      </c>
      <c r="F213" s="14">
        <f t="shared" si="216"/>
        <v>14520</v>
      </c>
      <c r="G213" s="5" t="str">
        <f>IF(Table35[[#This Row],[Capacity1]]&lt;&gt;"-",Table35[[#This Row],[Location]]&amp;RIGHT(Table35[[#Headers],[Facility_2]],1)&amp;"F","-")</f>
        <v>H2472F</v>
      </c>
      <c r="H213" s="6" t="str">
        <f t="shared" si="217"/>
        <v>TerHea</v>
      </c>
      <c r="I213" s="23">
        <f t="shared" si="218"/>
        <v>9999</v>
      </c>
      <c r="J213" s="5" t="str">
        <f>IF(Table35[[#This Row],[Capacity1]]*X213&gt;=$Y$5,Table35[[#This Row],[Location]]&amp;RIGHT(Table35[[#Headers],[Facility_3]],1)&amp;"F","-")</f>
        <v>H2473F</v>
      </c>
      <c r="K213" s="2" t="str">
        <f t="shared" ref="K213" si="239">IF(J213="-","-","CHPpl_")</f>
        <v>CHPpl_</v>
      </c>
      <c r="L213" s="14">
        <f t="shared" si="221"/>
        <v>0</v>
      </c>
      <c r="V213" s="1">
        <v>12.1</v>
      </c>
      <c r="W213" s="1">
        <v>1</v>
      </c>
      <c r="X213" s="1">
        <v>0</v>
      </c>
    </row>
    <row r="214" spans="1:24" x14ac:dyDescent="0.25">
      <c r="A214" s="1" t="s">
        <v>94</v>
      </c>
      <c r="B214" s="1">
        <v>6922433.1680466896</v>
      </c>
      <c r="C214" s="1">
        <v>423657.70913802902</v>
      </c>
      <c r="D214" s="5" t="str">
        <f t="shared" si="214"/>
        <v>H951F</v>
      </c>
      <c r="E214" s="6" t="str">
        <f t="shared" si="215"/>
        <v>Heatpl</v>
      </c>
      <c r="F214" s="14">
        <f t="shared" si="216"/>
        <v>14160</v>
      </c>
      <c r="G214" s="5" t="str">
        <f>IF(Table35[[#This Row],[Capacity1]]&lt;&gt;"-",Table35[[#This Row],[Location]]&amp;RIGHT(Table35[[#Headers],[Facility_2]],1)&amp;"F","-")</f>
        <v>H952F</v>
      </c>
      <c r="H214" s="6" t="str">
        <f t="shared" si="217"/>
        <v>TerHea</v>
      </c>
      <c r="I214" s="23">
        <f t="shared" si="218"/>
        <v>9999</v>
      </c>
      <c r="J214" s="5" t="str">
        <f>IF(Table35[[#This Row],[Capacity1]]*X214&gt;=$Y$5,Table35[[#This Row],[Location]]&amp;RIGHT(Table35[[#Headers],[Facility_3]],1)&amp;"F","-")</f>
        <v>H953F</v>
      </c>
      <c r="K214" s="2" t="str">
        <f t="shared" ref="K214" si="240">IF(J214="-","-","CHPpl_")</f>
        <v>CHPpl_</v>
      </c>
      <c r="L214" s="14">
        <f t="shared" si="221"/>
        <v>0</v>
      </c>
      <c r="V214" s="1">
        <v>11.8</v>
      </c>
      <c r="W214" s="1">
        <v>1</v>
      </c>
      <c r="X214" s="1">
        <v>0</v>
      </c>
    </row>
    <row r="215" spans="1:24" x14ac:dyDescent="0.25">
      <c r="A215" s="1" t="s">
        <v>356</v>
      </c>
      <c r="B215" s="1">
        <v>6146067.2146451101</v>
      </c>
      <c r="C215" s="1">
        <v>405251.63659581501</v>
      </c>
      <c r="D215" s="5" t="str">
        <f t="shared" si="214"/>
        <v>H3571F</v>
      </c>
      <c r="E215" s="6" t="str">
        <f t="shared" si="215"/>
        <v>Heatpl</v>
      </c>
      <c r="F215" s="14">
        <f t="shared" si="216"/>
        <v>13884</v>
      </c>
      <c r="G215" s="5" t="str">
        <f>IF(Table35[[#This Row],[Capacity1]]&lt;&gt;"-",Table35[[#This Row],[Location]]&amp;RIGHT(Table35[[#Headers],[Facility_2]],1)&amp;"F","-")</f>
        <v>H3572F</v>
      </c>
      <c r="H215" s="6" t="str">
        <f t="shared" si="217"/>
        <v>TerHea</v>
      </c>
      <c r="I215" s="23">
        <f t="shared" si="218"/>
        <v>9999</v>
      </c>
      <c r="J215" s="5" t="str">
        <f>IF(Table35[[#This Row],[Capacity1]]*X215&gt;=$Y$5,Table35[[#This Row],[Location]]&amp;RIGHT(Table35[[#Headers],[Facility_3]],1)&amp;"F","-")</f>
        <v>H3573F</v>
      </c>
      <c r="K215" s="2" t="str">
        <f t="shared" ref="K215" si="241">IF(J215="-","-","CHPpl_")</f>
        <v>CHPpl_</v>
      </c>
      <c r="L215" s="14">
        <f t="shared" si="221"/>
        <v>0</v>
      </c>
      <c r="V215" s="1">
        <v>11.57</v>
      </c>
      <c r="W215" s="1">
        <v>1</v>
      </c>
      <c r="X215" s="1">
        <v>0</v>
      </c>
    </row>
    <row r="216" spans="1:24" x14ac:dyDescent="0.25">
      <c r="A216" s="1" t="s">
        <v>111</v>
      </c>
      <c r="B216" s="1">
        <v>6787208.4719192097</v>
      </c>
      <c r="C216" s="1">
        <v>613550.01356131095</v>
      </c>
      <c r="D216" s="5" t="str">
        <f t="shared" si="214"/>
        <v>H1121F</v>
      </c>
      <c r="E216" s="6" t="str">
        <f t="shared" si="215"/>
        <v>Heatpl</v>
      </c>
      <c r="F216" s="14">
        <f t="shared" si="216"/>
        <v>13874.88</v>
      </c>
      <c r="G216" s="5" t="str">
        <f>IF(Table35[[#This Row],[Capacity1]]&lt;&gt;"-",Table35[[#This Row],[Location]]&amp;RIGHT(Table35[[#Headers],[Facility_2]],1)&amp;"F","-")</f>
        <v>H1122F</v>
      </c>
      <c r="H216" s="6" t="str">
        <f t="shared" si="217"/>
        <v>TerHea</v>
      </c>
      <c r="I216" s="23">
        <f t="shared" si="218"/>
        <v>9999</v>
      </c>
      <c r="J216" s="5" t="str">
        <f>IF(Table35[[#This Row],[Capacity1]]*X216&gt;=$Y$5,Table35[[#This Row],[Location]]&amp;RIGHT(Table35[[#Headers],[Facility_3]],1)&amp;"F","-")</f>
        <v>H1123F</v>
      </c>
      <c r="K216" s="2" t="str">
        <f t="shared" ref="K216" si="242">IF(J216="-","-","CHPpl_")</f>
        <v>CHPpl_</v>
      </c>
      <c r="L216" s="14">
        <f t="shared" si="221"/>
        <v>0</v>
      </c>
      <c r="V216" s="1">
        <v>11.5624</v>
      </c>
      <c r="W216" s="1">
        <v>1</v>
      </c>
      <c r="X216" s="1">
        <v>0</v>
      </c>
    </row>
    <row r="217" spans="1:24" x14ac:dyDescent="0.25">
      <c r="A217" s="1" t="s">
        <v>339</v>
      </c>
      <c r="B217" s="1">
        <v>6223333.05066879</v>
      </c>
      <c r="C217" s="1">
        <v>491568.303971624</v>
      </c>
      <c r="D217" s="5" t="str">
        <f t="shared" si="214"/>
        <v>H3401F</v>
      </c>
      <c r="E217" s="6" t="str">
        <f t="shared" si="215"/>
        <v>Heatpl</v>
      </c>
      <c r="F217" s="14">
        <f t="shared" si="216"/>
        <v>13712.4</v>
      </c>
      <c r="G217" s="5" t="str">
        <f>IF(Table35[[#This Row],[Capacity1]]&lt;&gt;"-",Table35[[#This Row],[Location]]&amp;RIGHT(Table35[[#Headers],[Facility_2]],1)&amp;"F","-")</f>
        <v>H3402F</v>
      </c>
      <c r="H217" s="6" t="str">
        <f t="shared" si="217"/>
        <v>TerHea</v>
      </c>
      <c r="I217" s="23">
        <f t="shared" si="218"/>
        <v>9999</v>
      </c>
      <c r="J217" s="5" t="str">
        <f>IF(Table35[[#This Row],[Capacity1]]*X217&gt;=$Y$5,Table35[[#This Row],[Location]]&amp;RIGHT(Table35[[#Headers],[Facility_3]],1)&amp;"F","-")</f>
        <v>H3403F</v>
      </c>
      <c r="K217" s="2" t="str">
        <f t="shared" ref="K217" si="243">IF(J217="-","-","CHPpl_")</f>
        <v>CHPpl_</v>
      </c>
      <c r="L217" s="14">
        <f t="shared" si="221"/>
        <v>0</v>
      </c>
      <c r="V217" s="1">
        <v>11.427</v>
      </c>
      <c r="W217" s="1">
        <v>1</v>
      </c>
      <c r="X217" s="1">
        <v>0</v>
      </c>
    </row>
    <row r="218" spans="1:24" x14ac:dyDescent="0.25">
      <c r="A218" s="1" t="s">
        <v>261</v>
      </c>
      <c r="B218" s="1">
        <v>6409781.2834823402</v>
      </c>
      <c r="C218" s="1">
        <v>339838.19322967302</v>
      </c>
      <c r="D218" s="5" t="str">
        <f t="shared" si="214"/>
        <v>H2621F</v>
      </c>
      <c r="E218" s="6" t="str">
        <f t="shared" si="215"/>
        <v>Heatpl</v>
      </c>
      <c r="F218" s="14">
        <f t="shared" si="216"/>
        <v>13679.999999999998</v>
      </c>
      <c r="G218" s="5" t="str">
        <f>IF(Table35[[#This Row],[Capacity1]]&lt;&gt;"-",Table35[[#This Row],[Location]]&amp;RIGHT(Table35[[#Headers],[Facility_2]],1)&amp;"F","-")</f>
        <v>H2622F</v>
      </c>
      <c r="H218" s="6" t="str">
        <f t="shared" si="217"/>
        <v>TerHea</v>
      </c>
      <c r="I218" s="23">
        <f t="shared" si="218"/>
        <v>9999</v>
      </c>
      <c r="J218" s="5" t="str">
        <f>IF(Table35[[#This Row],[Capacity1]]*X218&gt;=$Y$5,Table35[[#This Row],[Location]]&amp;RIGHT(Table35[[#Headers],[Facility_3]],1)&amp;"F","-")</f>
        <v>H2623F</v>
      </c>
      <c r="K218" s="2" t="str">
        <f t="shared" ref="K218" si="244">IF(J218="-","-","CHPpl_")</f>
        <v>CHPpl_</v>
      </c>
      <c r="L218" s="14">
        <f t="shared" si="221"/>
        <v>0</v>
      </c>
      <c r="V218" s="1">
        <v>11.399999999999999</v>
      </c>
      <c r="W218" s="1">
        <v>1</v>
      </c>
      <c r="X218" s="1">
        <v>0</v>
      </c>
    </row>
    <row r="219" spans="1:24" x14ac:dyDescent="0.25">
      <c r="A219" s="1" t="s">
        <v>161</v>
      </c>
      <c r="B219" s="1">
        <v>6605142.1022052001</v>
      </c>
      <c r="C219" s="1">
        <v>512766.37462413998</v>
      </c>
      <c r="D219" s="5" t="str">
        <f t="shared" si="214"/>
        <v>H1621F</v>
      </c>
      <c r="E219" s="6" t="str">
        <f t="shared" si="215"/>
        <v>Heatpl</v>
      </c>
      <c r="F219" s="14">
        <f t="shared" si="216"/>
        <v>13384.38</v>
      </c>
      <c r="G219" s="5" t="str">
        <f>IF(Table35[[#This Row],[Capacity1]]&lt;&gt;"-",Table35[[#This Row],[Location]]&amp;RIGHT(Table35[[#Headers],[Facility_2]],1)&amp;"F","-")</f>
        <v>H1622F</v>
      </c>
      <c r="H219" s="6" t="str">
        <f t="shared" si="217"/>
        <v>TerHea</v>
      </c>
      <c r="I219" s="23">
        <f t="shared" si="218"/>
        <v>9999</v>
      </c>
      <c r="J219" s="5" t="str">
        <f>IF(Table35[[#This Row],[Capacity1]]*X219&gt;=$Y$5,Table35[[#This Row],[Location]]&amp;RIGHT(Table35[[#Headers],[Facility_3]],1)&amp;"F","-")</f>
        <v>H1623F</v>
      </c>
      <c r="K219" s="2" t="str">
        <f t="shared" ref="K219" si="245">IF(J219="-","-","CHPpl_")</f>
        <v>CHPpl_</v>
      </c>
      <c r="L219" s="14">
        <f t="shared" si="221"/>
        <v>0</v>
      </c>
      <c r="V219" s="1">
        <v>11.153649999999999</v>
      </c>
      <c r="W219" s="1">
        <v>1</v>
      </c>
      <c r="X219" s="1">
        <v>0</v>
      </c>
    </row>
    <row r="220" spans="1:24" x14ac:dyDescent="0.25">
      <c r="A220" s="1" t="s">
        <v>290</v>
      </c>
      <c r="B220" s="1">
        <v>6371647.5518515902</v>
      </c>
      <c r="C220" s="1">
        <v>482329.19816758001</v>
      </c>
      <c r="D220" s="5" t="str">
        <f t="shared" si="214"/>
        <v>H2911F</v>
      </c>
      <c r="E220" s="6" t="str">
        <f t="shared" si="215"/>
        <v>Heatpl</v>
      </c>
      <c r="F220" s="14">
        <f t="shared" si="216"/>
        <v>13092</v>
      </c>
      <c r="G220" s="5" t="str">
        <f>IF(Table35[[#This Row],[Capacity1]]&lt;&gt;"-",Table35[[#This Row],[Location]]&amp;RIGHT(Table35[[#Headers],[Facility_2]],1)&amp;"F","-")</f>
        <v>H2912F</v>
      </c>
      <c r="H220" s="6" t="str">
        <f t="shared" si="217"/>
        <v>TerHea</v>
      </c>
      <c r="I220" s="23">
        <f t="shared" si="218"/>
        <v>9999</v>
      </c>
      <c r="J220" s="5" t="str">
        <f>IF(Table35[[#This Row],[Capacity1]]*X220&gt;=$Y$5,Table35[[#This Row],[Location]]&amp;RIGHT(Table35[[#Headers],[Facility_3]],1)&amp;"F","-")</f>
        <v>H2913F</v>
      </c>
      <c r="K220" s="2" t="str">
        <f t="shared" ref="K220" si="246">IF(J220="-","-","CHPpl_")</f>
        <v>CHPpl_</v>
      </c>
      <c r="L220" s="14">
        <f t="shared" si="221"/>
        <v>0</v>
      </c>
      <c r="V220" s="1">
        <v>10.91</v>
      </c>
      <c r="W220" s="1">
        <v>1</v>
      </c>
      <c r="X220" s="1">
        <v>0</v>
      </c>
    </row>
    <row r="221" spans="1:24" x14ac:dyDescent="0.25">
      <c r="A221" s="1" t="s">
        <v>20</v>
      </c>
      <c r="B221" s="1">
        <v>6451778.9539999999</v>
      </c>
      <c r="C221" s="1">
        <v>365615.28700000001</v>
      </c>
      <c r="D221" s="5" t="str">
        <f t="shared" si="214"/>
        <v>H211F</v>
      </c>
      <c r="E221" s="6" t="str">
        <f t="shared" si="215"/>
        <v>Heatpl</v>
      </c>
      <c r="F221" s="14">
        <f t="shared" si="216"/>
        <v>12839.999999999998</v>
      </c>
      <c r="G221" s="5" t="str">
        <f>IF(Table35[[#This Row],[Capacity1]]&lt;&gt;"-",Table35[[#This Row],[Location]]&amp;RIGHT(Table35[[#Headers],[Facility_2]],1)&amp;"F","-")</f>
        <v>H212F</v>
      </c>
      <c r="H221" s="6" t="str">
        <f t="shared" si="217"/>
        <v>TerHea</v>
      </c>
      <c r="I221" s="23">
        <f t="shared" si="218"/>
        <v>9999</v>
      </c>
      <c r="J221" s="5" t="str">
        <f>IF(Table35[[#This Row],[Capacity1]]*X221&gt;=$Y$5,Table35[[#This Row],[Location]]&amp;RIGHT(Table35[[#Headers],[Facility_3]],1)&amp;"F","-")</f>
        <v>H213F</v>
      </c>
      <c r="K221" s="2" t="str">
        <f t="shared" ref="K221" si="247">IF(J221="-","-","CHPpl_")</f>
        <v>CHPpl_</v>
      </c>
      <c r="L221" s="14">
        <f t="shared" si="221"/>
        <v>0</v>
      </c>
      <c r="V221" s="1">
        <v>10.7</v>
      </c>
      <c r="W221" s="1">
        <v>1</v>
      </c>
      <c r="X221" s="1">
        <v>0</v>
      </c>
    </row>
    <row r="222" spans="1:24" x14ac:dyDescent="0.25">
      <c r="A222" s="1" t="s">
        <v>69</v>
      </c>
      <c r="B222" s="1">
        <v>7099526.10902989</v>
      </c>
      <c r="C222" s="1">
        <v>772319.20899318799</v>
      </c>
      <c r="D222" s="5" t="str">
        <f t="shared" si="214"/>
        <v>H701F</v>
      </c>
      <c r="E222" s="6" t="str">
        <f t="shared" si="215"/>
        <v>Heatpl</v>
      </c>
      <c r="F222" s="14">
        <f t="shared" si="216"/>
        <v>12811.8</v>
      </c>
      <c r="G222" s="5" t="str">
        <f>IF(Table35[[#This Row],[Capacity1]]&lt;&gt;"-",Table35[[#This Row],[Location]]&amp;RIGHT(Table35[[#Headers],[Facility_2]],1)&amp;"F","-")</f>
        <v>H702F</v>
      </c>
      <c r="H222" s="6" t="str">
        <f t="shared" si="217"/>
        <v>TerHea</v>
      </c>
      <c r="I222" s="23">
        <f t="shared" si="218"/>
        <v>9999</v>
      </c>
      <c r="J222" s="5" t="str">
        <f>IF(Table35[[#This Row],[Capacity1]]*X222&gt;=$Y$5,Table35[[#This Row],[Location]]&amp;RIGHT(Table35[[#Headers],[Facility_3]],1)&amp;"F","-")</f>
        <v>H703F</v>
      </c>
      <c r="K222" s="2" t="str">
        <f t="shared" ref="K222" si="248">IF(J222="-","-","CHPpl_")</f>
        <v>CHPpl_</v>
      </c>
      <c r="L222" s="14">
        <f t="shared" si="221"/>
        <v>0</v>
      </c>
      <c r="V222" s="1">
        <v>10.676500000000001</v>
      </c>
      <c r="W222" s="1">
        <v>1</v>
      </c>
      <c r="X222" s="1">
        <v>0</v>
      </c>
    </row>
    <row r="223" spans="1:24" x14ac:dyDescent="0.25">
      <c r="A223" s="1" t="s">
        <v>204</v>
      </c>
      <c r="B223" s="1">
        <v>6536367.1170061603</v>
      </c>
      <c r="C223" s="1">
        <v>643119.38442777004</v>
      </c>
      <c r="D223" s="5" t="str">
        <f t="shared" si="214"/>
        <v>H2051F</v>
      </c>
      <c r="E223" s="6" t="str">
        <f t="shared" si="215"/>
        <v>Heatpl</v>
      </c>
      <c r="F223" s="14">
        <f t="shared" si="216"/>
        <v>12720</v>
      </c>
      <c r="G223" s="5" t="str">
        <f>IF(Table35[[#This Row],[Capacity1]]&lt;&gt;"-",Table35[[#This Row],[Location]]&amp;RIGHT(Table35[[#Headers],[Facility_2]],1)&amp;"F","-")</f>
        <v>H2052F</v>
      </c>
      <c r="H223" s="6" t="str">
        <f t="shared" si="217"/>
        <v>TerHea</v>
      </c>
      <c r="I223" s="23">
        <f t="shared" si="218"/>
        <v>9999</v>
      </c>
      <c r="J223" s="5" t="str">
        <f>IF(Table35[[#This Row],[Capacity1]]*X223&gt;=$Y$5,Table35[[#This Row],[Location]]&amp;RIGHT(Table35[[#Headers],[Facility_3]],1)&amp;"F","-")</f>
        <v>H2053F</v>
      </c>
      <c r="K223" s="2" t="str">
        <f t="shared" ref="K223" si="249">IF(J223="-","-","CHPpl_")</f>
        <v>CHPpl_</v>
      </c>
      <c r="L223" s="14">
        <f t="shared" si="221"/>
        <v>0</v>
      </c>
      <c r="V223" s="1">
        <v>10.600000000000001</v>
      </c>
      <c r="W223" s="1">
        <v>1</v>
      </c>
      <c r="X223" s="1">
        <v>0</v>
      </c>
    </row>
    <row r="224" spans="1:24" x14ac:dyDescent="0.25">
      <c r="A224" s="1" t="s">
        <v>56</v>
      </c>
      <c r="B224" s="1">
        <v>7206633.0206192899</v>
      </c>
      <c r="C224" s="1">
        <v>711977.69406621403</v>
      </c>
      <c r="D224" s="5" t="str">
        <f t="shared" si="214"/>
        <v>H571F</v>
      </c>
      <c r="E224" s="6" t="str">
        <f t="shared" si="215"/>
        <v>Heatpl</v>
      </c>
      <c r="F224" s="14">
        <f t="shared" si="216"/>
        <v>12568.8</v>
      </c>
      <c r="G224" s="5" t="str">
        <f>IF(Table35[[#This Row],[Capacity1]]&lt;&gt;"-",Table35[[#This Row],[Location]]&amp;RIGHT(Table35[[#Headers],[Facility_2]],1)&amp;"F","-")</f>
        <v>H572F</v>
      </c>
      <c r="H224" s="6" t="str">
        <f t="shared" si="217"/>
        <v>TerHea</v>
      </c>
      <c r="I224" s="23">
        <f t="shared" si="218"/>
        <v>9999</v>
      </c>
      <c r="J224" s="5" t="str">
        <f>IF(Table35[[#This Row],[Capacity1]]*X224&gt;=$Y$5,Table35[[#This Row],[Location]]&amp;RIGHT(Table35[[#Headers],[Facility_3]],1)&amp;"F","-")</f>
        <v>H573F</v>
      </c>
      <c r="K224" s="2" t="str">
        <f t="shared" ref="K224" si="250">IF(J224="-","-","CHPpl_")</f>
        <v>CHPpl_</v>
      </c>
      <c r="L224" s="14">
        <f t="shared" si="221"/>
        <v>0</v>
      </c>
      <c r="V224" s="1">
        <v>10.474</v>
      </c>
      <c r="W224" s="1">
        <v>1</v>
      </c>
      <c r="X224" s="1">
        <v>0</v>
      </c>
    </row>
    <row r="225" spans="1:24" x14ac:dyDescent="0.25">
      <c r="A225" s="1" t="s">
        <v>91</v>
      </c>
      <c r="B225" s="1">
        <v>6930834.9004280604</v>
      </c>
      <c r="C225" s="1">
        <v>533618.03462249995</v>
      </c>
      <c r="D225" s="5" t="str">
        <f t="shared" si="214"/>
        <v>H921F</v>
      </c>
      <c r="E225" s="6" t="str">
        <f t="shared" si="215"/>
        <v>Heatpl</v>
      </c>
      <c r="F225" s="14">
        <f t="shared" si="216"/>
        <v>12542.4</v>
      </c>
      <c r="G225" s="5" t="str">
        <f>IF(Table35[[#This Row],[Capacity1]]&lt;&gt;"-",Table35[[#This Row],[Location]]&amp;RIGHT(Table35[[#Headers],[Facility_2]],1)&amp;"F","-")</f>
        <v>H922F</v>
      </c>
      <c r="H225" s="6" t="str">
        <f t="shared" si="217"/>
        <v>TerHea</v>
      </c>
      <c r="I225" s="23">
        <f t="shared" si="218"/>
        <v>9999</v>
      </c>
      <c r="J225" s="5" t="str">
        <f>IF(Table35[[#This Row],[Capacity1]]*X225&gt;=$Y$5,Table35[[#This Row],[Location]]&amp;RIGHT(Table35[[#Headers],[Facility_3]],1)&amp;"F","-")</f>
        <v>H923F</v>
      </c>
      <c r="K225" s="2" t="str">
        <f t="shared" ref="K225" si="251">IF(J225="-","-","CHPpl_")</f>
        <v>CHPpl_</v>
      </c>
      <c r="L225" s="14">
        <f t="shared" si="221"/>
        <v>0</v>
      </c>
      <c r="V225" s="1">
        <v>10.452</v>
      </c>
      <c r="W225" s="1">
        <v>1</v>
      </c>
      <c r="X225" s="1">
        <v>0</v>
      </c>
    </row>
    <row r="226" spans="1:24" x14ac:dyDescent="0.25">
      <c r="A226" s="1" t="s">
        <v>331</v>
      </c>
      <c r="B226" s="1">
        <v>6235938.1438683802</v>
      </c>
      <c r="C226" s="1">
        <v>420761.66534899001</v>
      </c>
      <c r="D226" s="5" t="str">
        <f t="shared" si="214"/>
        <v>H3321F</v>
      </c>
      <c r="E226" s="6" t="str">
        <f t="shared" si="215"/>
        <v>Heatpl</v>
      </c>
      <c r="F226" s="14">
        <f t="shared" si="216"/>
        <v>12507.6</v>
      </c>
      <c r="G226" s="5" t="str">
        <f>IF(Table35[[#This Row],[Capacity1]]&lt;&gt;"-",Table35[[#This Row],[Location]]&amp;RIGHT(Table35[[#Headers],[Facility_2]],1)&amp;"F","-")</f>
        <v>H3322F</v>
      </c>
      <c r="H226" s="6" t="str">
        <f t="shared" si="217"/>
        <v>TerHea</v>
      </c>
      <c r="I226" s="23">
        <f t="shared" si="218"/>
        <v>9999</v>
      </c>
      <c r="J226" s="5" t="str">
        <f>IF(Table35[[#This Row],[Capacity1]]*X226&gt;=$Y$5,Table35[[#This Row],[Location]]&amp;RIGHT(Table35[[#Headers],[Facility_3]],1)&amp;"F","-")</f>
        <v>H3323F</v>
      </c>
      <c r="K226" s="2" t="str">
        <f t="shared" ref="K226" si="252">IF(J226="-","-","CHPpl_")</f>
        <v>CHPpl_</v>
      </c>
      <c r="L226" s="14">
        <f t="shared" si="221"/>
        <v>0</v>
      </c>
      <c r="V226" s="1">
        <v>10.423</v>
      </c>
      <c r="W226" s="1">
        <v>1</v>
      </c>
      <c r="X226" s="1">
        <v>0</v>
      </c>
    </row>
    <row r="227" spans="1:24" x14ac:dyDescent="0.25">
      <c r="A227" s="1" t="s">
        <v>275</v>
      </c>
      <c r="B227" s="1">
        <v>6394971.3302746098</v>
      </c>
      <c r="C227" s="1">
        <v>579796.12184361997</v>
      </c>
      <c r="D227" s="5" t="str">
        <f t="shared" si="214"/>
        <v>H2761F</v>
      </c>
      <c r="E227" s="6" t="str">
        <f t="shared" si="215"/>
        <v>Heatpl</v>
      </c>
      <c r="F227" s="14">
        <f t="shared" si="216"/>
        <v>12490.8</v>
      </c>
      <c r="G227" s="5" t="str">
        <f>IF(Table35[[#This Row],[Capacity1]]&lt;&gt;"-",Table35[[#This Row],[Location]]&amp;RIGHT(Table35[[#Headers],[Facility_2]],1)&amp;"F","-")</f>
        <v>H2762F</v>
      </c>
      <c r="H227" s="6" t="str">
        <f t="shared" si="217"/>
        <v>TerHea</v>
      </c>
      <c r="I227" s="23">
        <f t="shared" si="218"/>
        <v>9999</v>
      </c>
      <c r="J227" s="5" t="str">
        <f>IF(Table35[[#This Row],[Capacity1]]*X227&gt;=$Y$5,Table35[[#This Row],[Location]]&amp;RIGHT(Table35[[#Headers],[Facility_3]],1)&amp;"F","-")</f>
        <v>H2763F</v>
      </c>
      <c r="K227" s="2" t="str">
        <f t="shared" ref="K227" si="253">IF(J227="-","-","CHPpl_")</f>
        <v>CHPpl_</v>
      </c>
      <c r="L227" s="14">
        <f t="shared" si="221"/>
        <v>0</v>
      </c>
      <c r="V227" s="1">
        <v>10.409000000000001</v>
      </c>
      <c r="W227" s="1">
        <v>1</v>
      </c>
      <c r="X227" s="1">
        <v>0</v>
      </c>
    </row>
    <row r="228" spans="1:24" x14ac:dyDescent="0.25">
      <c r="A228" s="1" t="s">
        <v>62</v>
      </c>
      <c r="B228" s="1">
        <v>7182339.7855140297</v>
      </c>
      <c r="C228" s="1">
        <v>795837.67087232601</v>
      </c>
      <c r="D228" s="5" t="str">
        <f t="shared" si="214"/>
        <v>H631F</v>
      </c>
      <c r="E228" s="6" t="str">
        <f t="shared" si="215"/>
        <v>Heatpl</v>
      </c>
      <c r="F228" s="14">
        <f t="shared" si="216"/>
        <v>12480</v>
      </c>
      <c r="G228" s="5" t="str">
        <f>IF(Table35[[#This Row],[Capacity1]]&lt;&gt;"-",Table35[[#This Row],[Location]]&amp;RIGHT(Table35[[#Headers],[Facility_2]],1)&amp;"F","-")</f>
        <v>H632F</v>
      </c>
      <c r="H228" s="6" t="str">
        <f t="shared" si="217"/>
        <v>TerHea</v>
      </c>
      <c r="I228" s="23">
        <f t="shared" si="218"/>
        <v>9999</v>
      </c>
      <c r="J228" s="5" t="str">
        <f>IF(Table35[[#This Row],[Capacity1]]*X228&gt;=$Y$5,Table35[[#This Row],[Location]]&amp;RIGHT(Table35[[#Headers],[Facility_3]],1)&amp;"F","-")</f>
        <v>H633F</v>
      </c>
      <c r="K228" s="2" t="str">
        <f t="shared" ref="K228" si="254">IF(J228="-","-","CHPpl_")</f>
        <v>CHPpl_</v>
      </c>
      <c r="L228" s="14">
        <f t="shared" si="221"/>
        <v>0</v>
      </c>
      <c r="V228" s="1">
        <v>10.4</v>
      </c>
      <c r="W228" s="1">
        <v>1</v>
      </c>
      <c r="X228" s="1">
        <v>0</v>
      </c>
    </row>
    <row r="229" spans="1:24" x14ac:dyDescent="0.25">
      <c r="A229" s="1" t="s">
        <v>343</v>
      </c>
      <c r="B229" s="1">
        <v>6221422.07753463</v>
      </c>
      <c r="C229" s="1">
        <v>423171.42182152101</v>
      </c>
      <c r="D229" s="5" t="str">
        <f t="shared" si="214"/>
        <v>H3441F</v>
      </c>
      <c r="E229" s="6" t="str">
        <f t="shared" si="215"/>
        <v>Heatpl</v>
      </c>
      <c r="F229" s="14">
        <f t="shared" si="216"/>
        <v>12384</v>
      </c>
      <c r="G229" s="5" t="str">
        <f>IF(Table35[[#This Row],[Capacity1]]&lt;&gt;"-",Table35[[#This Row],[Location]]&amp;RIGHT(Table35[[#Headers],[Facility_2]],1)&amp;"F","-")</f>
        <v>H3442F</v>
      </c>
      <c r="H229" s="6" t="str">
        <f t="shared" si="217"/>
        <v>TerHea</v>
      </c>
      <c r="I229" s="23">
        <f t="shared" si="218"/>
        <v>9999</v>
      </c>
      <c r="J229" s="5" t="str">
        <f>IF(Table35[[#This Row],[Capacity1]]*X229&gt;=$Y$5,Table35[[#This Row],[Location]]&amp;RIGHT(Table35[[#Headers],[Facility_3]],1)&amp;"F","-")</f>
        <v>H3443F</v>
      </c>
      <c r="K229" s="2" t="str">
        <f t="shared" ref="K229" si="255">IF(J229="-","-","CHPpl_")</f>
        <v>CHPpl_</v>
      </c>
      <c r="L229" s="14">
        <f t="shared" si="221"/>
        <v>0</v>
      </c>
      <c r="V229" s="1">
        <v>10.32</v>
      </c>
      <c r="W229" s="1">
        <v>1</v>
      </c>
      <c r="X229" s="1">
        <v>0</v>
      </c>
    </row>
    <row r="230" spans="1:24" x14ac:dyDescent="0.25">
      <c r="A230" s="1" t="s">
        <v>216</v>
      </c>
      <c r="B230" s="1">
        <v>6492173.5622671898</v>
      </c>
      <c r="C230" s="1">
        <v>554019.37479658204</v>
      </c>
      <c r="D230" s="5" t="str">
        <f t="shared" si="214"/>
        <v>H2171F</v>
      </c>
      <c r="E230" s="6" t="str">
        <f t="shared" si="215"/>
        <v>Heatpl</v>
      </c>
      <c r="F230" s="14">
        <f t="shared" si="216"/>
        <v>12282.36</v>
      </c>
      <c r="G230" s="5" t="str">
        <f>IF(Table35[[#This Row],[Capacity1]]&lt;&gt;"-",Table35[[#This Row],[Location]]&amp;RIGHT(Table35[[#Headers],[Facility_2]],1)&amp;"F","-")</f>
        <v>H2172F</v>
      </c>
      <c r="H230" s="6" t="str">
        <f t="shared" si="217"/>
        <v>TerHea</v>
      </c>
      <c r="I230" s="23">
        <f t="shared" si="218"/>
        <v>9999</v>
      </c>
      <c r="J230" s="5" t="str">
        <f>IF(Table35[[#This Row],[Capacity1]]*X230&gt;=$Y$5,Table35[[#This Row],[Location]]&amp;RIGHT(Table35[[#Headers],[Facility_3]],1)&amp;"F","-")</f>
        <v>H2173F</v>
      </c>
      <c r="K230" s="2" t="str">
        <f t="shared" ref="K230" si="256">IF(J230="-","-","CHPpl_")</f>
        <v>CHPpl_</v>
      </c>
      <c r="L230" s="14">
        <f t="shared" si="221"/>
        <v>0</v>
      </c>
      <c r="V230" s="1">
        <v>10.235300000000001</v>
      </c>
      <c r="W230" s="1">
        <v>1</v>
      </c>
      <c r="X230" s="1">
        <v>0</v>
      </c>
    </row>
    <row r="231" spans="1:24" x14ac:dyDescent="0.25">
      <c r="A231" s="1" t="s">
        <v>8</v>
      </c>
      <c r="B231" s="1">
        <v>6653097</v>
      </c>
      <c r="C231" s="1">
        <v>667295</v>
      </c>
      <c r="D231" s="5" t="str">
        <f t="shared" si="214"/>
        <v>H91F</v>
      </c>
      <c r="E231" s="6" t="str">
        <f t="shared" si="215"/>
        <v>Heatpl</v>
      </c>
      <c r="F231" s="14">
        <f t="shared" si="216"/>
        <v>11944.800000000001</v>
      </c>
      <c r="G231" s="5" t="str">
        <f>IF(Table35[[#This Row],[Capacity1]]&lt;&gt;"-",Table35[[#This Row],[Location]]&amp;RIGHT(Table35[[#Headers],[Facility_2]],1)&amp;"F","-")</f>
        <v>H92F</v>
      </c>
      <c r="H231" s="6" t="str">
        <f t="shared" si="217"/>
        <v>TerHea</v>
      </c>
      <c r="I231" s="23">
        <f t="shared" si="218"/>
        <v>9999</v>
      </c>
      <c r="J231" s="5" t="str">
        <f>IF(Table35[[#This Row],[Capacity1]]*X231&gt;=$Y$5,Table35[[#This Row],[Location]]&amp;RIGHT(Table35[[#Headers],[Facility_3]],1)&amp;"F","-")</f>
        <v>H93F</v>
      </c>
      <c r="K231" s="2" t="str">
        <f t="shared" ref="K231" si="257">IF(J231="-","-","CHPpl_")</f>
        <v>CHPpl_</v>
      </c>
      <c r="L231" s="14">
        <f t="shared" si="221"/>
        <v>0</v>
      </c>
      <c r="V231" s="1">
        <v>9.9540000000000006</v>
      </c>
      <c r="W231" s="1">
        <v>1</v>
      </c>
      <c r="X231" s="1">
        <v>0</v>
      </c>
    </row>
    <row r="232" spans="1:24" x14ac:dyDescent="0.25">
      <c r="A232" s="1" t="s">
        <v>287</v>
      </c>
      <c r="B232" s="1">
        <v>6381560.2825629301</v>
      </c>
      <c r="C232" s="1">
        <v>550537.96867340198</v>
      </c>
      <c r="D232" s="5" t="str">
        <f t="shared" si="214"/>
        <v>H2881F</v>
      </c>
      <c r="E232" s="6" t="str">
        <f t="shared" si="215"/>
        <v>Heatpl</v>
      </c>
      <c r="F232" s="14">
        <f t="shared" si="216"/>
        <v>11868</v>
      </c>
      <c r="G232" s="5" t="str">
        <f>IF(Table35[[#This Row],[Capacity1]]&lt;&gt;"-",Table35[[#This Row],[Location]]&amp;RIGHT(Table35[[#Headers],[Facility_2]],1)&amp;"F","-")</f>
        <v>H2882F</v>
      </c>
      <c r="H232" s="6" t="str">
        <f t="shared" si="217"/>
        <v>TerHea</v>
      </c>
      <c r="I232" s="23">
        <f t="shared" si="218"/>
        <v>9999</v>
      </c>
      <c r="J232" s="5" t="str">
        <f>IF(Table35[[#This Row],[Capacity1]]*X232&gt;=$Y$5,Table35[[#This Row],[Location]]&amp;RIGHT(Table35[[#Headers],[Facility_3]],1)&amp;"F","-")</f>
        <v>H2883F</v>
      </c>
      <c r="K232" s="2" t="str">
        <f t="shared" ref="K232" si="258">IF(J232="-","-","CHPpl_")</f>
        <v>CHPpl_</v>
      </c>
      <c r="L232" s="14">
        <f t="shared" si="221"/>
        <v>0</v>
      </c>
      <c r="V232" s="1">
        <v>9.89</v>
      </c>
      <c r="W232" s="1">
        <v>1</v>
      </c>
      <c r="X232" s="1">
        <v>0</v>
      </c>
    </row>
    <row r="233" spans="1:24" x14ac:dyDescent="0.25">
      <c r="A233" s="1" t="s">
        <v>42</v>
      </c>
      <c r="B233" s="1">
        <v>7333973.7305256696</v>
      </c>
      <c r="C233" s="1">
        <v>916014.46013194101</v>
      </c>
      <c r="D233" s="5" t="str">
        <f t="shared" si="214"/>
        <v>H431F</v>
      </c>
      <c r="E233" s="6" t="str">
        <f t="shared" si="215"/>
        <v>Heatpl</v>
      </c>
      <c r="F233" s="14">
        <f t="shared" si="216"/>
        <v>11766</v>
      </c>
      <c r="G233" s="5" t="str">
        <f>IF(Table35[[#This Row],[Capacity1]]&lt;&gt;"-",Table35[[#This Row],[Location]]&amp;RIGHT(Table35[[#Headers],[Facility_2]],1)&amp;"F","-")</f>
        <v>H432F</v>
      </c>
      <c r="H233" s="6" t="str">
        <f t="shared" si="217"/>
        <v>TerHea</v>
      </c>
      <c r="I233" s="23">
        <f t="shared" si="218"/>
        <v>9999</v>
      </c>
      <c r="J233" s="5" t="str">
        <f>IF(Table35[[#This Row],[Capacity1]]*X233&gt;=$Y$5,Table35[[#This Row],[Location]]&amp;RIGHT(Table35[[#Headers],[Facility_3]],1)&amp;"F","-")</f>
        <v>H433F</v>
      </c>
      <c r="K233" s="2" t="str">
        <f t="shared" ref="K233" si="259">IF(J233="-","-","CHPpl_")</f>
        <v>CHPpl_</v>
      </c>
      <c r="L233" s="14">
        <f t="shared" si="221"/>
        <v>0</v>
      </c>
      <c r="V233" s="1">
        <v>9.8049999999999997</v>
      </c>
      <c r="W233" s="1">
        <v>1</v>
      </c>
      <c r="X233" s="1">
        <v>0</v>
      </c>
    </row>
    <row r="234" spans="1:24" x14ac:dyDescent="0.25">
      <c r="A234" s="1" t="s">
        <v>323</v>
      </c>
      <c r="B234" s="1">
        <v>6286887.6500553302</v>
      </c>
      <c r="C234" s="1">
        <v>495102.362734503</v>
      </c>
      <c r="D234" s="5" t="str">
        <f t="shared" si="214"/>
        <v>H3241F</v>
      </c>
      <c r="E234" s="6" t="str">
        <f t="shared" si="215"/>
        <v>Heatpl</v>
      </c>
      <c r="F234" s="14">
        <f t="shared" si="216"/>
        <v>11719.199999999999</v>
      </c>
      <c r="G234" s="5" t="str">
        <f>IF(Table35[[#This Row],[Capacity1]]&lt;&gt;"-",Table35[[#This Row],[Location]]&amp;RIGHT(Table35[[#Headers],[Facility_2]],1)&amp;"F","-")</f>
        <v>H3242F</v>
      </c>
      <c r="H234" s="6" t="str">
        <f t="shared" si="217"/>
        <v>TerHea</v>
      </c>
      <c r="I234" s="23">
        <f t="shared" si="218"/>
        <v>9999</v>
      </c>
      <c r="J234" s="5" t="str">
        <f>IF(Table35[[#This Row],[Capacity1]]*X234&gt;=$Y$5,Table35[[#This Row],[Location]]&amp;RIGHT(Table35[[#Headers],[Facility_3]],1)&amp;"F","-")</f>
        <v>H3243F</v>
      </c>
      <c r="K234" s="2" t="str">
        <f t="shared" ref="K234" si="260">IF(J234="-","-","CHPpl_")</f>
        <v>CHPpl_</v>
      </c>
      <c r="L234" s="14">
        <f t="shared" si="221"/>
        <v>0</v>
      </c>
      <c r="V234" s="1">
        <v>9.766</v>
      </c>
      <c r="W234" s="1">
        <v>1</v>
      </c>
      <c r="X234" s="1">
        <v>0</v>
      </c>
    </row>
    <row r="235" spans="1:24" x14ac:dyDescent="0.25">
      <c r="A235" s="1" t="s">
        <v>57</v>
      </c>
      <c r="B235" s="1">
        <v>7205359.4751415402</v>
      </c>
      <c r="C235" s="1">
        <v>754791.61835204903</v>
      </c>
      <c r="D235" s="5" t="str">
        <f t="shared" si="214"/>
        <v>H581F</v>
      </c>
      <c r="E235" s="6" t="str">
        <f t="shared" si="215"/>
        <v>Heatpl</v>
      </c>
      <c r="F235" s="14">
        <f t="shared" si="216"/>
        <v>11524.8</v>
      </c>
      <c r="G235" s="5" t="str">
        <f>IF(Table35[[#This Row],[Capacity1]]&lt;&gt;"-",Table35[[#This Row],[Location]]&amp;RIGHT(Table35[[#Headers],[Facility_2]],1)&amp;"F","-")</f>
        <v>H582F</v>
      </c>
      <c r="H235" s="6" t="str">
        <f t="shared" si="217"/>
        <v>TerHea</v>
      </c>
      <c r="I235" s="23">
        <f t="shared" si="218"/>
        <v>9999</v>
      </c>
      <c r="J235" s="5" t="str">
        <f>IF(Table35[[#This Row],[Capacity1]]*X235&gt;=$Y$5,Table35[[#This Row],[Location]]&amp;RIGHT(Table35[[#Headers],[Facility_3]],1)&amp;"F","-")</f>
        <v>H583F</v>
      </c>
      <c r="K235" s="2" t="str">
        <f t="shared" ref="K235" si="261">IF(J235="-","-","CHPpl_")</f>
        <v>CHPpl_</v>
      </c>
      <c r="L235" s="14">
        <f t="shared" si="221"/>
        <v>0</v>
      </c>
      <c r="V235" s="1">
        <v>9.6039999999999992</v>
      </c>
      <c r="W235" s="1">
        <v>1</v>
      </c>
      <c r="X235" s="1">
        <v>0</v>
      </c>
    </row>
    <row r="236" spans="1:24" x14ac:dyDescent="0.25">
      <c r="A236" s="1" t="s">
        <v>17</v>
      </c>
      <c r="B236" s="1">
        <v>6471649.6129999999</v>
      </c>
      <c r="C236" s="1">
        <v>324810.299</v>
      </c>
      <c r="D236" s="5" t="str">
        <f t="shared" si="214"/>
        <v>H181F</v>
      </c>
      <c r="E236" s="6" t="str">
        <f t="shared" si="215"/>
        <v>Heatpl</v>
      </c>
      <c r="F236" s="14">
        <f t="shared" si="216"/>
        <v>11440.800000000001</v>
      </c>
      <c r="G236" s="5" t="str">
        <f>IF(Table35[[#This Row],[Capacity1]]&lt;&gt;"-",Table35[[#This Row],[Location]]&amp;RIGHT(Table35[[#Headers],[Facility_2]],1)&amp;"F","-")</f>
        <v>H182F</v>
      </c>
      <c r="H236" s="6" t="str">
        <f t="shared" si="217"/>
        <v>TerHea</v>
      </c>
      <c r="I236" s="23">
        <f t="shared" si="218"/>
        <v>9999</v>
      </c>
      <c r="J236" s="5" t="str">
        <f>IF(Table35[[#This Row],[Capacity1]]*X236&gt;=$Y$5,Table35[[#This Row],[Location]]&amp;RIGHT(Table35[[#Headers],[Facility_3]],1)&amp;"F","-")</f>
        <v>H183F</v>
      </c>
      <c r="K236" s="2" t="str">
        <f t="shared" ref="K236" si="262">IF(J236="-","-","CHPpl_")</f>
        <v>CHPpl_</v>
      </c>
      <c r="L236" s="14">
        <f t="shared" si="221"/>
        <v>0</v>
      </c>
      <c r="V236" s="1">
        <v>9.5340000000000007</v>
      </c>
      <c r="W236" s="1">
        <v>1</v>
      </c>
      <c r="X236" s="1">
        <v>0</v>
      </c>
    </row>
    <row r="237" spans="1:24" x14ac:dyDescent="0.25">
      <c r="A237" s="1" t="s">
        <v>263</v>
      </c>
      <c r="B237" s="1">
        <v>6406265.9553795103</v>
      </c>
      <c r="C237" s="1">
        <v>343255.22999242297</v>
      </c>
      <c r="D237" s="5" t="str">
        <f t="shared" si="214"/>
        <v>H2641F</v>
      </c>
      <c r="E237" s="6" t="str">
        <f t="shared" si="215"/>
        <v>Heatpl</v>
      </c>
      <c r="F237" s="14">
        <f t="shared" si="216"/>
        <v>10920</v>
      </c>
      <c r="G237" s="5" t="str">
        <f>IF(Table35[[#This Row],[Capacity1]]&lt;&gt;"-",Table35[[#This Row],[Location]]&amp;RIGHT(Table35[[#Headers],[Facility_2]],1)&amp;"F","-")</f>
        <v>H2642F</v>
      </c>
      <c r="H237" s="6" t="str">
        <f t="shared" si="217"/>
        <v>TerHea</v>
      </c>
      <c r="I237" s="23">
        <f t="shared" si="218"/>
        <v>9999</v>
      </c>
      <c r="J237" s="5" t="str">
        <f>IF(Table35[[#This Row],[Capacity1]]*X237&gt;=$Y$5,Table35[[#This Row],[Location]]&amp;RIGHT(Table35[[#Headers],[Facility_3]],1)&amp;"F","-")</f>
        <v>H2643F</v>
      </c>
      <c r="K237" s="2" t="str">
        <f t="shared" ref="K237" si="263">IF(J237="-","-","CHPpl_")</f>
        <v>CHPpl_</v>
      </c>
      <c r="L237" s="14">
        <f t="shared" si="221"/>
        <v>0</v>
      </c>
      <c r="V237" s="1">
        <v>9.1</v>
      </c>
      <c r="W237" s="1">
        <v>1</v>
      </c>
      <c r="X237" s="1">
        <v>0</v>
      </c>
    </row>
    <row r="238" spans="1:24" x14ac:dyDescent="0.25">
      <c r="A238" s="1" t="s">
        <v>205</v>
      </c>
      <c r="B238" s="1">
        <v>6529753.4372647898</v>
      </c>
      <c r="C238" s="1">
        <v>323817.96305792301</v>
      </c>
      <c r="D238" s="5" t="str">
        <f t="shared" si="214"/>
        <v>H2061F</v>
      </c>
      <c r="E238" s="6" t="str">
        <f t="shared" si="215"/>
        <v>Heatpl</v>
      </c>
      <c r="F238" s="14">
        <f t="shared" si="216"/>
        <v>10799.999999999998</v>
      </c>
      <c r="G238" s="5" t="str">
        <f>IF(Table35[[#This Row],[Capacity1]]&lt;&gt;"-",Table35[[#This Row],[Location]]&amp;RIGHT(Table35[[#Headers],[Facility_2]],1)&amp;"F","-")</f>
        <v>H2062F</v>
      </c>
      <c r="H238" s="6" t="str">
        <f t="shared" si="217"/>
        <v>TerHea</v>
      </c>
      <c r="I238" s="23">
        <f t="shared" si="218"/>
        <v>9999</v>
      </c>
      <c r="J238" s="5" t="str">
        <f>IF(Table35[[#This Row],[Capacity1]]*X238&gt;=$Y$5,Table35[[#This Row],[Location]]&amp;RIGHT(Table35[[#Headers],[Facility_3]],1)&amp;"F","-")</f>
        <v>H2063F</v>
      </c>
      <c r="K238" s="2" t="str">
        <f t="shared" ref="K238" si="264">IF(J238="-","-","CHPpl_")</f>
        <v>CHPpl_</v>
      </c>
      <c r="L238" s="14">
        <f t="shared" si="221"/>
        <v>0</v>
      </c>
      <c r="V238" s="1">
        <v>9</v>
      </c>
      <c r="W238" s="1">
        <v>1</v>
      </c>
      <c r="X238" s="1">
        <v>0</v>
      </c>
    </row>
    <row r="239" spans="1:24" x14ac:dyDescent="0.25">
      <c r="A239" s="1" t="s">
        <v>222</v>
      </c>
      <c r="B239" s="1">
        <v>6481556.3654090799</v>
      </c>
      <c r="C239" s="1">
        <v>306486.093435977</v>
      </c>
      <c r="D239" s="5" t="str">
        <f t="shared" si="214"/>
        <v>H2231F</v>
      </c>
      <c r="E239" s="6" t="str">
        <f t="shared" si="215"/>
        <v>Heatpl</v>
      </c>
      <c r="F239" s="14">
        <f t="shared" si="216"/>
        <v>10753.199999999999</v>
      </c>
      <c r="G239" s="5" t="str">
        <f>IF(Table35[[#This Row],[Capacity1]]&lt;&gt;"-",Table35[[#This Row],[Location]]&amp;RIGHT(Table35[[#Headers],[Facility_2]],1)&amp;"F","-")</f>
        <v>H2232F</v>
      </c>
      <c r="H239" s="6" t="str">
        <f t="shared" si="217"/>
        <v>TerHea</v>
      </c>
      <c r="I239" s="23">
        <f t="shared" si="218"/>
        <v>9999</v>
      </c>
      <c r="J239" s="5" t="str">
        <f>IF(Table35[[#This Row],[Capacity1]]*X239&gt;=$Y$5,Table35[[#This Row],[Location]]&amp;RIGHT(Table35[[#Headers],[Facility_3]],1)&amp;"F","-")</f>
        <v>H2233F</v>
      </c>
      <c r="K239" s="2" t="str">
        <f t="shared" ref="K239" si="265">IF(J239="-","-","CHPpl_")</f>
        <v>CHPpl_</v>
      </c>
      <c r="L239" s="14">
        <f t="shared" si="221"/>
        <v>0</v>
      </c>
      <c r="V239" s="1">
        <v>8.9610000000000003</v>
      </c>
      <c r="W239" s="1">
        <v>1</v>
      </c>
      <c r="X239" s="1">
        <v>0</v>
      </c>
    </row>
    <row r="240" spans="1:24" x14ac:dyDescent="0.25">
      <c r="A240" s="1" t="s">
        <v>53</v>
      </c>
      <c r="B240" s="1">
        <v>7224844.9929909203</v>
      </c>
      <c r="C240" s="1">
        <v>736835.84360822104</v>
      </c>
      <c r="D240" s="5" t="str">
        <f t="shared" si="214"/>
        <v>H541F</v>
      </c>
      <c r="E240" s="6" t="str">
        <f t="shared" si="215"/>
        <v>Heatpl</v>
      </c>
      <c r="F240" s="14">
        <f t="shared" si="216"/>
        <v>10543.199999999999</v>
      </c>
      <c r="G240" s="5" t="str">
        <f>IF(Table35[[#This Row],[Capacity1]]&lt;&gt;"-",Table35[[#This Row],[Location]]&amp;RIGHT(Table35[[#Headers],[Facility_2]],1)&amp;"F","-")</f>
        <v>H542F</v>
      </c>
      <c r="H240" s="6" t="str">
        <f t="shared" si="217"/>
        <v>TerHea</v>
      </c>
      <c r="I240" s="23">
        <f t="shared" si="218"/>
        <v>9999</v>
      </c>
      <c r="J240" s="5" t="str">
        <f>IF(Table35[[#This Row],[Capacity1]]*X240&gt;=$Y$5,Table35[[#This Row],[Location]]&amp;RIGHT(Table35[[#Headers],[Facility_3]],1)&amp;"F","-")</f>
        <v>H543F</v>
      </c>
      <c r="K240" s="2" t="str">
        <f t="shared" ref="K240" si="266">IF(J240="-","-","CHPpl_")</f>
        <v>CHPpl_</v>
      </c>
      <c r="L240" s="14">
        <f t="shared" si="221"/>
        <v>0</v>
      </c>
      <c r="V240" s="1">
        <v>8.7859999999999996</v>
      </c>
      <c r="W240" s="1">
        <v>1</v>
      </c>
      <c r="X240" s="1">
        <v>0</v>
      </c>
    </row>
    <row r="241" spans="1:24" x14ac:dyDescent="0.25">
      <c r="A241" s="1" t="s">
        <v>39</v>
      </c>
      <c r="B241" s="1">
        <v>7523305.48596936</v>
      </c>
      <c r="C241" s="1">
        <v>781021.04388917296</v>
      </c>
      <c r="D241" s="5" t="str">
        <f t="shared" si="214"/>
        <v>H401F</v>
      </c>
      <c r="E241" s="6" t="str">
        <f t="shared" si="215"/>
        <v>Heatpl</v>
      </c>
      <c r="F241" s="14">
        <f t="shared" si="216"/>
        <v>10417.199999999999</v>
      </c>
      <c r="G241" s="5" t="str">
        <f>IF(Table35[[#This Row],[Capacity1]]&lt;&gt;"-",Table35[[#This Row],[Location]]&amp;RIGHT(Table35[[#Headers],[Facility_2]],1)&amp;"F","-")</f>
        <v>H402F</v>
      </c>
      <c r="H241" s="6" t="str">
        <f t="shared" si="217"/>
        <v>TerHea</v>
      </c>
      <c r="I241" s="23">
        <f t="shared" si="218"/>
        <v>9999</v>
      </c>
      <c r="J241" s="5" t="str">
        <f>IF(Table35[[#This Row],[Capacity1]]*X241&gt;=$Y$5,Table35[[#This Row],[Location]]&amp;RIGHT(Table35[[#Headers],[Facility_3]],1)&amp;"F","-")</f>
        <v>H403F</v>
      </c>
      <c r="K241" s="2" t="str">
        <f t="shared" ref="K241" si="267">IF(J241="-","-","CHPpl_")</f>
        <v>CHPpl_</v>
      </c>
      <c r="L241" s="14">
        <f t="shared" si="221"/>
        <v>0</v>
      </c>
      <c r="V241" s="1">
        <v>8.6809999999999992</v>
      </c>
      <c r="W241" s="1">
        <v>1</v>
      </c>
      <c r="X241" s="1">
        <v>0</v>
      </c>
    </row>
    <row r="242" spans="1:24" x14ac:dyDescent="0.25">
      <c r="A242" s="1" t="s">
        <v>354</v>
      </c>
      <c r="B242" s="1">
        <v>6157377.8785137702</v>
      </c>
      <c r="C242" s="1">
        <v>385381.29239663301</v>
      </c>
      <c r="D242" s="5" t="str">
        <f t="shared" si="214"/>
        <v>H3551F</v>
      </c>
      <c r="E242" s="6" t="str">
        <f t="shared" si="215"/>
        <v>Heatpl</v>
      </c>
      <c r="F242" s="14">
        <f t="shared" si="216"/>
        <v>10319.999999999998</v>
      </c>
      <c r="G242" s="5" t="str">
        <f>IF(Table35[[#This Row],[Capacity1]]&lt;&gt;"-",Table35[[#This Row],[Location]]&amp;RIGHT(Table35[[#Headers],[Facility_2]],1)&amp;"F","-")</f>
        <v>H3552F</v>
      </c>
      <c r="H242" s="6" t="str">
        <f t="shared" si="217"/>
        <v>TerHea</v>
      </c>
      <c r="I242" s="23">
        <f t="shared" si="218"/>
        <v>9999</v>
      </c>
      <c r="J242" s="5" t="str">
        <f>IF(Table35[[#This Row],[Capacity1]]*X242&gt;=$Y$5,Table35[[#This Row],[Location]]&amp;RIGHT(Table35[[#Headers],[Facility_3]],1)&amp;"F","-")</f>
        <v>H3553F</v>
      </c>
      <c r="K242" s="2" t="str">
        <f t="shared" ref="K242" si="268">IF(J242="-","-","CHPpl_")</f>
        <v>CHPpl_</v>
      </c>
      <c r="L242" s="14">
        <f t="shared" si="221"/>
        <v>0</v>
      </c>
      <c r="V242" s="1">
        <v>8.6</v>
      </c>
      <c r="W242" s="1">
        <v>1</v>
      </c>
      <c r="X242" s="1">
        <v>0</v>
      </c>
    </row>
    <row r="243" spans="1:24" x14ac:dyDescent="0.25">
      <c r="A243" s="1" t="s">
        <v>103</v>
      </c>
      <c r="B243" s="1">
        <v>6850014.7998528099</v>
      </c>
      <c r="C243" s="1">
        <v>544292.63212072605</v>
      </c>
      <c r="D243" s="5" t="str">
        <f t="shared" si="214"/>
        <v>H1041F</v>
      </c>
      <c r="E243" s="6" t="str">
        <f t="shared" si="215"/>
        <v>Heatpl</v>
      </c>
      <c r="F243" s="14">
        <f t="shared" si="216"/>
        <v>10080</v>
      </c>
      <c r="G243" s="5" t="str">
        <f>IF(Table35[[#This Row],[Capacity1]]&lt;&gt;"-",Table35[[#This Row],[Location]]&amp;RIGHT(Table35[[#Headers],[Facility_2]],1)&amp;"F","-")</f>
        <v>H1042F</v>
      </c>
      <c r="H243" s="6" t="str">
        <f t="shared" si="217"/>
        <v>TerHea</v>
      </c>
      <c r="I243" s="23">
        <f t="shared" si="218"/>
        <v>9999</v>
      </c>
      <c r="J243" s="5" t="str">
        <f>IF(Table35[[#This Row],[Capacity1]]*X243&gt;=$Y$5,Table35[[#This Row],[Location]]&amp;RIGHT(Table35[[#Headers],[Facility_3]],1)&amp;"F","-")</f>
        <v>H1043F</v>
      </c>
      <c r="K243" s="2" t="str">
        <f t="shared" ref="K243" si="269">IF(J243="-","-","CHPpl_")</f>
        <v>CHPpl_</v>
      </c>
      <c r="L243" s="14">
        <f t="shared" si="221"/>
        <v>0</v>
      </c>
      <c r="V243" s="1">
        <v>8.4</v>
      </c>
      <c r="W243" s="1">
        <v>1</v>
      </c>
      <c r="X243" s="1">
        <v>0</v>
      </c>
    </row>
    <row r="244" spans="1:24" x14ac:dyDescent="0.25">
      <c r="A244" s="1" t="s">
        <v>90</v>
      </c>
      <c r="B244" s="1">
        <v>6933270.52392813</v>
      </c>
      <c r="C244" s="1">
        <v>374036.78555148601</v>
      </c>
      <c r="D244" s="5" t="str">
        <f t="shared" si="214"/>
        <v>H911F</v>
      </c>
      <c r="E244" s="6" t="str">
        <f t="shared" si="215"/>
        <v>Heatpl</v>
      </c>
      <c r="F244" s="14">
        <f t="shared" si="216"/>
        <v>10080</v>
      </c>
      <c r="G244" s="5" t="str">
        <f>IF(Table35[[#This Row],[Capacity1]]&lt;&gt;"-",Table35[[#This Row],[Location]]&amp;RIGHT(Table35[[#Headers],[Facility_2]],1)&amp;"F","-")</f>
        <v>H912F</v>
      </c>
      <c r="H244" s="6" t="str">
        <f t="shared" si="217"/>
        <v>TerHea</v>
      </c>
      <c r="I244" s="23">
        <f t="shared" si="218"/>
        <v>9999</v>
      </c>
      <c r="J244" s="5" t="str">
        <f>IF(Table35[[#This Row],[Capacity1]]*X244&gt;=$Y$5,Table35[[#This Row],[Location]]&amp;RIGHT(Table35[[#Headers],[Facility_3]],1)&amp;"F","-")</f>
        <v>H913F</v>
      </c>
      <c r="K244" s="2" t="str">
        <f t="shared" ref="K244" si="270">IF(J244="-","-","CHPpl_")</f>
        <v>CHPpl_</v>
      </c>
      <c r="L244" s="14">
        <f t="shared" si="221"/>
        <v>0</v>
      </c>
      <c r="V244" s="1">
        <v>8.4</v>
      </c>
      <c r="W244" s="1">
        <v>1</v>
      </c>
      <c r="X244" s="1">
        <v>0</v>
      </c>
    </row>
    <row r="245" spans="1:24" x14ac:dyDescent="0.25">
      <c r="A245" s="1" t="s">
        <v>96</v>
      </c>
      <c r="B245" s="1">
        <v>6918943.8991992101</v>
      </c>
      <c r="C245" s="1">
        <v>619728.125165315</v>
      </c>
      <c r="D245" s="5" t="str">
        <f t="shared" si="214"/>
        <v>H971F</v>
      </c>
      <c r="E245" s="6" t="str">
        <f t="shared" si="215"/>
        <v>Heatpl</v>
      </c>
      <c r="F245" s="14">
        <f t="shared" si="216"/>
        <v>9852</v>
      </c>
      <c r="G245" s="5" t="str">
        <f>IF(Table35[[#This Row],[Capacity1]]&lt;&gt;"-",Table35[[#This Row],[Location]]&amp;RIGHT(Table35[[#Headers],[Facility_2]],1)&amp;"F","-")</f>
        <v>H972F</v>
      </c>
      <c r="H245" s="6" t="str">
        <f t="shared" si="217"/>
        <v>TerHea</v>
      </c>
      <c r="I245" s="23">
        <f t="shared" si="218"/>
        <v>9999</v>
      </c>
      <c r="J245" s="5" t="str">
        <f>IF(Table35[[#This Row],[Capacity1]]*X245&gt;=$Y$5,Table35[[#This Row],[Location]]&amp;RIGHT(Table35[[#Headers],[Facility_3]],1)&amp;"F","-")</f>
        <v>H973F</v>
      </c>
      <c r="K245" s="2" t="str">
        <f t="shared" ref="K245" si="271">IF(J245="-","-","CHPpl_")</f>
        <v>CHPpl_</v>
      </c>
      <c r="L245" s="14">
        <f t="shared" si="221"/>
        <v>0</v>
      </c>
      <c r="V245" s="1">
        <v>8.2100000000000009</v>
      </c>
      <c r="W245" s="1">
        <v>1</v>
      </c>
      <c r="X245" s="1">
        <v>0</v>
      </c>
    </row>
    <row r="246" spans="1:24" x14ac:dyDescent="0.25">
      <c r="A246" s="1" t="s">
        <v>126</v>
      </c>
      <c r="B246" s="1">
        <v>6700678.4464994902</v>
      </c>
      <c r="C246" s="1">
        <v>557112.41095410695</v>
      </c>
      <c r="D246" s="5" t="str">
        <f t="shared" si="214"/>
        <v>H1271F</v>
      </c>
      <c r="E246" s="6" t="str">
        <f t="shared" si="215"/>
        <v>Heatpl</v>
      </c>
      <c r="F246" s="14">
        <f t="shared" si="216"/>
        <v>9839.9999999999982</v>
      </c>
      <c r="G246" s="5" t="str">
        <f>IF(Table35[[#This Row],[Capacity1]]&lt;&gt;"-",Table35[[#This Row],[Location]]&amp;RIGHT(Table35[[#Headers],[Facility_2]],1)&amp;"F","-")</f>
        <v>H1272F</v>
      </c>
      <c r="H246" s="6" t="str">
        <f t="shared" si="217"/>
        <v>TerHea</v>
      </c>
      <c r="I246" s="23">
        <f t="shared" si="218"/>
        <v>9999</v>
      </c>
      <c r="J246" s="5" t="str">
        <f>IF(Table35[[#This Row],[Capacity1]]*X246&gt;=$Y$5,Table35[[#This Row],[Location]]&amp;RIGHT(Table35[[#Headers],[Facility_3]],1)&amp;"F","-")</f>
        <v>H1273F</v>
      </c>
      <c r="K246" s="2" t="str">
        <f t="shared" ref="K246" si="272">IF(J246="-","-","CHPpl_")</f>
        <v>CHPpl_</v>
      </c>
      <c r="L246" s="14">
        <f t="shared" si="221"/>
        <v>0</v>
      </c>
      <c r="V246" s="1">
        <v>8.1999999999999993</v>
      </c>
      <c r="W246" s="1">
        <v>1</v>
      </c>
      <c r="X246" s="1">
        <v>0</v>
      </c>
    </row>
    <row r="247" spans="1:24" x14ac:dyDescent="0.25">
      <c r="A247" s="1" t="s">
        <v>93</v>
      </c>
      <c r="B247" s="1">
        <v>6928774.4813777702</v>
      </c>
      <c r="C247" s="1">
        <v>559722.892512372</v>
      </c>
      <c r="D247" s="5" t="str">
        <f t="shared" si="214"/>
        <v>H941F</v>
      </c>
      <c r="E247" s="6" t="str">
        <f t="shared" si="215"/>
        <v>Heatpl</v>
      </c>
      <c r="F247" s="14">
        <f t="shared" si="216"/>
        <v>9612</v>
      </c>
      <c r="G247" s="5" t="str">
        <f>IF(Table35[[#This Row],[Capacity1]]&lt;&gt;"-",Table35[[#This Row],[Location]]&amp;RIGHT(Table35[[#Headers],[Facility_2]],1)&amp;"F","-")</f>
        <v>H942F</v>
      </c>
      <c r="H247" s="6" t="str">
        <f t="shared" si="217"/>
        <v>TerHea</v>
      </c>
      <c r="I247" s="23">
        <f t="shared" si="218"/>
        <v>9999</v>
      </c>
      <c r="J247" s="5" t="str">
        <f>IF(Table35[[#This Row],[Capacity1]]*X247&gt;=$Y$5,Table35[[#This Row],[Location]]&amp;RIGHT(Table35[[#Headers],[Facility_3]],1)&amp;"F","-")</f>
        <v>H943F</v>
      </c>
      <c r="K247" s="2" t="str">
        <f t="shared" ref="K247" si="273">IF(J247="-","-","CHPpl_")</f>
        <v>CHPpl_</v>
      </c>
      <c r="L247" s="14">
        <f t="shared" si="221"/>
        <v>0</v>
      </c>
      <c r="V247" s="1">
        <v>8.01</v>
      </c>
      <c r="W247" s="1">
        <v>1</v>
      </c>
      <c r="X247" s="1">
        <v>0</v>
      </c>
    </row>
    <row r="248" spans="1:24" x14ac:dyDescent="0.25">
      <c r="A248" s="1" t="s">
        <v>73</v>
      </c>
      <c r="B248" s="1">
        <v>7045206.4122289196</v>
      </c>
      <c r="C248" s="1">
        <v>573009.63925670704</v>
      </c>
      <c r="D248" s="5" t="str">
        <f t="shared" si="214"/>
        <v>H741F</v>
      </c>
      <c r="E248" s="6" t="str">
        <f t="shared" si="215"/>
        <v>Heatpl</v>
      </c>
      <c r="F248" s="14">
        <f t="shared" si="216"/>
        <v>9600</v>
      </c>
      <c r="G248" s="5" t="str">
        <f>IF(Table35[[#This Row],[Capacity1]]&lt;&gt;"-",Table35[[#This Row],[Location]]&amp;RIGHT(Table35[[#Headers],[Facility_2]],1)&amp;"F","-")</f>
        <v>H742F</v>
      </c>
      <c r="H248" s="6" t="str">
        <f t="shared" si="217"/>
        <v>TerHea</v>
      </c>
      <c r="I248" s="23">
        <f t="shared" si="218"/>
        <v>9999</v>
      </c>
      <c r="J248" s="5" t="str">
        <f>IF(Table35[[#This Row],[Capacity1]]*X248&gt;=$Y$5,Table35[[#This Row],[Location]]&amp;RIGHT(Table35[[#Headers],[Facility_3]],1)&amp;"F","-")</f>
        <v>H743F</v>
      </c>
      <c r="K248" s="2" t="str">
        <f t="shared" ref="K248" si="274">IF(J248="-","-","CHPpl_")</f>
        <v>CHPpl_</v>
      </c>
      <c r="L248" s="14">
        <f t="shared" si="221"/>
        <v>0</v>
      </c>
      <c r="V248" s="1">
        <v>8</v>
      </c>
      <c r="W248" s="1">
        <v>1</v>
      </c>
      <c r="X248" s="1">
        <v>0</v>
      </c>
    </row>
    <row r="249" spans="1:24" x14ac:dyDescent="0.25">
      <c r="A249" s="1" t="s">
        <v>299</v>
      </c>
      <c r="B249" s="1">
        <v>6355874.6555752195</v>
      </c>
      <c r="C249" s="1">
        <v>347978.84727568203</v>
      </c>
      <c r="D249" s="5" t="str">
        <f t="shared" si="214"/>
        <v>H3001F</v>
      </c>
      <c r="E249" s="6" t="str">
        <f t="shared" si="215"/>
        <v>Heatpl</v>
      </c>
      <c r="F249" s="14">
        <f t="shared" si="216"/>
        <v>9384</v>
      </c>
      <c r="G249" s="5" t="str">
        <f>IF(Table35[[#This Row],[Capacity1]]&lt;&gt;"-",Table35[[#This Row],[Location]]&amp;RIGHT(Table35[[#Headers],[Facility_2]],1)&amp;"F","-")</f>
        <v>H3002F</v>
      </c>
      <c r="H249" s="6" t="str">
        <f t="shared" si="217"/>
        <v>TerHea</v>
      </c>
      <c r="I249" s="23">
        <f t="shared" si="218"/>
        <v>9999</v>
      </c>
      <c r="J249" s="5" t="str">
        <f>IF(Table35[[#This Row],[Capacity1]]*X249&gt;=$Y$5,Table35[[#This Row],[Location]]&amp;RIGHT(Table35[[#Headers],[Facility_3]],1)&amp;"F","-")</f>
        <v>H3003F</v>
      </c>
      <c r="K249" s="2" t="str">
        <f t="shared" ref="K249" si="275">IF(J249="-","-","CHPpl_")</f>
        <v>CHPpl_</v>
      </c>
      <c r="L249" s="14">
        <f t="shared" si="221"/>
        <v>0</v>
      </c>
      <c r="V249" s="1">
        <v>7.82</v>
      </c>
      <c r="W249" s="1">
        <v>1</v>
      </c>
      <c r="X249" s="1">
        <v>0</v>
      </c>
    </row>
    <row r="250" spans="1:24" x14ac:dyDescent="0.25">
      <c r="A250" s="1" t="s">
        <v>152</v>
      </c>
      <c r="B250" s="1">
        <v>6624347.4314256301</v>
      </c>
      <c r="C250" s="1">
        <v>629853.48381119</v>
      </c>
      <c r="D250" s="5" t="str">
        <f t="shared" si="214"/>
        <v>H1531F</v>
      </c>
      <c r="E250" s="6" t="str">
        <f t="shared" si="215"/>
        <v>Heatpl</v>
      </c>
      <c r="F250" s="14">
        <f t="shared" si="216"/>
        <v>8976</v>
      </c>
      <c r="G250" s="5" t="str">
        <f>IF(Table35[[#This Row],[Capacity1]]&lt;&gt;"-",Table35[[#This Row],[Location]]&amp;RIGHT(Table35[[#Headers],[Facility_2]],1)&amp;"F","-")</f>
        <v>H1532F</v>
      </c>
      <c r="H250" s="6" t="str">
        <f t="shared" si="217"/>
        <v>TerHea</v>
      </c>
      <c r="I250" s="23">
        <f t="shared" si="218"/>
        <v>9999</v>
      </c>
      <c r="J250" s="5" t="str">
        <f>IF(Table35[[#This Row],[Capacity1]]*X250&gt;=$Y$5,Table35[[#This Row],[Location]]&amp;RIGHT(Table35[[#Headers],[Facility_3]],1)&amp;"F","-")</f>
        <v>H1533F</v>
      </c>
      <c r="K250" s="2" t="str">
        <f t="shared" ref="K250" si="276">IF(J250="-","-","CHPpl_")</f>
        <v>CHPpl_</v>
      </c>
      <c r="L250" s="14">
        <f t="shared" si="221"/>
        <v>0</v>
      </c>
      <c r="V250" s="1">
        <v>7.48</v>
      </c>
      <c r="W250" s="1">
        <v>1</v>
      </c>
      <c r="X250" s="1">
        <v>0</v>
      </c>
    </row>
    <row r="251" spans="1:24" x14ac:dyDescent="0.25">
      <c r="A251" s="1" t="s">
        <v>70</v>
      </c>
      <c r="B251" s="1">
        <v>7096171.9199461704</v>
      </c>
      <c r="C251" s="1">
        <v>706541.11452506797</v>
      </c>
      <c r="D251" s="5" t="str">
        <f t="shared" si="214"/>
        <v>H711F</v>
      </c>
      <c r="E251" s="6" t="str">
        <f t="shared" si="215"/>
        <v>Heatpl</v>
      </c>
      <c r="F251" s="14">
        <f t="shared" si="216"/>
        <v>8967.5999999999985</v>
      </c>
      <c r="G251" s="5" t="str">
        <f>IF(Table35[[#This Row],[Capacity1]]&lt;&gt;"-",Table35[[#This Row],[Location]]&amp;RIGHT(Table35[[#Headers],[Facility_2]],1)&amp;"F","-")</f>
        <v>H712F</v>
      </c>
      <c r="H251" s="6" t="str">
        <f t="shared" si="217"/>
        <v>TerHea</v>
      </c>
      <c r="I251" s="23">
        <f t="shared" si="218"/>
        <v>9999</v>
      </c>
      <c r="J251" s="5" t="str">
        <f>IF(Table35[[#This Row],[Capacity1]]*X251&gt;=$Y$5,Table35[[#This Row],[Location]]&amp;RIGHT(Table35[[#Headers],[Facility_3]],1)&amp;"F","-")</f>
        <v>H713F</v>
      </c>
      <c r="K251" s="2" t="str">
        <f t="shared" ref="K251" si="277">IF(J251="-","-","CHPpl_")</f>
        <v>CHPpl_</v>
      </c>
      <c r="L251" s="14">
        <f t="shared" si="221"/>
        <v>0</v>
      </c>
      <c r="V251" s="1">
        <v>7.4729999999999999</v>
      </c>
      <c r="W251" s="1">
        <v>1</v>
      </c>
      <c r="X251" s="1">
        <v>0</v>
      </c>
    </row>
    <row r="252" spans="1:24" x14ac:dyDescent="0.25">
      <c r="A252" s="1" t="s">
        <v>13</v>
      </c>
      <c r="B252" s="1">
        <v>6574899.3859999999</v>
      </c>
      <c r="C252" s="1">
        <v>661411.40899999999</v>
      </c>
      <c r="D252" s="5" t="str">
        <f t="shared" si="214"/>
        <v>H141F</v>
      </c>
      <c r="E252" s="6" t="str">
        <f t="shared" si="215"/>
        <v>Heatpl</v>
      </c>
      <c r="F252" s="14">
        <f t="shared" si="216"/>
        <v>8928</v>
      </c>
      <c r="G252" s="5" t="str">
        <f>IF(Table35[[#This Row],[Capacity1]]&lt;&gt;"-",Table35[[#This Row],[Location]]&amp;RIGHT(Table35[[#Headers],[Facility_2]],1)&amp;"F","-")</f>
        <v>H142F</v>
      </c>
      <c r="H252" s="6" t="str">
        <f t="shared" si="217"/>
        <v>TerHea</v>
      </c>
      <c r="I252" s="23">
        <f t="shared" si="218"/>
        <v>9999</v>
      </c>
      <c r="J252" s="5" t="str">
        <f>IF(Table35[[#This Row],[Capacity1]]*X252&gt;=$Y$5,Table35[[#This Row],[Location]]&amp;RIGHT(Table35[[#Headers],[Facility_3]],1)&amp;"F","-")</f>
        <v>H143F</v>
      </c>
      <c r="K252" s="2" t="str">
        <f t="shared" ref="K252" si="278">IF(J252="-","-","CHPpl_")</f>
        <v>CHPpl_</v>
      </c>
      <c r="L252" s="14">
        <f t="shared" si="221"/>
        <v>0</v>
      </c>
      <c r="V252" s="1">
        <v>7.44</v>
      </c>
      <c r="W252" s="1">
        <v>1</v>
      </c>
      <c r="X252" s="1">
        <v>0</v>
      </c>
    </row>
    <row r="253" spans="1:24" x14ac:dyDescent="0.25">
      <c r="A253" s="1" t="s">
        <v>86</v>
      </c>
      <c r="B253" s="1">
        <v>6985874.0836693496</v>
      </c>
      <c r="C253" s="1">
        <v>635784.33820552495</v>
      </c>
      <c r="D253" s="5" t="str">
        <f t="shared" si="214"/>
        <v>H871F</v>
      </c>
      <c r="E253" s="6" t="str">
        <f t="shared" si="215"/>
        <v>Heatpl</v>
      </c>
      <c r="F253" s="14">
        <f t="shared" si="216"/>
        <v>8894.1119999999992</v>
      </c>
      <c r="G253" s="5" t="str">
        <f>IF(Table35[[#This Row],[Capacity1]]&lt;&gt;"-",Table35[[#This Row],[Location]]&amp;RIGHT(Table35[[#Headers],[Facility_2]],1)&amp;"F","-")</f>
        <v>H872F</v>
      </c>
      <c r="H253" s="6" t="str">
        <f t="shared" si="217"/>
        <v>TerHea</v>
      </c>
      <c r="I253" s="23">
        <f t="shared" si="218"/>
        <v>9999</v>
      </c>
      <c r="J253" s="5" t="str">
        <f>IF(Table35[[#This Row],[Capacity1]]*X253&gt;=$Y$5,Table35[[#This Row],[Location]]&amp;RIGHT(Table35[[#Headers],[Facility_3]],1)&amp;"F","-")</f>
        <v>H873F</v>
      </c>
      <c r="K253" s="2" t="str">
        <f t="shared" ref="K253" si="279">IF(J253="-","-","CHPpl_")</f>
        <v>CHPpl_</v>
      </c>
      <c r="L253" s="14">
        <f t="shared" si="221"/>
        <v>0</v>
      </c>
      <c r="V253" s="1">
        <v>7.4117600000000001</v>
      </c>
      <c r="W253" s="1">
        <v>1</v>
      </c>
      <c r="X253" s="1">
        <v>0</v>
      </c>
    </row>
    <row r="254" spans="1:24" x14ac:dyDescent="0.25">
      <c r="A254" s="1" t="s">
        <v>82</v>
      </c>
      <c r="B254" s="1">
        <v>7012284.6663164096</v>
      </c>
      <c r="C254" s="1">
        <v>676847.84024318203</v>
      </c>
      <c r="D254" s="5" t="str">
        <f t="shared" si="214"/>
        <v>H831F</v>
      </c>
      <c r="E254" s="6" t="str">
        <f t="shared" si="215"/>
        <v>Heatpl</v>
      </c>
      <c r="F254" s="14">
        <f t="shared" si="216"/>
        <v>8878.7999999999993</v>
      </c>
      <c r="G254" s="5" t="str">
        <f>IF(Table35[[#This Row],[Capacity1]]&lt;&gt;"-",Table35[[#This Row],[Location]]&amp;RIGHT(Table35[[#Headers],[Facility_2]],1)&amp;"F","-")</f>
        <v>H832F</v>
      </c>
      <c r="H254" s="6" t="str">
        <f t="shared" si="217"/>
        <v>TerHea</v>
      </c>
      <c r="I254" s="23">
        <f t="shared" si="218"/>
        <v>9999</v>
      </c>
      <c r="J254" s="5" t="str">
        <f>IF(Table35[[#This Row],[Capacity1]]*X254&gt;=$Y$5,Table35[[#This Row],[Location]]&amp;RIGHT(Table35[[#Headers],[Facility_3]],1)&amp;"F","-")</f>
        <v>H833F</v>
      </c>
      <c r="K254" s="2" t="str">
        <f t="shared" ref="K254" si="280">IF(J254="-","-","CHPpl_")</f>
        <v>CHPpl_</v>
      </c>
      <c r="L254" s="14">
        <f t="shared" si="221"/>
        <v>0</v>
      </c>
      <c r="V254" s="1">
        <v>7.399</v>
      </c>
      <c r="W254" s="1">
        <v>1</v>
      </c>
      <c r="X254" s="1">
        <v>0</v>
      </c>
    </row>
    <row r="255" spans="1:24" x14ac:dyDescent="0.25">
      <c r="A255" s="1" t="s">
        <v>50</v>
      </c>
      <c r="B255" s="1">
        <v>7272361.5634624604</v>
      </c>
      <c r="C255" s="1">
        <v>801206.53424791503</v>
      </c>
      <c r="D255" s="5" t="str">
        <f t="shared" si="214"/>
        <v>H511F</v>
      </c>
      <c r="E255" s="6" t="str">
        <f t="shared" si="215"/>
        <v>Heatpl</v>
      </c>
      <c r="F255" s="14">
        <f t="shared" si="216"/>
        <v>8760</v>
      </c>
      <c r="G255" s="5" t="str">
        <f>IF(Table35[[#This Row],[Capacity1]]&lt;&gt;"-",Table35[[#This Row],[Location]]&amp;RIGHT(Table35[[#Headers],[Facility_2]],1)&amp;"F","-")</f>
        <v>H512F</v>
      </c>
      <c r="H255" s="6" t="str">
        <f t="shared" si="217"/>
        <v>TerHea</v>
      </c>
      <c r="I255" s="23">
        <f t="shared" si="218"/>
        <v>9999</v>
      </c>
      <c r="J255" s="5" t="str">
        <f>IF(Table35[[#This Row],[Capacity1]]*X255&gt;=$Y$5,Table35[[#This Row],[Location]]&amp;RIGHT(Table35[[#Headers],[Facility_3]],1)&amp;"F","-")</f>
        <v>H513F</v>
      </c>
      <c r="K255" s="2" t="str">
        <f t="shared" ref="K255" si="281">IF(J255="-","-","CHPpl_")</f>
        <v>CHPpl_</v>
      </c>
      <c r="L255" s="14">
        <f t="shared" si="221"/>
        <v>0</v>
      </c>
      <c r="V255" s="1">
        <v>7.3</v>
      </c>
      <c r="W255" s="1">
        <v>1</v>
      </c>
      <c r="X255" s="1">
        <v>0</v>
      </c>
    </row>
    <row r="256" spans="1:24" x14ac:dyDescent="0.25">
      <c r="A256" s="1" t="s">
        <v>154</v>
      </c>
      <c r="B256" s="1">
        <v>6616457.0644130902</v>
      </c>
      <c r="C256" s="1">
        <v>473835.13196000602</v>
      </c>
      <c r="D256" s="5" t="str">
        <f t="shared" si="214"/>
        <v>H1551F</v>
      </c>
      <c r="E256" s="6" t="str">
        <f t="shared" si="215"/>
        <v>Heatpl</v>
      </c>
      <c r="F256" s="14">
        <f t="shared" si="216"/>
        <v>8544</v>
      </c>
      <c r="G256" s="5" t="str">
        <f>IF(Table35[[#This Row],[Capacity1]]&lt;&gt;"-",Table35[[#This Row],[Location]]&amp;RIGHT(Table35[[#Headers],[Facility_2]],1)&amp;"F","-")</f>
        <v>H1552F</v>
      </c>
      <c r="H256" s="6" t="str">
        <f t="shared" si="217"/>
        <v>TerHea</v>
      </c>
      <c r="I256" s="23">
        <f t="shared" si="218"/>
        <v>9999</v>
      </c>
      <c r="J256" s="5" t="str">
        <f>IF(Table35[[#This Row],[Capacity1]]*X256&gt;=$Y$5,Table35[[#This Row],[Location]]&amp;RIGHT(Table35[[#Headers],[Facility_3]],1)&amp;"F","-")</f>
        <v>H1553F</v>
      </c>
      <c r="K256" s="2" t="str">
        <f t="shared" ref="K256" si="282">IF(J256="-","-","CHPpl_")</f>
        <v>CHPpl_</v>
      </c>
      <c r="L256" s="14">
        <f t="shared" si="221"/>
        <v>0</v>
      </c>
      <c r="V256" s="1">
        <v>7.12</v>
      </c>
      <c r="W256" s="1">
        <v>1</v>
      </c>
      <c r="X256" s="1">
        <v>0</v>
      </c>
    </row>
    <row r="257" spans="1:24" x14ac:dyDescent="0.25">
      <c r="A257" s="1" t="s">
        <v>58</v>
      </c>
      <c r="B257" s="1">
        <v>7204409.79948272</v>
      </c>
      <c r="C257" s="1">
        <v>783492.127490315</v>
      </c>
      <c r="D257" s="5" t="str">
        <f t="shared" si="214"/>
        <v>H591F</v>
      </c>
      <c r="E257" s="6" t="str">
        <f t="shared" si="215"/>
        <v>Heatpl</v>
      </c>
      <c r="F257" s="14">
        <f t="shared" si="216"/>
        <v>8396.4</v>
      </c>
      <c r="G257" s="5" t="str">
        <f>IF(Table35[[#This Row],[Capacity1]]&lt;&gt;"-",Table35[[#This Row],[Location]]&amp;RIGHT(Table35[[#Headers],[Facility_2]],1)&amp;"F","-")</f>
        <v>H592F</v>
      </c>
      <c r="H257" s="6" t="str">
        <f t="shared" si="217"/>
        <v>TerHea</v>
      </c>
      <c r="I257" s="23">
        <f t="shared" si="218"/>
        <v>9999</v>
      </c>
      <c r="J257" s="5" t="str">
        <f>IF(Table35[[#This Row],[Capacity1]]*X257&gt;=$Y$5,Table35[[#This Row],[Location]]&amp;RIGHT(Table35[[#Headers],[Facility_3]],1)&amp;"F","-")</f>
        <v>H593F</v>
      </c>
      <c r="K257" s="2" t="str">
        <f t="shared" ref="K257" si="283">IF(J257="-","-","CHPpl_")</f>
        <v>CHPpl_</v>
      </c>
      <c r="L257" s="14">
        <f t="shared" si="221"/>
        <v>0</v>
      </c>
      <c r="V257" s="1">
        <v>6.9969999999999999</v>
      </c>
      <c r="W257" s="1">
        <v>1</v>
      </c>
      <c r="X257" s="1">
        <v>0</v>
      </c>
    </row>
    <row r="258" spans="1:24" x14ac:dyDescent="0.25">
      <c r="A258" s="1" t="s">
        <v>338</v>
      </c>
      <c r="B258" s="1">
        <v>6226065.7145263497</v>
      </c>
      <c r="C258" s="1">
        <v>553018.40628751903</v>
      </c>
      <c r="D258" s="5" t="str">
        <f t="shared" ref="D258:D321" si="284">$A258&amp;RIGHT(D$1,1)&amp;"F"</f>
        <v>H3391F</v>
      </c>
      <c r="E258" s="6" t="str">
        <f t="shared" ref="E258:E321" si="285">IF(D258="-","-","Heatpl")</f>
        <v>Heatpl</v>
      </c>
      <c r="F258" s="14">
        <f t="shared" ref="F258:F321" si="286">IF(1.2*1000*$V258&gt;=$Y$3,1.2*$V258*1000,"-")</f>
        <v>8305.1999999999989</v>
      </c>
      <c r="G258" s="5" t="str">
        <f>IF(Table35[[#This Row],[Capacity1]]&lt;&gt;"-",Table35[[#This Row],[Location]]&amp;RIGHT(Table35[[#Headers],[Facility_2]],1)&amp;"F","-")</f>
        <v>H3392F</v>
      </c>
      <c r="H258" s="6" t="str">
        <f t="shared" ref="H258:H321" si="287">IF(G258="-","-","TerHea")</f>
        <v>TerHea</v>
      </c>
      <c r="I258" s="23">
        <f t="shared" ref="I258:I321" si="288">IF(H258="-",0,9999)</f>
        <v>9999</v>
      </c>
      <c r="J258" s="5" t="str">
        <f>IF(Table35[[#This Row],[Capacity1]]*X258&gt;=$Y$5,Table35[[#This Row],[Location]]&amp;RIGHT(Table35[[#Headers],[Facility_3]],1)&amp;"F","-")</f>
        <v>H3393F</v>
      </c>
      <c r="K258" s="2" t="str">
        <f t="shared" ref="K258" si="289">IF(J258="-","-","CHPpl_")</f>
        <v>CHPpl_</v>
      </c>
      <c r="L258" s="14">
        <f t="shared" si="221"/>
        <v>0</v>
      </c>
      <c r="V258" s="1">
        <v>6.9210000000000003</v>
      </c>
      <c r="W258" s="1">
        <v>1</v>
      </c>
      <c r="X258" s="1">
        <v>0</v>
      </c>
    </row>
    <row r="259" spans="1:24" x14ac:dyDescent="0.25">
      <c r="A259" s="1" t="s">
        <v>310</v>
      </c>
      <c r="B259" s="1">
        <v>6321931.3820939995</v>
      </c>
      <c r="C259" s="1">
        <v>342409.826033825</v>
      </c>
      <c r="D259" s="5" t="str">
        <f t="shared" si="284"/>
        <v>H3111F</v>
      </c>
      <c r="E259" s="6" t="str">
        <f t="shared" si="285"/>
        <v>Heatpl</v>
      </c>
      <c r="F259" s="14">
        <f t="shared" si="286"/>
        <v>7964.4</v>
      </c>
      <c r="G259" s="5" t="str">
        <f>IF(Table35[[#This Row],[Capacity1]]&lt;&gt;"-",Table35[[#This Row],[Location]]&amp;RIGHT(Table35[[#Headers],[Facility_2]],1)&amp;"F","-")</f>
        <v>H3112F</v>
      </c>
      <c r="H259" s="6" t="str">
        <f t="shared" si="287"/>
        <v>TerHea</v>
      </c>
      <c r="I259" s="23">
        <f t="shared" si="288"/>
        <v>9999</v>
      </c>
      <c r="J259" s="5" t="str">
        <f>IF(Table35[[#This Row],[Capacity1]]*X259&gt;=$Y$5,Table35[[#This Row],[Location]]&amp;RIGHT(Table35[[#Headers],[Facility_3]],1)&amp;"F","-")</f>
        <v>H3113F</v>
      </c>
      <c r="K259" s="2" t="str">
        <f t="shared" ref="K259" si="290">IF(J259="-","-","CHPpl_")</f>
        <v>CHPpl_</v>
      </c>
      <c r="L259" s="14">
        <f t="shared" ref="L259:L322" si="291">IF(K259="-","-",F259*X259)</f>
        <v>0</v>
      </c>
      <c r="V259" s="1">
        <v>6.6369999999999996</v>
      </c>
      <c r="W259" s="1">
        <v>1</v>
      </c>
      <c r="X259" s="1">
        <v>0</v>
      </c>
    </row>
    <row r="260" spans="1:24" x14ac:dyDescent="0.25">
      <c r="A260" s="1" t="s">
        <v>276</v>
      </c>
      <c r="B260" s="1">
        <v>6394487.5239621401</v>
      </c>
      <c r="C260" s="1">
        <v>559713.52303320705</v>
      </c>
      <c r="D260" s="5" t="str">
        <f t="shared" si="284"/>
        <v>H2771F</v>
      </c>
      <c r="E260" s="6" t="str">
        <f t="shared" si="285"/>
        <v>Heatpl</v>
      </c>
      <c r="F260" s="14">
        <f t="shared" si="286"/>
        <v>7606.8959999999997</v>
      </c>
      <c r="G260" s="5" t="str">
        <f>IF(Table35[[#This Row],[Capacity1]]&lt;&gt;"-",Table35[[#This Row],[Location]]&amp;RIGHT(Table35[[#Headers],[Facility_2]],1)&amp;"F","-")</f>
        <v>H2772F</v>
      </c>
      <c r="H260" s="6" t="str">
        <f t="shared" si="287"/>
        <v>TerHea</v>
      </c>
      <c r="I260" s="23">
        <f t="shared" si="288"/>
        <v>9999</v>
      </c>
      <c r="J260" s="5" t="str">
        <f>IF(Table35[[#This Row],[Capacity1]]*X260&gt;=$Y$5,Table35[[#This Row],[Location]]&amp;RIGHT(Table35[[#Headers],[Facility_3]],1)&amp;"F","-")</f>
        <v>H2773F</v>
      </c>
      <c r="K260" s="2" t="str">
        <f t="shared" ref="K260" si="292">IF(J260="-","-","CHPpl_")</f>
        <v>CHPpl_</v>
      </c>
      <c r="L260" s="14">
        <f t="shared" si="291"/>
        <v>0</v>
      </c>
      <c r="V260" s="1">
        <v>6.33908</v>
      </c>
      <c r="W260" s="1">
        <v>1</v>
      </c>
      <c r="X260" s="1">
        <v>0</v>
      </c>
    </row>
    <row r="261" spans="1:24" x14ac:dyDescent="0.25">
      <c r="A261" s="1" t="s">
        <v>197</v>
      </c>
      <c r="B261" s="1">
        <v>6553207.9145811498</v>
      </c>
      <c r="C261" s="1">
        <v>647184.29216249904</v>
      </c>
      <c r="D261" s="5" t="str">
        <f t="shared" si="284"/>
        <v>H1981F</v>
      </c>
      <c r="E261" s="6" t="str">
        <f t="shared" si="285"/>
        <v>Heatpl</v>
      </c>
      <c r="F261" s="14">
        <f t="shared" si="286"/>
        <v>7606.8</v>
      </c>
      <c r="G261" s="5" t="str">
        <f>IF(Table35[[#This Row],[Capacity1]]&lt;&gt;"-",Table35[[#This Row],[Location]]&amp;RIGHT(Table35[[#Headers],[Facility_2]],1)&amp;"F","-")</f>
        <v>H1982F</v>
      </c>
      <c r="H261" s="6" t="str">
        <f t="shared" si="287"/>
        <v>TerHea</v>
      </c>
      <c r="I261" s="23">
        <f t="shared" si="288"/>
        <v>9999</v>
      </c>
      <c r="J261" s="5" t="str">
        <f>IF(Table35[[#This Row],[Capacity1]]*X261&gt;=$Y$5,Table35[[#This Row],[Location]]&amp;RIGHT(Table35[[#Headers],[Facility_3]],1)&amp;"F","-")</f>
        <v>H1983F</v>
      </c>
      <c r="K261" s="2" t="str">
        <f t="shared" ref="K261" si="293">IF(J261="-","-","CHPpl_")</f>
        <v>CHPpl_</v>
      </c>
      <c r="L261" s="14">
        <f t="shared" si="291"/>
        <v>0</v>
      </c>
      <c r="V261" s="1">
        <v>6.3390000000000004</v>
      </c>
      <c r="W261" s="1">
        <v>1</v>
      </c>
      <c r="X261" s="1">
        <v>0</v>
      </c>
    </row>
    <row r="262" spans="1:24" x14ac:dyDescent="0.25">
      <c r="A262" s="1" t="s">
        <v>104</v>
      </c>
      <c r="B262" s="1">
        <v>6842573.3693034099</v>
      </c>
      <c r="C262" s="1">
        <v>603527.67973249196</v>
      </c>
      <c r="D262" s="5" t="str">
        <f t="shared" si="284"/>
        <v>H1051F</v>
      </c>
      <c r="E262" s="6" t="str">
        <f t="shared" si="285"/>
        <v>Heatpl</v>
      </c>
      <c r="F262" s="14">
        <f t="shared" si="286"/>
        <v>7545.6</v>
      </c>
      <c r="G262" s="5" t="str">
        <f>IF(Table35[[#This Row],[Capacity1]]&lt;&gt;"-",Table35[[#This Row],[Location]]&amp;RIGHT(Table35[[#Headers],[Facility_2]],1)&amp;"F","-")</f>
        <v>H1052F</v>
      </c>
      <c r="H262" s="6" t="str">
        <f t="shared" si="287"/>
        <v>TerHea</v>
      </c>
      <c r="I262" s="23">
        <f t="shared" si="288"/>
        <v>9999</v>
      </c>
      <c r="J262" s="5" t="str">
        <f>IF(Table35[[#This Row],[Capacity1]]*X262&gt;=$Y$5,Table35[[#This Row],[Location]]&amp;RIGHT(Table35[[#Headers],[Facility_3]],1)&amp;"F","-")</f>
        <v>H1053F</v>
      </c>
      <c r="K262" s="2" t="str">
        <f t="shared" ref="K262" si="294">IF(J262="-","-","CHPpl_")</f>
        <v>CHPpl_</v>
      </c>
      <c r="L262" s="14">
        <f t="shared" si="291"/>
        <v>0</v>
      </c>
      <c r="V262" s="1">
        <v>6.2880000000000003</v>
      </c>
      <c r="W262" s="1">
        <v>1</v>
      </c>
      <c r="X262" s="1">
        <v>0</v>
      </c>
    </row>
    <row r="263" spans="1:24" x14ac:dyDescent="0.25">
      <c r="A263" s="1" t="s">
        <v>184</v>
      </c>
      <c r="B263" s="1">
        <v>6574775.4137367699</v>
      </c>
      <c r="C263" s="1">
        <v>473439.92237568297</v>
      </c>
      <c r="D263" s="5" t="str">
        <f t="shared" si="284"/>
        <v>H1851F</v>
      </c>
      <c r="E263" s="6" t="str">
        <f t="shared" si="285"/>
        <v>Heatpl</v>
      </c>
      <c r="F263" s="14">
        <f t="shared" si="286"/>
        <v>7497.576</v>
      </c>
      <c r="G263" s="5" t="str">
        <f>IF(Table35[[#This Row],[Capacity1]]&lt;&gt;"-",Table35[[#This Row],[Location]]&amp;RIGHT(Table35[[#Headers],[Facility_2]],1)&amp;"F","-")</f>
        <v>H1852F</v>
      </c>
      <c r="H263" s="6" t="str">
        <f t="shared" si="287"/>
        <v>TerHea</v>
      </c>
      <c r="I263" s="23">
        <f t="shared" si="288"/>
        <v>9999</v>
      </c>
      <c r="J263" s="5" t="str">
        <f>IF(Table35[[#This Row],[Capacity1]]*X263&gt;=$Y$5,Table35[[#This Row],[Location]]&amp;RIGHT(Table35[[#Headers],[Facility_3]],1)&amp;"F","-")</f>
        <v>H1853F</v>
      </c>
      <c r="K263" s="2" t="str">
        <f t="shared" ref="K263" si="295">IF(J263="-","-","CHPpl_")</f>
        <v>CHPpl_</v>
      </c>
      <c r="L263" s="14">
        <f t="shared" si="291"/>
        <v>0</v>
      </c>
      <c r="V263" s="1">
        <v>6.2479800000000001</v>
      </c>
      <c r="W263" s="1">
        <v>1</v>
      </c>
      <c r="X263" s="1">
        <v>0</v>
      </c>
    </row>
    <row r="264" spans="1:24" x14ac:dyDescent="0.25">
      <c r="A264" s="1" t="s">
        <v>348</v>
      </c>
      <c r="B264" s="1">
        <v>6208583.7535627298</v>
      </c>
      <c r="C264" s="1">
        <v>454920.35438103101</v>
      </c>
      <c r="D264" s="5" t="str">
        <f t="shared" si="284"/>
        <v>H3491F</v>
      </c>
      <c r="E264" s="6" t="str">
        <f t="shared" si="285"/>
        <v>Heatpl</v>
      </c>
      <c r="F264" s="14">
        <f t="shared" si="286"/>
        <v>7355.0880000000006</v>
      </c>
      <c r="G264" s="5" t="str">
        <f>IF(Table35[[#This Row],[Capacity1]]&lt;&gt;"-",Table35[[#This Row],[Location]]&amp;RIGHT(Table35[[#Headers],[Facility_2]],1)&amp;"F","-")</f>
        <v>H3492F</v>
      </c>
      <c r="H264" s="6" t="str">
        <f t="shared" si="287"/>
        <v>TerHea</v>
      </c>
      <c r="I264" s="23">
        <f t="shared" si="288"/>
        <v>9999</v>
      </c>
      <c r="J264" s="5" t="str">
        <f>IF(Table35[[#This Row],[Capacity1]]*X264&gt;=$Y$5,Table35[[#This Row],[Location]]&amp;RIGHT(Table35[[#Headers],[Facility_3]],1)&amp;"F","-")</f>
        <v>H3493F</v>
      </c>
      <c r="K264" s="2" t="str">
        <f t="shared" ref="K264" si="296">IF(J264="-","-","CHPpl_")</f>
        <v>CHPpl_</v>
      </c>
      <c r="L264" s="14">
        <f t="shared" si="291"/>
        <v>0</v>
      </c>
      <c r="V264" s="1">
        <v>6.1292400000000002</v>
      </c>
      <c r="W264" s="1">
        <v>1</v>
      </c>
      <c r="X264" s="1">
        <v>0</v>
      </c>
    </row>
    <row r="265" spans="1:24" x14ac:dyDescent="0.25">
      <c r="A265" s="1" t="s">
        <v>294</v>
      </c>
      <c r="B265" s="1">
        <v>6365404.7377965096</v>
      </c>
      <c r="C265" s="1">
        <v>512906.07073201402</v>
      </c>
      <c r="D265" s="5" t="str">
        <f t="shared" si="284"/>
        <v>H2951F</v>
      </c>
      <c r="E265" s="6" t="str">
        <f t="shared" si="285"/>
        <v>Heatpl</v>
      </c>
      <c r="F265" s="14">
        <f t="shared" si="286"/>
        <v>7319.9999999999991</v>
      </c>
      <c r="G265" s="5" t="str">
        <f>IF(Table35[[#This Row],[Capacity1]]&lt;&gt;"-",Table35[[#This Row],[Location]]&amp;RIGHT(Table35[[#Headers],[Facility_2]],1)&amp;"F","-")</f>
        <v>H2952F</v>
      </c>
      <c r="H265" s="6" t="str">
        <f t="shared" si="287"/>
        <v>TerHea</v>
      </c>
      <c r="I265" s="23">
        <f t="shared" si="288"/>
        <v>9999</v>
      </c>
      <c r="J265" s="5" t="str">
        <f>IF(Table35[[#This Row],[Capacity1]]*X265&gt;=$Y$5,Table35[[#This Row],[Location]]&amp;RIGHT(Table35[[#Headers],[Facility_3]],1)&amp;"F","-")</f>
        <v>H2953F</v>
      </c>
      <c r="K265" s="2" t="str">
        <f t="shared" ref="K265" si="297">IF(J265="-","-","CHPpl_")</f>
        <v>CHPpl_</v>
      </c>
      <c r="L265" s="14">
        <f t="shared" si="291"/>
        <v>0</v>
      </c>
      <c r="V265" s="1">
        <v>6.1</v>
      </c>
      <c r="W265" s="1">
        <v>1</v>
      </c>
      <c r="X265" s="1">
        <v>0</v>
      </c>
    </row>
    <row r="266" spans="1:24" x14ac:dyDescent="0.25">
      <c r="A266" s="1" t="s">
        <v>336</v>
      </c>
      <c r="B266" s="1">
        <v>6226843.2173633501</v>
      </c>
      <c r="C266" s="1">
        <v>348711.85170009098</v>
      </c>
      <c r="D266" s="5" t="str">
        <f t="shared" si="284"/>
        <v>H3371F</v>
      </c>
      <c r="E266" s="6" t="str">
        <f t="shared" si="285"/>
        <v>Heatpl</v>
      </c>
      <c r="F266" s="14">
        <f t="shared" si="286"/>
        <v>7240.9439999999986</v>
      </c>
      <c r="G266" s="5" t="str">
        <f>IF(Table35[[#This Row],[Capacity1]]&lt;&gt;"-",Table35[[#This Row],[Location]]&amp;RIGHT(Table35[[#Headers],[Facility_2]],1)&amp;"F","-")</f>
        <v>H3372F</v>
      </c>
      <c r="H266" s="6" t="str">
        <f t="shared" si="287"/>
        <v>TerHea</v>
      </c>
      <c r="I266" s="23">
        <f t="shared" si="288"/>
        <v>9999</v>
      </c>
      <c r="J266" s="5" t="str">
        <f>IF(Table35[[#This Row],[Capacity1]]*X266&gt;=$Y$5,Table35[[#This Row],[Location]]&amp;RIGHT(Table35[[#Headers],[Facility_3]],1)&amp;"F","-")</f>
        <v>H3373F</v>
      </c>
      <c r="K266" s="2" t="str">
        <f t="shared" ref="K266" si="298">IF(J266="-","-","CHPpl_")</f>
        <v>CHPpl_</v>
      </c>
      <c r="L266" s="14">
        <f t="shared" si="291"/>
        <v>0</v>
      </c>
      <c r="V266" s="1">
        <v>6.0341199999999997</v>
      </c>
      <c r="W266" s="1">
        <v>1</v>
      </c>
      <c r="X266" s="1">
        <v>0</v>
      </c>
    </row>
    <row r="267" spans="1:24" x14ac:dyDescent="0.25">
      <c r="A267" s="1" t="s">
        <v>293</v>
      </c>
      <c r="B267" s="1">
        <v>6364917.23394386</v>
      </c>
      <c r="C267" s="1">
        <v>415590.42868466402</v>
      </c>
      <c r="D267" s="5" t="str">
        <f t="shared" si="284"/>
        <v>H2941F</v>
      </c>
      <c r="E267" s="6" t="str">
        <f t="shared" si="285"/>
        <v>Heatpl</v>
      </c>
      <c r="F267" s="14">
        <f t="shared" si="286"/>
        <v>7092.7079999999996</v>
      </c>
      <c r="G267" s="5" t="str">
        <f>IF(Table35[[#This Row],[Capacity1]]&lt;&gt;"-",Table35[[#This Row],[Location]]&amp;RIGHT(Table35[[#Headers],[Facility_2]],1)&amp;"F","-")</f>
        <v>H2942F</v>
      </c>
      <c r="H267" s="6" t="str">
        <f t="shared" si="287"/>
        <v>TerHea</v>
      </c>
      <c r="I267" s="23">
        <f t="shared" si="288"/>
        <v>9999</v>
      </c>
      <c r="J267" s="5" t="str">
        <f>IF(Table35[[#This Row],[Capacity1]]*X267&gt;=$Y$5,Table35[[#This Row],[Location]]&amp;RIGHT(Table35[[#Headers],[Facility_3]],1)&amp;"F","-")</f>
        <v>H2943F</v>
      </c>
      <c r="K267" s="2" t="str">
        <f t="shared" ref="K267" si="299">IF(J267="-","-","CHPpl_")</f>
        <v>CHPpl_</v>
      </c>
      <c r="L267" s="14">
        <f t="shared" si="291"/>
        <v>0</v>
      </c>
      <c r="V267" s="1">
        <v>5.91059</v>
      </c>
      <c r="W267" s="1">
        <v>1</v>
      </c>
      <c r="X267" s="1">
        <v>0</v>
      </c>
    </row>
    <row r="268" spans="1:24" x14ac:dyDescent="0.25">
      <c r="A268" s="1" t="s">
        <v>114</v>
      </c>
      <c r="B268" s="1">
        <v>6731671.6995206</v>
      </c>
      <c r="C268" s="1">
        <v>524562.46844706696</v>
      </c>
      <c r="D268" s="5" t="str">
        <f t="shared" si="284"/>
        <v>H1151F</v>
      </c>
      <c r="E268" s="6" t="str">
        <f t="shared" si="285"/>
        <v>Heatpl</v>
      </c>
      <c r="F268" s="14">
        <f t="shared" si="286"/>
        <v>6960</v>
      </c>
      <c r="G268" s="5" t="str">
        <f>IF(Table35[[#This Row],[Capacity1]]&lt;&gt;"-",Table35[[#This Row],[Location]]&amp;RIGHT(Table35[[#Headers],[Facility_2]],1)&amp;"F","-")</f>
        <v>H1152F</v>
      </c>
      <c r="H268" s="6" t="str">
        <f t="shared" si="287"/>
        <v>TerHea</v>
      </c>
      <c r="I268" s="23">
        <f t="shared" si="288"/>
        <v>9999</v>
      </c>
      <c r="J268" s="5" t="str">
        <f>IF(Table35[[#This Row],[Capacity1]]*X268&gt;=$Y$5,Table35[[#This Row],[Location]]&amp;RIGHT(Table35[[#Headers],[Facility_3]],1)&amp;"F","-")</f>
        <v>H1153F</v>
      </c>
      <c r="K268" s="2" t="str">
        <f t="shared" ref="K268" si="300">IF(J268="-","-","CHPpl_")</f>
        <v>CHPpl_</v>
      </c>
      <c r="L268" s="14">
        <f t="shared" si="291"/>
        <v>0</v>
      </c>
      <c r="V268" s="1">
        <v>5.8</v>
      </c>
      <c r="W268" s="1">
        <v>1</v>
      </c>
      <c r="X268" s="1">
        <v>0</v>
      </c>
    </row>
    <row r="269" spans="1:24" x14ac:dyDescent="0.25">
      <c r="A269" s="1" t="s">
        <v>6</v>
      </c>
      <c r="B269" s="1">
        <v>6651411</v>
      </c>
      <c r="C269" s="1">
        <v>549661.196</v>
      </c>
      <c r="D269" s="5" t="str">
        <f t="shared" si="284"/>
        <v>H71F</v>
      </c>
      <c r="E269" s="6" t="str">
        <f t="shared" si="285"/>
        <v>Heatpl</v>
      </c>
      <c r="F269" s="14">
        <f t="shared" si="286"/>
        <v>6960</v>
      </c>
      <c r="G269" s="5" t="str">
        <f>IF(Table35[[#This Row],[Capacity1]]&lt;&gt;"-",Table35[[#This Row],[Location]]&amp;RIGHT(Table35[[#Headers],[Facility_2]],1)&amp;"F","-")</f>
        <v>H72F</v>
      </c>
      <c r="H269" s="6" t="str">
        <f t="shared" si="287"/>
        <v>TerHea</v>
      </c>
      <c r="I269" s="23">
        <f t="shared" si="288"/>
        <v>9999</v>
      </c>
      <c r="J269" s="5" t="str">
        <f>IF(Table35[[#This Row],[Capacity1]]*X269&gt;=$Y$5,Table35[[#This Row],[Location]]&amp;RIGHT(Table35[[#Headers],[Facility_3]],1)&amp;"F","-")</f>
        <v>H73F</v>
      </c>
      <c r="K269" s="2" t="str">
        <f t="shared" ref="K269" si="301">IF(J269="-","-","CHPpl_")</f>
        <v>CHPpl_</v>
      </c>
      <c r="L269" s="14">
        <f t="shared" si="291"/>
        <v>0</v>
      </c>
      <c r="V269" s="1">
        <v>5.8</v>
      </c>
      <c r="W269" s="1">
        <v>1</v>
      </c>
      <c r="X269" s="1">
        <v>0</v>
      </c>
    </row>
    <row r="270" spans="1:24" x14ac:dyDescent="0.25">
      <c r="A270" s="1" t="s">
        <v>7</v>
      </c>
      <c r="B270" s="1">
        <v>6655205</v>
      </c>
      <c r="C270" s="1">
        <v>667295</v>
      </c>
      <c r="D270" s="5" t="str">
        <f t="shared" si="284"/>
        <v>H81F</v>
      </c>
      <c r="E270" s="6" t="str">
        <f t="shared" si="285"/>
        <v>Heatpl</v>
      </c>
      <c r="F270" s="14">
        <f t="shared" si="286"/>
        <v>6951.6</v>
      </c>
      <c r="G270" s="5" t="str">
        <f>IF(Table35[[#This Row],[Capacity1]]&lt;&gt;"-",Table35[[#This Row],[Location]]&amp;RIGHT(Table35[[#Headers],[Facility_2]],1)&amp;"F","-")</f>
        <v>H82F</v>
      </c>
      <c r="H270" s="6" t="str">
        <f t="shared" si="287"/>
        <v>TerHea</v>
      </c>
      <c r="I270" s="23">
        <f t="shared" si="288"/>
        <v>9999</v>
      </c>
      <c r="J270" s="5" t="str">
        <f>IF(Table35[[#This Row],[Capacity1]]*X270&gt;=$Y$5,Table35[[#This Row],[Location]]&amp;RIGHT(Table35[[#Headers],[Facility_3]],1)&amp;"F","-")</f>
        <v>H83F</v>
      </c>
      <c r="K270" s="2" t="str">
        <f t="shared" ref="K270" si="302">IF(J270="-","-","CHPpl_")</f>
        <v>CHPpl_</v>
      </c>
      <c r="L270" s="14">
        <f t="shared" si="291"/>
        <v>0</v>
      </c>
      <c r="V270" s="1">
        <v>5.7930000000000001</v>
      </c>
      <c r="W270" s="1">
        <v>1</v>
      </c>
      <c r="X270" s="1">
        <v>0</v>
      </c>
    </row>
    <row r="271" spans="1:24" x14ac:dyDescent="0.25">
      <c r="A271" s="1" t="s">
        <v>33</v>
      </c>
      <c r="B271" s="1">
        <v>6229162.1430000002</v>
      </c>
      <c r="C271" s="1">
        <v>533575.625</v>
      </c>
      <c r="D271" s="5" t="str">
        <f t="shared" si="284"/>
        <v>H341F</v>
      </c>
      <c r="E271" s="6" t="str">
        <f t="shared" si="285"/>
        <v>Heatpl</v>
      </c>
      <c r="F271" s="14">
        <f t="shared" si="286"/>
        <v>6795.6</v>
      </c>
      <c r="G271" s="5" t="str">
        <f>IF(Table35[[#This Row],[Capacity1]]&lt;&gt;"-",Table35[[#This Row],[Location]]&amp;RIGHT(Table35[[#Headers],[Facility_2]],1)&amp;"F","-")</f>
        <v>H342F</v>
      </c>
      <c r="H271" s="6" t="str">
        <f t="shared" si="287"/>
        <v>TerHea</v>
      </c>
      <c r="I271" s="23">
        <f t="shared" si="288"/>
        <v>9999</v>
      </c>
      <c r="J271" s="5" t="str">
        <f>IF(Table35[[#This Row],[Capacity1]]*X271&gt;=$Y$5,Table35[[#This Row],[Location]]&amp;RIGHT(Table35[[#Headers],[Facility_3]],1)&amp;"F","-")</f>
        <v>H343F</v>
      </c>
      <c r="K271" s="2" t="str">
        <f t="shared" ref="K271" si="303">IF(J271="-","-","CHPpl_")</f>
        <v>CHPpl_</v>
      </c>
      <c r="L271" s="14">
        <f t="shared" si="291"/>
        <v>0</v>
      </c>
      <c r="V271" s="1">
        <v>5.6630000000000003</v>
      </c>
      <c r="W271" s="1">
        <v>1</v>
      </c>
      <c r="X271" s="1">
        <v>0</v>
      </c>
    </row>
    <row r="272" spans="1:24" x14ac:dyDescent="0.25">
      <c r="A272" s="1" t="s">
        <v>203</v>
      </c>
      <c r="B272" s="1">
        <v>6535513.4272542</v>
      </c>
      <c r="C272" s="1">
        <v>448467.50395467703</v>
      </c>
      <c r="D272" s="5" t="str">
        <f t="shared" si="284"/>
        <v>H2041F</v>
      </c>
      <c r="E272" s="6" t="str">
        <f t="shared" si="285"/>
        <v>Heatpl</v>
      </c>
      <c r="F272" s="14">
        <f t="shared" si="286"/>
        <v>6755.9999999999991</v>
      </c>
      <c r="G272" s="5" t="str">
        <f>IF(Table35[[#This Row],[Capacity1]]&lt;&gt;"-",Table35[[#This Row],[Location]]&amp;RIGHT(Table35[[#Headers],[Facility_2]],1)&amp;"F","-")</f>
        <v>H2042F</v>
      </c>
      <c r="H272" s="6" t="str">
        <f t="shared" si="287"/>
        <v>TerHea</v>
      </c>
      <c r="I272" s="23">
        <f t="shared" si="288"/>
        <v>9999</v>
      </c>
      <c r="J272" s="5" t="str">
        <f>IF(Table35[[#This Row],[Capacity1]]*X272&gt;=$Y$5,Table35[[#This Row],[Location]]&amp;RIGHT(Table35[[#Headers],[Facility_3]],1)&amp;"F","-")</f>
        <v>H2043F</v>
      </c>
      <c r="K272" s="2" t="str">
        <f t="shared" ref="K272" si="304">IF(J272="-","-","CHPpl_")</f>
        <v>CHPpl_</v>
      </c>
      <c r="L272" s="14">
        <f t="shared" si="291"/>
        <v>0</v>
      </c>
      <c r="V272" s="1">
        <v>5.63</v>
      </c>
      <c r="W272" s="1">
        <v>1</v>
      </c>
      <c r="X272" s="1">
        <v>0</v>
      </c>
    </row>
    <row r="273" spans="1:24" x14ac:dyDescent="0.25">
      <c r="A273" s="1" t="s">
        <v>236</v>
      </c>
      <c r="B273" s="1">
        <v>6460070.8804642102</v>
      </c>
      <c r="C273" s="1">
        <v>393603.25299407402</v>
      </c>
      <c r="D273" s="5" t="str">
        <f t="shared" si="284"/>
        <v>H2371F</v>
      </c>
      <c r="E273" s="6" t="str">
        <f t="shared" si="285"/>
        <v>Heatpl</v>
      </c>
      <c r="F273" s="14">
        <f t="shared" si="286"/>
        <v>6672.0000000000009</v>
      </c>
      <c r="G273" s="5" t="str">
        <f>IF(Table35[[#This Row],[Capacity1]]&lt;&gt;"-",Table35[[#This Row],[Location]]&amp;RIGHT(Table35[[#Headers],[Facility_2]],1)&amp;"F","-")</f>
        <v>H2372F</v>
      </c>
      <c r="H273" s="6" t="str">
        <f t="shared" si="287"/>
        <v>TerHea</v>
      </c>
      <c r="I273" s="23">
        <f t="shared" si="288"/>
        <v>9999</v>
      </c>
      <c r="J273" s="5" t="str">
        <f>IF(Table35[[#This Row],[Capacity1]]*X273&gt;=$Y$5,Table35[[#This Row],[Location]]&amp;RIGHT(Table35[[#Headers],[Facility_3]],1)&amp;"F","-")</f>
        <v>H2373F</v>
      </c>
      <c r="K273" s="2" t="str">
        <f t="shared" ref="K273" si="305">IF(J273="-","-","CHPpl_")</f>
        <v>CHPpl_</v>
      </c>
      <c r="L273" s="14">
        <f t="shared" si="291"/>
        <v>0</v>
      </c>
      <c r="V273" s="1">
        <v>5.5600000000000005</v>
      </c>
      <c r="W273" s="1">
        <v>1</v>
      </c>
      <c r="X273" s="1">
        <v>0</v>
      </c>
    </row>
    <row r="274" spans="1:24" x14ac:dyDescent="0.25">
      <c r="A274" s="1" t="s">
        <v>304</v>
      </c>
      <c r="B274" s="1">
        <v>6341636.1455781898</v>
      </c>
      <c r="C274" s="1">
        <v>474390.07399252697</v>
      </c>
      <c r="D274" s="5" t="str">
        <f t="shared" si="284"/>
        <v>H3051F</v>
      </c>
      <c r="E274" s="6" t="str">
        <f t="shared" si="285"/>
        <v>Heatpl</v>
      </c>
      <c r="F274" s="14">
        <f t="shared" si="286"/>
        <v>6639.5279999999993</v>
      </c>
      <c r="G274" s="5" t="str">
        <f>IF(Table35[[#This Row],[Capacity1]]&lt;&gt;"-",Table35[[#This Row],[Location]]&amp;RIGHT(Table35[[#Headers],[Facility_2]],1)&amp;"F","-")</f>
        <v>H3052F</v>
      </c>
      <c r="H274" s="6" t="str">
        <f t="shared" si="287"/>
        <v>TerHea</v>
      </c>
      <c r="I274" s="23">
        <f t="shared" si="288"/>
        <v>9999</v>
      </c>
      <c r="J274" s="5" t="str">
        <f>IF(Table35[[#This Row],[Capacity1]]*X274&gt;=$Y$5,Table35[[#This Row],[Location]]&amp;RIGHT(Table35[[#Headers],[Facility_3]],1)&amp;"F","-")</f>
        <v>H3053F</v>
      </c>
      <c r="K274" s="2" t="str">
        <f t="shared" ref="K274" si="306">IF(J274="-","-","CHPpl_")</f>
        <v>CHPpl_</v>
      </c>
      <c r="L274" s="14">
        <f t="shared" si="291"/>
        <v>0</v>
      </c>
      <c r="V274" s="1">
        <v>5.53294</v>
      </c>
      <c r="W274" s="1">
        <v>1</v>
      </c>
      <c r="X274" s="1">
        <v>0</v>
      </c>
    </row>
    <row r="275" spans="1:24" x14ac:dyDescent="0.25">
      <c r="A275" s="1" t="s">
        <v>125</v>
      </c>
      <c r="B275" s="1">
        <v>6700781.1919630896</v>
      </c>
      <c r="C275" s="1">
        <v>530308.39236227504</v>
      </c>
      <c r="D275" s="5" t="str">
        <f t="shared" si="284"/>
        <v>H1261F</v>
      </c>
      <c r="E275" s="6" t="str">
        <f t="shared" si="285"/>
        <v>Heatpl</v>
      </c>
      <c r="F275" s="14">
        <f t="shared" si="286"/>
        <v>6565.2</v>
      </c>
      <c r="G275" s="5" t="str">
        <f>IF(Table35[[#This Row],[Capacity1]]&lt;&gt;"-",Table35[[#This Row],[Location]]&amp;RIGHT(Table35[[#Headers],[Facility_2]],1)&amp;"F","-")</f>
        <v>H1262F</v>
      </c>
      <c r="H275" s="6" t="str">
        <f t="shared" si="287"/>
        <v>TerHea</v>
      </c>
      <c r="I275" s="23">
        <f t="shared" si="288"/>
        <v>9999</v>
      </c>
      <c r="J275" s="5" t="str">
        <f>IF(Table35[[#This Row],[Capacity1]]*X275&gt;=$Y$5,Table35[[#This Row],[Location]]&amp;RIGHT(Table35[[#Headers],[Facility_3]],1)&amp;"F","-")</f>
        <v>H1263F</v>
      </c>
      <c r="K275" s="2" t="str">
        <f t="shared" ref="K275" si="307">IF(J275="-","-","CHPpl_")</f>
        <v>CHPpl_</v>
      </c>
      <c r="L275" s="14">
        <f t="shared" si="291"/>
        <v>0</v>
      </c>
      <c r="V275" s="1">
        <v>5.4710000000000001</v>
      </c>
      <c r="W275" s="1">
        <v>1</v>
      </c>
      <c r="X275" s="1">
        <v>0</v>
      </c>
    </row>
    <row r="276" spans="1:24" x14ac:dyDescent="0.25">
      <c r="A276" s="1" t="s">
        <v>143</v>
      </c>
      <c r="B276" s="1">
        <v>6657000.3535310496</v>
      </c>
      <c r="C276" s="1">
        <v>531460.09449907998</v>
      </c>
      <c r="D276" s="5" t="str">
        <f t="shared" si="284"/>
        <v>H1441F</v>
      </c>
      <c r="E276" s="6" t="str">
        <f t="shared" si="285"/>
        <v>Heatpl</v>
      </c>
      <c r="F276" s="14">
        <f t="shared" si="286"/>
        <v>6529.4160000000002</v>
      </c>
      <c r="G276" s="5" t="str">
        <f>IF(Table35[[#This Row],[Capacity1]]&lt;&gt;"-",Table35[[#This Row],[Location]]&amp;RIGHT(Table35[[#Headers],[Facility_2]],1)&amp;"F","-")</f>
        <v>H1442F</v>
      </c>
      <c r="H276" s="6" t="str">
        <f t="shared" si="287"/>
        <v>TerHea</v>
      </c>
      <c r="I276" s="23">
        <f t="shared" si="288"/>
        <v>9999</v>
      </c>
      <c r="J276" s="5" t="str">
        <f>IF(Table35[[#This Row],[Capacity1]]*X276&gt;=$Y$5,Table35[[#This Row],[Location]]&amp;RIGHT(Table35[[#Headers],[Facility_3]],1)&amp;"F","-")</f>
        <v>H1443F</v>
      </c>
      <c r="K276" s="2" t="str">
        <f t="shared" ref="K276" si="308">IF(J276="-","-","CHPpl_")</f>
        <v>CHPpl_</v>
      </c>
      <c r="L276" s="14">
        <f t="shared" si="291"/>
        <v>0</v>
      </c>
      <c r="V276" s="1">
        <v>5.4411800000000001</v>
      </c>
      <c r="W276" s="1">
        <v>1</v>
      </c>
      <c r="X276" s="1">
        <v>0</v>
      </c>
    </row>
    <row r="277" spans="1:24" x14ac:dyDescent="0.25">
      <c r="A277" s="1" t="s">
        <v>239</v>
      </c>
      <c r="B277" s="1">
        <v>6452318.0126762902</v>
      </c>
      <c r="C277" s="1">
        <v>319054.51244884299</v>
      </c>
      <c r="D277" s="5" t="str">
        <f t="shared" si="284"/>
        <v>H2401F</v>
      </c>
      <c r="E277" s="6" t="str">
        <f t="shared" si="285"/>
        <v>Heatpl</v>
      </c>
      <c r="F277" s="14">
        <f t="shared" si="286"/>
        <v>6501.5999999999995</v>
      </c>
      <c r="G277" s="5" t="str">
        <f>IF(Table35[[#This Row],[Capacity1]]&lt;&gt;"-",Table35[[#This Row],[Location]]&amp;RIGHT(Table35[[#Headers],[Facility_2]],1)&amp;"F","-")</f>
        <v>H2402F</v>
      </c>
      <c r="H277" s="6" t="str">
        <f t="shared" si="287"/>
        <v>TerHea</v>
      </c>
      <c r="I277" s="23">
        <f t="shared" si="288"/>
        <v>9999</v>
      </c>
      <c r="J277" s="5" t="str">
        <f>IF(Table35[[#This Row],[Capacity1]]*X277&gt;=$Y$5,Table35[[#This Row],[Location]]&amp;RIGHT(Table35[[#Headers],[Facility_3]],1)&amp;"F","-")</f>
        <v>H2403F</v>
      </c>
      <c r="K277" s="2" t="str">
        <f t="shared" ref="K277" si="309">IF(J277="-","-","CHPpl_")</f>
        <v>CHPpl_</v>
      </c>
      <c r="L277" s="14">
        <f t="shared" si="291"/>
        <v>0</v>
      </c>
      <c r="V277" s="1">
        <v>5.4180000000000001</v>
      </c>
      <c r="W277" s="1">
        <v>1</v>
      </c>
      <c r="X277" s="1">
        <v>0</v>
      </c>
    </row>
    <row r="278" spans="1:24" x14ac:dyDescent="0.25">
      <c r="A278" s="1" t="s">
        <v>188</v>
      </c>
      <c r="B278" s="1">
        <v>6571803.3609952796</v>
      </c>
      <c r="C278" s="1">
        <v>595625.86001840502</v>
      </c>
      <c r="D278" s="5" t="str">
        <f t="shared" si="284"/>
        <v>H1891F</v>
      </c>
      <c r="E278" s="6" t="str">
        <f t="shared" si="285"/>
        <v>Heatpl</v>
      </c>
      <c r="F278" s="14">
        <f t="shared" si="286"/>
        <v>6458.4</v>
      </c>
      <c r="G278" s="5" t="str">
        <f>IF(Table35[[#This Row],[Capacity1]]&lt;&gt;"-",Table35[[#This Row],[Location]]&amp;RIGHT(Table35[[#Headers],[Facility_2]],1)&amp;"F","-")</f>
        <v>H1892F</v>
      </c>
      <c r="H278" s="6" t="str">
        <f t="shared" si="287"/>
        <v>TerHea</v>
      </c>
      <c r="I278" s="23">
        <f t="shared" si="288"/>
        <v>9999</v>
      </c>
      <c r="J278" s="5" t="str">
        <f>IF(Table35[[#This Row],[Capacity1]]*X278&gt;=$Y$5,Table35[[#This Row],[Location]]&amp;RIGHT(Table35[[#Headers],[Facility_3]],1)&amp;"F","-")</f>
        <v>H1893F</v>
      </c>
      <c r="K278" s="2" t="str">
        <f t="shared" ref="K278" si="310">IF(J278="-","-","CHPpl_")</f>
        <v>CHPpl_</v>
      </c>
      <c r="L278" s="14">
        <f t="shared" si="291"/>
        <v>0</v>
      </c>
      <c r="V278" s="1">
        <v>5.3819999999999997</v>
      </c>
      <c r="W278" s="1">
        <v>1</v>
      </c>
      <c r="X278" s="1">
        <v>0</v>
      </c>
    </row>
    <row r="279" spans="1:24" x14ac:dyDescent="0.25">
      <c r="A279" s="1" t="s">
        <v>224</v>
      </c>
      <c r="B279" s="1">
        <v>6479885.4126971401</v>
      </c>
      <c r="C279" s="1">
        <v>434106.99523757101</v>
      </c>
      <c r="D279" s="5" t="str">
        <f t="shared" si="284"/>
        <v>H2251F</v>
      </c>
      <c r="E279" s="6" t="str">
        <f t="shared" si="285"/>
        <v>Heatpl</v>
      </c>
      <c r="F279" s="14">
        <f t="shared" si="286"/>
        <v>6407.9999999999991</v>
      </c>
      <c r="G279" s="5" t="str">
        <f>IF(Table35[[#This Row],[Capacity1]]&lt;&gt;"-",Table35[[#This Row],[Location]]&amp;RIGHT(Table35[[#Headers],[Facility_2]],1)&amp;"F","-")</f>
        <v>H2252F</v>
      </c>
      <c r="H279" s="6" t="str">
        <f t="shared" si="287"/>
        <v>TerHea</v>
      </c>
      <c r="I279" s="23">
        <f t="shared" si="288"/>
        <v>9999</v>
      </c>
      <c r="J279" s="5" t="str">
        <f>IF(Table35[[#This Row],[Capacity1]]*X279&gt;=$Y$5,Table35[[#This Row],[Location]]&amp;RIGHT(Table35[[#Headers],[Facility_3]],1)&amp;"F","-")</f>
        <v>H2253F</v>
      </c>
      <c r="K279" s="2" t="str">
        <f t="shared" ref="K279" si="311">IF(J279="-","-","CHPpl_")</f>
        <v>CHPpl_</v>
      </c>
      <c r="L279" s="14">
        <f t="shared" si="291"/>
        <v>0</v>
      </c>
      <c r="V279" s="1">
        <v>5.34</v>
      </c>
      <c r="W279" s="1">
        <v>1</v>
      </c>
      <c r="X279" s="1">
        <v>0</v>
      </c>
    </row>
    <row r="280" spans="1:24" x14ac:dyDescent="0.25">
      <c r="A280" s="1" t="s">
        <v>37</v>
      </c>
      <c r="B280" s="1">
        <v>6160853.4469999997</v>
      </c>
      <c r="C280" s="1">
        <v>385075.97899999999</v>
      </c>
      <c r="D280" s="5" t="str">
        <f t="shared" si="284"/>
        <v>H381F</v>
      </c>
      <c r="E280" s="6" t="str">
        <f t="shared" si="285"/>
        <v>Heatpl</v>
      </c>
      <c r="F280" s="14">
        <f t="shared" si="286"/>
        <v>6359.9999999999991</v>
      </c>
      <c r="G280" s="5" t="str">
        <f>IF(Table35[[#This Row],[Capacity1]]&lt;&gt;"-",Table35[[#This Row],[Location]]&amp;RIGHT(Table35[[#Headers],[Facility_2]],1)&amp;"F","-")</f>
        <v>H382F</v>
      </c>
      <c r="H280" s="6" t="str">
        <f t="shared" si="287"/>
        <v>TerHea</v>
      </c>
      <c r="I280" s="23">
        <f t="shared" si="288"/>
        <v>9999</v>
      </c>
      <c r="J280" s="5" t="str">
        <f>IF(Table35[[#This Row],[Capacity1]]*X280&gt;=$Y$5,Table35[[#This Row],[Location]]&amp;RIGHT(Table35[[#Headers],[Facility_3]],1)&amp;"F","-")</f>
        <v>H383F</v>
      </c>
      <c r="K280" s="2" t="str">
        <f t="shared" ref="K280" si="312">IF(J280="-","-","CHPpl_")</f>
        <v>CHPpl_</v>
      </c>
      <c r="L280" s="14">
        <f t="shared" si="291"/>
        <v>0</v>
      </c>
      <c r="V280" s="1">
        <v>5.3</v>
      </c>
      <c r="W280" s="1">
        <v>1</v>
      </c>
      <c r="X280" s="1">
        <v>0</v>
      </c>
    </row>
    <row r="281" spans="1:24" x14ac:dyDescent="0.25">
      <c r="A281" s="1" t="s">
        <v>117</v>
      </c>
      <c r="B281" s="1">
        <v>6726125.9334820202</v>
      </c>
      <c r="C281" s="1">
        <v>526388.95212933398</v>
      </c>
      <c r="D281" s="5" t="str">
        <f t="shared" si="284"/>
        <v>H1181F</v>
      </c>
      <c r="E281" s="6" t="str">
        <f t="shared" si="285"/>
        <v>Heatpl</v>
      </c>
      <c r="F281" s="14">
        <f t="shared" si="286"/>
        <v>6000</v>
      </c>
      <c r="G281" s="5" t="str">
        <f>IF(Table35[[#This Row],[Capacity1]]&lt;&gt;"-",Table35[[#This Row],[Location]]&amp;RIGHT(Table35[[#Headers],[Facility_2]],1)&amp;"F","-")</f>
        <v>H1182F</v>
      </c>
      <c r="H281" s="6" t="str">
        <f t="shared" si="287"/>
        <v>TerHea</v>
      </c>
      <c r="I281" s="23">
        <f t="shared" si="288"/>
        <v>9999</v>
      </c>
      <c r="J281" s="5" t="str">
        <f>IF(Table35[[#This Row],[Capacity1]]*X281&gt;=$Y$5,Table35[[#This Row],[Location]]&amp;RIGHT(Table35[[#Headers],[Facility_3]],1)&amp;"F","-")</f>
        <v>H1183F</v>
      </c>
      <c r="K281" s="2" t="str">
        <f t="shared" ref="K281" si="313">IF(J281="-","-","CHPpl_")</f>
        <v>CHPpl_</v>
      </c>
      <c r="L281" s="14">
        <f t="shared" si="291"/>
        <v>0</v>
      </c>
      <c r="V281" s="1">
        <v>5</v>
      </c>
      <c r="W281" s="1">
        <v>1</v>
      </c>
      <c r="X281" s="1">
        <v>0</v>
      </c>
    </row>
    <row r="282" spans="1:24" x14ac:dyDescent="0.25">
      <c r="A282" s="1" t="s">
        <v>74</v>
      </c>
      <c r="B282" s="1">
        <v>7039238.5708794799</v>
      </c>
      <c r="C282" s="1">
        <v>654662.70910208998</v>
      </c>
      <c r="D282" s="5" t="str">
        <f t="shared" si="284"/>
        <v>H751F</v>
      </c>
      <c r="E282" s="6" t="str">
        <f t="shared" si="285"/>
        <v>Heatpl</v>
      </c>
      <c r="F282" s="14">
        <f t="shared" si="286"/>
        <v>5984.9639999999999</v>
      </c>
      <c r="G282" s="5" t="str">
        <f>IF(Table35[[#This Row],[Capacity1]]&lt;&gt;"-",Table35[[#This Row],[Location]]&amp;RIGHT(Table35[[#Headers],[Facility_2]],1)&amp;"F","-")</f>
        <v>H752F</v>
      </c>
      <c r="H282" s="6" t="str">
        <f t="shared" si="287"/>
        <v>TerHea</v>
      </c>
      <c r="I282" s="23">
        <f t="shared" si="288"/>
        <v>9999</v>
      </c>
      <c r="J282" s="5" t="str">
        <f>IF(Table35[[#This Row],[Capacity1]]*X282&gt;=$Y$5,Table35[[#This Row],[Location]]&amp;RIGHT(Table35[[#Headers],[Facility_3]],1)&amp;"F","-")</f>
        <v>H753F</v>
      </c>
      <c r="K282" s="2" t="str">
        <f t="shared" ref="K282" si="314">IF(J282="-","-","CHPpl_")</f>
        <v>CHPpl_</v>
      </c>
      <c r="L282" s="14">
        <f t="shared" si="291"/>
        <v>0</v>
      </c>
      <c r="V282" s="1">
        <v>4.9874700000000001</v>
      </c>
      <c r="W282" s="1">
        <v>1</v>
      </c>
      <c r="X282" s="1">
        <v>0</v>
      </c>
    </row>
    <row r="283" spans="1:24" x14ac:dyDescent="0.25">
      <c r="A283" s="1" t="s">
        <v>135</v>
      </c>
      <c r="B283" s="1">
        <v>6664634.4130483801</v>
      </c>
      <c r="C283" s="1">
        <v>388648.04353927402</v>
      </c>
      <c r="D283" s="5" t="str">
        <f t="shared" si="284"/>
        <v>H1361F</v>
      </c>
      <c r="E283" s="6" t="str">
        <f t="shared" si="285"/>
        <v>Heatpl</v>
      </c>
      <c r="F283" s="14">
        <f t="shared" si="286"/>
        <v>5723.9999999999991</v>
      </c>
      <c r="G283" s="5" t="str">
        <f>IF(Table35[[#This Row],[Capacity1]]&lt;&gt;"-",Table35[[#This Row],[Location]]&amp;RIGHT(Table35[[#Headers],[Facility_2]],1)&amp;"F","-")</f>
        <v>H1362F</v>
      </c>
      <c r="H283" s="6" t="str">
        <f t="shared" si="287"/>
        <v>TerHea</v>
      </c>
      <c r="I283" s="23">
        <f t="shared" si="288"/>
        <v>9999</v>
      </c>
      <c r="J283" s="5" t="str">
        <f>IF(Table35[[#This Row],[Capacity1]]*X283&gt;=$Y$5,Table35[[#This Row],[Location]]&amp;RIGHT(Table35[[#Headers],[Facility_3]],1)&amp;"F","-")</f>
        <v>H1363F</v>
      </c>
      <c r="K283" s="2" t="str">
        <f t="shared" ref="K283" si="315">IF(J283="-","-","CHPpl_")</f>
        <v>CHPpl_</v>
      </c>
      <c r="L283" s="14">
        <f t="shared" si="291"/>
        <v>0</v>
      </c>
      <c r="V283" s="1">
        <v>4.7699999999999996</v>
      </c>
      <c r="W283" s="1">
        <v>1</v>
      </c>
      <c r="X283" s="1">
        <v>0</v>
      </c>
    </row>
    <row r="284" spans="1:24" x14ac:dyDescent="0.25">
      <c r="A284" s="1" t="s">
        <v>99</v>
      </c>
      <c r="B284" s="1">
        <v>6861985.8293596301</v>
      </c>
      <c r="C284" s="1">
        <v>580991.58224893606</v>
      </c>
      <c r="D284" s="5" t="str">
        <f t="shared" si="284"/>
        <v>H1001F</v>
      </c>
      <c r="E284" s="6" t="str">
        <f t="shared" si="285"/>
        <v>Heatpl</v>
      </c>
      <c r="F284" s="14">
        <f t="shared" si="286"/>
        <v>5399.9999999999991</v>
      </c>
      <c r="G284" s="5" t="str">
        <f>IF(Table35[[#This Row],[Capacity1]]&lt;&gt;"-",Table35[[#This Row],[Location]]&amp;RIGHT(Table35[[#Headers],[Facility_2]],1)&amp;"F","-")</f>
        <v>H1002F</v>
      </c>
      <c r="H284" s="6" t="str">
        <f t="shared" si="287"/>
        <v>TerHea</v>
      </c>
      <c r="I284" s="23">
        <f t="shared" si="288"/>
        <v>9999</v>
      </c>
      <c r="J284" s="5" t="str">
        <f>IF(Table35[[#This Row],[Capacity1]]*X284&gt;=$Y$5,Table35[[#This Row],[Location]]&amp;RIGHT(Table35[[#Headers],[Facility_3]],1)&amp;"F","-")</f>
        <v>H1003F</v>
      </c>
      <c r="K284" s="2" t="str">
        <f t="shared" ref="K284" si="316">IF(J284="-","-","CHPpl_")</f>
        <v>CHPpl_</v>
      </c>
      <c r="L284" s="14">
        <f t="shared" si="291"/>
        <v>0</v>
      </c>
      <c r="V284" s="1">
        <v>4.5</v>
      </c>
      <c r="W284" s="1">
        <v>1</v>
      </c>
      <c r="X284" s="1">
        <v>0</v>
      </c>
    </row>
    <row r="285" spans="1:24" x14ac:dyDescent="0.25">
      <c r="A285" s="1" t="s">
        <v>285</v>
      </c>
      <c r="B285" s="1">
        <v>6386711.5079482803</v>
      </c>
      <c r="C285" s="1">
        <v>524697.98911931901</v>
      </c>
      <c r="D285" s="5" t="str">
        <f t="shared" si="284"/>
        <v>H2861F</v>
      </c>
      <c r="E285" s="6" t="str">
        <f t="shared" si="285"/>
        <v>Heatpl</v>
      </c>
      <c r="F285" s="14">
        <f t="shared" si="286"/>
        <v>5364</v>
      </c>
      <c r="G285" s="5" t="str">
        <f>IF(Table35[[#This Row],[Capacity1]]&lt;&gt;"-",Table35[[#This Row],[Location]]&amp;RIGHT(Table35[[#Headers],[Facility_2]],1)&amp;"F","-")</f>
        <v>H2862F</v>
      </c>
      <c r="H285" s="6" t="str">
        <f t="shared" si="287"/>
        <v>TerHea</v>
      </c>
      <c r="I285" s="23">
        <f t="shared" si="288"/>
        <v>9999</v>
      </c>
      <c r="J285" s="5" t="str">
        <f>IF(Table35[[#This Row],[Capacity1]]*X285&gt;=$Y$5,Table35[[#This Row],[Location]]&amp;RIGHT(Table35[[#Headers],[Facility_3]],1)&amp;"F","-")</f>
        <v>H2863F</v>
      </c>
      <c r="K285" s="2" t="str">
        <f t="shared" ref="K285" si="317">IF(J285="-","-","CHPpl_")</f>
        <v>CHPpl_</v>
      </c>
      <c r="L285" s="14">
        <f t="shared" si="291"/>
        <v>0</v>
      </c>
      <c r="V285" s="1">
        <v>4.47</v>
      </c>
      <c r="W285" s="1">
        <v>1</v>
      </c>
      <c r="X285" s="1">
        <v>0</v>
      </c>
    </row>
    <row r="286" spans="1:24" x14ac:dyDescent="0.25">
      <c r="A286" s="1" t="s">
        <v>301</v>
      </c>
      <c r="B286" s="1">
        <v>6346717.42805536</v>
      </c>
      <c r="C286" s="1">
        <v>339099.30595215701</v>
      </c>
      <c r="D286" s="5" t="str">
        <f t="shared" si="284"/>
        <v>H3021F</v>
      </c>
      <c r="E286" s="6" t="str">
        <f t="shared" si="285"/>
        <v>Heatpl</v>
      </c>
      <c r="F286" s="14">
        <f t="shared" si="286"/>
        <v>5306.3999999999987</v>
      </c>
      <c r="G286" s="5" t="str">
        <f>IF(Table35[[#This Row],[Capacity1]]&lt;&gt;"-",Table35[[#This Row],[Location]]&amp;RIGHT(Table35[[#Headers],[Facility_2]],1)&amp;"F","-")</f>
        <v>H3022F</v>
      </c>
      <c r="H286" s="6" t="str">
        <f t="shared" si="287"/>
        <v>TerHea</v>
      </c>
      <c r="I286" s="23">
        <f t="shared" si="288"/>
        <v>9999</v>
      </c>
      <c r="J286" s="5" t="str">
        <f>IF(Table35[[#This Row],[Capacity1]]*X286&gt;=$Y$5,Table35[[#This Row],[Location]]&amp;RIGHT(Table35[[#Headers],[Facility_3]],1)&amp;"F","-")</f>
        <v>H3023F</v>
      </c>
      <c r="K286" s="2" t="str">
        <f t="shared" ref="K286" si="318">IF(J286="-","-","CHPpl_")</f>
        <v>CHPpl_</v>
      </c>
      <c r="L286" s="14">
        <f t="shared" si="291"/>
        <v>0</v>
      </c>
      <c r="V286" s="1">
        <v>4.4219999999999997</v>
      </c>
      <c r="W286" s="1">
        <v>1</v>
      </c>
      <c r="X286" s="1">
        <v>0</v>
      </c>
    </row>
    <row r="287" spans="1:24" x14ac:dyDescent="0.25">
      <c r="A287" s="1" t="s">
        <v>25</v>
      </c>
      <c r="B287" s="1">
        <v>6388105.102</v>
      </c>
      <c r="C287" s="1">
        <v>449847.25699999998</v>
      </c>
      <c r="D287" s="5" t="str">
        <f t="shared" si="284"/>
        <v>H261F</v>
      </c>
      <c r="E287" s="6" t="str">
        <f t="shared" si="285"/>
        <v>Heatpl</v>
      </c>
      <c r="F287" s="14">
        <f t="shared" si="286"/>
        <v>5244</v>
      </c>
      <c r="G287" s="5" t="str">
        <f>IF(Table35[[#This Row],[Capacity1]]&lt;&gt;"-",Table35[[#This Row],[Location]]&amp;RIGHT(Table35[[#Headers],[Facility_2]],1)&amp;"F","-")</f>
        <v>H262F</v>
      </c>
      <c r="H287" s="6" t="str">
        <f t="shared" si="287"/>
        <v>TerHea</v>
      </c>
      <c r="I287" s="23">
        <f t="shared" si="288"/>
        <v>9999</v>
      </c>
      <c r="J287" s="5" t="str">
        <f>IF(Table35[[#This Row],[Capacity1]]*X287&gt;=$Y$5,Table35[[#This Row],[Location]]&amp;RIGHT(Table35[[#Headers],[Facility_3]],1)&amp;"F","-")</f>
        <v>H263F</v>
      </c>
      <c r="K287" s="2" t="str">
        <f t="shared" ref="K287" si="319">IF(J287="-","-","CHPpl_")</f>
        <v>CHPpl_</v>
      </c>
      <c r="L287" s="14">
        <f t="shared" si="291"/>
        <v>0</v>
      </c>
      <c r="V287" s="1">
        <v>4.37</v>
      </c>
      <c r="W287" s="1">
        <v>1</v>
      </c>
      <c r="X287" s="1">
        <v>0</v>
      </c>
    </row>
    <row r="288" spans="1:24" x14ac:dyDescent="0.25">
      <c r="A288" s="1" t="s">
        <v>107</v>
      </c>
      <c r="B288" s="1">
        <v>6801228.6378680402</v>
      </c>
      <c r="C288" s="1">
        <v>574564.78325228801</v>
      </c>
      <c r="D288" s="5" t="str">
        <f t="shared" si="284"/>
        <v>H1081F</v>
      </c>
      <c r="E288" s="6" t="str">
        <f t="shared" si="285"/>
        <v>Heatpl</v>
      </c>
      <c r="F288" s="14">
        <f t="shared" si="286"/>
        <v>5124.0047999999988</v>
      </c>
      <c r="G288" s="5" t="str">
        <f>IF(Table35[[#This Row],[Capacity1]]&lt;&gt;"-",Table35[[#This Row],[Location]]&amp;RIGHT(Table35[[#Headers],[Facility_2]],1)&amp;"F","-")</f>
        <v>H1082F</v>
      </c>
      <c r="H288" s="6" t="str">
        <f t="shared" si="287"/>
        <v>TerHea</v>
      </c>
      <c r="I288" s="23">
        <f t="shared" si="288"/>
        <v>9999</v>
      </c>
      <c r="J288" s="5" t="str">
        <f>IF(Table35[[#This Row],[Capacity1]]*X288&gt;=$Y$5,Table35[[#This Row],[Location]]&amp;RIGHT(Table35[[#Headers],[Facility_3]],1)&amp;"F","-")</f>
        <v>H1083F</v>
      </c>
      <c r="K288" s="2" t="str">
        <f t="shared" ref="K288" si="320">IF(J288="-","-","CHPpl_")</f>
        <v>CHPpl_</v>
      </c>
      <c r="L288" s="14">
        <f t="shared" si="291"/>
        <v>0</v>
      </c>
      <c r="V288" s="1">
        <v>4.2700039999999992</v>
      </c>
      <c r="W288" s="1">
        <v>1</v>
      </c>
      <c r="X288" s="1">
        <v>0</v>
      </c>
    </row>
    <row r="289" spans="1:24" x14ac:dyDescent="0.25">
      <c r="A289" s="1" t="s">
        <v>18</v>
      </c>
      <c r="B289" s="1">
        <v>6460284.2180000003</v>
      </c>
      <c r="C289" s="1">
        <v>425405.42099999997</v>
      </c>
      <c r="D289" s="5" t="str">
        <f t="shared" si="284"/>
        <v>H191F</v>
      </c>
      <c r="E289" s="6" t="str">
        <f t="shared" si="285"/>
        <v>Heatpl</v>
      </c>
      <c r="F289" s="14">
        <f t="shared" si="286"/>
        <v>5072.3999999999996</v>
      </c>
      <c r="G289" s="5" t="str">
        <f>IF(Table35[[#This Row],[Capacity1]]&lt;&gt;"-",Table35[[#This Row],[Location]]&amp;RIGHT(Table35[[#Headers],[Facility_2]],1)&amp;"F","-")</f>
        <v>H192F</v>
      </c>
      <c r="H289" s="6" t="str">
        <f t="shared" si="287"/>
        <v>TerHea</v>
      </c>
      <c r="I289" s="23">
        <f t="shared" si="288"/>
        <v>9999</v>
      </c>
      <c r="J289" s="5" t="str">
        <f>IF(Table35[[#This Row],[Capacity1]]*X289&gt;=$Y$5,Table35[[#This Row],[Location]]&amp;RIGHT(Table35[[#Headers],[Facility_3]],1)&amp;"F","-")</f>
        <v>H193F</v>
      </c>
      <c r="K289" s="2" t="str">
        <f t="shared" ref="K289" si="321">IF(J289="-","-","CHPpl_")</f>
        <v>CHPpl_</v>
      </c>
      <c r="L289" s="14">
        <f t="shared" si="291"/>
        <v>0</v>
      </c>
      <c r="V289" s="1">
        <v>4.2270000000000003</v>
      </c>
      <c r="W289" s="1">
        <v>1</v>
      </c>
      <c r="X289" s="1">
        <v>0</v>
      </c>
    </row>
    <row r="290" spans="1:24" x14ac:dyDescent="0.25">
      <c r="A290" s="1" t="s">
        <v>83</v>
      </c>
      <c r="B290" s="1">
        <v>7006024.13567595</v>
      </c>
      <c r="C290" s="1">
        <v>603652.70865650999</v>
      </c>
      <c r="D290" s="5" t="str">
        <f t="shared" si="284"/>
        <v>H841F</v>
      </c>
      <c r="E290" s="6" t="str">
        <f t="shared" si="285"/>
        <v>Heatpl</v>
      </c>
      <c r="F290" s="14">
        <f t="shared" si="286"/>
        <v>5040</v>
      </c>
      <c r="G290" s="5" t="str">
        <f>IF(Table35[[#This Row],[Capacity1]]&lt;&gt;"-",Table35[[#This Row],[Location]]&amp;RIGHT(Table35[[#Headers],[Facility_2]],1)&amp;"F","-")</f>
        <v>H842F</v>
      </c>
      <c r="H290" s="6" t="str">
        <f t="shared" si="287"/>
        <v>TerHea</v>
      </c>
      <c r="I290" s="23">
        <f t="shared" si="288"/>
        <v>9999</v>
      </c>
      <c r="J290" s="5" t="str">
        <f>IF(Table35[[#This Row],[Capacity1]]*X290&gt;=$Y$5,Table35[[#This Row],[Location]]&amp;RIGHT(Table35[[#Headers],[Facility_3]],1)&amp;"F","-")</f>
        <v>H843F</v>
      </c>
      <c r="K290" s="2" t="str">
        <f t="shared" ref="K290" si="322">IF(J290="-","-","CHPpl_")</f>
        <v>CHPpl_</v>
      </c>
      <c r="L290" s="14">
        <f t="shared" si="291"/>
        <v>0</v>
      </c>
      <c r="V290" s="1">
        <v>4.2</v>
      </c>
      <c r="W290" s="1">
        <v>1</v>
      </c>
      <c r="X290" s="1">
        <v>0</v>
      </c>
    </row>
    <row r="291" spans="1:24" x14ac:dyDescent="0.25">
      <c r="A291" s="1" t="s">
        <v>65</v>
      </c>
      <c r="B291" s="1">
        <v>7154720.4509135196</v>
      </c>
      <c r="C291" s="1">
        <v>804717.69755827996</v>
      </c>
      <c r="D291" s="5" t="str">
        <f t="shared" si="284"/>
        <v>H661F</v>
      </c>
      <c r="E291" s="6" t="str">
        <f t="shared" si="285"/>
        <v>Heatpl</v>
      </c>
      <c r="F291" s="14">
        <f t="shared" si="286"/>
        <v>4948.7999999999993</v>
      </c>
      <c r="G291" s="5" t="str">
        <f>IF(Table35[[#This Row],[Capacity1]]&lt;&gt;"-",Table35[[#This Row],[Location]]&amp;RIGHT(Table35[[#Headers],[Facility_2]],1)&amp;"F","-")</f>
        <v>H662F</v>
      </c>
      <c r="H291" s="6" t="str">
        <f t="shared" si="287"/>
        <v>TerHea</v>
      </c>
      <c r="I291" s="23">
        <f t="shared" si="288"/>
        <v>9999</v>
      </c>
      <c r="J291" s="5" t="str">
        <f>IF(Table35[[#This Row],[Capacity1]]*X291&gt;=$Y$5,Table35[[#This Row],[Location]]&amp;RIGHT(Table35[[#Headers],[Facility_3]],1)&amp;"F","-")</f>
        <v>H663F</v>
      </c>
      <c r="K291" s="2" t="str">
        <f t="shared" ref="K291" si="323">IF(J291="-","-","CHPpl_")</f>
        <v>CHPpl_</v>
      </c>
      <c r="L291" s="14">
        <f t="shared" si="291"/>
        <v>0</v>
      </c>
      <c r="V291" s="1">
        <v>4.1239999999999997</v>
      </c>
      <c r="W291" s="1">
        <v>1</v>
      </c>
      <c r="X291" s="1">
        <v>0</v>
      </c>
    </row>
    <row r="292" spans="1:24" x14ac:dyDescent="0.25">
      <c r="A292" s="1" t="s">
        <v>5</v>
      </c>
      <c r="B292" s="1">
        <v>6793675.3119999999</v>
      </c>
      <c r="C292" s="1">
        <v>610727.28899999999</v>
      </c>
      <c r="D292" s="5" t="str">
        <f t="shared" si="284"/>
        <v>H61F</v>
      </c>
      <c r="E292" s="6" t="str">
        <f t="shared" si="285"/>
        <v>Heatpl</v>
      </c>
      <c r="F292" s="14">
        <f t="shared" si="286"/>
        <v>4761.5999999999995</v>
      </c>
      <c r="G292" s="5" t="str">
        <f>IF(Table35[[#This Row],[Capacity1]]&lt;&gt;"-",Table35[[#This Row],[Location]]&amp;RIGHT(Table35[[#Headers],[Facility_2]],1)&amp;"F","-")</f>
        <v>H62F</v>
      </c>
      <c r="H292" s="6" t="str">
        <f t="shared" si="287"/>
        <v>TerHea</v>
      </c>
      <c r="I292" s="23">
        <f t="shared" si="288"/>
        <v>9999</v>
      </c>
      <c r="J292" s="5" t="str">
        <f>IF(Table35[[#This Row],[Capacity1]]*X292&gt;=$Y$5,Table35[[#This Row],[Location]]&amp;RIGHT(Table35[[#Headers],[Facility_3]],1)&amp;"F","-")</f>
        <v>H63F</v>
      </c>
      <c r="K292" s="2" t="str">
        <f t="shared" ref="K292" si="324">IF(J292="-","-","CHPpl_")</f>
        <v>CHPpl_</v>
      </c>
      <c r="L292" s="14">
        <f t="shared" si="291"/>
        <v>0</v>
      </c>
      <c r="V292" s="1">
        <v>3.968</v>
      </c>
      <c r="W292" s="1">
        <v>1</v>
      </c>
      <c r="X292" s="1">
        <v>0</v>
      </c>
    </row>
    <row r="293" spans="1:24" x14ac:dyDescent="0.25">
      <c r="A293" s="1" t="s">
        <v>219</v>
      </c>
      <c r="B293" s="1">
        <v>6484991.5430807704</v>
      </c>
      <c r="C293" s="1">
        <v>427807.475631779</v>
      </c>
      <c r="D293" s="5" t="str">
        <f t="shared" si="284"/>
        <v>H2201F</v>
      </c>
      <c r="E293" s="6" t="str">
        <f t="shared" si="285"/>
        <v>Heatpl</v>
      </c>
      <c r="F293" s="14">
        <f t="shared" si="286"/>
        <v>4741.2</v>
      </c>
      <c r="G293" s="5" t="str">
        <f>IF(Table35[[#This Row],[Capacity1]]&lt;&gt;"-",Table35[[#This Row],[Location]]&amp;RIGHT(Table35[[#Headers],[Facility_2]],1)&amp;"F","-")</f>
        <v>H2202F</v>
      </c>
      <c r="H293" s="6" t="str">
        <f t="shared" si="287"/>
        <v>TerHea</v>
      </c>
      <c r="I293" s="23">
        <f t="shared" si="288"/>
        <v>9999</v>
      </c>
      <c r="J293" s="5" t="str">
        <f>IF(Table35[[#This Row],[Capacity1]]*X293&gt;=$Y$5,Table35[[#This Row],[Location]]&amp;RIGHT(Table35[[#Headers],[Facility_3]],1)&amp;"F","-")</f>
        <v>H2203F</v>
      </c>
      <c r="K293" s="2" t="str">
        <f t="shared" ref="K293" si="325">IF(J293="-","-","CHPpl_")</f>
        <v>CHPpl_</v>
      </c>
      <c r="L293" s="14">
        <f t="shared" si="291"/>
        <v>0</v>
      </c>
      <c r="V293" s="1">
        <v>3.9510000000000001</v>
      </c>
      <c r="W293" s="1">
        <v>1</v>
      </c>
      <c r="X293" s="1">
        <v>0</v>
      </c>
    </row>
    <row r="294" spans="1:24" x14ac:dyDescent="0.25">
      <c r="A294" s="1" t="s">
        <v>10</v>
      </c>
      <c r="B294" s="1">
        <v>6655373.6670000004</v>
      </c>
      <c r="C294" s="1">
        <v>505611.864</v>
      </c>
      <c r="D294" s="5" t="str">
        <f t="shared" si="284"/>
        <v>H111F</v>
      </c>
      <c r="E294" s="6" t="str">
        <f t="shared" si="285"/>
        <v>Heatpl</v>
      </c>
      <c r="F294" s="14">
        <f t="shared" si="286"/>
        <v>4737.5999999999995</v>
      </c>
      <c r="G294" s="5" t="str">
        <f>IF(Table35[[#This Row],[Capacity1]]&lt;&gt;"-",Table35[[#This Row],[Location]]&amp;RIGHT(Table35[[#Headers],[Facility_2]],1)&amp;"F","-")</f>
        <v>H112F</v>
      </c>
      <c r="H294" s="6" t="str">
        <f t="shared" si="287"/>
        <v>TerHea</v>
      </c>
      <c r="I294" s="23">
        <f t="shared" si="288"/>
        <v>9999</v>
      </c>
      <c r="J294" s="5" t="str">
        <f>IF(Table35[[#This Row],[Capacity1]]*X294&gt;=$Y$5,Table35[[#This Row],[Location]]&amp;RIGHT(Table35[[#Headers],[Facility_3]],1)&amp;"F","-")</f>
        <v>H113F</v>
      </c>
      <c r="K294" s="2" t="str">
        <f t="shared" ref="K294" si="326">IF(J294="-","-","CHPpl_")</f>
        <v>CHPpl_</v>
      </c>
      <c r="L294" s="14">
        <f t="shared" si="291"/>
        <v>0</v>
      </c>
      <c r="V294" s="1">
        <v>3.948</v>
      </c>
      <c r="W294" s="1">
        <v>1</v>
      </c>
      <c r="X294" s="1">
        <v>0</v>
      </c>
    </row>
    <row r="295" spans="1:24" x14ac:dyDescent="0.25">
      <c r="A295" s="1" t="s">
        <v>314</v>
      </c>
      <c r="B295" s="1">
        <v>6313683.1864959802</v>
      </c>
      <c r="C295" s="1">
        <v>357416.088788633</v>
      </c>
      <c r="D295" s="5" t="str">
        <f t="shared" si="284"/>
        <v>H3151F</v>
      </c>
      <c r="E295" s="6" t="str">
        <f t="shared" si="285"/>
        <v>Heatpl</v>
      </c>
      <c r="F295" s="14">
        <f t="shared" si="286"/>
        <v>4594.8</v>
      </c>
      <c r="G295" s="5" t="str">
        <f>IF(Table35[[#This Row],[Capacity1]]&lt;&gt;"-",Table35[[#This Row],[Location]]&amp;RIGHT(Table35[[#Headers],[Facility_2]],1)&amp;"F","-")</f>
        <v>H3152F</v>
      </c>
      <c r="H295" s="6" t="str">
        <f t="shared" si="287"/>
        <v>TerHea</v>
      </c>
      <c r="I295" s="23">
        <f t="shared" si="288"/>
        <v>9999</v>
      </c>
      <c r="J295" s="5" t="str">
        <f>IF(Table35[[#This Row],[Capacity1]]*X295&gt;=$Y$5,Table35[[#This Row],[Location]]&amp;RIGHT(Table35[[#Headers],[Facility_3]],1)&amp;"F","-")</f>
        <v>H3153F</v>
      </c>
      <c r="K295" s="2" t="str">
        <f t="shared" ref="K295" si="327">IF(J295="-","-","CHPpl_")</f>
        <v>CHPpl_</v>
      </c>
      <c r="L295" s="14">
        <f t="shared" si="291"/>
        <v>0</v>
      </c>
      <c r="V295" s="1">
        <v>3.8290000000000002</v>
      </c>
      <c r="W295" s="1">
        <v>1</v>
      </c>
      <c r="X295" s="1">
        <v>0</v>
      </c>
    </row>
    <row r="296" spans="1:24" x14ac:dyDescent="0.25">
      <c r="A296" s="1" t="s">
        <v>185</v>
      </c>
      <c r="B296" s="1">
        <v>6573975.4542763801</v>
      </c>
      <c r="C296" s="1">
        <v>413209.036757264</v>
      </c>
      <c r="D296" s="5" t="str">
        <f t="shared" si="284"/>
        <v>H1861F</v>
      </c>
      <c r="E296" s="6" t="str">
        <f t="shared" si="285"/>
        <v>Heatpl</v>
      </c>
      <c r="F296" s="14">
        <f t="shared" si="286"/>
        <v>4440</v>
      </c>
      <c r="G296" s="5" t="str">
        <f>IF(Table35[[#This Row],[Capacity1]]&lt;&gt;"-",Table35[[#This Row],[Location]]&amp;RIGHT(Table35[[#Headers],[Facility_2]],1)&amp;"F","-")</f>
        <v>H1862F</v>
      </c>
      <c r="H296" s="6" t="str">
        <f t="shared" si="287"/>
        <v>TerHea</v>
      </c>
      <c r="I296" s="23">
        <f t="shared" si="288"/>
        <v>9999</v>
      </c>
      <c r="J296" s="5" t="str">
        <f>IF(Table35[[#This Row],[Capacity1]]*X296&gt;=$Y$5,Table35[[#This Row],[Location]]&amp;RIGHT(Table35[[#Headers],[Facility_3]],1)&amp;"F","-")</f>
        <v>H1863F</v>
      </c>
      <c r="K296" s="2" t="str">
        <f t="shared" ref="K296" si="328">IF(J296="-","-","CHPpl_")</f>
        <v>CHPpl_</v>
      </c>
      <c r="L296" s="14">
        <f t="shared" si="291"/>
        <v>0</v>
      </c>
      <c r="V296" s="1">
        <v>3.7</v>
      </c>
      <c r="W296" s="1">
        <v>1</v>
      </c>
      <c r="X296" s="1">
        <v>0</v>
      </c>
    </row>
    <row r="297" spans="1:24" x14ac:dyDescent="0.25">
      <c r="A297" s="1" t="s">
        <v>66</v>
      </c>
      <c r="B297" s="1">
        <v>7143388.8093258897</v>
      </c>
      <c r="C297" s="1">
        <v>792261.46388929803</v>
      </c>
      <c r="D297" s="5" t="str">
        <f t="shared" si="284"/>
        <v>H671F</v>
      </c>
      <c r="E297" s="6" t="str">
        <f t="shared" si="285"/>
        <v>Heatpl</v>
      </c>
      <c r="F297" s="14">
        <f t="shared" si="286"/>
        <v>4438.7999999999993</v>
      </c>
      <c r="G297" s="5" t="str">
        <f>IF(Table35[[#This Row],[Capacity1]]&lt;&gt;"-",Table35[[#This Row],[Location]]&amp;RIGHT(Table35[[#Headers],[Facility_2]],1)&amp;"F","-")</f>
        <v>H672F</v>
      </c>
      <c r="H297" s="6" t="str">
        <f t="shared" si="287"/>
        <v>TerHea</v>
      </c>
      <c r="I297" s="23">
        <f t="shared" si="288"/>
        <v>9999</v>
      </c>
      <c r="J297" s="5" t="str">
        <f>IF(Table35[[#This Row],[Capacity1]]*X297&gt;=$Y$5,Table35[[#This Row],[Location]]&amp;RIGHT(Table35[[#Headers],[Facility_3]],1)&amp;"F","-")</f>
        <v>H673F</v>
      </c>
      <c r="K297" s="2" t="str">
        <f t="shared" ref="K297" si="329">IF(J297="-","-","CHPpl_")</f>
        <v>CHPpl_</v>
      </c>
      <c r="L297" s="14">
        <f t="shared" si="291"/>
        <v>0</v>
      </c>
      <c r="V297" s="1">
        <v>3.6989999999999998</v>
      </c>
      <c r="W297" s="1">
        <v>1</v>
      </c>
      <c r="X297" s="1">
        <v>0</v>
      </c>
    </row>
    <row r="298" spans="1:24" x14ac:dyDescent="0.25">
      <c r="A298" s="1" t="s">
        <v>29</v>
      </c>
      <c r="B298" s="1">
        <v>6337635.585</v>
      </c>
      <c r="C298" s="1">
        <v>404662.424</v>
      </c>
      <c r="D298" s="5" t="str">
        <f t="shared" si="284"/>
        <v>H301F</v>
      </c>
      <c r="E298" s="6" t="str">
        <f t="shared" si="285"/>
        <v>Heatpl</v>
      </c>
      <c r="F298" s="14">
        <f t="shared" si="286"/>
        <v>4375.2</v>
      </c>
      <c r="G298" s="5" t="str">
        <f>IF(Table35[[#This Row],[Capacity1]]&lt;&gt;"-",Table35[[#This Row],[Location]]&amp;RIGHT(Table35[[#Headers],[Facility_2]],1)&amp;"F","-")</f>
        <v>H302F</v>
      </c>
      <c r="H298" s="6" t="str">
        <f t="shared" si="287"/>
        <v>TerHea</v>
      </c>
      <c r="I298" s="23">
        <f t="shared" si="288"/>
        <v>9999</v>
      </c>
      <c r="J298" s="5" t="str">
        <f>IF(Table35[[#This Row],[Capacity1]]*X298&gt;=$Y$5,Table35[[#This Row],[Location]]&amp;RIGHT(Table35[[#Headers],[Facility_3]],1)&amp;"F","-")</f>
        <v>H303F</v>
      </c>
      <c r="K298" s="2" t="str">
        <f t="shared" ref="K298" si="330">IF(J298="-","-","CHPpl_")</f>
        <v>CHPpl_</v>
      </c>
      <c r="L298" s="14">
        <f t="shared" si="291"/>
        <v>0</v>
      </c>
      <c r="V298" s="1">
        <v>3.6459999999999999</v>
      </c>
      <c r="W298" s="1">
        <v>1</v>
      </c>
      <c r="X298" s="1">
        <v>0</v>
      </c>
    </row>
    <row r="299" spans="1:24" x14ac:dyDescent="0.25">
      <c r="A299" s="1" t="s">
        <v>61</v>
      </c>
      <c r="B299" s="1">
        <v>7186578.1580537297</v>
      </c>
      <c r="C299" s="1">
        <v>767875.83705760597</v>
      </c>
      <c r="D299" s="5" t="str">
        <f t="shared" si="284"/>
        <v>H621F</v>
      </c>
      <c r="E299" s="6" t="str">
        <f t="shared" si="285"/>
        <v>Heatpl</v>
      </c>
      <c r="F299" s="14">
        <f t="shared" si="286"/>
        <v>4281.6000000000004</v>
      </c>
      <c r="G299" s="5" t="str">
        <f>IF(Table35[[#This Row],[Capacity1]]&lt;&gt;"-",Table35[[#This Row],[Location]]&amp;RIGHT(Table35[[#Headers],[Facility_2]],1)&amp;"F","-")</f>
        <v>H622F</v>
      </c>
      <c r="H299" s="6" t="str">
        <f t="shared" si="287"/>
        <v>TerHea</v>
      </c>
      <c r="I299" s="23">
        <f t="shared" si="288"/>
        <v>9999</v>
      </c>
      <c r="J299" s="5" t="str">
        <f>IF(Table35[[#This Row],[Capacity1]]*X299&gt;=$Y$5,Table35[[#This Row],[Location]]&amp;RIGHT(Table35[[#Headers],[Facility_3]],1)&amp;"F","-")</f>
        <v>H623F</v>
      </c>
      <c r="K299" s="2" t="str">
        <f t="shared" ref="K299" si="331">IF(J299="-","-","CHPpl_")</f>
        <v>CHPpl_</v>
      </c>
      <c r="L299" s="14">
        <f t="shared" si="291"/>
        <v>0</v>
      </c>
      <c r="V299" s="1">
        <v>3.5680000000000001</v>
      </c>
      <c r="W299" s="1">
        <v>1</v>
      </c>
      <c r="X299" s="1">
        <v>0</v>
      </c>
    </row>
    <row r="300" spans="1:24" x14ac:dyDescent="0.25">
      <c r="A300" s="1" t="s">
        <v>259</v>
      </c>
      <c r="B300" s="1">
        <v>6414154.3673454998</v>
      </c>
      <c r="C300" s="1">
        <v>320183.08311222401</v>
      </c>
      <c r="D300" s="5" t="str">
        <f t="shared" si="284"/>
        <v>H2601F</v>
      </c>
      <c r="E300" s="6" t="str">
        <f t="shared" si="285"/>
        <v>Heatpl</v>
      </c>
      <c r="F300" s="14">
        <f t="shared" si="286"/>
        <v>4214.3999999999996</v>
      </c>
      <c r="G300" s="5" t="str">
        <f>IF(Table35[[#This Row],[Capacity1]]&lt;&gt;"-",Table35[[#This Row],[Location]]&amp;RIGHT(Table35[[#Headers],[Facility_2]],1)&amp;"F","-")</f>
        <v>H2602F</v>
      </c>
      <c r="H300" s="6" t="str">
        <f t="shared" si="287"/>
        <v>TerHea</v>
      </c>
      <c r="I300" s="23">
        <f t="shared" si="288"/>
        <v>9999</v>
      </c>
      <c r="J300" s="5" t="str">
        <f>IF(Table35[[#This Row],[Capacity1]]*X300&gt;=$Y$5,Table35[[#This Row],[Location]]&amp;RIGHT(Table35[[#Headers],[Facility_3]],1)&amp;"F","-")</f>
        <v>H2603F</v>
      </c>
      <c r="K300" s="2" t="str">
        <f t="shared" ref="K300" si="332">IF(J300="-","-","CHPpl_")</f>
        <v>CHPpl_</v>
      </c>
      <c r="L300" s="14">
        <f t="shared" si="291"/>
        <v>0</v>
      </c>
      <c r="V300" s="1">
        <v>3.512</v>
      </c>
      <c r="W300" s="1">
        <v>1</v>
      </c>
      <c r="X300" s="1">
        <v>0</v>
      </c>
    </row>
    <row r="301" spans="1:24" x14ac:dyDescent="0.25">
      <c r="A301" s="1" t="s">
        <v>36</v>
      </c>
      <c r="B301" s="1">
        <v>6214330.3629999999</v>
      </c>
      <c r="C301" s="1">
        <v>374382.56199999998</v>
      </c>
      <c r="D301" s="5" t="str">
        <f t="shared" si="284"/>
        <v>H371F</v>
      </c>
      <c r="E301" s="6" t="str">
        <f t="shared" si="285"/>
        <v>Heatpl</v>
      </c>
      <c r="F301" s="14">
        <f t="shared" si="286"/>
        <v>4180.7999999999993</v>
      </c>
      <c r="G301" s="5" t="str">
        <f>IF(Table35[[#This Row],[Capacity1]]&lt;&gt;"-",Table35[[#This Row],[Location]]&amp;RIGHT(Table35[[#Headers],[Facility_2]],1)&amp;"F","-")</f>
        <v>H372F</v>
      </c>
      <c r="H301" s="6" t="str">
        <f t="shared" si="287"/>
        <v>TerHea</v>
      </c>
      <c r="I301" s="23">
        <f t="shared" si="288"/>
        <v>9999</v>
      </c>
      <c r="J301" s="5" t="str">
        <f>IF(Table35[[#This Row],[Capacity1]]*X301&gt;=$Y$5,Table35[[#This Row],[Location]]&amp;RIGHT(Table35[[#Headers],[Facility_3]],1)&amp;"F","-")</f>
        <v>H373F</v>
      </c>
      <c r="K301" s="2" t="str">
        <f t="shared" ref="K301" si="333">IF(J301="-","-","CHPpl_")</f>
        <v>CHPpl_</v>
      </c>
      <c r="L301" s="14">
        <f t="shared" si="291"/>
        <v>0</v>
      </c>
      <c r="V301" s="1">
        <v>3.484</v>
      </c>
      <c r="W301" s="1">
        <v>1</v>
      </c>
      <c r="X301" s="1">
        <v>0</v>
      </c>
    </row>
    <row r="302" spans="1:24" x14ac:dyDescent="0.25">
      <c r="A302" s="1" t="s">
        <v>264</v>
      </c>
      <c r="B302" s="1">
        <v>6405219.6583457096</v>
      </c>
      <c r="C302" s="1">
        <v>341084.892820323</v>
      </c>
      <c r="D302" s="5" t="str">
        <f t="shared" si="284"/>
        <v>H2651F</v>
      </c>
      <c r="E302" s="6" t="str">
        <f t="shared" si="285"/>
        <v>Heatpl</v>
      </c>
      <c r="F302" s="14">
        <f t="shared" si="286"/>
        <v>4080</v>
      </c>
      <c r="G302" s="5" t="str">
        <f>IF(Table35[[#This Row],[Capacity1]]&lt;&gt;"-",Table35[[#This Row],[Location]]&amp;RIGHT(Table35[[#Headers],[Facility_2]],1)&amp;"F","-")</f>
        <v>H2652F</v>
      </c>
      <c r="H302" s="6" t="str">
        <f t="shared" si="287"/>
        <v>TerHea</v>
      </c>
      <c r="I302" s="23">
        <f t="shared" si="288"/>
        <v>9999</v>
      </c>
      <c r="J302" s="5" t="str">
        <f>IF(Table35[[#This Row],[Capacity1]]*X302&gt;=$Y$5,Table35[[#This Row],[Location]]&amp;RIGHT(Table35[[#Headers],[Facility_3]],1)&amp;"F","-")</f>
        <v>H2653F</v>
      </c>
      <c r="K302" s="2" t="str">
        <f t="shared" ref="K302" si="334">IF(J302="-","-","CHPpl_")</f>
        <v>CHPpl_</v>
      </c>
      <c r="L302" s="14">
        <f t="shared" si="291"/>
        <v>0</v>
      </c>
      <c r="V302" s="1">
        <v>3.4</v>
      </c>
      <c r="W302" s="1">
        <v>1</v>
      </c>
      <c r="X302" s="1">
        <v>0</v>
      </c>
    </row>
    <row r="303" spans="1:24" x14ac:dyDescent="0.25">
      <c r="A303" s="1" t="s">
        <v>167</v>
      </c>
      <c r="B303" s="1">
        <v>6594091.1989318896</v>
      </c>
      <c r="C303" s="1">
        <v>404794.08985488699</v>
      </c>
      <c r="D303" s="5" t="str">
        <f t="shared" si="284"/>
        <v>H1681F</v>
      </c>
      <c r="E303" s="6" t="str">
        <f t="shared" si="285"/>
        <v>Heatpl</v>
      </c>
      <c r="F303" s="14">
        <f t="shared" si="286"/>
        <v>3840</v>
      </c>
      <c r="G303" s="5" t="str">
        <f>IF(Table35[[#This Row],[Capacity1]]&lt;&gt;"-",Table35[[#This Row],[Location]]&amp;RIGHT(Table35[[#Headers],[Facility_2]],1)&amp;"F","-")</f>
        <v>H1682F</v>
      </c>
      <c r="H303" s="6" t="str">
        <f t="shared" si="287"/>
        <v>TerHea</v>
      </c>
      <c r="I303" s="23">
        <f t="shared" si="288"/>
        <v>9999</v>
      </c>
      <c r="J303" s="5" t="str">
        <f>IF(Table35[[#This Row],[Capacity1]]*X303&gt;=$Y$5,Table35[[#This Row],[Location]]&amp;RIGHT(Table35[[#Headers],[Facility_3]],1)&amp;"F","-")</f>
        <v>H1683F</v>
      </c>
      <c r="K303" s="2" t="str">
        <f t="shared" ref="K303" si="335">IF(J303="-","-","CHPpl_")</f>
        <v>CHPpl_</v>
      </c>
      <c r="L303" s="14">
        <f t="shared" si="291"/>
        <v>0</v>
      </c>
      <c r="V303" s="1">
        <v>3.2</v>
      </c>
      <c r="W303" s="1">
        <v>1</v>
      </c>
      <c r="X303" s="1">
        <v>0</v>
      </c>
    </row>
    <row r="304" spans="1:24" x14ac:dyDescent="0.25">
      <c r="A304" s="1" t="s">
        <v>200</v>
      </c>
      <c r="B304" s="1">
        <v>6542731.1812431403</v>
      </c>
      <c r="C304" s="1">
        <v>340210.273453245</v>
      </c>
      <c r="D304" s="5" t="str">
        <f t="shared" si="284"/>
        <v>H2011F</v>
      </c>
      <c r="E304" s="6" t="str">
        <f t="shared" si="285"/>
        <v>Heatpl</v>
      </c>
      <c r="F304" s="14">
        <f t="shared" si="286"/>
        <v>3719.9999999999995</v>
      </c>
      <c r="G304" s="5" t="str">
        <f>IF(Table35[[#This Row],[Capacity1]]&lt;&gt;"-",Table35[[#This Row],[Location]]&amp;RIGHT(Table35[[#Headers],[Facility_2]],1)&amp;"F","-")</f>
        <v>H2012F</v>
      </c>
      <c r="H304" s="6" t="str">
        <f t="shared" si="287"/>
        <v>TerHea</v>
      </c>
      <c r="I304" s="23">
        <f t="shared" si="288"/>
        <v>9999</v>
      </c>
      <c r="J304" s="5" t="str">
        <f>IF(Table35[[#This Row],[Capacity1]]*X304&gt;=$Y$5,Table35[[#This Row],[Location]]&amp;RIGHT(Table35[[#Headers],[Facility_3]],1)&amp;"F","-")</f>
        <v>H2013F</v>
      </c>
      <c r="K304" s="2" t="str">
        <f t="shared" ref="K304" si="336">IF(J304="-","-","CHPpl_")</f>
        <v>CHPpl_</v>
      </c>
      <c r="L304" s="14">
        <f t="shared" si="291"/>
        <v>0</v>
      </c>
      <c r="V304" s="1">
        <v>3.1</v>
      </c>
      <c r="W304" s="1">
        <v>1</v>
      </c>
      <c r="X304" s="1">
        <v>0</v>
      </c>
    </row>
    <row r="305" spans="1:24" x14ac:dyDescent="0.25">
      <c r="A305" s="1" t="s">
        <v>308</v>
      </c>
      <c r="B305" s="1">
        <v>6330636.8373840703</v>
      </c>
      <c r="C305" s="1">
        <v>361790.36558595998</v>
      </c>
      <c r="D305" s="5" t="str">
        <f t="shared" si="284"/>
        <v>H3091F</v>
      </c>
      <c r="E305" s="6" t="str">
        <f t="shared" si="285"/>
        <v>Heatpl</v>
      </c>
      <c r="F305" s="14">
        <f t="shared" si="286"/>
        <v>3709.2000000000003</v>
      </c>
      <c r="G305" s="5" t="str">
        <f>IF(Table35[[#This Row],[Capacity1]]&lt;&gt;"-",Table35[[#This Row],[Location]]&amp;RIGHT(Table35[[#Headers],[Facility_2]],1)&amp;"F","-")</f>
        <v>H3092F</v>
      </c>
      <c r="H305" s="6" t="str">
        <f t="shared" si="287"/>
        <v>TerHea</v>
      </c>
      <c r="I305" s="23">
        <f t="shared" si="288"/>
        <v>9999</v>
      </c>
      <c r="J305" s="5" t="str">
        <f>IF(Table35[[#This Row],[Capacity1]]*X305&gt;=$Y$5,Table35[[#This Row],[Location]]&amp;RIGHT(Table35[[#Headers],[Facility_3]],1)&amp;"F","-")</f>
        <v>H3093F</v>
      </c>
      <c r="K305" s="2" t="str">
        <f t="shared" ref="K305" si="337">IF(J305="-","-","CHPpl_")</f>
        <v>CHPpl_</v>
      </c>
      <c r="L305" s="14">
        <f t="shared" si="291"/>
        <v>0</v>
      </c>
      <c r="V305" s="1">
        <v>3.0910000000000002</v>
      </c>
      <c r="W305" s="1">
        <v>1</v>
      </c>
      <c r="X305" s="1">
        <v>0</v>
      </c>
    </row>
    <row r="306" spans="1:24" x14ac:dyDescent="0.25">
      <c r="A306" s="1" t="s">
        <v>123</v>
      </c>
      <c r="B306" s="1">
        <v>6706176.4845559299</v>
      </c>
      <c r="C306" s="1">
        <v>529494.57056243205</v>
      </c>
      <c r="D306" s="5" t="str">
        <f t="shared" si="284"/>
        <v>H1241F</v>
      </c>
      <c r="E306" s="6" t="str">
        <f t="shared" si="285"/>
        <v>Heatpl</v>
      </c>
      <c r="F306" s="14">
        <f t="shared" si="286"/>
        <v>3619.2</v>
      </c>
      <c r="G306" s="5" t="str">
        <f>IF(Table35[[#This Row],[Capacity1]]&lt;&gt;"-",Table35[[#This Row],[Location]]&amp;RIGHT(Table35[[#Headers],[Facility_2]],1)&amp;"F","-")</f>
        <v>H1242F</v>
      </c>
      <c r="H306" s="6" t="str">
        <f t="shared" si="287"/>
        <v>TerHea</v>
      </c>
      <c r="I306" s="23">
        <f t="shared" si="288"/>
        <v>9999</v>
      </c>
      <c r="J306" s="5" t="str">
        <f>IF(Table35[[#This Row],[Capacity1]]*X306&gt;=$Y$5,Table35[[#This Row],[Location]]&amp;RIGHT(Table35[[#Headers],[Facility_3]],1)&amp;"F","-")</f>
        <v>H1243F</v>
      </c>
      <c r="K306" s="2" t="str">
        <f t="shared" ref="K306" si="338">IF(J306="-","-","CHPpl_")</f>
        <v>CHPpl_</v>
      </c>
      <c r="L306" s="14">
        <f t="shared" si="291"/>
        <v>0</v>
      </c>
      <c r="V306" s="1">
        <v>3.016</v>
      </c>
      <c r="W306" s="1">
        <v>1</v>
      </c>
      <c r="X306" s="1">
        <v>0</v>
      </c>
    </row>
    <row r="307" spans="1:24" x14ac:dyDescent="0.25">
      <c r="A307" s="1" t="s">
        <v>307</v>
      </c>
      <c r="B307" s="1">
        <v>6336808.4640468601</v>
      </c>
      <c r="C307" s="1">
        <v>620667.134264561</v>
      </c>
      <c r="D307" s="5" t="str">
        <f t="shared" si="284"/>
        <v>H3081F</v>
      </c>
      <c r="E307" s="6" t="str">
        <f t="shared" si="285"/>
        <v>Heatpl</v>
      </c>
      <c r="F307" s="14">
        <f t="shared" si="286"/>
        <v>3328.7999999999997</v>
      </c>
      <c r="G307" s="5" t="str">
        <f>IF(Table35[[#This Row],[Capacity1]]&lt;&gt;"-",Table35[[#This Row],[Location]]&amp;RIGHT(Table35[[#Headers],[Facility_2]],1)&amp;"F","-")</f>
        <v>H3082F</v>
      </c>
      <c r="H307" s="6" t="str">
        <f t="shared" si="287"/>
        <v>TerHea</v>
      </c>
      <c r="I307" s="23">
        <f t="shared" si="288"/>
        <v>9999</v>
      </c>
      <c r="J307" s="5" t="str">
        <f>IF(Table35[[#This Row],[Capacity1]]*X307&gt;=$Y$5,Table35[[#This Row],[Location]]&amp;RIGHT(Table35[[#Headers],[Facility_3]],1)&amp;"F","-")</f>
        <v>H3083F</v>
      </c>
      <c r="K307" s="2" t="str">
        <f t="shared" ref="K307" si="339">IF(J307="-","-","CHPpl_")</f>
        <v>CHPpl_</v>
      </c>
      <c r="L307" s="14">
        <f t="shared" si="291"/>
        <v>0</v>
      </c>
      <c r="V307" s="1">
        <v>2.774</v>
      </c>
      <c r="W307" s="1">
        <v>1</v>
      </c>
      <c r="X307" s="1">
        <v>0</v>
      </c>
    </row>
    <row r="308" spans="1:24" x14ac:dyDescent="0.25">
      <c r="A308" s="1" t="s">
        <v>15</v>
      </c>
      <c r="B308" s="1">
        <v>6505208.21</v>
      </c>
      <c r="C308" s="1">
        <v>582787.22</v>
      </c>
      <c r="D308" s="5" t="str">
        <f t="shared" si="284"/>
        <v>H161F</v>
      </c>
      <c r="E308" s="6" t="str">
        <f t="shared" si="285"/>
        <v>Heatpl</v>
      </c>
      <c r="F308" s="14">
        <f t="shared" si="286"/>
        <v>3304.7999999999997</v>
      </c>
      <c r="G308" s="5" t="str">
        <f>IF(Table35[[#This Row],[Capacity1]]&lt;&gt;"-",Table35[[#This Row],[Location]]&amp;RIGHT(Table35[[#Headers],[Facility_2]],1)&amp;"F","-")</f>
        <v>H162F</v>
      </c>
      <c r="H308" s="6" t="str">
        <f t="shared" si="287"/>
        <v>TerHea</v>
      </c>
      <c r="I308" s="23">
        <f t="shared" si="288"/>
        <v>9999</v>
      </c>
      <c r="J308" s="5" t="str">
        <f>IF(Table35[[#This Row],[Capacity1]]*X308&gt;=$Y$5,Table35[[#This Row],[Location]]&amp;RIGHT(Table35[[#Headers],[Facility_3]],1)&amp;"F","-")</f>
        <v>H163F</v>
      </c>
      <c r="K308" s="2" t="str">
        <f t="shared" ref="K308" si="340">IF(J308="-","-","CHPpl_")</f>
        <v>CHPpl_</v>
      </c>
      <c r="L308" s="14">
        <f t="shared" si="291"/>
        <v>0</v>
      </c>
      <c r="V308" s="1">
        <v>2.754</v>
      </c>
      <c r="W308" s="1">
        <v>1</v>
      </c>
      <c r="X308" s="1">
        <v>0</v>
      </c>
    </row>
    <row r="309" spans="1:24" x14ac:dyDescent="0.25">
      <c r="A309" s="1" t="s">
        <v>14</v>
      </c>
      <c r="B309" s="1">
        <v>6518922.1730000004</v>
      </c>
      <c r="C309" s="1">
        <v>445130.51699999999</v>
      </c>
      <c r="D309" s="5" t="str">
        <f t="shared" si="284"/>
        <v>H151F</v>
      </c>
      <c r="E309" s="6" t="str">
        <f t="shared" si="285"/>
        <v>Heatpl</v>
      </c>
      <c r="F309" s="14">
        <f t="shared" si="286"/>
        <v>3303.6</v>
      </c>
      <c r="G309" s="5" t="str">
        <f>IF(Table35[[#This Row],[Capacity1]]&lt;&gt;"-",Table35[[#This Row],[Location]]&amp;RIGHT(Table35[[#Headers],[Facility_2]],1)&amp;"F","-")</f>
        <v>H152F</v>
      </c>
      <c r="H309" s="6" t="str">
        <f t="shared" si="287"/>
        <v>TerHea</v>
      </c>
      <c r="I309" s="23">
        <f t="shared" si="288"/>
        <v>9999</v>
      </c>
      <c r="J309" s="5" t="str">
        <f>IF(Table35[[#This Row],[Capacity1]]*X309&gt;=$Y$5,Table35[[#This Row],[Location]]&amp;RIGHT(Table35[[#Headers],[Facility_3]],1)&amp;"F","-")</f>
        <v>H153F</v>
      </c>
      <c r="K309" s="2" t="str">
        <f t="shared" ref="K309" si="341">IF(J309="-","-","CHPpl_")</f>
        <v>CHPpl_</v>
      </c>
      <c r="L309" s="14">
        <f t="shared" si="291"/>
        <v>0</v>
      </c>
      <c r="V309" s="1">
        <v>2.7530000000000001</v>
      </c>
      <c r="W309" s="1">
        <v>1</v>
      </c>
      <c r="X309" s="1">
        <v>0</v>
      </c>
    </row>
    <row r="310" spans="1:24" x14ac:dyDescent="0.25">
      <c r="A310" s="1" t="s">
        <v>281</v>
      </c>
      <c r="B310" s="1">
        <v>6389044.42058382</v>
      </c>
      <c r="C310" s="1">
        <v>406039.23538211401</v>
      </c>
      <c r="D310" s="5" t="str">
        <f t="shared" si="284"/>
        <v>H2821F</v>
      </c>
      <c r="E310" s="6" t="str">
        <f t="shared" si="285"/>
        <v>Heatpl</v>
      </c>
      <c r="F310" s="14">
        <f t="shared" si="286"/>
        <v>3267.12</v>
      </c>
      <c r="G310" s="5" t="str">
        <f>IF(Table35[[#This Row],[Capacity1]]&lt;&gt;"-",Table35[[#This Row],[Location]]&amp;RIGHT(Table35[[#Headers],[Facility_2]],1)&amp;"F","-")</f>
        <v>H2822F</v>
      </c>
      <c r="H310" s="6" t="str">
        <f t="shared" si="287"/>
        <v>TerHea</v>
      </c>
      <c r="I310" s="23">
        <f t="shared" si="288"/>
        <v>9999</v>
      </c>
      <c r="J310" s="5" t="str">
        <f>IF(Table35[[#This Row],[Capacity1]]*X310&gt;=$Y$5,Table35[[#This Row],[Location]]&amp;RIGHT(Table35[[#Headers],[Facility_3]],1)&amp;"F","-")</f>
        <v>H2823F</v>
      </c>
      <c r="K310" s="2" t="str">
        <f t="shared" ref="K310" si="342">IF(J310="-","-","CHPpl_")</f>
        <v>CHPpl_</v>
      </c>
      <c r="L310" s="14">
        <f t="shared" si="291"/>
        <v>0</v>
      </c>
      <c r="V310" s="1">
        <v>2.7225999999999999</v>
      </c>
      <c r="W310" s="1">
        <v>1</v>
      </c>
      <c r="X310" s="1">
        <v>0</v>
      </c>
    </row>
    <row r="311" spans="1:24" x14ac:dyDescent="0.25">
      <c r="A311" s="1" t="s">
        <v>129</v>
      </c>
      <c r="B311" s="1">
        <v>6688463.8942728098</v>
      </c>
      <c r="C311" s="1">
        <v>540832.811241035</v>
      </c>
      <c r="D311" s="5" t="str">
        <f t="shared" si="284"/>
        <v>H1301F</v>
      </c>
      <c r="E311" s="6" t="str">
        <f t="shared" si="285"/>
        <v>Heatpl</v>
      </c>
      <c r="F311" s="14">
        <f t="shared" si="286"/>
        <v>3120</v>
      </c>
      <c r="G311" s="5" t="str">
        <f>IF(Table35[[#This Row],[Capacity1]]&lt;&gt;"-",Table35[[#This Row],[Location]]&amp;RIGHT(Table35[[#Headers],[Facility_2]],1)&amp;"F","-")</f>
        <v>H1302F</v>
      </c>
      <c r="H311" s="6" t="str">
        <f t="shared" si="287"/>
        <v>TerHea</v>
      </c>
      <c r="I311" s="23">
        <f t="shared" si="288"/>
        <v>9999</v>
      </c>
      <c r="J311" s="5" t="str">
        <f>IF(Table35[[#This Row],[Capacity1]]*X311&gt;=$Y$5,Table35[[#This Row],[Location]]&amp;RIGHT(Table35[[#Headers],[Facility_3]],1)&amp;"F","-")</f>
        <v>H1303F</v>
      </c>
      <c r="K311" s="2" t="str">
        <f t="shared" ref="K311" si="343">IF(J311="-","-","CHPpl_")</f>
        <v>CHPpl_</v>
      </c>
      <c r="L311" s="14">
        <f t="shared" si="291"/>
        <v>0</v>
      </c>
      <c r="V311" s="1">
        <v>2.6</v>
      </c>
      <c r="W311" s="1">
        <v>1</v>
      </c>
      <c r="X311" s="1">
        <v>0</v>
      </c>
    </row>
    <row r="312" spans="1:24" x14ac:dyDescent="0.25">
      <c r="A312" s="1" t="s">
        <v>16</v>
      </c>
      <c r="B312" s="1">
        <v>6493900.5539999995</v>
      </c>
      <c r="C312" s="1">
        <v>441842.95799999998</v>
      </c>
      <c r="D312" s="5" t="str">
        <f t="shared" si="284"/>
        <v>H171F</v>
      </c>
      <c r="E312" s="6" t="str">
        <f t="shared" si="285"/>
        <v>Heatpl</v>
      </c>
      <c r="F312" s="14">
        <f t="shared" si="286"/>
        <v>3096</v>
      </c>
      <c r="G312" s="5" t="str">
        <f>IF(Table35[[#This Row],[Capacity1]]&lt;&gt;"-",Table35[[#This Row],[Location]]&amp;RIGHT(Table35[[#Headers],[Facility_2]],1)&amp;"F","-")</f>
        <v>H172F</v>
      </c>
      <c r="H312" s="6" t="str">
        <f t="shared" si="287"/>
        <v>TerHea</v>
      </c>
      <c r="I312" s="23">
        <f t="shared" si="288"/>
        <v>9999</v>
      </c>
      <c r="J312" s="5" t="str">
        <f>IF(Table35[[#This Row],[Capacity1]]*X312&gt;=$Y$5,Table35[[#This Row],[Location]]&amp;RIGHT(Table35[[#Headers],[Facility_3]],1)&amp;"F","-")</f>
        <v>H173F</v>
      </c>
      <c r="K312" s="2" t="str">
        <f t="shared" ref="K312" si="344">IF(J312="-","-","CHPpl_")</f>
        <v>CHPpl_</v>
      </c>
      <c r="L312" s="14">
        <f t="shared" si="291"/>
        <v>0</v>
      </c>
      <c r="V312" s="1">
        <v>2.58</v>
      </c>
      <c r="W312" s="1">
        <v>1</v>
      </c>
      <c r="X312" s="1">
        <v>0</v>
      </c>
    </row>
    <row r="313" spans="1:24" x14ac:dyDescent="0.25">
      <c r="A313" s="1" t="s">
        <v>127</v>
      </c>
      <c r="B313" s="1">
        <v>6694845.0741511704</v>
      </c>
      <c r="C313" s="1">
        <v>404744.09701003402</v>
      </c>
      <c r="D313" s="5" t="str">
        <f t="shared" si="284"/>
        <v>H1281F</v>
      </c>
      <c r="E313" s="6" t="str">
        <f t="shared" si="285"/>
        <v>Heatpl</v>
      </c>
      <c r="F313" s="14">
        <f t="shared" si="286"/>
        <v>3092.4</v>
      </c>
      <c r="G313" s="5" t="str">
        <f>IF(Table35[[#This Row],[Capacity1]]&lt;&gt;"-",Table35[[#This Row],[Location]]&amp;RIGHT(Table35[[#Headers],[Facility_2]],1)&amp;"F","-")</f>
        <v>H1282F</v>
      </c>
      <c r="H313" s="6" t="str">
        <f t="shared" si="287"/>
        <v>TerHea</v>
      </c>
      <c r="I313" s="23">
        <f t="shared" si="288"/>
        <v>9999</v>
      </c>
      <c r="J313" s="5" t="str">
        <f>IF(Table35[[#This Row],[Capacity1]]*X313&gt;=$Y$5,Table35[[#This Row],[Location]]&amp;RIGHT(Table35[[#Headers],[Facility_3]],1)&amp;"F","-")</f>
        <v>H1283F</v>
      </c>
      <c r="K313" s="2" t="str">
        <f t="shared" ref="K313" si="345">IF(J313="-","-","CHPpl_")</f>
        <v>CHPpl_</v>
      </c>
      <c r="L313" s="14">
        <f t="shared" si="291"/>
        <v>0</v>
      </c>
      <c r="V313" s="1">
        <v>2.577</v>
      </c>
      <c r="W313" s="1">
        <v>1</v>
      </c>
      <c r="X313" s="1">
        <v>0</v>
      </c>
    </row>
    <row r="314" spans="1:24" x14ac:dyDescent="0.25">
      <c r="A314" s="1" t="s">
        <v>48</v>
      </c>
      <c r="B314" s="1">
        <v>7282203.9361098697</v>
      </c>
      <c r="C314" s="1">
        <v>642827.20055546798</v>
      </c>
      <c r="D314" s="5" t="str">
        <f t="shared" si="284"/>
        <v>H491F</v>
      </c>
      <c r="E314" s="6" t="str">
        <f t="shared" si="285"/>
        <v>Heatpl</v>
      </c>
      <c r="F314" s="14">
        <f t="shared" si="286"/>
        <v>2840.3999999999996</v>
      </c>
      <c r="G314" s="5" t="str">
        <f>IF(Table35[[#This Row],[Capacity1]]&lt;&gt;"-",Table35[[#This Row],[Location]]&amp;RIGHT(Table35[[#Headers],[Facility_2]],1)&amp;"F","-")</f>
        <v>H492F</v>
      </c>
      <c r="H314" s="6" t="str">
        <f t="shared" si="287"/>
        <v>TerHea</v>
      </c>
      <c r="I314" s="23">
        <f t="shared" si="288"/>
        <v>9999</v>
      </c>
      <c r="J314" s="5" t="str">
        <f>IF(Table35[[#This Row],[Capacity1]]*X314&gt;=$Y$5,Table35[[#This Row],[Location]]&amp;RIGHT(Table35[[#Headers],[Facility_3]],1)&amp;"F","-")</f>
        <v>H493F</v>
      </c>
      <c r="K314" s="2" t="str">
        <f t="shared" ref="K314" si="346">IF(J314="-","-","CHPpl_")</f>
        <v>CHPpl_</v>
      </c>
      <c r="L314" s="14">
        <f t="shared" si="291"/>
        <v>0</v>
      </c>
      <c r="V314" s="1">
        <v>2.367</v>
      </c>
      <c r="W314" s="1">
        <v>1</v>
      </c>
      <c r="X314" s="1">
        <v>0</v>
      </c>
    </row>
    <row r="315" spans="1:24" x14ac:dyDescent="0.25">
      <c r="A315" s="1" t="s">
        <v>75</v>
      </c>
      <c r="B315" s="1">
        <v>7035101.0672674896</v>
      </c>
      <c r="C315" s="1">
        <v>594919.16054835496</v>
      </c>
      <c r="D315" s="5" t="str">
        <f t="shared" si="284"/>
        <v>H761F</v>
      </c>
      <c r="E315" s="6" t="str">
        <f t="shared" si="285"/>
        <v>Heatpl</v>
      </c>
      <c r="F315" s="14">
        <f t="shared" si="286"/>
        <v>2760</v>
      </c>
      <c r="G315" s="5" t="str">
        <f>IF(Table35[[#This Row],[Capacity1]]&lt;&gt;"-",Table35[[#This Row],[Location]]&amp;RIGHT(Table35[[#Headers],[Facility_2]],1)&amp;"F","-")</f>
        <v>H762F</v>
      </c>
      <c r="H315" s="6" t="str">
        <f t="shared" si="287"/>
        <v>TerHea</v>
      </c>
      <c r="I315" s="23">
        <f t="shared" si="288"/>
        <v>9999</v>
      </c>
      <c r="J315" s="5" t="str">
        <f>IF(Table35[[#This Row],[Capacity1]]*X315&gt;=$Y$5,Table35[[#This Row],[Location]]&amp;RIGHT(Table35[[#Headers],[Facility_3]],1)&amp;"F","-")</f>
        <v>H763F</v>
      </c>
      <c r="K315" s="2" t="str">
        <f t="shared" ref="K315" si="347">IF(J315="-","-","CHPpl_")</f>
        <v>CHPpl_</v>
      </c>
      <c r="L315" s="14">
        <f t="shared" si="291"/>
        <v>0</v>
      </c>
      <c r="V315" s="1">
        <v>2.2999999999999998</v>
      </c>
      <c r="W315" s="1">
        <v>1</v>
      </c>
      <c r="X315" s="1">
        <v>0</v>
      </c>
    </row>
    <row r="316" spans="1:24" x14ac:dyDescent="0.25">
      <c r="A316" s="1" t="s">
        <v>78</v>
      </c>
      <c r="B316" s="1">
        <v>7030696.4206447797</v>
      </c>
      <c r="C316" s="1">
        <v>708057.34217279102</v>
      </c>
      <c r="D316" s="5" t="str">
        <f t="shared" si="284"/>
        <v>H791F</v>
      </c>
      <c r="E316" s="6" t="str">
        <f t="shared" si="285"/>
        <v>Heatpl</v>
      </c>
      <c r="F316" s="14">
        <f t="shared" si="286"/>
        <v>2751.5279999999998</v>
      </c>
      <c r="G316" s="5" t="str">
        <f>IF(Table35[[#This Row],[Capacity1]]&lt;&gt;"-",Table35[[#This Row],[Location]]&amp;RIGHT(Table35[[#Headers],[Facility_2]],1)&amp;"F","-")</f>
        <v>H792F</v>
      </c>
      <c r="H316" s="6" t="str">
        <f t="shared" si="287"/>
        <v>TerHea</v>
      </c>
      <c r="I316" s="23">
        <f t="shared" si="288"/>
        <v>9999</v>
      </c>
      <c r="J316" s="5" t="str">
        <f>IF(Table35[[#This Row],[Capacity1]]*X316&gt;=$Y$5,Table35[[#This Row],[Location]]&amp;RIGHT(Table35[[#Headers],[Facility_3]],1)&amp;"F","-")</f>
        <v>H793F</v>
      </c>
      <c r="K316" s="2" t="str">
        <f t="shared" ref="K316" si="348">IF(J316="-","-","CHPpl_")</f>
        <v>CHPpl_</v>
      </c>
      <c r="L316" s="14">
        <f t="shared" si="291"/>
        <v>0</v>
      </c>
      <c r="V316" s="1">
        <v>2.2929400000000002</v>
      </c>
      <c r="W316" s="1">
        <v>1</v>
      </c>
      <c r="X316" s="1">
        <v>0</v>
      </c>
    </row>
    <row r="317" spans="1:24" x14ac:dyDescent="0.25">
      <c r="A317" s="1" t="s">
        <v>328</v>
      </c>
      <c r="B317" s="1">
        <v>6240215.61600227</v>
      </c>
      <c r="C317" s="1">
        <v>370878.264871069</v>
      </c>
      <c r="D317" s="5" t="str">
        <f t="shared" si="284"/>
        <v>H3291F</v>
      </c>
      <c r="E317" s="6" t="str">
        <f t="shared" si="285"/>
        <v>Heatpl</v>
      </c>
      <c r="F317" s="14">
        <f t="shared" si="286"/>
        <v>2627.9999999999995</v>
      </c>
      <c r="G317" s="5" t="str">
        <f>IF(Table35[[#This Row],[Capacity1]]&lt;&gt;"-",Table35[[#This Row],[Location]]&amp;RIGHT(Table35[[#Headers],[Facility_2]],1)&amp;"F","-")</f>
        <v>H3292F</v>
      </c>
      <c r="H317" s="6" t="str">
        <f t="shared" si="287"/>
        <v>TerHea</v>
      </c>
      <c r="I317" s="23">
        <f t="shared" si="288"/>
        <v>9999</v>
      </c>
      <c r="J317" s="5" t="str">
        <f>IF(Table35[[#This Row],[Capacity1]]*X317&gt;=$Y$5,Table35[[#This Row],[Location]]&amp;RIGHT(Table35[[#Headers],[Facility_3]],1)&amp;"F","-")</f>
        <v>H3293F</v>
      </c>
      <c r="K317" s="2" t="str">
        <f t="shared" ref="K317" si="349">IF(J317="-","-","CHPpl_")</f>
        <v>CHPpl_</v>
      </c>
      <c r="L317" s="14">
        <f t="shared" si="291"/>
        <v>0</v>
      </c>
      <c r="V317" s="1">
        <v>2.19</v>
      </c>
      <c r="W317" s="1">
        <v>1</v>
      </c>
      <c r="X317" s="1">
        <v>0</v>
      </c>
    </row>
    <row r="318" spans="1:24" x14ac:dyDescent="0.25">
      <c r="A318" s="1" t="s">
        <v>274</v>
      </c>
      <c r="B318" s="1">
        <v>6395672.42183726</v>
      </c>
      <c r="C318" s="1">
        <v>488304.347814187</v>
      </c>
      <c r="D318" s="5" t="str">
        <f t="shared" si="284"/>
        <v>H2751F</v>
      </c>
      <c r="E318" s="6" t="str">
        <f t="shared" si="285"/>
        <v>Heatpl</v>
      </c>
      <c r="F318" s="14">
        <f t="shared" si="286"/>
        <v>2450.3999999999996</v>
      </c>
      <c r="G318" s="5" t="str">
        <f>IF(Table35[[#This Row],[Capacity1]]&lt;&gt;"-",Table35[[#This Row],[Location]]&amp;RIGHT(Table35[[#Headers],[Facility_2]],1)&amp;"F","-")</f>
        <v>H2752F</v>
      </c>
      <c r="H318" s="6" t="str">
        <f t="shared" si="287"/>
        <v>TerHea</v>
      </c>
      <c r="I318" s="23">
        <f t="shared" si="288"/>
        <v>9999</v>
      </c>
      <c r="J318" s="5" t="str">
        <f>IF(Table35[[#This Row],[Capacity1]]*X318&gt;=$Y$5,Table35[[#This Row],[Location]]&amp;RIGHT(Table35[[#Headers],[Facility_3]],1)&amp;"F","-")</f>
        <v>H2753F</v>
      </c>
      <c r="K318" s="2" t="str">
        <f t="shared" ref="K318" si="350">IF(J318="-","-","CHPpl_")</f>
        <v>CHPpl_</v>
      </c>
      <c r="L318" s="14">
        <f t="shared" si="291"/>
        <v>0</v>
      </c>
      <c r="V318" s="1">
        <v>2.0419999999999998</v>
      </c>
      <c r="W318" s="1">
        <v>1</v>
      </c>
      <c r="X318" s="1">
        <v>0</v>
      </c>
    </row>
    <row r="319" spans="1:24" x14ac:dyDescent="0.25">
      <c r="A319" s="1" t="s">
        <v>49</v>
      </c>
      <c r="B319" s="1">
        <v>7274229.1031770902</v>
      </c>
      <c r="C319" s="1">
        <v>809210.08315035899</v>
      </c>
      <c r="D319" s="5" t="str">
        <f t="shared" si="284"/>
        <v>H501F</v>
      </c>
      <c r="E319" s="6" t="str">
        <f t="shared" si="285"/>
        <v>Heatpl</v>
      </c>
      <c r="F319" s="14">
        <f t="shared" si="286"/>
        <v>2442.3479999999995</v>
      </c>
      <c r="G319" s="5" t="str">
        <f>IF(Table35[[#This Row],[Capacity1]]&lt;&gt;"-",Table35[[#This Row],[Location]]&amp;RIGHT(Table35[[#Headers],[Facility_2]],1)&amp;"F","-")</f>
        <v>H502F</v>
      </c>
      <c r="H319" s="6" t="str">
        <f t="shared" si="287"/>
        <v>TerHea</v>
      </c>
      <c r="I319" s="23">
        <f t="shared" si="288"/>
        <v>9999</v>
      </c>
      <c r="J319" s="5" t="str">
        <f>IF(Table35[[#This Row],[Capacity1]]*X319&gt;=$Y$5,Table35[[#This Row],[Location]]&amp;RIGHT(Table35[[#Headers],[Facility_3]],1)&amp;"F","-")</f>
        <v>H503F</v>
      </c>
      <c r="K319" s="2" t="str">
        <f t="shared" ref="K319" si="351">IF(J319="-","-","CHPpl_")</f>
        <v>CHPpl_</v>
      </c>
      <c r="L319" s="14">
        <f t="shared" si="291"/>
        <v>0</v>
      </c>
      <c r="V319" s="1">
        <v>2.0352899999999998</v>
      </c>
      <c r="W319" s="1">
        <v>1</v>
      </c>
      <c r="X319" s="1">
        <v>0</v>
      </c>
    </row>
    <row r="320" spans="1:24" x14ac:dyDescent="0.25">
      <c r="A320" s="1" t="s">
        <v>306</v>
      </c>
      <c r="B320" s="1">
        <v>6334466.3203747803</v>
      </c>
      <c r="C320" s="1">
        <v>415837.13367559901</v>
      </c>
      <c r="D320" s="5" t="str">
        <f t="shared" si="284"/>
        <v>H3071F</v>
      </c>
      <c r="E320" s="6" t="str">
        <f t="shared" si="285"/>
        <v>Heatpl</v>
      </c>
      <c r="F320" s="14">
        <f t="shared" si="286"/>
        <v>2383.1999999999998</v>
      </c>
      <c r="G320" s="5" t="str">
        <f>IF(Table35[[#This Row],[Capacity1]]&lt;&gt;"-",Table35[[#This Row],[Location]]&amp;RIGHT(Table35[[#Headers],[Facility_2]],1)&amp;"F","-")</f>
        <v>H3072F</v>
      </c>
      <c r="H320" s="6" t="str">
        <f t="shared" si="287"/>
        <v>TerHea</v>
      </c>
      <c r="I320" s="23">
        <f t="shared" si="288"/>
        <v>9999</v>
      </c>
      <c r="J320" s="5" t="str">
        <f>IF(Table35[[#This Row],[Capacity1]]*X320&gt;=$Y$5,Table35[[#This Row],[Location]]&amp;RIGHT(Table35[[#Headers],[Facility_3]],1)&amp;"F","-")</f>
        <v>H3073F</v>
      </c>
      <c r="K320" s="2" t="str">
        <f t="shared" ref="K320" si="352">IF(J320="-","-","CHPpl_")</f>
        <v>CHPpl_</v>
      </c>
      <c r="L320" s="14">
        <f t="shared" si="291"/>
        <v>0</v>
      </c>
      <c r="V320" s="1">
        <v>1.986</v>
      </c>
      <c r="W320" s="1">
        <v>1</v>
      </c>
      <c r="X320" s="1">
        <v>0</v>
      </c>
    </row>
    <row r="321" spans="1:24" x14ac:dyDescent="0.25">
      <c r="A321" s="1" t="s">
        <v>196</v>
      </c>
      <c r="B321" s="1">
        <v>6551908.4967822004</v>
      </c>
      <c r="C321" s="1">
        <v>472462.87087711698</v>
      </c>
      <c r="D321" s="5" t="str">
        <f t="shared" si="284"/>
        <v>H1971F</v>
      </c>
      <c r="E321" s="6" t="str">
        <f t="shared" si="285"/>
        <v>Heatpl</v>
      </c>
      <c r="F321" s="14">
        <f t="shared" si="286"/>
        <v>2221.2000000000003</v>
      </c>
      <c r="G321" s="5" t="str">
        <f>IF(Table35[[#This Row],[Capacity1]]&lt;&gt;"-",Table35[[#This Row],[Location]]&amp;RIGHT(Table35[[#Headers],[Facility_2]],1)&amp;"F","-")</f>
        <v>H1972F</v>
      </c>
      <c r="H321" s="6" t="str">
        <f t="shared" si="287"/>
        <v>TerHea</v>
      </c>
      <c r="I321" s="23">
        <f t="shared" si="288"/>
        <v>9999</v>
      </c>
      <c r="J321" s="5" t="str">
        <f>IF(Table35[[#This Row],[Capacity1]]*X321&gt;=$Y$5,Table35[[#This Row],[Location]]&amp;RIGHT(Table35[[#Headers],[Facility_3]],1)&amp;"F","-")</f>
        <v>H1973F</v>
      </c>
      <c r="K321" s="2" t="str">
        <f t="shared" ref="K321" si="353">IF(J321="-","-","CHPpl_")</f>
        <v>CHPpl_</v>
      </c>
      <c r="L321" s="14">
        <f t="shared" si="291"/>
        <v>0</v>
      </c>
      <c r="V321" s="1">
        <v>1.851</v>
      </c>
      <c r="W321" s="1">
        <v>1</v>
      </c>
      <c r="X321" s="1">
        <v>0</v>
      </c>
    </row>
    <row r="322" spans="1:24" x14ac:dyDescent="0.25">
      <c r="A322" s="1" t="s">
        <v>142</v>
      </c>
      <c r="B322" s="1">
        <v>6657440.2617340796</v>
      </c>
      <c r="C322" s="1">
        <v>550893.68900930404</v>
      </c>
      <c r="D322" s="5" t="str">
        <f t="shared" ref="D322:D359" si="354">$A322&amp;RIGHT(D$1,1)&amp;"F"</f>
        <v>H1431F</v>
      </c>
      <c r="E322" s="6" t="str">
        <f t="shared" ref="E322:E359" si="355">IF(D322="-","-","Heatpl")</f>
        <v>Heatpl</v>
      </c>
      <c r="F322" s="14">
        <f t="shared" ref="F322:F359" si="356">IF(1.2*1000*$V322&gt;=$Y$3,1.2*$V322*1000,"-")</f>
        <v>1890.6719999999998</v>
      </c>
      <c r="G322" s="5" t="str">
        <f>IF(Table35[[#This Row],[Capacity1]]&lt;&gt;"-",Table35[[#This Row],[Location]]&amp;RIGHT(Table35[[#Headers],[Facility_2]],1)&amp;"F","-")</f>
        <v>H1432F</v>
      </c>
      <c r="H322" s="6" t="str">
        <f t="shared" ref="H322:H359" si="357">IF(G322="-","-","TerHea")</f>
        <v>TerHea</v>
      </c>
      <c r="I322" s="23">
        <f t="shared" ref="I322:I359" si="358">IF(H322="-",0,9999)</f>
        <v>9999</v>
      </c>
      <c r="J322" s="5" t="str">
        <f>IF(Table35[[#This Row],[Capacity1]]*X322&gt;=$Y$5,Table35[[#This Row],[Location]]&amp;RIGHT(Table35[[#Headers],[Facility_3]],1)&amp;"F","-")</f>
        <v>H1433F</v>
      </c>
      <c r="K322" s="2" t="str">
        <f t="shared" ref="K322" si="359">IF(J322="-","-","CHPpl_")</f>
        <v>CHPpl_</v>
      </c>
      <c r="L322" s="14">
        <f t="shared" si="291"/>
        <v>0</v>
      </c>
      <c r="V322" s="1">
        <v>1.5755600000000001</v>
      </c>
      <c r="W322" s="1">
        <v>1</v>
      </c>
      <c r="X322" s="1">
        <v>0</v>
      </c>
    </row>
    <row r="323" spans="1:24" x14ac:dyDescent="0.25">
      <c r="A323" s="1" t="s">
        <v>26</v>
      </c>
      <c r="B323" s="1">
        <v>6374609.8150000004</v>
      </c>
      <c r="C323" s="1">
        <v>359869.85499999998</v>
      </c>
      <c r="D323" s="5" t="str">
        <f t="shared" si="354"/>
        <v>H271F</v>
      </c>
      <c r="E323" s="6" t="str">
        <f t="shared" si="355"/>
        <v>Heatpl</v>
      </c>
      <c r="F323" s="14">
        <f t="shared" si="356"/>
        <v>1820.3999999999999</v>
      </c>
      <c r="G323" s="5" t="str">
        <f>IF(Table35[[#This Row],[Capacity1]]&lt;&gt;"-",Table35[[#This Row],[Location]]&amp;RIGHT(Table35[[#Headers],[Facility_2]],1)&amp;"F","-")</f>
        <v>H272F</v>
      </c>
      <c r="H323" s="6" t="str">
        <f t="shared" si="357"/>
        <v>TerHea</v>
      </c>
      <c r="I323" s="23">
        <f t="shared" si="358"/>
        <v>9999</v>
      </c>
      <c r="J323" s="5" t="str">
        <f>IF(Table35[[#This Row],[Capacity1]]*X323&gt;=$Y$5,Table35[[#This Row],[Location]]&amp;RIGHT(Table35[[#Headers],[Facility_3]],1)&amp;"F","-")</f>
        <v>H273F</v>
      </c>
      <c r="K323" s="2" t="str">
        <f t="shared" ref="K323" si="360">IF(J323="-","-","CHPpl_")</f>
        <v>CHPpl_</v>
      </c>
      <c r="L323" s="14">
        <f t="shared" ref="L323:L386" si="361">IF(K323="-","-",F323*X323)</f>
        <v>0</v>
      </c>
      <c r="V323" s="1">
        <v>1.5169999999999999</v>
      </c>
      <c r="W323" s="1">
        <v>1</v>
      </c>
      <c r="X323" s="1">
        <v>0</v>
      </c>
    </row>
    <row r="324" spans="1:24" x14ac:dyDescent="0.25">
      <c r="A324" s="1" t="s">
        <v>257</v>
      </c>
      <c r="B324" s="1">
        <v>6414154.3673454998</v>
      </c>
      <c r="C324" s="1">
        <v>320183.08311222401</v>
      </c>
      <c r="D324" s="5" t="str">
        <f t="shared" si="354"/>
        <v>H2581F</v>
      </c>
      <c r="E324" s="6" t="str">
        <f t="shared" si="355"/>
        <v>Heatpl</v>
      </c>
      <c r="F324" s="14">
        <f t="shared" si="356"/>
        <v>1572</v>
      </c>
      <c r="G324" s="5" t="str">
        <f>IF(Table35[[#This Row],[Capacity1]]&lt;&gt;"-",Table35[[#This Row],[Location]]&amp;RIGHT(Table35[[#Headers],[Facility_2]],1)&amp;"F","-")</f>
        <v>H2582F</v>
      </c>
      <c r="H324" s="6" t="str">
        <f t="shared" si="357"/>
        <v>TerHea</v>
      </c>
      <c r="I324" s="23">
        <f t="shared" si="358"/>
        <v>9999</v>
      </c>
      <c r="J324" s="5" t="str">
        <f>IF(Table35[[#This Row],[Capacity1]]*X324&gt;=$Y$5,Table35[[#This Row],[Location]]&amp;RIGHT(Table35[[#Headers],[Facility_3]],1)&amp;"F","-")</f>
        <v>H2583F</v>
      </c>
      <c r="K324" s="2" t="str">
        <f t="shared" ref="K324" si="362">IF(J324="-","-","CHPpl_")</f>
        <v>CHPpl_</v>
      </c>
      <c r="L324" s="14">
        <f t="shared" si="361"/>
        <v>0</v>
      </c>
      <c r="V324" s="1">
        <v>1.31</v>
      </c>
      <c r="W324" s="1">
        <v>1</v>
      </c>
      <c r="X324" s="1">
        <v>0</v>
      </c>
    </row>
    <row r="325" spans="1:24" x14ac:dyDescent="0.25">
      <c r="A325" s="1" t="s">
        <v>22</v>
      </c>
      <c r="B325" s="1">
        <v>6412295.227</v>
      </c>
      <c r="C325" s="1">
        <v>407222.46100000001</v>
      </c>
      <c r="D325" s="5" t="str">
        <f t="shared" si="354"/>
        <v>H231F</v>
      </c>
      <c r="E325" s="6" t="str">
        <f t="shared" si="355"/>
        <v>Heatpl</v>
      </c>
      <c r="F325" s="14">
        <f t="shared" si="356"/>
        <v>1352.7839999999999</v>
      </c>
      <c r="G325" s="5" t="str">
        <f>IF(Table35[[#This Row],[Capacity1]]&lt;&gt;"-",Table35[[#This Row],[Location]]&amp;RIGHT(Table35[[#Headers],[Facility_2]],1)&amp;"F","-")</f>
        <v>H232F</v>
      </c>
      <c r="H325" s="6" t="str">
        <f t="shared" si="357"/>
        <v>TerHea</v>
      </c>
      <c r="I325" s="23">
        <f t="shared" si="358"/>
        <v>9999</v>
      </c>
      <c r="J325" s="5" t="str">
        <f>IF(Table35[[#This Row],[Capacity1]]*X325&gt;=$Y$5,Table35[[#This Row],[Location]]&amp;RIGHT(Table35[[#Headers],[Facility_3]],1)&amp;"F","-")</f>
        <v>H233F</v>
      </c>
      <c r="K325" s="2" t="str">
        <f t="shared" ref="K325" si="363">IF(J325="-","-","CHPpl_")</f>
        <v>CHPpl_</v>
      </c>
      <c r="L325" s="14">
        <f t="shared" si="361"/>
        <v>0</v>
      </c>
      <c r="V325" s="1">
        <v>1.1273200000000001</v>
      </c>
      <c r="W325" s="1">
        <v>1</v>
      </c>
      <c r="X325" s="1">
        <v>0</v>
      </c>
    </row>
    <row r="326" spans="1:24" x14ac:dyDescent="0.25">
      <c r="A326" s="1" t="s">
        <v>258</v>
      </c>
      <c r="B326" s="1">
        <v>6414154.3673454998</v>
      </c>
      <c r="C326" s="1">
        <v>320183.08311222401</v>
      </c>
      <c r="D326" s="5" t="str">
        <f t="shared" si="354"/>
        <v>H2591F</v>
      </c>
      <c r="E326" s="6" t="str">
        <f t="shared" si="355"/>
        <v>Heatpl</v>
      </c>
      <c r="F326" s="14">
        <f t="shared" si="356"/>
        <v>1176</v>
      </c>
      <c r="G326" s="5" t="str">
        <f>IF(Table35[[#This Row],[Capacity1]]&lt;&gt;"-",Table35[[#This Row],[Location]]&amp;RIGHT(Table35[[#Headers],[Facility_2]],1)&amp;"F","-")</f>
        <v>H2592F</v>
      </c>
      <c r="H326" s="6" t="str">
        <f t="shared" si="357"/>
        <v>TerHea</v>
      </c>
      <c r="I326" s="23">
        <f t="shared" si="358"/>
        <v>9999</v>
      </c>
      <c r="J326" s="5" t="str">
        <f>IF(Table35[[#This Row],[Capacity1]]*X326&gt;=$Y$5,Table35[[#This Row],[Location]]&amp;RIGHT(Table35[[#Headers],[Facility_3]],1)&amp;"F","-")</f>
        <v>H2593F</v>
      </c>
      <c r="K326" s="2" t="str">
        <f t="shared" ref="K326" si="364">IF(J326="-","-","CHPpl_")</f>
        <v>CHPpl_</v>
      </c>
      <c r="L326" s="14">
        <f t="shared" si="361"/>
        <v>0</v>
      </c>
      <c r="V326" s="1">
        <v>0.98</v>
      </c>
      <c r="W326" s="1">
        <v>1</v>
      </c>
      <c r="X326" s="1">
        <v>0</v>
      </c>
    </row>
    <row r="327" spans="1:24" x14ac:dyDescent="0.25">
      <c r="A327" s="1" t="s">
        <v>249</v>
      </c>
      <c r="B327" s="1">
        <v>6431001.8169295201</v>
      </c>
      <c r="C327" s="1">
        <v>311323.012637173</v>
      </c>
      <c r="D327" s="5" t="str">
        <f t="shared" si="354"/>
        <v>H2501F</v>
      </c>
      <c r="E327" s="6" t="str">
        <f t="shared" si="355"/>
        <v>Heatpl</v>
      </c>
      <c r="F327" s="14">
        <f t="shared" si="356"/>
        <v>1032</v>
      </c>
      <c r="G327" s="5" t="str">
        <f>IF(Table35[[#This Row],[Capacity1]]&lt;&gt;"-",Table35[[#This Row],[Location]]&amp;RIGHT(Table35[[#Headers],[Facility_2]],1)&amp;"F","-")</f>
        <v>H2502F</v>
      </c>
      <c r="H327" s="6" t="str">
        <f t="shared" si="357"/>
        <v>TerHea</v>
      </c>
      <c r="I327" s="23">
        <f t="shared" si="358"/>
        <v>9999</v>
      </c>
      <c r="J327" s="5" t="str">
        <f>IF(Table35[[#This Row],[Capacity1]]*X327&gt;=$Y$5,Table35[[#This Row],[Location]]&amp;RIGHT(Table35[[#Headers],[Facility_3]],1)&amp;"F","-")</f>
        <v>H2503F</v>
      </c>
      <c r="K327" s="2" t="str">
        <f t="shared" ref="K327" si="365">IF(J327="-","-","CHPpl_")</f>
        <v>CHPpl_</v>
      </c>
      <c r="L327" s="14">
        <f t="shared" si="361"/>
        <v>0</v>
      </c>
      <c r="V327" s="1">
        <v>0.86</v>
      </c>
      <c r="W327" s="1">
        <v>1</v>
      </c>
      <c r="X327" s="1">
        <v>0</v>
      </c>
    </row>
    <row r="328" spans="1:24" x14ac:dyDescent="0.25">
      <c r="A328" s="1" t="s">
        <v>172</v>
      </c>
      <c r="B328" s="1">
        <v>6589404.1536645098</v>
      </c>
      <c r="C328" s="1">
        <v>575348.99238033802</v>
      </c>
      <c r="D328" s="5" t="str">
        <f t="shared" si="354"/>
        <v>H1731F</v>
      </c>
      <c r="E328" s="6" t="str">
        <f t="shared" si="355"/>
        <v>Heatpl</v>
      </c>
      <c r="F328" s="14">
        <f t="shared" si="356"/>
        <v>1030.8</v>
      </c>
      <c r="G328" s="5" t="str">
        <f>IF(Table35[[#This Row],[Capacity1]]&lt;&gt;"-",Table35[[#This Row],[Location]]&amp;RIGHT(Table35[[#Headers],[Facility_2]],1)&amp;"F","-")</f>
        <v>H1732F</v>
      </c>
      <c r="H328" s="6" t="str">
        <f t="shared" si="357"/>
        <v>TerHea</v>
      </c>
      <c r="I328" s="23">
        <f t="shared" si="358"/>
        <v>9999</v>
      </c>
      <c r="J328" s="5" t="str">
        <f>IF(Table35[[#This Row],[Capacity1]]*X328&gt;=$Y$5,Table35[[#This Row],[Location]]&amp;RIGHT(Table35[[#Headers],[Facility_3]],1)&amp;"F","-")</f>
        <v>H1733F</v>
      </c>
      <c r="K328" s="2" t="str">
        <f t="shared" ref="K328" si="366">IF(J328="-","-","CHPpl_")</f>
        <v>CHPpl_</v>
      </c>
      <c r="L328" s="14">
        <f t="shared" si="361"/>
        <v>0</v>
      </c>
      <c r="V328" s="1">
        <v>0.85899999999999999</v>
      </c>
      <c r="W328" s="1">
        <v>1</v>
      </c>
      <c r="X328" s="1">
        <v>0</v>
      </c>
    </row>
    <row r="329" spans="1:24" x14ac:dyDescent="0.25">
      <c r="A329" s="1" t="s">
        <v>2</v>
      </c>
      <c r="B329" s="1">
        <v>6338567.551</v>
      </c>
      <c r="C329" s="1">
        <v>443140.33600000001</v>
      </c>
      <c r="D329" s="5" t="str">
        <f t="shared" si="354"/>
        <v>H31F</v>
      </c>
      <c r="E329" s="6" t="str">
        <f t="shared" si="355"/>
        <v>Heatpl</v>
      </c>
      <c r="F329" s="14">
        <f t="shared" si="356"/>
        <v>943.2</v>
      </c>
      <c r="G329" s="5" t="str">
        <f>IF(Table35[[#This Row],[Capacity1]]&lt;&gt;"-",Table35[[#This Row],[Location]]&amp;RIGHT(Table35[[#Headers],[Facility_2]],1)&amp;"F","-")</f>
        <v>H32F</v>
      </c>
      <c r="H329" s="6" t="str">
        <f t="shared" si="357"/>
        <v>TerHea</v>
      </c>
      <c r="I329" s="23">
        <f t="shared" si="358"/>
        <v>9999</v>
      </c>
      <c r="J329" s="5" t="str">
        <f>IF(Table35[[#This Row],[Capacity1]]*X329&gt;=$Y$5,Table35[[#This Row],[Location]]&amp;RIGHT(Table35[[#Headers],[Facility_3]],1)&amp;"F","-")</f>
        <v>H33F</v>
      </c>
      <c r="K329" s="2" t="str">
        <f t="shared" ref="K329" si="367">IF(J329="-","-","CHPpl_")</f>
        <v>CHPpl_</v>
      </c>
      <c r="L329" s="14">
        <f t="shared" si="361"/>
        <v>0</v>
      </c>
      <c r="V329" s="1">
        <v>0.78600000000000003</v>
      </c>
      <c r="W329" s="1">
        <v>1</v>
      </c>
      <c r="X329" s="1">
        <v>0</v>
      </c>
    </row>
    <row r="330" spans="1:24" x14ac:dyDescent="0.25">
      <c r="A330" s="1" t="s">
        <v>4</v>
      </c>
      <c r="B330" s="1">
        <v>6921915.625</v>
      </c>
      <c r="C330" s="1">
        <v>623286.24600000004</v>
      </c>
      <c r="D330" s="5" t="str">
        <f t="shared" si="354"/>
        <v>H51F</v>
      </c>
      <c r="E330" s="6" t="str">
        <f t="shared" si="355"/>
        <v>Heatpl</v>
      </c>
      <c r="F330" s="14">
        <f t="shared" si="356"/>
        <v>927.6</v>
      </c>
      <c r="G330" s="5" t="str">
        <f>IF(Table35[[#This Row],[Capacity1]]&lt;&gt;"-",Table35[[#This Row],[Location]]&amp;RIGHT(Table35[[#Headers],[Facility_2]],1)&amp;"F","-")</f>
        <v>H52F</v>
      </c>
      <c r="H330" s="6" t="str">
        <f t="shared" si="357"/>
        <v>TerHea</v>
      </c>
      <c r="I330" s="23">
        <f t="shared" si="358"/>
        <v>9999</v>
      </c>
      <c r="J330" s="5" t="str">
        <f>IF(Table35[[#This Row],[Capacity1]]*X330&gt;=$Y$5,Table35[[#This Row],[Location]]&amp;RIGHT(Table35[[#Headers],[Facility_3]],1)&amp;"F","-")</f>
        <v>H53F</v>
      </c>
      <c r="K330" s="2" t="str">
        <f t="shared" ref="K330" si="368">IF(J330="-","-","CHPpl_")</f>
        <v>CHPpl_</v>
      </c>
      <c r="L330" s="14">
        <f t="shared" si="361"/>
        <v>0</v>
      </c>
      <c r="V330" s="1">
        <v>0.77300000000000002</v>
      </c>
      <c r="W330" s="1">
        <v>1</v>
      </c>
      <c r="X330" s="1">
        <v>0</v>
      </c>
    </row>
    <row r="331" spans="1:24" x14ac:dyDescent="0.25">
      <c r="A331" s="1" t="s">
        <v>183</v>
      </c>
      <c r="B331" s="1">
        <v>6575968.73078153</v>
      </c>
      <c r="C331" s="1">
        <v>391840.89785756101</v>
      </c>
      <c r="D331" s="5" t="str">
        <f t="shared" si="354"/>
        <v>H1841F</v>
      </c>
      <c r="E331" s="6" t="str">
        <f t="shared" si="355"/>
        <v>Heatpl</v>
      </c>
      <c r="F331" s="14">
        <f t="shared" si="356"/>
        <v>889.88760000000002</v>
      </c>
      <c r="G331" s="5" t="str">
        <f>IF(Table35[[#This Row],[Capacity1]]&lt;&gt;"-",Table35[[#This Row],[Location]]&amp;RIGHT(Table35[[#Headers],[Facility_2]],1)&amp;"F","-")</f>
        <v>H1842F</v>
      </c>
      <c r="H331" s="6" t="str">
        <f t="shared" si="357"/>
        <v>TerHea</v>
      </c>
      <c r="I331" s="23">
        <f t="shared" si="358"/>
        <v>9999</v>
      </c>
      <c r="J331" s="5" t="str">
        <f>IF(Table35[[#This Row],[Capacity1]]*X331&gt;=$Y$5,Table35[[#This Row],[Location]]&amp;RIGHT(Table35[[#Headers],[Facility_3]],1)&amp;"F","-")</f>
        <v>H1843F</v>
      </c>
      <c r="K331" s="2" t="str">
        <f t="shared" ref="K331" si="369">IF(J331="-","-","CHPpl_")</f>
        <v>CHPpl_</v>
      </c>
      <c r="L331" s="14">
        <f t="shared" si="361"/>
        <v>0</v>
      </c>
      <c r="V331" s="1">
        <v>0.74157300000000004</v>
      </c>
      <c r="W331" s="1">
        <v>1</v>
      </c>
      <c r="X331" s="1">
        <v>0</v>
      </c>
    </row>
    <row r="332" spans="1:24" x14ac:dyDescent="0.25">
      <c r="A332" s="1" t="s">
        <v>76</v>
      </c>
      <c r="B332" s="1">
        <v>7032281.1463653101</v>
      </c>
      <c r="C332" s="1">
        <v>672234.07462141803</v>
      </c>
      <c r="D332" s="5" t="str">
        <f t="shared" si="354"/>
        <v>H771F</v>
      </c>
      <c r="E332" s="6" t="str">
        <f t="shared" si="355"/>
        <v>Heatpl</v>
      </c>
      <c r="F332" s="14">
        <f t="shared" si="356"/>
        <v>860.64</v>
      </c>
      <c r="G332" s="5" t="str">
        <f>IF(Table35[[#This Row],[Capacity1]]&lt;&gt;"-",Table35[[#This Row],[Location]]&amp;RIGHT(Table35[[#Headers],[Facility_2]],1)&amp;"F","-")</f>
        <v>H772F</v>
      </c>
      <c r="H332" s="6" t="str">
        <f t="shared" si="357"/>
        <v>TerHea</v>
      </c>
      <c r="I332" s="23">
        <f t="shared" si="358"/>
        <v>9999</v>
      </c>
      <c r="J332" s="5" t="str">
        <f>IF(Table35[[#This Row],[Capacity1]]*X332&gt;=$Y$5,Table35[[#This Row],[Location]]&amp;RIGHT(Table35[[#Headers],[Facility_3]],1)&amp;"F","-")</f>
        <v>H773F</v>
      </c>
      <c r="K332" s="2" t="str">
        <f t="shared" ref="K332" si="370">IF(J332="-","-","CHPpl_")</f>
        <v>CHPpl_</v>
      </c>
      <c r="L332" s="14">
        <f t="shared" si="361"/>
        <v>0</v>
      </c>
      <c r="V332" s="1">
        <v>0.71719999999999995</v>
      </c>
      <c r="W332" s="1">
        <v>1</v>
      </c>
      <c r="X332" s="1">
        <v>0</v>
      </c>
    </row>
    <row r="333" spans="1:24" x14ac:dyDescent="0.25">
      <c r="A333" s="1" t="s">
        <v>345</v>
      </c>
      <c r="B333" s="1">
        <v>6215816.2997281803</v>
      </c>
      <c r="C333" s="1">
        <v>542616.42908732803</v>
      </c>
      <c r="D333" s="5" t="str">
        <f t="shared" si="354"/>
        <v>H3461F</v>
      </c>
      <c r="E333" s="6" t="str">
        <f t="shared" si="355"/>
        <v>Heatpl</v>
      </c>
      <c r="F333" s="14">
        <f t="shared" si="356"/>
        <v>758.4</v>
      </c>
      <c r="G333" s="5" t="str">
        <f>IF(Table35[[#This Row],[Capacity1]]&lt;&gt;"-",Table35[[#This Row],[Location]]&amp;RIGHT(Table35[[#Headers],[Facility_2]],1)&amp;"F","-")</f>
        <v>H3462F</v>
      </c>
      <c r="H333" s="6" t="str">
        <f t="shared" si="357"/>
        <v>TerHea</v>
      </c>
      <c r="I333" s="23">
        <f t="shared" si="358"/>
        <v>9999</v>
      </c>
      <c r="J333" s="5" t="str">
        <f>IF(Table35[[#This Row],[Capacity1]]*X333&gt;=$Y$5,Table35[[#This Row],[Location]]&amp;RIGHT(Table35[[#Headers],[Facility_3]],1)&amp;"F","-")</f>
        <v>H3463F</v>
      </c>
      <c r="K333" s="2" t="str">
        <f t="shared" ref="K333" si="371">IF(J333="-","-","CHPpl_")</f>
        <v>CHPpl_</v>
      </c>
      <c r="L333" s="14">
        <f t="shared" si="361"/>
        <v>0</v>
      </c>
      <c r="V333" s="1">
        <v>0.63200000000000001</v>
      </c>
      <c r="W333" s="1">
        <v>1</v>
      </c>
      <c r="X333" s="1">
        <v>0</v>
      </c>
    </row>
    <row r="334" spans="1:24" x14ac:dyDescent="0.25">
      <c r="A334" s="1" t="s">
        <v>198</v>
      </c>
      <c r="B334" s="1">
        <v>6550856.85231735</v>
      </c>
      <c r="C334" s="1">
        <v>463684.045244465</v>
      </c>
      <c r="D334" s="5" t="str">
        <f t="shared" si="354"/>
        <v>H1991F</v>
      </c>
      <c r="E334" s="6" t="str">
        <f t="shared" si="355"/>
        <v>Heatpl</v>
      </c>
      <c r="F334" s="14">
        <f t="shared" si="356"/>
        <v>724.8</v>
      </c>
      <c r="G334" s="5" t="str">
        <f>IF(Table35[[#This Row],[Capacity1]]&lt;&gt;"-",Table35[[#This Row],[Location]]&amp;RIGHT(Table35[[#Headers],[Facility_2]],1)&amp;"F","-")</f>
        <v>H1992F</v>
      </c>
      <c r="H334" s="6" t="str">
        <f t="shared" si="357"/>
        <v>TerHea</v>
      </c>
      <c r="I334" s="23">
        <f t="shared" si="358"/>
        <v>9999</v>
      </c>
      <c r="J334" s="5" t="str">
        <f>IF(Table35[[#This Row],[Capacity1]]*X334&gt;=$Y$5,Table35[[#This Row],[Location]]&amp;RIGHT(Table35[[#Headers],[Facility_3]],1)&amp;"F","-")</f>
        <v>H1993F</v>
      </c>
      <c r="K334" s="2" t="str">
        <f t="shared" ref="K334" si="372">IF(J334="-","-","CHPpl_")</f>
        <v>CHPpl_</v>
      </c>
      <c r="L334" s="14">
        <f t="shared" si="361"/>
        <v>0</v>
      </c>
      <c r="V334" s="1">
        <v>0.60399999999999998</v>
      </c>
      <c r="W334" s="1">
        <v>1</v>
      </c>
      <c r="X334" s="1">
        <v>0</v>
      </c>
    </row>
    <row r="335" spans="1:24" x14ac:dyDescent="0.25">
      <c r="A335" s="1" t="s">
        <v>32</v>
      </c>
      <c r="B335" s="1">
        <v>6237733.699</v>
      </c>
      <c r="C335" s="1">
        <v>532995.46100000001</v>
      </c>
      <c r="D335" s="5" t="str">
        <f t="shared" si="354"/>
        <v>H331F</v>
      </c>
      <c r="E335" s="6" t="str">
        <f t="shared" si="355"/>
        <v>Heatpl</v>
      </c>
      <c r="F335" s="14">
        <f t="shared" si="356"/>
        <v>679.19999999999993</v>
      </c>
      <c r="G335" s="5" t="str">
        <f>IF(Table35[[#This Row],[Capacity1]]&lt;&gt;"-",Table35[[#This Row],[Location]]&amp;RIGHT(Table35[[#Headers],[Facility_2]],1)&amp;"F","-")</f>
        <v>H332F</v>
      </c>
      <c r="H335" s="6" t="str">
        <f t="shared" si="357"/>
        <v>TerHea</v>
      </c>
      <c r="I335" s="23">
        <f t="shared" si="358"/>
        <v>9999</v>
      </c>
      <c r="J335" s="5" t="str">
        <f>IF(Table35[[#This Row],[Capacity1]]*X335&gt;=$Y$5,Table35[[#This Row],[Location]]&amp;RIGHT(Table35[[#Headers],[Facility_3]],1)&amp;"F","-")</f>
        <v>H333F</v>
      </c>
      <c r="K335" s="2" t="str">
        <f t="shared" ref="K335" si="373">IF(J335="-","-","CHPpl_")</f>
        <v>CHPpl_</v>
      </c>
      <c r="L335" s="14">
        <f t="shared" si="361"/>
        <v>0</v>
      </c>
      <c r="V335" s="1">
        <v>0.56599999999999995</v>
      </c>
      <c r="W335" s="1">
        <v>1</v>
      </c>
      <c r="X335" s="1">
        <v>0</v>
      </c>
    </row>
    <row r="336" spans="1:24" x14ac:dyDescent="0.25">
      <c r="A336" s="1" t="s">
        <v>28</v>
      </c>
      <c r="B336" s="1">
        <v>6338562.4450000003</v>
      </c>
      <c r="C336" s="1">
        <v>443135.07699999999</v>
      </c>
      <c r="D336" s="5" t="str">
        <f t="shared" si="354"/>
        <v>H291F</v>
      </c>
      <c r="E336" s="6" t="str">
        <f t="shared" si="355"/>
        <v>Heatpl</v>
      </c>
      <c r="F336" s="14">
        <f t="shared" si="356"/>
        <v>628.80000000000007</v>
      </c>
      <c r="G336" s="5" t="str">
        <f>IF(Table35[[#This Row],[Capacity1]]&lt;&gt;"-",Table35[[#This Row],[Location]]&amp;RIGHT(Table35[[#Headers],[Facility_2]],1)&amp;"F","-")</f>
        <v>H292F</v>
      </c>
      <c r="H336" s="6" t="str">
        <f t="shared" si="357"/>
        <v>TerHea</v>
      </c>
      <c r="I336" s="23">
        <f t="shared" si="358"/>
        <v>9999</v>
      </c>
      <c r="J336" s="5" t="str">
        <f>IF(Table35[[#This Row],[Capacity1]]*X336&gt;=$Y$5,Table35[[#This Row],[Location]]&amp;RIGHT(Table35[[#Headers],[Facility_3]],1)&amp;"F","-")</f>
        <v>H293F</v>
      </c>
      <c r="K336" s="2" t="str">
        <f t="shared" ref="K336" si="374">IF(J336="-","-","CHPpl_")</f>
        <v>CHPpl_</v>
      </c>
      <c r="L336" s="14">
        <f t="shared" si="361"/>
        <v>0</v>
      </c>
      <c r="V336" s="1">
        <v>0.52400000000000002</v>
      </c>
      <c r="W336" s="1">
        <v>1</v>
      </c>
      <c r="X336" s="1">
        <v>0</v>
      </c>
    </row>
    <row r="337" spans="1:24" x14ac:dyDescent="0.25">
      <c r="A337" s="1" t="s">
        <v>166</v>
      </c>
      <c r="B337" s="1">
        <v>6596321.5968581503</v>
      </c>
      <c r="C337" s="1">
        <v>517173.91312786401</v>
      </c>
      <c r="D337" s="5" t="str">
        <f t="shared" si="354"/>
        <v>H1671F</v>
      </c>
      <c r="E337" s="6" t="str">
        <f t="shared" si="355"/>
        <v>Heatpl</v>
      </c>
      <c r="F337" s="14">
        <f t="shared" si="356"/>
        <v>381.1764</v>
      </c>
      <c r="G337" s="5" t="str">
        <f>IF(Table35[[#This Row],[Capacity1]]&lt;&gt;"-",Table35[[#This Row],[Location]]&amp;RIGHT(Table35[[#Headers],[Facility_2]],1)&amp;"F","-")</f>
        <v>H1672F</v>
      </c>
      <c r="H337" s="6" t="str">
        <f t="shared" si="357"/>
        <v>TerHea</v>
      </c>
      <c r="I337" s="23">
        <f t="shared" si="358"/>
        <v>9999</v>
      </c>
      <c r="J337" s="5" t="str">
        <f>IF(Table35[[#This Row],[Capacity1]]*X337&gt;=$Y$5,Table35[[#This Row],[Location]]&amp;RIGHT(Table35[[#Headers],[Facility_3]],1)&amp;"F","-")</f>
        <v>H1673F</v>
      </c>
      <c r="K337" s="2" t="str">
        <f t="shared" ref="K337" si="375">IF(J337="-","-","CHPpl_")</f>
        <v>CHPpl_</v>
      </c>
      <c r="L337" s="14">
        <f t="shared" si="361"/>
        <v>0</v>
      </c>
      <c r="V337" s="1">
        <v>0.31764700000000001</v>
      </c>
      <c r="W337" s="1">
        <v>1</v>
      </c>
      <c r="X337" s="1">
        <v>0</v>
      </c>
    </row>
    <row r="338" spans="1:24" x14ac:dyDescent="0.25">
      <c r="A338" s="1" t="s">
        <v>170</v>
      </c>
      <c r="B338" s="1">
        <v>6590060.6965823397</v>
      </c>
      <c r="C338" s="1">
        <v>521131.50742741901</v>
      </c>
      <c r="D338" s="5" t="str">
        <f t="shared" si="354"/>
        <v>H1711F</v>
      </c>
      <c r="E338" s="6" t="str">
        <f t="shared" si="355"/>
        <v>Heatpl</v>
      </c>
      <c r="F338" s="14">
        <f t="shared" si="356"/>
        <v>338.8236</v>
      </c>
      <c r="G338" s="5" t="str">
        <f>IF(Table35[[#This Row],[Capacity1]]&lt;&gt;"-",Table35[[#This Row],[Location]]&amp;RIGHT(Table35[[#Headers],[Facility_2]],1)&amp;"F","-")</f>
        <v>H1712F</v>
      </c>
      <c r="H338" s="6" t="str">
        <f t="shared" si="357"/>
        <v>TerHea</v>
      </c>
      <c r="I338" s="23">
        <f t="shared" si="358"/>
        <v>9999</v>
      </c>
      <c r="J338" s="5" t="str">
        <f>IF(Table35[[#This Row],[Capacity1]]*X338&gt;=$Y$5,Table35[[#This Row],[Location]]&amp;RIGHT(Table35[[#Headers],[Facility_3]],1)&amp;"F","-")</f>
        <v>H1713F</v>
      </c>
      <c r="K338" s="2" t="str">
        <f t="shared" ref="K338" si="376">IF(J338="-","-","CHPpl_")</f>
        <v>CHPpl_</v>
      </c>
      <c r="L338" s="14">
        <f t="shared" si="361"/>
        <v>0</v>
      </c>
      <c r="V338" s="1">
        <v>0.28235300000000002</v>
      </c>
      <c r="W338" s="1">
        <v>1</v>
      </c>
      <c r="X338" s="1">
        <v>0</v>
      </c>
    </row>
    <row r="339" spans="1:24" x14ac:dyDescent="0.25">
      <c r="A339" s="1" t="s">
        <v>47</v>
      </c>
      <c r="B339" s="1">
        <v>7294078.8309761696</v>
      </c>
      <c r="C339" s="1">
        <v>829831.23632208596</v>
      </c>
      <c r="D339" s="5" t="str">
        <f t="shared" si="354"/>
        <v>H481F</v>
      </c>
      <c r="E339" s="6" t="str">
        <f t="shared" si="355"/>
        <v>Heatpl</v>
      </c>
      <c r="F339" s="14">
        <f t="shared" si="356"/>
        <v>300</v>
      </c>
      <c r="G339" s="5" t="str">
        <f>IF(Table35[[#This Row],[Capacity1]]&lt;&gt;"-",Table35[[#This Row],[Location]]&amp;RIGHT(Table35[[#Headers],[Facility_2]],1)&amp;"F","-")</f>
        <v>H482F</v>
      </c>
      <c r="H339" s="6" t="str">
        <f t="shared" si="357"/>
        <v>TerHea</v>
      </c>
      <c r="I339" s="23">
        <f t="shared" si="358"/>
        <v>9999</v>
      </c>
      <c r="J339" s="5" t="str">
        <f>IF(Table35[[#This Row],[Capacity1]]*X339&gt;=$Y$5,Table35[[#This Row],[Location]]&amp;RIGHT(Table35[[#Headers],[Facility_3]],1)&amp;"F","-")</f>
        <v>H483F</v>
      </c>
      <c r="K339" s="2" t="str">
        <f t="shared" ref="K339" si="377">IF(J339="-","-","CHPpl_")</f>
        <v>CHPpl_</v>
      </c>
      <c r="L339" s="14">
        <f t="shared" si="361"/>
        <v>0</v>
      </c>
      <c r="V339" s="1">
        <v>0.25</v>
      </c>
      <c r="W339" s="1">
        <v>1</v>
      </c>
      <c r="X339" s="1">
        <v>0</v>
      </c>
    </row>
    <row r="340" spans="1:24" x14ac:dyDescent="0.25">
      <c r="A340" s="1" t="s">
        <v>9</v>
      </c>
      <c r="B340" s="1">
        <v>6639261.9000000004</v>
      </c>
      <c r="C340" s="1">
        <v>611544</v>
      </c>
      <c r="D340" s="5" t="str">
        <f t="shared" si="354"/>
        <v>H101F</v>
      </c>
      <c r="E340" s="6" t="str">
        <f t="shared" si="355"/>
        <v>Heatpl</v>
      </c>
      <c r="F340" s="14">
        <f t="shared" si="356"/>
        <v>266.39999999999998</v>
      </c>
      <c r="G340" s="5" t="str">
        <f>IF(Table35[[#This Row],[Capacity1]]&lt;&gt;"-",Table35[[#This Row],[Location]]&amp;RIGHT(Table35[[#Headers],[Facility_2]],1)&amp;"F","-")</f>
        <v>H102F</v>
      </c>
      <c r="H340" s="6" t="str">
        <f t="shared" si="357"/>
        <v>TerHea</v>
      </c>
      <c r="I340" s="23">
        <f t="shared" si="358"/>
        <v>9999</v>
      </c>
      <c r="J340" s="5" t="str">
        <f>IF(Table35[[#This Row],[Capacity1]]*X340&gt;=$Y$5,Table35[[#This Row],[Location]]&amp;RIGHT(Table35[[#Headers],[Facility_3]],1)&amp;"F","-")</f>
        <v>H103F</v>
      </c>
      <c r="K340" s="2" t="str">
        <f t="shared" ref="K340" si="378">IF(J340="-","-","CHPpl_")</f>
        <v>CHPpl_</v>
      </c>
      <c r="L340" s="14">
        <f t="shared" si="361"/>
        <v>0</v>
      </c>
      <c r="V340" s="1">
        <v>0.222</v>
      </c>
      <c r="W340" s="1">
        <v>1</v>
      </c>
      <c r="X340" s="1">
        <v>0</v>
      </c>
    </row>
    <row r="341" spans="1:24" x14ac:dyDescent="0.25">
      <c r="A341" s="1" t="s">
        <v>214</v>
      </c>
      <c r="B341" s="1">
        <v>6496730.7470791303</v>
      </c>
      <c r="C341" s="1">
        <v>409124.92626828502</v>
      </c>
      <c r="D341" s="5" t="str">
        <f t="shared" si="354"/>
        <v>H2151F</v>
      </c>
      <c r="E341" s="6" t="str">
        <f t="shared" si="355"/>
        <v>Heatpl</v>
      </c>
      <c r="F341" s="14">
        <f t="shared" si="356"/>
        <v>204.00000000000003</v>
      </c>
      <c r="G341" s="5" t="str">
        <f>IF(Table35[[#This Row],[Capacity1]]&lt;&gt;"-",Table35[[#This Row],[Location]]&amp;RIGHT(Table35[[#Headers],[Facility_2]],1)&amp;"F","-")</f>
        <v>H2152F</v>
      </c>
      <c r="H341" s="6" t="str">
        <f t="shared" si="357"/>
        <v>TerHea</v>
      </c>
      <c r="I341" s="23">
        <f t="shared" si="358"/>
        <v>9999</v>
      </c>
      <c r="J341" s="5" t="str">
        <f>IF(Table35[[#This Row],[Capacity1]]*X341&gt;=$Y$5,Table35[[#This Row],[Location]]&amp;RIGHT(Table35[[#Headers],[Facility_3]],1)&amp;"F","-")</f>
        <v>H2153F</v>
      </c>
      <c r="K341" s="2" t="str">
        <f t="shared" ref="K341" si="379">IF(J341="-","-","CHPpl_")</f>
        <v>CHPpl_</v>
      </c>
      <c r="L341" s="14">
        <f t="shared" si="361"/>
        <v>0</v>
      </c>
      <c r="V341" s="1">
        <v>0.17</v>
      </c>
      <c r="W341" s="1">
        <v>1</v>
      </c>
      <c r="X341" s="1">
        <v>0</v>
      </c>
    </row>
    <row r="342" spans="1:24" x14ac:dyDescent="0.25">
      <c r="A342" s="1" t="s">
        <v>0</v>
      </c>
      <c r="B342" s="1">
        <v>7332777.9560000002</v>
      </c>
      <c r="C342" s="1">
        <v>915146.98</v>
      </c>
      <c r="D342" s="5" t="str">
        <f t="shared" si="354"/>
        <v>H11F</v>
      </c>
      <c r="E342" s="6" t="str">
        <f t="shared" si="355"/>
        <v>Heatpl</v>
      </c>
      <c r="F342" s="14">
        <f t="shared" si="356"/>
        <v>0</v>
      </c>
      <c r="G342" s="5" t="str">
        <f>IF(Table35[[#This Row],[Capacity1]]&lt;&gt;"-",Table35[[#This Row],[Location]]&amp;RIGHT(Table35[[#Headers],[Facility_2]],1)&amp;"F","-")</f>
        <v>H12F</v>
      </c>
      <c r="H342" s="6" t="str">
        <f t="shared" si="357"/>
        <v>TerHea</v>
      </c>
      <c r="I342" s="23">
        <f t="shared" si="358"/>
        <v>9999</v>
      </c>
      <c r="J342" s="5" t="str">
        <f>IF(Table35[[#This Row],[Capacity1]]*X342&gt;=$Y$5,Table35[[#This Row],[Location]]&amp;RIGHT(Table35[[#Headers],[Facility_3]],1)&amp;"F","-")</f>
        <v>H13F</v>
      </c>
      <c r="K342" s="2" t="str">
        <f t="shared" ref="K342" si="380">IF(J342="-","-","CHPpl_")</f>
        <v>CHPpl_</v>
      </c>
      <c r="L342" s="14">
        <f t="shared" si="361"/>
        <v>0</v>
      </c>
      <c r="V342" s="1">
        <v>0</v>
      </c>
      <c r="W342" s="1">
        <v>0</v>
      </c>
      <c r="X342" s="1">
        <v>1</v>
      </c>
    </row>
    <row r="343" spans="1:24" x14ac:dyDescent="0.25">
      <c r="A343" s="1" t="s">
        <v>164</v>
      </c>
      <c r="B343" s="1">
        <v>6600066.6643574601</v>
      </c>
      <c r="C343" s="1">
        <v>648731.62791579904</v>
      </c>
      <c r="D343" s="5" t="str">
        <f t="shared" si="354"/>
        <v>H1651F</v>
      </c>
      <c r="E343" s="6" t="str">
        <f t="shared" si="355"/>
        <v>Heatpl</v>
      </c>
      <c r="F343" s="14">
        <f t="shared" si="356"/>
        <v>0</v>
      </c>
      <c r="G343" s="5" t="str">
        <f>IF(Table35[[#This Row],[Capacity1]]&lt;&gt;"-",Table35[[#This Row],[Location]]&amp;RIGHT(Table35[[#Headers],[Facility_2]],1)&amp;"F","-")</f>
        <v>H1652F</v>
      </c>
      <c r="H343" s="6" t="str">
        <f t="shared" si="357"/>
        <v>TerHea</v>
      </c>
      <c r="I343" s="23">
        <f t="shared" si="358"/>
        <v>9999</v>
      </c>
      <c r="J343" s="5" t="str">
        <f>IF(Table35[[#This Row],[Capacity1]]*X343&gt;=$Y$5,Table35[[#This Row],[Location]]&amp;RIGHT(Table35[[#Headers],[Facility_3]],1)&amp;"F","-")</f>
        <v>H1653F</v>
      </c>
      <c r="K343" s="2" t="str">
        <f t="shared" ref="K343" si="381">IF(J343="-","-","CHPpl_")</f>
        <v>CHPpl_</v>
      </c>
      <c r="L343" s="14">
        <f t="shared" si="361"/>
        <v>0</v>
      </c>
      <c r="V343" s="1">
        <v>0</v>
      </c>
      <c r="W343" s="1">
        <v>0</v>
      </c>
      <c r="X343" s="1">
        <v>1</v>
      </c>
    </row>
    <row r="344" spans="1:24" x14ac:dyDescent="0.25">
      <c r="A344" s="1" t="s">
        <v>171</v>
      </c>
      <c r="B344" s="1">
        <v>6591622.6607636902</v>
      </c>
      <c r="C344" s="1">
        <v>667154.71976318397</v>
      </c>
      <c r="D344" s="5" t="str">
        <f t="shared" si="354"/>
        <v>H1721F</v>
      </c>
      <c r="E344" s="6" t="str">
        <f t="shared" si="355"/>
        <v>Heatpl</v>
      </c>
      <c r="F344" s="14">
        <f t="shared" si="356"/>
        <v>0</v>
      </c>
      <c r="G344" s="5" t="str">
        <f>IF(Table35[[#This Row],[Capacity1]]&lt;&gt;"-",Table35[[#This Row],[Location]]&amp;RIGHT(Table35[[#Headers],[Facility_2]],1)&amp;"F","-")</f>
        <v>H1722F</v>
      </c>
      <c r="H344" s="6" t="str">
        <f t="shared" si="357"/>
        <v>TerHea</v>
      </c>
      <c r="I344" s="23">
        <f t="shared" si="358"/>
        <v>9999</v>
      </c>
      <c r="J344" s="5" t="str">
        <f>IF(Table35[[#This Row],[Capacity1]]*X344&gt;=$Y$5,Table35[[#This Row],[Location]]&amp;RIGHT(Table35[[#Headers],[Facility_3]],1)&amp;"F","-")</f>
        <v>H1723F</v>
      </c>
      <c r="K344" s="2" t="str">
        <f t="shared" ref="K344" si="382">IF(J344="-","-","CHPpl_")</f>
        <v>CHPpl_</v>
      </c>
      <c r="L344" s="14">
        <f t="shared" si="361"/>
        <v>0</v>
      </c>
      <c r="V344" s="1">
        <v>0</v>
      </c>
      <c r="W344" s="1">
        <v>0</v>
      </c>
      <c r="X344" s="1">
        <v>1</v>
      </c>
    </row>
    <row r="345" spans="1:24" x14ac:dyDescent="0.25">
      <c r="A345" s="1" t="s">
        <v>186</v>
      </c>
      <c r="B345" s="1">
        <v>6575676.0901075304</v>
      </c>
      <c r="C345" s="1">
        <v>688522.55609687103</v>
      </c>
      <c r="D345" s="5" t="str">
        <f t="shared" si="354"/>
        <v>H1871F</v>
      </c>
      <c r="E345" s="6" t="str">
        <f t="shared" si="355"/>
        <v>Heatpl</v>
      </c>
      <c r="F345" s="14">
        <f t="shared" si="356"/>
        <v>0</v>
      </c>
      <c r="G345" s="5" t="str">
        <f>IF(Table35[[#This Row],[Capacity1]]&lt;&gt;"-",Table35[[#This Row],[Location]]&amp;RIGHT(Table35[[#Headers],[Facility_2]],1)&amp;"F","-")</f>
        <v>H1872F</v>
      </c>
      <c r="H345" s="6" t="str">
        <f t="shared" si="357"/>
        <v>TerHea</v>
      </c>
      <c r="I345" s="23">
        <f t="shared" si="358"/>
        <v>9999</v>
      </c>
      <c r="J345" s="5" t="str">
        <f>IF(Table35[[#This Row],[Capacity1]]*X345&gt;=$Y$5,Table35[[#This Row],[Location]]&amp;RIGHT(Table35[[#Headers],[Facility_3]],1)&amp;"F","-")</f>
        <v>H1873F</v>
      </c>
      <c r="K345" s="2" t="str">
        <f t="shared" ref="K345" si="383">IF(J345="-","-","CHPpl_")</f>
        <v>CHPpl_</v>
      </c>
      <c r="L345" s="14">
        <f t="shared" si="361"/>
        <v>0</v>
      </c>
      <c r="V345" s="1">
        <v>0</v>
      </c>
      <c r="W345" s="1">
        <v>0</v>
      </c>
      <c r="X345" s="1">
        <v>1</v>
      </c>
    </row>
    <row r="346" spans="1:24" x14ac:dyDescent="0.25">
      <c r="A346" s="1" t="s">
        <v>1</v>
      </c>
      <c r="B346" s="1">
        <v>6486670.801</v>
      </c>
      <c r="C346" s="1">
        <v>393503.21799999999</v>
      </c>
      <c r="D346" s="5" t="str">
        <f t="shared" si="354"/>
        <v>H21F</v>
      </c>
      <c r="E346" s="6" t="str">
        <f t="shared" si="355"/>
        <v>Heatpl</v>
      </c>
      <c r="F346" s="14">
        <f t="shared" si="356"/>
        <v>0</v>
      </c>
      <c r="G346" s="5" t="str">
        <f>IF(Table35[[#This Row],[Capacity1]]&lt;&gt;"-",Table35[[#This Row],[Location]]&amp;RIGHT(Table35[[#Headers],[Facility_2]],1)&amp;"F","-")</f>
        <v>H22F</v>
      </c>
      <c r="H346" s="6" t="str">
        <f t="shared" si="357"/>
        <v>TerHea</v>
      </c>
      <c r="I346" s="23">
        <f t="shared" si="358"/>
        <v>9999</v>
      </c>
      <c r="J346" s="5" t="str">
        <f>IF(Table35[[#This Row],[Capacity1]]*X346&gt;=$Y$5,Table35[[#This Row],[Location]]&amp;RIGHT(Table35[[#Headers],[Facility_3]],1)&amp;"F","-")</f>
        <v>H23F</v>
      </c>
      <c r="K346" s="2" t="str">
        <f t="shared" ref="K346" si="384">IF(J346="-","-","CHPpl_")</f>
        <v>CHPpl_</v>
      </c>
      <c r="L346" s="14">
        <f t="shared" si="361"/>
        <v>0</v>
      </c>
      <c r="V346" s="1">
        <v>0</v>
      </c>
      <c r="W346" s="1">
        <v>0</v>
      </c>
      <c r="X346" s="1">
        <v>1</v>
      </c>
    </row>
    <row r="347" spans="1:24" x14ac:dyDescent="0.25">
      <c r="A347" s="1" t="s">
        <v>210</v>
      </c>
      <c r="B347" s="1">
        <v>6505435.6385562504</v>
      </c>
      <c r="C347" s="1">
        <v>431893.95748978801</v>
      </c>
      <c r="D347" s="5" t="str">
        <f t="shared" si="354"/>
        <v>H2111F</v>
      </c>
      <c r="E347" s="6" t="str">
        <f t="shared" si="355"/>
        <v>Heatpl</v>
      </c>
      <c r="F347" s="14">
        <f t="shared" si="356"/>
        <v>0</v>
      </c>
      <c r="G347" s="5" t="str">
        <f>IF(Table35[[#This Row],[Capacity1]]&lt;&gt;"-",Table35[[#This Row],[Location]]&amp;RIGHT(Table35[[#Headers],[Facility_2]],1)&amp;"F","-")</f>
        <v>H2112F</v>
      </c>
      <c r="H347" s="6" t="str">
        <f t="shared" si="357"/>
        <v>TerHea</v>
      </c>
      <c r="I347" s="23">
        <f t="shared" si="358"/>
        <v>9999</v>
      </c>
      <c r="J347" s="5" t="str">
        <f>IF(Table35[[#This Row],[Capacity1]]*X347&gt;=$Y$5,Table35[[#This Row],[Location]]&amp;RIGHT(Table35[[#Headers],[Facility_3]],1)&amp;"F","-")</f>
        <v>H2113F</v>
      </c>
      <c r="K347" s="2" t="str">
        <f t="shared" ref="K347" si="385">IF(J347="-","-","CHPpl_")</f>
        <v>CHPpl_</v>
      </c>
      <c r="L347" s="14">
        <f t="shared" si="361"/>
        <v>0</v>
      </c>
      <c r="V347" s="1">
        <v>0</v>
      </c>
      <c r="W347" s="1">
        <v>0</v>
      </c>
      <c r="X347" s="1">
        <v>1</v>
      </c>
    </row>
    <row r="348" spans="1:24" x14ac:dyDescent="0.25">
      <c r="A348" s="1" t="s">
        <v>212</v>
      </c>
      <c r="B348" s="1">
        <v>6506474.6019017398</v>
      </c>
      <c r="C348" s="1">
        <v>618644.59378443297</v>
      </c>
      <c r="D348" s="5" t="str">
        <f t="shared" si="354"/>
        <v>H2131F</v>
      </c>
      <c r="E348" s="6" t="str">
        <f t="shared" si="355"/>
        <v>Heatpl</v>
      </c>
      <c r="F348" s="14">
        <f t="shared" si="356"/>
        <v>0</v>
      </c>
      <c r="G348" s="5" t="str">
        <f>IF(Table35[[#This Row],[Capacity1]]&lt;&gt;"-",Table35[[#This Row],[Location]]&amp;RIGHT(Table35[[#Headers],[Facility_2]],1)&amp;"F","-")</f>
        <v>H2132F</v>
      </c>
      <c r="H348" s="6" t="str">
        <f t="shared" si="357"/>
        <v>TerHea</v>
      </c>
      <c r="I348" s="23">
        <f t="shared" si="358"/>
        <v>9999</v>
      </c>
      <c r="J348" s="5" t="str">
        <f>IF(Table35[[#This Row],[Capacity1]]*X348&gt;=$Y$5,Table35[[#This Row],[Location]]&amp;RIGHT(Table35[[#Headers],[Facility_3]],1)&amp;"F","-")</f>
        <v>H2133F</v>
      </c>
      <c r="K348" s="2" t="str">
        <f t="shared" ref="K348" si="386">IF(J348="-","-","CHPpl_")</f>
        <v>CHPpl_</v>
      </c>
      <c r="L348" s="14">
        <f t="shared" si="361"/>
        <v>0</v>
      </c>
      <c r="V348" s="1">
        <v>0</v>
      </c>
      <c r="W348" s="1">
        <v>0</v>
      </c>
      <c r="X348" s="1">
        <v>1</v>
      </c>
    </row>
    <row r="349" spans="1:24" x14ac:dyDescent="0.25">
      <c r="A349" s="1" t="s">
        <v>223</v>
      </c>
      <c r="B349" s="1">
        <v>6481592.1806650804</v>
      </c>
      <c r="C349" s="1">
        <v>394079.92340773903</v>
      </c>
      <c r="D349" s="5" t="str">
        <f t="shared" si="354"/>
        <v>H2241F</v>
      </c>
      <c r="E349" s="6" t="str">
        <f t="shared" si="355"/>
        <v>Heatpl</v>
      </c>
      <c r="F349" s="14">
        <f t="shared" si="356"/>
        <v>0</v>
      </c>
      <c r="G349" s="5" t="str">
        <f>IF(Table35[[#This Row],[Capacity1]]&lt;&gt;"-",Table35[[#This Row],[Location]]&amp;RIGHT(Table35[[#Headers],[Facility_2]],1)&amp;"F","-")</f>
        <v>H2242F</v>
      </c>
      <c r="H349" s="6" t="str">
        <f t="shared" si="357"/>
        <v>TerHea</v>
      </c>
      <c r="I349" s="23">
        <f t="shared" si="358"/>
        <v>9999</v>
      </c>
      <c r="J349" s="5" t="str">
        <f>IF(Table35[[#This Row],[Capacity1]]*X349&gt;=$Y$5,Table35[[#This Row],[Location]]&amp;RIGHT(Table35[[#Headers],[Facility_3]],1)&amp;"F","-")</f>
        <v>H2243F</v>
      </c>
      <c r="K349" s="2" t="str">
        <f t="shared" ref="K349" si="387">IF(J349="-","-","CHPpl_")</f>
        <v>CHPpl_</v>
      </c>
      <c r="L349" s="14">
        <f t="shared" si="361"/>
        <v>0</v>
      </c>
      <c r="V349" s="1">
        <v>0</v>
      </c>
      <c r="W349" s="1">
        <v>0</v>
      </c>
      <c r="X349" s="1">
        <v>1</v>
      </c>
    </row>
    <row r="350" spans="1:24" x14ac:dyDescent="0.25">
      <c r="A350" s="1" t="s">
        <v>227</v>
      </c>
      <c r="B350" s="1">
        <v>6469794.3837224897</v>
      </c>
      <c r="C350" s="1">
        <v>344342.97010892199</v>
      </c>
      <c r="D350" s="5" t="str">
        <f t="shared" si="354"/>
        <v>H2281F</v>
      </c>
      <c r="E350" s="6" t="str">
        <f t="shared" si="355"/>
        <v>Heatpl</v>
      </c>
      <c r="F350" s="14">
        <f t="shared" si="356"/>
        <v>0</v>
      </c>
      <c r="G350" s="5" t="str">
        <f>IF(Table35[[#This Row],[Capacity1]]&lt;&gt;"-",Table35[[#This Row],[Location]]&amp;RIGHT(Table35[[#Headers],[Facility_2]],1)&amp;"F","-")</f>
        <v>H2282F</v>
      </c>
      <c r="H350" s="6" t="str">
        <f t="shared" si="357"/>
        <v>TerHea</v>
      </c>
      <c r="I350" s="23">
        <f t="shared" si="358"/>
        <v>9999</v>
      </c>
      <c r="J350" s="5" t="str">
        <f>IF(Table35[[#This Row],[Capacity1]]*X350&gt;=$Y$5,Table35[[#This Row],[Location]]&amp;RIGHT(Table35[[#Headers],[Facility_3]],1)&amp;"F","-")</f>
        <v>H2283F</v>
      </c>
      <c r="K350" s="2" t="str">
        <f t="shared" ref="K350" si="388">IF(J350="-","-","CHPpl_")</f>
        <v>CHPpl_</v>
      </c>
      <c r="L350" s="14">
        <f t="shared" si="361"/>
        <v>0</v>
      </c>
      <c r="V350" s="1">
        <v>0</v>
      </c>
      <c r="W350" s="1">
        <v>0</v>
      </c>
      <c r="X350" s="1">
        <v>1</v>
      </c>
    </row>
    <row r="351" spans="1:24" x14ac:dyDescent="0.25">
      <c r="A351" s="1" t="s">
        <v>233</v>
      </c>
      <c r="B351" s="1">
        <v>6460338.6851796303</v>
      </c>
      <c r="C351" s="1">
        <v>291796.41974405001</v>
      </c>
      <c r="D351" s="5" t="str">
        <f t="shared" si="354"/>
        <v>H2341F</v>
      </c>
      <c r="E351" s="6" t="str">
        <f t="shared" si="355"/>
        <v>Heatpl</v>
      </c>
      <c r="F351" s="14">
        <f t="shared" si="356"/>
        <v>0</v>
      </c>
      <c r="G351" s="5" t="str">
        <f>IF(Table35[[#This Row],[Capacity1]]&lt;&gt;"-",Table35[[#This Row],[Location]]&amp;RIGHT(Table35[[#Headers],[Facility_2]],1)&amp;"F","-")</f>
        <v>H2342F</v>
      </c>
      <c r="H351" s="6" t="str">
        <f t="shared" si="357"/>
        <v>TerHea</v>
      </c>
      <c r="I351" s="23">
        <f t="shared" si="358"/>
        <v>9999</v>
      </c>
      <c r="J351" s="5" t="str">
        <f>IF(Table35[[#This Row],[Capacity1]]*X351&gt;=$Y$5,Table35[[#This Row],[Location]]&amp;RIGHT(Table35[[#Headers],[Facility_3]],1)&amp;"F","-")</f>
        <v>H2343F</v>
      </c>
      <c r="K351" s="2" t="str">
        <f t="shared" ref="K351" si="389">IF(J351="-","-","CHPpl_")</f>
        <v>CHPpl_</v>
      </c>
      <c r="L351" s="14">
        <f t="shared" si="361"/>
        <v>0</v>
      </c>
      <c r="V351" s="1">
        <v>0</v>
      </c>
      <c r="W351" s="1">
        <v>0</v>
      </c>
      <c r="X351" s="1">
        <v>1</v>
      </c>
    </row>
    <row r="352" spans="1:24" x14ac:dyDescent="0.25">
      <c r="A352" s="1" t="s">
        <v>248</v>
      </c>
      <c r="B352" s="1">
        <v>6436617.7458824096</v>
      </c>
      <c r="C352" s="1">
        <v>314350.11348870699</v>
      </c>
      <c r="D352" s="5" t="str">
        <f t="shared" si="354"/>
        <v>H2491F</v>
      </c>
      <c r="E352" s="6" t="str">
        <f t="shared" si="355"/>
        <v>Heatpl</v>
      </c>
      <c r="F352" s="14">
        <f t="shared" si="356"/>
        <v>0</v>
      </c>
      <c r="G352" s="5" t="str">
        <f>IF(Table35[[#This Row],[Capacity1]]&lt;&gt;"-",Table35[[#This Row],[Location]]&amp;RIGHT(Table35[[#Headers],[Facility_2]],1)&amp;"F","-")</f>
        <v>H2492F</v>
      </c>
      <c r="H352" s="6" t="str">
        <f t="shared" si="357"/>
        <v>TerHea</v>
      </c>
      <c r="I352" s="23">
        <f t="shared" si="358"/>
        <v>9999</v>
      </c>
      <c r="J352" s="5" t="str">
        <f>IF(Table35[[#This Row],[Capacity1]]*X352&gt;=$Y$5,Table35[[#This Row],[Location]]&amp;RIGHT(Table35[[#Headers],[Facility_3]],1)&amp;"F","-")</f>
        <v>H2493F</v>
      </c>
      <c r="K352" s="2" t="str">
        <f t="shared" ref="K352" si="390">IF(J352="-","-","CHPpl_")</f>
        <v>CHPpl_</v>
      </c>
      <c r="L352" s="14">
        <f t="shared" si="361"/>
        <v>0</v>
      </c>
      <c r="V352" s="1">
        <v>0</v>
      </c>
      <c r="W352" s="1">
        <v>0</v>
      </c>
      <c r="X352" s="1">
        <v>1</v>
      </c>
    </row>
    <row r="353" spans="1:24" x14ac:dyDescent="0.25">
      <c r="A353" s="1" t="s">
        <v>24</v>
      </c>
      <c r="B353" s="1">
        <v>6403600.9189999998</v>
      </c>
      <c r="C353" s="1">
        <v>331063.36700000003</v>
      </c>
      <c r="D353" s="5" t="str">
        <f t="shared" si="354"/>
        <v>H251F</v>
      </c>
      <c r="E353" s="6" t="str">
        <f t="shared" si="355"/>
        <v>Heatpl</v>
      </c>
      <c r="F353" s="14">
        <f t="shared" si="356"/>
        <v>0</v>
      </c>
      <c r="G353" s="5" t="str">
        <f>IF(Table35[[#This Row],[Capacity1]]&lt;&gt;"-",Table35[[#This Row],[Location]]&amp;RIGHT(Table35[[#Headers],[Facility_2]],1)&amp;"F","-")</f>
        <v>H252F</v>
      </c>
      <c r="H353" s="6" t="str">
        <f t="shared" si="357"/>
        <v>TerHea</v>
      </c>
      <c r="I353" s="23">
        <f t="shared" si="358"/>
        <v>9999</v>
      </c>
      <c r="J353" s="5" t="str">
        <f>IF(Table35[[#This Row],[Capacity1]]*X353&gt;=$Y$5,Table35[[#This Row],[Location]]&amp;RIGHT(Table35[[#Headers],[Facility_3]],1)&amp;"F","-")</f>
        <v>H253F</v>
      </c>
      <c r="K353" s="2" t="str">
        <f t="shared" ref="K353" si="391">IF(J353="-","-","CHPpl_")</f>
        <v>CHPpl_</v>
      </c>
      <c r="L353" s="14">
        <f t="shared" si="361"/>
        <v>0</v>
      </c>
      <c r="V353" s="1">
        <v>0</v>
      </c>
      <c r="W353" s="1">
        <v>0</v>
      </c>
      <c r="X353" s="1">
        <v>1</v>
      </c>
    </row>
    <row r="354" spans="1:24" x14ac:dyDescent="0.25">
      <c r="A354" s="1" t="s">
        <v>271</v>
      </c>
      <c r="B354" s="1">
        <v>6403463.3311914997</v>
      </c>
      <c r="C354" s="1">
        <v>725929.27318812395</v>
      </c>
      <c r="D354" s="5" t="str">
        <f t="shared" si="354"/>
        <v>H2721F</v>
      </c>
      <c r="E354" s="6" t="str">
        <f t="shared" si="355"/>
        <v>Heatpl</v>
      </c>
      <c r="F354" s="14">
        <f t="shared" si="356"/>
        <v>0</v>
      </c>
      <c r="G354" s="5" t="str">
        <f>IF(Table35[[#This Row],[Capacity1]]&lt;&gt;"-",Table35[[#This Row],[Location]]&amp;RIGHT(Table35[[#Headers],[Facility_2]],1)&amp;"F","-")</f>
        <v>H2722F</v>
      </c>
      <c r="H354" s="6" t="str">
        <f t="shared" si="357"/>
        <v>TerHea</v>
      </c>
      <c r="I354" s="23">
        <f t="shared" si="358"/>
        <v>9999</v>
      </c>
      <c r="J354" s="5" t="str">
        <f>IF(Table35[[#This Row],[Capacity1]]*X354&gt;=$Y$5,Table35[[#This Row],[Location]]&amp;RIGHT(Table35[[#Headers],[Facility_3]],1)&amp;"F","-")</f>
        <v>H2723F</v>
      </c>
      <c r="K354" s="2" t="str">
        <f t="shared" ref="K354" si="392">IF(J354="-","-","CHPpl_")</f>
        <v>CHPpl_</v>
      </c>
      <c r="L354" s="14">
        <f t="shared" si="361"/>
        <v>0</v>
      </c>
      <c r="V354" s="1">
        <v>0</v>
      </c>
      <c r="W354" s="1">
        <v>0</v>
      </c>
      <c r="X354" s="1">
        <v>1</v>
      </c>
    </row>
    <row r="355" spans="1:24" x14ac:dyDescent="0.25">
      <c r="A355" s="1" t="s">
        <v>296</v>
      </c>
      <c r="B355" s="1">
        <v>6365145.9504760299</v>
      </c>
      <c r="C355" s="1">
        <v>692209.69238209305</v>
      </c>
      <c r="D355" s="5" t="str">
        <f t="shared" si="354"/>
        <v>H2971F</v>
      </c>
      <c r="E355" s="6" t="str">
        <f t="shared" si="355"/>
        <v>Heatpl</v>
      </c>
      <c r="F355" s="14">
        <f t="shared" si="356"/>
        <v>0</v>
      </c>
      <c r="G355" s="5" t="str">
        <f>IF(Table35[[#This Row],[Capacity1]]&lt;&gt;"-",Table35[[#This Row],[Location]]&amp;RIGHT(Table35[[#Headers],[Facility_2]],1)&amp;"F","-")</f>
        <v>H2972F</v>
      </c>
      <c r="H355" s="6" t="str">
        <f t="shared" si="357"/>
        <v>TerHea</v>
      </c>
      <c r="I355" s="23">
        <f t="shared" si="358"/>
        <v>9999</v>
      </c>
      <c r="J355" s="5" t="str">
        <f>IF(Table35[[#This Row],[Capacity1]]*X355&gt;=$Y$5,Table35[[#This Row],[Location]]&amp;RIGHT(Table35[[#Headers],[Facility_3]],1)&amp;"F","-")</f>
        <v>H2973F</v>
      </c>
      <c r="K355" s="2" t="str">
        <f t="shared" ref="K355" si="393">IF(J355="-","-","CHPpl_")</f>
        <v>CHPpl_</v>
      </c>
      <c r="L355" s="14">
        <f t="shared" si="361"/>
        <v>0</v>
      </c>
      <c r="V355" s="1">
        <v>0</v>
      </c>
      <c r="W355" s="1">
        <v>0</v>
      </c>
      <c r="X355" s="1">
        <v>1</v>
      </c>
    </row>
    <row r="356" spans="1:24" x14ac:dyDescent="0.25">
      <c r="A356" s="1" t="s">
        <v>335</v>
      </c>
      <c r="B356" s="1">
        <v>6226843.2173633501</v>
      </c>
      <c r="C356" s="1">
        <v>348711.85170009098</v>
      </c>
      <c r="D356" s="5" t="str">
        <f t="shared" si="354"/>
        <v>H3361F</v>
      </c>
      <c r="E356" s="6" t="str">
        <f t="shared" si="355"/>
        <v>Heatpl</v>
      </c>
      <c r="F356" s="14">
        <f t="shared" si="356"/>
        <v>0</v>
      </c>
      <c r="G356" s="5" t="str">
        <f>IF(Table35[[#This Row],[Capacity1]]&lt;&gt;"-",Table35[[#This Row],[Location]]&amp;RIGHT(Table35[[#Headers],[Facility_2]],1)&amp;"F","-")</f>
        <v>H3362F</v>
      </c>
      <c r="H356" s="6" t="str">
        <f t="shared" si="357"/>
        <v>TerHea</v>
      </c>
      <c r="I356" s="23">
        <f t="shared" si="358"/>
        <v>9999</v>
      </c>
      <c r="J356" s="5" t="str">
        <f>IF(Table35[[#This Row],[Capacity1]]*X356&gt;=$Y$5,Table35[[#This Row],[Location]]&amp;RIGHT(Table35[[#Headers],[Facility_3]],1)&amp;"F","-")</f>
        <v>H3363F</v>
      </c>
      <c r="K356" s="2" t="str">
        <f t="shared" ref="K356" si="394">IF(J356="-","-","CHPpl_")</f>
        <v>CHPpl_</v>
      </c>
      <c r="L356" s="14">
        <f t="shared" si="361"/>
        <v>0</v>
      </c>
      <c r="V356" s="1">
        <v>0</v>
      </c>
      <c r="W356" s="1">
        <v>0</v>
      </c>
      <c r="X356" s="1">
        <v>1</v>
      </c>
    </row>
    <row r="357" spans="1:24" x14ac:dyDescent="0.25">
      <c r="A357" s="1" t="s">
        <v>51</v>
      </c>
      <c r="B357" s="1">
        <v>7259890.75089096</v>
      </c>
      <c r="C357" s="1">
        <v>802484.321579515</v>
      </c>
      <c r="D357" s="5" t="str">
        <f t="shared" si="354"/>
        <v>H521F</v>
      </c>
      <c r="E357" s="6" t="str">
        <f t="shared" si="355"/>
        <v>Heatpl</v>
      </c>
      <c r="F357" s="14">
        <f t="shared" si="356"/>
        <v>0</v>
      </c>
      <c r="G357" s="5" t="str">
        <f>IF(Table35[[#This Row],[Capacity1]]&lt;&gt;"-",Table35[[#This Row],[Location]]&amp;RIGHT(Table35[[#Headers],[Facility_2]],1)&amp;"F","-")</f>
        <v>H522F</v>
      </c>
      <c r="H357" s="6" t="str">
        <f t="shared" si="357"/>
        <v>TerHea</v>
      </c>
      <c r="I357" s="23">
        <f t="shared" si="358"/>
        <v>9999</v>
      </c>
      <c r="J357" s="5" t="str">
        <f>IF(Table35[[#This Row],[Capacity1]]*X357&gt;=$Y$5,Table35[[#This Row],[Location]]&amp;RIGHT(Table35[[#Headers],[Facility_3]],1)&amp;"F","-")</f>
        <v>H523F</v>
      </c>
      <c r="K357" s="2" t="str">
        <f t="shared" ref="K357" si="395">IF(J357="-","-","CHPpl_")</f>
        <v>CHPpl_</v>
      </c>
      <c r="L357" s="14">
        <f t="shared" si="361"/>
        <v>0</v>
      </c>
      <c r="V357" s="1">
        <v>0</v>
      </c>
      <c r="W357" s="1">
        <v>0</v>
      </c>
      <c r="X357" s="1">
        <v>1</v>
      </c>
    </row>
    <row r="358" spans="1:24" x14ac:dyDescent="0.25">
      <c r="A358" s="1" t="s">
        <v>60</v>
      </c>
      <c r="B358" s="1">
        <v>7190034.7588558504</v>
      </c>
      <c r="C358" s="1">
        <v>795168.64306793001</v>
      </c>
      <c r="D358" s="5" t="str">
        <f t="shared" si="354"/>
        <v>H611F</v>
      </c>
      <c r="E358" s="6" t="str">
        <f t="shared" si="355"/>
        <v>Heatpl</v>
      </c>
      <c r="F358" s="14">
        <f t="shared" si="356"/>
        <v>0</v>
      </c>
      <c r="G358" s="5" t="str">
        <f>IF(Table35[[#This Row],[Capacity1]]&lt;&gt;"-",Table35[[#This Row],[Location]]&amp;RIGHT(Table35[[#Headers],[Facility_2]],1)&amp;"F","-")</f>
        <v>H612F</v>
      </c>
      <c r="H358" s="6" t="str">
        <f t="shared" si="357"/>
        <v>TerHea</v>
      </c>
      <c r="I358" s="23">
        <f t="shared" si="358"/>
        <v>9999</v>
      </c>
      <c r="J358" s="5" t="str">
        <f>IF(Table35[[#This Row],[Capacity1]]*X358&gt;=$Y$5,Table35[[#This Row],[Location]]&amp;RIGHT(Table35[[#Headers],[Facility_3]],1)&amp;"F","-")</f>
        <v>H613F</v>
      </c>
      <c r="K358" s="2" t="str">
        <f t="shared" ref="K358" si="396">IF(J358="-","-","CHPpl_")</f>
        <v>CHPpl_</v>
      </c>
      <c r="L358" s="14">
        <f t="shared" si="361"/>
        <v>0</v>
      </c>
      <c r="V358" s="1">
        <v>0</v>
      </c>
      <c r="W358" s="1">
        <v>0</v>
      </c>
      <c r="X358" s="1">
        <v>1</v>
      </c>
    </row>
    <row r="359" spans="1:24" x14ac:dyDescent="0.25">
      <c r="A359" s="1" t="s">
        <v>92</v>
      </c>
      <c r="B359" s="1">
        <v>6930823.5301957401</v>
      </c>
      <c r="C359" s="1">
        <v>620154.75230644702</v>
      </c>
      <c r="D359" s="5" t="str">
        <f t="shared" si="354"/>
        <v>H931F</v>
      </c>
      <c r="E359" s="6" t="str">
        <f t="shared" si="355"/>
        <v>Heatpl</v>
      </c>
      <c r="F359" s="14">
        <f t="shared" si="356"/>
        <v>0</v>
      </c>
      <c r="G359" s="5" t="str">
        <f>IF(Table35[[#This Row],[Capacity1]]&lt;&gt;"-",Table35[[#This Row],[Location]]&amp;RIGHT(Table35[[#Headers],[Facility_2]],1)&amp;"F","-")</f>
        <v>H932F</v>
      </c>
      <c r="H359" s="6" t="str">
        <f t="shared" si="357"/>
        <v>TerHea</v>
      </c>
      <c r="I359" s="23">
        <f t="shared" si="358"/>
        <v>9999</v>
      </c>
      <c r="J359" s="5" t="str">
        <f>IF(Table35[[#This Row],[Capacity1]]*X359&gt;=$Y$5,Table35[[#This Row],[Location]]&amp;RIGHT(Table35[[#Headers],[Facility_3]],1)&amp;"F","-")</f>
        <v>H933F</v>
      </c>
      <c r="K359" s="2" t="str">
        <f t="shared" ref="K359" si="397">IF(J359="-","-","CHPpl_")</f>
        <v>CHPpl_</v>
      </c>
      <c r="L359" s="14">
        <f t="shared" si="361"/>
        <v>0</v>
      </c>
      <c r="V359" s="1">
        <v>0</v>
      </c>
      <c r="W359" s="1">
        <v>0</v>
      </c>
      <c r="X359" s="1">
        <v>1</v>
      </c>
    </row>
    <row r="360" spans="1:24" x14ac:dyDescent="0.25">
      <c r="D360" s="3"/>
      <c r="E360" s="6"/>
      <c r="F360" s="14"/>
      <c r="G360" s="5"/>
      <c r="J360" s="5"/>
      <c r="K360" s="2"/>
      <c r="L360" s="14"/>
    </row>
    <row r="361" spans="1:24" x14ac:dyDescent="0.25">
      <c r="D361" s="3"/>
      <c r="E361" s="6"/>
      <c r="F361" s="14"/>
      <c r="G361" s="5"/>
      <c r="J361" s="5"/>
      <c r="K361" s="2"/>
      <c r="L361" s="14"/>
    </row>
    <row r="362" spans="1:24" x14ac:dyDescent="0.25">
      <c r="D362" s="3"/>
      <c r="E362" s="6"/>
      <c r="F362" s="14"/>
      <c r="G362" s="5"/>
      <c r="J362" s="5"/>
      <c r="K362" s="2"/>
      <c r="L362" s="14"/>
    </row>
    <row r="363" spans="1:24" x14ac:dyDescent="0.25">
      <c r="D363" s="3"/>
      <c r="E363" s="6"/>
      <c r="F363" s="14"/>
      <c r="G363" s="5"/>
      <c r="J363" s="5"/>
      <c r="K363" s="2"/>
      <c r="L363" s="14"/>
    </row>
    <row r="364" spans="1:24" x14ac:dyDescent="0.25">
      <c r="D364" s="3"/>
      <c r="E364" s="6"/>
      <c r="F364" s="14"/>
      <c r="G364" s="5"/>
      <c r="J364" s="5"/>
      <c r="K364" s="2"/>
      <c r="L364" s="14"/>
    </row>
    <row r="365" spans="1:24" x14ac:dyDescent="0.25">
      <c r="D365" s="3"/>
      <c r="E365" s="6"/>
      <c r="F365" s="14"/>
      <c r="G365" s="5"/>
      <c r="J365" s="5"/>
      <c r="K365" s="2"/>
      <c r="L365" s="14"/>
    </row>
    <row r="366" spans="1:24" x14ac:dyDescent="0.25">
      <c r="D366" s="3"/>
      <c r="E366" s="6"/>
      <c r="F366" s="14"/>
      <c r="G366" s="5"/>
      <c r="J366" s="5"/>
      <c r="K366" s="2"/>
      <c r="L366" s="14"/>
    </row>
    <row r="367" spans="1:24" x14ac:dyDescent="0.25">
      <c r="D367" s="3"/>
      <c r="E367" s="6"/>
      <c r="F367" s="14"/>
      <c r="G367" s="5"/>
      <c r="J367" s="5"/>
      <c r="K367" s="2"/>
      <c r="L367" s="14"/>
    </row>
    <row r="368" spans="1:24" x14ac:dyDescent="0.25">
      <c r="D368" s="3"/>
      <c r="E368" s="6"/>
      <c r="F368" s="14"/>
      <c r="G368" s="5"/>
      <c r="J368" s="5"/>
      <c r="K368" s="2"/>
      <c r="L368" s="14"/>
    </row>
    <row r="369" spans="4:12" x14ac:dyDescent="0.25">
      <c r="D369" s="3"/>
      <c r="E369" s="6"/>
      <c r="F369" s="14"/>
      <c r="G369" s="5"/>
      <c r="J369" s="5"/>
      <c r="K369" s="2"/>
      <c r="L369" s="14"/>
    </row>
    <row r="370" spans="4:12" x14ac:dyDescent="0.25">
      <c r="D370" s="3"/>
      <c r="E370" s="6"/>
      <c r="F370" s="14"/>
      <c r="G370" s="5"/>
      <c r="J370" s="5"/>
      <c r="K370" s="2"/>
      <c r="L370" s="14"/>
    </row>
    <row r="371" spans="4:12" x14ac:dyDescent="0.25">
      <c r="D371" s="3"/>
      <c r="E371" s="6"/>
      <c r="F371" s="14"/>
      <c r="G371" s="5"/>
      <c r="J371" s="5"/>
      <c r="K371" s="2"/>
      <c r="L371" s="14"/>
    </row>
    <row r="372" spans="4:12" x14ac:dyDescent="0.25">
      <c r="D372" s="3"/>
      <c r="E372" s="6"/>
      <c r="F372" s="14"/>
      <c r="G372" s="5"/>
      <c r="J372" s="5"/>
      <c r="K372" s="2"/>
      <c r="L372" s="14"/>
    </row>
    <row r="373" spans="4:12" x14ac:dyDescent="0.25">
      <c r="D373" s="3"/>
      <c r="E373" s="6"/>
      <c r="F373" s="14"/>
      <c r="G373" s="5"/>
      <c r="J373" s="5"/>
      <c r="K373" s="2"/>
      <c r="L373" s="14"/>
    </row>
    <row r="374" spans="4:12" x14ac:dyDescent="0.25">
      <c r="D374" s="3"/>
      <c r="E374" s="6"/>
      <c r="F374" s="14"/>
      <c r="G374" s="5"/>
      <c r="J374" s="5"/>
      <c r="K374" s="2"/>
      <c r="L374" s="14"/>
    </row>
    <row r="375" spans="4:12" x14ac:dyDescent="0.25">
      <c r="D375" s="3"/>
      <c r="E375" s="6"/>
      <c r="F375" s="14"/>
      <c r="G375" s="5"/>
      <c r="J375" s="5"/>
      <c r="K375" s="2"/>
      <c r="L375" s="14"/>
    </row>
    <row r="376" spans="4:12" x14ac:dyDescent="0.25">
      <c r="D376" s="3"/>
      <c r="E376" s="6"/>
      <c r="F376" s="14"/>
      <c r="G376" s="5"/>
      <c r="J376" s="5"/>
      <c r="K376" s="2"/>
      <c r="L376" s="14"/>
    </row>
    <row r="377" spans="4:12" x14ac:dyDescent="0.25">
      <c r="D377" s="3"/>
      <c r="E377" s="6"/>
      <c r="F377" s="14"/>
      <c r="G377" s="5"/>
      <c r="J377" s="5"/>
      <c r="K377" s="2"/>
      <c r="L377" s="14"/>
    </row>
    <row r="378" spans="4:12" x14ac:dyDescent="0.25">
      <c r="D378" s="3"/>
      <c r="E378" s="6"/>
      <c r="F378" s="14"/>
      <c r="G378" s="5"/>
      <c r="J378" s="5"/>
      <c r="K378" s="2"/>
      <c r="L378" s="14"/>
    </row>
    <row r="379" spans="4:12" x14ac:dyDescent="0.25">
      <c r="D379" s="3"/>
      <c r="E379" s="6"/>
      <c r="F379" s="14"/>
      <c r="G379" s="5"/>
      <c r="J379" s="5"/>
      <c r="K379" s="2"/>
      <c r="L379" s="14"/>
    </row>
    <row r="380" spans="4:12" x14ac:dyDescent="0.25">
      <c r="D380" s="3"/>
      <c r="E380" s="6"/>
      <c r="F380" s="14"/>
      <c r="G380" s="5"/>
      <c r="J380" s="5"/>
      <c r="K380" s="2"/>
      <c r="L380" s="14"/>
    </row>
    <row r="381" spans="4:12" x14ac:dyDescent="0.25">
      <c r="D381" s="3"/>
      <c r="E381" s="6"/>
      <c r="F381" s="14"/>
      <c r="G381" s="5"/>
      <c r="J381" s="5"/>
      <c r="K381" s="2"/>
      <c r="L381" s="14"/>
    </row>
    <row r="382" spans="4:12" x14ac:dyDescent="0.25">
      <c r="D382" s="3"/>
      <c r="E382" s="6"/>
      <c r="F382" s="14"/>
      <c r="G382" s="5"/>
      <c r="J382" s="5"/>
      <c r="K382" s="2"/>
      <c r="L382" s="14"/>
    </row>
    <row r="383" spans="4:12" x14ac:dyDescent="0.25">
      <c r="D383" s="3"/>
      <c r="E383" s="6"/>
      <c r="F383" s="14"/>
      <c r="G383" s="5"/>
      <c r="J383" s="5"/>
      <c r="K383" s="2"/>
      <c r="L383" s="14"/>
    </row>
    <row r="384" spans="4:12" x14ac:dyDescent="0.25">
      <c r="D384" s="3"/>
      <c r="E384" s="6"/>
      <c r="F384" s="14"/>
      <c r="G384" s="5"/>
      <c r="J384" s="5"/>
      <c r="K384" s="2"/>
      <c r="L384" s="14"/>
    </row>
    <row r="385" spans="4:12" x14ac:dyDescent="0.25">
      <c r="D385" s="3"/>
      <c r="E385" s="6"/>
      <c r="F385" s="14"/>
      <c r="G385" s="5"/>
      <c r="J385" s="5"/>
      <c r="K385" s="2"/>
      <c r="L385" s="14"/>
    </row>
    <row r="386" spans="4:12" x14ac:dyDescent="0.25">
      <c r="D386" s="3"/>
      <c r="E386" s="6"/>
      <c r="F386" s="14"/>
      <c r="G386" s="5"/>
      <c r="J386" s="5"/>
      <c r="K386" s="2"/>
      <c r="L386" s="14"/>
    </row>
    <row r="387" spans="4:12" x14ac:dyDescent="0.25">
      <c r="D387" s="3"/>
      <c r="E387" s="6"/>
      <c r="F387" s="14"/>
      <c r="G387" s="5"/>
      <c r="J387" s="5"/>
      <c r="K387" s="2"/>
      <c r="L387" s="14"/>
    </row>
    <row r="388" spans="4:12" x14ac:dyDescent="0.25">
      <c r="D388" s="3"/>
      <c r="E388" s="6"/>
      <c r="F388" s="14"/>
      <c r="G388" s="5"/>
      <c r="J388" s="5"/>
      <c r="K388" s="2"/>
      <c r="L388" s="14"/>
    </row>
    <row r="389" spans="4:12" x14ac:dyDescent="0.25">
      <c r="D389" s="3"/>
      <c r="E389" s="6"/>
      <c r="F389" s="14"/>
      <c r="G389" s="5"/>
      <c r="J389" s="5"/>
      <c r="K389" s="2"/>
      <c r="L389" s="14"/>
    </row>
    <row r="390" spans="4:12" x14ac:dyDescent="0.25">
      <c r="D390" s="3"/>
      <c r="E390" s="6"/>
      <c r="F390" s="14"/>
      <c r="G390" s="5"/>
      <c r="J390" s="5"/>
      <c r="K390" s="2"/>
      <c r="L390" s="14"/>
    </row>
    <row r="391" spans="4:12" x14ac:dyDescent="0.25">
      <c r="D391" s="3"/>
      <c r="E391" s="6"/>
      <c r="F391" s="14"/>
      <c r="G391" s="5"/>
      <c r="J391" s="5"/>
      <c r="K391" s="2"/>
      <c r="L391" s="14"/>
    </row>
    <row r="392" spans="4:12" x14ac:dyDescent="0.25">
      <c r="D392" s="3"/>
      <c r="E392" s="6"/>
      <c r="F392" s="14"/>
      <c r="G392" s="5"/>
      <c r="J392" s="5"/>
      <c r="K392" s="2"/>
      <c r="L392" s="14"/>
    </row>
    <row r="393" spans="4:12" x14ac:dyDescent="0.25">
      <c r="D393" s="3"/>
      <c r="E393" s="6"/>
      <c r="F393" s="14"/>
      <c r="G393" s="5"/>
      <c r="J393" s="5"/>
      <c r="K393" s="2"/>
      <c r="L393" s="14"/>
    </row>
    <row r="394" spans="4:12" x14ac:dyDescent="0.25">
      <c r="D394" s="3"/>
      <c r="E394" s="6"/>
      <c r="F394" s="14"/>
      <c r="G394" s="5"/>
      <c r="J394" s="5"/>
      <c r="K394" s="2"/>
      <c r="L394" s="14"/>
    </row>
    <row r="395" spans="4:12" x14ac:dyDescent="0.25">
      <c r="D395" s="3"/>
      <c r="E395" s="6"/>
      <c r="F395" s="14"/>
      <c r="G395" s="5"/>
      <c r="J395" s="5"/>
      <c r="K395" s="2"/>
      <c r="L395" s="14"/>
    </row>
    <row r="396" spans="4:12" x14ac:dyDescent="0.25">
      <c r="D396" s="3"/>
      <c r="E396" s="6"/>
      <c r="F396" s="14"/>
      <c r="G396" s="5"/>
      <c r="J396" s="5"/>
      <c r="K396" s="2"/>
      <c r="L396" s="14"/>
    </row>
    <row r="397" spans="4:12" x14ac:dyDescent="0.25">
      <c r="D397" s="3"/>
      <c r="E397" s="6"/>
      <c r="F397" s="14"/>
      <c r="G397" s="5"/>
      <c r="J397" s="5"/>
      <c r="K397" s="2"/>
      <c r="L397" s="14"/>
    </row>
    <row r="398" spans="4:12" x14ac:dyDescent="0.25">
      <c r="D398" s="3"/>
      <c r="E398" s="6"/>
      <c r="F398" s="14"/>
      <c r="G398" s="5"/>
      <c r="J398" s="5"/>
      <c r="K398" s="2"/>
      <c r="L398" s="14"/>
    </row>
    <row r="399" spans="4:12" x14ac:dyDescent="0.25">
      <c r="D399" s="3"/>
      <c r="E399" s="6"/>
      <c r="F399" s="14"/>
      <c r="G399" s="5"/>
      <c r="J399" s="5"/>
      <c r="K399" s="2"/>
      <c r="L399" s="14"/>
    </row>
    <row r="400" spans="4:12" x14ac:dyDescent="0.25">
      <c r="D400" s="24"/>
      <c r="E400" s="25"/>
      <c r="F400" s="14"/>
      <c r="G400" s="5"/>
      <c r="J400" s="5"/>
      <c r="K400" s="2"/>
      <c r="L400" s="14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00"/>
  <sheetViews>
    <sheetView topLeftCell="E130" zoomScaleNormal="100" workbookViewId="0">
      <selection activeCell="V155" sqref="V155"/>
    </sheetView>
  </sheetViews>
  <sheetFormatPr defaultColWidth="8.85546875" defaultRowHeight="15" x14ac:dyDescent="0.25"/>
  <cols>
    <col min="1" max="1" width="10.140625" style="1" customWidth="1"/>
    <col min="2" max="2" width="10.85546875" style="1" customWidth="1"/>
    <col min="3" max="3" width="9.7109375" style="1" customWidth="1"/>
    <col min="4" max="4" width="10.7109375" style="1" customWidth="1"/>
    <col min="5" max="5" width="8.85546875" style="1"/>
    <col min="6" max="6" width="10.140625" style="1" customWidth="1"/>
    <col min="7" max="7" width="10.7109375" style="3" customWidth="1"/>
    <col min="8" max="8" width="8.85546875" style="6"/>
    <col min="9" max="9" width="11.140625" style="23" customWidth="1"/>
    <col min="10" max="10" width="10.7109375" style="3" customWidth="1"/>
    <col min="11" max="11" width="8.85546875" style="6"/>
    <col min="12" max="12" width="11.140625" style="23" customWidth="1"/>
    <col min="13" max="13" width="10.7109375" style="3" customWidth="1"/>
    <col min="14" max="14" width="8.85546875" style="6"/>
    <col min="15" max="15" width="11.140625" style="23" customWidth="1"/>
    <col min="16" max="16" width="10.7109375" style="3" customWidth="1"/>
    <col min="17" max="17" width="8.85546875" style="6"/>
    <col min="18" max="18" width="11.140625" style="23" customWidth="1"/>
    <col min="19" max="19" width="10.7109375" style="1" customWidth="1"/>
    <col min="20" max="20" width="9" style="1" customWidth="1"/>
    <col min="21" max="21" width="12.140625" style="1" customWidth="1"/>
    <col min="22" max="16384" width="8.85546875" style="1"/>
  </cols>
  <sheetData>
    <row r="1" spans="1:23" s="4" customFormat="1" ht="15.75" x14ac:dyDescent="0.25">
      <c r="A1" s="26" t="s">
        <v>673</v>
      </c>
      <c r="B1" s="26" t="s">
        <v>667</v>
      </c>
      <c r="C1" s="26" t="s">
        <v>668</v>
      </c>
      <c r="D1" s="26" t="s">
        <v>782</v>
      </c>
      <c r="E1" s="26" t="s">
        <v>794</v>
      </c>
      <c r="F1" s="26" t="s">
        <v>795</v>
      </c>
      <c r="G1" s="27" t="s">
        <v>783</v>
      </c>
      <c r="H1" s="26" t="s">
        <v>788</v>
      </c>
      <c r="I1" s="26" t="s">
        <v>796</v>
      </c>
      <c r="J1" s="27" t="s">
        <v>784</v>
      </c>
      <c r="K1" s="26" t="s">
        <v>798</v>
      </c>
      <c r="L1" s="35" t="s">
        <v>789</v>
      </c>
      <c r="M1" s="27" t="s">
        <v>785</v>
      </c>
      <c r="N1" s="26" t="s">
        <v>790</v>
      </c>
      <c r="O1" s="26" t="s">
        <v>799</v>
      </c>
      <c r="P1" s="27" t="s">
        <v>786</v>
      </c>
      <c r="Q1" s="26" t="s">
        <v>800</v>
      </c>
      <c r="R1" s="26" t="s">
        <v>791</v>
      </c>
      <c r="S1" s="27" t="s">
        <v>787</v>
      </c>
      <c r="T1" s="26" t="s">
        <v>792</v>
      </c>
      <c r="U1" s="26" t="s">
        <v>797</v>
      </c>
      <c r="V1" s="4" t="s">
        <v>808</v>
      </c>
      <c r="W1" s="4" t="s">
        <v>809</v>
      </c>
    </row>
    <row r="2" spans="1:23" x14ac:dyDescent="0.25">
      <c r="A2" s="1" t="s">
        <v>382</v>
      </c>
      <c r="B2" s="1">
        <v>7054802.7509000003</v>
      </c>
      <c r="C2" s="1">
        <v>509821.01140000002</v>
      </c>
      <c r="D2" s="5" t="str">
        <f t="shared" ref="D2:D33" si="0">IF(V2&gt;$W$2,$A2&amp;RIGHT(D$1,1)&amp;"F","-")</f>
        <v>S1031F</v>
      </c>
      <c r="E2" s="22" t="s">
        <v>670</v>
      </c>
      <c r="F2" s="22">
        <f>IF(Table36[[#This Row],[Facility_1]]="-",0,V2)</f>
        <v>35000</v>
      </c>
      <c r="G2" s="5" t="str">
        <f t="shared" ref="G2:G33" si="1">IF(V2&gt;$W$2,$A2&amp;RIGHT(G$1,1)&amp;"F","-")</f>
        <v>S1032F</v>
      </c>
      <c r="H2" s="2" t="str">
        <f t="shared" ref="H2:H33" si="2">IF(E2="sawmal","TerTal",IF(E2="sawmpi","TerTpi",IF(E2="sawmsp","TerTsp","")))</f>
        <v>TerTal</v>
      </c>
      <c r="I2" s="22">
        <f>IF(Table36[[#This Row],[Facility_2]]="-",0,V2)</f>
        <v>35000</v>
      </c>
      <c r="J2" s="5" t="str">
        <f t="shared" ref="J2:J33" si="3">$A2&amp;RIGHT(J$1,1)&amp;"F"</f>
        <v>S1033F</v>
      </c>
      <c r="L2" s="36">
        <f>IF(Table36[[#This Row],[Facility_1]]="-",0,AB2)</f>
        <v>0</v>
      </c>
      <c r="M2" s="5" t="str">
        <f>$A2&amp;RIGHT(M$1,1)&amp;"F"</f>
        <v>S1034F</v>
      </c>
      <c r="P2" s="5" t="str">
        <f>$A2&amp;RIGHT(P$1,1)&amp;"F"</f>
        <v>S1035F</v>
      </c>
      <c r="S2" s="5" t="str">
        <f>$A2&amp;RIGHT(S$1,1)&amp;"F"</f>
        <v>S1036F</v>
      </c>
      <c r="V2" s="1">
        <v>35000</v>
      </c>
      <c r="W2" s="1">
        <v>0</v>
      </c>
    </row>
    <row r="3" spans="1:23" x14ac:dyDescent="0.25">
      <c r="A3" s="1" t="s">
        <v>383</v>
      </c>
      <c r="B3" s="1">
        <v>6403975.7262000004</v>
      </c>
      <c r="C3" s="1">
        <v>429989.6226</v>
      </c>
      <c r="D3" s="5" t="str">
        <f t="shared" si="0"/>
        <v>S1041F</v>
      </c>
      <c r="E3" s="6" t="s">
        <v>670</v>
      </c>
      <c r="F3" s="6">
        <f>IF(Table36[[#This Row],[Facility_1]]="-",0,V3)</f>
        <v>150000</v>
      </c>
      <c r="G3" s="5" t="str">
        <f t="shared" si="1"/>
        <v>S1042F</v>
      </c>
      <c r="H3" s="2" t="str">
        <f t="shared" si="2"/>
        <v>TerTal</v>
      </c>
      <c r="I3" s="22">
        <f>IF(Table36[[#This Row],[Facility_2]]="-",0,V3)</f>
        <v>150000</v>
      </c>
      <c r="J3" s="5" t="str">
        <f t="shared" si="3"/>
        <v>S1043F</v>
      </c>
      <c r="L3" s="36">
        <f>IF(Table36[[#This Row],[Facility_1]]="-",0,AB3)</f>
        <v>0</v>
      </c>
      <c r="V3" s="1">
        <v>150000</v>
      </c>
    </row>
    <row r="4" spans="1:23" x14ac:dyDescent="0.25">
      <c r="A4" s="1" t="s">
        <v>384</v>
      </c>
      <c r="B4" s="1">
        <v>6365090.5038999999</v>
      </c>
      <c r="C4" s="1">
        <v>504481.74400000001</v>
      </c>
      <c r="D4" s="5" t="str">
        <f t="shared" si="0"/>
        <v>S1091F</v>
      </c>
      <c r="E4" s="6" t="s">
        <v>670</v>
      </c>
      <c r="F4" s="6">
        <f>IF(Table36[[#This Row],[Facility_1]]="-",0,V4)</f>
        <v>110000</v>
      </c>
      <c r="G4" s="5" t="str">
        <f t="shared" si="1"/>
        <v>S1092F</v>
      </c>
      <c r="H4" s="2" t="str">
        <f t="shared" si="2"/>
        <v>TerTal</v>
      </c>
      <c r="I4" s="22">
        <f>IF(Table36[[#This Row],[Facility_2]]="-",0,V4)</f>
        <v>110000</v>
      </c>
      <c r="J4" s="5" t="str">
        <f t="shared" si="3"/>
        <v>S1093F</v>
      </c>
      <c r="L4" s="36">
        <f>IF(Table36[[#This Row],[Facility_1]]="-",0,AB4)</f>
        <v>0</v>
      </c>
      <c r="V4" s="1">
        <v>110000</v>
      </c>
    </row>
    <row r="5" spans="1:23" x14ac:dyDescent="0.25">
      <c r="A5" s="1" t="s">
        <v>359</v>
      </c>
      <c r="B5" s="1">
        <v>6305533.6341000004</v>
      </c>
      <c r="C5" s="1">
        <v>564851.98069999996</v>
      </c>
      <c r="D5" s="5" t="str">
        <f t="shared" si="0"/>
        <v>S111F</v>
      </c>
      <c r="E5" s="6" t="s">
        <v>670</v>
      </c>
      <c r="F5" s="6">
        <f>IF(Table36[[#This Row],[Facility_1]]="-",0,V5)</f>
        <v>37500</v>
      </c>
      <c r="G5" s="5" t="str">
        <f t="shared" si="1"/>
        <v>S112F</v>
      </c>
      <c r="H5" s="2" t="str">
        <f t="shared" si="2"/>
        <v>TerTal</v>
      </c>
      <c r="I5" s="22">
        <f>IF(Table36[[#This Row],[Facility_2]]="-",0,V5)</f>
        <v>37500</v>
      </c>
      <c r="J5" s="5" t="str">
        <f t="shared" si="3"/>
        <v>S113F</v>
      </c>
      <c r="L5" s="36">
        <f>IF(Table36[[#This Row],[Facility_1]]="-",0,AB5)</f>
        <v>0</v>
      </c>
      <c r="V5" s="1">
        <v>37500</v>
      </c>
    </row>
    <row r="6" spans="1:23" x14ac:dyDescent="0.25">
      <c r="A6" s="1" t="s">
        <v>539</v>
      </c>
      <c r="B6" s="1">
        <v>6990964.8602</v>
      </c>
      <c r="C6" s="1">
        <v>662430.51379999996</v>
      </c>
      <c r="D6" s="5" t="str">
        <f t="shared" si="0"/>
        <v>-</v>
      </c>
      <c r="E6" s="6" t="s">
        <v>671</v>
      </c>
      <c r="F6" s="6">
        <f>IF(Table36[[#This Row],[Facility_1]]="-",0,V6)</f>
        <v>0</v>
      </c>
      <c r="G6" s="5" t="str">
        <f t="shared" si="1"/>
        <v>-</v>
      </c>
      <c r="H6" s="2" t="str">
        <f t="shared" si="2"/>
        <v>TerTpi</v>
      </c>
      <c r="I6" s="22">
        <f>IF(Table36[[#This Row],[Facility_2]]="-",0,V6)</f>
        <v>0</v>
      </c>
      <c r="J6" s="5" t="str">
        <f t="shared" si="3"/>
        <v>S1133F</v>
      </c>
      <c r="L6" s="36">
        <f>IF(Table36[[#This Row],[Facility_1]]="-",0,AB6)</f>
        <v>0</v>
      </c>
      <c r="S6" s="6"/>
      <c r="V6" s="1">
        <v>0</v>
      </c>
    </row>
    <row r="7" spans="1:23" x14ac:dyDescent="0.25">
      <c r="A7" s="1" t="s">
        <v>385</v>
      </c>
      <c r="B7" s="1">
        <v>6607316.1478000004</v>
      </c>
      <c r="C7" s="1">
        <v>538703.64399999997</v>
      </c>
      <c r="D7" s="5" t="str">
        <f t="shared" si="0"/>
        <v>S1141F</v>
      </c>
      <c r="E7" s="6" t="s">
        <v>670</v>
      </c>
      <c r="F7" s="6">
        <f>IF(Table36[[#This Row],[Facility_1]]="-",0,V7)</f>
        <v>320000</v>
      </c>
      <c r="G7" s="5" t="str">
        <f t="shared" si="1"/>
        <v>S1142F</v>
      </c>
      <c r="H7" s="2" t="str">
        <f t="shared" si="2"/>
        <v>TerTal</v>
      </c>
      <c r="I7" s="22">
        <f>IF(Table36[[#This Row],[Facility_2]]="-",0,V7)</f>
        <v>320000</v>
      </c>
      <c r="J7" s="5" t="str">
        <f t="shared" si="3"/>
        <v>S1143F</v>
      </c>
      <c r="L7" s="36">
        <f>IF(Table36[[#This Row],[Facility_1]]="-",0,AB7)</f>
        <v>0</v>
      </c>
      <c r="V7" s="1">
        <v>320000</v>
      </c>
    </row>
    <row r="8" spans="1:23" x14ac:dyDescent="0.25">
      <c r="A8" s="1" t="s">
        <v>540</v>
      </c>
      <c r="B8" s="1">
        <v>6550449.7068999996</v>
      </c>
      <c r="C8" s="1">
        <v>480006.13620000001</v>
      </c>
      <c r="D8" s="5" t="str">
        <f t="shared" si="0"/>
        <v>-</v>
      </c>
      <c r="E8" s="6" t="s">
        <v>672</v>
      </c>
      <c r="F8" s="6">
        <f>IF(Table36[[#This Row],[Facility_1]]="-",0,V8)</f>
        <v>0</v>
      </c>
      <c r="G8" s="5" t="str">
        <f t="shared" si="1"/>
        <v>-</v>
      </c>
      <c r="H8" s="2" t="str">
        <f t="shared" si="2"/>
        <v>TerTsp</v>
      </c>
      <c r="I8" s="22">
        <f>IF(Table36[[#This Row],[Facility_2]]="-",0,V8)</f>
        <v>0</v>
      </c>
      <c r="J8" s="5" t="str">
        <f t="shared" si="3"/>
        <v>S1153F</v>
      </c>
      <c r="L8" s="36">
        <f>IF(Table36[[#This Row],[Facility_1]]="-",0,AB8)</f>
        <v>0</v>
      </c>
      <c r="V8" s="1">
        <v>0</v>
      </c>
    </row>
    <row r="9" spans="1:23" x14ac:dyDescent="0.25">
      <c r="A9" s="1" t="s">
        <v>386</v>
      </c>
      <c r="B9" s="1">
        <v>6283573.9353999998</v>
      </c>
      <c r="C9" s="1">
        <v>535287.87939999998</v>
      </c>
      <c r="D9" s="5" t="str">
        <f t="shared" si="0"/>
        <v>S1161F</v>
      </c>
      <c r="E9" s="6" t="s">
        <v>670</v>
      </c>
      <c r="F9" s="6">
        <f>IF(Table36[[#This Row],[Facility_1]]="-",0,V9)</f>
        <v>100000</v>
      </c>
      <c r="G9" s="5" t="str">
        <f t="shared" si="1"/>
        <v>S1162F</v>
      </c>
      <c r="H9" s="2" t="str">
        <f t="shared" si="2"/>
        <v>TerTal</v>
      </c>
      <c r="I9" s="22">
        <f>IF(Table36[[#This Row],[Facility_2]]="-",0,V9)</f>
        <v>100000</v>
      </c>
      <c r="J9" s="5" t="str">
        <f t="shared" si="3"/>
        <v>S1163F</v>
      </c>
      <c r="L9" s="36">
        <f>IF(Table36[[#This Row],[Facility_1]]="-",0,AB9)</f>
        <v>0</v>
      </c>
      <c r="V9" s="1">
        <v>100000</v>
      </c>
    </row>
    <row r="10" spans="1:23" x14ac:dyDescent="0.25">
      <c r="A10" s="1" t="s">
        <v>360</v>
      </c>
      <c r="B10" s="1">
        <v>7430157.7148000002</v>
      </c>
      <c r="C10" s="1">
        <v>847565.09779999999</v>
      </c>
      <c r="D10" s="5" t="str">
        <f t="shared" si="0"/>
        <v>S121F</v>
      </c>
      <c r="E10" s="6" t="s">
        <v>670</v>
      </c>
      <c r="F10" s="6">
        <f>IF(Table36[[#This Row],[Facility_1]]="-",0,V10)</f>
        <v>65000</v>
      </c>
      <c r="G10" s="5" t="str">
        <f t="shared" si="1"/>
        <v>S122F</v>
      </c>
      <c r="H10" s="2" t="str">
        <f t="shared" si="2"/>
        <v>TerTal</v>
      </c>
      <c r="I10" s="22">
        <f>IF(Table36[[#This Row],[Facility_2]]="-",0,V10)</f>
        <v>65000</v>
      </c>
      <c r="J10" s="5" t="str">
        <f t="shared" si="3"/>
        <v>S123F</v>
      </c>
      <c r="L10" s="36">
        <f>IF(Table36[[#This Row],[Facility_1]]="-",0,AB10)</f>
        <v>0</v>
      </c>
      <c r="V10" s="1">
        <v>65000</v>
      </c>
    </row>
    <row r="11" spans="1:23" x14ac:dyDescent="0.25">
      <c r="A11" s="1" t="s">
        <v>387</v>
      </c>
      <c r="B11" s="1">
        <v>6962674.0575999999</v>
      </c>
      <c r="C11" s="1">
        <v>473192.34889999998</v>
      </c>
      <c r="D11" s="5" t="str">
        <f t="shared" si="0"/>
        <v>S1211F</v>
      </c>
      <c r="E11" s="6" t="s">
        <v>672</v>
      </c>
      <c r="F11" s="6">
        <f>IF(Table36[[#This Row],[Facility_1]]="-",0,V11)</f>
        <v>340000</v>
      </c>
      <c r="G11" s="5" t="str">
        <f t="shared" si="1"/>
        <v>S1212F</v>
      </c>
      <c r="H11" s="2" t="str">
        <f t="shared" si="2"/>
        <v>TerTsp</v>
      </c>
      <c r="I11" s="22">
        <f>IF(Table36[[#This Row],[Facility_2]]="-",0,V11)</f>
        <v>340000</v>
      </c>
      <c r="J11" s="5" t="str">
        <f t="shared" si="3"/>
        <v>S1213F</v>
      </c>
      <c r="L11" s="36">
        <f>IF(Table36[[#This Row],[Facility_1]]="-",0,AB11)</f>
        <v>0</v>
      </c>
      <c r="V11" s="1">
        <v>340000</v>
      </c>
    </row>
    <row r="12" spans="1:23" x14ac:dyDescent="0.25">
      <c r="A12" s="1" t="s">
        <v>388</v>
      </c>
      <c r="B12" s="1">
        <v>6779532.7713000001</v>
      </c>
      <c r="C12" s="1">
        <v>454078.17859999998</v>
      </c>
      <c r="D12" s="5" t="str">
        <f t="shared" si="0"/>
        <v>S1241F</v>
      </c>
      <c r="E12" s="6" t="s">
        <v>670</v>
      </c>
      <c r="F12" s="6">
        <f>IF(Table36[[#This Row],[Facility_1]]="-",0,V12)</f>
        <v>125000</v>
      </c>
      <c r="G12" s="5" t="str">
        <f t="shared" si="1"/>
        <v>S1242F</v>
      </c>
      <c r="H12" s="2" t="str">
        <f t="shared" si="2"/>
        <v>TerTal</v>
      </c>
      <c r="I12" s="22">
        <f>IF(Table36[[#This Row],[Facility_2]]="-",0,V12)</f>
        <v>125000</v>
      </c>
      <c r="J12" s="5" t="str">
        <f t="shared" si="3"/>
        <v>S1243F</v>
      </c>
      <c r="L12" s="36">
        <f>IF(Table36[[#This Row],[Facility_1]]="-",0,AB12)</f>
        <v>0</v>
      </c>
      <c r="V12" s="1">
        <v>125000</v>
      </c>
    </row>
    <row r="13" spans="1:23" x14ac:dyDescent="0.25">
      <c r="A13" s="1" t="s">
        <v>389</v>
      </c>
      <c r="B13" s="1">
        <v>6599957.5225</v>
      </c>
      <c r="C13" s="1">
        <v>563410.66370000003</v>
      </c>
      <c r="D13" s="5" t="str">
        <f t="shared" si="0"/>
        <v>S1251F</v>
      </c>
      <c r="E13" s="6" t="s">
        <v>672</v>
      </c>
      <c r="F13" s="6">
        <f>IF(Table36[[#This Row],[Facility_1]]="-",0,V13)</f>
        <v>550000</v>
      </c>
      <c r="G13" s="5" t="str">
        <f t="shared" si="1"/>
        <v>S1252F</v>
      </c>
      <c r="H13" s="2" t="str">
        <f t="shared" si="2"/>
        <v>TerTsp</v>
      </c>
      <c r="I13" s="22">
        <f>IF(Table36[[#This Row],[Facility_2]]="-",0,V13)</f>
        <v>550000</v>
      </c>
      <c r="J13" s="5" t="str">
        <f t="shared" si="3"/>
        <v>S1253F</v>
      </c>
      <c r="L13" s="36">
        <f>IF(Table36[[#This Row],[Facility_1]]="-",0,AB13)</f>
        <v>0</v>
      </c>
      <c r="V13" s="1">
        <v>550000</v>
      </c>
    </row>
    <row r="14" spans="1:23" x14ac:dyDescent="0.25">
      <c r="A14" s="1" t="s">
        <v>541</v>
      </c>
      <c r="B14" s="1">
        <v>6359555.0756999999</v>
      </c>
      <c r="C14" s="1">
        <v>464337.93979999999</v>
      </c>
      <c r="D14" s="5" t="str">
        <f t="shared" si="0"/>
        <v>S1271F</v>
      </c>
      <c r="E14" s="6" t="s">
        <v>672</v>
      </c>
      <c r="F14" s="6">
        <f>IF(Table36[[#This Row],[Facility_1]]="-",0,V14)</f>
        <v>320000</v>
      </c>
      <c r="G14" s="5" t="str">
        <f t="shared" si="1"/>
        <v>S1272F</v>
      </c>
      <c r="H14" s="2" t="str">
        <f t="shared" si="2"/>
        <v>TerTsp</v>
      </c>
      <c r="I14" s="22">
        <f>IF(Table36[[#This Row],[Facility_2]]="-",0,V14)</f>
        <v>320000</v>
      </c>
      <c r="J14" s="5" t="str">
        <f t="shared" si="3"/>
        <v>S1273F</v>
      </c>
      <c r="L14" s="36">
        <f>IF(Table36[[#This Row],[Facility_1]]="-",0,AB14)</f>
        <v>0</v>
      </c>
      <c r="V14" s="1">
        <v>320000</v>
      </c>
    </row>
    <row r="15" spans="1:23" x14ac:dyDescent="0.25">
      <c r="A15" s="1" t="s">
        <v>542</v>
      </c>
      <c r="B15" s="1">
        <v>6336376.5905999998</v>
      </c>
      <c r="C15" s="1">
        <v>404362.75880000001</v>
      </c>
      <c r="D15" s="5" t="str">
        <f t="shared" si="0"/>
        <v>-</v>
      </c>
      <c r="E15" s="6" t="s">
        <v>670</v>
      </c>
      <c r="F15" s="6">
        <f>IF(Table36[[#This Row],[Facility_1]]="-",0,V15)</f>
        <v>0</v>
      </c>
      <c r="G15" s="5" t="str">
        <f t="shared" si="1"/>
        <v>-</v>
      </c>
      <c r="H15" s="2" t="str">
        <f t="shared" si="2"/>
        <v>TerTal</v>
      </c>
      <c r="I15" s="22">
        <f>IF(Table36[[#This Row],[Facility_2]]="-",0,V15)</f>
        <v>0</v>
      </c>
      <c r="J15" s="5" t="str">
        <f t="shared" si="3"/>
        <v>S1293F</v>
      </c>
      <c r="L15" s="36">
        <f>IF(Table36[[#This Row],[Facility_1]]="-",0,AB15)</f>
        <v>0</v>
      </c>
      <c r="V15" s="1">
        <v>0</v>
      </c>
    </row>
    <row r="16" spans="1:23" x14ac:dyDescent="0.25">
      <c r="A16" s="1" t="s">
        <v>390</v>
      </c>
      <c r="B16" s="1">
        <v>6790374.3413000004</v>
      </c>
      <c r="C16" s="1">
        <v>583449.5662</v>
      </c>
      <c r="D16" s="5" t="str">
        <f t="shared" si="0"/>
        <v>S1381F</v>
      </c>
      <c r="E16" s="6" t="s">
        <v>670</v>
      </c>
      <c r="F16" s="6">
        <f>IF(Table36[[#This Row],[Facility_1]]="-",0,V16)</f>
        <v>80000</v>
      </c>
      <c r="G16" s="5" t="str">
        <f t="shared" si="1"/>
        <v>S1382F</v>
      </c>
      <c r="H16" s="2" t="str">
        <f t="shared" si="2"/>
        <v>TerTal</v>
      </c>
      <c r="I16" s="22">
        <f>IF(Table36[[#This Row],[Facility_2]]="-",0,V16)</f>
        <v>80000</v>
      </c>
      <c r="J16" s="5" t="str">
        <f t="shared" si="3"/>
        <v>S1383F</v>
      </c>
      <c r="L16" s="36">
        <f>IF(Table36[[#This Row],[Facility_1]]="-",0,AB16)</f>
        <v>0</v>
      </c>
      <c r="V16" s="1">
        <v>80000</v>
      </c>
    </row>
    <row r="17" spans="1:22" x14ac:dyDescent="0.25">
      <c r="A17" s="1" t="s">
        <v>391</v>
      </c>
      <c r="B17" s="1">
        <v>6382002.3002000004</v>
      </c>
      <c r="C17" s="1">
        <v>467625.0171</v>
      </c>
      <c r="D17" s="5" t="str">
        <f t="shared" si="0"/>
        <v>S1431F</v>
      </c>
      <c r="E17" s="6" t="s">
        <v>670</v>
      </c>
      <c r="F17" s="6">
        <f>IF(Table36[[#This Row],[Facility_1]]="-",0,V17)</f>
        <v>30000</v>
      </c>
      <c r="G17" s="5" t="str">
        <f t="shared" si="1"/>
        <v>S1432F</v>
      </c>
      <c r="H17" s="2" t="str">
        <f t="shared" si="2"/>
        <v>TerTal</v>
      </c>
      <c r="I17" s="22">
        <f>IF(Table36[[#This Row],[Facility_2]]="-",0,V17)</f>
        <v>30000</v>
      </c>
      <c r="J17" s="5" t="str">
        <f t="shared" si="3"/>
        <v>S1433F</v>
      </c>
      <c r="L17" s="36">
        <f>IF(Table36[[#This Row],[Facility_1]]="-",0,AB17)</f>
        <v>0</v>
      </c>
      <c r="V17" s="1">
        <v>30000</v>
      </c>
    </row>
    <row r="18" spans="1:22" x14ac:dyDescent="0.25">
      <c r="A18" s="1" t="s">
        <v>392</v>
      </c>
      <c r="B18" s="1">
        <v>6354461.2319999998</v>
      </c>
      <c r="C18" s="1">
        <v>553364.28850000002</v>
      </c>
      <c r="D18" s="5" t="str">
        <f t="shared" si="0"/>
        <v>S1471F</v>
      </c>
      <c r="E18" s="6" t="s">
        <v>670</v>
      </c>
      <c r="F18" s="6">
        <f>IF(Table36[[#This Row],[Facility_1]]="-",0,V18)</f>
        <v>95000</v>
      </c>
      <c r="G18" s="5" t="str">
        <f t="shared" si="1"/>
        <v>S1472F</v>
      </c>
      <c r="H18" s="2" t="str">
        <f t="shared" si="2"/>
        <v>TerTal</v>
      </c>
      <c r="I18" s="22">
        <f>IF(Table36[[#This Row],[Facility_2]]="-",0,V18)</f>
        <v>95000</v>
      </c>
      <c r="J18" s="5" t="str">
        <f t="shared" si="3"/>
        <v>S1473F</v>
      </c>
      <c r="L18" s="36">
        <f>IF(Table36[[#This Row],[Facility_1]]="-",0,AB18)</f>
        <v>0</v>
      </c>
      <c r="V18" s="1">
        <v>95000</v>
      </c>
    </row>
    <row r="19" spans="1:22" x14ac:dyDescent="0.25">
      <c r="A19" s="1" t="s">
        <v>393</v>
      </c>
      <c r="B19" s="1">
        <v>6271584.7565000001</v>
      </c>
      <c r="C19" s="1">
        <v>423589.48229999997</v>
      </c>
      <c r="D19" s="5" t="str">
        <f t="shared" si="0"/>
        <v>S1491F</v>
      </c>
      <c r="E19" s="6" t="s">
        <v>670</v>
      </c>
      <c r="F19" s="6">
        <f>IF(Table36[[#This Row],[Facility_1]]="-",0,V19)</f>
        <v>90000</v>
      </c>
      <c r="G19" s="5" t="str">
        <f t="shared" si="1"/>
        <v>S1492F</v>
      </c>
      <c r="H19" s="2" t="str">
        <f t="shared" si="2"/>
        <v>TerTal</v>
      </c>
      <c r="I19" s="22">
        <f>IF(Table36[[#This Row],[Facility_2]]="-",0,V19)</f>
        <v>90000</v>
      </c>
      <c r="J19" s="5" t="str">
        <f t="shared" si="3"/>
        <v>S1493F</v>
      </c>
      <c r="L19" s="36">
        <f>IF(Table36[[#This Row],[Facility_1]]="-",0,AB19)</f>
        <v>0</v>
      </c>
      <c r="V19" s="1">
        <v>90000</v>
      </c>
    </row>
    <row r="20" spans="1:22" x14ac:dyDescent="0.25">
      <c r="A20" s="1" t="s">
        <v>394</v>
      </c>
      <c r="B20" s="1">
        <v>6578036.7964000003</v>
      </c>
      <c r="C20" s="1">
        <v>473341.87030000001</v>
      </c>
      <c r="D20" s="5" t="str">
        <f t="shared" si="0"/>
        <v>S1501F</v>
      </c>
      <c r="E20" s="6" t="s">
        <v>670</v>
      </c>
      <c r="F20" s="6">
        <f>IF(Table36[[#This Row],[Facility_1]]="-",0,V20)</f>
        <v>145000</v>
      </c>
      <c r="G20" s="5" t="str">
        <f t="shared" si="1"/>
        <v>S1502F</v>
      </c>
      <c r="H20" s="2" t="str">
        <f t="shared" si="2"/>
        <v>TerTal</v>
      </c>
      <c r="I20" s="22">
        <f>IF(Table36[[#This Row],[Facility_2]]="-",0,V20)</f>
        <v>145000</v>
      </c>
      <c r="J20" s="5" t="str">
        <f t="shared" si="3"/>
        <v>S1503F</v>
      </c>
      <c r="L20" s="36">
        <f>IF(Table36[[#This Row],[Facility_1]]="-",0,AB20)</f>
        <v>0</v>
      </c>
      <c r="V20" s="1">
        <v>145000</v>
      </c>
    </row>
    <row r="21" spans="1:22" x14ac:dyDescent="0.25">
      <c r="A21" s="1" t="s">
        <v>395</v>
      </c>
      <c r="B21" s="1">
        <v>6686508.1322999997</v>
      </c>
      <c r="C21" s="1">
        <v>578361.78769999999</v>
      </c>
      <c r="D21" s="5" t="str">
        <f t="shared" si="0"/>
        <v>S1511F</v>
      </c>
      <c r="E21" s="6" t="s">
        <v>670</v>
      </c>
      <c r="F21" s="6">
        <f>IF(Table36[[#This Row],[Facility_1]]="-",0,V21)</f>
        <v>100000</v>
      </c>
      <c r="G21" s="5" t="str">
        <f t="shared" si="1"/>
        <v>S1512F</v>
      </c>
      <c r="H21" s="2" t="str">
        <f t="shared" si="2"/>
        <v>TerTal</v>
      </c>
      <c r="I21" s="22">
        <f>IF(Table36[[#This Row],[Facility_2]]="-",0,V21)</f>
        <v>100000</v>
      </c>
      <c r="J21" s="5" t="str">
        <f t="shared" si="3"/>
        <v>S1513F</v>
      </c>
      <c r="L21" s="36">
        <f>IF(Table36[[#This Row],[Facility_1]]="-",0,AB21)</f>
        <v>0</v>
      </c>
      <c r="V21" s="1">
        <v>100000</v>
      </c>
    </row>
    <row r="22" spans="1:22" x14ac:dyDescent="0.25">
      <c r="A22" s="1" t="s">
        <v>396</v>
      </c>
      <c r="B22" s="1">
        <v>6371741.9458999997</v>
      </c>
      <c r="C22" s="1">
        <v>487211.04249999998</v>
      </c>
      <c r="D22" s="5" t="str">
        <f t="shared" si="0"/>
        <v>S1531F</v>
      </c>
      <c r="E22" s="6" t="s">
        <v>670</v>
      </c>
      <c r="F22" s="6">
        <f>IF(Table36[[#This Row],[Facility_1]]="-",0,V22)</f>
        <v>45000</v>
      </c>
      <c r="G22" s="5" t="str">
        <f t="shared" si="1"/>
        <v>S1532F</v>
      </c>
      <c r="H22" s="2" t="str">
        <f t="shared" si="2"/>
        <v>TerTal</v>
      </c>
      <c r="I22" s="22">
        <f>IF(Table36[[#This Row],[Facility_2]]="-",0,V22)</f>
        <v>45000</v>
      </c>
      <c r="J22" s="5" t="str">
        <f t="shared" si="3"/>
        <v>S1533F</v>
      </c>
      <c r="L22" s="36">
        <f>IF(Table36[[#This Row],[Facility_1]]="-",0,AB22)</f>
        <v>0</v>
      </c>
      <c r="V22" s="1">
        <v>45000</v>
      </c>
    </row>
    <row r="23" spans="1:22" x14ac:dyDescent="0.25">
      <c r="A23" s="1" t="s">
        <v>397</v>
      </c>
      <c r="B23" s="1">
        <v>6920072.5288000004</v>
      </c>
      <c r="C23" s="1">
        <v>619325.79680000001</v>
      </c>
      <c r="D23" s="5" t="str">
        <f t="shared" si="0"/>
        <v>S1611F</v>
      </c>
      <c r="E23" s="6" t="s">
        <v>671</v>
      </c>
      <c r="F23" s="6">
        <f>IF(Table36[[#This Row],[Facility_1]]="-",0,V23)</f>
        <v>190000</v>
      </c>
      <c r="G23" s="5" t="str">
        <f t="shared" si="1"/>
        <v>S1612F</v>
      </c>
      <c r="H23" s="2" t="str">
        <f t="shared" si="2"/>
        <v>TerTpi</v>
      </c>
      <c r="I23" s="22">
        <f>IF(Table36[[#This Row],[Facility_2]]="-",0,V23)</f>
        <v>190000</v>
      </c>
      <c r="J23" s="5" t="str">
        <f t="shared" si="3"/>
        <v>S1613F</v>
      </c>
      <c r="L23" s="36">
        <f>IF(Table36[[#This Row],[Facility_1]]="-",0,AB23)</f>
        <v>0</v>
      </c>
      <c r="V23" s="1">
        <v>190000</v>
      </c>
    </row>
    <row r="24" spans="1:22" x14ac:dyDescent="0.25">
      <c r="A24" s="1" t="s">
        <v>398</v>
      </c>
      <c r="B24" s="1">
        <v>6835828.1934000002</v>
      </c>
      <c r="C24" s="1">
        <v>609875.51130000001</v>
      </c>
      <c r="D24" s="5" t="str">
        <f t="shared" si="0"/>
        <v>S1651F</v>
      </c>
      <c r="E24" s="6" t="s">
        <v>670</v>
      </c>
      <c r="F24" s="6">
        <f>IF(Table36[[#This Row],[Facility_1]]="-",0,V24)</f>
        <v>100000</v>
      </c>
      <c r="G24" s="5" t="str">
        <f t="shared" si="1"/>
        <v>S1652F</v>
      </c>
      <c r="H24" s="2" t="str">
        <f t="shared" si="2"/>
        <v>TerTal</v>
      </c>
      <c r="I24" s="22">
        <f>IF(Table36[[#This Row],[Facility_2]]="-",0,V24)</f>
        <v>100000</v>
      </c>
      <c r="J24" s="5" t="str">
        <f t="shared" si="3"/>
        <v>S1653F</v>
      </c>
      <c r="L24" s="36">
        <f>IF(Table36[[#This Row],[Facility_1]]="-",0,AB24)</f>
        <v>0</v>
      </c>
      <c r="V24" s="1">
        <v>100000</v>
      </c>
    </row>
    <row r="25" spans="1:22" x14ac:dyDescent="0.25">
      <c r="A25" s="1" t="s">
        <v>399</v>
      </c>
      <c r="B25" s="1">
        <v>6342526.6419000002</v>
      </c>
      <c r="C25" s="1">
        <v>497558.07709999999</v>
      </c>
      <c r="D25" s="5" t="str">
        <f t="shared" si="0"/>
        <v>S1681F</v>
      </c>
      <c r="E25" s="6" t="s">
        <v>672</v>
      </c>
      <c r="F25" s="6">
        <f>IF(Table36[[#This Row],[Facility_1]]="-",0,V25)</f>
        <v>250000</v>
      </c>
      <c r="G25" s="5" t="str">
        <f t="shared" si="1"/>
        <v>S1682F</v>
      </c>
      <c r="H25" s="2" t="str">
        <f t="shared" si="2"/>
        <v>TerTsp</v>
      </c>
      <c r="I25" s="22">
        <f>IF(Table36[[#This Row],[Facility_2]]="-",0,V25)</f>
        <v>250000</v>
      </c>
      <c r="J25" s="5" t="str">
        <f t="shared" si="3"/>
        <v>S1683F</v>
      </c>
      <c r="L25" s="36">
        <f>IF(Table36[[#This Row],[Facility_1]]="-",0,AB25)</f>
        <v>0</v>
      </c>
      <c r="V25" s="1">
        <v>250000</v>
      </c>
    </row>
    <row r="26" spans="1:22" x14ac:dyDescent="0.25">
      <c r="A26" s="1" t="s">
        <v>400</v>
      </c>
      <c r="B26" s="1">
        <v>6299166.5718999999</v>
      </c>
      <c r="C26" s="1">
        <v>547523.91449999996</v>
      </c>
      <c r="D26" s="5" t="str">
        <f t="shared" si="0"/>
        <v>S1771F</v>
      </c>
      <c r="E26" s="6" t="s">
        <v>670</v>
      </c>
      <c r="F26" s="6">
        <f>IF(Table36[[#This Row],[Facility_1]]="-",0,V26)</f>
        <v>120000</v>
      </c>
      <c r="G26" s="5" t="str">
        <f t="shared" si="1"/>
        <v>S1772F</v>
      </c>
      <c r="H26" s="2" t="str">
        <f t="shared" si="2"/>
        <v>TerTal</v>
      </c>
      <c r="I26" s="22">
        <f>IF(Table36[[#This Row],[Facility_2]]="-",0,V26)</f>
        <v>120000</v>
      </c>
      <c r="J26" s="5" t="str">
        <f t="shared" si="3"/>
        <v>S1773F</v>
      </c>
      <c r="L26" s="36">
        <f>IF(Table36[[#This Row],[Facility_1]]="-",0,AB26)</f>
        <v>0</v>
      </c>
      <c r="V26" s="1">
        <v>120000</v>
      </c>
    </row>
    <row r="27" spans="1:22" x14ac:dyDescent="0.25">
      <c r="A27" s="1" t="s">
        <v>401</v>
      </c>
      <c r="B27" s="1">
        <v>6987518.8234000001</v>
      </c>
      <c r="C27" s="1">
        <v>635951.64729999995</v>
      </c>
      <c r="D27" s="5" t="str">
        <f t="shared" si="0"/>
        <v>S1791F</v>
      </c>
      <c r="E27" s="6" t="s">
        <v>670</v>
      </c>
      <c r="F27" s="6">
        <f>IF(Table36[[#This Row],[Facility_1]]="-",0,V27)</f>
        <v>150000</v>
      </c>
      <c r="G27" s="5" t="str">
        <f t="shared" si="1"/>
        <v>S1792F</v>
      </c>
      <c r="H27" s="2" t="str">
        <f t="shared" si="2"/>
        <v>TerTal</v>
      </c>
      <c r="I27" s="22">
        <f>IF(Table36[[#This Row],[Facility_2]]="-",0,V27)</f>
        <v>150000</v>
      </c>
      <c r="J27" s="5" t="str">
        <f t="shared" si="3"/>
        <v>S1793F</v>
      </c>
      <c r="L27" s="36">
        <f>IF(Table36[[#This Row],[Facility_1]]="-",0,AB27)</f>
        <v>0</v>
      </c>
      <c r="V27" s="1">
        <v>150000</v>
      </c>
    </row>
    <row r="28" spans="1:22" x14ac:dyDescent="0.25">
      <c r="A28" s="1" t="s">
        <v>402</v>
      </c>
      <c r="B28" s="1">
        <v>6975217.4709999999</v>
      </c>
      <c r="C28" s="1">
        <v>511698.51799999998</v>
      </c>
      <c r="D28" s="5" t="str">
        <f t="shared" si="0"/>
        <v>S1801F</v>
      </c>
      <c r="E28" s="6" t="s">
        <v>670</v>
      </c>
      <c r="F28" s="6">
        <f>IF(Table36[[#This Row],[Facility_1]]="-",0,V28)</f>
        <v>60000</v>
      </c>
      <c r="G28" s="5" t="str">
        <f t="shared" si="1"/>
        <v>S1802F</v>
      </c>
      <c r="H28" s="2" t="str">
        <f t="shared" si="2"/>
        <v>TerTal</v>
      </c>
      <c r="I28" s="22">
        <f>IF(Table36[[#This Row],[Facility_2]]="-",0,V28)</f>
        <v>60000</v>
      </c>
      <c r="J28" s="5" t="str">
        <f t="shared" si="3"/>
        <v>S1803F</v>
      </c>
      <c r="L28" s="36">
        <f>IF(Table36[[#This Row],[Facility_1]]="-",0,AB28)</f>
        <v>0</v>
      </c>
      <c r="V28" s="1">
        <v>60000</v>
      </c>
    </row>
    <row r="29" spans="1:22" s="30" customFormat="1" x14ac:dyDescent="0.25">
      <c r="A29" s="30" t="s">
        <v>403</v>
      </c>
      <c r="B29" s="30">
        <v>6299599.2949000001</v>
      </c>
      <c r="C29" s="30">
        <v>545401.97140000004</v>
      </c>
      <c r="D29" s="31" t="str">
        <f t="shared" si="0"/>
        <v>S1811F</v>
      </c>
      <c r="E29" s="32" t="s">
        <v>672</v>
      </c>
      <c r="F29" s="32">
        <f>IF(Table36[[#This Row],[Facility_1]]="-",0,V29)</f>
        <v>190000</v>
      </c>
      <c r="G29" s="31" t="str">
        <f t="shared" si="1"/>
        <v>S1812F</v>
      </c>
      <c r="H29" s="30" t="str">
        <f t="shared" si="2"/>
        <v>TerTsp</v>
      </c>
      <c r="I29" s="33">
        <f>IF(Table36[[#This Row],[Facility_2]]="-",0,V29)</f>
        <v>190000</v>
      </c>
      <c r="J29" s="5" t="str">
        <f t="shared" si="3"/>
        <v>S1813F</v>
      </c>
      <c r="K29" s="32" t="s">
        <v>672</v>
      </c>
      <c r="L29" s="37">
        <f>IF(Table36[[#This Row],[Facility_1]]="-",0,AB29)</f>
        <v>0</v>
      </c>
      <c r="M29" s="31"/>
      <c r="N29" s="32"/>
      <c r="O29" s="34"/>
      <c r="P29" s="31"/>
      <c r="Q29" s="32"/>
      <c r="R29" s="34"/>
      <c r="V29" s="30">
        <v>190000</v>
      </c>
    </row>
    <row r="30" spans="1:22" x14ac:dyDescent="0.25">
      <c r="A30" s="1" t="s">
        <v>404</v>
      </c>
      <c r="B30" s="1">
        <v>6454634.0767000001</v>
      </c>
      <c r="C30" s="1">
        <v>504968.8996</v>
      </c>
      <c r="D30" s="5" t="str">
        <f t="shared" si="0"/>
        <v>S1871F</v>
      </c>
      <c r="E30" s="6" t="s">
        <v>670</v>
      </c>
      <c r="F30" s="6">
        <f>IF(Table36[[#This Row],[Facility_1]]="-",0,V30)</f>
        <v>37500</v>
      </c>
      <c r="G30" s="5" t="str">
        <f t="shared" si="1"/>
        <v>S1872F</v>
      </c>
      <c r="H30" s="2" t="str">
        <f t="shared" si="2"/>
        <v>TerTal</v>
      </c>
      <c r="I30" s="22">
        <f>IF(Table36[[#This Row],[Facility_2]]="-",0,V30)</f>
        <v>37500</v>
      </c>
      <c r="J30" s="5" t="str">
        <f t="shared" si="3"/>
        <v>S1873F</v>
      </c>
      <c r="L30" s="36">
        <f>IF(Table36[[#This Row],[Facility_1]]="-",0,AB30)</f>
        <v>0</v>
      </c>
      <c r="V30" s="1">
        <v>37500</v>
      </c>
    </row>
    <row r="31" spans="1:22" x14ac:dyDescent="0.25">
      <c r="A31" s="1" t="s">
        <v>405</v>
      </c>
      <c r="B31" s="1">
        <v>6728093.5772000002</v>
      </c>
      <c r="C31" s="1">
        <v>387542.05609999999</v>
      </c>
      <c r="D31" s="5" t="str">
        <f t="shared" si="0"/>
        <v>S1921F</v>
      </c>
      <c r="E31" s="6" t="s">
        <v>670</v>
      </c>
      <c r="F31" s="6">
        <f>IF(Table36[[#This Row],[Facility_1]]="-",0,V31)</f>
        <v>420000</v>
      </c>
      <c r="G31" s="5" t="str">
        <f t="shared" si="1"/>
        <v>S1922F</v>
      </c>
      <c r="H31" s="2" t="str">
        <f t="shared" si="2"/>
        <v>TerTal</v>
      </c>
      <c r="I31" s="22">
        <f>IF(Table36[[#This Row],[Facility_2]]="-",0,V31)</f>
        <v>420000</v>
      </c>
      <c r="J31" s="5" t="str">
        <f t="shared" si="3"/>
        <v>S1923F</v>
      </c>
      <c r="L31" s="36">
        <f>IF(Table36[[#This Row],[Facility_1]]="-",0,AB31)</f>
        <v>0</v>
      </c>
      <c r="V31" s="1">
        <v>420000</v>
      </c>
    </row>
    <row r="32" spans="1:22" x14ac:dyDescent="0.25">
      <c r="A32" s="1" t="s">
        <v>406</v>
      </c>
      <c r="B32" s="1">
        <v>6352250.3055999996</v>
      </c>
      <c r="C32" s="1">
        <v>526377.446</v>
      </c>
      <c r="D32" s="5" t="str">
        <f t="shared" si="0"/>
        <v>S1941F</v>
      </c>
      <c r="E32" s="6" t="s">
        <v>672</v>
      </c>
      <c r="F32" s="6">
        <f>IF(Table36[[#This Row],[Facility_1]]="-",0,V32)</f>
        <v>400000</v>
      </c>
      <c r="G32" s="5" t="str">
        <f t="shared" si="1"/>
        <v>S1942F</v>
      </c>
      <c r="H32" s="2" t="str">
        <f t="shared" si="2"/>
        <v>TerTsp</v>
      </c>
      <c r="I32" s="22">
        <f>IF(Table36[[#This Row],[Facility_2]]="-",0,V32)</f>
        <v>400000</v>
      </c>
      <c r="J32" s="5" t="str">
        <f t="shared" si="3"/>
        <v>S1943F</v>
      </c>
      <c r="L32" s="36">
        <f>IF(Table36[[#This Row],[Facility_1]]="-",0,AB32)</f>
        <v>0</v>
      </c>
      <c r="V32" s="1">
        <v>400000</v>
      </c>
    </row>
    <row r="33" spans="1:22" x14ac:dyDescent="0.25">
      <c r="A33" s="1" t="s">
        <v>407</v>
      </c>
      <c r="B33" s="1">
        <v>6303731.1941999998</v>
      </c>
      <c r="C33" s="1">
        <v>359156.57290000003</v>
      </c>
      <c r="D33" s="5" t="str">
        <f t="shared" si="0"/>
        <v>S1971F</v>
      </c>
      <c r="E33" s="6" t="s">
        <v>671</v>
      </c>
      <c r="F33" s="6">
        <f>IF(Table36[[#This Row],[Facility_1]]="-",0,V33)</f>
        <v>144000</v>
      </c>
      <c r="G33" s="5" t="str">
        <f t="shared" si="1"/>
        <v>S1972F</v>
      </c>
      <c r="H33" s="2" t="str">
        <f t="shared" si="2"/>
        <v>TerTpi</v>
      </c>
      <c r="I33" s="22">
        <f>IF(Table36[[#This Row],[Facility_2]]="-",0,V33)</f>
        <v>144000</v>
      </c>
      <c r="J33" s="5" t="str">
        <f t="shared" si="3"/>
        <v>S1973F</v>
      </c>
      <c r="L33" s="36">
        <f>IF(Table36[[#This Row],[Facility_1]]="-",0,AB33)</f>
        <v>0</v>
      </c>
      <c r="V33" s="1">
        <v>144000</v>
      </c>
    </row>
    <row r="34" spans="1:22" x14ac:dyDescent="0.25">
      <c r="A34" s="1" t="s">
        <v>408</v>
      </c>
      <c r="B34" s="1">
        <v>6369930.5011</v>
      </c>
      <c r="C34" s="1">
        <v>502059.62819999998</v>
      </c>
      <c r="D34" s="5" t="str">
        <f t="shared" ref="D34:D65" si="4">IF(V34&gt;$W$2,$A34&amp;RIGHT(D$1,1)&amp;"F","-")</f>
        <v>S2001F</v>
      </c>
      <c r="E34" s="6" t="s">
        <v>670</v>
      </c>
      <c r="F34" s="6">
        <f>IF(Table36[[#This Row],[Facility_1]]="-",0,V34)</f>
        <v>125000</v>
      </c>
      <c r="G34" s="5" t="str">
        <f t="shared" ref="G34:G65" si="5">IF(V34&gt;$W$2,$A34&amp;RIGHT(G$1,1)&amp;"F","-")</f>
        <v>S2002F</v>
      </c>
      <c r="H34" s="2" t="str">
        <f t="shared" ref="H34:H65" si="6">IF(E34="sawmal","TerTal",IF(E34="sawmpi","TerTpi",IF(E34="sawmsp","TerTsp","")))</f>
        <v>TerTal</v>
      </c>
      <c r="I34" s="22">
        <f>IF(Table36[[#This Row],[Facility_2]]="-",0,V34)</f>
        <v>125000</v>
      </c>
      <c r="J34" s="5" t="str">
        <f t="shared" ref="J34:J65" si="7">$A34&amp;RIGHT(J$1,1)&amp;"F"</f>
        <v>S2003F</v>
      </c>
      <c r="L34" s="36">
        <f>IF(Table36[[#This Row],[Facility_1]]="-",0,AB34)</f>
        <v>0</v>
      </c>
      <c r="V34" s="1">
        <v>125000</v>
      </c>
    </row>
    <row r="35" spans="1:22" x14ac:dyDescent="0.25">
      <c r="A35" s="1" t="s">
        <v>409</v>
      </c>
      <c r="B35" s="1">
        <v>6633090.0641999999</v>
      </c>
      <c r="C35" s="1">
        <v>538195.80429999996</v>
      </c>
      <c r="D35" s="5" t="str">
        <f t="shared" si="4"/>
        <v>S2021F</v>
      </c>
      <c r="E35" s="6" t="s">
        <v>671</v>
      </c>
      <c r="F35" s="6">
        <f>IF(Table36[[#This Row],[Facility_1]]="-",0,V35)</f>
        <v>55000</v>
      </c>
      <c r="G35" s="5" t="str">
        <f t="shared" si="5"/>
        <v>S2022F</v>
      </c>
      <c r="H35" s="2" t="str">
        <f t="shared" si="6"/>
        <v>TerTpi</v>
      </c>
      <c r="I35" s="22">
        <f>IF(Table36[[#This Row],[Facility_2]]="-",0,V35)</f>
        <v>55000</v>
      </c>
      <c r="J35" s="5" t="str">
        <f t="shared" si="7"/>
        <v>S2023F</v>
      </c>
      <c r="L35" s="36">
        <f>IF(Table36[[#This Row],[Facility_1]]="-",0,AB35)</f>
        <v>0</v>
      </c>
      <c r="V35" s="1">
        <v>55000</v>
      </c>
    </row>
    <row r="36" spans="1:22" x14ac:dyDescent="0.25">
      <c r="A36" s="1" t="s">
        <v>543</v>
      </c>
      <c r="B36" s="1">
        <v>7054087.1227000002</v>
      </c>
      <c r="C36" s="1">
        <v>717882.07620000001</v>
      </c>
      <c r="D36" s="5" t="str">
        <f t="shared" si="4"/>
        <v>-</v>
      </c>
      <c r="E36" s="6" t="s">
        <v>671</v>
      </c>
      <c r="F36" s="6">
        <f>IF(Table36[[#This Row],[Facility_1]]="-",0,V36)</f>
        <v>0</v>
      </c>
      <c r="G36" s="5" t="str">
        <f t="shared" si="5"/>
        <v>-</v>
      </c>
      <c r="H36" s="2" t="str">
        <f t="shared" si="6"/>
        <v>TerTpi</v>
      </c>
      <c r="I36" s="22">
        <f>IF(Table36[[#This Row],[Facility_2]]="-",0,V36)</f>
        <v>0</v>
      </c>
      <c r="J36" s="5" t="str">
        <f t="shared" si="7"/>
        <v>S2033F</v>
      </c>
      <c r="L36" s="36">
        <f>IF(Table36[[#This Row],[Facility_1]]="-",0,AB36)</f>
        <v>0</v>
      </c>
      <c r="V36" s="1">
        <v>0</v>
      </c>
    </row>
    <row r="37" spans="1:22" x14ac:dyDescent="0.25">
      <c r="A37" s="1" t="s">
        <v>410</v>
      </c>
      <c r="B37" s="1">
        <v>6558431.0028999997</v>
      </c>
      <c r="C37" s="1">
        <v>317960.37079999998</v>
      </c>
      <c r="D37" s="5" t="str">
        <f t="shared" si="4"/>
        <v>S2071F</v>
      </c>
      <c r="E37" s="6" t="s">
        <v>670</v>
      </c>
      <c r="F37" s="6">
        <f>IF(Table36[[#This Row],[Facility_1]]="-",0,V37)</f>
        <v>45000</v>
      </c>
      <c r="G37" s="5" t="str">
        <f t="shared" si="5"/>
        <v>S2072F</v>
      </c>
      <c r="H37" s="2" t="str">
        <f t="shared" si="6"/>
        <v>TerTal</v>
      </c>
      <c r="I37" s="22">
        <f>IF(Table36[[#This Row],[Facility_2]]="-",0,V37)</f>
        <v>45000</v>
      </c>
      <c r="J37" s="5" t="str">
        <f t="shared" si="7"/>
        <v>S2073F</v>
      </c>
      <c r="L37" s="36">
        <f>IF(Table36[[#This Row],[Facility_1]]="-",0,AB37)</f>
        <v>0</v>
      </c>
      <c r="V37" s="1">
        <v>45000</v>
      </c>
    </row>
    <row r="38" spans="1:22" x14ac:dyDescent="0.25">
      <c r="A38" s="1" t="s">
        <v>411</v>
      </c>
      <c r="B38" s="1">
        <v>6781524.5586000001</v>
      </c>
      <c r="C38" s="1">
        <v>507134.62609999999</v>
      </c>
      <c r="D38" s="5" t="str">
        <f t="shared" si="4"/>
        <v>S2141F</v>
      </c>
      <c r="E38" s="6" t="s">
        <v>670</v>
      </c>
      <c r="F38" s="6">
        <f>IF(Table36[[#This Row],[Facility_1]]="-",0,V38)</f>
        <v>30000</v>
      </c>
      <c r="G38" s="5" t="str">
        <f t="shared" si="5"/>
        <v>S2142F</v>
      </c>
      <c r="H38" s="2" t="str">
        <f t="shared" si="6"/>
        <v>TerTal</v>
      </c>
      <c r="I38" s="22">
        <f>IF(Table36[[#This Row],[Facility_2]]="-",0,V38)</f>
        <v>30000</v>
      </c>
      <c r="J38" s="5" t="str">
        <f t="shared" si="7"/>
        <v>S2143F</v>
      </c>
      <c r="L38" s="36">
        <f>IF(Table36[[#This Row],[Facility_1]]="-",0,AB38)</f>
        <v>0</v>
      </c>
      <c r="V38" s="1">
        <v>30000</v>
      </c>
    </row>
    <row r="39" spans="1:22" s="30" customFormat="1" x14ac:dyDescent="0.25">
      <c r="A39" s="30" t="s">
        <v>412</v>
      </c>
      <c r="B39" s="30">
        <v>6585612.0279999999</v>
      </c>
      <c r="C39" s="30">
        <v>398726.39659999998</v>
      </c>
      <c r="D39" s="31" t="str">
        <f t="shared" si="4"/>
        <v>S2161F</v>
      </c>
      <c r="E39" s="32" t="s">
        <v>671</v>
      </c>
      <c r="F39" s="32">
        <f>IF(Table36[[#This Row],[Facility_1]]="-",0,V39)</f>
        <v>270000</v>
      </c>
      <c r="G39" s="31" t="str">
        <f t="shared" si="5"/>
        <v>S2162F</v>
      </c>
      <c r="H39" s="30" t="str">
        <f t="shared" si="6"/>
        <v>TerTpi</v>
      </c>
      <c r="I39" s="33">
        <f>IF(Table36[[#This Row],[Facility_2]]="-",0,V39)</f>
        <v>270000</v>
      </c>
      <c r="J39" s="5" t="str">
        <f t="shared" si="7"/>
        <v>S2163F</v>
      </c>
      <c r="K39" s="32" t="s">
        <v>777</v>
      </c>
      <c r="L39" s="37">
        <v>60000</v>
      </c>
      <c r="M39" s="31"/>
      <c r="N39" s="32"/>
      <c r="O39" s="34"/>
      <c r="P39" s="31"/>
      <c r="Q39" s="32"/>
      <c r="R39" s="34"/>
      <c r="V39" s="30">
        <v>270000</v>
      </c>
    </row>
    <row r="40" spans="1:22" x14ac:dyDescent="0.25">
      <c r="A40" s="1" t="s">
        <v>413</v>
      </c>
      <c r="B40" s="1">
        <v>6336608.2432000004</v>
      </c>
      <c r="C40" s="1">
        <v>562274.66940000001</v>
      </c>
      <c r="D40" s="5" t="str">
        <f t="shared" si="4"/>
        <v>S2201F</v>
      </c>
      <c r="E40" s="6" t="s">
        <v>671</v>
      </c>
      <c r="F40" s="6">
        <f>IF(Table36[[#This Row],[Facility_1]]="-",0,V40)</f>
        <v>331000</v>
      </c>
      <c r="G40" s="5" t="str">
        <f t="shared" si="5"/>
        <v>S2202F</v>
      </c>
      <c r="H40" s="2" t="str">
        <f t="shared" si="6"/>
        <v>TerTpi</v>
      </c>
      <c r="I40" s="22">
        <f>IF(Table36[[#This Row],[Facility_2]]="-",0,V40)</f>
        <v>331000</v>
      </c>
      <c r="J40" s="5" t="str">
        <f t="shared" si="7"/>
        <v>S2203F</v>
      </c>
      <c r="L40" s="36">
        <f>IF(Table36[[#This Row],[Facility_1]]="-",0,AB40)</f>
        <v>0</v>
      </c>
      <c r="V40" s="1">
        <v>331000</v>
      </c>
    </row>
    <row r="41" spans="1:22" x14ac:dyDescent="0.25">
      <c r="A41" s="1" t="s">
        <v>414</v>
      </c>
      <c r="B41" s="1">
        <v>7075853.3635999998</v>
      </c>
      <c r="C41" s="1">
        <v>764249.65899999999</v>
      </c>
      <c r="D41" s="5" t="str">
        <f t="shared" si="4"/>
        <v>S2271F</v>
      </c>
      <c r="E41" s="6" t="s">
        <v>672</v>
      </c>
      <c r="F41" s="6">
        <f>IF(Table36[[#This Row],[Facility_1]]="-",0,V41)</f>
        <v>60000</v>
      </c>
      <c r="G41" s="5" t="str">
        <f t="shared" si="5"/>
        <v>S2272F</v>
      </c>
      <c r="H41" s="2" t="str">
        <f t="shared" si="6"/>
        <v>TerTsp</v>
      </c>
      <c r="I41" s="22">
        <f>IF(Table36[[#This Row],[Facility_2]]="-",0,V41)</f>
        <v>60000</v>
      </c>
      <c r="J41" s="5" t="str">
        <f t="shared" si="7"/>
        <v>S2273F</v>
      </c>
      <c r="L41" s="36">
        <f>IF(Table36[[#This Row],[Facility_1]]="-",0,AB41)</f>
        <v>0</v>
      </c>
      <c r="V41" s="1">
        <v>60000</v>
      </c>
    </row>
    <row r="42" spans="1:22" x14ac:dyDescent="0.25">
      <c r="A42" s="1" t="s">
        <v>415</v>
      </c>
      <c r="B42" s="1">
        <v>6727997.4576000003</v>
      </c>
      <c r="C42" s="1">
        <v>505567.33350000001</v>
      </c>
      <c r="D42" s="5" t="str">
        <f t="shared" si="4"/>
        <v>S2311F</v>
      </c>
      <c r="E42" s="6" t="s">
        <v>671</v>
      </c>
      <c r="F42" s="6">
        <f>IF(Table36[[#This Row],[Facility_1]]="-",0,V42)</f>
        <v>80000</v>
      </c>
      <c r="G42" s="5" t="str">
        <f t="shared" si="5"/>
        <v>S2312F</v>
      </c>
      <c r="H42" s="2" t="str">
        <f t="shared" si="6"/>
        <v>TerTpi</v>
      </c>
      <c r="I42" s="22">
        <f>IF(Table36[[#This Row],[Facility_2]]="-",0,V42)</f>
        <v>80000</v>
      </c>
      <c r="J42" s="5" t="str">
        <f t="shared" si="7"/>
        <v>S2313F</v>
      </c>
      <c r="L42" s="36">
        <f>IF(Table36[[#This Row],[Facility_1]]="-",0,AB42)</f>
        <v>0</v>
      </c>
      <c r="V42" s="1">
        <v>80000</v>
      </c>
    </row>
    <row r="43" spans="1:22" x14ac:dyDescent="0.25">
      <c r="A43" s="1" t="s">
        <v>416</v>
      </c>
      <c r="B43" s="1">
        <v>6633071.0728000002</v>
      </c>
      <c r="C43" s="1">
        <v>339758.15720000002</v>
      </c>
      <c r="D43" s="5" t="str">
        <f t="shared" si="4"/>
        <v>S2321F</v>
      </c>
      <c r="E43" s="6" t="s">
        <v>670</v>
      </c>
      <c r="F43" s="6">
        <f>IF(Table36[[#This Row],[Facility_1]]="-",0,V43)</f>
        <v>100000</v>
      </c>
      <c r="G43" s="5" t="str">
        <f t="shared" si="5"/>
        <v>S2322F</v>
      </c>
      <c r="H43" s="2" t="str">
        <f t="shared" si="6"/>
        <v>TerTal</v>
      </c>
      <c r="I43" s="22">
        <f>IF(Table36[[#This Row],[Facility_2]]="-",0,V43)</f>
        <v>100000</v>
      </c>
      <c r="J43" s="5" t="str">
        <f t="shared" si="7"/>
        <v>S2323F</v>
      </c>
      <c r="L43" s="36">
        <f>IF(Table36[[#This Row],[Facility_1]]="-",0,AB43)</f>
        <v>0</v>
      </c>
      <c r="V43" s="1">
        <v>100000</v>
      </c>
    </row>
    <row r="44" spans="1:22" x14ac:dyDescent="0.25">
      <c r="A44" s="1" t="s">
        <v>544</v>
      </c>
      <c r="B44" s="1">
        <v>6322427.9356000004</v>
      </c>
      <c r="C44" s="1">
        <v>473971.2746</v>
      </c>
      <c r="D44" s="5" t="str">
        <f t="shared" si="4"/>
        <v>-</v>
      </c>
      <c r="E44" s="6" t="s">
        <v>671</v>
      </c>
      <c r="F44" s="6">
        <f>IF(Table36[[#This Row],[Facility_1]]="-",0,V44)</f>
        <v>0</v>
      </c>
      <c r="G44" s="5" t="str">
        <f t="shared" si="5"/>
        <v>-</v>
      </c>
      <c r="H44" s="2" t="str">
        <f t="shared" si="6"/>
        <v>TerTpi</v>
      </c>
      <c r="I44" s="22">
        <f>IF(Table36[[#This Row],[Facility_2]]="-",0,V44)</f>
        <v>0</v>
      </c>
      <c r="J44" s="5" t="str">
        <f t="shared" si="7"/>
        <v>S2393F</v>
      </c>
      <c r="L44" s="36">
        <f>IF(Table36[[#This Row],[Facility_1]]="-",0,AB44)</f>
        <v>0</v>
      </c>
      <c r="V44" s="1">
        <v>0</v>
      </c>
    </row>
    <row r="45" spans="1:22" x14ac:dyDescent="0.25">
      <c r="A45" s="1" t="s">
        <v>417</v>
      </c>
      <c r="B45" s="1">
        <v>6356979.9565000003</v>
      </c>
      <c r="C45" s="1">
        <v>445458.91560000001</v>
      </c>
      <c r="D45" s="5" t="str">
        <f t="shared" si="4"/>
        <v>S2441F</v>
      </c>
      <c r="E45" s="6" t="s">
        <v>670</v>
      </c>
      <c r="F45" s="6">
        <f>IF(Table36[[#This Row],[Facility_1]]="-",0,V45)</f>
        <v>70000</v>
      </c>
      <c r="G45" s="5" t="str">
        <f t="shared" si="5"/>
        <v>S2442F</v>
      </c>
      <c r="H45" s="2" t="str">
        <f t="shared" si="6"/>
        <v>TerTal</v>
      </c>
      <c r="I45" s="22">
        <f>IF(Table36[[#This Row],[Facility_2]]="-",0,V45)</f>
        <v>70000</v>
      </c>
      <c r="J45" s="5" t="str">
        <f t="shared" si="7"/>
        <v>S2443F</v>
      </c>
      <c r="L45" s="36">
        <f>IF(Table36[[#This Row],[Facility_1]]="-",0,AB45)</f>
        <v>0</v>
      </c>
      <c r="V45" s="1">
        <v>70000</v>
      </c>
    </row>
    <row r="46" spans="1:22" x14ac:dyDescent="0.25">
      <c r="A46" s="1" t="s">
        <v>418</v>
      </c>
      <c r="B46" s="1">
        <v>6364089.5231999997</v>
      </c>
      <c r="C46" s="1">
        <v>694100.5037</v>
      </c>
      <c r="D46" s="5" t="str">
        <f t="shared" si="4"/>
        <v>S2451F</v>
      </c>
      <c r="E46" s="6" t="s">
        <v>670</v>
      </c>
      <c r="F46" s="6">
        <f>IF(Table36[[#This Row],[Facility_1]]="-",0,V46)</f>
        <v>60000</v>
      </c>
      <c r="G46" s="5" t="str">
        <f t="shared" si="5"/>
        <v>S2452F</v>
      </c>
      <c r="H46" s="2" t="str">
        <f t="shared" si="6"/>
        <v>TerTal</v>
      </c>
      <c r="I46" s="22">
        <f>IF(Table36[[#This Row],[Facility_2]]="-",0,V46)</f>
        <v>60000</v>
      </c>
      <c r="J46" s="5" t="str">
        <f t="shared" si="7"/>
        <v>S2453F</v>
      </c>
      <c r="L46" s="36">
        <f>IF(Table36[[#This Row],[Facility_1]]="-",0,AB46)</f>
        <v>0</v>
      </c>
      <c r="V46" s="1">
        <v>60000</v>
      </c>
    </row>
    <row r="47" spans="1:22" x14ac:dyDescent="0.25">
      <c r="A47" s="1" t="s">
        <v>545</v>
      </c>
      <c r="B47" s="1">
        <v>6667634.1431999998</v>
      </c>
      <c r="C47" s="1">
        <v>388532.68079999997</v>
      </c>
      <c r="D47" s="5" t="str">
        <f t="shared" si="4"/>
        <v>-</v>
      </c>
      <c r="E47" s="6" t="s">
        <v>670</v>
      </c>
      <c r="F47" s="6">
        <f>IF(Table36[[#This Row],[Facility_1]]="-",0,V47)</f>
        <v>0</v>
      </c>
      <c r="G47" s="5" t="str">
        <f t="shared" si="5"/>
        <v>-</v>
      </c>
      <c r="H47" s="2" t="str">
        <f t="shared" si="6"/>
        <v>TerTal</v>
      </c>
      <c r="I47" s="22">
        <f>IF(Table36[[#This Row],[Facility_2]]="-",0,V47)</f>
        <v>0</v>
      </c>
      <c r="J47" s="5" t="str">
        <f t="shared" si="7"/>
        <v>S2483F</v>
      </c>
      <c r="L47" s="36">
        <f>IF(Table36[[#This Row],[Facility_1]]="-",0,AB47)</f>
        <v>0</v>
      </c>
      <c r="V47" s="1">
        <v>0</v>
      </c>
    </row>
    <row r="48" spans="1:22" s="30" customFormat="1" x14ac:dyDescent="0.25">
      <c r="A48" s="30" t="s">
        <v>419</v>
      </c>
      <c r="B48" s="30">
        <v>6932175.4478000002</v>
      </c>
      <c r="C48" s="30">
        <v>550828.41940000001</v>
      </c>
      <c r="D48" s="31" t="str">
        <f t="shared" si="4"/>
        <v>S2491F</v>
      </c>
      <c r="E48" s="32" t="s">
        <v>670</v>
      </c>
      <c r="F48" s="32">
        <f>IF(Table36[[#This Row],[Facility_1]]="-",0,V48)</f>
        <v>250000</v>
      </c>
      <c r="G48" s="31" t="str">
        <f t="shared" si="5"/>
        <v>S2492F</v>
      </c>
      <c r="H48" s="30" t="str">
        <f t="shared" si="6"/>
        <v>TerTal</v>
      </c>
      <c r="I48" s="33">
        <f>IF(Table36[[#This Row],[Facility_2]]="-",0,V48)</f>
        <v>250000</v>
      </c>
      <c r="J48" s="5" t="str">
        <f t="shared" si="7"/>
        <v>S2493F</v>
      </c>
      <c r="K48" s="32" t="s">
        <v>777</v>
      </c>
      <c r="L48" s="37">
        <v>60000</v>
      </c>
      <c r="M48" s="31"/>
      <c r="N48" s="32"/>
      <c r="O48" s="34"/>
      <c r="P48" s="31"/>
      <c r="Q48" s="32"/>
      <c r="R48" s="34"/>
      <c r="V48" s="30">
        <v>250000</v>
      </c>
    </row>
    <row r="49" spans="1:22" x14ac:dyDescent="0.25">
      <c r="A49" s="1" t="s">
        <v>420</v>
      </c>
      <c r="B49" s="1">
        <v>6729992.0392000005</v>
      </c>
      <c r="C49" s="1">
        <v>622988.99109999998</v>
      </c>
      <c r="D49" s="5" t="str">
        <f t="shared" si="4"/>
        <v>S2521F</v>
      </c>
      <c r="E49" s="6" t="s">
        <v>670</v>
      </c>
      <c r="F49" s="6">
        <f>IF(Table36[[#This Row],[Facility_1]]="-",0,V49)</f>
        <v>38000</v>
      </c>
      <c r="G49" s="5" t="str">
        <f t="shared" si="5"/>
        <v>S2522F</v>
      </c>
      <c r="H49" s="2" t="str">
        <f t="shared" si="6"/>
        <v>TerTal</v>
      </c>
      <c r="I49" s="22">
        <f>IF(Table36[[#This Row],[Facility_2]]="-",0,V49)</f>
        <v>38000</v>
      </c>
      <c r="J49" s="5" t="str">
        <f t="shared" si="7"/>
        <v>S2523F</v>
      </c>
      <c r="L49" s="36">
        <f>IF(Table36[[#This Row],[Facility_1]]="-",0,AB49)</f>
        <v>0</v>
      </c>
      <c r="V49" s="1">
        <v>38000</v>
      </c>
    </row>
    <row r="50" spans="1:22" x14ac:dyDescent="0.25">
      <c r="A50" s="1" t="s">
        <v>421</v>
      </c>
      <c r="B50" s="1">
        <v>7021940.5667000003</v>
      </c>
      <c r="C50" s="1">
        <v>472228.6409</v>
      </c>
      <c r="D50" s="5" t="str">
        <f t="shared" si="4"/>
        <v>S2541F</v>
      </c>
      <c r="E50" s="6" t="s">
        <v>670</v>
      </c>
      <c r="F50" s="6">
        <f>IF(Table36[[#This Row],[Facility_1]]="-",0,V50)</f>
        <v>65000</v>
      </c>
      <c r="G50" s="5" t="str">
        <f t="shared" si="5"/>
        <v>S2542F</v>
      </c>
      <c r="H50" s="2" t="str">
        <f t="shared" si="6"/>
        <v>TerTal</v>
      </c>
      <c r="I50" s="22">
        <f>IF(Table36[[#This Row],[Facility_2]]="-",0,V50)</f>
        <v>65000</v>
      </c>
      <c r="J50" s="5" t="str">
        <f t="shared" si="7"/>
        <v>S2543F</v>
      </c>
      <c r="L50" s="36">
        <f>IF(Table36[[#This Row],[Facility_1]]="-",0,AB50)</f>
        <v>0</v>
      </c>
      <c r="V50" s="1">
        <v>65000</v>
      </c>
    </row>
    <row r="51" spans="1:22" s="30" customFormat="1" x14ac:dyDescent="0.25">
      <c r="A51" s="30" t="s">
        <v>422</v>
      </c>
      <c r="B51" s="30">
        <v>6343774.6606000001</v>
      </c>
      <c r="C51" s="30">
        <v>474292.359</v>
      </c>
      <c r="D51" s="31" t="str">
        <f t="shared" si="4"/>
        <v>S2551F</v>
      </c>
      <c r="E51" s="32" t="s">
        <v>670</v>
      </c>
      <c r="F51" s="32">
        <f>IF(Table36[[#This Row],[Facility_1]]="-",0,V51)</f>
        <v>145000</v>
      </c>
      <c r="G51" s="31" t="str">
        <f t="shared" si="5"/>
        <v>S2552F</v>
      </c>
      <c r="H51" s="30" t="str">
        <f t="shared" si="6"/>
        <v>TerTal</v>
      </c>
      <c r="I51" s="33">
        <f>IF(Table36[[#This Row],[Facility_2]]="-",0,V51)</f>
        <v>145000</v>
      </c>
      <c r="J51" s="5" t="str">
        <f t="shared" si="7"/>
        <v>S2553F</v>
      </c>
      <c r="K51" s="32" t="s">
        <v>777</v>
      </c>
      <c r="L51" s="37">
        <v>60000</v>
      </c>
      <c r="M51" s="31"/>
      <c r="N51" s="32"/>
      <c r="O51" s="34"/>
      <c r="P51" s="31"/>
      <c r="Q51" s="32"/>
      <c r="R51" s="34"/>
      <c r="V51" s="30">
        <v>145000</v>
      </c>
    </row>
    <row r="52" spans="1:22" x14ac:dyDescent="0.25">
      <c r="A52" s="1" t="s">
        <v>423</v>
      </c>
      <c r="B52" s="1">
        <v>6666434.8075999999</v>
      </c>
      <c r="C52" s="1">
        <v>567101.99620000005</v>
      </c>
      <c r="D52" s="5" t="str">
        <f t="shared" si="4"/>
        <v>S2591F</v>
      </c>
      <c r="E52" s="6" t="s">
        <v>672</v>
      </c>
      <c r="F52" s="6">
        <f>IF(Table36[[#This Row],[Facility_1]]="-",0,V52)</f>
        <v>85000</v>
      </c>
      <c r="G52" s="5" t="str">
        <f t="shared" si="5"/>
        <v>S2592F</v>
      </c>
      <c r="H52" s="2" t="str">
        <f t="shared" si="6"/>
        <v>TerTsp</v>
      </c>
      <c r="I52" s="22">
        <f>IF(Table36[[#This Row],[Facility_2]]="-",0,V52)</f>
        <v>85000</v>
      </c>
      <c r="J52" s="5" t="str">
        <f t="shared" si="7"/>
        <v>S2593F</v>
      </c>
      <c r="L52" s="36">
        <f>IF(Table36[[#This Row],[Facility_1]]="-",0,AB52)</f>
        <v>0</v>
      </c>
      <c r="V52" s="1">
        <v>85000</v>
      </c>
    </row>
    <row r="53" spans="1:22" s="30" customFormat="1" x14ac:dyDescent="0.25">
      <c r="A53" s="30" t="s">
        <v>424</v>
      </c>
      <c r="B53" s="30">
        <v>7104254.1637000004</v>
      </c>
      <c r="C53" s="30">
        <v>730935.87769999995</v>
      </c>
      <c r="D53" s="31" t="str">
        <f t="shared" si="4"/>
        <v>S2631F</v>
      </c>
      <c r="E53" s="32" t="s">
        <v>670</v>
      </c>
      <c r="F53" s="32">
        <f>IF(Table36[[#This Row],[Facility_1]]="-",0,V53)</f>
        <v>590000</v>
      </c>
      <c r="G53" s="31" t="str">
        <f t="shared" si="5"/>
        <v>S2632F</v>
      </c>
      <c r="H53" s="30" t="str">
        <f t="shared" si="6"/>
        <v>TerTal</v>
      </c>
      <c r="I53" s="33">
        <f>IF(Table36[[#This Row],[Facility_2]]="-",0,V53)</f>
        <v>590000</v>
      </c>
      <c r="J53" s="5" t="str">
        <f t="shared" si="7"/>
        <v>S2633F</v>
      </c>
      <c r="K53" s="32" t="s">
        <v>777</v>
      </c>
      <c r="L53" s="37">
        <v>60000</v>
      </c>
      <c r="M53" s="31"/>
      <c r="N53" s="32"/>
      <c r="O53" s="34"/>
      <c r="P53" s="31"/>
      <c r="Q53" s="32"/>
      <c r="R53" s="34"/>
      <c r="V53" s="30">
        <v>590000</v>
      </c>
    </row>
    <row r="54" spans="1:22" x14ac:dyDescent="0.25">
      <c r="A54" s="1" t="s">
        <v>425</v>
      </c>
      <c r="B54" s="1">
        <v>6271114.8447000002</v>
      </c>
      <c r="C54" s="1">
        <v>527180.9227</v>
      </c>
      <c r="D54" s="5" t="str">
        <f t="shared" si="4"/>
        <v>S2651F</v>
      </c>
      <c r="E54" s="6" t="s">
        <v>671</v>
      </c>
      <c r="F54" s="6">
        <f>IF(Table36[[#This Row],[Facility_1]]="-",0,V54)</f>
        <v>220000</v>
      </c>
      <c r="G54" s="5" t="str">
        <f t="shared" si="5"/>
        <v>S2652F</v>
      </c>
      <c r="H54" s="2" t="str">
        <f t="shared" si="6"/>
        <v>TerTpi</v>
      </c>
      <c r="I54" s="22">
        <f>IF(Table36[[#This Row],[Facility_2]]="-",0,V54)</f>
        <v>220000</v>
      </c>
      <c r="J54" s="5" t="str">
        <f t="shared" si="7"/>
        <v>S2653F</v>
      </c>
      <c r="L54" s="36">
        <f>IF(Table36[[#This Row],[Facility_1]]="-",0,AB54)</f>
        <v>0</v>
      </c>
      <c r="V54" s="1">
        <v>220000</v>
      </c>
    </row>
    <row r="55" spans="1:22" s="30" customFormat="1" x14ac:dyDescent="0.25">
      <c r="A55" s="30" t="s">
        <v>426</v>
      </c>
      <c r="B55" s="30">
        <v>6794101.6063000001</v>
      </c>
      <c r="C55" s="30">
        <v>600236.40249999997</v>
      </c>
      <c r="D55" s="31" t="str">
        <f t="shared" si="4"/>
        <v>S2721F</v>
      </c>
      <c r="E55" s="32" t="s">
        <v>671</v>
      </c>
      <c r="F55" s="32">
        <f>IF(Table36[[#This Row],[Facility_1]]="-",0,V55)</f>
        <v>185000</v>
      </c>
      <c r="G55" s="31" t="str">
        <f t="shared" si="5"/>
        <v>S2722F</v>
      </c>
      <c r="H55" s="30" t="str">
        <f t="shared" si="6"/>
        <v>TerTpi</v>
      </c>
      <c r="I55" s="33">
        <f>IF(Table36[[#This Row],[Facility_2]]="-",0,V55)</f>
        <v>185000</v>
      </c>
      <c r="J55" s="5" t="str">
        <f t="shared" si="7"/>
        <v>S2723F</v>
      </c>
      <c r="K55" s="32" t="s">
        <v>777</v>
      </c>
      <c r="L55" s="37">
        <v>60000</v>
      </c>
      <c r="M55" s="31"/>
      <c r="N55" s="32"/>
      <c r="O55" s="34"/>
      <c r="P55" s="31"/>
      <c r="Q55" s="32"/>
      <c r="R55" s="34"/>
      <c r="V55" s="30">
        <v>185000</v>
      </c>
    </row>
    <row r="56" spans="1:22" x14ac:dyDescent="0.25">
      <c r="A56" s="1" t="s">
        <v>427</v>
      </c>
      <c r="B56" s="1">
        <v>6279615.8208999997</v>
      </c>
      <c r="C56" s="1">
        <v>508210.97389999998</v>
      </c>
      <c r="D56" s="5" t="str">
        <f t="shared" si="4"/>
        <v>S2731F</v>
      </c>
      <c r="E56" s="6" t="s">
        <v>671</v>
      </c>
      <c r="F56" s="6">
        <f>IF(Table36[[#This Row],[Facility_1]]="-",0,V56)</f>
        <v>30000</v>
      </c>
      <c r="G56" s="5" t="str">
        <f t="shared" si="5"/>
        <v>S2732F</v>
      </c>
      <c r="H56" s="2" t="str">
        <f t="shared" si="6"/>
        <v>TerTpi</v>
      </c>
      <c r="I56" s="22">
        <f>IF(Table36[[#This Row],[Facility_2]]="-",0,V56)</f>
        <v>30000</v>
      </c>
      <c r="J56" s="5" t="str">
        <f t="shared" si="7"/>
        <v>S2733F</v>
      </c>
      <c r="L56" s="36">
        <f>IF(Table36[[#This Row],[Facility_1]]="-",0,AB56)</f>
        <v>0</v>
      </c>
      <c r="V56" s="1">
        <v>30000</v>
      </c>
    </row>
    <row r="57" spans="1:22" s="30" customFormat="1" x14ac:dyDescent="0.25">
      <c r="A57" s="30" t="s">
        <v>428</v>
      </c>
      <c r="B57" s="30">
        <v>7148608.8411999997</v>
      </c>
      <c r="C57" s="30">
        <v>765503.679</v>
      </c>
      <c r="D57" s="31" t="str">
        <f t="shared" si="4"/>
        <v>S2761F</v>
      </c>
      <c r="E57" s="32" t="s">
        <v>671</v>
      </c>
      <c r="F57" s="32">
        <f>IF(Table36[[#This Row],[Facility_1]]="-",0,V57)</f>
        <v>550000</v>
      </c>
      <c r="G57" s="31" t="str">
        <f t="shared" si="5"/>
        <v>S2762F</v>
      </c>
      <c r="H57" s="30" t="str">
        <f t="shared" si="6"/>
        <v>TerTpi</v>
      </c>
      <c r="I57" s="33">
        <f>IF(Table36[[#This Row],[Facility_2]]="-",0,V57)</f>
        <v>550000</v>
      </c>
      <c r="J57" s="5" t="str">
        <f t="shared" si="7"/>
        <v>S2763F</v>
      </c>
      <c r="K57" s="32" t="s">
        <v>777</v>
      </c>
      <c r="L57" s="37">
        <v>60000</v>
      </c>
      <c r="M57" s="31"/>
      <c r="N57" s="32"/>
      <c r="O57" s="34"/>
      <c r="P57" s="31"/>
      <c r="Q57" s="32"/>
      <c r="R57" s="34"/>
      <c r="V57" s="30">
        <v>550000</v>
      </c>
    </row>
    <row r="58" spans="1:22" x14ac:dyDescent="0.25">
      <c r="A58" s="1" t="s">
        <v>361</v>
      </c>
      <c r="B58" s="1">
        <v>6921773.5456999997</v>
      </c>
      <c r="C58" s="1">
        <v>524593.34809999994</v>
      </c>
      <c r="D58" s="5" t="str">
        <f t="shared" si="4"/>
        <v>-</v>
      </c>
      <c r="E58" s="6" t="s">
        <v>670</v>
      </c>
      <c r="F58" s="6">
        <f>IF(Table36[[#This Row],[Facility_1]]="-",0,V58)</f>
        <v>0</v>
      </c>
      <c r="G58" s="5" t="str">
        <f t="shared" si="5"/>
        <v>-</v>
      </c>
      <c r="H58" s="2" t="str">
        <f t="shared" si="6"/>
        <v>TerTal</v>
      </c>
      <c r="I58" s="22">
        <f>IF(Table36[[#This Row],[Facility_2]]="-",0,V58)</f>
        <v>0</v>
      </c>
      <c r="J58" s="5" t="str">
        <f t="shared" si="7"/>
        <v>S283F</v>
      </c>
      <c r="L58" s="36">
        <f>IF(Table36[[#This Row],[Facility_1]]="-",0,AB58)</f>
        <v>0</v>
      </c>
      <c r="V58" s="1">
        <v>0</v>
      </c>
    </row>
    <row r="59" spans="1:22" x14ac:dyDescent="0.25">
      <c r="A59" s="1" t="s">
        <v>429</v>
      </c>
      <c r="B59" s="1">
        <v>6353088.8271000003</v>
      </c>
      <c r="C59" s="1">
        <v>551376.58909999998</v>
      </c>
      <c r="D59" s="5" t="str">
        <f t="shared" si="4"/>
        <v>S2871F</v>
      </c>
      <c r="E59" s="6" t="s">
        <v>671</v>
      </c>
      <c r="F59" s="6">
        <f>IF(Table36[[#This Row],[Facility_1]]="-",0,V59)</f>
        <v>25000</v>
      </c>
      <c r="G59" s="5" t="str">
        <f t="shared" si="5"/>
        <v>S2872F</v>
      </c>
      <c r="H59" s="2" t="str">
        <f t="shared" si="6"/>
        <v>TerTpi</v>
      </c>
      <c r="I59" s="22">
        <f>IF(Table36[[#This Row],[Facility_2]]="-",0,V59)</f>
        <v>25000</v>
      </c>
      <c r="J59" s="5" t="str">
        <f t="shared" si="7"/>
        <v>S2873F</v>
      </c>
      <c r="L59" s="36">
        <f>IF(Table36[[#This Row],[Facility_1]]="-",0,AB59)</f>
        <v>0</v>
      </c>
      <c r="V59" s="1">
        <v>25000</v>
      </c>
    </row>
    <row r="60" spans="1:22" x14ac:dyDescent="0.25">
      <c r="A60" s="1" t="s">
        <v>430</v>
      </c>
      <c r="B60" s="1">
        <v>6803229.6117000002</v>
      </c>
      <c r="C60" s="1">
        <v>549417.62589999998</v>
      </c>
      <c r="D60" s="5" t="str">
        <f t="shared" si="4"/>
        <v>S2891F</v>
      </c>
      <c r="E60" s="6" t="s">
        <v>672</v>
      </c>
      <c r="F60" s="6">
        <f>IF(Table36[[#This Row],[Facility_1]]="-",0,V60)</f>
        <v>237000</v>
      </c>
      <c r="G60" s="5" t="str">
        <f t="shared" si="5"/>
        <v>S2892F</v>
      </c>
      <c r="H60" s="2" t="str">
        <f t="shared" si="6"/>
        <v>TerTsp</v>
      </c>
      <c r="I60" s="22">
        <f>IF(Table36[[#This Row],[Facility_2]]="-",0,V60)</f>
        <v>237000</v>
      </c>
      <c r="J60" s="5" t="str">
        <f t="shared" si="7"/>
        <v>S2893F</v>
      </c>
      <c r="L60" s="36">
        <f>IF(Table36[[#This Row],[Facility_1]]="-",0,AB60)</f>
        <v>0</v>
      </c>
      <c r="V60" s="1">
        <v>237000</v>
      </c>
    </row>
    <row r="61" spans="1:22" x14ac:dyDescent="0.25">
      <c r="A61" s="1" t="s">
        <v>362</v>
      </c>
      <c r="B61" s="1">
        <v>6238755.3513000002</v>
      </c>
      <c r="C61" s="1">
        <v>433681.04920000001</v>
      </c>
      <c r="D61" s="5" t="str">
        <f t="shared" si="4"/>
        <v>S291F</v>
      </c>
      <c r="E61" s="6" t="s">
        <v>671</v>
      </c>
      <c r="F61" s="6">
        <f>IF(Table36[[#This Row],[Facility_1]]="-",0,V61)</f>
        <v>291000</v>
      </c>
      <c r="G61" s="5" t="str">
        <f t="shared" si="5"/>
        <v>S292F</v>
      </c>
      <c r="H61" s="2" t="str">
        <f t="shared" si="6"/>
        <v>TerTpi</v>
      </c>
      <c r="I61" s="22">
        <f>IF(Table36[[#This Row],[Facility_2]]="-",0,V61)</f>
        <v>291000</v>
      </c>
      <c r="J61" s="5" t="str">
        <f t="shared" si="7"/>
        <v>S293F</v>
      </c>
      <c r="L61" s="36">
        <f>IF(Table36[[#This Row],[Facility_1]]="-",0,AB61)</f>
        <v>0</v>
      </c>
      <c r="V61" s="1">
        <v>291000</v>
      </c>
    </row>
    <row r="62" spans="1:22" s="30" customFormat="1" x14ac:dyDescent="0.25">
      <c r="A62" s="30" t="s">
        <v>431</v>
      </c>
      <c r="B62" s="30">
        <v>6388896.1737000002</v>
      </c>
      <c r="C62" s="30">
        <v>516070.84989999997</v>
      </c>
      <c r="D62" s="31" t="str">
        <f t="shared" si="4"/>
        <v>S2911F</v>
      </c>
      <c r="E62" s="32" t="s">
        <v>671</v>
      </c>
      <c r="F62" s="32">
        <f>IF(Table36[[#This Row],[Facility_1]]="-",0,V62)</f>
        <v>332000</v>
      </c>
      <c r="G62" s="31" t="str">
        <f t="shared" si="5"/>
        <v>S2912F</v>
      </c>
      <c r="H62" s="30" t="str">
        <f t="shared" si="6"/>
        <v>TerTpi</v>
      </c>
      <c r="I62" s="33">
        <f>IF(Table36[[#This Row],[Facility_2]]="-",0,V62)</f>
        <v>332000</v>
      </c>
      <c r="J62" s="5" t="str">
        <f t="shared" si="7"/>
        <v>S2913F</v>
      </c>
      <c r="K62" s="32" t="s">
        <v>777</v>
      </c>
      <c r="L62" s="37">
        <v>60000</v>
      </c>
      <c r="M62" s="31"/>
      <c r="N62" s="32"/>
      <c r="O62" s="34"/>
      <c r="P62" s="31"/>
      <c r="Q62" s="32"/>
      <c r="R62" s="34"/>
      <c r="V62" s="30">
        <v>332000</v>
      </c>
    </row>
    <row r="63" spans="1:22" s="30" customFormat="1" x14ac:dyDescent="0.25">
      <c r="A63" s="30" t="s">
        <v>432</v>
      </c>
      <c r="B63" s="30">
        <v>7472484.9280000003</v>
      </c>
      <c r="C63" s="30">
        <v>827801.74659999995</v>
      </c>
      <c r="D63" s="31" t="str">
        <f t="shared" si="4"/>
        <v>S2931F</v>
      </c>
      <c r="E63" s="32" t="s">
        <v>672</v>
      </c>
      <c r="F63" s="32">
        <f>IF(Table36[[#This Row],[Facility_1]]="-",0,V63)</f>
        <v>80000</v>
      </c>
      <c r="G63" s="31" t="str">
        <f t="shared" si="5"/>
        <v>S2932F</v>
      </c>
      <c r="H63" s="30" t="str">
        <f t="shared" si="6"/>
        <v>TerTsp</v>
      </c>
      <c r="I63" s="33">
        <f>IF(Table36[[#This Row],[Facility_2]]="-",0,V63)</f>
        <v>80000</v>
      </c>
      <c r="J63" s="5" t="str">
        <f t="shared" si="7"/>
        <v>S2933F</v>
      </c>
      <c r="K63" s="32" t="s">
        <v>777</v>
      </c>
      <c r="L63" s="37">
        <v>60000</v>
      </c>
      <c r="M63" s="31"/>
      <c r="N63" s="32"/>
      <c r="O63" s="34"/>
      <c r="P63" s="31"/>
      <c r="Q63" s="32"/>
      <c r="R63" s="34"/>
      <c r="V63" s="30">
        <v>80000</v>
      </c>
    </row>
    <row r="64" spans="1:22" x14ac:dyDescent="0.25">
      <c r="A64" s="1" t="s">
        <v>433</v>
      </c>
      <c r="B64" s="1">
        <v>6656786.0169000002</v>
      </c>
      <c r="C64" s="1">
        <v>641644.848</v>
      </c>
      <c r="D64" s="5" t="str">
        <f t="shared" si="4"/>
        <v>S2951F</v>
      </c>
      <c r="E64" s="6" t="s">
        <v>670</v>
      </c>
      <c r="F64" s="6">
        <f>IF(Table36[[#This Row],[Facility_1]]="-",0,V64)</f>
        <v>20000</v>
      </c>
      <c r="G64" s="5" t="str">
        <f t="shared" si="5"/>
        <v>S2952F</v>
      </c>
      <c r="H64" s="2" t="str">
        <f t="shared" si="6"/>
        <v>TerTal</v>
      </c>
      <c r="I64" s="22">
        <f>IF(Table36[[#This Row],[Facility_2]]="-",0,V64)</f>
        <v>20000</v>
      </c>
      <c r="J64" s="5" t="str">
        <f t="shared" si="7"/>
        <v>S2953F</v>
      </c>
      <c r="L64" s="36">
        <f>IF(Table36[[#This Row],[Facility_1]]="-",0,AB64)</f>
        <v>0</v>
      </c>
      <c r="V64" s="1">
        <v>20000</v>
      </c>
    </row>
    <row r="65" spans="1:22" s="30" customFormat="1" x14ac:dyDescent="0.25">
      <c r="A65" s="30" t="s">
        <v>363</v>
      </c>
      <c r="B65" s="30">
        <v>6646337.983</v>
      </c>
      <c r="C65" s="30">
        <v>603177.67020000005</v>
      </c>
      <c r="D65" s="31" t="str">
        <f t="shared" si="4"/>
        <v>S301F</v>
      </c>
      <c r="E65" s="32" t="s">
        <v>670</v>
      </c>
      <c r="F65" s="32">
        <f>IF(Table36[[#This Row],[Facility_1]]="-",0,V65)</f>
        <v>240000</v>
      </c>
      <c r="G65" s="31" t="str">
        <f t="shared" si="5"/>
        <v>S302F</v>
      </c>
      <c r="H65" s="30" t="str">
        <f t="shared" si="6"/>
        <v>TerTal</v>
      </c>
      <c r="I65" s="33">
        <f>IF(Table36[[#This Row],[Facility_2]]="-",0,V65)</f>
        <v>240000</v>
      </c>
      <c r="J65" s="5" t="str">
        <f t="shared" si="7"/>
        <v>S303F</v>
      </c>
      <c r="K65" s="32" t="s">
        <v>777</v>
      </c>
      <c r="L65" s="37">
        <v>60000</v>
      </c>
      <c r="M65" s="31"/>
      <c r="N65" s="32"/>
      <c r="O65" s="34"/>
      <c r="P65" s="31"/>
      <c r="Q65" s="32"/>
      <c r="R65" s="34"/>
      <c r="V65" s="30">
        <v>240000</v>
      </c>
    </row>
    <row r="66" spans="1:22" x14ac:dyDescent="0.25">
      <c r="A66" s="1" t="s">
        <v>364</v>
      </c>
      <c r="B66" s="1">
        <v>6442611.9987000003</v>
      </c>
      <c r="C66" s="1">
        <v>525450.62230000005</v>
      </c>
      <c r="D66" s="5" t="str">
        <f t="shared" ref="D66:D97" si="8">IF(V66&gt;$W$2,$A66&amp;RIGHT(D$1,1)&amp;"F","-")</f>
        <v>S311F</v>
      </c>
      <c r="E66" s="6" t="s">
        <v>670</v>
      </c>
      <c r="F66" s="6">
        <f>IF(Table36[[#This Row],[Facility_1]]="-",0,V66)</f>
        <v>145000</v>
      </c>
      <c r="G66" s="5" t="str">
        <f t="shared" ref="G66:G97" si="9">IF(V66&gt;$W$2,$A66&amp;RIGHT(G$1,1)&amp;"F","-")</f>
        <v>S312F</v>
      </c>
      <c r="H66" s="2" t="str">
        <f t="shared" ref="H66:H97" si="10">IF(E66="sawmal","TerTal",IF(E66="sawmpi","TerTpi",IF(E66="sawmsp","TerTsp","")))</f>
        <v>TerTal</v>
      </c>
      <c r="I66" s="22">
        <f>IF(Table36[[#This Row],[Facility_2]]="-",0,V66)</f>
        <v>145000</v>
      </c>
      <c r="J66" s="5" t="str">
        <f t="shared" ref="J66:J97" si="11">$A66&amp;RIGHT(J$1,1)&amp;"F"</f>
        <v>S313F</v>
      </c>
      <c r="L66" s="36">
        <f>IF(Table36[[#This Row],[Facility_1]]="-",0,AB66)</f>
        <v>0</v>
      </c>
      <c r="V66" s="1">
        <v>145000</v>
      </c>
    </row>
    <row r="67" spans="1:22" x14ac:dyDescent="0.25">
      <c r="A67" s="1" t="s">
        <v>434</v>
      </c>
      <c r="B67" s="1">
        <v>6478256.2834999999</v>
      </c>
      <c r="C67" s="1">
        <v>544962.68830000004</v>
      </c>
      <c r="D67" s="5" t="str">
        <f t="shared" si="8"/>
        <v>S3101F</v>
      </c>
      <c r="E67" s="6" t="s">
        <v>670</v>
      </c>
      <c r="F67" s="6">
        <f>IF(Table36[[#This Row],[Facility_1]]="-",0,V67)</f>
        <v>345000</v>
      </c>
      <c r="G67" s="5" t="str">
        <f t="shared" si="9"/>
        <v>S3102F</v>
      </c>
      <c r="H67" s="2" t="str">
        <f t="shared" si="10"/>
        <v>TerTal</v>
      </c>
      <c r="I67" s="22">
        <f>IF(Table36[[#This Row],[Facility_2]]="-",0,V67)</f>
        <v>345000</v>
      </c>
      <c r="J67" s="5" t="str">
        <f t="shared" si="11"/>
        <v>S3103F</v>
      </c>
      <c r="L67" s="36">
        <f>IF(Table36[[#This Row],[Facility_1]]="-",0,AB67)</f>
        <v>0</v>
      </c>
      <c r="V67" s="1">
        <v>345000</v>
      </c>
    </row>
    <row r="68" spans="1:22" x14ac:dyDescent="0.25">
      <c r="A68" s="1" t="s">
        <v>435</v>
      </c>
      <c r="B68" s="1">
        <v>6328853.2410000004</v>
      </c>
      <c r="C68" s="1">
        <v>592751.43059999996</v>
      </c>
      <c r="D68" s="5" t="str">
        <f t="shared" si="8"/>
        <v>S3141F</v>
      </c>
      <c r="E68" s="6" t="s">
        <v>670</v>
      </c>
      <c r="F68" s="6">
        <f>IF(Table36[[#This Row],[Facility_1]]="-",0,V68)</f>
        <v>155000</v>
      </c>
      <c r="G68" s="5" t="str">
        <f t="shared" si="9"/>
        <v>S3142F</v>
      </c>
      <c r="H68" s="2" t="str">
        <f t="shared" si="10"/>
        <v>TerTal</v>
      </c>
      <c r="I68" s="22">
        <f>IF(Table36[[#This Row],[Facility_2]]="-",0,V68)</f>
        <v>155000</v>
      </c>
      <c r="J68" s="5" t="str">
        <f t="shared" si="11"/>
        <v>S3143F</v>
      </c>
      <c r="L68" s="36">
        <f>IF(Table36[[#This Row],[Facility_1]]="-",0,AB68)</f>
        <v>0</v>
      </c>
      <c r="V68" s="1">
        <v>155000</v>
      </c>
    </row>
    <row r="69" spans="1:22" x14ac:dyDescent="0.25">
      <c r="A69" s="1" t="s">
        <v>436</v>
      </c>
      <c r="B69" s="1">
        <v>7266929.6627000002</v>
      </c>
      <c r="C69" s="1">
        <v>790406.73849999998</v>
      </c>
      <c r="D69" s="5" t="str">
        <f t="shared" si="8"/>
        <v>S3151F</v>
      </c>
      <c r="E69" s="6" t="s">
        <v>670</v>
      </c>
      <c r="F69" s="6">
        <f>IF(Table36[[#This Row],[Facility_1]]="-",0,V69)</f>
        <v>290000</v>
      </c>
      <c r="G69" s="5" t="str">
        <f t="shared" si="9"/>
        <v>S3152F</v>
      </c>
      <c r="H69" s="2" t="str">
        <f t="shared" si="10"/>
        <v>TerTal</v>
      </c>
      <c r="I69" s="22">
        <f>IF(Table36[[#This Row],[Facility_2]]="-",0,V69)</f>
        <v>290000</v>
      </c>
      <c r="J69" s="5" t="str">
        <f t="shared" si="11"/>
        <v>S3153F</v>
      </c>
      <c r="L69" s="36">
        <f>IF(Table36[[#This Row],[Facility_1]]="-",0,AB69)</f>
        <v>0</v>
      </c>
      <c r="V69" s="1">
        <v>290000</v>
      </c>
    </row>
    <row r="70" spans="1:22" x14ac:dyDescent="0.25">
      <c r="A70" s="1" t="s">
        <v>437</v>
      </c>
      <c r="B70" s="1">
        <v>6710600.7592000002</v>
      </c>
      <c r="C70" s="1">
        <v>504431.28639999998</v>
      </c>
      <c r="D70" s="5" t="str">
        <f t="shared" si="8"/>
        <v>S3181F</v>
      </c>
      <c r="E70" s="6" t="s">
        <v>670</v>
      </c>
      <c r="F70" s="6">
        <f>IF(Table36[[#This Row],[Facility_1]]="-",0,V70)</f>
        <v>332000</v>
      </c>
      <c r="G70" s="5" t="str">
        <f t="shared" si="9"/>
        <v>S3182F</v>
      </c>
      <c r="H70" s="2" t="str">
        <f t="shared" si="10"/>
        <v>TerTal</v>
      </c>
      <c r="I70" s="22">
        <f>IF(Table36[[#This Row],[Facility_2]]="-",0,V70)</f>
        <v>332000</v>
      </c>
      <c r="J70" s="5" t="str">
        <f t="shared" si="11"/>
        <v>S3183F</v>
      </c>
      <c r="L70" s="36">
        <f>IF(Table36[[#This Row],[Facility_1]]="-",0,AB70)</f>
        <v>0</v>
      </c>
      <c r="V70" s="1">
        <v>332000</v>
      </c>
    </row>
    <row r="71" spans="1:22" x14ac:dyDescent="0.25">
      <c r="A71" s="1" t="s">
        <v>438</v>
      </c>
      <c r="B71" s="1">
        <v>6385814.3949999996</v>
      </c>
      <c r="C71" s="1">
        <v>528484.48759999999</v>
      </c>
      <c r="D71" s="5" t="str">
        <f t="shared" si="8"/>
        <v>S3211F</v>
      </c>
      <c r="E71" s="6" t="s">
        <v>670</v>
      </c>
      <c r="F71" s="6">
        <f>IF(Table36[[#This Row],[Facility_1]]="-",0,V71)</f>
        <v>175000</v>
      </c>
      <c r="G71" s="5" t="str">
        <f t="shared" si="9"/>
        <v>S3212F</v>
      </c>
      <c r="H71" s="2" t="str">
        <f t="shared" si="10"/>
        <v>TerTal</v>
      </c>
      <c r="I71" s="22">
        <f>IF(Table36[[#This Row],[Facility_2]]="-",0,V71)</f>
        <v>175000</v>
      </c>
      <c r="J71" s="5" t="str">
        <f t="shared" si="11"/>
        <v>S3213F</v>
      </c>
      <c r="L71" s="36">
        <f>IF(Table36[[#This Row],[Facility_1]]="-",0,AB71)</f>
        <v>0</v>
      </c>
      <c r="V71" s="1">
        <v>175000</v>
      </c>
    </row>
    <row r="72" spans="1:22" x14ac:dyDescent="0.25">
      <c r="A72" s="1" t="s">
        <v>439</v>
      </c>
      <c r="B72" s="1">
        <v>6649670.4957999997</v>
      </c>
      <c r="C72" s="1">
        <v>545005.9939</v>
      </c>
      <c r="D72" s="5" t="str">
        <f t="shared" si="8"/>
        <v>S3221F</v>
      </c>
      <c r="E72" s="6" t="s">
        <v>670</v>
      </c>
      <c r="F72" s="6">
        <f>IF(Table36[[#This Row],[Facility_1]]="-",0,V72)</f>
        <v>295000</v>
      </c>
      <c r="G72" s="5" t="str">
        <f t="shared" si="9"/>
        <v>S3222F</v>
      </c>
      <c r="H72" s="2" t="str">
        <f t="shared" si="10"/>
        <v>TerTal</v>
      </c>
      <c r="I72" s="22">
        <f>IF(Table36[[#This Row],[Facility_2]]="-",0,V72)</f>
        <v>295000</v>
      </c>
      <c r="J72" s="5" t="str">
        <f t="shared" si="11"/>
        <v>S3223F</v>
      </c>
      <c r="L72" s="36">
        <f>IF(Table36[[#This Row],[Facility_1]]="-",0,AB72)</f>
        <v>0</v>
      </c>
      <c r="V72" s="1">
        <v>295000</v>
      </c>
    </row>
    <row r="73" spans="1:22" x14ac:dyDescent="0.25">
      <c r="A73" s="1" t="s">
        <v>440</v>
      </c>
      <c r="B73" s="1">
        <v>7126566.0371000003</v>
      </c>
      <c r="C73" s="1">
        <v>568924.10419999994</v>
      </c>
      <c r="D73" s="5" t="str">
        <f t="shared" si="8"/>
        <v>S3261F</v>
      </c>
      <c r="E73" s="6" t="s">
        <v>670</v>
      </c>
      <c r="F73" s="6">
        <f>IF(Table36[[#This Row],[Facility_1]]="-",0,V73)</f>
        <v>25000</v>
      </c>
      <c r="G73" s="5" t="str">
        <f t="shared" si="9"/>
        <v>S3262F</v>
      </c>
      <c r="H73" s="2" t="str">
        <f t="shared" si="10"/>
        <v>TerTal</v>
      </c>
      <c r="I73" s="22">
        <f>IF(Table36[[#This Row],[Facility_2]]="-",0,V73)</f>
        <v>25000</v>
      </c>
      <c r="J73" s="5" t="str">
        <f t="shared" si="11"/>
        <v>S3263F</v>
      </c>
      <c r="L73" s="36">
        <f>IF(Table36[[#This Row],[Facility_1]]="-",0,AB73)</f>
        <v>0</v>
      </c>
      <c r="V73" s="1">
        <v>25000</v>
      </c>
    </row>
    <row r="74" spans="1:22" x14ac:dyDescent="0.25">
      <c r="A74" s="1" t="s">
        <v>365</v>
      </c>
      <c r="B74" s="1">
        <v>6388874.3831000002</v>
      </c>
      <c r="C74" s="1">
        <v>551881.96939999994</v>
      </c>
      <c r="D74" s="5" t="str">
        <f t="shared" si="8"/>
        <v>S331F</v>
      </c>
      <c r="E74" s="6" t="s">
        <v>670</v>
      </c>
      <c r="F74" s="6">
        <f>IF(Table36[[#This Row],[Facility_1]]="-",0,V74)</f>
        <v>25000</v>
      </c>
      <c r="G74" s="5" t="str">
        <f t="shared" si="9"/>
        <v>S332F</v>
      </c>
      <c r="H74" s="2" t="str">
        <f t="shared" si="10"/>
        <v>TerTal</v>
      </c>
      <c r="I74" s="22">
        <f>IF(Table36[[#This Row],[Facility_2]]="-",0,V74)</f>
        <v>25000</v>
      </c>
      <c r="J74" s="5" t="str">
        <f t="shared" si="11"/>
        <v>S333F</v>
      </c>
      <c r="L74" s="36">
        <f>IF(Table36[[#This Row],[Facility_1]]="-",0,AB74)</f>
        <v>0</v>
      </c>
      <c r="V74" s="1">
        <v>25000</v>
      </c>
    </row>
    <row r="75" spans="1:22" x14ac:dyDescent="0.25">
      <c r="A75" s="1" t="s">
        <v>441</v>
      </c>
      <c r="B75" s="1">
        <v>6395881.5705000004</v>
      </c>
      <c r="C75" s="1">
        <v>559486.37210000004</v>
      </c>
      <c r="D75" s="5" t="str">
        <f t="shared" si="8"/>
        <v>S3301F</v>
      </c>
      <c r="E75" s="6" t="s">
        <v>670</v>
      </c>
      <c r="F75" s="6">
        <f>IF(Table36[[#This Row],[Facility_1]]="-",0,V75)</f>
        <v>60000</v>
      </c>
      <c r="G75" s="5" t="str">
        <f t="shared" si="9"/>
        <v>S3302F</v>
      </c>
      <c r="H75" s="2" t="str">
        <f t="shared" si="10"/>
        <v>TerTal</v>
      </c>
      <c r="I75" s="22">
        <f>IF(Table36[[#This Row],[Facility_2]]="-",0,V75)</f>
        <v>60000</v>
      </c>
      <c r="J75" s="5" t="str">
        <f t="shared" si="11"/>
        <v>S3303F</v>
      </c>
      <c r="L75" s="36">
        <f>IF(Table36[[#This Row],[Facility_1]]="-",0,AB75)</f>
        <v>0</v>
      </c>
      <c r="V75" s="1">
        <v>60000</v>
      </c>
    </row>
    <row r="76" spans="1:22" x14ac:dyDescent="0.25">
      <c r="A76" s="1" t="s">
        <v>442</v>
      </c>
      <c r="B76" s="1" t="s">
        <v>547</v>
      </c>
      <c r="C76" s="1" t="s">
        <v>546</v>
      </c>
      <c r="D76" s="5" t="str">
        <f t="shared" si="8"/>
        <v>S4001F</v>
      </c>
      <c r="E76" s="6" t="s">
        <v>670</v>
      </c>
      <c r="F76" s="6">
        <f>IF(Table36[[#This Row],[Facility_1]]="-",0,V76)</f>
        <v>360000</v>
      </c>
      <c r="G76" s="5" t="str">
        <f t="shared" si="9"/>
        <v>S4002F</v>
      </c>
      <c r="H76" s="2" t="str">
        <f t="shared" si="10"/>
        <v>TerTal</v>
      </c>
      <c r="I76" s="22">
        <f>IF(Table36[[#This Row],[Facility_2]]="-",0,V76)</f>
        <v>360000</v>
      </c>
      <c r="J76" s="5" t="str">
        <f t="shared" si="11"/>
        <v>S4003F</v>
      </c>
      <c r="L76" s="36">
        <f>IF(Table36[[#This Row],[Facility_1]]="-",0,AB76)</f>
        <v>0</v>
      </c>
      <c r="V76" s="1">
        <v>360000</v>
      </c>
    </row>
    <row r="77" spans="1:22" x14ac:dyDescent="0.25">
      <c r="A77" s="1" t="s">
        <v>443</v>
      </c>
      <c r="B77" s="1" t="s">
        <v>549</v>
      </c>
      <c r="C77" s="1" t="s">
        <v>548</v>
      </c>
      <c r="D77" s="5" t="str">
        <f t="shared" si="8"/>
        <v>S4011F</v>
      </c>
      <c r="E77" s="6" t="s">
        <v>670</v>
      </c>
      <c r="F77" s="6">
        <f>IF(Table36[[#This Row],[Facility_1]]="-",0,V77)</f>
        <v>130000</v>
      </c>
      <c r="G77" s="5" t="str">
        <f t="shared" si="9"/>
        <v>S4012F</v>
      </c>
      <c r="H77" s="2" t="str">
        <f t="shared" si="10"/>
        <v>TerTal</v>
      </c>
      <c r="I77" s="22">
        <f>IF(Table36[[#This Row],[Facility_2]]="-",0,V77)</f>
        <v>130000</v>
      </c>
      <c r="J77" s="5" t="str">
        <f t="shared" si="11"/>
        <v>S4013F</v>
      </c>
      <c r="L77" s="36">
        <f>IF(Table36[[#This Row],[Facility_1]]="-",0,AB77)</f>
        <v>0</v>
      </c>
      <c r="V77" s="1">
        <v>130000</v>
      </c>
    </row>
    <row r="78" spans="1:22" x14ac:dyDescent="0.25">
      <c r="A78" s="1" t="s">
        <v>444</v>
      </c>
      <c r="B78" s="1" t="s">
        <v>551</v>
      </c>
      <c r="C78" s="1" t="s">
        <v>550</v>
      </c>
      <c r="D78" s="5" t="str">
        <f t="shared" si="8"/>
        <v>S4021F</v>
      </c>
      <c r="E78" s="6" t="s">
        <v>670</v>
      </c>
      <c r="F78" s="6">
        <f>IF(Table36[[#This Row],[Facility_1]]="-",0,V78)</f>
        <v>100000</v>
      </c>
      <c r="G78" s="5" t="str">
        <f t="shared" si="9"/>
        <v>S4022F</v>
      </c>
      <c r="H78" s="2" t="str">
        <f t="shared" si="10"/>
        <v>TerTal</v>
      </c>
      <c r="I78" s="22">
        <f>IF(Table36[[#This Row],[Facility_2]]="-",0,V78)</f>
        <v>100000</v>
      </c>
      <c r="J78" s="5" t="str">
        <f t="shared" si="11"/>
        <v>S4023F</v>
      </c>
      <c r="L78" s="36">
        <f>IF(Table36[[#This Row],[Facility_1]]="-",0,AB78)</f>
        <v>0</v>
      </c>
      <c r="V78" s="1">
        <v>100000</v>
      </c>
    </row>
    <row r="79" spans="1:22" x14ac:dyDescent="0.25">
      <c r="A79" s="1" t="s">
        <v>445</v>
      </c>
      <c r="B79" s="1" t="s">
        <v>553</v>
      </c>
      <c r="C79" s="1" t="s">
        <v>552</v>
      </c>
      <c r="D79" s="5" t="str">
        <f t="shared" si="8"/>
        <v>S4031F</v>
      </c>
      <c r="E79" s="6" t="s">
        <v>670</v>
      </c>
      <c r="F79" s="6">
        <f>IF(Table36[[#This Row],[Facility_1]]="-",0,V79)</f>
        <v>17000</v>
      </c>
      <c r="G79" s="5" t="str">
        <f t="shared" si="9"/>
        <v>S4032F</v>
      </c>
      <c r="H79" s="2" t="str">
        <f t="shared" si="10"/>
        <v>TerTal</v>
      </c>
      <c r="I79" s="22">
        <f>IF(Table36[[#This Row],[Facility_2]]="-",0,V79)</f>
        <v>17000</v>
      </c>
      <c r="J79" s="5" t="str">
        <f t="shared" si="11"/>
        <v>S4033F</v>
      </c>
      <c r="L79" s="36">
        <f>IF(Table36[[#This Row],[Facility_1]]="-",0,AB79)</f>
        <v>0</v>
      </c>
      <c r="V79" s="1">
        <v>17000</v>
      </c>
    </row>
    <row r="80" spans="1:22" x14ac:dyDescent="0.25">
      <c r="A80" s="1" t="s">
        <v>446</v>
      </c>
      <c r="B80" s="1" t="s">
        <v>555</v>
      </c>
      <c r="C80" s="1" t="s">
        <v>554</v>
      </c>
      <c r="D80" s="5" t="str">
        <f t="shared" si="8"/>
        <v>S4041F</v>
      </c>
      <c r="E80" s="6" t="s">
        <v>670</v>
      </c>
      <c r="F80" s="6">
        <f>IF(Table36[[#This Row],[Facility_1]]="-",0,V80)</f>
        <v>230000</v>
      </c>
      <c r="G80" s="5" t="str">
        <f t="shared" si="9"/>
        <v>S4042F</v>
      </c>
      <c r="H80" s="2" t="str">
        <f t="shared" si="10"/>
        <v>TerTal</v>
      </c>
      <c r="I80" s="22">
        <f>IF(Table36[[#This Row],[Facility_2]]="-",0,V80)</f>
        <v>230000</v>
      </c>
      <c r="J80" s="5" t="str">
        <f t="shared" si="11"/>
        <v>S4043F</v>
      </c>
      <c r="L80" s="36">
        <f>IF(Table36[[#This Row],[Facility_1]]="-",0,AB80)</f>
        <v>0</v>
      </c>
      <c r="V80" s="1">
        <v>230000</v>
      </c>
    </row>
    <row r="81" spans="1:22" x14ac:dyDescent="0.25">
      <c r="A81" s="1" t="s">
        <v>447</v>
      </c>
      <c r="B81" s="1" t="s">
        <v>557</v>
      </c>
      <c r="C81" s="1" t="s">
        <v>556</v>
      </c>
      <c r="D81" s="5" t="str">
        <f t="shared" si="8"/>
        <v>S4051F</v>
      </c>
      <c r="E81" s="6" t="s">
        <v>670</v>
      </c>
      <c r="F81" s="6">
        <f>IF(Table36[[#This Row],[Facility_1]]="-",0,V81)</f>
        <v>6000</v>
      </c>
      <c r="G81" s="5" t="str">
        <f t="shared" si="9"/>
        <v>S4052F</v>
      </c>
      <c r="H81" s="2" t="str">
        <f t="shared" si="10"/>
        <v>TerTal</v>
      </c>
      <c r="I81" s="22">
        <f>IF(Table36[[#This Row],[Facility_2]]="-",0,V81)</f>
        <v>6000</v>
      </c>
      <c r="J81" s="5" t="str">
        <f t="shared" si="11"/>
        <v>S4053F</v>
      </c>
      <c r="L81" s="36">
        <f>IF(Table36[[#This Row],[Facility_1]]="-",0,AB81)</f>
        <v>0</v>
      </c>
      <c r="V81" s="1">
        <v>6000</v>
      </c>
    </row>
    <row r="82" spans="1:22" x14ac:dyDescent="0.25">
      <c r="A82" s="1" t="s">
        <v>448</v>
      </c>
      <c r="B82" s="1" t="s">
        <v>559</v>
      </c>
      <c r="C82" s="1" t="s">
        <v>558</v>
      </c>
      <c r="D82" s="5" t="str">
        <f t="shared" si="8"/>
        <v>S4061F</v>
      </c>
      <c r="E82" s="6" t="s">
        <v>670</v>
      </c>
      <c r="F82" s="6">
        <f>IF(Table36[[#This Row],[Facility_1]]="-",0,V82)</f>
        <v>150000</v>
      </c>
      <c r="G82" s="5" t="str">
        <f t="shared" si="9"/>
        <v>S4062F</v>
      </c>
      <c r="H82" s="2" t="str">
        <f t="shared" si="10"/>
        <v>TerTal</v>
      </c>
      <c r="I82" s="22">
        <f>IF(Table36[[#This Row],[Facility_2]]="-",0,V82)</f>
        <v>150000</v>
      </c>
      <c r="J82" s="5" t="str">
        <f t="shared" si="11"/>
        <v>S4063F</v>
      </c>
      <c r="L82" s="36">
        <f>IF(Table36[[#This Row],[Facility_1]]="-",0,AB82)</f>
        <v>0</v>
      </c>
      <c r="V82" s="1">
        <v>150000</v>
      </c>
    </row>
    <row r="83" spans="1:22" x14ac:dyDescent="0.25">
      <c r="A83" s="1" t="s">
        <v>449</v>
      </c>
      <c r="B83" s="1" t="s">
        <v>561</v>
      </c>
      <c r="C83" s="1" t="s">
        <v>560</v>
      </c>
      <c r="D83" s="5" t="str">
        <f t="shared" si="8"/>
        <v>S4071F</v>
      </c>
      <c r="E83" s="6" t="s">
        <v>670</v>
      </c>
      <c r="F83" s="6">
        <f>IF(Table36[[#This Row],[Facility_1]]="-",0,V83)</f>
        <v>100000</v>
      </c>
      <c r="G83" s="5" t="str">
        <f t="shared" si="9"/>
        <v>S4072F</v>
      </c>
      <c r="H83" s="2" t="str">
        <f t="shared" si="10"/>
        <v>TerTal</v>
      </c>
      <c r="I83" s="22">
        <f>IF(Table36[[#This Row],[Facility_2]]="-",0,V83)</f>
        <v>100000</v>
      </c>
      <c r="J83" s="5" t="str">
        <f t="shared" si="11"/>
        <v>S4073F</v>
      </c>
      <c r="L83" s="36">
        <f>IF(Table36[[#This Row],[Facility_1]]="-",0,AB83)</f>
        <v>0</v>
      </c>
      <c r="V83" s="1">
        <v>100000</v>
      </c>
    </row>
    <row r="84" spans="1:22" x14ac:dyDescent="0.25">
      <c r="A84" s="1" t="s">
        <v>450</v>
      </c>
      <c r="B84" s="1" t="s">
        <v>563</v>
      </c>
      <c r="C84" s="1" t="s">
        <v>562</v>
      </c>
      <c r="D84" s="5" t="str">
        <f t="shared" si="8"/>
        <v>-</v>
      </c>
      <c r="E84" s="6" t="s">
        <v>670</v>
      </c>
      <c r="F84" s="6">
        <f>IF(Table36[[#This Row],[Facility_1]]="-",0,V84)</f>
        <v>0</v>
      </c>
      <c r="G84" s="5" t="str">
        <f t="shared" si="9"/>
        <v>-</v>
      </c>
      <c r="H84" s="2" t="str">
        <f t="shared" si="10"/>
        <v>TerTal</v>
      </c>
      <c r="I84" s="22">
        <f>IF(Table36[[#This Row],[Facility_2]]="-",0,V84)</f>
        <v>0</v>
      </c>
      <c r="J84" s="5" t="str">
        <f t="shared" si="11"/>
        <v>S4083F</v>
      </c>
      <c r="L84" s="36">
        <f>IF(Table36[[#This Row],[Facility_1]]="-",0,AB84)</f>
        <v>0</v>
      </c>
      <c r="V84" s="1">
        <v>0</v>
      </c>
    </row>
    <row r="85" spans="1:22" x14ac:dyDescent="0.25">
      <c r="A85" s="1" t="s">
        <v>451</v>
      </c>
      <c r="B85" s="1" t="s">
        <v>565</v>
      </c>
      <c r="C85" s="1" t="s">
        <v>564</v>
      </c>
      <c r="D85" s="5" t="str">
        <f t="shared" si="8"/>
        <v>S4091F</v>
      </c>
      <c r="E85" s="6" t="s">
        <v>670</v>
      </c>
      <c r="F85" s="6">
        <f>IF(Table36[[#This Row],[Facility_1]]="-",0,V85)</f>
        <v>75000</v>
      </c>
      <c r="G85" s="5" t="str">
        <f t="shared" si="9"/>
        <v>S4092F</v>
      </c>
      <c r="H85" s="2" t="str">
        <f t="shared" si="10"/>
        <v>TerTal</v>
      </c>
      <c r="I85" s="22">
        <f>IF(Table36[[#This Row],[Facility_2]]="-",0,V85)</f>
        <v>75000</v>
      </c>
      <c r="J85" s="5" t="str">
        <f t="shared" si="11"/>
        <v>S4093F</v>
      </c>
      <c r="L85" s="36">
        <f>IF(Table36[[#This Row],[Facility_1]]="-",0,AB85)</f>
        <v>0</v>
      </c>
      <c r="V85" s="1">
        <v>75000</v>
      </c>
    </row>
    <row r="86" spans="1:22" x14ac:dyDescent="0.25">
      <c r="A86" s="1" t="s">
        <v>452</v>
      </c>
      <c r="B86" s="1" t="s">
        <v>567</v>
      </c>
      <c r="C86" s="1" t="s">
        <v>566</v>
      </c>
      <c r="D86" s="5" t="str">
        <f t="shared" si="8"/>
        <v>-</v>
      </c>
      <c r="E86" s="6" t="s">
        <v>670</v>
      </c>
      <c r="F86" s="6">
        <f>IF(Table36[[#This Row],[Facility_1]]="-",0,V86)</f>
        <v>0</v>
      </c>
      <c r="G86" s="5" t="str">
        <f t="shared" si="9"/>
        <v>-</v>
      </c>
      <c r="H86" s="2" t="str">
        <f t="shared" si="10"/>
        <v>TerTal</v>
      </c>
      <c r="I86" s="22">
        <f>IF(Table36[[#This Row],[Facility_2]]="-",0,V86)</f>
        <v>0</v>
      </c>
      <c r="J86" s="5" t="str">
        <f t="shared" si="11"/>
        <v>S4103F</v>
      </c>
      <c r="L86" s="36">
        <f>IF(Table36[[#This Row],[Facility_1]]="-",0,AB86)</f>
        <v>0</v>
      </c>
      <c r="V86" s="1">
        <v>0</v>
      </c>
    </row>
    <row r="87" spans="1:22" x14ac:dyDescent="0.25">
      <c r="A87" s="1" t="s">
        <v>453</v>
      </c>
      <c r="B87" s="1" t="s">
        <v>569</v>
      </c>
      <c r="C87" s="1" t="s">
        <v>568</v>
      </c>
      <c r="D87" s="5" t="str">
        <f t="shared" si="8"/>
        <v>S4111F</v>
      </c>
      <c r="E87" s="6" t="s">
        <v>670</v>
      </c>
      <c r="F87" s="6">
        <f>IF(Table36[[#This Row],[Facility_1]]="-",0,V87)</f>
        <v>65000</v>
      </c>
      <c r="G87" s="5" t="str">
        <f t="shared" si="9"/>
        <v>S4112F</v>
      </c>
      <c r="H87" s="2" t="str">
        <f t="shared" si="10"/>
        <v>TerTal</v>
      </c>
      <c r="I87" s="22">
        <f>IF(Table36[[#This Row],[Facility_2]]="-",0,V87)</f>
        <v>65000</v>
      </c>
      <c r="J87" s="5" t="str">
        <f t="shared" si="11"/>
        <v>S4113F</v>
      </c>
      <c r="L87" s="36">
        <f>IF(Table36[[#This Row],[Facility_1]]="-",0,AB87)</f>
        <v>0</v>
      </c>
      <c r="V87" s="1">
        <v>65000</v>
      </c>
    </row>
    <row r="88" spans="1:22" x14ac:dyDescent="0.25">
      <c r="A88" s="1" t="s">
        <v>454</v>
      </c>
      <c r="B88" s="1" t="s">
        <v>571</v>
      </c>
      <c r="C88" s="1" t="s">
        <v>570</v>
      </c>
      <c r="D88" s="5" t="str">
        <f t="shared" si="8"/>
        <v>S4121F</v>
      </c>
      <c r="E88" s="6" t="s">
        <v>670</v>
      </c>
      <c r="F88" s="6">
        <f>IF(Table36[[#This Row],[Facility_1]]="-",0,V88)</f>
        <v>30000</v>
      </c>
      <c r="G88" s="5" t="str">
        <f t="shared" si="9"/>
        <v>S4122F</v>
      </c>
      <c r="H88" s="2" t="str">
        <f t="shared" si="10"/>
        <v>TerTal</v>
      </c>
      <c r="I88" s="22">
        <f>IF(Table36[[#This Row],[Facility_2]]="-",0,V88)</f>
        <v>30000</v>
      </c>
      <c r="J88" s="5" t="str">
        <f t="shared" si="11"/>
        <v>S4123F</v>
      </c>
      <c r="L88" s="36">
        <f>IF(Table36[[#This Row],[Facility_1]]="-",0,AB88)</f>
        <v>0</v>
      </c>
      <c r="V88" s="1">
        <v>30000</v>
      </c>
    </row>
    <row r="89" spans="1:22" x14ac:dyDescent="0.25">
      <c r="A89" s="1" t="s">
        <v>455</v>
      </c>
      <c r="B89" s="1" t="s">
        <v>573</v>
      </c>
      <c r="C89" s="1" t="s">
        <v>572</v>
      </c>
      <c r="D89" s="5" t="str">
        <f t="shared" si="8"/>
        <v>S4131F</v>
      </c>
      <c r="E89" s="6" t="s">
        <v>670</v>
      </c>
      <c r="F89" s="6">
        <f>IF(Table36[[#This Row],[Facility_1]]="-",0,V89)</f>
        <v>200000</v>
      </c>
      <c r="G89" s="5" t="str">
        <f t="shared" si="9"/>
        <v>S4132F</v>
      </c>
      <c r="H89" s="2" t="str">
        <f t="shared" si="10"/>
        <v>TerTal</v>
      </c>
      <c r="I89" s="22">
        <f>IF(Table36[[#This Row],[Facility_2]]="-",0,V89)</f>
        <v>200000</v>
      </c>
      <c r="J89" s="5" t="str">
        <f t="shared" si="11"/>
        <v>S4133F</v>
      </c>
      <c r="L89" s="36">
        <f>IF(Table36[[#This Row],[Facility_1]]="-",0,AB89)</f>
        <v>0</v>
      </c>
      <c r="V89" s="1">
        <v>200000</v>
      </c>
    </row>
    <row r="90" spans="1:22" x14ac:dyDescent="0.25">
      <c r="A90" s="1" t="s">
        <v>456</v>
      </c>
      <c r="B90" s="1" t="s">
        <v>575</v>
      </c>
      <c r="C90" s="1" t="s">
        <v>574</v>
      </c>
      <c r="D90" s="5" t="str">
        <f t="shared" si="8"/>
        <v>S4141F</v>
      </c>
      <c r="E90" s="6" t="s">
        <v>670</v>
      </c>
      <c r="F90" s="6">
        <f>IF(Table36[[#This Row],[Facility_1]]="-",0,V90)</f>
        <v>40000</v>
      </c>
      <c r="G90" s="5" t="str">
        <f t="shared" si="9"/>
        <v>S4142F</v>
      </c>
      <c r="H90" s="2" t="str">
        <f t="shared" si="10"/>
        <v>TerTal</v>
      </c>
      <c r="I90" s="22">
        <f>IF(Table36[[#This Row],[Facility_2]]="-",0,V90)</f>
        <v>40000</v>
      </c>
      <c r="J90" s="5" t="str">
        <f t="shared" si="11"/>
        <v>S4143F</v>
      </c>
      <c r="L90" s="36">
        <f>IF(Table36[[#This Row],[Facility_1]]="-",0,AB90)</f>
        <v>0</v>
      </c>
      <c r="V90" s="1">
        <v>40000</v>
      </c>
    </row>
    <row r="91" spans="1:22" x14ac:dyDescent="0.25">
      <c r="A91" s="1" t="s">
        <v>457</v>
      </c>
      <c r="B91" s="1" t="s">
        <v>577</v>
      </c>
      <c r="C91" s="1" t="s">
        <v>576</v>
      </c>
      <c r="D91" s="5" t="str">
        <f t="shared" si="8"/>
        <v>S4151F</v>
      </c>
      <c r="E91" s="6" t="s">
        <v>670</v>
      </c>
      <c r="F91" s="6">
        <f>IF(Table36[[#This Row],[Facility_1]]="-",0,V91)</f>
        <v>400000</v>
      </c>
      <c r="G91" s="5" t="str">
        <f t="shared" si="9"/>
        <v>S4152F</v>
      </c>
      <c r="H91" s="2" t="str">
        <f t="shared" si="10"/>
        <v>TerTal</v>
      </c>
      <c r="I91" s="22">
        <f>IF(Table36[[#This Row],[Facility_2]]="-",0,V91)</f>
        <v>400000</v>
      </c>
      <c r="J91" s="5" t="str">
        <f t="shared" si="11"/>
        <v>S4153F</v>
      </c>
      <c r="L91" s="36">
        <f>IF(Table36[[#This Row],[Facility_1]]="-",0,AB91)</f>
        <v>0</v>
      </c>
      <c r="V91" s="1">
        <v>400000</v>
      </c>
    </row>
    <row r="92" spans="1:22" x14ac:dyDescent="0.25">
      <c r="A92" s="1" t="s">
        <v>458</v>
      </c>
      <c r="B92" s="1" t="s">
        <v>579</v>
      </c>
      <c r="C92" s="1" t="s">
        <v>578</v>
      </c>
      <c r="D92" s="5" t="str">
        <f t="shared" si="8"/>
        <v>S4161F</v>
      </c>
      <c r="E92" s="6" t="s">
        <v>670</v>
      </c>
      <c r="F92" s="6">
        <f>IF(Table36[[#This Row],[Facility_1]]="-",0,V92)</f>
        <v>200000</v>
      </c>
      <c r="G92" s="5" t="str">
        <f t="shared" si="9"/>
        <v>S4162F</v>
      </c>
      <c r="H92" s="2" t="str">
        <f t="shared" si="10"/>
        <v>TerTal</v>
      </c>
      <c r="I92" s="22">
        <f>IF(Table36[[#This Row],[Facility_2]]="-",0,V92)</f>
        <v>200000</v>
      </c>
      <c r="J92" s="5" t="str">
        <f t="shared" si="11"/>
        <v>S4163F</v>
      </c>
      <c r="L92" s="36">
        <f>IF(Table36[[#This Row],[Facility_1]]="-",0,AB92)</f>
        <v>0</v>
      </c>
      <c r="V92" s="1">
        <v>200000</v>
      </c>
    </row>
    <row r="93" spans="1:22" x14ac:dyDescent="0.25">
      <c r="A93" s="1" t="s">
        <v>459</v>
      </c>
      <c r="B93" s="1" t="s">
        <v>581</v>
      </c>
      <c r="C93" s="1" t="s">
        <v>580</v>
      </c>
      <c r="D93" s="5" t="str">
        <f t="shared" si="8"/>
        <v>S4171F</v>
      </c>
      <c r="E93" s="6" t="s">
        <v>670</v>
      </c>
      <c r="F93" s="6">
        <f>IF(Table36[[#This Row],[Facility_1]]="-",0,V93)</f>
        <v>40000</v>
      </c>
      <c r="G93" s="5" t="str">
        <f t="shared" si="9"/>
        <v>S4172F</v>
      </c>
      <c r="H93" s="2" t="str">
        <f t="shared" si="10"/>
        <v>TerTal</v>
      </c>
      <c r="I93" s="22">
        <f>IF(Table36[[#This Row],[Facility_2]]="-",0,V93)</f>
        <v>40000</v>
      </c>
      <c r="J93" s="5" t="str">
        <f t="shared" si="11"/>
        <v>S4173F</v>
      </c>
      <c r="L93" s="36">
        <f>IF(Table36[[#This Row],[Facility_1]]="-",0,AB93)</f>
        <v>0</v>
      </c>
      <c r="V93" s="1">
        <v>40000</v>
      </c>
    </row>
    <row r="94" spans="1:22" x14ac:dyDescent="0.25">
      <c r="A94" s="1" t="s">
        <v>460</v>
      </c>
      <c r="B94" s="1" t="s">
        <v>583</v>
      </c>
      <c r="C94" s="1" t="s">
        <v>582</v>
      </c>
      <c r="D94" s="5" t="str">
        <f t="shared" si="8"/>
        <v>S4181F</v>
      </c>
      <c r="E94" s="6" t="s">
        <v>670</v>
      </c>
      <c r="F94" s="6">
        <f>IF(Table36[[#This Row],[Facility_1]]="-",0,V94)</f>
        <v>30000</v>
      </c>
      <c r="G94" s="5" t="str">
        <f t="shared" si="9"/>
        <v>S4182F</v>
      </c>
      <c r="H94" s="2" t="str">
        <f t="shared" si="10"/>
        <v>TerTal</v>
      </c>
      <c r="I94" s="22">
        <f>IF(Table36[[#This Row],[Facility_2]]="-",0,V94)</f>
        <v>30000</v>
      </c>
      <c r="J94" s="5" t="str">
        <f t="shared" si="11"/>
        <v>S4183F</v>
      </c>
      <c r="L94" s="36">
        <f>IF(Table36[[#This Row],[Facility_1]]="-",0,AB94)</f>
        <v>0</v>
      </c>
      <c r="V94" s="1">
        <v>30000</v>
      </c>
    </row>
    <row r="95" spans="1:22" s="30" customFormat="1" x14ac:dyDescent="0.25">
      <c r="A95" s="30" t="s">
        <v>461</v>
      </c>
      <c r="B95" s="30" t="s">
        <v>585</v>
      </c>
      <c r="C95" s="30" t="s">
        <v>584</v>
      </c>
      <c r="D95" s="31" t="str">
        <f t="shared" si="8"/>
        <v>S4191F</v>
      </c>
      <c r="E95" s="32" t="s">
        <v>777</v>
      </c>
      <c r="F95" s="32">
        <f>IF(Table36[[#This Row],[Facility_1]]="-",0,V95)</f>
        <v>14000</v>
      </c>
      <c r="G95" s="31" t="str">
        <f t="shared" si="9"/>
        <v>S4192F</v>
      </c>
      <c r="H95" s="30" t="str">
        <f t="shared" si="10"/>
        <v/>
      </c>
      <c r="I95" s="33">
        <f>IF(Table36[[#This Row],[Facility_2]]="-",0,V95)</f>
        <v>14000</v>
      </c>
      <c r="J95" s="5" t="str">
        <f t="shared" si="11"/>
        <v>S4193F</v>
      </c>
      <c r="K95" s="32"/>
      <c r="L95" s="37">
        <f>IF(Table36[[#This Row],[Facility_1]]="-",0,AB95)</f>
        <v>0</v>
      </c>
      <c r="M95" s="31"/>
      <c r="N95" s="32"/>
      <c r="O95" s="34"/>
      <c r="P95" s="31"/>
      <c r="Q95" s="32"/>
      <c r="R95" s="34"/>
      <c r="V95" s="30">
        <v>14000</v>
      </c>
    </row>
    <row r="96" spans="1:22" x14ac:dyDescent="0.25">
      <c r="A96" s="1" t="s">
        <v>462</v>
      </c>
      <c r="B96" s="1" t="s">
        <v>587</v>
      </c>
      <c r="C96" s="1" t="s">
        <v>586</v>
      </c>
      <c r="D96" s="5" t="str">
        <f t="shared" si="8"/>
        <v>S4201F</v>
      </c>
      <c r="E96" s="6" t="s">
        <v>670</v>
      </c>
      <c r="F96" s="6">
        <f>IF(Table36[[#This Row],[Facility_1]]="-",0,V96)</f>
        <v>125000</v>
      </c>
      <c r="G96" s="5" t="str">
        <f t="shared" si="9"/>
        <v>S4202F</v>
      </c>
      <c r="H96" s="2" t="str">
        <f t="shared" si="10"/>
        <v>TerTal</v>
      </c>
      <c r="I96" s="22">
        <f>IF(Table36[[#This Row],[Facility_2]]="-",0,V96)</f>
        <v>125000</v>
      </c>
      <c r="J96" s="5" t="str">
        <f t="shared" si="11"/>
        <v>S4203F</v>
      </c>
      <c r="L96" s="36">
        <f>IF(Table36[[#This Row],[Facility_1]]="-",0,AB96)</f>
        <v>0</v>
      </c>
      <c r="V96" s="1">
        <v>125000</v>
      </c>
    </row>
    <row r="97" spans="1:22" x14ac:dyDescent="0.25">
      <c r="A97" s="1" t="s">
        <v>463</v>
      </c>
      <c r="B97" s="1" t="s">
        <v>589</v>
      </c>
      <c r="C97" s="1" t="s">
        <v>588</v>
      </c>
      <c r="D97" s="5" t="str">
        <f t="shared" si="8"/>
        <v>S4211F</v>
      </c>
      <c r="E97" s="6" t="s">
        <v>670</v>
      </c>
      <c r="F97" s="6">
        <f>IF(Table36[[#This Row],[Facility_1]]="-",0,V97)</f>
        <v>30000</v>
      </c>
      <c r="G97" s="5" t="str">
        <f t="shared" si="9"/>
        <v>S4212F</v>
      </c>
      <c r="H97" s="2" t="str">
        <f t="shared" si="10"/>
        <v>TerTal</v>
      </c>
      <c r="I97" s="22">
        <f>IF(Table36[[#This Row],[Facility_2]]="-",0,V97)</f>
        <v>30000</v>
      </c>
      <c r="J97" s="5" t="str">
        <f t="shared" si="11"/>
        <v>S4213F</v>
      </c>
      <c r="L97" s="36">
        <f>IF(Table36[[#This Row],[Facility_1]]="-",0,AB97)</f>
        <v>0</v>
      </c>
      <c r="V97" s="1">
        <v>30000</v>
      </c>
    </row>
    <row r="98" spans="1:22" x14ac:dyDescent="0.25">
      <c r="A98" s="1" t="s">
        <v>464</v>
      </c>
      <c r="B98" s="1" t="s">
        <v>591</v>
      </c>
      <c r="C98" s="1" t="s">
        <v>590</v>
      </c>
      <c r="D98" s="5" t="str">
        <f t="shared" ref="D98:D129" si="12">IF(V98&gt;$W$2,$A98&amp;RIGHT(D$1,1)&amp;"F","-")</f>
        <v>S4221F</v>
      </c>
      <c r="E98" s="6" t="s">
        <v>670</v>
      </c>
      <c r="F98" s="6">
        <f>IF(Table36[[#This Row],[Facility_1]]="-",0,V98)</f>
        <v>335000</v>
      </c>
      <c r="G98" s="5" t="str">
        <f t="shared" ref="G98:G129" si="13">IF(V98&gt;$W$2,$A98&amp;RIGHT(G$1,1)&amp;"F","-")</f>
        <v>S4222F</v>
      </c>
      <c r="H98" s="2" t="str">
        <f t="shared" ref="H98:H129" si="14">IF(E98="sawmal","TerTal",IF(E98="sawmpi","TerTpi",IF(E98="sawmsp","TerTsp","")))</f>
        <v>TerTal</v>
      </c>
      <c r="I98" s="22">
        <f>IF(Table36[[#This Row],[Facility_2]]="-",0,V98)</f>
        <v>335000</v>
      </c>
      <c r="J98" s="5" t="str">
        <f t="shared" ref="J98:J129" si="15">$A98&amp;RIGHT(J$1,1)&amp;"F"</f>
        <v>S4223F</v>
      </c>
      <c r="L98" s="36">
        <f>IF(Table36[[#This Row],[Facility_1]]="-",0,AB98)</f>
        <v>0</v>
      </c>
      <c r="V98" s="1">
        <v>335000</v>
      </c>
    </row>
    <row r="99" spans="1:22" x14ac:dyDescent="0.25">
      <c r="A99" s="1" t="s">
        <v>465</v>
      </c>
      <c r="B99" s="1" t="s">
        <v>593</v>
      </c>
      <c r="C99" s="1" t="s">
        <v>592</v>
      </c>
      <c r="D99" s="5" t="str">
        <f t="shared" si="12"/>
        <v>S4231F</v>
      </c>
      <c r="E99" s="6" t="s">
        <v>670</v>
      </c>
      <c r="F99" s="6">
        <f>IF(Table36[[#This Row],[Facility_1]]="-",0,V99)</f>
        <v>150000</v>
      </c>
      <c r="G99" s="5" t="str">
        <f t="shared" si="13"/>
        <v>S4232F</v>
      </c>
      <c r="H99" s="2" t="str">
        <f t="shared" si="14"/>
        <v>TerTal</v>
      </c>
      <c r="I99" s="22">
        <f>IF(Table36[[#This Row],[Facility_2]]="-",0,V99)</f>
        <v>150000</v>
      </c>
      <c r="J99" s="5" t="str">
        <f t="shared" si="15"/>
        <v>S4233F</v>
      </c>
      <c r="L99" s="36">
        <f>IF(Table36[[#This Row],[Facility_1]]="-",0,AB99)</f>
        <v>0</v>
      </c>
      <c r="V99" s="1">
        <v>150000</v>
      </c>
    </row>
    <row r="100" spans="1:22" x14ac:dyDescent="0.25">
      <c r="A100" s="1" t="s">
        <v>466</v>
      </c>
      <c r="B100" s="1" t="s">
        <v>595</v>
      </c>
      <c r="C100" s="1" t="s">
        <v>594</v>
      </c>
      <c r="D100" s="5" t="str">
        <f t="shared" si="12"/>
        <v>S4241F</v>
      </c>
      <c r="E100" s="6" t="s">
        <v>670</v>
      </c>
      <c r="F100" s="6">
        <f>IF(Table36[[#This Row],[Facility_1]]="-",0,V100)</f>
        <v>25000</v>
      </c>
      <c r="G100" s="5" t="str">
        <f t="shared" si="13"/>
        <v>S4242F</v>
      </c>
      <c r="H100" s="2" t="str">
        <f t="shared" si="14"/>
        <v>TerTal</v>
      </c>
      <c r="I100" s="22">
        <f>IF(Table36[[#This Row],[Facility_2]]="-",0,V100)</f>
        <v>25000</v>
      </c>
      <c r="J100" s="5" t="str">
        <f t="shared" si="15"/>
        <v>S4243F</v>
      </c>
      <c r="L100" s="36">
        <f>IF(Table36[[#This Row],[Facility_1]]="-",0,AB100)</f>
        <v>0</v>
      </c>
      <c r="V100" s="1">
        <v>25000</v>
      </c>
    </row>
    <row r="101" spans="1:22" x14ac:dyDescent="0.25">
      <c r="A101" s="1" t="s">
        <v>467</v>
      </c>
      <c r="B101" s="1" t="s">
        <v>597</v>
      </c>
      <c r="C101" s="1" t="s">
        <v>596</v>
      </c>
      <c r="D101" s="5" t="str">
        <f t="shared" si="12"/>
        <v>S4251F</v>
      </c>
      <c r="E101" s="6" t="s">
        <v>670</v>
      </c>
      <c r="F101" s="6">
        <f>IF(Table36[[#This Row],[Facility_1]]="-",0,V101)</f>
        <v>100000</v>
      </c>
      <c r="G101" s="5" t="str">
        <f t="shared" si="13"/>
        <v>S4252F</v>
      </c>
      <c r="H101" s="2" t="str">
        <f t="shared" si="14"/>
        <v>TerTal</v>
      </c>
      <c r="I101" s="22">
        <f>IF(Table36[[#This Row],[Facility_2]]="-",0,V101)</f>
        <v>100000</v>
      </c>
      <c r="J101" s="5" t="str">
        <f t="shared" si="15"/>
        <v>S4253F</v>
      </c>
      <c r="L101" s="36">
        <f>IF(Table36[[#This Row],[Facility_1]]="-",0,AB101)</f>
        <v>0</v>
      </c>
      <c r="V101" s="1">
        <v>100000</v>
      </c>
    </row>
    <row r="102" spans="1:22" x14ac:dyDescent="0.25">
      <c r="A102" s="1" t="s">
        <v>468</v>
      </c>
      <c r="B102" s="1" t="s">
        <v>599</v>
      </c>
      <c r="C102" s="1" t="s">
        <v>598</v>
      </c>
      <c r="D102" s="5" t="str">
        <f t="shared" si="12"/>
        <v>S4261F</v>
      </c>
      <c r="E102" s="6" t="s">
        <v>670</v>
      </c>
      <c r="F102" s="6">
        <f>IF(Table36[[#This Row],[Facility_1]]="-",0,V102)</f>
        <v>320000</v>
      </c>
      <c r="G102" s="5" t="str">
        <f t="shared" si="13"/>
        <v>S4262F</v>
      </c>
      <c r="H102" s="2" t="str">
        <f t="shared" si="14"/>
        <v>TerTal</v>
      </c>
      <c r="I102" s="22">
        <f>IF(Table36[[#This Row],[Facility_2]]="-",0,V102)</f>
        <v>320000</v>
      </c>
      <c r="J102" s="5" t="str">
        <f t="shared" si="15"/>
        <v>S4263F</v>
      </c>
      <c r="L102" s="36">
        <f>IF(Table36[[#This Row],[Facility_1]]="-",0,AB102)</f>
        <v>0</v>
      </c>
      <c r="V102" s="1">
        <v>320000</v>
      </c>
    </row>
    <row r="103" spans="1:22" x14ac:dyDescent="0.25">
      <c r="A103" s="1" t="s">
        <v>469</v>
      </c>
      <c r="B103" s="1" t="s">
        <v>601</v>
      </c>
      <c r="C103" s="1" t="s">
        <v>600</v>
      </c>
      <c r="D103" s="5" t="str">
        <f t="shared" si="12"/>
        <v>S4271F</v>
      </c>
      <c r="E103" s="6" t="s">
        <v>670</v>
      </c>
      <c r="F103" s="6">
        <f>IF(Table36[[#This Row],[Facility_1]]="-",0,V103)</f>
        <v>70000</v>
      </c>
      <c r="G103" s="5" t="str">
        <f t="shared" si="13"/>
        <v>S4272F</v>
      </c>
      <c r="H103" s="2" t="str">
        <f t="shared" si="14"/>
        <v>TerTal</v>
      </c>
      <c r="I103" s="22">
        <f>IF(Table36[[#This Row],[Facility_2]]="-",0,V103)</f>
        <v>70000</v>
      </c>
      <c r="J103" s="5" t="str">
        <f t="shared" si="15"/>
        <v>S4273F</v>
      </c>
      <c r="L103" s="36">
        <f>IF(Table36[[#This Row],[Facility_1]]="-",0,AB103)</f>
        <v>0</v>
      </c>
      <c r="V103" s="1">
        <v>70000</v>
      </c>
    </row>
    <row r="104" spans="1:22" x14ac:dyDescent="0.25">
      <c r="A104" s="1" t="s">
        <v>470</v>
      </c>
      <c r="B104" s="1" t="s">
        <v>603</v>
      </c>
      <c r="C104" s="1" t="s">
        <v>602</v>
      </c>
      <c r="D104" s="5" t="str">
        <f t="shared" si="12"/>
        <v>S4281F</v>
      </c>
      <c r="E104" s="6" t="s">
        <v>670</v>
      </c>
      <c r="F104" s="6">
        <f>IF(Table36[[#This Row],[Facility_1]]="-",0,V104)</f>
        <v>70000</v>
      </c>
      <c r="G104" s="5" t="str">
        <f t="shared" si="13"/>
        <v>S4282F</v>
      </c>
      <c r="H104" s="2" t="str">
        <f t="shared" si="14"/>
        <v>TerTal</v>
      </c>
      <c r="I104" s="22">
        <f>IF(Table36[[#This Row],[Facility_2]]="-",0,V104)</f>
        <v>70000</v>
      </c>
      <c r="J104" s="5" t="str">
        <f t="shared" si="15"/>
        <v>S4283F</v>
      </c>
      <c r="L104" s="36">
        <f>IF(Table36[[#This Row],[Facility_1]]="-",0,AB104)</f>
        <v>0</v>
      </c>
      <c r="V104" s="1">
        <v>70000</v>
      </c>
    </row>
    <row r="105" spans="1:22" x14ac:dyDescent="0.25">
      <c r="A105" s="1" t="s">
        <v>471</v>
      </c>
      <c r="B105" s="1" t="s">
        <v>605</v>
      </c>
      <c r="C105" s="1" t="s">
        <v>604</v>
      </c>
      <c r="D105" s="5" t="str">
        <f t="shared" si="12"/>
        <v>S4291F</v>
      </c>
      <c r="E105" s="6" t="s">
        <v>670</v>
      </c>
      <c r="F105" s="6">
        <f>IF(Table36[[#This Row],[Facility_1]]="-",0,V105)</f>
        <v>40000</v>
      </c>
      <c r="G105" s="5" t="str">
        <f t="shared" si="13"/>
        <v>S4292F</v>
      </c>
      <c r="H105" s="2" t="str">
        <f t="shared" si="14"/>
        <v>TerTal</v>
      </c>
      <c r="I105" s="22">
        <f>IF(Table36[[#This Row],[Facility_2]]="-",0,V105)</f>
        <v>40000</v>
      </c>
      <c r="J105" s="5" t="str">
        <f t="shared" si="15"/>
        <v>S4293F</v>
      </c>
      <c r="L105" s="36">
        <f>IF(Table36[[#This Row],[Facility_1]]="-",0,AB105)</f>
        <v>0</v>
      </c>
      <c r="V105" s="1">
        <v>40000</v>
      </c>
    </row>
    <row r="106" spans="1:22" x14ac:dyDescent="0.25">
      <c r="A106" s="1" t="s">
        <v>472</v>
      </c>
      <c r="B106" s="1" t="s">
        <v>607</v>
      </c>
      <c r="C106" s="1" t="s">
        <v>606</v>
      </c>
      <c r="D106" s="5" t="str">
        <f t="shared" si="12"/>
        <v>S4301F</v>
      </c>
      <c r="E106" s="6" t="s">
        <v>670</v>
      </c>
      <c r="F106" s="6">
        <f>IF(Table36[[#This Row],[Facility_1]]="-",0,V106)</f>
        <v>175000</v>
      </c>
      <c r="G106" s="5" t="str">
        <f t="shared" si="13"/>
        <v>S4302F</v>
      </c>
      <c r="H106" s="2" t="str">
        <f t="shared" si="14"/>
        <v>TerTal</v>
      </c>
      <c r="I106" s="22">
        <f>IF(Table36[[#This Row],[Facility_2]]="-",0,V106)</f>
        <v>175000</v>
      </c>
      <c r="J106" s="5" t="str">
        <f t="shared" si="15"/>
        <v>S4303F</v>
      </c>
      <c r="L106" s="36">
        <f>IF(Table36[[#This Row],[Facility_1]]="-",0,AB106)</f>
        <v>0</v>
      </c>
      <c r="V106" s="1">
        <v>175000</v>
      </c>
    </row>
    <row r="107" spans="1:22" x14ac:dyDescent="0.25">
      <c r="A107" s="1" t="s">
        <v>473</v>
      </c>
      <c r="B107" s="1" t="s">
        <v>609</v>
      </c>
      <c r="C107" s="1" t="s">
        <v>608</v>
      </c>
      <c r="D107" s="5" t="str">
        <f t="shared" si="12"/>
        <v>S4311F</v>
      </c>
      <c r="E107" s="6" t="s">
        <v>670</v>
      </c>
      <c r="F107" s="6">
        <f>IF(Table36[[#This Row],[Facility_1]]="-",0,V107)</f>
        <v>5000</v>
      </c>
      <c r="G107" s="5" t="str">
        <f t="shared" si="13"/>
        <v>S4312F</v>
      </c>
      <c r="H107" s="2" t="str">
        <f t="shared" si="14"/>
        <v>TerTal</v>
      </c>
      <c r="I107" s="22">
        <f>IF(Table36[[#This Row],[Facility_2]]="-",0,V107)</f>
        <v>5000</v>
      </c>
      <c r="J107" s="5" t="str">
        <f t="shared" si="15"/>
        <v>S4313F</v>
      </c>
      <c r="L107" s="36">
        <f>IF(Table36[[#This Row],[Facility_1]]="-",0,AB107)</f>
        <v>0</v>
      </c>
      <c r="V107" s="1">
        <v>5000</v>
      </c>
    </row>
    <row r="108" spans="1:22" x14ac:dyDescent="0.25">
      <c r="A108" s="1" t="s">
        <v>474</v>
      </c>
      <c r="B108" s="1" t="s">
        <v>611</v>
      </c>
      <c r="C108" s="1" t="s">
        <v>610</v>
      </c>
      <c r="D108" s="5" t="str">
        <f t="shared" si="12"/>
        <v>S4321F</v>
      </c>
      <c r="E108" s="6" t="s">
        <v>670</v>
      </c>
      <c r="F108" s="6">
        <f>IF(Table36[[#This Row],[Facility_1]]="-",0,V108)</f>
        <v>20000</v>
      </c>
      <c r="G108" s="5" t="str">
        <f t="shared" si="13"/>
        <v>S4322F</v>
      </c>
      <c r="H108" s="2" t="str">
        <f t="shared" si="14"/>
        <v>TerTal</v>
      </c>
      <c r="I108" s="22">
        <f>IF(Table36[[#This Row],[Facility_2]]="-",0,V108)</f>
        <v>20000</v>
      </c>
      <c r="J108" s="5" t="str">
        <f t="shared" si="15"/>
        <v>S4323F</v>
      </c>
      <c r="L108" s="36">
        <f>IF(Table36[[#This Row],[Facility_1]]="-",0,AB108)</f>
        <v>0</v>
      </c>
      <c r="V108" s="1">
        <v>20000</v>
      </c>
    </row>
    <row r="109" spans="1:22" s="30" customFormat="1" x14ac:dyDescent="0.25">
      <c r="A109" s="30" t="s">
        <v>475</v>
      </c>
      <c r="B109" s="30" t="s">
        <v>613</v>
      </c>
      <c r="C109" s="30" t="s">
        <v>612</v>
      </c>
      <c r="D109" s="31" t="str">
        <f t="shared" si="12"/>
        <v>S4331F</v>
      </c>
      <c r="E109" s="32" t="s">
        <v>777</v>
      </c>
      <c r="F109" s="32">
        <f>IF(Table36[[#This Row],[Facility_1]]="-",0,V109)</f>
        <v>100</v>
      </c>
      <c r="G109" s="31" t="str">
        <f t="shared" si="13"/>
        <v>S4332F</v>
      </c>
      <c r="H109" s="30" t="str">
        <f t="shared" si="14"/>
        <v/>
      </c>
      <c r="I109" s="33">
        <f>IF(Table36[[#This Row],[Facility_2]]="-",0,V109)</f>
        <v>100</v>
      </c>
      <c r="J109" s="5" t="str">
        <f t="shared" si="15"/>
        <v>S4333F</v>
      </c>
      <c r="K109" s="32"/>
      <c r="L109" s="37">
        <f>IF(Table36[[#This Row],[Facility_1]]="-",0,AB109)</f>
        <v>0</v>
      </c>
      <c r="M109" s="31"/>
      <c r="N109" s="32"/>
      <c r="O109" s="34"/>
      <c r="P109" s="31"/>
      <c r="Q109" s="32"/>
      <c r="R109" s="34"/>
      <c r="V109" s="30">
        <v>100</v>
      </c>
    </row>
    <row r="110" spans="1:22" x14ac:dyDescent="0.25">
      <c r="A110" s="1" t="s">
        <v>476</v>
      </c>
      <c r="B110" s="1" t="s">
        <v>615</v>
      </c>
      <c r="C110" s="1" t="s">
        <v>614</v>
      </c>
      <c r="D110" s="5" t="str">
        <f t="shared" si="12"/>
        <v>S4341F</v>
      </c>
      <c r="E110" s="6" t="s">
        <v>670</v>
      </c>
      <c r="F110" s="6">
        <f>IF(Table36[[#This Row],[Facility_1]]="-",0,V110)</f>
        <v>50000</v>
      </c>
      <c r="G110" s="5" t="str">
        <f t="shared" si="13"/>
        <v>S4342F</v>
      </c>
      <c r="H110" s="2" t="str">
        <f t="shared" si="14"/>
        <v>TerTal</v>
      </c>
      <c r="I110" s="22">
        <f>IF(Table36[[#This Row],[Facility_2]]="-",0,V110)</f>
        <v>50000</v>
      </c>
      <c r="J110" s="5" t="str">
        <f t="shared" si="15"/>
        <v>S4343F</v>
      </c>
      <c r="L110" s="36">
        <f>IF(Table36[[#This Row],[Facility_1]]="-",0,AB110)</f>
        <v>0</v>
      </c>
      <c r="V110" s="1">
        <v>50000</v>
      </c>
    </row>
    <row r="111" spans="1:22" x14ac:dyDescent="0.25">
      <c r="A111" s="1" t="s">
        <v>477</v>
      </c>
      <c r="B111" s="1" t="s">
        <v>617</v>
      </c>
      <c r="C111" s="1" t="s">
        <v>616</v>
      </c>
      <c r="D111" s="5" t="str">
        <f t="shared" si="12"/>
        <v>S4351F</v>
      </c>
      <c r="E111" s="6" t="s">
        <v>670</v>
      </c>
      <c r="F111" s="6">
        <f>IF(Table36[[#This Row],[Facility_1]]="-",0,V111)</f>
        <v>20000</v>
      </c>
      <c r="G111" s="5" t="str">
        <f t="shared" si="13"/>
        <v>S4352F</v>
      </c>
      <c r="H111" s="2" t="str">
        <f t="shared" si="14"/>
        <v>TerTal</v>
      </c>
      <c r="I111" s="22">
        <f>IF(Table36[[#This Row],[Facility_2]]="-",0,V111)</f>
        <v>20000</v>
      </c>
      <c r="J111" s="5" t="str">
        <f t="shared" si="15"/>
        <v>S4353F</v>
      </c>
      <c r="L111" s="36">
        <f>IF(Table36[[#This Row],[Facility_1]]="-",0,AB111)</f>
        <v>0</v>
      </c>
      <c r="V111" s="1">
        <v>20000</v>
      </c>
    </row>
    <row r="112" spans="1:22" x14ac:dyDescent="0.25">
      <c r="A112" s="1" t="s">
        <v>478</v>
      </c>
      <c r="B112" s="1" t="s">
        <v>619</v>
      </c>
      <c r="C112" s="1" t="s">
        <v>618</v>
      </c>
      <c r="D112" s="5" t="str">
        <f t="shared" si="12"/>
        <v>S4361F</v>
      </c>
      <c r="E112" s="6" t="s">
        <v>670</v>
      </c>
      <c r="F112" s="6">
        <f>IF(Table36[[#This Row],[Facility_1]]="-",0,V112)</f>
        <v>115000</v>
      </c>
      <c r="G112" s="5" t="str">
        <f t="shared" si="13"/>
        <v>S4362F</v>
      </c>
      <c r="H112" s="2" t="str">
        <f t="shared" si="14"/>
        <v>TerTal</v>
      </c>
      <c r="I112" s="22">
        <f>IF(Table36[[#This Row],[Facility_2]]="-",0,V112)</f>
        <v>115000</v>
      </c>
      <c r="J112" s="5" t="str">
        <f t="shared" si="15"/>
        <v>S4363F</v>
      </c>
      <c r="L112" s="36">
        <f>IF(Table36[[#This Row],[Facility_1]]="-",0,AB112)</f>
        <v>0</v>
      </c>
      <c r="V112" s="1">
        <v>115000</v>
      </c>
    </row>
    <row r="113" spans="1:22" x14ac:dyDescent="0.25">
      <c r="A113" s="1" t="s">
        <v>479</v>
      </c>
      <c r="B113" s="1" t="s">
        <v>621</v>
      </c>
      <c r="C113" s="1" t="s">
        <v>620</v>
      </c>
      <c r="D113" s="5" t="str">
        <f t="shared" si="12"/>
        <v>S4371F</v>
      </c>
      <c r="E113" s="6" t="s">
        <v>670</v>
      </c>
      <c r="F113" s="6">
        <f>IF(Table36[[#This Row],[Facility_1]]="-",0,V113)</f>
        <v>220000</v>
      </c>
      <c r="G113" s="5" t="str">
        <f t="shared" si="13"/>
        <v>S4372F</v>
      </c>
      <c r="H113" s="2" t="str">
        <f t="shared" si="14"/>
        <v>TerTal</v>
      </c>
      <c r="I113" s="22">
        <f>IF(Table36[[#This Row],[Facility_2]]="-",0,V113)</f>
        <v>220000</v>
      </c>
      <c r="J113" s="5" t="str">
        <f t="shared" si="15"/>
        <v>S4373F</v>
      </c>
      <c r="L113" s="36">
        <f>IF(Table36[[#This Row],[Facility_1]]="-",0,AB113)</f>
        <v>0</v>
      </c>
      <c r="V113" s="1">
        <v>220000</v>
      </c>
    </row>
    <row r="114" spans="1:22" x14ac:dyDescent="0.25">
      <c r="A114" s="1" t="s">
        <v>480</v>
      </c>
      <c r="B114" s="1" t="s">
        <v>623</v>
      </c>
      <c r="C114" s="1" t="s">
        <v>622</v>
      </c>
      <c r="D114" s="5" t="str">
        <f t="shared" si="12"/>
        <v>S4381F</v>
      </c>
      <c r="E114" s="6" t="s">
        <v>670</v>
      </c>
      <c r="F114" s="6">
        <f>IF(Table36[[#This Row],[Facility_1]]="-",0,V114)</f>
        <v>50000</v>
      </c>
      <c r="G114" s="5" t="str">
        <f t="shared" si="13"/>
        <v>S4382F</v>
      </c>
      <c r="H114" s="2" t="str">
        <f t="shared" si="14"/>
        <v>TerTal</v>
      </c>
      <c r="I114" s="22">
        <f>IF(Table36[[#This Row],[Facility_2]]="-",0,V114)</f>
        <v>50000</v>
      </c>
      <c r="J114" s="5" t="str">
        <f t="shared" si="15"/>
        <v>S4383F</v>
      </c>
      <c r="L114" s="36">
        <f>IF(Table36[[#This Row],[Facility_1]]="-",0,AB114)</f>
        <v>0</v>
      </c>
      <c r="V114" s="1">
        <v>50000</v>
      </c>
    </row>
    <row r="115" spans="1:22" x14ac:dyDescent="0.25">
      <c r="A115" s="1" t="s">
        <v>481</v>
      </c>
      <c r="B115" s="1" t="s">
        <v>625</v>
      </c>
      <c r="C115" s="1" t="s">
        <v>624</v>
      </c>
      <c r="D115" s="5" t="str">
        <f t="shared" si="12"/>
        <v>S4391F</v>
      </c>
      <c r="E115" s="6" t="s">
        <v>670</v>
      </c>
      <c r="F115" s="6">
        <f>IF(Table36[[#This Row],[Facility_1]]="-",0,V115)</f>
        <v>35000</v>
      </c>
      <c r="G115" s="5" t="str">
        <f t="shared" si="13"/>
        <v>S4392F</v>
      </c>
      <c r="H115" s="2" t="str">
        <f t="shared" si="14"/>
        <v>TerTal</v>
      </c>
      <c r="I115" s="22">
        <f>IF(Table36[[#This Row],[Facility_2]]="-",0,V115)</f>
        <v>35000</v>
      </c>
      <c r="J115" s="5" t="str">
        <f t="shared" si="15"/>
        <v>S4393F</v>
      </c>
      <c r="L115" s="36">
        <f>IF(Table36[[#This Row],[Facility_1]]="-",0,AB115)</f>
        <v>0</v>
      </c>
      <c r="V115" s="1">
        <v>35000</v>
      </c>
    </row>
    <row r="116" spans="1:22" x14ac:dyDescent="0.25">
      <c r="A116" s="1" t="s">
        <v>482</v>
      </c>
      <c r="B116" s="1" t="s">
        <v>627</v>
      </c>
      <c r="C116" s="1" t="s">
        <v>626</v>
      </c>
      <c r="D116" s="5" t="str">
        <f t="shared" si="12"/>
        <v>S4401F</v>
      </c>
      <c r="E116" s="6" t="s">
        <v>670</v>
      </c>
      <c r="F116" s="6">
        <f>IF(Table36[[#This Row],[Facility_1]]="-",0,V116)</f>
        <v>80000</v>
      </c>
      <c r="G116" s="5" t="str">
        <f t="shared" si="13"/>
        <v>S4402F</v>
      </c>
      <c r="H116" s="2" t="str">
        <f t="shared" si="14"/>
        <v>TerTal</v>
      </c>
      <c r="I116" s="22">
        <f>IF(Table36[[#This Row],[Facility_2]]="-",0,V116)</f>
        <v>80000</v>
      </c>
      <c r="J116" s="5" t="str">
        <f t="shared" si="15"/>
        <v>S4403F</v>
      </c>
      <c r="L116" s="36">
        <f>IF(Table36[[#This Row],[Facility_1]]="-",0,AB116)</f>
        <v>0</v>
      </c>
      <c r="V116" s="1">
        <v>80000</v>
      </c>
    </row>
    <row r="117" spans="1:22" x14ac:dyDescent="0.25">
      <c r="A117" s="1" t="s">
        <v>483</v>
      </c>
      <c r="B117" s="1" t="s">
        <v>629</v>
      </c>
      <c r="C117" s="1" t="s">
        <v>628</v>
      </c>
      <c r="D117" s="5" t="str">
        <f t="shared" si="12"/>
        <v>S4411F</v>
      </c>
      <c r="E117" s="6" t="s">
        <v>670</v>
      </c>
      <c r="F117" s="6">
        <f>IF(Table36[[#This Row],[Facility_1]]="-",0,V117)</f>
        <v>35000</v>
      </c>
      <c r="G117" s="5" t="str">
        <f t="shared" si="13"/>
        <v>S4412F</v>
      </c>
      <c r="H117" s="2" t="str">
        <f t="shared" si="14"/>
        <v>TerTal</v>
      </c>
      <c r="I117" s="22">
        <f>IF(Table36[[#This Row],[Facility_2]]="-",0,V117)</f>
        <v>35000</v>
      </c>
      <c r="J117" s="5" t="str">
        <f t="shared" si="15"/>
        <v>S4413F</v>
      </c>
      <c r="L117" s="36">
        <f>IF(Table36[[#This Row],[Facility_1]]="-",0,AB117)</f>
        <v>0</v>
      </c>
      <c r="V117" s="1">
        <v>35000</v>
      </c>
    </row>
    <row r="118" spans="1:22" x14ac:dyDescent="0.25">
      <c r="A118" s="1" t="s">
        <v>484</v>
      </c>
      <c r="B118" s="1" t="s">
        <v>631</v>
      </c>
      <c r="C118" s="1" t="s">
        <v>630</v>
      </c>
      <c r="D118" s="5" t="str">
        <f t="shared" si="12"/>
        <v>S4421F</v>
      </c>
      <c r="E118" s="6" t="s">
        <v>670</v>
      </c>
      <c r="F118" s="6">
        <f>IF(Table36[[#This Row],[Facility_1]]="-",0,V118)</f>
        <v>40000</v>
      </c>
      <c r="G118" s="5" t="str">
        <f t="shared" si="13"/>
        <v>S4422F</v>
      </c>
      <c r="H118" s="2" t="str">
        <f t="shared" si="14"/>
        <v>TerTal</v>
      </c>
      <c r="I118" s="22">
        <f>IF(Table36[[#This Row],[Facility_2]]="-",0,V118)</f>
        <v>40000</v>
      </c>
      <c r="J118" s="5" t="str">
        <f t="shared" si="15"/>
        <v>S4423F</v>
      </c>
      <c r="L118" s="36">
        <f>IF(Table36[[#This Row],[Facility_1]]="-",0,AB118)</f>
        <v>0</v>
      </c>
      <c r="V118" s="1">
        <v>40000</v>
      </c>
    </row>
    <row r="119" spans="1:22" x14ac:dyDescent="0.25">
      <c r="A119" s="1" t="s">
        <v>485</v>
      </c>
      <c r="B119" s="1" t="s">
        <v>633</v>
      </c>
      <c r="C119" s="1" t="s">
        <v>632</v>
      </c>
      <c r="D119" s="5" t="str">
        <f t="shared" si="12"/>
        <v>S4431F</v>
      </c>
      <c r="E119" s="6" t="s">
        <v>670</v>
      </c>
      <c r="F119" s="6">
        <f>IF(Table36[[#This Row],[Facility_1]]="-",0,V119)</f>
        <v>30000</v>
      </c>
      <c r="G119" s="5" t="str">
        <f t="shared" si="13"/>
        <v>S4432F</v>
      </c>
      <c r="H119" s="2" t="str">
        <f t="shared" si="14"/>
        <v>TerTal</v>
      </c>
      <c r="I119" s="22">
        <f>IF(Table36[[#This Row],[Facility_2]]="-",0,V119)</f>
        <v>30000</v>
      </c>
      <c r="J119" s="5" t="str">
        <f t="shared" si="15"/>
        <v>S4433F</v>
      </c>
      <c r="L119" s="36">
        <f>IF(Table36[[#This Row],[Facility_1]]="-",0,AB119)</f>
        <v>0</v>
      </c>
      <c r="V119" s="1">
        <v>30000</v>
      </c>
    </row>
    <row r="120" spans="1:22" x14ac:dyDescent="0.25">
      <c r="A120" s="1" t="s">
        <v>486</v>
      </c>
      <c r="B120" s="1" t="s">
        <v>635</v>
      </c>
      <c r="C120" s="1" t="s">
        <v>634</v>
      </c>
      <c r="D120" s="5" t="str">
        <f t="shared" si="12"/>
        <v>S4441F</v>
      </c>
      <c r="E120" s="6" t="s">
        <v>670</v>
      </c>
      <c r="F120" s="6">
        <f>IF(Table36[[#This Row],[Facility_1]]="-",0,V120)</f>
        <v>75000</v>
      </c>
      <c r="G120" s="5" t="str">
        <f t="shared" si="13"/>
        <v>S4442F</v>
      </c>
      <c r="H120" s="2" t="str">
        <f t="shared" si="14"/>
        <v>TerTal</v>
      </c>
      <c r="I120" s="22">
        <f>IF(Table36[[#This Row],[Facility_2]]="-",0,V120)</f>
        <v>75000</v>
      </c>
      <c r="J120" s="5" t="str">
        <f t="shared" si="15"/>
        <v>S4443F</v>
      </c>
      <c r="L120" s="36">
        <f>IF(Table36[[#This Row],[Facility_1]]="-",0,AB120)</f>
        <v>0</v>
      </c>
      <c r="V120" s="1">
        <v>75000</v>
      </c>
    </row>
    <row r="121" spans="1:22" x14ac:dyDescent="0.25">
      <c r="A121" s="1" t="s">
        <v>487</v>
      </c>
      <c r="B121" s="1" t="s">
        <v>637</v>
      </c>
      <c r="C121" s="1" t="s">
        <v>636</v>
      </c>
      <c r="D121" s="5" t="str">
        <f t="shared" si="12"/>
        <v>S4451F</v>
      </c>
      <c r="E121" s="6" t="s">
        <v>670</v>
      </c>
      <c r="F121" s="6">
        <f>IF(Table36[[#This Row],[Facility_1]]="-",0,V121)</f>
        <v>75000</v>
      </c>
      <c r="G121" s="5" t="str">
        <f t="shared" si="13"/>
        <v>S4452F</v>
      </c>
      <c r="H121" s="2" t="str">
        <f t="shared" si="14"/>
        <v>TerTal</v>
      </c>
      <c r="I121" s="22">
        <f>IF(Table36[[#This Row],[Facility_2]]="-",0,V121)</f>
        <v>75000</v>
      </c>
      <c r="J121" s="5" t="str">
        <f t="shared" si="15"/>
        <v>S4453F</v>
      </c>
      <c r="L121" s="36">
        <f>IF(Table36[[#This Row],[Facility_1]]="-",0,AB121)</f>
        <v>0</v>
      </c>
      <c r="V121" s="1">
        <v>75000</v>
      </c>
    </row>
    <row r="122" spans="1:22" x14ac:dyDescent="0.25">
      <c r="A122" s="1" t="s">
        <v>488</v>
      </c>
      <c r="B122" s="1" t="s">
        <v>639</v>
      </c>
      <c r="C122" s="1" t="s">
        <v>638</v>
      </c>
      <c r="D122" s="5" t="str">
        <f t="shared" si="12"/>
        <v>S4461F</v>
      </c>
      <c r="E122" s="6" t="s">
        <v>670</v>
      </c>
      <c r="F122" s="6">
        <f>IF(Table36[[#This Row],[Facility_1]]="-",0,V122)</f>
        <v>65000</v>
      </c>
      <c r="G122" s="5" t="str">
        <f t="shared" si="13"/>
        <v>S4462F</v>
      </c>
      <c r="H122" s="2" t="str">
        <f t="shared" si="14"/>
        <v>TerTal</v>
      </c>
      <c r="I122" s="22">
        <f>IF(Table36[[#This Row],[Facility_2]]="-",0,V122)</f>
        <v>65000</v>
      </c>
      <c r="J122" s="5" t="str">
        <f t="shared" si="15"/>
        <v>S4463F</v>
      </c>
      <c r="L122" s="36">
        <f>IF(Table36[[#This Row],[Facility_1]]="-",0,AB122)</f>
        <v>0</v>
      </c>
      <c r="V122" s="1">
        <v>65000</v>
      </c>
    </row>
    <row r="123" spans="1:22" x14ac:dyDescent="0.25">
      <c r="A123" s="1" t="s">
        <v>489</v>
      </c>
      <c r="B123" s="1" t="s">
        <v>641</v>
      </c>
      <c r="C123" s="1" t="s">
        <v>640</v>
      </c>
      <c r="D123" s="5" t="str">
        <f t="shared" si="12"/>
        <v>S4471F</v>
      </c>
      <c r="E123" s="6" t="s">
        <v>670</v>
      </c>
      <c r="F123" s="6">
        <f>IF(Table36[[#This Row],[Facility_1]]="-",0,V123)</f>
        <v>80000</v>
      </c>
      <c r="G123" s="5" t="str">
        <f t="shared" si="13"/>
        <v>S4472F</v>
      </c>
      <c r="H123" s="2" t="str">
        <f t="shared" si="14"/>
        <v>TerTal</v>
      </c>
      <c r="I123" s="22">
        <f>IF(Table36[[#This Row],[Facility_2]]="-",0,V123)</f>
        <v>80000</v>
      </c>
      <c r="J123" s="5" t="str">
        <f t="shared" si="15"/>
        <v>S4473F</v>
      </c>
      <c r="L123" s="36">
        <f>IF(Table36[[#This Row],[Facility_1]]="-",0,AB123)</f>
        <v>0</v>
      </c>
      <c r="V123" s="1">
        <v>80000</v>
      </c>
    </row>
    <row r="124" spans="1:22" x14ac:dyDescent="0.25">
      <c r="A124" s="1" t="s">
        <v>490</v>
      </c>
      <c r="B124" s="1" t="s">
        <v>643</v>
      </c>
      <c r="C124" s="1" t="s">
        <v>642</v>
      </c>
      <c r="D124" s="5" t="str">
        <f t="shared" si="12"/>
        <v>S4481F</v>
      </c>
      <c r="E124" s="6" t="s">
        <v>670</v>
      </c>
      <c r="F124" s="6">
        <f>IF(Table36[[#This Row],[Facility_1]]="-",0,V124)</f>
        <v>100000</v>
      </c>
      <c r="G124" s="5" t="str">
        <f t="shared" si="13"/>
        <v>S4482F</v>
      </c>
      <c r="H124" s="2" t="str">
        <f t="shared" si="14"/>
        <v>TerTal</v>
      </c>
      <c r="I124" s="22">
        <f>IF(Table36[[#This Row],[Facility_2]]="-",0,V124)</f>
        <v>100000</v>
      </c>
      <c r="J124" s="5" t="str">
        <f t="shared" si="15"/>
        <v>S4483F</v>
      </c>
      <c r="L124" s="36">
        <f>IF(Table36[[#This Row],[Facility_1]]="-",0,AB124)</f>
        <v>0</v>
      </c>
      <c r="V124" s="1">
        <v>100000</v>
      </c>
    </row>
    <row r="125" spans="1:22" x14ac:dyDescent="0.25">
      <c r="A125" s="1" t="s">
        <v>491</v>
      </c>
      <c r="B125" s="1" t="s">
        <v>645</v>
      </c>
      <c r="C125" s="1" t="s">
        <v>644</v>
      </c>
      <c r="D125" s="5" t="str">
        <f t="shared" si="12"/>
        <v>S4491F</v>
      </c>
      <c r="E125" s="6" t="s">
        <v>670</v>
      </c>
      <c r="F125" s="6">
        <f>IF(Table36[[#This Row],[Facility_1]]="-",0,V125)</f>
        <v>230000</v>
      </c>
      <c r="G125" s="5" t="str">
        <f t="shared" si="13"/>
        <v>S4492F</v>
      </c>
      <c r="H125" s="2" t="str">
        <f t="shared" si="14"/>
        <v>TerTal</v>
      </c>
      <c r="I125" s="22">
        <f>IF(Table36[[#This Row],[Facility_2]]="-",0,V125)</f>
        <v>230000</v>
      </c>
      <c r="J125" s="5" t="str">
        <f t="shared" si="15"/>
        <v>S4493F</v>
      </c>
      <c r="L125" s="36">
        <f>IF(Table36[[#This Row],[Facility_1]]="-",0,AB125)</f>
        <v>0</v>
      </c>
      <c r="V125" s="1">
        <v>230000</v>
      </c>
    </row>
    <row r="126" spans="1:22" x14ac:dyDescent="0.25">
      <c r="A126" s="1" t="s">
        <v>492</v>
      </c>
      <c r="B126" s="1" t="s">
        <v>647</v>
      </c>
      <c r="C126" s="1" t="s">
        <v>646</v>
      </c>
      <c r="D126" s="5" t="str">
        <f t="shared" si="12"/>
        <v>S4501F</v>
      </c>
      <c r="E126" s="6" t="s">
        <v>670</v>
      </c>
      <c r="F126" s="6">
        <f>IF(Table36[[#This Row],[Facility_1]]="-",0,V126)</f>
        <v>100000</v>
      </c>
      <c r="G126" s="5" t="str">
        <f t="shared" si="13"/>
        <v>S4502F</v>
      </c>
      <c r="H126" s="2" t="str">
        <f t="shared" si="14"/>
        <v>TerTal</v>
      </c>
      <c r="I126" s="22">
        <f>IF(Table36[[#This Row],[Facility_2]]="-",0,V126)</f>
        <v>100000</v>
      </c>
      <c r="J126" s="5" t="str">
        <f t="shared" si="15"/>
        <v>S4503F</v>
      </c>
      <c r="L126" s="36">
        <f>IF(Table36[[#This Row],[Facility_1]]="-",0,AB126)</f>
        <v>0</v>
      </c>
      <c r="V126" s="1">
        <v>100000</v>
      </c>
    </row>
    <row r="127" spans="1:22" x14ac:dyDescent="0.25">
      <c r="A127" s="1" t="s">
        <v>493</v>
      </c>
      <c r="B127" s="1" t="s">
        <v>649</v>
      </c>
      <c r="C127" s="1" t="s">
        <v>648</v>
      </c>
      <c r="D127" s="5" t="str">
        <f t="shared" si="12"/>
        <v>S4511F</v>
      </c>
      <c r="E127" s="6" t="s">
        <v>670</v>
      </c>
      <c r="F127" s="6">
        <f>IF(Table36[[#This Row],[Facility_1]]="-",0,V127)</f>
        <v>180000</v>
      </c>
      <c r="G127" s="5" t="str">
        <f t="shared" si="13"/>
        <v>S4512F</v>
      </c>
      <c r="H127" s="2" t="str">
        <f t="shared" si="14"/>
        <v>TerTal</v>
      </c>
      <c r="I127" s="22">
        <f>IF(Table36[[#This Row],[Facility_2]]="-",0,V127)</f>
        <v>180000</v>
      </c>
      <c r="J127" s="5" t="str">
        <f t="shared" si="15"/>
        <v>S4513F</v>
      </c>
      <c r="L127" s="36">
        <f>IF(Table36[[#This Row],[Facility_1]]="-",0,AB127)</f>
        <v>0</v>
      </c>
      <c r="V127" s="1">
        <v>180000</v>
      </c>
    </row>
    <row r="128" spans="1:22" x14ac:dyDescent="0.25">
      <c r="A128" s="1" t="s">
        <v>494</v>
      </c>
      <c r="B128" s="1" t="s">
        <v>651</v>
      </c>
      <c r="C128" s="1" t="s">
        <v>650</v>
      </c>
      <c r="D128" s="5" t="str">
        <f t="shared" si="12"/>
        <v>S4521F</v>
      </c>
      <c r="E128" s="6" t="s">
        <v>670</v>
      </c>
      <c r="F128" s="6">
        <f>IF(Table36[[#This Row],[Facility_1]]="-",0,V128)</f>
        <v>80000</v>
      </c>
      <c r="G128" s="5" t="str">
        <f t="shared" si="13"/>
        <v>S4522F</v>
      </c>
      <c r="H128" s="2" t="str">
        <f t="shared" si="14"/>
        <v>TerTal</v>
      </c>
      <c r="I128" s="22">
        <f>IF(Table36[[#This Row],[Facility_2]]="-",0,V128)</f>
        <v>80000</v>
      </c>
      <c r="J128" s="5" t="str">
        <f t="shared" si="15"/>
        <v>S4523F</v>
      </c>
      <c r="L128" s="36">
        <f>IF(Table36[[#This Row],[Facility_1]]="-",0,AB128)</f>
        <v>0</v>
      </c>
      <c r="V128" s="1">
        <v>80000</v>
      </c>
    </row>
    <row r="129" spans="1:22" x14ac:dyDescent="0.25">
      <c r="A129" s="1" t="s">
        <v>495</v>
      </c>
      <c r="B129" s="1" t="s">
        <v>653</v>
      </c>
      <c r="C129" s="1" t="s">
        <v>652</v>
      </c>
      <c r="D129" s="5" t="str">
        <f t="shared" si="12"/>
        <v>S4531F</v>
      </c>
      <c r="E129" s="6" t="s">
        <v>670</v>
      </c>
      <c r="F129" s="6">
        <f>IF(Table36[[#This Row],[Facility_1]]="-",0,V129)</f>
        <v>170000</v>
      </c>
      <c r="G129" s="5" t="str">
        <f t="shared" si="13"/>
        <v>S4532F</v>
      </c>
      <c r="H129" s="2" t="str">
        <f t="shared" si="14"/>
        <v>TerTal</v>
      </c>
      <c r="I129" s="22">
        <f>IF(Table36[[#This Row],[Facility_2]]="-",0,V129)</f>
        <v>170000</v>
      </c>
      <c r="J129" s="5" t="str">
        <f t="shared" si="15"/>
        <v>S4533F</v>
      </c>
      <c r="L129" s="36">
        <f>IF(Table36[[#This Row],[Facility_1]]="-",0,AB129)</f>
        <v>0</v>
      </c>
      <c r="V129" s="1">
        <v>170000</v>
      </c>
    </row>
    <row r="130" spans="1:22" x14ac:dyDescent="0.25">
      <c r="A130" s="1" t="s">
        <v>496</v>
      </c>
      <c r="B130" s="1" t="s">
        <v>655</v>
      </c>
      <c r="C130" s="1" t="s">
        <v>654</v>
      </c>
      <c r="D130" s="5" t="str">
        <f t="shared" ref="D130:D154" si="16">IF(V130&gt;$W$2,$A130&amp;RIGHT(D$1,1)&amp;"F","-")</f>
        <v>S4541F</v>
      </c>
      <c r="E130" s="6" t="s">
        <v>670</v>
      </c>
      <c r="F130" s="6">
        <f>IF(Table36[[#This Row],[Facility_1]]="-",0,V130)</f>
        <v>75000</v>
      </c>
      <c r="G130" s="5" t="str">
        <f t="shared" ref="G130:G154" si="17">IF(V130&gt;$W$2,$A130&amp;RIGHT(G$1,1)&amp;"F","-")</f>
        <v>S4542F</v>
      </c>
      <c r="H130" s="2" t="str">
        <f t="shared" ref="H130:H154" si="18">IF(E130="sawmal","TerTal",IF(E130="sawmpi","TerTpi",IF(E130="sawmsp","TerTsp","")))</f>
        <v>TerTal</v>
      </c>
      <c r="I130" s="22">
        <f>IF(Table36[[#This Row],[Facility_2]]="-",0,V130)</f>
        <v>75000</v>
      </c>
      <c r="J130" s="5" t="str">
        <f t="shared" ref="J130:J154" si="19">$A130&amp;RIGHT(J$1,1)&amp;"F"</f>
        <v>S4543F</v>
      </c>
      <c r="L130" s="36">
        <f>IF(Table36[[#This Row],[Facility_1]]="-",0,AB130)</f>
        <v>0</v>
      </c>
      <c r="V130" s="1">
        <v>75000</v>
      </c>
    </row>
    <row r="131" spans="1:22" s="30" customFormat="1" x14ac:dyDescent="0.25">
      <c r="A131" s="30" t="s">
        <v>497</v>
      </c>
      <c r="B131" s="30" t="s">
        <v>657</v>
      </c>
      <c r="C131" s="30" t="s">
        <v>656</v>
      </c>
      <c r="D131" s="31" t="str">
        <f t="shared" si="16"/>
        <v>S4551F</v>
      </c>
      <c r="E131" s="32" t="s">
        <v>777</v>
      </c>
      <c r="F131" s="32">
        <f>IF(Table36[[#This Row],[Facility_1]]="-",0,V131)</f>
        <v>20000</v>
      </c>
      <c r="G131" s="31" t="str">
        <f t="shared" si="17"/>
        <v>S4552F</v>
      </c>
      <c r="H131" s="30" t="str">
        <f t="shared" si="18"/>
        <v/>
      </c>
      <c r="I131" s="33">
        <f>IF(Table36[[#This Row],[Facility_2]]="-",0,V131)</f>
        <v>20000</v>
      </c>
      <c r="J131" s="5" t="str">
        <f t="shared" si="19"/>
        <v>S4553F</v>
      </c>
      <c r="K131" s="32"/>
      <c r="L131" s="37">
        <f>IF(Table36[[#This Row],[Facility_1]]="-",0,AB131)</f>
        <v>0</v>
      </c>
      <c r="M131" s="31"/>
      <c r="N131" s="32"/>
      <c r="O131" s="34"/>
      <c r="P131" s="31"/>
      <c r="Q131" s="32"/>
      <c r="R131" s="34"/>
      <c r="V131" s="30">
        <v>20000</v>
      </c>
    </row>
    <row r="132" spans="1:22" x14ac:dyDescent="0.25">
      <c r="A132" s="1" t="s">
        <v>498</v>
      </c>
      <c r="B132" s="1" t="s">
        <v>659</v>
      </c>
      <c r="C132" s="1" t="s">
        <v>658</v>
      </c>
      <c r="D132" s="5" t="str">
        <f t="shared" si="16"/>
        <v>S4561F</v>
      </c>
      <c r="E132" s="6" t="s">
        <v>670</v>
      </c>
      <c r="F132" s="6">
        <f>IF(Table36[[#This Row],[Facility_1]]="-",0,V132)</f>
        <v>280000</v>
      </c>
      <c r="G132" s="5" t="str">
        <f t="shared" si="17"/>
        <v>S4562F</v>
      </c>
      <c r="H132" s="2" t="str">
        <f t="shared" si="18"/>
        <v>TerTal</v>
      </c>
      <c r="I132" s="22">
        <f>IF(Table36[[#This Row],[Facility_2]]="-",0,V132)</f>
        <v>280000</v>
      </c>
      <c r="J132" s="5" t="str">
        <f t="shared" si="19"/>
        <v>S4563F</v>
      </c>
      <c r="L132" s="36">
        <f>IF(Table36[[#This Row],[Facility_1]]="-",0,AB132)</f>
        <v>0</v>
      </c>
      <c r="V132" s="1">
        <v>280000</v>
      </c>
    </row>
    <row r="133" spans="1:22" x14ac:dyDescent="0.25">
      <c r="A133" s="1" t="s">
        <v>499</v>
      </c>
      <c r="B133" s="1" t="s">
        <v>661</v>
      </c>
      <c r="C133" s="1" t="s">
        <v>660</v>
      </c>
      <c r="D133" s="5" t="str">
        <f t="shared" si="16"/>
        <v>S4571F</v>
      </c>
      <c r="E133" s="6" t="s">
        <v>670</v>
      </c>
      <c r="F133" s="6">
        <f>IF(Table36[[#This Row],[Facility_1]]="-",0,V133)</f>
        <v>20000</v>
      </c>
      <c r="G133" s="5" t="str">
        <f t="shared" si="17"/>
        <v>S4572F</v>
      </c>
      <c r="H133" s="2" t="str">
        <f t="shared" si="18"/>
        <v>TerTal</v>
      </c>
      <c r="I133" s="22">
        <f>IF(Table36[[#This Row],[Facility_2]]="-",0,V133)</f>
        <v>20000</v>
      </c>
      <c r="J133" s="5" t="str">
        <f t="shared" si="19"/>
        <v>S4573F</v>
      </c>
      <c r="L133" s="36">
        <f>IF(Table36[[#This Row],[Facility_1]]="-",0,AB133)</f>
        <v>0</v>
      </c>
      <c r="V133" s="1">
        <v>20000</v>
      </c>
    </row>
    <row r="134" spans="1:22" x14ac:dyDescent="0.25">
      <c r="A134" s="1" t="s">
        <v>500</v>
      </c>
      <c r="B134" s="1" t="s">
        <v>663</v>
      </c>
      <c r="C134" s="1" t="s">
        <v>662</v>
      </c>
      <c r="D134" s="5" t="str">
        <f t="shared" si="16"/>
        <v>S4581F</v>
      </c>
      <c r="E134" s="6" t="s">
        <v>670</v>
      </c>
      <c r="F134" s="6">
        <f>IF(Table36[[#This Row],[Facility_1]]="-",0,V134)</f>
        <v>80000</v>
      </c>
      <c r="G134" s="5" t="str">
        <f t="shared" si="17"/>
        <v>S4582F</v>
      </c>
      <c r="H134" s="2" t="str">
        <f t="shared" si="18"/>
        <v>TerTal</v>
      </c>
      <c r="I134" s="22">
        <f>IF(Table36[[#This Row],[Facility_2]]="-",0,V134)</f>
        <v>80000</v>
      </c>
      <c r="J134" s="5" t="str">
        <f t="shared" si="19"/>
        <v>S4583F</v>
      </c>
      <c r="L134" s="36">
        <f>IF(Table36[[#This Row],[Facility_1]]="-",0,AB134)</f>
        <v>0</v>
      </c>
      <c r="V134" s="1">
        <v>80000</v>
      </c>
    </row>
    <row r="135" spans="1:22" x14ac:dyDescent="0.25">
      <c r="A135" s="1" t="s">
        <v>501</v>
      </c>
      <c r="B135" s="1">
        <v>7297233.608</v>
      </c>
      <c r="C135" s="1" t="s">
        <v>664</v>
      </c>
      <c r="D135" s="5" t="str">
        <f t="shared" si="16"/>
        <v>S4591F</v>
      </c>
      <c r="E135" s="6" t="s">
        <v>670</v>
      </c>
      <c r="F135" s="6">
        <f>IF(Table36[[#This Row],[Facility_1]]="-",0,V135)</f>
        <v>55000</v>
      </c>
      <c r="G135" s="5" t="str">
        <f t="shared" si="17"/>
        <v>S4592F</v>
      </c>
      <c r="H135" s="2" t="str">
        <f t="shared" si="18"/>
        <v>TerTal</v>
      </c>
      <c r="I135" s="22">
        <f>IF(Table36[[#This Row],[Facility_2]]="-",0,V135)</f>
        <v>55000</v>
      </c>
      <c r="J135" s="5" t="str">
        <f t="shared" si="19"/>
        <v>S4593F</v>
      </c>
      <c r="L135" s="36">
        <f>IF(Table36[[#This Row],[Facility_1]]="-",0,AB135)</f>
        <v>0</v>
      </c>
      <c r="V135" s="1">
        <v>55000</v>
      </c>
    </row>
    <row r="136" spans="1:22" x14ac:dyDescent="0.25">
      <c r="A136" s="1" t="s">
        <v>366</v>
      </c>
      <c r="B136" s="1">
        <v>6316450.3715000004</v>
      </c>
      <c r="C136" s="1">
        <v>457759.91389999999</v>
      </c>
      <c r="D136" s="5" t="str">
        <f t="shared" si="16"/>
        <v>S461F</v>
      </c>
      <c r="E136" s="6" t="s">
        <v>672</v>
      </c>
      <c r="F136" s="6">
        <f>IF(Table36[[#This Row],[Facility_1]]="-",0,V136)</f>
        <v>147000</v>
      </c>
      <c r="G136" s="5" t="str">
        <f t="shared" si="17"/>
        <v>S462F</v>
      </c>
      <c r="H136" s="2" t="str">
        <f t="shared" si="18"/>
        <v>TerTsp</v>
      </c>
      <c r="I136" s="22">
        <f>IF(Table36[[#This Row],[Facility_2]]="-",0,V136)</f>
        <v>147000</v>
      </c>
      <c r="J136" s="5" t="str">
        <f t="shared" si="19"/>
        <v>S463F</v>
      </c>
      <c r="L136" s="36">
        <f>IF(Table36[[#This Row],[Facility_1]]="-",0,AB136)</f>
        <v>0</v>
      </c>
      <c r="V136" s="1">
        <v>147000</v>
      </c>
    </row>
    <row r="137" spans="1:22" s="30" customFormat="1" x14ac:dyDescent="0.25">
      <c r="A137" s="30" t="s">
        <v>502</v>
      </c>
      <c r="B137" s="30" t="s">
        <v>666</v>
      </c>
      <c r="C137" s="30" t="s">
        <v>665</v>
      </c>
      <c r="D137" s="31" t="str">
        <f t="shared" si="16"/>
        <v>S4601F</v>
      </c>
      <c r="E137" s="32" t="s">
        <v>777</v>
      </c>
      <c r="F137" s="32">
        <f>IF(Table36[[#This Row],[Facility_1]]="-",0,V137)</f>
        <v>10000</v>
      </c>
      <c r="G137" s="31" t="str">
        <f t="shared" si="17"/>
        <v>S4602F</v>
      </c>
      <c r="H137" s="30" t="str">
        <f t="shared" si="18"/>
        <v/>
      </c>
      <c r="I137" s="33">
        <f>IF(Table36[[#This Row],[Facility_2]]="-",0,V137)</f>
        <v>10000</v>
      </c>
      <c r="J137" s="5" t="str">
        <f t="shared" si="19"/>
        <v>S4603F</v>
      </c>
      <c r="K137" s="32"/>
      <c r="L137" s="37">
        <f>IF(Table36[[#This Row],[Facility_1]]="-",0,AB137)</f>
        <v>0</v>
      </c>
      <c r="M137" s="31"/>
      <c r="N137" s="32"/>
      <c r="O137" s="34"/>
      <c r="P137" s="31"/>
      <c r="Q137" s="32"/>
      <c r="R137" s="34"/>
      <c r="V137" s="30">
        <v>10000</v>
      </c>
    </row>
    <row r="138" spans="1:22" x14ac:dyDescent="0.25">
      <c r="A138" s="1" t="s">
        <v>367</v>
      </c>
      <c r="B138" s="1">
        <v>6385979.9468999999</v>
      </c>
      <c r="C138" s="1">
        <v>561430.69649999996</v>
      </c>
      <c r="D138" s="5" t="str">
        <f t="shared" si="16"/>
        <v>S471F</v>
      </c>
      <c r="E138" s="6" t="s">
        <v>670</v>
      </c>
      <c r="F138" s="6">
        <f>IF(Table36[[#This Row],[Facility_1]]="-",0,V138)</f>
        <v>120000</v>
      </c>
      <c r="G138" s="5" t="str">
        <f t="shared" si="17"/>
        <v>S472F</v>
      </c>
      <c r="H138" s="2" t="str">
        <f t="shared" si="18"/>
        <v>TerTal</v>
      </c>
      <c r="I138" s="22">
        <f>IF(Table36[[#This Row],[Facility_2]]="-",0,V138)</f>
        <v>120000</v>
      </c>
      <c r="J138" s="5" t="str">
        <f t="shared" si="19"/>
        <v>S473F</v>
      </c>
      <c r="L138" s="36">
        <f>IF(Table36[[#This Row],[Facility_1]]="-",0,AB138)</f>
        <v>0</v>
      </c>
      <c r="V138" s="1">
        <v>120000</v>
      </c>
    </row>
    <row r="139" spans="1:22" x14ac:dyDescent="0.25">
      <c r="A139" s="1" t="s">
        <v>368</v>
      </c>
      <c r="B139" s="1">
        <v>7234807.0504999999</v>
      </c>
      <c r="C139" s="1">
        <v>674118.24029999995</v>
      </c>
      <c r="D139" s="5" t="str">
        <f t="shared" si="16"/>
        <v>-</v>
      </c>
      <c r="E139" s="6" t="s">
        <v>670</v>
      </c>
      <c r="F139" s="6">
        <f>IF(Table36[[#This Row],[Facility_1]]="-",0,V139)</f>
        <v>0</v>
      </c>
      <c r="G139" s="5" t="str">
        <f t="shared" si="17"/>
        <v>-</v>
      </c>
      <c r="H139" s="2" t="str">
        <f t="shared" si="18"/>
        <v>TerTal</v>
      </c>
      <c r="I139" s="22">
        <f>IF(Table36[[#This Row],[Facility_2]]="-",0,V139)</f>
        <v>0</v>
      </c>
      <c r="J139" s="5" t="str">
        <f t="shared" si="19"/>
        <v>S523F</v>
      </c>
      <c r="L139" s="36">
        <f>IF(Table36[[#This Row],[Facility_1]]="-",0,AB139)</f>
        <v>0</v>
      </c>
      <c r="V139" s="1">
        <v>0</v>
      </c>
    </row>
    <row r="140" spans="1:22" x14ac:dyDescent="0.25">
      <c r="A140" s="1" t="s">
        <v>369</v>
      </c>
      <c r="B140" s="1">
        <v>6251920.0137999998</v>
      </c>
      <c r="C140" s="1">
        <v>561556.39170000004</v>
      </c>
      <c r="D140" s="5" t="str">
        <f t="shared" si="16"/>
        <v>S531F</v>
      </c>
      <c r="E140" s="6" t="s">
        <v>671</v>
      </c>
      <c r="F140" s="6">
        <f>IF(Table36[[#This Row],[Facility_1]]="-",0,V140)</f>
        <v>20000</v>
      </c>
      <c r="G140" s="5" t="str">
        <f t="shared" si="17"/>
        <v>S532F</v>
      </c>
      <c r="H140" s="2" t="str">
        <f t="shared" si="18"/>
        <v>TerTpi</v>
      </c>
      <c r="I140" s="22">
        <f>IF(Table36[[#This Row],[Facility_2]]="-",0,V140)</f>
        <v>20000</v>
      </c>
      <c r="J140" s="5" t="str">
        <f t="shared" si="19"/>
        <v>S533F</v>
      </c>
      <c r="L140" s="36">
        <f>IF(Table36[[#This Row],[Facility_1]]="-",0,AB140)</f>
        <v>0</v>
      </c>
      <c r="V140" s="1">
        <v>20000</v>
      </c>
    </row>
    <row r="141" spans="1:22" x14ac:dyDescent="0.25">
      <c r="A141" s="1" t="s">
        <v>370</v>
      </c>
      <c r="B141" s="1">
        <v>6380460.1215000004</v>
      </c>
      <c r="C141" s="1">
        <v>498806.28370000003</v>
      </c>
      <c r="D141" s="5" t="str">
        <f t="shared" si="16"/>
        <v>S591F</v>
      </c>
      <c r="E141" s="6" t="s">
        <v>670</v>
      </c>
      <c r="F141" s="6">
        <f>IF(Table36[[#This Row],[Facility_1]]="-",0,V141)</f>
        <v>100000</v>
      </c>
      <c r="G141" s="5" t="str">
        <f t="shared" si="17"/>
        <v>S592F</v>
      </c>
      <c r="H141" s="2" t="str">
        <f t="shared" si="18"/>
        <v>TerTal</v>
      </c>
      <c r="I141" s="22">
        <f>IF(Table36[[#This Row],[Facility_2]]="-",0,V141)</f>
        <v>100000</v>
      </c>
      <c r="J141" s="5" t="str">
        <f t="shared" si="19"/>
        <v>S593F</v>
      </c>
      <c r="L141" s="36">
        <f>IF(Table36[[#This Row],[Facility_1]]="-",0,AB141)</f>
        <v>0</v>
      </c>
      <c r="V141" s="1">
        <v>100000</v>
      </c>
    </row>
    <row r="142" spans="1:22" x14ac:dyDescent="0.25">
      <c r="A142" s="1" t="s">
        <v>358</v>
      </c>
      <c r="B142" s="1">
        <v>6466554.3411999997</v>
      </c>
      <c r="C142" s="1">
        <v>378854.60859999998</v>
      </c>
      <c r="D142" s="5" t="str">
        <f t="shared" si="16"/>
        <v>S61F</v>
      </c>
      <c r="E142" s="6" t="s">
        <v>670</v>
      </c>
      <c r="F142" s="6">
        <f>IF(Table36[[#This Row],[Facility_1]]="-",0,V142)</f>
        <v>40000</v>
      </c>
      <c r="G142" s="5" t="str">
        <f t="shared" si="17"/>
        <v>S62F</v>
      </c>
      <c r="H142" s="2" t="str">
        <f t="shared" si="18"/>
        <v>TerTal</v>
      </c>
      <c r="I142" s="22">
        <f>IF(Table36[[#This Row],[Facility_2]]="-",0,V142)</f>
        <v>40000</v>
      </c>
      <c r="J142" s="5" t="str">
        <f t="shared" si="19"/>
        <v>S63F</v>
      </c>
      <c r="L142" s="36">
        <f>IF(Table36[[#This Row],[Facility_1]]="-",0,AB142)</f>
        <v>0</v>
      </c>
      <c r="V142" s="1">
        <v>40000</v>
      </c>
    </row>
    <row r="143" spans="1:22" x14ac:dyDescent="0.25">
      <c r="A143" s="1" t="s">
        <v>371</v>
      </c>
      <c r="B143" s="1">
        <v>6395474.7813999997</v>
      </c>
      <c r="C143" s="1">
        <v>481254.48859999998</v>
      </c>
      <c r="D143" s="5" t="str">
        <f t="shared" si="16"/>
        <v>S621F</v>
      </c>
      <c r="E143" s="6" t="s">
        <v>670</v>
      </c>
      <c r="F143" s="6">
        <f>IF(Table36[[#This Row],[Facility_1]]="-",0,V143)</f>
        <v>70000</v>
      </c>
      <c r="G143" s="5" t="str">
        <f t="shared" si="17"/>
        <v>S622F</v>
      </c>
      <c r="H143" s="2" t="str">
        <f t="shared" si="18"/>
        <v>TerTal</v>
      </c>
      <c r="I143" s="22">
        <f>IF(Table36[[#This Row],[Facility_2]]="-",0,V143)</f>
        <v>70000</v>
      </c>
      <c r="J143" s="5" t="str">
        <f t="shared" si="19"/>
        <v>S623F</v>
      </c>
      <c r="L143" s="36">
        <f>IF(Table36[[#This Row],[Facility_1]]="-",0,AB143)</f>
        <v>0</v>
      </c>
      <c r="V143" s="1">
        <v>70000</v>
      </c>
    </row>
    <row r="144" spans="1:22" x14ac:dyDescent="0.25">
      <c r="A144" s="1" t="s">
        <v>372</v>
      </c>
      <c r="B144" s="1">
        <v>6265562.4067000002</v>
      </c>
      <c r="C144" s="1">
        <v>396400.83990000002</v>
      </c>
      <c r="D144" s="5" t="str">
        <f t="shared" si="16"/>
        <v>S641F</v>
      </c>
      <c r="E144" s="6" t="s">
        <v>670</v>
      </c>
      <c r="F144" s="6">
        <f>IF(Table36[[#This Row],[Facility_1]]="-",0,V144)</f>
        <v>135000</v>
      </c>
      <c r="G144" s="5" t="str">
        <f t="shared" si="17"/>
        <v>S642F</v>
      </c>
      <c r="H144" s="2" t="str">
        <f t="shared" si="18"/>
        <v>TerTal</v>
      </c>
      <c r="I144" s="22">
        <f>IF(Table36[[#This Row],[Facility_2]]="-",0,V144)</f>
        <v>135000</v>
      </c>
      <c r="J144" s="5" t="str">
        <f t="shared" si="19"/>
        <v>S643F</v>
      </c>
      <c r="L144" s="36">
        <f>IF(Table36[[#This Row],[Facility_1]]="-",0,AB144)</f>
        <v>0</v>
      </c>
      <c r="V144" s="1">
        <v>135000</v>
      </c>
    </row>
    <row r="145" spans="1:22" x14ac:dyDescent="0.25">
      <c r="A145" s="1" t="s">
        <v>373</v>
      </c>
      <c r="B145" s="1">
        <v>6569678.8982999995</v>
      </c>
      <c r="C145" s="1">
        <v>619804.00719999999</v>
      </c>
      <c r="D145" s="5" t="str">
        <f t="shared" si="16"/>
        <v>S651F</v>
      </c>
      <c r="E145" s="6" t="s">
        <v>670</v>
      </c>
      <c r="F145" s="6">
        <f>IF(Table36[[#This Row],[Facility_1]]="-",0,V145)</f>
        <v>120000</v>
      </c>
      <c r="G145" s="5" t="str">
        <f t="shared" si="17"/>
        <v>S652F</v>
      </c>
      <c r="H145" s="2" t="str">
        <f t="shared" si="18"/>
        <v>TerTal</v>
      </c>
      <c r="I145" s="22">
        <f>IF(Table36[[#This Row],[Facility_2]]="-",0,V145)</f>
        <v>120000</v>
      </c>
      <c r="J145" s="5" t="str">
        <f t="shared" si="19"/>
        <v>S653F</v>
      </c>
      <c r="L145" s="36">
        <f>IF(Table36[[#This Row],[Facility_1]]="-",0,AB145)</f>
        <v>0</v>
      </c>
      <c r="V145" s="1">
        <v>120000</v>
      </c>
    </row>
    <row r="146" spans="1:22" x14ac:dyDescent="0.25">
      <c r="A146" s="1" t="s">
        <v>374</v>
      </c>
      <c r="B146" s="1">
        <v>7096837.7549000001</v>
      </c>
      <c r="C146" s="1">
        <v>738893.94070000004</v>
      </c>
      <c r="D146" s="5" t="str">
        <f t="shared" si="16"/>
        <v>S691F</v>
      </c>
      <c r="E146" s="6" t="s">
        <v>670</v>
      </c>
      <c r="F146" s="6">
        <f>IF(Table36[[#This Row],[Facility_1]]="-",0,V146)</f>
        <v>120000</v>
      </c>
      <c r="G146" s="5" t="str">
        <f t="shared" si="17"/>
        <v>S692F</v>
      </c>
      <c r="H146" s="2" t="str">
        <f t="shared" si="18"/>
        <v>TerTal</v>
      </c>
      <c r="I146" s="22">
        <f>IF(Table36[[#This Row],[Facility_2]]="-",0,V146)</f>
        <v>120000</v>
      </c>
      <c r="J146" s="5" t="str">
        <f t="shared" si="19"/>
        <v>S693F</v>
      </c>
      <c r="L146" s="36">
        <f>IF(Table36[[#This Row],[Facility_1]]="-",0,AB146)</f>
        <v>0</v>
      </c>
      <c r="V146" s="1">
        <v>120000</v>
      </c>
    </row>
    <row r="147" spans="1:22" x14ac:dyDescent="0.25">
      <c r="A147" s="1" t="s">
        <v>375</v>
      </c>
      <c r="B147" s="1">
        <v>6345750.8269999996</v>
      </c>
      <c r="C147" s="1">
        <v>329663.62829999998</v>
      </c>
      <c r="D147" s="5" t="str">
        <f t="shared" si="16"/>
        <v>S701F</v>
      </c>
      <c r="E147" s="6" t="s">
        <v>671</v>
      </c>
      <c r="F147" s="6">
        <f>IF(Table36[[#This Row],[Facility_1]]="-",0,V147)</f>
        <v>45000</v>
      </c>
      <c r="G147" s="5" t="str">
        <f t="shared" si="17"/>
        <v>S702F</v>
      </c>
      <c r="H147" s="2" t="str">
        <f t="shared" si="18"/>
        <v>TerTpi</v>
      </c>
      <c r="I147" s="22">
        <f>IF(Table36[[#This Row],[Facility_2]]="-",0,V147)</f>
        <v>45000</v>
      </c>
      <c r="J147" s="5" t="str">
        <f t="shared" si="19"/>
        <v>S703F</v>
      </c>
      <c r="L147" s="36">
        <f>IF(Table36[[#This Row],[Facility_1]]="-",0,AB147)</f>
        <v>0</v>
      </c>
      <c r="V147" s="1">
        <v>45000</v>
      </c>
    </row>
    <row r="148" spans="1:22" x14ac:dyDescent="0.25">
      <c r="A148" s="1" t="s">
        <v>376</v>
      </c>
      <c r="B148" s="1">
        <v>6656352.3103999998</v>
      </c>
      <c r="C148" s="1">
        <v>559848.58940000006</v>
      </c>
      <c r="D148" s="5" t="str">
        <f t="shared" si="16"/>
        <v>S711F</v>
      </c>
      <c r="E148" s="6" t="s">
        <v>671</v>
      </c>
      <c r="F148" s="6">
        <f>IF(Table36[[#This Row],[Facility_1]]="-",0,V148)</f>
        <v>75000</v>
      </c>
      <c r="G148" s="5" t="str">
        <f t="shared" si="17"/>
        <v>S712F</v>
      </c>
      <c r="H148" s="2" t="str">
        <f t="shared" si="18"/>
        <v>TerTpi</v>
      </c>
      <c r="I148" s="22">
        <f>IF(Table36[[#This Row],[Facility_2]]="-",0,V148)</f>
        <v>75000</v>
      </c>
      <c r="J148" s="5" t="str">
        <f t="shared" si="19"/>
        <v>S713F</v>
      </c>
      <c r="L148" s="36">
        <f>IF(Table36[[#This Row],[Facility_1]]="-",0,AB148)</f>
        <v>0</v>
      </c>
      <c r="V148" s="1">
        <v>75000</v>
      </c>
    </row>
    <row r="149" spans="1:22" x14ac:dyDescent="0.25">
      <c r="A149" s="1" t="s">
        <v>377</v>
      </c>
      <c r="B149" s="1">
        <v>6417735.6416999996</v>
      </c>
      <c r="C149" s="1">
        <v>382056.90360000002</v>
      </c>
      <c r="D149" s="5" t="str">
        <f t="shared" si="16"/>
        <v>S721F</v>
      </c>
      <c r="E149" s="6" t="s">
        <v>672</v>
      </c>
      <c r="F149" s="6">
        <f>IF(Table36[[#This Row],[Facility_1]]="-",0,V149)</f>
        <v>120000</v>
      </c>
      <c r="G149" s="5" t="str">
        <f t="shared" si="17"/>
        <v>S722F</v>
      </c>
      <c r="H149" s="2" t="str">
        <f t="shared" si="18"/>
        <v>TerTsp</v>
      </c>
      <c r="I149" s="22">
        <f>IF(Table36[[#This Row],[Facility_2]]="-",0,V149)</f>
        <v>120000</v>
      </c>
      <c r="J149" s="5" t="str">
        <f t="shared" si="19"/>
        <v>S723F</v>
      </c>
      <c r="L149" s="36">
        <f>IF(Table36[[#This Row],[Facility_1]]="-",0,AB149)</f>
        <v>0</v>
      </c>
      <c r="V149" s="1">
        <v>120000</v>
      </c>
    </row>
    <row r="150" spans="1:22" x14ac:dyDescent="0.25">
      <c r="A150" s="1" t="s">
        <v>538</v>
      </c>
      <c r="B150" s="1">
        <v>6264620.2651000004</v>
      </c>
      <c r="C150" s="1">
        <v>488661.78029999998</v>
      </c>
      <c r="D150" s="5" t="str">
        <f t="shared" si="16"/>
        <v>-</v>
      </c>
      <c r="E150" s="6" t="s">
        <v>671</v>
      </c>
      <c r="F150" s="6">
        <f>IF(Table36[[#This Row],[Facility_1]]="-",0,V150)</f>
        <v>0</v>
      </c>
      <c r="G150" s="5" t="str">
        <f t="shared" si="17"/>
        <v>-</v>
      </c>
      <c r="H150" s="2" t="str">
        <f t="shared" si="18"/>
        <v>TerTpi</v>
      </c>
      <c r="I150" s="22">
        <f>IF(Table36[[#This Row],[Facility_2]]="-",0,V150)</f>
        <v>0</v>
      </c>
      <c r="J150" s="5" t="str">
        <f t="shared" si="19"/>
        <v>S773F</v>
      </c>
      <c r="L150" s="36">
        <f>IF(Table36[[#This Row],[Facility_1]]="-",0,AB150)</f>
        <v>0</v>
      </c>
      <c r="V150" s="1">
        <v>0</v>
      </c>
    </row>
    <row r="151" spans="1:22" x14ac:dyDescent="0.25">
      <c r="A151" s="1" t="s">
        <v>378</v>
      </c>
      <c r="B151" s="1">
        <v>6587265.5532999998</v>
      </c>
      <c r="C151" s="1">
        <v>337076.46710000001</v>
      </c>
      <c r="D151" s="5" t="str">
        <f t="shared" si="16"/>
        <v>S791F</v>
      </c>
      <c r="E151" s="6" t="s">
        <v>670</v>
      </c>
      <c r="F151" s="6">
        <f>IF(Table36[[#This Row],[Facility_1]]="-",0,V151)</f>
        <v>170000</v>
      </c>
      <c r="G151" s="5" t="str">
        <f t="shared" si="17"/>
        <v>S792F</v>
      </c>
      <c r="H151" s="2" t="str">
        <f t="shared" si="18"/>
        <v>TerTal</v>
      </c>
      <c r="I151" s="22">
        <f>IF(Table36[[#This Row],[Facility_2]]="-",0,V151)</f>
        <v>170000</v>
      </c>
      <c r="J151" s="5" t="str">
        <f t="shared" si="19"/>
        <v>S793F</v>
      </c>
      <c r="L151" s="36">
        <f>IF(Table36[[#This Row],[Facility_1]]="-",0,AB151)</f>
        <v>0</v>
      </c>
      <c r="V151" s="1">
        <v>170000</v>
      </c>
    </row>
    <row r="152" spans="1:22" x14ac:dyDescent="0.25">
      <c r="A152" s="1" t="s">
        <v>379</v>
      </c>
      <c r="B152" s="1">
        <v>6612025.7852999996</v>
      </c>
      <c r="C152" s="1">
        <v>376769.78860000003</v>
      </c>
      <c r="D152" s="5" t="str">
        <f t="shared" si="16"/>
        <v>-</v>
      </c>
      <c r="E152" s="6" t="s">
        <v>670</v>
      </c>
      <c r="F152" s="6">
        <f>IF(Table36[[#This Row],[Facility_1]]="-",0,V152)</f>
        <v>0</v>
      </c>
      <c r="G152" s="5" t="str">
        <f t="shared" si="17"/>
        <v>-</v>
      </c>
      <c r="H152" s="2" t="str">
        <f t="shared" si="18"/>
        <v>TerTal</v>
      </c>
      <c r="I152" s="22">
        <f>IF(Table36[[#This Row],[Facility_2]]="-",0,V152)</f>
        <v>0</v>
      </c>
      <c r="J152" s="5" t="str">
        <f t="shared" si="19"/>
        <v>S863F</v>
      </c>
      <c r="L152" s="36">
        <f>IF(Table36[[#This Row],[Facility_1]]="-",0,AB152)</f>
        <v>0</v>
      </c>
      <c r="V152" s="1">
        <v>0</v>
      </c>
    </row>
    <row r="153" spans="1:22" x14ac:dyDescent="0.25">
      <c r="A153" s="1" t="s">
        <v>380</v>
      </c>
      <c r="B153" s="1">
        <v>6706269.0357999997</v>
      </c>
      <c r="C153" s="1">
        <v>445142.47249999997</v>
      </c>
      <c r="D153" s="5" t="str">
        <f t="shared" si="16"/>
        <v>S921F</v>
      </c>
      <c r="E153" s="6" t="s">
        <v>670</v>
      </c>
      <c r="F153" s="6">
        <f>IF(Table36[[#This Row],[Facility_1]]="-",0,V153)</f>
        <v>175000</v>
      </c>
      <c r="G153" s="5" t="str">
        <f t="shared" si="17"/>
        <v>S922F</v>
      </c>
      <c r="H153" s="2" t="str">
        <f t="shared" si="18"/>
        <v>TerTal</v>
      </c>
      <c r="I153" s="22">
        <f>IF(Table36[[#This Row],[Facility_2]]="-",0,V153)</f>
        <v>175000</v>
      </c>
      <c r="J153" s="5" t="str">
        <f t="shared" si="19"/>
        <v>S923F</v>
      </c>
      <c r="L153" s="36">
        <f>IF(Table36[[#This Row],[Facility_1]]="-",0,AB153)</f>
        <v>0</v>
      </c>
      <c r="V153" s="1">
        <v>175000</v>
      </c>
    </row>
    <row r="154" spans="1:22" x14ac:dyDescent="0.25">
      <c r="A154" s="1" t="s">
        <v>381</v>
      </c>
      <c r="B154" s="1">
        <v>6325796.1254000003</v>
      </c>
      <c r="C154" s="1">
        <v>359866.00060000003</v>
      </c>
      <c r="D154" s="5" t="str">
        <f t="shared" si="16"/>
        <v>S941F</v>
      </c>
      <c r="E154" s="6" t="s">
        <v>670</v>
      </c>
      <c r="F154" s="6">
        <f>IF(Table36[[#This Row],[Facility_1]]="-",0,V154)</f>
        <v>60000</v>
      </c>
      <c r="G154" s="5" t="str">
        <f t="shared" si="17"/>
        <v>S942F</v>
      </c>
      <c r="H154" s="2" t="str">
        <f t="shared" si="18"/>
        <v>TerTal</v>
      </c>
      <c r="I154" s="22">
        <f>IF(Table36[[#This Row],[Facility_2]]="-",0,V154)</f>
        <v>60000</v>
      </c>
      <c r="J154" s="5" t="str">
        <f t="shared" si="19"/>
        <v>S943F</v>
      </c>
      <c r="L154" s="36">
        <f>IF(Table36[[#This Row],[Facility_1]]="-",0,AB154)</f>
        <v>0</v>
      </c>
      <c r="V154" s="1">
        <v>60000</v>
      </c>
    </row>
    <row r="155" spans="1:22" x14ac:dyDescent="0.25">
      <c r="D155" s="3"/>
      <c r="E155" s="6"/>
      <c r="F155" s="6">
        <f>IF(Table36[[#This Row],[Facility_1]]="-",0,V155)</f>
        <v>0</v>
      </c>
      <c r="L155" s="36">
        <f>IF(Table36[[#This Row],[Facility_1]]="-",0,AB155)</f>
        <v>0</v>
      </c>
    </row>
    <row r="156" spans="1:22" x14ac:dyDescent="0.25">
      <c r="D156" s="3"/>
      <c r="E156" s="6"/>
      <c r="F156" s="6">
        <f>IF(Table36[[#This Row],[Facility_1]]="-",0,V156)</f>
        <v>0</v>
      </c>
      <c r="L156" s="36">
        <f>IF(Table36[[#This Row],[Facility_1]]="-",0,AB156)</f>
        <v>0</v>
      </c>
    </row>
    <row r="157" spans="1:22" x14ac:dyDescent="0.25">
      <c r="D157" s="3"/>
      <c r="E157" s="6"/>
      <c r="F157" s="6">
        <f>IF(Table36[[#This Row],[Facility_1]]="-",0,V157)</f>
        <v>0</v>
      </c>
      <c r="L157" s="36">
        <f>IF(Table36[[#This Row],[Facility_1]]="-",0,AB157)</f>
        <v>0</v>
      </c>
    </row>
    <row r="158" spans="1:22" x14ac:dyDescent="0.25">
      <c r="D158" s="3"/>
      <c r="E158" s="6"/>
      <c r="F158" s="6">
        <f>IF(Table36[[#This Row],[Facility_1]]="-",0,V158)</f>
        <v>0</v>
      </c>
      <c r="L158" s="36">
        <f>IF(Table36[[#This Row],[Facility_1]]="-",0,AB158)</f>
        <v>0</v>
      </c>
    </row>
    <row r="159" spans="1:22" x14ac:dyDescent="0.25">
      <c r="D159" s="3"/>
      <c r="E159" s="6"/>
      <c r="F159" s="6">
        <f>IF(Table36[[#This Row],[Facility_1]]="-",0,V159)</f>
        <v>0</v>
      </c>
      <c r="L159" s="36">
        <f>IF(Table36[[#This Row],[Facility_1]]="-",0,AB159)</f>
        <v>0</v>
      </c>
    </row>
    <row r="160" spans="1:22" x14ac:dyDescent="0.25">
      <c r="D160" s="3"/>
      <c r="E160" s="6"/>
      <c r="F160" s="6">
        <f>IF(Table36[[#This Row],[Facility_1]]="-",0,V160)</f>
        <v>0</v>
      </c>
      <c r="L160" s="36">
        <f>IF(Table36[[#This Row],[Facility_1]]="-",0,AB160)</f>
        <v>0</v>
      </c>
    </row>
    <row r="161" spans="4:12" x14ac:dyDescent="0.25">
      <c r="D161" s="3"/>
      <c r="E161" s="6"/>
      <c r="F161" s="6">
        <f>IF(Table36[[#This Row],[Facility_1]]="-",0,V161)</f>
        <v>0</v>
      </c>
      <c r="L161" s="36">
        <f>IF(Table36[[#This Row],[Facility_1]]="-",0,AB161)</f>
        <v>0</v>
      </c>
    </row>
    <row r="162" spans="4:12" x14ac:dyDescent="0.25">
      <c r="D162" s="3"/>
      <c r="E162" s="6"/>
      <c r="F162" s="6">
        <f>IF(Table36[[#This Row],[Facility_1]]="-",0,V162)</f>
        <v>0</v>
      </c>
      <c r="L162" s="36">
        <f>IF(Table36[[#This Row],[Facility_1]]="-",0,AB162)</f>
        <v>0</v>
      </c>
    </row>
    <row r="163" spans="4:12" x14ac:dyDescent="0.25">
      <c r="D163" s="3"/>
      <c r="E163" s="6"/>
      <c r="F163" s="6">
        <f>IF(Table36[[#This Row],[Facility_1]]="-",0,V163)</f>
        <v>0</v>
      </c>
      <c r="L163" s="36">
        <f>IF(Table36[[#This Row],[Facility_1]]="-",0,AB163)</f>
        <v>0</v>
      </c>
    </row>
    <row r="164" spans="4:12" x14ac:dyDescent="0.25">
      <c r="D164" s="3"/>
      <c r="E164" s="6"/>
      <c r="F164" s="6">
        <f>IF(Table36[[#This Row],[Facility_1]]="-",0,V164)</f>
        <v>0</v>
      </c>
      <c r="L164" s="36">
        <f>IF(Table36[[#This Row],[Facility_1]]="-",0,AB164)</f>
        <v>0</v>
      </c>
    </row>
    <row r="165" spans="4:12" x14ac:dyDescent="0.25">
      <c r="D165" s="3"/>
      <c r="E165" s="6"/>
      <c r="F165" s="6">
        <f>IF(Table36[[#This Row],[Facility_1]]="-",0,V165)</f>
        <v>0</v>
      </c>
      <c r="L165" s="36">
        <f>IF(Table36[[#This Row],[Facility_1]]="-",0,AB165)</f>
        <v>0</v>
      </c>
    </row>
    <row r="166" spans="4:12" x14ac:dyDescent="0.25">
      <c r="D166" s="3"/>
      <c r="E166" s="6"/>
      <c r="F166" s="6">
        <f>IF(Table36[[#This Row],[Facility_1]]="-",0,V166)</f>
        <v>0</v>
      </c>
      <c r="L166" s="36">
        <f>IF(Table36[[#This Row],[Facility_1]]="-",0,AB166)</f>
        <v>0</v>
      </c>
    </row>
    <row r="167" spans="4:12" x14ac:dyDescent="0.25">
      <c r="D167" s="3"/>
      <c r="E167" s="6"/>
      <c r="F167" s="6">
        <f>IF(Table36[[#This Row],[Facility_1]]="-",0,V167)</f>
        <v>0</v>
      </c>
      <c r="L167" s="36">
        <f>IF(Table36[[#This Row],[Facility_1]]="-",0,AB167)</f>
        <v>0</v>
      </c>
    </row>
    <row r="168" spans="4:12" x14ac:dyDescent="0.25">
      <c r="D168" s="3"/>
      <c r="E168" s="6"/>
      <c r="F168" s="6">
        <f>IF(Table36[[#This Row],[Facility_1]]="-",0,V168)</f>
        <v>0</v>
      </c>
      <c r="L168" s="36">
        <f>IF(Table36[[#This Row],[Facility_1]]="-",0,AB168)</f>
        <v>0</v>
      </c>
    </row>
    <row r="169" spans="4:12" x14ac:dyDescent="0.25">
      <c r="D169" s="3"/>
      <c r="E169" s="6"/>
      <c r="F169" s="6">
        <f>IF(Table36[[#This Row],[Facility_1]]="-",0,V169)</f>
        <v>0</v>
      </c>
      <c r="L169" s="36">
        <f>IF(Table36[[#This Row],[Facility_1]]="-",0,AB169)</f>
        <v>0</v>
      </c>
    </row>
    <row r="170" spans="4:12" x14ac:dyDescent="0.25">
      <c r="D170" s="3"/>
      <c r="E170" s="6"/>
      <c r="F170" s="6">
        <f>IF(Table36[[#This Row],[Facility_1]]="-",0,V170)</f>
        <v>0</v>
      </c>
      <c r="L170" s="36">
        <f>IF(Table36[[#This Row],[Facility_1]]="-",0,AB170)</f>
        <v>0</v>
      </c>
    </row>
    <row r="171" spans="4:12" x14ac:dyDescent="0.25">
      <c r="D171" s="3"/>
      <c r="E171" s="6"/>
      <c r="F171" s="6">
        <f>IF(Table36[[#This Row],[Facility_1]]="-",0,V171)</f>
        <v>0</v>
      </c>
      <c r="L171" s="36">
        <f>IF(Table36[[#This Row],[Facility_1]]="-",0,AB171)</f>
        <v>0</v>
      </c>
    </row>
    <row r="172" spans="4:12" x14ac:dyDescent="0.25">
      <c r="D172" s="3"/>
      <c r="E172" s="6"/>
      <c r="F172" s="6">
        <f>IF(Table36[[#This Row],[Facility_1]]="-",0,V172)</f>
        <v>0</v>
      </c>
      <c r="L172" s="36">
        <f>IF(Table36[[#This Row],[Facility_1]]="-",0,AB172)</f>
        <v>0</v>
      </c>
    </row>
    <row r="173" spans="4:12" x14ac:dyDescent="0.25">
      <c r="D173" s="3"/>
      <c r="E173" s="6"/>
      <c r="F173" s="6">
        <f>IF(Table36[[#This Row],[Facility_1]]="-",0,V173)</f>
        <v>0</v>
      </c>
      <c r="L173" s="36">
        <f>IF(Table36[[#This Row],[Facility_1]]="-",0,AB173)</f>
        <v>0</v>
      </c>
    </row>
    <row r="174" spans="4:12" x14ac:dyDescent="0.25">
      <c r="D174" s="3"/>
      <c r="E174" s="6"/>
      <c r="F174" s="6">
        <f>IF(Table36[[#This Row],[Facility_1]]="-",0,V174)</f>
        <v>0</v>
      </c>
      <c r="L174" s="36">
        <f>IF(Table36[[#This Row],[Facility_1]]="-",0,AB174)</f>
        <v>0</v>
      </c>
    </row>
    <row r="175" spans="4:12" x14ac:dyDescent="0.25">
      <c r="D175" s="3"/>
      <c r="E175" s="6"/>
      <c r="F175" s="6">
        <f>IF(Table36[[#This Row],[Facility_1]]="-",0,V175)</f>
        <v>0</v>
      </c>
      <c r="L175" s="36">
        <f>IF(Table36[[#This Row],[Facility_1]]="-",0,AB175)</f>
        <v>0</v>
      </c>
    </row>
    <row r="176" spans="4:12" x14ac:dyDescent="0.25">
      <c r="D176" s="3"/>
      <c r="E176" s="6"/>
      <c r="F176" s="6">
        <f>IF(Table36[[#This Row],[Facility_1]]="-",0,V176)</f>
        <v>0</v>
      </c>
      <c r="L176" s="36">
        <f>IF(Table36[[#This Row],[Facility_1]]="-",0,AB176)</f>
        <v>0</v>
      </c>
    </row>
    <row r="177" spans="4:12" x14ac:dyDescent="0.25">
      <c r="D177" s="3"/>
      <c r="E177" s="6"/>
      <c r="F177" s="6">
        <f>IF(Table36[[#This Row],[Facility_1]]="-",0,V177)</f>
        <v>0</v>
      </c>
      <c r="L177" s="36">
        <f>IF(Table36[[#This Row],[Facility_1]]="-",0,AB177)</f>
        <v>0</v>
      </c>
    </row>
    <row r="178" spans="4:12" x14ac:dyDescent="0.25">
      <c r="D178" s="3"/>
      <c r="E178" s="6"/>
      <c r="F178" s="6">
        <f>IF(Table36[[#This Row],[Facility_1]]="-",0,V178)</f>
        <v>0</v>
      </c>
      <c r="L178" s="36">
        <f>IF(Table36[[#This Row],[Facility_1]]="-",0,AB178)</f>
        <v>0</v>
      </c>
    </row>
    <row r="179" spans="4:12" x14ac:dyDescent="0.25">
      <c r="D179" s="3"/>
      <c r="E179" s="6"/>
      <c r="F179" s="6">
        <f>IF(Table36[[#This Row],[Facility_1]]="-",0,V179)</f>
        <v>0</v>
      </c>
      <c r="L179" s="36">
        <f>IF(Table36[[#This Row],[Facility_1]]="-",0,AB179)</f>
        <v>0</v>
      </c>
    </row>
    <row r="180" spans="4:12" x14ac:dyDescent="0.25">
      <c r="D180" s="3"/>
      <c r="E180" s="6"/>
      <c r="F180" s="6">
        <f>IF(Table36[[#This Row],[Facility_1]]="-",0,V180)</f>
        <v>0</v>
      </c>
      <c r="L180" s="36">
        <f>IF(Table36[[#This Row],[Facility_1]]="-",0,AB180)</f>
        <v>0</v>
      </c>
    </row>
    <row r="181" spans="4:12" x14ac:dyDescent="0.25">
      <c r="D181" s="3"/>
      <c r="E181" s="6"/>
      <c r="F181" s="6">
        <f>IF(Table36[[#This Row],[Facility_1]]="-",0,V181)</f>
        <v>0</v>
      </c>
      <c r="L181" s="36">
        <f>IF(Table36[[#This Row],[Facility_1]]="-",0,AB181)</f>
        <v>0</v>
      </c>
    </row>
    <row r="182" spans="4:12" x14ac:dyDescent="0.25">
      <c r="D182" s="3"/>
      <c r="E182" s="6"/>
      <c r="F182" s="6">
        <f>IF(Table36[[#This Row],[Facility_1]]="-",0,V182)</f>
        <v>0</v>
      </c>
      <c r="L182" s="36">
        <f>IF(Table36[[#This Row],[Facility_1]]="-",0,AB182)</f>
        <v>0</v>
      </c>
    </row>
    <row r="183" spans="4:12" x14ac:dyDescent="0.25">
      <c r="D183" s="3"/>
      <c r="E183" s="6"/>
      <c r="F183" s="6">
        <f>IF(Table36[[#This Row],[Facility_1]]="-",0,V183)</f>
        <v>0</v>
      </c>
      <c r="L183" s="36">
        <f>IF(Table36[[#This Row],[Facility_1]]="-",0,AB183)</f>
        <v>0</v>
      </c>
    </row>
    <row r="184" spans="4:12" x14ac:dyDescent="0.25">
      <c r="D184" s="3"/>
      <c r="E184" s="6"/>
      <c r="F184" s="6">
        <f>IF(Table36[[#This Row],[Facility_1]]="-",0,V184)</f>
        <v>0</v>
      </c>
      <c r="L184" s="36">
        <f>IF(Table36[[#This Row],[Facility_1]]="-",0,AB184)</f>
        <v>0</v>
      </c>
    </row>
    <row r="185" spans="4:12" x14ac:dyDescent="0.25">
      <c r="D185" s="3"/>
      <c r="E185" s="6"/>
      <c r="F185" s="6">
        <f>IF(Table36[[#This Row],[Facility_1]]="-",0,V185)</f>
        <v>0</v>
      </c>
      <c r="L185" s="36">
        <f>IF(Table36[[#This Row],[Facility_1]]="-",0,AB185)</f>
        <v>0</v>
      </c>
    </row>
    <row r="186" spans="4:12" x14ac:dyDescent="0.25">
      <c r="D186" s="3"/>
      <c r="E186" s="6"/>
      <c r="F186" s="6">
        <f>IF(Table36[[#This Row],[Facility_1]]="-",0,V186)</f>
        <v>0</v>
      </c>
      <c r="L186" s="36">
        <f>IF(Table36[[#This Row],[Facility_1]]="-",0,AB186)</f>
        <v>0</v>
      </c>
    </row>
    <row r="187" spans="4:12" x14ac:dyDescent="0.25">
      <c r="D187" s="3"/>
      <c r="E187" s="6"/>
      <c r="F187" s="6">
        <f>IF(Table36[[#This Row],[Facility_1]]="-",0,V187)</f>
        <v>0</v>
      </c>
      <c r="L187" s="36">
        <f>IF(Table36[[#This Row],[Facility_1]]="-",0,AB187)</f>
        <v>0</v>
      </c>
    </row>
    <row r="188" spans="4:12" x14ac:dyDescent="0.25">
      <c r="D188" s="3"/>
      <c r="E188" s="6"/>
      <c r="F188" s="6">
        <f>IF(Table36[[#This Row],[Facility_1]]="-",0,V188)</f>
        <v>0</v>
      </c>
      <c r="L188" s="36">
        <f>IF(Table36[[#This Row],[Facility_1]]="-",0,AB188)</f>
        <v>0</v>
      </c>
    </row>
    <row r="189" spans="4:12" x14ac:dyDescent="0.25">
      <c r="D189" s="3"/>
      <c r="E189" s="6"/>
      <c r="F189" s="6">
        <f>IF(Table36[[#This Row],[Facility_1]]="-",0,V189)</f>
        <v>0</v>
      </c>
      <c r="L189" s="36">
        <f>IF(Table36[[#This Row],[Facility_1]]="-",0,AB189)</f>
        <v>0</v>
      </c>
    </row>
    <row r="190" spans="4:12" x14ac:dyDescent="0.25">
      <c r="D190" s="3"/>
      <c r="E190" s="6"/>
      <c r="F190" s="6">
        <f>IF(Table36[[#This Row],[Facility_1]]="-",0,V190)</f>
        <v>0</v>
      </c>
      <c r="L190" s="36">
        <f>IF(Table36[[#This Row],[Facility_1]]="-",0,AB190)</f>
        <v>0</v>
      </c>
    </row>
    <row r="191" spans="4:12" x14ac:dyDescent="0.25">
      <c r="D191" s="3"/>
      <c r="E191" s="6"/>
      <c r="F191" s="6">
        <f>IF(Table36[[#This Row],[Facility_1]]="-",0,V191)</f>
        <v>0</v>
      </c>
      <c r="L191" s="36">
        <f>IF(Table36[[#This Row],[Facility_1]]="-",0,AB191)</f>
        <v>0</v>
      </c>
    </row>
    <row r="192" spans="4:12" x14ac:dyDescent="0.25">
      <c r="D192" s="3"/>
      <c r="E192" s="6"/>
      <c r="F192" s="6">
        <f>IF(Table36[[#This Row],[Facility_1]]="-",0,V192)</f>
        <v>0</v>
      </c>
      <c r="L192" s="36">
        <f>IF(Table36[[#This Row],[Facility_1]]="-",0,AB192)</f>
        <v>0</v>
      </c>
    </row>
    <row r="193" spans="4:12" x14ac:dyDescent="0.25">
      <c r="D193" s="3"/>
      <c r="E193" s="6"/>
      <c r="F193" s="6">
        <f>IF(Table36[[#This Row],[Facility_1]]="-",0,V193)</f>
        <v>0</v>
      </c>
      <c r="L193" s="36">
        <f>IF(Table36[[#This Row],[Facility_1]]="-",0,AB193)</f>
        <v>0</v>
      </c>
    </row>
    <row r="194" spans="4:12" x14ac:dyDescent="0.25">
      <c r="D194" s="3"/>
      <c r="E194" s="6"/>
      <c r="F194" s="6">
        <f>IF(Table36[[#This Row],[Facility_1]]="-",0,V194)</f>
        <v>0</v>
      </c>
      <c r="L194" s="36">
        <f>IF(Table36[[#This Row],[Facility_1]]="-",0,AB194)</f>
        <v>0</v>
      </c>
    </row>
    <row r="195" spans="4:12" x14ac:dyDescent="0.25">
      <c r="D195" s="3"/>
      <c r="E195" s="6"/>
      <c r="F195" s="6">
        <f>IF(Table36[[#This Row],[Facility_1]]="-",0,V195)</f>
        <v>0</v>
      </c>
      <c r="L195" s="36">
        <f>IF(Table36[[#This Row],[Facility_1]]="-",0,AB195)</f>
        <v>0</v>
      </c>
    </row>
    <row r="196" spans="4:12" x14ac:dyDescent="0.25">
      <c r="D196" s="3"/>
      <c r="E196" s="6"/>
      <c r="F196" s="6">
        <f>IF(Table36[[#This Row],[Facility_1]]="-",0,V196)</f>
        <v>0</v>
      </c>
      <c r="L196" s="36">
        <f>IF(Table36[[#This Row],[Facility_1]]="-",0,AB196)</f>
        <v>0</v>
      </c>
    </row>
    <row r="197" spans="4:12" x14ac:dyDescent="0.25">
      <c r="D197" s="3"/>
      <c r="E197" s="6"/>
      <c r="F197" s="6">
        <f>IF(Table36[[#This Row],[Facility_1]]="-",0,V197)</f>
        <v>0</v>
      </c>
      <c r="L197" s="36">
        <f>IF(Table36[[#This Row],[Facility_1]]="-",0,AB197)</f>
        <v>0</v>
      </c>
    </row>
    <row r="198" spans="4:12" x14ac:dyDescent="0.25">
      <c r="D198" s="3"/>
      <c r="E198" s="6"/>
      <c r="F198" s="6">
        <f>IF(Table36[[#This Row],[Facility_1]]="-",0,V198)</f>
        <v>0</v>
      </c>
      <c r="L198" s="36">
        <f>IF(Table36[[#This Row],[Facility_1]]="-",0,AB198)</f>
        <v>0</v>
      </c>
    </row>
    <row r="199" spans="4:12" x14ac:dyDescent="0.25">
      <c r="D199" s="3"/>
      <c r="E199" s="6"/>
      <c r="F199" s="6">
        <f>IF(Table36[[#This Row],[Facility_1]]="-",0,V199)</f>
        <v>0</v>
      </c>
      <c r="L199" s="36">
        <f>IF(Table36[[#This Row],[Facility_1]]="-",0,AB199)</f>
        <v>0</v>
      </c>
    </row>
    <row r="200" spans="4:12" x14ac:dyDescent="0.25">
      <c r="D200" s="3"/>
      <c r="E200" s="6"/>
      <c r="F200" s="6">
        <f>IF(Table36[[#This Row],[Facility_1]]="-",0,V200)</f>
        <v>0</v>
      </c>
      <c r="L200" s="36">
        <f>IF(Table36[[#This Row],[Facility_1]]="-",0,AB200)</f>
        <v>0</v>
      </c>
    </row>
    <row r="201" spans="4:12" x14ac:dyDescent="0.25">
      <c r="D201" s="3"/>
      <c r="E201" s="6"/>
      <c r="F201" s="6">
        <f>IF(Table36[[#This Row],[Facility_1]]="-",0,V201)</f>
        <v>0</v>
      </c>
      <c r="L201" s="36">
        <f>IF(Table36[[#This Row],[Facility_1]]="-",0,AB201)</f>
        <v>0</v>
      </c>
    </row>
    <row r="202" spans="4:12" x14ac:dyDescent="0.25">
      <c r="D202" s="3"/>
      <c r="E202" s="6"/>
      <c r="F202" s="6">
        <f>IF(Table36[[#This Row],[Facility_1]]="-",0,V202)</f>
        <v>0</v>
      </c>
      <c r="L202" s="36">
        <f>IF(Table36[[#This Row],[Facility_1]]="-",0,AB202)</f>
        <v>0</v>
      </c>
    </row>
    <row r="203" spans="4:12" x14ac:dyDescent="0.25">
      <c r="D203" s="3"/>
      <c r="E203" s="6"/>
      <c r="F203" s="6">
        <f>IF(Table36[[#This Row],[Facility_1]]="-",0,V203)</f>
        <v>0</v>
      </c>
      <c r="L203" s="36">
        <f>IF(Table36[[#This Row],[Facility_1]]="-",0,AB203)</f>
        <v>0</v>
      </c>
    </row>
    <row r="204" spans="4:12" x14ac:dyDescent="0.25">
      <c r="D204" s="3"/>
      <c r="E204" s="6"/>
      <c r="F204" s="6">
        <f>IF(Table36[[#This Row],[Facility_1]]="-",0,V204)</f>
        <v>0</v>
      </c>
      <c r="L204" s="36">
        <f>IF(Table36[[#This Row],[Facility_1]]="-",0,AB204)</f>
        <v>0</v>
      </c>
    </row>
    <row r="205" spans="4:12" x14ac:dyDescent="0.25">
      <c r="D205" s="3"/>
      <c r="E205" s="6"/>
      <c r="F205" s="6">
        <f>IF(Table36[[#This Row],[Facility_1]]="-",0,V205)</f>
        <v>0</v>
      </c>
      <c r="L205" s="36">
        <f>IF(Table36[[#This Row],[Facility_1]]="-",0,AB205)</f>
        <v>0</v>
      </c>
    </row>
    <row r="206" spans="4:12" x14ac:dyDescent="0.25">
      <c r="D206" s="3"/>
      <c r="E206" s="6"/>
      <c r="F206" s="6">
        <f>IF(Table36[[#This Row],[Facility_1]]="-",0,V206)</f>
        <v>0</v>
      </c>
      <c r="L206" s="36">
        <f>IF(Table36[[#This Row],[Facility_1]]="-",0,AB206)</f>
        <v>0</v>
      </c>
    </row>
    <row r="207" spans="4:12" x14ac:dyDescent="0.25">
      <c r="D207" s="3"/>
      <c r="E207" s="6"/>
      <c r="F207" s="6">
        <f>IF(Table36[[#This Row],[Facility_1]]="-",0,V207)</f>
        <v>0</v>
      </c>
      <c r="L207" s="36">
        <f>IF(Table36[[#This Row],[Facility_1]]="-",0,AB207)</f>
        <v>0</v>
      </c>
    </row>
    <row r="208" spans="4:12" x14ac:dyDescent="0.25">
      <c r="D208" s="3"/>
      <c r="E208" s="6"/>
      <c r="F208" s="6">
        <f>IF(Table36[[#This Row],[Facility_1]]="-",0,V208)</f>
        <v>0</v>
      </c>
      <c r="L208" s="36">
        <f>IF(Table36[[#This Row],[Facility_1]]="-",0,AB208)</f>
        <v>0</v>
      </c>
    </row>
    <row r="209" spans="4:12" x14ac:dyDescent="0.25">
      <c r="D209" s="3"/>
      <c r="E209" s="6"/>
      <c r="F209" s="6">
        <f>IF(Table36[[#This Row],[Facility_1]]="-",0,V209)</f>
        <v>0</v>
      </c>
      <c r="L209" s="36">
        <f>IF(Table36[[#This Row],[Facility_1]]="-",0,AB209)</f>
        <v>0</v>
      </c>
    </row>
    <row r="210" spans="4:12" x14ac:dyDescent="0.25">
      <c r="D210" s="3"/>
      <c r="E210" s="6"/>
      <c r="F210" s="6">
        <f>IF(Table36[[#This Row],[Facility_1]]="-",0,V210)</f>
        <v>0</v>
      </c>
      <c r="L210" s="36">
        <f>IF(Table36[[#This Row],[Facility_1]]="-",0,AB210)</f>
        <v>0</v>
      </c>
    </row>
    <row r="211" spans="4:12" x14ac:dyDescent="0.25">
      <c r="D211" s="3"/>
      <c r="E211" s="6"/>
      <c r="F211" s="6">
        <f>IF(Table36[[#This Row],[Facility_1]]="-",0,V211)</f>
        <v>0</v>
      </c>
      <c r="L211" s="36">
        <f>IF(Table36[[#This Row],[Facility_1]]="-",0,AB211)</f>
        <v>0</v>
      </c>
    </row>
    <row r="212" spans="4:12" x14ac:dyDescent="0.25">
      <c r="D212" s="3"/>
      <c r="E212" s="6"/>
      <c r="F212" s="6">
        <f>IF(Table36[[#This Row],[Facility_1]]="-",0,V212)</f>
        <v>0</v>
      </c>
      <c r="L212" s="36">
        <f>IF(Table36[[#This Row],[Facility_1]]="-",0,AB212)</f>
        <v>0</v>
      </c>
    </row>
    <row r="213" spans="4:12" x14ac:dyDescent="0.25">
      <c r="D213" s="3"/>
      <c r="E213" s="6"/>
      <c r="F213" s="6">
        <f>IF(Table36[[#This Row],[Facility_1]]="-",0,V213)</f>
        <v>0</v>
      </c>
      <c r="L213" s="36">
        <f>IF(Table36[[#This Row],[Facility_1]]="-",0,AB213)</f>
        <v>0</v>
      </c>
    </row>
    <row r="214" spans="4:12" x14ac:dyDescent="0.25">
      <c r="D214" s="3"/>
      <c r="E214" s="6"/>
      <c r="F214" s="6">
        <f>IF(Table36[[#This Row],[Facility_1]]="-",0,V214)</f>
        <v>0</v>
      </c>
      <c r="L214" s="36">
        <f>IF(Table36[[#This Row],[Facility_1]]="-",0,AB214)</f>
        <v>0</v>
      </c>
    </row>
    <row r="215" spans="4:12" x14ac:dyDescent="0.25">
      <c r="D215" s="3"/>
      <c r="E215" s="6"/>
      <c r="F215" s="6">
        <f>IF(Table36[[#This Row],[Facility_1]]="-",0,V215)</f>
        <v>0</v>
      </c>
      <c r="L215" s="36">
        <f>IF(Table36[[#This Row],[Facility_1]]="-",0,AB215)</f>
        <v>0</v>
      </c>
    </row>
    <row r="216" spans="4:12" x14ac:dyDescent="0.25">
      <c r="D216" s="3"/>
      <c r="E216" s="6"/>
      <c r="F216" s="6">
        <f>IF(Table36[[#This Row],[Facility_1]]="-",0,V216)</f>
        <v>0</v>
      </c>
      <c r="L216" s="36">
        <f>IF(Table36[[#This Row],[Facility_1]]="-",0,AB216)</f>
        <v>0</v>
      </c>
    </row>
    <row r="217" spans="4:12" x14ac:dyDescent="0.25">
      <c r="D217" s="3"/>
      <c r="E217" s="6"/>
      <c r="F217" s="6">
        <f>IF(Table36[[#This Row],[Facility_1]]="-",0,V217)</f>
        <v>0</v>
      </c>
      <c r="L217" s="36">
        <f>IF(Table36[[#This Row],[Facility_1]]="-",0,AB217)</f>
        <v>0</v>
      </c>
    </row>
    <row r="218" spans="4:12" x14ac:dyDescent="0.25">
      <c r="D218" s="3"/>
      <c r="E218" s="6"/>
      <c r="F218" s="6">
        <f>IF(Table36[[#This Row],[Facility_1]]="-",0,V218)</f>
        <v>0</v>
      </c>
      <c r="L218" s="36">
        <f>IF(Table36[[#This Row],[Facility_1]]="-",0,AB218)</f>
        <v>0</v>
      </c>
    </row>
    <row r="219" spans="4:12" x14ac:dyDescent="0.25">
      <c r="D219" s="3"/>
      <c r="E219" s="6"/>
      <c r="F219" s="6">
        <f>IF(Table36[[#This Row],[Facility_1]]="-",0,V219)</f>
        <v>0</v>
      </c>
      <c r="L219" s="36">
        <f>IF(Table36[[#This Row],[Facility_1]]="-",0,AB219)</f>
        <v>0</v>
      </c>
    </row>
    <row r="220" spans="4:12" x14ac:dyDescent="0.25">
      <c r="D220" s="3"/>
      <c r="E220" s="6"/>
      <c r="F220" s="6">
        <f>IF(Table36[[#This Row],[Facility_1]]="-",0,V220)</f>
        <v>0</v>
      </c>
      <c r="L220" s="36">
        <f>IF(Table36[[#This Row],[Facility_1]]="-",0,AB220)</f>
        <v>0</v>
      </c>
    </row>
    <row r="221" spans="4:12" x14ac:dyDescent="0.25">
      <c r="D221" s="3"/>
      <c r="E221" s="6"/>
      <c r="F221" s="6">
        <f>IF(Table36[[#This Row],[Facility_1]]="-",0,V221)</f>
        <v>0</v>
      </c>
      <c r="L221" s="36">
        <f>IF(Table36[[#This Row],[Facility_1]]="-",0,AB221)</f>
        <v>0</v>
      </c>
    </row>
    <row r="222" spans="4:12" x14ac:dyDescent="0.25">
      <c r="D222" s="3"/>
      <c r="E222" s="6"/>
      <c r="F222" s="6">
        <f>IF(Table36[[#This Row],[Facility_1]]="-",0,V222)</f>
        <v>0</v>
      </c>
      <c r="L222" s="36">
        <f>IF(Table36[[#This Row],[Facility_1]]="-",0,AB222)</f>
        <v>0</v>
      </c>
    </row>
    <row r="223" spans="4:12" x14ac:dyDescent="0.25">
      <c r="D223" s="3"/>
      <c r="E223" s="6"/>
      <c r="F223" s="6">
        <f>IF(Table36[[#This Row],[Facility_1]]="-",0,V223)</f>
        <v>0</v>
      </c>
      <c r="L223" s="36">
        <f>IF(Table36[[#This Row],[Facility_1]]="-",0,AB223)</f>
        <v>0</v>
      </c>
    </row>
    <row r="224" spans="4:12" x14ac:dyDescent="0.25">
      <c r="D224" s="3"/>
      <c r="E224" s="6"/>
      <c r="F224" s="6">
        <f>IF(Table36[[#This Row],[Facility_1]]="-",0,V224)</f>
        <v>0</v>
      </c>
      <c r="L224" s="36">
        <f>IF(Table36[[#This Row],[Facility_1]]="-",0,AB224)</f>
        <v>0</v>
      </c>
    </row>
    <row r="225" spans="4:12" x14ac:dyDescent="0.25">
      <c r="D225" s="3"/>
      <c r="E225" s="6"/>
      <c r="F225" s="6">
        <f>IF(Table36[[#This Row],[Facility_1]]="-",0,V225)</f>
        <v>0</v>
      </c>
      <c r="L225" s="36">
        <f>IF(Table36[[#This Row],[Facility_1]]="-",0,AB225)</f>
        <v>0</v>
      </c>
    </row>
    <row r="226" spans="4:12" x14ac:dyDescent="0.25">
      <c r="D226" s="3"/>
      <c r="E226" s="6"/>
      <c r="F226" s="6">
        <f>IF(Table36[[#This Row],[Facility_1]]="-",0,V226)</f>
        <v>0</v>
      </c>
      <c r="L226" s="36">
        <f>IF(Table36[[#This Row],[Facility_1]]="-",0,AB226)</f>
        <v>0</v>
      </c>
    </row>
    <row r="227" spans="4:12" x14ac:dyDescent="0.25">
      <c r="D227" s="3"/>
      <c r="E227" s="6"/>
      <c r="F227" s="6">
        <f>IF(Table36[[#This Row],[Facility_1]]="-",0,V227)</f>
        <v>0</v>
      </c>
      <c r="L227" s="36">
        <f>IF(Table36[[#This Row],[Facility_1]]="-",0,AB227)</f>
        <v>0</v>
      </c>
    </row>
    <row r="228" spans="4:12" x14ac:dyDescent="0.25">
      <c r="D228" s="3"/>
      <c r="E228" s="6"/>
      <c r="F228" s="6">
        <f>IF(Table36[[#This Row],[Facility_1]]="-",0,V228)</f>
        <v>0</v>
      </c>
      <c r="L228" s="36">
        <f>IF(Table36[[#This Row],[Facility_1]]="-",0,AB228)</f>
        <v>0</v>
      </c>
    </row>
    <row r="229" spans="4:12" x14ac:dyDescent="0.25">
      <c r="D229" s="3"/>
      <c r="E229" s="6"/>
      <c r="F229" s="6">
        <f>IF(Table36[[#This Row],[Facility_1]]="-",0,V229)</f>
        <v>0</v>
      </c>
      <c r="L229" s="36">
        <f>IF(Table36[[#This Row],[Facility_1]]="-",0,AB229)</f>
        <v>0</v>
      </c>
    </row>
    <row r="230" spans="4:12" x14ac:dyDescent="0.25">
      <c r="D230" s="3"/>
      <c r="E230" s="6"/>
      <c r="F230" s="6">
        <f>IF(Table36[[#This Row],[Facility_1]]="-",0,V230)</f>
        <v>0</v>
      </c>
      <c r="L230" s="36">
        <f>IF(Table36[[#This Row],[Facility_1]]="-",0,AB230)</f>
        <v>0</v>
      </c>
    </row>
    <row r="231" spans="4:12" x14ac:dyDescent="0.25">
      <c r="D231" s="3"/>
      <c r="E231" s="6"/>
      <c r="F231" s="6">
        <f>IF(Table36[[#This Row],[Facility_1]]="-",0,V231)</f>
        <v>0</v>
      </c>
      <c r="L231" s="36">
        <f>IF(Table36[[#This Row],[Facility_1]]="-",0,AB231)</f>
        <v>0</v>
      </c>
    </row>
    <row r="232" spans="4:12" x14ac:dyDescent="0.25">
      <c r="D232" s="3"/>
      <c r="E232" s="6"/>
      <c r="F232" s="6">
        <f>IF(Table36[[#This Row],[Facility_1]]="-",0,V232)</f>
        <v>0</v>
      </c>
      <c r="L232" s="36">
        <f>IF(Table36[[#This Row],[Facility_1]]="-",0,AB232)</f>
        <v>0</v>
      </c>
    </row>
    <row r="233" spans="4:12" x14ac:dyDescent="0.25">
      <c r="D233" s="3"/>
      <c r="E233" s="6"/>
      <c r="F233" s="6">
        <f>IF(Table36[[#This Row],[Facility_1]]="-",0,V233)</f>
        <v>0</v>
      </c>
      <c r="L233" s="36">
        <f>IF(Table36[[#This Row],[Facility_1]]="-",0,AB233)</f>
        <v>0</v>
      </c>
    </row>
    <row r="234" spans="4:12" x14ac:dyDescent="0.25">
      <c r="D234" s="3"/>
      <c r="E234" s="6"/>
      <c r="F234" s="6">
        <f>IF(Table36[[#This Row],[Facility_1]]="-",0,V234)</f>
        <v>0</v>
      </c>
      <c r="L234" s="36">
        <f>IF(Table36[[#This Row],[Facility_1]]="-",0,AB234)</f>
        <v>0</v>
      </c>
    </row>
    <row r="235" spans="4:12" x14ac:dyDescent="0.25">
      <c r="D235" s="3"/>
      <c r="E235" s="6"/>
      <c r="F235" s="6">
        <f>IF(Table36[[#This Row],[Facility_1]]="-",0,V235)</f>
        <v>0</v>
      </c>
      <c r="L235" s="36">
        <f>IF(Table36[[#This Row],[Facility_1]]="-",0,AB235)</f>
        <v>0</v>
      </c>
    </row>
    <row r="236" spans="4:12" x14ac:dyDescent="0.25">
      <c r="D236" s="3"/>
      <c r="E236" s="6"/>
      <c r="F236" s="6">
        <f>IF(Table36[[#This Row],[Facility_1]]="-",0,V236)</f>
        <v>0</v>
      </c>
      <c r="L236" s="36">
        <f>IF(Table36[[#This Row],[Facility_1]]="-",0,AB236)</f>
        <v>0</v>
      </c>
    </row>
    <row r="237" spans="4:12" x14ac:dyDescent="0.25">
      <c r="D237" s="3"/>
      <c r="E237" s="6"/>
      <c r="F237" s="6">
        <f>IF(Table36[[#This Row],[Facility_1]]="-",0,V237)</f>
        <v>0</v>
      </c>
      <c r="L237" s="36">
        <f>IF(Table36[[#This Row],[Facility_1]]="-",0,AB237)</f>
        <v>0</v>
      </c>
    </row>
    <row r="238" spans="4:12" x14ac:dyDescent="0.25">
      <c r="D238" s="3"/>
      <c r="E238" s="6"/>
      <c r="F238" s="6">
        <f>IF(Table36[[#This Row],[Facility_1]]="-",0,V238)</f>
        <v>0</v>
      </c>
      <c r="L238" s="36">
        <f>IF(Table36[[#This Row],[Facility_1]]="-",0,AB238)</f>
        <v>0</v>
      </c>
    </row>
    <row r="239" spans="4:12" x14ac:dyDescent="0.25">
      <c r="D239" s="3"/>
      <c r="E239" s="6"/>
      <c r="F239" s="6">
        <f>IF(Table36[[#This Row],[Facility_1]]="-",0,V239)</f>
        <v>0</v>
      </c>
      <c r="L239" s="36">
        <f>IF(Table36[[#This Row],[Facility_1]]="-",0,AB239)</f>
        <v>0</v>
      </c>
    </row>
    <row r="240" spans="4:12" x14ac:dyDescent="0.25">
      <c r="D240" s="3"/>
      <c r="E240" s="6"/>
      <c r="F240" s="6">
        <f>IF(Table36[[#This Row],[Facility_1]]="-",0,V240)</f>
        <v>0</v>
      </c>
      <c r="L240" s="36">
        <f>IF(Table36[[#This Row],[Facility_1]]="-",0,AB240)</f>
        <v>0</v>
      </c>
    </row>
    <row r="241" spans="4:12" x14ac:dyDescent="0.25">
      <c r="D241" s="3"/>
      <c r="E241" s="6"/>
      <c r="F241" s="6">
        <f>IF(Table36[[#This Row],[Facility_1]]="-",0,V241)</f>
        <v>0</v>
      </c>
      <c r="L241" s="36">
        <f>IF(Table36[[#This Row],[Facility_1]]="-",0,AB241)</f>
        <v>0</v>
      </c>
    </row>
    <row r="242" spans="4:12" x14ac:dyDescent="0.25">
      <c r="D242" s="3"/>
      <c r="E242" s="6"/>
      <c r="F242" s="6">
        <f>IF(Table36[[#This Row],[Facility_1]]="-",0,V242)</f>
        <v>0</v>
      </c>
      <c r="L242" s="36">
        <f>IF(Table36[[#This Row],[Facility_1]]="-",0,AB242)</f>
        <v>0</v>
      </c>
    </row>
    <row r="243" spans="4:12" x14ac:dyDescent="0.25">
      <c r="D243" s="3"/>
      <c r="E243" s="6"/>
      <c r="F243" s="6">
        <f>IF(Table36[[#This Row],[Facility_1]]="-",0,V243)</f>
        <v>0</v>
      </c>
      <c r="L243" s="36">
        <f>IF(Table36[[#This Row],[Facility_1]]="-",0,AB243)</f>
        <v>0</v>
      </c>
    </row>
    <row r="244" spans="4:12" x14ac:dyDescent="0.25">
      <c r="D244" s="3"/>
      <c r="E244" s="6"/>
      <c r="F244" s="6">
        <f>IF(Table36[[#This Row],[Facility_1]]="-",0,V244)</f>
        <v>0</v>
      </c>
      <c r="L244" s="36">
        <f>IF(Table36[[#This Row],[Facility_1]]="-",0,AB244)</f>
        <v>0</v>
      </c>
    </row>
    <row r="245" spans="4:12" x14ac:dyDescent="0.25">
      <c r="D245" s="3"/>
      <c r="E245" s="6"/>
      <c r="F245" s="6">
        <f>IF(Table36[[#This Row],[Facility_1]]="-",0,V245)</f>
        <v>0</v>
      </c>
      <c r="L245" s="36">
        <f>IF(Table36[[#This Row],[Facility_1]]="-",0,AB245)</f>
        <v>0</v>
      </c>
    </row>
    <row r="246" spans="4:12" x14ac:dyDescent="0.25">
      <c r="D246" s="3"/>
      <c r="E246" s="6"/>
      <c r="F246" s="6">
        <f>IF(Table36[[#This Row],[Facility_1]]="-",0,V246)</f>
        <v>0</v>
      </c>
      <c r="L246" s="36">
        <f>IF(Table36[[#This Row],[Facility_1]]="-",0,AB246)</f>
        <v>0</v>
      </c>
    </row>
    <row r="247" spans="4:12" x14ac:dyDescent="0.25">
      <c r="D247" s="3"/>
      <c r="E247" s="6"/>
      <c r="F247" s="6">
        <f>IF(Table36[[#This Row],[Facility_1]]="-",0,V247)</f>
        <v>0</v>
      </c>
      <c r="L247" s="36">
        <f>IF(Table36[[#This Row],[Facility_1]]="-",0,AB247)</f>
        <v>0</v>
      </c>
    </row>
    <row r="248" spans="4:12" x14ac:dyDescent="0.25">
      <c r="D248" s="3"/>
      <c r="E248" s="6"/>
      <c r="F248" s="6">
        <f>IF(Table36[[#This Row],[Facility_1]]="-",0,V248)</f>
        <v>0</v>
      </c>
      <c r="L248" s="36">
        <f>IF(Table36[[#This Row],[Facility_1]]="-",0,AB248)</f>
        <v>0</v>
      </c>
    </row>
    <row r="249" spans="4:12" x14ac:dyDescent="0.25">
      <c r="D249" s="3"/>
      <c r="E249" s="6"/>
      <c r="F249" s="6">
        <f>IF(Table36[[#This Row],[Facility_1]]="-",0,V249)</f>
        <v>0</v>
      </c>
      <c r="L249" s="36">
        <f>IF(Table36[[#This Row],[Facility_1]]="-",0,AB249)</f>
        <v>0</v>
      </c>
    </row>
    <row r="250" spans="4:12" x14ac:dyDescent="0.25">
      <c r="D250" s="3"/>
      <c r="E250" s="6"/>
      <c r="F250" s="6">
        <f>IF(Table36[[#This Row],[Facility_1]]="-",0,V250)</f>
        <v>0</v>
      </c>
      <c r="L250" s="36">
        <f>IF(Table36[[#This Row],[Facility_1]]="-",0,AB250)</f>
        <v>0</v>
      </c>
    </row>
    <row r="251" spans="4:12" x14ac:dyDescent="0.25">
      <c r="D251" s="3"/>
      <c r="E251" s="6"/>
      <c r="F251" s="6">
        <f>IF(Table36[[#This Row],[Facility_1]]="-",0,V251)</f>
        <v>0</v>
      </c>
      <c r="L251" s="36">
        <f>IF(Table36[[#This Row],[Facility_1]]="-",0,AB251)</f>
        <v>0</v>
      </c>
    </row>
    <row r="252" spans="4:12" x14ac:dyDescent="0.25">
      <c r="D252" s="3"/>
      <c r="E252" s="6"/>
      <c r="F252" s="6">
        <f>IF(Table36[[#This Row],[Facility_1]]="-",0,V252)</f>
        <v>0</v>
      </c>
      <c r="L252" s="36">
        <f>IF(Table36[[#This Row],[Facility_1]]="-",0,AB252)</f>
        <v>0</v>
      </c>
    </row>
    <row r="253" spans="4:12" x14ac:dyDescent="0.25">
      <c r="D253" s="3"/>
      <c r="E253" s="6"/>
      <c r="F253" s="6">
        <f>IF(Table36[[#This Row],[Facility_1]]="-",0,V253)</f>
        <v>0</v>
      </c>
      <c r="L253" s="36">
        <f>IF(Table36[[#This Row],[Facility_1]]="-",0,AB253)</f>
        <v>0</v>
      </c>
    </row>
    <row r="254" spans="4:12" x14ac:dyDescent="0.25">
      <c r="D254" s="3"/>
      <c r="E254" s="6"/>
      <c r="F254" s="6">
        <f>IF(Table36[[#This Row],[Facility_1]]="-",0,V254)</f>
        <v>0</v>
      </c>
      <c r="L254" s="36">
        <f>IF(Table36[[#This Row],[Facility_1]]="-",0,AB254)</f>
        <v>0</v>
      </c>
    </row>
    <row r="255" spans="4:12" x14ac:dyDescent="0.25">
      <c r="D255" s="3"/>
      <c r="E255" s="6"/>
      <c r="F255" s="6">
        <f>IF(Table36[[#This Row],[Facility_1]]="-",0,V255)</f>
        <v>0</v>
      </c>
      <c r="L255" s="36">
        <f>IF(Table36[[#This Row],[Facility_1]]="-",0,AB255)</f>
        <v>0</v>
      </c>
    </row>
    <row r="256" spans="4:12" x14ac:dyDescent="0.25">
      <c r="D256" s="3"/>
      <c r="E256" s="6"/>
      <c r="F256" s="6">
        <f>IF(Table36[[#This Row],[Facility_1]]="-",0,V256)</f>
        <v>0</v>
      </c>
      <c r="L256" s="36">
        <f>IF(Table36[[#This Row],[Facility_1]]="-",0,AB256)</f>
        <v>0</v>
      </c>
    </row>
    <row r="257" spans="4:12" x14ac:dyDescent="0.25">
      <c r="D257" s="3"/>
      <c r="E257" s="6"/>
      <c r="F257" s="6">
        <f>IF(Table36[[#This Row],[Facility_1]]="-",0,V257)</f>
        <v>0</v>
      </c>
      <c r="L257" s="36">
        <f>IF(Table36[[#This Row],[Facility_1]]="-",0,AB257)</f>
        <v>0</v>
      </c>
    </row>
    <row r="258" spans="4:12" x14ac:dyDescent="0.25">
      <c r="D258" s="3"/>
      <c r="E258" s="6"/>
      <c r="F258" s="6">
        <f>IF(Table36[[#This Row],[Facility_1]]="-",0,V258)</f>
        <v>0</v>
      </c>
      <c r="L258" s="36">
        <f>IF(Table36[[#This Row],[Facility_1]]="-",0,AB258)</f>
        <v>0</v>
      </c>
    </row>
    <row r="259" spans="4:12" x14ac:dyDescent="0.25">
      <c r="D259" s="3"/>
      <c r="E259" s="6"/>
      <c r="F259" s="6">
        <f>IF(Table36[[#This Row],[Facility_1]]="-",0,V259)</f>
        <v>0</v>
      </c>
      <c r="L259" s="36">
        <f>IF(Table36[[#This Row],[Facility_1]]="-",0,AB259)</f>
        <v>0</v>
      </c>
    </row>
    <row r="260" spans="4:12" x14ac:dyDescent="0.25">
      <c r="D260" s="3"/>
      <c r="E260" s="6"/>
      <c r="F260" s="6">
        <f>IF(Table36[[#This Row],[Facility_1]]="-",0,V260)</f>
        <v>0</v>
      </c>
      <c r="L260" s="36">
        <f>IF(Table36[[#This Row],[Facility_1]]="-",0,AB260)</f>
        <v>0</v>
      </c>
    </row>
    <row r="261" spans="4:12" x14ac:dyDescent="0.25">
      <c r="D261" s="3"/>
      <c r="E261" s="6"/>
      <c r="F261" s="6">
        <f>IF(Table36[[#This Row],[Facility_1]]="-",0,V261)</f>
        <v>0</v>
      </c>
      <c r="L261" s="36">
        <f>IF(Table36[[#This Row],[Facility_1]]="-",0,AB261)</f>
        <v>0</v>
      </c>
    </row>
    <row r="262" spans="4:12" x14ac:dyDescent="0.25">
      <c r="D262" s="3"/>
      <c r="E262" s="6"/>
      <c r="F262" s="6">
        <f>IF(Table36[[#This Row],[Facility_1]]="-",0,V262)</f>
        <v>0</v>
      </c>
      <c r="L262" s="36">
        <f>IF(Table36[[#This Row],[Facility_1]]="-",0,AB262)</f>
        <v>0</v>
      </c>
    </row>
    <row r="263" spans="4:12" x14ac:dyDescent="0.25">
      <c r="D263" s="3"/>
      <c r="E263" s="6"/>
      <c r="F263" s="6">
        <f>IF(Table36[[#This Row],[Facility_1]]="-",0,V263)</f>
        <v>0</v>
      </c>
      <c r="L263" s="36">
        <f>IF(Table36[[#This Row],[Facility_1]]="-",0,AB263)</f>
        <v>0</v>
      </c>
    </row>
    <row r="264" spans="4:12" x14ac:dyDescent="0.25">
      <c r="D264" s="3"/>
      <c r="E264" s="6"/>
      <c r="F264" s="6">
        <f>IF(Table36[[#This Row],[Facility_1]]="-",0,V264)</f>
        <v>0</v>
      </c>
      <c r="L264" s="36">
        <f>IF(Table36[[#This Row],[Facility_1]]="-",0,AB264)</f>
        <v>0</v>
      </c>
    </row>
    <row r="265" spans="4:12" x14ac:dyDescent="0.25">
      <c r="D265" s="3"/>
      <c r="E265" s="6"/>
      <c r="F265" s="6">
        <f>IF(Table36[[#This Row],[Facility_1]]="-",0,V265)</f>
        <v>0</v>
      </c>
      <c r="L265" s="36">
        <f>IF(Table36[[#This Row],[Facility_1]]="-",0,AB265)</f>
        <v>0</v>
      </c>
    </row>
    <row r="266" spans="4:12" x14ac:dyDescent="0.25">
      <c r="D266" s="3"/>
      <c r="E266" s="6"/>
      <c r="F266" s="6">
        <f>IF(Table36[[#This Row],[Facility_1]]="-",0,V266)</f>
        <v>0</v>
      </c>
      <c r="L266" s="36">
        <f>IF(Table36[[#This Row],[Facility_1]]="-",0,AB266)</f>
        <v>0</v>
      </c>
    </row>
    <row r="267" spans="4:12" x14ac:dyDescent="0.25">
      <c r="D267" s="3"/>
      <c r="E267" s="6"/>
      <c r="F267" s="6">
        <f>IF(Table36[[#This Row],[Facility_1]]="-",0,V267)</f>
        <v>0</v>
      </c>
      <c r="L267" s="36">
        <f>IF(Table36[[#This Row],[Facility_1]]="-",0,AB267)</f>
        <v>0</v>
      </c>
    </row>
    <row r="268" spans="4:12" x14ac:dyDescent="0.25">
      <c r="D268" s="3"/>
      <c r="E268" s="6"/>
      <c r="F268" s="6">
        <f>IF(Table36[[#This Row],[Facility_1]]="-",0,V268)</f>
        <v>0</v>
      </c>
      <c r="L268" s="36">
        <f>IF(Table36[[#This Row],[Facility_1]]="-",0,AB268)</f>
        <v>0</v>
      </c>
    </row>
    <row r="269" spans="4:12" x14ac:dyDescent="0.25">
      <c r="D269" s="3"/>
      <c r="E269" s="6"/>
      <c r="F269" s="6">
        <f>IF(Table36[[#This Row],[Facility_1]]="-",0,V269)</f>
        <v>0</v>
      </c>
      <c r="L269" s="36">
        <f>IF(Table36[[#This Row],[Facility_1]]="-",0,AB269)</f>
        <v>0</v>
      </c>
    </row>
    <row r="270" spans="4:12" x14ac:dyDescent="0.25">
      <c r="D270" s="3"/>
      <c r="E270" s="6"/>
      <c r="F270" s="6">
        <f>IF(Table36[[#This Row],[Facility_1]]="-",0,V270)</f>
        <v>0</v>
      </c>
      <c r="L270" s="36">
        <f>IF(Table36[[#This Row],[Facility_1]]="-",0,AB270)</f>
        <v>0</v>
      </c>
    </row>
    <row r="271" spans="4:12" x14ac:dyDescent="0.25">
      <c r="D271" s="3"/>
      <c r="E271" s="6"/>
      <c r="F271" s="6">
        <f>IF(Table36[[#This Row],[Facility_1]]="-",0,V271)</f>
        <v>0</v>
      </c>
      <c r="L271" s="36">
        <f>IF(Table36[[#This Row],[Facility_1]]="-",0,AB271)</f>
        <v>0</v>
      </c>
    </row>
    <row r="272" spans="4:12" x14ac:dyDescent="0.25">
      <c r="D272" s="3"/>
      <c r="E272" s="6"/>
      <c r="F272" s="6">
        <f>IF(Table36[[#This Row],[Facility_1]]="-",0,V272)</f>
        <v>0</v>
      </c>
      <c r="L272" s="36">
        <f>IF(Table36[[#This Row],[Facility_1]]="-",0,AB272)</f>
        <v>0</v>
      </c>
    </row>
    <row r="273" spans="4:12" x14ac:dyDescent="0.25">
      <c r="D273" s="3"/>
      <c r="E273" s="6"/>
      <c r="F273" s="6">
        <f>IF(Table36[[#This Row],[Facility_1]]="-",0,V273)</f>
        <v>0</v>
      </c>
      <c r="L273" s="36">
        <f>IF(Table36[[#This Row],[Facility_1]]="-",0,AB273)</f>
        <v>0</v>
      </c>
    </row>
    <row r="274" spans="4:12" x14ac:dyDescent="0.25">
      <c r="D274" s="3"/>
      <c r="E274" s="6"/>
      <c r="F274" s="6">
        <f>IF(Table36[[#This Row],[Facility_1]]="-",0,V274)</f>
        <v>0</v>
      </c>
      <c r="L274" s="36">
        <f>IF(Table36[[#This Row],[Facility_1]]="-",0,AB274)</f>
        <v>0</v>
      </c>
    </row>
    <row r="275" spans="4:12" x14ac:dyDescent="0.25">
      <c r="D275" s="3"/>
      <c r="E275" s="6"/>
      <c r="F275" s="6">
        <f>IF(Table36[[#This Row],[Facility_1]]="-",0,V275)</f>
        <v>0</v>
      </c>
      <c r="L275" s="36">
        <f>IF(Table36[[#This Row],[Facility_1]]="-",0,AB275)</f>
        <v>0</v>
      </c>
    </row>
    <row r="276" spans="4:12" x14ac:dyDescent="0.25">
      <c r="D276" s="3"/>
      <c r="E276" s="6"/>
      <c r="F276" s="6">
        <f>IF(Table36[[#This Row],[Facility_1]]="-",0,V276)</f>
        <v>0</v>
      </c>
      <c r="L276" s="36">
        <f>IF(Table36[[#This Row],[Facility_1]]="-",0,AB276)</f>
        <v>0</v>
      </c>
    </row>
    <row r="277" spans="4:12" x14ac:dyDescent="0.25">
      <c r="D277" s="3"/>
      <c r="E277" s="6"/>
      <c r="F277" s="6">
        <f>IF(Table36[[#This Row],[Facility_1]]="-",0,V277)</f>
        <v>0</v>
      </c>
      <c r="L277" s="36">
        <f>IF(Table36[[#This Row],[Facility_1]]="-",0,AB277)</f>
        <v>0</v>
      </c>
    </row>
    <row r="278" spans="4:12" x14ac:dyDescent="0.25">
      <c r="D278" s="3"/>
      <c r="E278" s="6"/>
      <c r="F278" s="6">
        <f>IF(Table36[[#This Row],[Facility_1]]="-",0,V278)</f>
        <v>0</v>
      </c>
      <c r="L278" s="36">
        <f>IF(Table36[[#This Row],[Facility_1]]="-",0,AB278)</f>
        <v>0</v>
      </c>
    </row>
    <row r="279" spans="4:12" x14ac:dyDescent="0.25">
      <c r="D279" s="3"/>
      <c r="E279" s="6"/>
      <c r="F279" s="6">
        <f>IF(Table36[[#This Row],[Facility_1]]="-",0,V279)</f>
        <v>0</v>
      </c>
      <c r="L279" s="36">
        <f>IF(Table36[[#This Row],[Facility_1]]="-",0,AB279)</f>
        <v>0</v>
      </c>
    </row>
    <row r="280" spans="4:12" x14ac:dyDescent="0.25">
      <c r="D280" s="3"/>
      <c r="E280" s="6"/>
      <c r="F280" s="6">
        <f>IF(Table36[[#This Row],[Facility_1]]="-",0,V280)</f>
        <v>0</v>
      </c>
      <c r="L280" s="36">
        <f>IF(Table36[[#This Row],[Facility_1]]="-",0,AB280)</f>
        <v>0</v>
      </c>
    </row>
    <row r="281" spans="4:12" x14ac:dyDescent="0.25">
      <c r="D281" s="3"/>
      <c r="E281" s="6"/>
      <c r="F281" s="6">
        <f>IF(Table36[[#This Row],[Facility_1]]="-",0,V281)</f>
        <v>0</v>
      </c>
      <c r="L281" s="36">
        <f>IF(Table36[[#This Row],[Facility_1]]="-",0,AB281)</f>
        <v>0</v>
      </c>
    </row>
    <row r="282" spans="4:12" x14ac:dyDescent="0.25">
      <c r="D282" s="3"/>
      <c r="E282" s="6"/>
      <c r="F282" s="6">
        <f>IF(Table36[[#This Row],[Facility_1]]="-",0,V282)</f>
        <v>0</v>
      </c>
      <c r="L282" s="36">
        <f>IF(Table36[[#This Row],[Facility_1]]="-",0,AB282)</f>
        <v>0</v>
      </c>
    </row>
    <row r="283" spans="4:12" x14ac:dyDescent="0.25">
      <c r="D283" s="3"/>
      <c r="E283" s="6"/>
      <c r="F283" s="6">
        <f>IF(Table36[[#This Row],[Facility_1]]="-",0,V283)</f>
        <v>0</v>
      </c>
      <c r="L283" s="36">
        <f>IF(Table36[[#This Row],[Facility_1]]="-",0,AB283)</f>
        <v>0</v>
      </c>
    </row>
    <row r="284" spans="4:12" x14ac:dyDescent="0.25">
      <c r="D284" s="3"/>
      <c r="E284" s="6"/>
      <c r="F284" s="6">
        <f>IF(Table36[[#This Row],[Facility_1]]="-",0,V284)</f>
        <v>0</v>
      </c>
      <c r="L284" s="36">
        <f>IF(Table36[[#This Row],[Facility_1]]="-",0,AB284)</f>
        <v>0</v>
      </c>
    </row>
    <row r="285" spans="4:12" x14ac:dyDescent="0.25">
      <c r="D285" s="3"/>
      <c r="E285" s="6"/>
      <c r="F285" s="6">
        <f>IF(Table36[[#This Row],[Facility_1]]="-",0,V285)</f>
        <v>0</v>
      </c>
      <c r="L285" s="36">
        <f>IF(Table36[[#This Row],[Facility_1]]="-",0,AB285)</f>
        <v>0</v>
      </c>
    </row>
    <row r="286" spans="4:12" x14ac:dyDescent="0.25">
      <c r="D286" s="3"/>
      <c r="E286" s="6"/>
      <c r="F286" s="6">
        <f>IF(Table36[[#This Row],[Facility_1]]="-",0,V286)</f>
        <v>0</v>
      </c>
      <c r="L286" s="36">
        <f>IF(Table36[[#This Row],[Facility_1]]="-",0,AB286)</f>
        <v>0</v>
      </c>
    </row>
    <row r="287" spans="4:12" x14ac:dyDescent="0.25">
      <c r="D287" s="3"/>
      <c r="E287" s="6"/>
      <c r="F287" s="6">
        <f>IF(Table36[[#This Row],[Facility_1]]="-",0,V287)</f>
        <v>0</v>
      </c>
      <c r="L287" s="36">
        <f>IF(Table36[[#This Row],[Facility_1]]="-",0,AB287)</f>
        <v>0</v>
      </c>
    </row>
    <row r="288" spans="4:12" x14ac:dyDescent="0.25">
      <c r="D288" s="3"/>
      <c r="E288" s="6"/>
      <c r="F288" s="6">
        <f>IF(Table36[[#This Row],[Facility_1]]="-",0,V288)</f>
        <v>0</v>
      </c>
      <c r="L288" s="36">
        <f>IF(Table36[[#This Row],[Facility_1]]="-",0,AB288)</f>
        <v>0</v>
      </c>
    </row>
    <row r="289" spans="4:12" x14ac:dyDescent="0.25">
      <c r="D289" s="3"/>
      <c r="E289" s="6"/>
      <c r="F289" s="6">
        <f>IF(Table36[[#This Row],[Facility_1]]="-",0,V289)</f>
        <v>0</v>
      </c>
      <c r="L289" s="36">
        <f>IF(Table36[[#This Row],[Facility_1]]="-",0,AB289)</f>
        <v>0</v>
      </c>
    </row>
    <row r="290" spans="4:12" x14ac:dyDescent="0.25">
      <c r="D290" s="3"/>
      <c r="E290" s="6"/>
      <c r="F290" s="6">
        <f>IF(Table36[[#This Row],[Facility_1]]="-",0,V290)</f>
        <v>0</v>
      </c>
      <c r="L290" s="36">
        <f>IF(Table36[[#This Row],[Facility_1]]="-",0,AB290)</f>
        <v>0</v>
      </c>
    </row>
    <row r="291" spans="4:12" x14ac:dyDescent="0.25">
      <c r="D291" s="3"/>
      <c r="E291" s="6"/>
      <c r="F291" s="6">
        <f>IF(Table36[[#This Row],[Facility_1]]="-",0,V291)</f>
        <v>0</v>
      </c>
      <c r="L291" s="36">
        <f>IF(Table36[[#This Row],[Facility_1]]="-",0,AB291)</f>
        <v>0</v>
      </c>
    </row>
    <row r="292" spans="4:12" x14ac:dyDescent="0.25">
      <c r="D292" s="3"/>
      <c r="E292" s="6"/>
      <c r="F292" s="6">
        <f>IF(Table36[[#This Row],[Facility_1]]="-",0,V292)</f>
        <v>0</v>
      </c>
      <c r="L292" s="36">
        <f>IF(Table36[[#This Row],[Facility_1]]="-",0,AB292)</f>
        <v>0</v>
      </c>
    </row>
    <row r="293" spans="4:12" x14ac:dyDescent="0.25">
      <c r="D293" s="3"/>
      <c r="E293" s="6"/>
      <c r="F293" s="6">
        <f>IF(Table36[[#This Row],[Facility_1]]="-",0,V293)</f>
        <v>0</v>
      </c>
      <c r="L293" s="36">
        <f>IF(Table36[[#This Row],[Facility_1]]="-",0,AB293)</f>
        <v>0</v>
      </c>
    </row>
    <row r="294" spans="4:12" x14ac:dyDescent="0.25">
      <c r="D294" s="3"/>
      <c r="E294" s="6"/>
      <c r="F294" s="6">
        <f>IF(Table36[[#This Row],[Facility_1]]="-",0,V294)</f>
        <v>0</v>
      </c>
      <c r="L294" s="36">
        <f>IF(Table36[[#This Row],[Facility_1]]="-",0,AB294)</f>
        <v>0</v>
      </c>
    </row>
    <row r="295" spans="4:12" x14ac:dyDescent="0.25">
      <c r="D295" s="3"/>
      <c r="E295" s="6"/>
      <c r="F295" s="6">
        <f>IF(Table36[[#This Row],[Facility_1]]="-",0,V295)</f>
        <v>0</v>
      </c>
      <c r="L295" s="36">
        <f>IF(Table36[[#This Row],[Facility_1]]="-",0,AB295)</f>
        <v>0</v>
      </c>
    </row>
    <row r="296" spans="4:12" x14ac:dyDescent="0.25">
      <c r="D296" s="3"/>
      <c r="E296" s="6"/>
      <c r="F296" s="6">
        <f>IF(Table36[[#This Row],[Facility_1]]="-",0,V296)</f>
        <v>0</v>
      </c>
      <c r="L296" s="36">
        <f>IF(Table36[[#This Row],[Facility_1]]="-",0,AB296)</f>
        <v>0</v>
      </c>
    </row>
    <row r="297" spans="4:12" x14ac:dyDescent="0.25">
      <c r="D297" s="3"/>
      <c r="E297" s="6"/>
      <c r="F297" s="6">
        <f>IF(Table36[[#This Row],[Facility_1]]="-",0,V297)</f>
        <v>0</v>
      </c>
      <c r="L297" s="36">
        <f>IF(Table36[[#This Row],[Facility_1]]="-",0,AB297)</f>
        <v>0</v>
      </c>
    </row>
    <row r="298" spans="4:12" x14ac:dyDescent="0.25">
      <c r="D298" s="3"/>
      <c r="E298" s="6"/>
      <c r="F298" s="6">
        <f>IF(Table36[[#This Row],[Facility_1]]="-",0,V298)</f>
        <v>0</v>
      </c>
      <c r="L298" s="36">
        <f>IF(Table36[[#This Row],[Facility_1]]="-",0,AB298)</f>
        <v>0</v>
      </c>
    </row>
    <row r="299" spans="4:12" x14ac:dyDescent="0.25">
      <c r="D299" s="3"/>
      <c r="E299" s="6"/>
      <c r="F299" s="6">
        <f>IF(Table36[[#This Row],[Facility_1]]="-",0,V299)</f>
        <v>0</v>
      </c>
      <c r="L299" s="36">
        <f>IF(Table36[[#This Row],[Facility_1]]="-",0,AB299)</f>
        <v>0</v>
      </c>
    </row>
    <row r="300" spans="4:12" x14ac:dyDescent="0.25">
      <c r="D300" s="3"/>
      <c r="E300" s="6"/>
      <c r="F300" s="6">
        <f>IF(Table36[[#This Row],[Facility_1]]="-",0,V300)</f>
        <v>0</v>
      </c>
      <c r="L300" s="36">
        <f>IF(Table36[[#This Row],[Facility_1]]="-",0,AB300)</f>
        <v>0</v>
      </c>
    </row>
    <row r="301" spans="4:12" x14ac:dyDescent="0.25">
      <c r="D301" s="3"/>
      <c r="E301" s="6"/>
      <c r="F301" s="6">
        <f>IF(Table36[[#This Row],[Facility_1]]="-",0,V301)</f>
        <v>0</v>
      </c>
      <c r="L301" s="36">
        <f>IF(Table36[[#This Row],[Facility_1]]="-",0,AB301)</f>
        <v>0</v>
      </c>
    </row>
    <row r="302" spans="4:12" x14ac:dyDescent="0.25">
      <c r="D302" s="3"/>
      <c r="E302" s="6"/>
      <c r="F302" s="6">
        <f>IF(Table36[[#This Row],[Facility_1]]="-",0,V302)</f>
        <v>0</v>
      </c>
      <c r="L302" s="36">
        <f>IF(Table36[[#This Row],[Facility_1]]="-",0,AB302)</f>
        <v>0</v>
      </c>
    </row>
    <row r="303" spans="4:12" x14ac:dyDescent="0.25">
      <c r="D303" s="3"/>
      <c r="E303" s="6"/>
      <c r="F303" s="6">
        <f>IF(Table36[[#This Row],[Facility_1]]="-",0,V303)</f>
        <v>0</v>
      </c>
      <c r="L303" s="36">
        <f>IF(Table36[[#This Row],[Facility_1]]="-",0,AB303)</f>
        <v>0</v>
      </c>
    </row>
    <row r="304" spans="4:12" x14ac:dyDescent="0.25">
      <c r="D304" s="3"/>
      <c r="E304" s="6"/>
      <c r="F304" s="6">
        <f>IF(Table36[[#This Row],[Facility_1]]="-",0,V304)</f>
        <v>0</v>
      </c>
      <c r="L304" s="36">
        <f>IF(Table36[[#This Row],[Facility_1]]="-",0,AB304)</f>
        <v>0</v>
      </c>
    </row>
    <row r="305" spans="4:12" x14ac:dyDescent="0.25">
      <c r="D305" s="3"/>
      <c r="E305" s="6"/>
      <c r="F305" s="6">
        <f>IF(Table36[[#This Row],[Facility_1]]="-",0,V305)</f>
        <v>0</v>
      </c>
      <c r="L305" s="36">
        <f>IF(Table36[[#This Row],[Facility_1]]="-",0,AB305)</f>
        <v>0</v>
      </c>
    </row>
    <row r="306" spans="4:12" x14ac:dyDescent="0.25">
      <c r="D306" s="3"/>
      <c r="E306" s="6"/>
      <c r="F306" s="6">
        <f>IF(Table36[[#This Row],[Facility_1]]="-",0,V306)</f>
        <v>0</v>
      </c>
      <c r="L306" s="36">
        <f>IF(Table36[[#This Row],[Facility_1]]="-",0,AB306)</f>
        <v>0</v>
      </c>
    </row>
    <row r="307" spans="4:12" x14ac:dyDescent="0.25">
      <c r="D307" s="3"/>
      <c r="E307" s="6"/>
      <c r="F307" s="6">
        <f>IF(Table36[[#This Row],[Facility_1]]="-",0,V307)</f>
        <v>0</v>
      </c>
      <c r="L307" s="36">
        <f>IF(Table36[[#This Row],[Facility_1]]="-",0,AB307)</f>
        <v>0</v>
      </c>
    </row>
    <row r="308" spans="4:12" x14ac:dyDescent="0.25">
      <c r="D308" s="3"/>
      <c r="E308" s="6"/>
      <c r="F308" s="6">
        <f>IF(Table36[[#This Row],[Facility_1]]="-",0,V308)</f>
        <v>0</v>
      </c>
      <c r="L308" s="36">
        <f>IF(Table36[[#This Row],[Facility_1]]="-",0,AB308)</f>
        <v>0</v>
      </c>
    </row>
    <row r="309" spans="4:12" x14ac:dyDescent="0.25">
      <c r="D309" s="3"/>
      <c r="E309" s="6"/>
      <c r="F309" s="6">
        <f>IF(Table36[[#This Row],[Facility_1]]="-",0,V309)</f>
        <v>0</v>
      </c>
      <c r="L309" s="36">
        <f>IF(Table36[[#This Row],[Facility_1]]="-",0,AB309)</f>
        <v>0</v>
      </c>
    </row>
    <row r="310" spans="4:12" x14ac:dyDescent="0.25">
      <c r="D310" s="3"/>
      <c r="E310" s="6"/>
      <c r="F310" s="6">
        <f>IF(Table36[[#This Row],[Facility_1]]="-",0,V310)</f>
        <v>0</v>
      </c>
      <c r="L310" s="36">
        <f>IF(Table36[[#This Row],[Facility_1]]="-",0,AB310)</f>
        <v>0</v>
      </c>
    </row>
    <row r="311" spans="4:12" x14ac:dyDescent="0.25">
      <c r="D311" s="3"/>
      <c r="E311" s="6"/>
      <c r="F311" s="6">
        <f>IF(Table36[[#This Row],[Facility_1]]="-",0,V311)</f>
        <v>0</v>
      </c>
      <c r="L311" s="36">
        <f>IF(Table36[[#This Row],[Facility_1]]="-",0,AB311)</f>
        <v>0</v>
      </c>
    </row>
    <row r="312" spans="4:12" x14ac:dyDescent="0.25">
      <c r="D312" s="3"/>
      <c r="E312" s="6"/>
      <c r="F312" s="6">
        <f>IF(Table36[[#This Row],[Facility_1]]="-",0,V312)</f>
        <v>0</v>
      </c>
      <c r="L312" s="36">
        <f>IF(Table36[[#This Row],[Facility_1]]="-",0,AB312)</f>
        <v>0</v>
      </c>
    </row>
    <row r="313" spans="4:12" x14ac:dyDescent="0.25">
      <c r="D313" s="3"/>
      <c r="E313" s="6"/>
      <c r="F313" s="6">
        <f>IF(Table36[[#This Row],[Facility_1]]="-",0,V313)</f>
        <v>0</v>
      </c>
      <c r="L313" s="36">
        <f>IF(Table36[[#This Row],[Facility_1]]="-",0,AB313)</f>
        <v>0</v>
      </c>
    </row>
    <row r="314" spans="4:12" x14ac:dyDescent="0.25">
      <c r="D314" s="3"/>
      <c r="E314" s="6"/>
      <c r="F314" s="6">
        <f>IF(Table36[[#This Row],[Facility_1]]="-",0,V314)</f>
        <v>0</v>
      </c>
      <c r="L314" s="36">
        <f>IF(Table36[[#This Row],[Facility_1]]="-",0,AB314)</f>
        <v>0</v>
      </c>
    </row>
    <row r="315" spans="4:12" x14ac:dyDescent="0.25">
      <c r="D315" s="3"/>
      <c r="E315" s="6"/>
      <c r="F315" s="6">
        <f>IF(Table36[[#This Row],[Facility_1]]="-",0,V315)</f>
        <v>0</v>
      </c>
      <c r="L315" s="36">
        <f>IF(Table36[[#This Row],[Facility_1]]="-",0,AB315)</f>
        <v>0</v>
      </c>
    </row>
    <row r="316" spans="4:12" x14ac:dyDescent="0.25">
      <c r="D316" s="3"/>
      <c r="E316" s="6"/>
      <c r="F316" s="6">
        <f>IF(Table36[[#This Row],[Facility_1]]="-",0,V316)</f>
        <v>0</v>
      </c>
      <c r="L316" s="36">
        <f>IF(Table36[[#This Row],[Facility_1]]="-",0,AB316)</f>
        <v>0</v>
      </c>
    </row>
    <row r="317" spans="4:12" x14ac:dyDescent="0.25">
      <c r="D317" s="3"/>
      <c r="E317" s="6"/>
      <c r="F317" s="6">
        <f>IF(Table36[[#This Row],[Facility_1]]="-",0,V317)</f>
        <v>0</v>
      </c>
      <c r="L317" s="36">
        <f>IF(Table36[[#This Row],[Facility_1]]="-",0,AB317)</f>
        <v>0</v>
      </c>
    </row>
    <row r="318" spans="4:12" x14ac:dyDescent="0.25">
      <c r="D318" s="3"/>
      <c r="E318" s="6"/>
      <c r="F318" s="6">
        <f>IF(Table36[[#This Row],[Facility_1]]="-",0,V318)</f>
        <v>0</v>
      </c>
      <c r="L318" s="36">
        <f>IF(Table36[[#This Row],[Facility_1]]="-",0,AB318)</f>
        <v>0</v>
      </c>
    </row>
    <row r="319" spans="4:12" x14ac:dyDescent="0.25">
      <c r="D319" s="3"/>
      <c r="E319" s="6"/>
      <c r="F319" s="6">
        <f>IF(Table36[[#This Row],[Facility_1]]="-",0,V319)</f>
        <v>0</v>
      </c>
      <c r="L319" s="36">
        <f>IF(Table36[[#This Row],[Facility_1]]="-",0,AB319)</f>
        <v>0</v>
      </c>
    </row>
    <row r="320" spans="4:12" x14ac:dyDescent="0.25">
      <c r="D320" s="3"/>
      <c r="E320" s="6"/>
      <c r="F320" s="6">
        <f>IF(Table36[[#This Row],[Facility_1]]="-",0,V320)</f>
        <v>0</v>
      </c>
      <c r="L320" s="36">
        <f>IF(Table36[[#This Row],[Facility_1]]="-",0,AB320)</f>
        <v>0</v>
      </c>
    </row>
    <row r="321" spans="4:12" x14ac:dyDescent="0.25">
      <c r="D321" s="3"/>
      <c r="E321" s="6"/>
      <c r="F321" s="6">
        <f>IF(Table36[[#This Row],[Facility_1]]="-",0,V321)</f>
        <v>0</v>
      </c>
      <c r="L321" s="36">
        <f>IF(Table36[[#This Row],[Facility_1]]="-",0,AB321)</f>
        <v>0</v>
      </c>
    </row>
    <row r="322" spans="4:12" x14ac:dyDescent="0.25">
      <c r="D322" s="3"/>
      <c r="E322" s="6"/>
      <c r="F322" s="6">
        <f>IF(Table36[[#This Row],[Facility_1]]="-",0,V322)</f>
        <v>0</v>
      </c>
      <c r="L322" s="36">
        <f>IF(Table36[[#This Row],[Facility_1]]="-",0,AB322)</f>
        <v>0</v>
      </c>
    </row>
    <row r="323" spans="4:12" x14ac:dyDescent="0.25">
      <c r="D323" s="3"/>
      <c r="E323" s="6"/>
      <c r="F323" s="6">
        <f>IF(Table36[[#This Row],[Facility_1]]="-",0,V323)</f>
        <v>0</v>
      </c>
      <c r="L323" s="36">
        <f>IF(Table36[[#This Row],[Facility_1]]="-",0,AB323)</f>
        <v>0</v>
      </c>
    </row>
    <row r="324" spans="4:12" x14ac:dyDescent="0.25">
      <c r="D324" s="3"/>
      <c r="E324" s="6"/>
      <c r="F324" s="6">
        <f>IF(Table36[[#This Row],[Facility_1]]="-",0,V324)</f>
        <v>0</v>
      </c>
      <c r="L324" s="36">
        <f>IF(Table36[[#This Row],[Facility_1]]="-",0,AB324)</f>
        <v>0</v>
      </c>
    </row>
    <row r="325" spans="4:12" x14ac:dyDescent="0.25">
      <c r="D325" s="3"/>
      <c r="E325" s="6"/>
      <c r="F325" s="6">
        <f>IF(Table36[[#This Row],[Facility_1]]="-",0,V325)</f>
        <v>0</v>
      </c>
      <c r="L325" s="36">
        <f>IF(Table36[[#This Row],[Facility_1]]="-",0,AB325)</f>
        <v>0</v>
      </c>
    </row>
    <row r="326" spans="4:12" x14ac:dyDescent="0.25">
      <c r="D326" s="3"/>
      <c r="E326" s="6"/>
      <c r="F326" s="6">
        <f>IF(Table36[[#This Row],[Facility_1]]="-",0,V326)</f>
        <v>0</v>
      </c>
      <c r="L326" s="36">
        <f>IF(Table36[[#This Row],[Facility_1]]="-",0,AB326)</f>
        <v>0</v>
      </c>
    </row>
    <row r="327" spans="4:12" x14ac:dyDescent="0.25">
      <c r="D327" s="3"/>
      <c r="E327" s="6"/>
      <c r="F327" s="6">
        <f>IF(Table36[[#This Row],[Facility_1]]="-",0,V327)</f>
        <v>0</v>
      </c>
      <c r="L327" s="36">
        <f>IF(Table36[[#This Row],[Facility_1]]="-",0,AB327)</f>
        <v>0</v>
      </c>
    </row>
    <row r="328" spans="4:12" x14ac:dyDescent="0.25">
      <c r="D328" s="3"/>
      <c r="E328" s="6"/>
      <c r="F328" s="6">
        <f>IF(Table36[[#This Row],[Facility_1]]="-",0,V328)</f>
        <v>0</v>
      </c>
      <c r="L328" s="36">
        <f>IF(Table36[[#This Row],[Facility_1]]="-",0,AB328)</f>
        <v>0</v>
      </c>
    </row>
    <row r="329" spans="4:12" x14ac:dyDescent="0.25">
      <c r="D329" s="3"/>
      <c r="E329" s="6"/>
      <c r="F329" s="6">
        <f>IF(Table36[[#This Row],[Facility_1]]="-",0,V329)</f>
        <v>0</v>
      </c>
      <c r="L329" s="36">
        <f>IF(Table36[[#This Row],[Facility_1]]="-",0,AB329)</f>
        <v>0</v>
      </c>
    </row>
    <row r="330" spans="4:12" x14ac:dyDescent="0.25">
      <c r="D330" s="3"/>
      <c r="E330" s="6"/>
      <c r="F330" s="6">
        <f>IF(Table36[[#This Row],[Facility_1]]="-",0,V330)</f>
        <v>0</v>
      </c>
      <c r="L330" s="36">
        <f>IF(Table36[[#This Row],[Facility_1]]="-",0,AB330)</f>
        <v>0</v>
      </c>
    </row>
    <row r="331" spans="4:12" x14ac:dyDescent="0.25">
      <c r="D331" s="3"/>
      <c r="E331" s="6"/>
      <c r="F331" s="6">
        <f>IF(Table36[[#This Row],[Facility_1]]="-",0,V331)</f>
        <v>0</v>
      </c>
      <c r="L331" s="36">
        <f>IF(Table36[[#This Row],[Facility_1]]="-",0,AB331)</f>
        <v>0</v>
      </c>
    </row>
    <row r="332" spans="4:12" x14ac:dyDescent="0.25">
      <c r="D332" s="3"/>
      <c r="E332" s="6"/>
      <c r="F332" s="6">
        <f>IF(Table36[[#This Row],[Facility_1]]="-",0,V332)</f>
        <v>0</v>
      </c>
      <c r="L332" s="36">
        <f>IF(Table36[[#This Row],[Facility_1]]="-",0,AB332)</f>
        <v>0</v>
      </c>
    </row>
    <row r="333" spans="4:12" x14ac:dyDescent="0.25">
      <c r="D333" s="3"/>
      <c r="E333" s="6"/>
      <c r="F333" s="6">
        <f>IF(Table36[[#This Row],[Facility_1]]="-",0,V333)</f>
        <v>0</v>
      </c>
      <c r="L333" s="36">
        <f>IF(Table36[[#This Row],[Facility_1]]="-",0,AB333)</f>
        <v>0</v>
      </c>
    </row>
    <row r="334" spans="4:12" x14ac:dyDescent="0.25">
      <c r="D334" s="3"/>
      <c r="E334" s="6"/>
      <c r="F334" s="6">
        <f>IF(Table36[[#This Row],[Facility_1]]="-",0,V334)</f>
        <v>0</v>
      </c>
      <c r="L334" s="36">
        <f>IF(Table36[[#This Row],[Facility_1]]="-",0,AB334)</f>
        <v>0</v>
      </c>
    </row>
    <row r="335" spans="4:12" x14ac:dyDescent="0.25">
      <c r="D335" s="3"/>
      <c r="E335" s="6"/>
      <c r="F335" s="6">
        <f>IF(Table36[[#This Row],[Facility_1]]="-",0,V335)</f>
        <v>0</v>
      </c>
      <c r="L335" s="36">
        <f>IF(Table36[[#This Row],[Facility_1]]="-",0,AB335)</f>
        <v>0</v>
      </c>
    </row>
    <row r="336" spans="4:12" x14ac:dyDescent="0.25">
      <c r="D336" s="3"/>
      <c r="E336" s="6"/>
      <c r="F336" s="6">
        <f>IF(Table36[[#This Row],[Facility_1]]="-",0,V336)</f>
        <v>0</v>
      </c>
      <c r="L336" s="36">
        <f>IF(Table36[[#This Row],[Facility_1]]="-",0,AB336)</f>
        <v>0</v>
      </c>
    </row>
    <row r="337" spans="4:12" x14ac:dyDescent="0.25">
      <c r="D337" s="3"/>
      <c r="E337" s="6"/>
      <c r="F337" s="6">
        <f>IF(Table36[[#This Row],[Facility_1]]="-",0,V337)</f>
        <v>0</v>
      </c>
      <c r="L337" s="36">
        <f>IF(Table36[[#This Row],[Facility_1]]="-",0,AB337)</f>
        <v>0</v>
      </c>
    </row>
    <row r="338" spans="4:12" x14ac:dyDescent="0.25">
      <c r="D338" s="3"/>
      <c r="E338" s="6"/>
      <c r="F338" s="6">
        <f>IF(Table36[[#This Row],[Facility_1]]="-",0,V338)</f>
        <v>0</v>
      </c>
      <c r="L338" s="36">
        <f>IF(Table36[[#This Row],[Facility_1]]="-",0,AB338)</f>
        <v>0</v>
      </c>
    </row>
    <row r="339" spans="4:12" x14ac:dyDescent="0.25">
      <c r="D339" s="3"/>
      <c r="E339" s="6"/>
      <c r="F339" s="6">
        <f>IF(Table36[[#This Row],[Facility_1]]="-",0,V339)</f>
        <v>0</v>
      </c>
      <c r="L339" s="36">
        <f>IF(Table36[[#This Row],[Facility_1]]="-",0,AB339)</f>
        <v>0</v>
      </c>
    </row>
    <row r="340" spans="4:12" x14ac:dyDescent="0.25">
      <c r="D340" s="3"/>
      <c r="E340" s="6"/>
      <c r="F340" s="6">
        <f>IF(Table36[[#This Row],[Facility_1]]="-",0,V340)</f>
        <v>0</v>
      </c>
      <c r="L340" s="36">
        <f>IF(Table36[[#This Row],[Facility_1]]="-",0,AB340)</f>
        <v>0</v>
      </c>
    </row>
    <row r="341" spans="4:12" x14ac:dyDescent="0.25">
      <c r="D341" s="3"/>
      <c r="E341" s="6"/>
      <c r="F341" s="6">
        <f>IF(Table36[[#This Row],[Facility_1]]="-",0,V341)</f>
        <v>0</v>
      </c>
      <c r="L341" s="36">
        <f>IF(Table36[[#This Row],[Facility_1]]="-",0,AB341)</f>
        <v>0</v>
      </c>
    </row>
    <row r="342" spans="4:12" x14ac:dyDescent="0.25">
      <c r="D342" s="3"/>
      <c r="E342" s="6"/>
      <c r="F342" s="6">
        <f>IF(Table36[[#This Row],[Facility_1]]="-",0,V342)</f>
        <v>0</v>
      </c>
      <c r="L342" s="36">
        <f>IF(Table36[[#This Row],[Facility_1]]="-",0,AB342)</f>
        <v>0</v>
      </c>
    </row>
    <row r="343" spans="4:12" x14ac:dyDescent="0.25">
      <c r="D343" s="3"/>
      <c r="E343" s="6"/>
      <c r="F343" s="6">
        <f>IF(Table36[[#This Row],[Facility_1]]="-",0,V343)</f>
        <v>0</v>
      </c>
      <c r="L343" s="36">
        <f>IF(Table36[[#This Row],[Facility_1]]="-",0,AB343)</f>
        <v>0</v>
      </c>
    </row>
    <row r="344" spans="4:12" x14ac:dyDescent="0.25">
      <c r="D344" s="3"/>
      <c r="E344" s="6"/>
      <c r="F344" s="6">
        <f>IF(Table36[[#This Row],[Facility_1]]="-",0,V344)</f>
        <v>0</v>
      </c>
      <c r="L344" s="36">
        <f>IF(Table36[[#This Row],[Facility_1]]="-",0,AB344)</f>
        <v>0</v>
      </c>
    </row>
    <row r="345" spans="4:12" x14ac:dyDescent="0.25">
      <c r="D345" s="3"/>
      <c r="E345" s="6"/>
      <c r="F345" s="6">
        <f>IF(Table36[[#This Row],[Facility_1]]="-",0,V345)</f>
        <v>0</v>
      </c>
      <c r="L345" s="36">
        <f>IF(Table36[[#This Row],[Facility_1]]="-",0,AB345)</f>
        <v>0</v>
      </c>
    </row>
    <row r="346" spans="4:12" x14ac:dyDescent="0.25">
      <c r="D346" s="3"/>
      <c r="E346" s="6"/>
      <c r="F346" s="6">
        <f>IF(Table36[[#This Row],[Facility_1]]="-",0,V346)</f>
        <v>0</v>
      </c>
      <c r="L346" s="36">
        <f>IF(Table36[[#This Row],[Facility_1]]="-",0,AB346)</f>
        <v>0</v>
      </c>
    </row>
    <row r="347" spans="4:12" x14ac:dyDescent="0.25">
      <c r="D347" s="3"/>
      <c r="E347" s="6"/>
      <c r="F347" s="6">
        <f>IF(Table36[[#This Row],[Facility_1]]="-",0,V347)</f>
        <v>0</v>
      </c>
      <c r="L347" s="36">
        <f>IF(Table36[[#This Row],[Facility_1]]="-",0,AB347)</f>
        <v>0</v>
      </c>
    </row>
    <row r="348" spans="4:12" x14ac:dyDescent="0.25">
      <c r="D348" s="3"/>
      <c r="E348" s="6"/>
      <c r="F348" s="6">
        <f>IF(Table36[[#This Row],[Facility_1]]="-",0,V348)</f>
        <v>0</v>
      </c>
      <c r="L348" s="36">
        <f>IF(Table36[[#This Row],[Facility_1]]="-",0,AB348)</f>
        <v>0</v>
      </c>
    </row>
    <row r="349" spans="4:12" x14ac:dyDescent="0.25">
      <c r="D349" s="3"/>
      <c r="E349" s="6"/>
      <c r="F349" s="6">
        <f>IF(Table36[[#This Row],[Facility_1]]="-",0,V349)</f>
        <v>0</v>
      </c>
      <c r="L349" s="36">
        <f>IF(Table36[[#This Row],[Facility_1]]="-",0,AB349)</f>
        <v>0</v>
      </c>
    </row>
    <row r="350" spans="4:12" x14ac:dyDescent="0.25">
      <c r="D350" s="3"/>
      <c r="E350" s="6"/>
      <c r="F350" s="6">
        <f>IF(Table36[[#This Row],[Facility_1]]="-",0,V350)</f>
        <v>0</v>
      </c>
      <c r="L350" s="36">
        <f>IF(Table36[[#This Row],[Facility_1]]="-",0,AB350)</f>
        <v>0</v>
      </c>
    </row>
    <row r="351" spans="4:12" x14ac:dyDescent="0.25">
      <c r="D351" s="3"/>
      <c r="E351" s="6"/>
      <c r="F351" s="6">
        <f>IF(Table36[[#This Row],[Facility_1]]="-",0,V351)</f>
        <v>0</v>
      </c>
      <c r="L351" s="36">
        <f>IF(Table36[[#This Row],[Facility_1]]="-",0,AB351)</f>
        <v>0</v>
      </c>
    </row>
    <row r="352" spans="4:12" x14ac:dyDescent="0.25">
      <c r="D352" s="3"/>
      <c r="E352" s="6"/>
      <c r="F352" s="6">
        <f>IF(Table36[[#This Row],[Facility_1]]="-",0,V352)</f>
        <v>0</v>
      </c>
      <c r="L352" s="36">
        <f>IF(Table36[[#This Row],[Facility_1]]="-",0,AB352)</f>
        <v>0</v>
      </c>
    </row>
    <row r="353" spans="4:12" x14ac:dyDescent="0.25">
      <c r="D353" s="3"/>
      <c r="E353" s="6"/>
      <c r="F353" s="6">
        <f>IF(Table36[[#This Row],[Facility_1]]="-",0,V353)</f>
        <v>0</v>
      </c>
      <c r="L353" s="36">
        <f>IF(Table36[[#This Row],[Facility_1]]="-",0,AB353)</f>
        <v>0</v>
      </c>
    </row>
    <row r="354" spans="4:12" x14ac:dyDescent="0.25">
      <c r="D354" s="3"/>
      <c r="E354" s="6"/>
      <c r="F354" s="6">
        <f>IF(Table36[[#This Row],[Facility_1]]="-",0,V354)</f>
        <v>0</v>
      </c>
      <c r="L354" s="36">
        <f>IF(Table36[[#This Row],[Facility_1]]="-",0,AB354)</f>
        <v>0</v>
      </c>
    </row>
    <row r="355" spans="4:12" x14ac:dyDescent="0.25">
      <c r="D355" s="3"/>
      <c r="E355" s="6"/>
      <c r="F355" s="6">
        <f>IF(Table36[[#This Row],[Facility_1]]="-",0,V355)</f>
        <v>0</v>
      </c>
      <c r="L355" s="36">
        <f>IF(Table36[[#This Row],[Facility_1]]="-",0,AB355)</f>
        <v>0</v>
      </c>
    </row>
    <row r="356" spans="4:12" x14ac:dyDescent="0.25">
      <c r="D356" s="3"/>
      <c r="E356" s="6"/>
      <c r="F356" s="6">
        <f>IF(Table36[[#This Row],[Facility_1]]="-",0,V356)</f>
        <v>0</v>
      </c>
      <c r="L356" s="36">
        <f>IF(Table36[[#This Row],[Facility_1]]="-",0,AB356)</f>
        <v>0</v>
      </c>
    </row>
    <row r="357" spans="4:12" x14ac:dyDescent="0.25">
      <c r="D357" s="3"/>
      <c r="E357" s="6"/>
      <c r="F357" s="6">
        <f>IF(Table36[[#This Row],[Facility_1]]="-",0,V357)</f>
        <v>0</v>
      </c>
      <c r="L357" s="36">
        <f>IF(Table36[[#This Row],[Facility_1]]="-",0,AB357)</f>
        <v>0</v>
      </c>
    </row>
    <row r="358" spans="4:12" x14ac:dyDescent="0.25">
      <c r="D358" s="3"/>
      <c r="E358" s="6"/>
      <c r="F358" s="6">
        <f>IF(Table36[[#This Row],[Facility_1]]="-",0,V358)</f>
        <v>0</v>
      </c>
      <c r="L358" s="36">
        <f>IF(Table36[[#This Row],[Facility_1]]="-",0,AB358)</f>
        <v>0</v>
      </c>
    </row>
    <row r="359" spans="4:12" x14ac:dyDescent="0.25">
      <c r="D359" s="3"/>
      <c r="E359" s="6"/>
      <c r="F359" s="6">
        <f>IF(Table36[[#This Row],[Facility_1]]="-",0,V359)</f>
        <v>0</v>
      </c>
      <c r="L359" s="36">
        <f>IF(Table36[[#This Row],[Facility_1]]="-",0,AB359)</f>
        <v>0</v>
      </c>
    </row>
    <row r="360" spans="4:12" x14ac:dyDescent="0.25">
      <c r="D360" s="3"/>
      <c r="E360" s="6"/>
      <c r="F360" s="6">
        <f>IF(Table36[[#This Row],[Facility_1]]="-",0,V360)</f>
        <v>0</v>
      </c>
      <c r="L360" s="36">
        <f>IF(Table36[[#This Row],[Facility_1]]="-",0,AB360)</f>
        <v>0</v>
      </c>
    </row>
    <row r="361" spans="4:12" x14ac:dyDescent="0.25">
      <c r="D361" s="3"/>
      <c r="E361" s="6"/>
      <c r="F361" s="6">
        <f>IF(Table36[[#This Row],[Facility_1]]="-",0,V361)</f>
        <v>0</v>
      </c>
      <c r="L361" s="36">
        <f>IF(Table36[[#This Row],[Facility_1]]="-",0,AB361)</f>
        <v>0</v>
      </c>
    </row>
    <row r="362" spans="4:12" x14ac:dyDescent="0.25">
      <c r="D362" s="3"/>
      <c r="E362" s="6"/>
      <c r="F362" s="6">
        <f>IF(Table36[[#This Row],[Facility_1]]="-",0,V362)</f>
        <v>0</v>
      </c>
      <c r="L362" s="36">
        <f>IF(Table36[[#This Row],[Facility_1]]="-",0,AB362)</f>
        <v>0</v>
      </c>
    </row>
    <row r="363" spans="4:12" x14ac:dyDescent="0.25">
      <c r="D363" s="3"/>
      <c r="E363" s="6"/>
      <c r="F363" s="6">
        <f>IF(Table36[[#This Row],[Facility_1]]="-",0,V363)</f>
        <v>0</v>
      </c>
      <c r="L363" s="36">
        <f>IF(Table36[[#This Row],[Facility_1]]="-",0,AB363)</f>
        <v>0</v>
      </c>
    </row>
    <row r="364" spans="4:12" x14ac:dyDescent="0.25">
      <c r="D364" s="3"/>
      <c r="E364" s="6"/>
      <c r="F364" s="6">
        <f>IF(Table36[[#This Row],[Facility_1]]="-",0,V364)</f>
        <v>0</v>
      </c>
      <c r="L364" s="36">
        <f>IF(Table36[[#This Row],[Facility_1]]="-",0,AB364)</f>
        <v>0</v>
      </c>
    </row>
    <row r="365" spans="4:12" x14ac:dyDescent="0.25">
      <c r="D365" s="3"/>
      <c r="E365" s="6"/>
      <c r="F365" s="6">
        <f>IF(Table36[[#This Row],[Facility_1]]="-",0,V365)</f>
        <v>0</v>
      </c>
      <c r="L365" s="36">
        <f>IF(Table36[[#This Row],[Facility_1]]="-",0,AB365)</f>
        <v>0</v>
      </c>
    </row>
    <row r="366" spans="4:12" x14ac:dyDescent="0.25">
      <c r="D366" s="3"/>
      <c r="E366" s="6"/>
      <c r="F366" s="6">
        <f>IF(Table36[[#This Row],[Facility_1]]="-",0,V366)</f>
        <v>0</v>
      </c>
      <c r="L366" s="36">
        <f>IF(Table36[[#This Row],[Facility_1]]="-",0,AB366)</f>
        <v>0</v>
      </c>
    </row>
    <row r="367" spans="4:12" x14ac:dyDescent="0.25">
      <c r="D367" s="3"/>
      <c r="E367" s="6"/>
      <c r="F367" s="6">
        <f>IF(Table36[[#This Row],[Facility_1]]="-",0,V367)</f>
        <v>0</v>
      </c>
      <c r="L367" s="36">
        <f>IF(Table36[[#This Row],[Facility_1]]="-",0,AB367)</f>
        <v>0</v>
      </c>
    </row>
    <row r="368" spans="4:12" x14ac:dyDescent="0.25">
      <c r="D368" s="3"/>
      <c r="E368" s="6"/>
      <c r="F368" s="6">
        <f>IF(Table36[[#This Row],[Facility_1]]="-",0,V368)</f>
        <v>0</v>
      </c>
      <c r="L368" s="36">
        <f>IF(Table36[[#This Row],[Facility_1]]="-",0,AB368)</f>
        <v>0</v>
      </c>
    </row>
    <row r="369" spans="4:12" x14ac:dyDescent="0.25">
      <c r="D369" s="3"/>
      <c r="E369" s="6"/>
      <c r="F369" s="6">
        <f>IF(Table36[[#This Row],[Facility_1]]="-",0,V369)</f>
        <v>0</v>
      </c>
      <c r="L369" s="36">
        <f>IF(Table36[[#This Row],[Facility_1]]="-",0,AB369)</f>
        <v>0</v>
      </c>
    </row>
    <row r="370" spans="4:12" x14ac:dyDescent="0.25">
      <c r="D370" s="3"/>
      <c r="E370" s="6"/>
      <c r="F370" s="6">
        <f>IF(Table36[[#This Row],[Facility_1]]="-",0,V370)</f>
        <v>0</v>
      </c>
      <c r="L370" s="36">
        <f>IF(Table36[[#This Row],[Facility_1]]="-",0,AB370)</f>
        <v>0</v>
      </c>
    </row>
    <row r="371" spans="4:12" x14ac:dyDescent="0.25">
      <c r="D371" s="3"/>
      <c r="E371" s="6"/>
      <c r="F371" s="6">
        <f>IF(Table36[[#This Row],[Facility_1]]="-",0,V371)</f>
        <v>0</v>
      </c>
      <c r="L371" s="36">
        <f>IF(Table36[[#This Row],[Facility_1]]="-",0,AB371)</f>
        <v>0</v>
      </c>
    </row>
    <row r="372" spans="4:12" x14ac:dyDescent="0.25">
      <c r="D372" s="3"/>
      <c r="E372" s="6"/>
      <c r="F372" s="6">
        <f>IF(Table36[[#This Row],[Facility_1]]="-",0,V372)</f>
        <v>0</v>
      </c>
      <c r="L372" s="36">
        <f>IF(Table36[[#This Row],[Facility_1]]="-",0,AB372)</f>
        <v>0</v>
      </c>
    </row>
    <row r="373" spans="4:12" x14ac:dyDescent="0.25">
      <c r="D373" s="3"/>
      <c r="E373" s="6"/>
      <c r="F373" s="6">
        <f>IF(Table36[[#This Row],[Facility_1]]="-",0,V373)</f>
        <v>0</v>
      </c>
      <c r="L373" s="36">
        <f>IF(Table36[[#This Row],[Facility_1]]="-",0,AB373)</f>
        <v>0</v>
      </c>
    </row>
    <row r="374" spans="4:12" x14ac:dyDescent="0.25">
      <c r="D374" s="3"/>
      <c r="E374" s="6"/>
      <c r="F374" s="6">
        <f>IF(Table36[[#This Row],[Facility_1]]="-",0,V374)</f>
        <v>0</v>
      </c>
      <c r="L374" s="36">
        <f>IF(Table36[[#This Row],[Facility_1]]="-",0,AB374)</f>
        <v>0</v>
      </c>
    </row>
    <row r="375" spans="4:12" x14ac:dyDescent="0.25">
      <c r="D375" s="3"/>
      <c r="E375" s="6"/>
      <c r="F375" s="6">
        <f>IF(Table36[[#This Row],[Facility_1]]="-",0,V375)</f>
        <v>0</v>
      </c>
      <c r="L375" s="36">
        <f>IF(Table36[[#This Row],[Facility_1]]="-",0,AB375)</f>
        <v>0</v>
      </c>
    </row>
    <row r="376" spans="4:12" x14ac:dyDescent="0.25">
      <c r="D376" s="3"/>
      <c r="E376" s="6"/>
      <c r="F376" s="6">
        <f>IF(Table36[[#This Row],[Facility_1]]="-",0,V376)</f>
        <v>0</v>
      </c>
      <c r="L376" s="36">
        <f>IF(Table36[[#This Row],[Facility_1]]="-",0,AB376)</f>
        <v>0</v>
      </c>
    </row>
    <row r="377" spans="4:12" x14ac:dyDescent="0.25">
      <c r="D377" s="3"/>
      <c r="E377" s="6"/>
      <c r="F377" s="6">
        <f>IF(Table36[[#This Row],[Facility_1]]="-",0,V377)</f>
        <v>0</v>
      </c>
      <c r="L377" s="36">
        <f>IF(Table36[[#This Row],[Facility_1]]="-",0,AB377)</f>
        <v>0</v>
      </c>
    </row>
    <row r="378" spans="4:12" x14ac:dyDescent="0.25">
      <c r="D378" s="3"/>
      <c r="E378" s="6"/>
      <c r="F378" s="6">
        <f>IF(Table36[[#This Row],[Facility_1]]="-",0,V378)</f>
        <v>0</v>
      </c>
      <c r="L378" s="36">
        <f>IF(Table36[[#This Row],[Facility_1]]="-",0,AB378)</f>
        <v>0</v>
      </c>
    </row>
    <row r="379" spans="4:12" x14ac:dyDescent="0.25">
      <c r="D379" s="3"/>
      <c r="E379" s="6"/>
      <c r="F379" s="6">
        <f>IF(Table36[[#This Row],[Facility_1]]="-",0,V379)</f>
        <v>0</v>
      </c>
      <c r="L379" s="36">
        <f>IF(Table36[[#This Row],[Facility_1]]="-",0,AB379)</f>
        <v>0</v>
      </c>
    </row>
    <row r="380" spans="4:12" x14ac:dyDescent="0.25">
      <c r="D380" s="3"/>
      <c r="E380" s="6"/>
      <c r="F380" s="6">
        <f>IF(Table36[[#This Row],[Facility_1]]="-",0,V380)</f>
        <v>0</v>
      </c>
      <c r="L380" s="36">
        <f>IF(Table36[[#This Row],[Facility_1]]="-",0,AB380)</f>
        <v>0</v>
      </c>
    </row>
    <row r="381" spans="4:12" x14ac:dyDescent="0.25">
      <c r="D381" s="3"/>
      <c r="E381" s="6"/>
      <c r="F381" s="6">
        <f>IF(Table36[[#This Row],[Facility_1]]="-",0,V381)</f>
        <v>0</v>
      </c>
      <c r="L381" s="36">
        <f>IF(Table36[[#This Row],[Facility_1]]="-",0,AB381)</f>
        <v>0</v>
      </c>
    </row>
    <row r="382" spans="4:12" x14ac:dyDescent="0.25">
      <c r="D382" s="3"/>
      <c r="E382" s="6"/>
      <c r="F382" s="6">
        <f>IF(Table36[[#This Row],[Facility_1]]="-",0,V382)</f>
        <v>0</v>
      </c>
      <c r="L382" s="36">
        <f>IF(Table36[[#This Row],[Facility_1]]="-",0,AB382)</f>
        <v>0</v>
      </c>
    </row>
    <row r="383" spans="4:12" x14ac:dyDescent="0.25">
      <c r="D383" s="3"/>
      <c r="E383" s="6"/>
      <c r="F383" s="6">
        <f>IF(Table36[[#This Row],[Facility_1]]="-",0,V383)</f>
        <v>0</v>
      </c>
      <c r="L383" s="36">
        <f>IF(Table36[[#This Row],[Facility_1]]="-",0,AB383)</f>
        <v>0</v>
      </c>
    </row>
    <row r="384" spans="4:12" x14ac:dyDescent="0.25">
      <c r="D384" s="3"/>
      <c r="E384" s="6"/>
      <c r="F384" s="6">
        <f>IF(Table36[[#This Row],[Facility_1]]="-",0,V384)</f>
        <v>0</v>
      </c>
      <c r="L384" s="36">
        <f>IF(Table36[[#This Row],[Facility_1]]="-",0,AB384)</f>
        <v>0</v>
      </c>
    </row>
    <row r="385" spans="4:12" x14ac:dyDescent="0.25">
      <c r="D385" s="3"/>
      <c r="E385" s="6"/>
      <c r="F385" s="6">
        <f>IF(Table36[[#This Row],[Facility_1]]="-",0,V385)</f>
        <v>0</v>
      </c>
      <c r="L385" s="36">
        <f>IF(Table36[[#This Row],[Facility_1]]="-",0,AB385)</f>
        <v>0</v>
      </c>
    </row>
    <row r="386" spans="4:12" x14ac:dyDescent="0.25">
      <c r="D386" s="3"/>
      <c r="E386" s="6"/>
      <c r="F386" s="6">
        <f>IF(Table36[[#This Row],[Facility_1]]="-",0,V386)</f>
        <v>0</v>
      </c>
      <c r="L386" s="36">
        <f>IF(Table36[[#This Row],[Facility_1]]="-",0,AB386)</f>
        <v>0</v>
      </c>
    </row>
    <row r="387" spans="4:12" x14ac:dyDescent="0.25">
      <c r="D387" s="3"/>
      <c r="E387" s="6"/>
      <c r="F387" s="6">
        <f>IF(Table36[[#This Row],[Facility_1]]="-",0,V387)</f>
        <v>0</v>
      </c>
      <c r="L387" s="36">
        <f>IF(Table36[[#This Row],[Facility_1]]="-",0,AB387)</f>
        <v>0</v>
      </c>
    </row>
    <row r="388" spans="4:12" x14ac:dyDescent="0.25">
      <c r="D388" s="3"/>
      <c r="E388" s="6"/>
      <c r="F388" s="6">
        <f>IF(Table36[[#This Row],[Facility_1]]="-",0,V388)</f>
        <v>0</v>
      </c>
      <c r="L388" s="36">
        <f>IF(Table36[[#This Row],[Facility_1]]="-",0,AB388)</f>
        <v>0</v>
      </c>
    </row>
    <row r="389" spans="4:12" x14ac:dyDescent="0.25">
      <c r="D389" s="3"/>
      <c r="E389" s="6"/>
      <c r="F389" s="6">
        <f>IF(Table36[[#This Row],[Facility_1]]="-",0,V389)</f>
        <v>0</v>
      </c>
      <c r="L389" s="36">
        <f>IF(Table36[[#This Row],[Facility_1]]="-",0,AB389)</f>
        <v>0</v>
      </c>
    </row>
    <row r="390" spans="4:12" x14ac:dyDescent="0.25">
      <c r="D390" s="3"/>
      <c r="E390" s="6"/>
      <c r="F390" s="6">
        <f>IF(Table36[[#This Row],[Facility_1]]="-",0,V390)</f>
        <v>0</v>
      </c>
      <c r="L390" s="36">
        <f>IF(Table36[[#This Row],[Facility_1]]="-",0,AB390)</f>
        <v>0</v>
      </c>
    </row>
    <row r="391" spans="4:12" x14ac:dyDescent="0.25">
      <c r="D391" s="3"/>
      <c r="E391" s="6"/>
      <c r="F391" s="6">
        <f>IF(Table36[[#This Row],[Facility_1]]="-",0,V391)</f>
        <v>0</v>
      </c>
      <c r="L391" s="36">
        <f>IF(Table36[[#This Row],[Facility_1]]="-",0,AB391)</f>
        <v>0</v>
      </c>
    </row>
    <row r="392" spans="4:12" x14ac:dyDescent="0.25">
      <c r="D392" s="3"/>
      <c r="E392" s="6"/>
      <c r="F392" s="6">
        <f>IF(Table36[[#This Row],[Facility_1]]="-",0,V392)</f>
        <v>0</v>
      </c>
      <c r="L392" s="36">
        <f>IF(Table36[[#This Row],[Facility_1]]="-",0,AB392)</f>
        <v>0</v>
      </c>
    </row>
    <row r="393" spans="4:12" x14ac:dyDescent="0.25">
      <c r="D393" s="3"/>
      <c r="E393" s="6"/>
      <c r="F393" s="6">
        <f>IF(Table36[[#This Row],[Facility_1]]="-",0,V393)</f>
        <v>0</v>
      </c>
      <c r="L393" s="36">
        <f>IF(Table36[[#This Row],[Facility_1]]="-",0,AB393)</f>
        <v>0</v>
      </c>
    </row>
    <row r="394" spans="4:12" x14ac:dyDescent="0.25">
      <c r="D394" s="3"/>
      <c r="E394" s="6"/>
      <c r="F394" s="6">
        <f>IF(Table36[[#This Row],[Facility_1]]="-",0,V394)</f>
        <v>0</v>
      </c>
      <c r="L394" s="36">
        <f>IF(Table36[[#This Row],[Facility_1]]="-",0,AB394)</f>
        <v>0</v>
      </c>
    </row>
    <row r="395" spans="4:12" x14ac:dyDescent="0.25">
      <c r="D395" s="3"/>
      <c r="E395" s="6"/>
      <c r="F395" s="6">
        <f>IF(Table36[[#This Row],[Facility_1]]="-",0,V395)</f>
        <v>0</v>
      </c>
      <c r="L395" s="36">
        <f>IF(Table36[[#This Row],[Facility_1]]="-",0,AB395)</f>
        <v>0</v>
      </c>
    </row>
    <row r="396" spans="4:12" x14ac:dyDescent="0.25">
      <c r="D396" s="3"/>
      <c r="E396" s="6"/>
      <c r="F396" s="6">
        <f>IF(Table36[[#This Row],[Facility_1]]="-",0,V396)</f>
        <v>0</v>
      </c>
      <c r="L396" s="36">
        <f>IF(Table36[[#This Row],[Facility_1]]="-",0,AB396)</f>
        <v>0</v>
      </c>
    </row>
    <row r="397" spans="4:12" x14ac:dyDescent="0.25">
      <c r="D397" s="3"/>
      <c r="E397" s="6"/>
      <c r="F397" s="6">
        <f>IF(Table36[[#This Row],[Facility_1]]="-",0,V397)</f>
        <v>0</v>
      </c>
      <c r="L397" s="36">
        <f>IF(Table36[[#This Row],[Facility_1]]="-",0,AB397)</f>
        <v>0</v>
      </c>
    </row>
    <row r="398" spans="4:12" x14ac:dyDescent="0.25">
      <c r="D398" s="3"/>
      <c r="E398" s="6"/>
      <c r="F398" s="6">
        <f>IF(Table36[[#This Row],[Facility_1]]="-",0,V398)</f>
        <v>0</v>
      </c>
      <c r="L398" s="36">
        <f>IF(Table36[[#This Row],[Facility_1]]="-",0,AB398)</f>
        <v>0</v>
      </c>
    </row>
    <row r="399" spans="4:12" x14ac:dyDescent="0.25">
      <c r="D399" s="3"/>
      <c r="E399" s="6"/>
      <c r="F399" s="6">
        <f>IF(Table36[[#This Row],[Facility_1]]="-",0,V399)</f>
        <v>0</v>
      </c>
      <c r="L399" s="36">
        <f>IF(Table36[[#This Row],[Facility_1]]="-",0,AB399)</f>
        <v>0</v>
      </c>
    </row>
    <row r="400" spans="4:12" x14ac:dyDescent="0.25">
      <c r="D400" s="24"/>
      <c r="E400" s="25"/>
      <c r="F400" s="25">
        <f>IF(Table36[[#This Row],[Facility_1]]="-",0,V400)</f>
        <v>0</v>
      </c>
      <c r="L400" s="36">
        <f>IF(Table36[[#This Row],[Facility_1]]="-",0,AB400)</f>
        <v>0</v>
      </c>
    </row>
  </sheetData>
  <pageMargins left="0.7" right="0.7" top="0.75" bottom="0.75" header="0.3" footer="0.3"/>
  <pageSetup paperSize="9" orientation="portrait" r:id="rId1"/>
  <ignoredErrors>
    <ignoredError sqref="L48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00"/>
  <sheetViews>
    <sheetView zoomScaleNormal="100" workbookViewId="0">
      <selection activeCell="F13" sqref="F13"/>
    </sheetView>
  </sheetViews>
  <sheetFormatPr defaultColWidth="8.85546875" defaultRowHeight="15" x14ac:dyDescent="0.25"/>
  <cols>
    <col min="1" max="1" width="10.140625" style="1" customWidth="1"/>
    <col min="2" max="2" width="10.85546875" style="1" customWidth="1"/>
    <col min="3" max="3" width="9.7109375" style="1" customWidth="1"/>
    <col min="4" max="4" width="10.7109375" style="1" customWidth="1"/>
    <col min="5" max="5" width="8.85546875" style="1"/>
    <col min="6" max="6" width="10.140625" style="1" customWidth="1"/>
    <col min="7" max="7" width="10.7109375" style="3" customWidth="1"/>
    <col min="8" max="8" width="8.85546875" style="6"/>
    <col min="9" max="9" width="11.140625" style="23" customWidth="1"/>
    <col min="10" max="10" width="10.7109375" style="3" customWidth="1"/>
    <col min="11" max="11" width="8.85546875" style="6"/>
    <col min="12" max="12" width="11.140625" style="23" customWidth="1"/>
    <col min="13" max="13" width="10.7109375" style="3" customWidth="1"/>
    <col min="14" max="14" width="8.85546875" style="6"/>
    <col min="15" max="15" width="11.140625" style="23" customWidth="1"/>
    <col min="16" max="16" width="10.7109375" style="3" customWidth="1"/>
    <col min="17" max="17" width="8.85546875" style="6"/>
    <col min="18" max="18" width="11.140625" style="23" customWidth="1"/>
    <col min="19" max="19" width="10.7109375" style="1" customWidth="1"/>
    <col min="20" max="20" width="9" style="1" customWidth="1"/>
    <col min="21" max="21" width="12.140625" style="1" customWidth="1"/>
    <col min="22" max="16384" width="8.85546875" style="1"/>
  </cols>
  <sheetData>
    <row r="1" spans="1:24" s="4" customFormat="1" ht="15.75" x14ac:dyDescent="0.25">
      <c r="A1" s="26" t="s">
        <v>673</v>
      </c>
      <c r="B1" s="26" t="s">
        <v>667</v>
      </c>
      <c r="C1" s="26" t="s">
        <v>668</v>
      </c>
      <c r="D1" s="26" t="s">
        <v>782</v>
      </c>
      <c r="E1" s="26" t="s">
        <v>794</v>
      </c>
      <c r="F1" s="26" t="s">
        <v>795</v>
      </c>
      <c r="G1" s="27" t="s">
        <v>783</v>
      </c>
      <c r="H1" s="26" t="s">
        <v>788</v>
      </c>
      <c r="I1" s="26" t="s">
        <v>796</v>
      </c>
      <c r="J1" s="27" t="s">
        <v>784</v>
      </c>
      <c r="K1" s="26" t="s">
        <v>798</v>
      </c>
      <c r="L1" s="26" t="s">
        <v>789</v>
      </c>
      <c r="M1" s="27" t="s">
        <v>785</v>
      </c>
      <c r="N1" s="26" t="s">
        <v>790</v>
      </c>
      <c r="O1" s="26" t="s">
        <v>799</v>
      </c>
      <c r="P1" s="27" t="s">
        <v>786</v>
      </c>
      <c r="Q1" s="26" t="s">
        <v>800</v>
      </c>
      <c r="R1" s="26" t="s">
        <v>791</v>
      </c>
      <c r="S1" s="27" t="s">
        <v>787</v>
      </c>
      <c r="T1" s="26" t="s">
        <v>792</v>
      </c>
      <c r="U1" s="26" t="s">
        <v>797</v>
      </c>
      <c r="V1" s="4" t="s">
        <v>736</v>
      </c>
      <c r="W1" s="4" t="s">
        <v>673</v>
      </c>
      <c r="X1" s="4" t="s">
        <v>744</v>
      </c>
    </row>
    <row r="2" spans="1:24" x14ac:dyDescent="0.25">
      <c r="A2" s="1" t="s">
        <v>504</v>
      </c>
      <c r="B2" s="1">
        <v>7322422.7104000002</v>
      </c>
      <c r="C2" s="1">
        <v>877545.96719999996</v>
      </c>
      <c r="D2" s="5" t="str">
        <f>$A2&amp;RIGHT(D$1,1)&amp;"F"</f>
        <v>P21F</v>
      </c>
      <c r="E2" s="22" t="s">
        <v>753</v>
      </c>
      <c r="F2" s="22">
        <v>335000</v>
      </c>
      <c r="G2" s="5" t="str">
        <f t="shared" ref="G2:G36" si="0">$A2&amp;RIGHT(G$1,1)&amp;"F"</f>
        <v>P22F</v>
      </c>
      <c r="H2" s="6" t="s">
        <v>754</v>
      </c>
      <c r="I2" s="23">
        <v>335000</v>
      </c>
      <c r="J2" s="5" t="str">
        <f t="shared" ref="J2:J36" si="1">$A2&amp;RIGHT(J$1,1)&amp;"F"</f>
        <v>P23F</v>
      </c>
      <c r="K2" s="1" t="s">
        <v>776</v>
      </c>
      <c r="L2" s="1">
        <v>2</v>
      </c>
      <c r="M2" s="5" t="str">
        <f t="shared" ref="M2:M36" si="2">$A2&amp;RIGHT(M$1,1)&amp;"F"</f>
        <v>P24F</v>
      </c>
      <c r="N2" s="6" t="s">
        <v>811</v>
      </c>
      <c r="O2" s="23">
        <v>9999000</v>
      </c>
      <c r="P2" s="5" t="str">
        <f t="shared" ref="P2" si="3">$A2&amp;RIGHT(P$1,1)&amp;"F"</f>
        <v>P25F</v>
      </c>
      <c r="S2" s="5" t="str">
        <f t="shared" ref="S2" si="4">$A2&amp;RIGHT(S$1,1)&amp;"F"</f>
        <v>P26F</v>
      </c>
      <c r="V2" s="1" t="s">
        <v>719</v>
      </c>
      <c r="W2" s="1" t="s">
        <v>705</v>
      </c>
      <c r="X2" s="1" t="s">
        <v>727</v>
      </c>
    </row>
    <row r="3" spans="1:24" x14ac:dyDescent="0.25">
      <c r="A3" s="1" t="s">
        <v>528</v>
      </c>
      <c r="B3" s="1">
        <v>7258723.0433</v>
      </c>
      <c r="C3" s="1">
        <v>799508.10419999994</v>
      </c>
      <c r="D3" s="5" t="str">
        <f>$A3&amp;RIGHT(D$1,1)&amp;"F"</f>
        <v>P261F</v>
      </c>
      <c r="E3" s="6" t="s">
        <v>753</v>
      </c>
      <c r="F3" s="6">
        <v>700000</v>
      </c>
      <c r="G3" s="5" t="str">
        <f t="shared" si="0"/>
        <v>P262F</v>
      </c>
      <c r="H3" s="6" t="s">
        <v>754</v>
      </c>
      <c r="I3" s="23">
        <v>700000</v>
      </c>
      <c r="J3" s="5" t="str">
        <f t="shared" si="1"/>
        <v>P263F</v>
      </c>
      <c r="K3" s="1" t="s">
        <v>720</v>
      </c>
      <c r="L3" s="1">
        <v>0</v>
      </c>
      <c r="M3" s="5" t="str">
        <f t="shared" si="2"/>
        <v>P264F</v>
      </c>
      <c r="N3" s="6" t="str">
        <f>IF(Table37[[#This Row],[Capacity2]]+Table37[[#This Row],[Capacity3]]&gt;0,"TerPal","-")</f>
        <v>TerPal</v>
      </c>
      <c r="O3" s="23">
        <v>9999000</v>
      </c>
      <c r="V3" s="1" t="s">
        <v>697</v>
      </c>
      <c r="W3" s="1" t="s">
        <v>696</v>
      </c>
      <c r="X3" s="1" t="s">
        <v>734</v>
      </c>
    </row>
    <row r="4" spans="1:24" x14ac:dyDescent="0.25">
      <c r="A4" s="1" t="s">
        <v>526</v>
      </c>
      <c r="B4" s="1">
        <v>7254302.6402000003</v>
      </c>
      <c r="C4" s="1">
        <v>803084.55070000002</v>
      </c>
      <c r="D4" s="5" t="str">
        <f t="shared" ref="D4:D36" si="5">$A4&amp;RIGHT(D$1,1)&amp;"F"</f>
        <v>P241F</v>
      </c>
      <c r="E4" s="6" t="s">
        <v>753</v>
      </c>
      <c r="F4" s="6">
        <v>300000</v>
      </c>
      <c r="G4" s="5" t="str">
        <f t="shared" si="0"/>
        <v>P242F</v>
      </c>
      <c r="H4" s="6" t="s">
        <v>754</v>
      </c>
      <c r="I4" s="23">
        <v>300000</v>
      </c>
      <c r="J4" s="5" t="str">
        <f t="shared" si="1"/>
        <v>P243F</v>
      </c>
      <c r="K4" s="1" t="s">
        <v>720</v>
      </c>
      <c r="L4" s="1">
        <v>1</v>
      </c>
      <c r="M4" s="5" t="str">
        <f t="shared" si="2"/>
        <v>P244F</v>
      </c>
      <c r="N4" s="6" t="str">
        <f>IF(Table37[[#This Row],[Capacity2]]+Table37[[#This Row],[Capacity3]]&gt;0,"TerPal","-")</f>
        <v>TerPal</v>
      </c>
      <c r="O4" s="23">
        <v>9999000</v>
      </c>
      <c r="V4" s="1" t="s">
        <v>700</v>
      </c>
      <c r="W4" s="1" t="s">
        <v>699</v>
      </c>
      <c r="X4" s="1" t="s">
        <v>734</v>
      </c>
    </row>
    <row r="5" spans="1:24" x14ac:dyDescent="0.25">
      <c r="A5" s="1" t="s">
        <v>527</v>
      </c>
      <c r="B5" s="1">
        <v>7074566.0048000002</v>
      </c>
      <c r="C5" s="1">
        <v>762640.16429999995</v>
      </c>
      <c r="D5" s="5" t="str">
        <f t="shared" si="5"/>
        <v>P251F</v>
      </c>
      <c r="E5" s="6" t="s">
        <v>753</v>
      </c>
      <c r="F5" s="6">
        <v>725000</v>
      </c>
      <c r="G5" s="5" t="str">
        <f t="shared" si="0"/>
        <v>P252F</v>
      </c>
      <c r="H5" s="6" t="s">
        <v>754</v>
      </c>
      <c r="I5" s="23">
        <v>725000</v>
      </c>
      <c r="J5" s="5" t="str">
        <f t="shared" si="1"/>
        <v>P253F</v>
      </c>
      <c r="K5" s="1" t="s">
        <v>722</v>
      </c>
      <c r="L5" s="1">
        <v>0</v>
      </c>
      <c r="M5" s="5" t="str">
        <f t="shared" si="2"/>
        <v>P254F</v>
      </c>
      <c r="N5" s="6" t="str">
        <f>IF(Table37[[#This Row],[Capacity2]]+Table37[[#This Row],[Capacity3]]&gt;0,"TerPal","-")</f>
        <v>TerPal</v>
      </c>
      <c r="O5" s="23">
        <v>9999000</v>
      </c>
      <c r="V5" s="1" t="s">
        <v>700</v>
      </c>
      <c r="W5" s="1" t="s">
        <v>698</v>
      </c>
      <c r="X5" s="1" t="s">
        <v>735</v>
      </c>
    </row>
    <row r="6" spans="1:24" x14ac:dyDescent="0.25">
      <c r="A6" s="1" t="s">
        <v>515</v>
      </c>
      <c r="B6" s="1">
        <v>7028224.1173999999</v>
      </c>
      <c r="C6" s="1">
        <v>708365.20510000002</v>
      </c>
      <c r="D6" s="5" t="str">
        <f t="shared" si="5"/>
        <v>P131F</v>
      </c>
      <c r="E6" s="6" t="s">
        <v>753</v>
      </c>
      <c r="F6" s="6">
        <v>0</v>
      </c>
      <c r="G6" s="5" t="str">
        <f t="shared" si="0"/>
        <v>P132F</v>
      </c>
      <c r="H6" s="6" t="s">
        <v>720</v>
      </c>
      <c r="I6" s="23">
        <v>0</v>
      </c>
      <c r="J6" s="5" t="str">
        <f t="shared" si="1"/>
        <v>P133F</v>
      </c>
      <c r="K6" s="1" t="s">
        <v>720</v>
      </c>
      <c r="L6" s="1">
        <v>0</v>
      </c>
      <c r="M6" s="5" t="str">
        <f t="shared" si="2"/>
        <v>P134F</v>
      </c>
      <c r="N6" s="6" t="str">
        <f>IF(Table37[[#This Row],[Capacity2]]+Table37[[#This Row],[Capacity3]]&gt;0,"TerPal","-")</f>
        <v>-</v>
      </c>
      <c r="O6" s="23">
        <v>9999000</v>
      </c>
      <c r="V6" s="1" t="s">
        <v>713</v>
      </c>
    </row>
    <row r="7" spans="1:24" x14ac:dyDescent="0.25">
      <c r="A7" s="1" t="s">
        <v>506</v>
      </c>
      <c r="B7" s="1">
        <v>7020950.5532</v>
      </c>
      <c r="C7" s="1">
        <v>685571.36990000005</v>
      </c>
      <c r="D7" s="5" t="str">
        <f t="shared" si="5"/>
        <v>P41F</v>
      </c>
      <c r="E7" s="6" t="s">
        <v>722</v>
      </c>
      <c r="F7" s="6">
        <v>260000</v>
      </c>
      <c r="G7" s="5" t="str">
        <f t="shared" si="0"/>
        <v>P42F</v>
      </c>
      <c r="H7" s="6" t="s">
        <v>720</v>
      </c>
      <c r="I7" s="23">
        <v>0</v>
      </c>
      <c r="J7" s="5" t="str">
        <f t="shared" si="1"/>
        <v>P43F</v>
      </c>
      <c r="K7" s="1" t="s">
        <v>720</v>
      </c>
      <c r="L7" s="1">
        <v>0</v>
      </c>
      <c r="M7" s="5" t="str">
        <f t="shared" si="2"/>
        <v>P44F</v>
      </c>
      <c r="N7" s="6" t="str">
        <f>IF(Table37[[#This Row],[Capacity2]]+Table37[[#This Row],[Capacity3]]&gt;0,"TerPal","-")</f>
        <v>-</v>
      </c>
      <c r="O7" s="23">
        <v>9999000</v>
      </c>
      <c r="V7" s="1" t="s">
        <v>681</v>
      </c>
      <c r="W7" s="1" t="s">
        <v>746</v>
      </c>
      <c r="X7" s="1" t="s">
        <v>747</v>
      </c>
    </row>
    <row r="8" spans="1:24" x14ac:dyDescent="0.25">
      <c r="A8" s="1" t="s">
        <v>537</v>
      </c>
      <c r="B8" s="1">
        <v>6991891</v>
      </c>
      <c r="C8" s="1">
        <v>684966</v>
      </c>
      <c r="D8" s="5" t="str">
        <f t="shared" si="5"/>
        <v>P351F</v>
      </c>
      <c r="E8" s="6" t="s">
        <v>753</v>
      </c>
      <c r="F8" s="6">
        <v>650000</v>
      </c>
      <c r="G8" s="5" t="str">
        <f t="shared" si="0"/>
        <v>P352F</v>
      </c>
      <c r="H8" s="6" t="s">
        <v>754</v>
      </c>
      <c r="I8" s="23">
        <v>650000</v>
      </c>
      <c r="J8" s="5" t="str">
        <f t="shared" si="1"/>
        <v>P353F</v>
      </c>
      <c r="K8" s="1" t="s">
        <v>720</v>
      </c>
      <c r="L8" s="1">
        <v>0</v>
      </c>
      <c r="M8" s="5" t="str">
        <f t="shared" si="2"/>
        <v>P354F</v>
      </c>
      <c r="N8" s="6" t="str">
        <f>IF(Table37[[#This Row],[Capacity2]]+Table37[[#This Row],[Capacity3]]&gt;0,"TerPal","-")</f>
        <v>TerPal</v>
      </c>
      <c r="O8" s="23">
        <v>9999000</v>
      </c>
      <c r="V8" s="1" t="s">
        <v>683</v>
      </c>
      <c r="W8" s="1" t="s">
        <v>682</v>
      </c>
      <c r="X8" s="1" t="s">
        <v>728</v>
      </c>
    </row>
    <row r="9" spans="1:24" x14ac:dyDescent="0.25">
      <c r="A9" s="1" t="s">
        <v>514</v>
      </c>
      <c r="B9" s="1">
        <v>6987738.9474999998</v>
      </c>
      <c r="C9" s="1">
        <v>635881.59569999995</v>
      </c>
      <c r="D9" s="5" t="str">
        <f t="shared" si="5"/>
        <v>P121F</v>
      </c>
      <c r="E9" s="6" t="s">
        <v>753</v>
      </c>
      <c r="F9" s="6">
        <v>225000</v>
      </c>
      <c r="G9" s="5" t="str">
        <f t="shared" si="0"/>
        <v>P122F</v>
      </c>
      <c r="H9" s="6" t="s">
        <v>754</v>
      </c>
      <c r="I9" s="23">
        <v>225000</v>
      </c>
      <c r="J9" s="5" t="str">
        <f t="shared" si="1"/>
        <v>P123F</v>
      </c>
      <c r="K9" s="1" t="s">
        <v>720</v>
      </c>
      <c r="L9" s="1">
        <v>0</v>
      </c>
      <c r="M9" s="5" t="str">
        <f t="shared" si="2"/>
        <v>P124F</v>
      </c>
      <c r="N9" s="6" t="str">
        <f>IF(Table37[[#This Row],[Capacity2]]+Table37[[#This Row],[Capacity3]]&gt;0,"TerPal","-")</f>
        <v>TerPal</v>
      </c>
      <c r="O9" s="23">
        <v>9999000</v>
      </c>
      <c r="V9" s="1" t="s">
        <v>715</v>
      </c>
      <c r="W9" s="1" t="s">
        <v>714</v>
      </c>
      <c r="X9" s="1" t="s">
        <v>731</v>
      </c>
    </row>
    <row r="10" spans="1:24" x14ac:dyDescent="0.25">
      <c r="A10" s="1" t="s">
        <v>524</v>
      </c>
      <c r="B10" s="1">
        <v>6929243.3810000001</v>
      </c>
      <c r="C10" s="1">
        <v>619204.24990000005</v>
      </c>
      <c r="D10" s="5" t="str">
        <f t="shared" si="5"/>
        <v>P221F</v>
      </c>
      <c r="E10" s="6" t="s">
        <v>753</v>
      </c>
      <c r="F10" s="6">
        <v>900000</v>
      </c>
      <c r="G10" s="5" t="str">
        <f t="shared" si="0"/>
        <v>P222F</v>
      </c>
      <c r="H10" s="6" t="s">
        <v>755</v>
      </c>
      <c r="I10" s="23">
        <v>225000</v>
      </c>
      <c r="J10" s="5" t="str">
        <f t="shared" si="1"/>
        <v>P223F</v>
      </c>
      <c r="K10" s="6" t="s">
        <v>759</v>
      </c>
      <c r="L10" s="1">
        <v>100000</v>
      </c>
      <c r="M10" s="5" t="str">
        <f t="shared" si="2"/>
        <v>P224F</v>
      </c>
      <c r="N10" s="6" t="str">
        <f>IF(Table37[[#This Row],[Capacity2]]+Table37[[#This Row],[Capacity3]]&gt;0,"TerPal","-")</f>
        <v>TerPal</v>
      </c>
      <c r="O10" s="23">
        <v>9999000</v>
      </c>
      <c r="V10" s="1" t="s">
        <v>700</v>
      </c>
      <c r="W10" s="1" t="s">
        <v>702</v>
      </c>
      <c r="X10" s="1" t="s">
        <v>750</v>
      </c>
    </row>
    <row r="11" spans="1:24" x14ac:dyDescent="0.25">
      <c r="A11" s="1" t="s">
        <v>525</v>
      </c>
      <c r="B11" s="1">
        <v>6920247.5835999995</v>
      </c>
      <c r="C11" s="1">
        <v>622009.73349999997</v>
      </c>
      <c r="D11" s="5" t="str">
        <f t="shared" si="5"/>
        <v>P231F</v>
      </c>
      <c r="E11" s="6" t="s">
        <v>722</v>
      </c>
      <c r="F11" s="6">
        <v>0</v>
      </c>
      <c r="G11" s="5" t="str">
        <f t="shared" si="0"/>
        <v>P232F</v>
      </c>
      <c r="H11" s="6" t="s">
        <v>720</v>
      </c>
      <c r="I11" s="23">
        <v>0</v>
      </c>
      <c r="J11" s="5" t="str">
        <f t="shared" si="1"/>
        <v>P233F</v>
      </c>
      <c r="K11" s="1" t="s">
        <v>720</v>
      </c>
      <c r="L11" s="1">
        <v>0</v>
      </c>
      <c r="M11" s="5" t="str">
        <f t="shared" si="2"/>
        <v>P234F</v>
      </c>
      <c r="N11" s="6" t="str">
        <f>IF(Table37[[#This Row],[Capacity2]]+Table37[[#This Row],[Capacity3]]&gt;0,"TerPal","-")</f>
        <v>-</v>
      </c>
      <c r="O11" s="23">
        <v>9999000</v>
      </c>
      <c r="V11" s="1" t="s">
        <v>700</v>
      </c>
      <c r="W11" s="1" t="s">
        <v>701</v>
      </c>
      <c r="X11" s="1" t="s">
        <v>741</v>
      </c>
    </row>
    <row r="12" spans="1:24" x14ac:dyDescent="0.25">
      <c r="A12" s="1" t="s">
        <v>509</v>
      </c>
      <c r="B12" s="1">
        <v>6835953.3126999997</v>
      </c>
      <c r="C12" s="1">
        <v>610650.90599999996</v>
      </c>
      <c r="D12" s="5" t="str">
        <f t="shared" si="5"/>
        <v>P71F</v>
      </c>
      <c r="E12" s="6" t="s">
        <v>753</v>
      </c>
      <c r="F12" s="6">
        <v>540000</v>
      </c>
      <c r="G12" s="5" t="str">
        <f t="shared" si="0"/>
        <v>P72F</v>
      </c>
      <c r="H12" s="6" t="s">
        <v>754</v>
      </c>
      <c r="I12" s="23">
        <v>540000</v>
      </c>
      <c r="J12" s="5" t="str">
        <f t="shared" si="1"/>
        <v>P73F</v>
      </c>
      <c r="K12" s="1" t="s">
        <v>720</v>
      </c>
      <c r="L12" s="1">
        <v>0</v>
      </c>
      <c r="M12" s="5" t="str">
        <f t="shared" si="2"/>
        <v>P74F</v>
      </c>
      <c r="N12" s="6" t="str">
        <f>IF(Table37[[#This Row],[Capacity2]]+Table37[[#This Row],[Capacity3]]&gt;0,"TerPal","-")</f>
        <v>TerPal</v>
      </c>
      <c r="O12" s="23">
        <v>9999000</v>
      </c>
      <c r="V12" s="1" t="s">
        <v>677</v>
      </c>
      <c r="W12" s="1" t="s">
        <v>676</v>
      </c>
      <c r="X12" s="1" t="s">
        <v>732</v>
      </c>
    </row>
    <row r="13" spans="1:24" x14ac:dyDescent="0.25">
      <c r="A13" s="1" t="s">
        <v>535</v>
      </c>
      <c r="B13" s="1">
        <v>6785192.4857000001</v>
      </c>
      <c r="C13" s="1">
        <v>616656.70010000002</v>
      </c>
      <c r="D13" s="5" t="str">
        <f t="shared" si="5"/>
        <v>P331F</v>
      </c>
      <c r="E13" s="6" t="s">
        <v>753</v>
      </c>
      <c r="F13" s="6">
        <v>150000</v>
      </c>
      <c r="G13" s="5" t="str">
        <f t="shared" si="0"/>
        <v>P332F</v>
      </c>
      <c r="H13" s="6" t="s">
        <v>720</v>
      </c>
      <c r="I13" s="23">
        <v>0</v>
      </c>
      <c r="J13" s="5" t="str">
        <f t="shared" si="1"/>
        <v>P333F</v>
      </c>
      <c r="K13" s="1" t="s">
        <v>720</v>
      </c>
      <c r="L13" s="1">
        <v>0</v>
      </c>
      <c r="M13" s="5" t="str">
        <f t="shared" si="2"/>
        <v>P334F</v>
      </c>
      <c r="N13" s="6" t="str">
        <f>IF(Table37[[#This Row],[Capacity2]]+Table37[[#This Row],[Capacity3]]&gt;0,"TerPal","-")</f>
        <v>-</v>
      </c>
      <c r="O13" s="23">
        <v>9999000</v>
      </c>
      <c r="V13" s="1" t="s">
        <v>685</v>
      </c>
      <c r="X13" s="1" t="s">
        <v>733</v>
      </c>
    </row>
    <row r="14" spans="1:24" x14ac:dyDescent="0.25">
      <c r="A14" s="1" t="s">
        <v>511</v>
      </c>
      <c r="B14" s="1">
        <v>6729269.108</v>
      </c>
      <c r="C14" s="1">
        <v>623680.6888</v>
      </c>
      <c r="D14" s="5" t="str">
        <f t="shared" si="5"/>
        <v>P91F</v>
      </c>
      <c r="E14" s="6" t="s">
        <v>753</v>
      </c>
      <c r="F14" s="6">
        <v>755000</v>
      </c>
      <c r="G14" s="5" t="str">
        <f t="shared" si="0"/>
        <v>P92F</v>
      </c>
      <c r="H14" s="6" t="s">
        <v>754</v>
      </c>
      <c r="I14" s="23">
        <v>755000</v>
      </c>
      <c r="J14" s="5" t="str">
        <f t="shared" si="1"/>
        <v>P93F</v>
      </c>
      <c r="K14" s="1" t="s">
        <v>720</v>
      </c>
      <c r="L14" s="1">
        <v>0</v>
      </c>
      <c r="M14" s="5" t="str">
        <f t="shared" si="2"/>
        <v>P94F</v>
      </c>
      <c r="N14" s="6" t="str">
        <f>IF(Table37[[#This Row],[Capacity2]]+Table37[[#This Row],[Capacity3]]&gt;0,"TerPal","-")</f>
        <v>TerPal</v>
      </c>
      <c r="O14" s="23">
        <v>9999000</v>
      </c>
      <c r="V14" s="1" t="s">
        <v>719</v>
      </c>
      <c r="W14" s="1" t="s">
        <v>674</v>
      </c>
      <c r="X14" s="1" t="s">
        <v>726</v>
      </c>
    </row>
    <row r="15" spans="1:24" x14ac:dyDescent="0.25">
      <c r="A15" s="1" t="s">
        <v>534</v>
      </c>
      <c r="B15" s="1">
        <v>6725416.6508999998</v>
      </c>
      <c r="C15" s="1">
        <v>630402.63199999998</v>
      </c>
      <c r="D15" s="5" t="str">
        <f t="shared" si="5"/>
        <v>P321F</v>
      </c>
      <c r="E15" s="6" t="s">
        <v>753</v>
      </c>
      <c r="F15" s="6">
        <v>500000</v>
      </c>
      <c r="G15" s="5" t="str">
        <f t="shared" si="0"/>
        <v>P322F</v>
      </c>
      <c r="H15" s="6" t="s">
        <v>720</v>
      </c>
      <c r="I15" s="23">
        <v>0</v>
      </c>
      <c r="J15" s="5" t="str">
        <f t="shared" si="1"/>
        <v>P323F</v>
      </c>
      <c r="K15" s="1" t="s">
        <v>720</v>
      </c>
      <c r="L15" s="1">
        <v>0</v>
      </c>
      <c r="M15" s="5" t="str">
        <f t="shared" si="2"/>
        <v>P324F</v>
      </c>
      <c r="N15" s="6" t="str">
        <f>IF(Table37[[#This Row],[Capacity2]]+Table37[[#This Row],[Capacity3]]&gt;0,"TerPal","-")</f>
        <v>-</v>
      </c>
      <c r="O15" s="23">
        <v>9999000</v>
      </c>
      <c r="V15" s="1" t="s">
        <v>686</v>
      </c>
      <c r="W15" s="1" t="s">
        <v>737</v>
      </c>
      <c r="X15" s="1" t="s">
        <v>723</v>
      </c>
    </row>
    <row r="16" spans="1:24" x14ac:dyDescent="0.25">
      <c r="A16" s="1" t="s">
        <v>530</v>
      </c>
      <c r="B16" s="1">
        <v>6709602.0608999999</v>
      </c>
      <c r="C16" s="1">
        <v>522935.4914</v>
      </c>
      <c r="D16" s="5" t="str">
        <f t="shared" si="5"/>
        <v>P281F</v>
      </c>
      <c r="E16" s="6" t="s">
        <v>722</v>
      </c>
      <c r="F16" s="6">
        <v>0</v>
      </c>
      <c r="G16" s="5" t="str">
        <f t="shared" si="0"/>
        <v>P282F</v>
      </c>
      <c r="H16" s="6" t="s">
        <v>720</v>
      </c>
      <c r="I16" s="23">
        <v>0</v>
      </c>
      <c r="J16" s="5" t="str">
        <f t="shared" si="1"/>
        <v>P283F</v>
      </c>
      <c r="K16" s="1" t="s">
        <v>720</v>
      </c>
      <c r="L16" s="1">
        <v>0</v>
      </c>
      <c r="M16" s="5" t="str">
        <f t="shared" si="2"/>
        <v>P284F</v>
      </c>
      <c r="N16" s="6" t="str">
        <f>IF(Table37[[#This Row],[Capacity2]]+Table37[[#This Row],[Capacity3]]&gt;0,"TerPal","-")</f>
        <v>-</v>
      </c>
      <c r="O16" s="23">
        <v>9999000</v>
      </c>
      <c r="V16" s="1" t="s">
        <v>693</v>
      </c>
      <c r="W16" s="1" t="s">
        <v>692</v>
      </c>
      <c r="X16" s="1" t="s">
        <v>741</v>
      </c>
    </row>
    <row r="17" spans="1:24" x14ac:dyDescent="0.25">
      <c r="A17" s="1" t="s">
        <v>529</v>
      </c>
      <c r="B17" s="1">
        <v>6675083.1288999999</v>
      </c>
      <c r="C17" s="1">
        <v>572614.64269999997</v>
      </c>
      <c r="D17" s="5" t="str">
        <f t="shared" si="5"/>
        <v>P271F</v>
      </c>
      <c r="E17" s="6" t="s">
        <v>753</v>
      </c>
      <c r="F17" s="6">
        <v>410000</v>
      </c>
      <c r="G17" s="5" t="str">
        <f t="shared" si="0"/>
        <v>P272F</v>
      </c>
      <c r="H17" s="6" t="s">
        <v>754</v>
      </c>
      <c r="I17" s="23">
        <v>410000</v>
      </c>
      <c r="J17" s="5" t="str">
        <f t="shared" si="1"/>
        <v>P273F</v>
      </c>
      <c r="K17" s="1" t="s">
        <v>759</v>
      </c>
      <c r="L17" s="1">
        <v>185000</v>
      </c>
      <c r="M17" s="5" t="str">
        <f t="shared" si="2"/>
        <v>P274F</v>
      </c>
      <c r="N17" s="6" t="str">
        <f>IF(Table37[[#This Row],[Capacity2]]+Table37[[#This Row],[Capacity3]]&gt;0,"TerPal","-")</f>
        <v>TerPal</v>
      </c>
      <c r="O17" s="23">
        <v>9999000</v>
      </c>
      <c r="V17" s="1" t="s">
        <v>695</v>
      </c>
      <c r="W17" s="1" t="s">
        <v>694</v>
      </c>
      <c r="X17" s="1" t="s">
        <v>745</v>
      </c>
    </row>
    <row r="18" spans="1:24" x14ac:dyDescent="0.25">
      <c r="A18" s="1" t="s">
        <v>508</v>
      </c>
      <c r="B18" s="1">
        <v>6663673.8119999999</v>
      </c>
      <c r="C18" s="1">
        <v>699707.18980000005</v>
      </c>
      <c r="D18" s="5" t="str">
        <f t="shared" si="5"/>
        <v>P61F</v>
      </c>
      <c r="E18" s="6" t="s">
        <v>759</v>
      </c>
      <c r="F18" s="6">
        <v>700000</v>
      </c>
      <c r="G18" s="5" t="str">
        <f t="shared" si="0"/>
        <v>P62F</v>
      </c>
      <c r="H18" s="6" t="s">
        <v>756</v>
      </c>
      <c r="I18" s="23">
        <v>700000</v>
      </c>
      <c r="J18" s="5" t="str">
        <f t="shared" si="1"/>
        <v>P63F</v>
      </c>
      <c r="K18" s="1" t="s">
        <v>720</v>
      </c>
      <c r="L18" s="1">
        <v>0</v>
      </c>
      <c r="M18" s="5" t="str">
        <f t="shared" si="2"/>
        <v>P64F</v>
      </c>
      <c r="N18" s="6" t="str">
        <f>IF(Table37[[#This Row],[Capacity2]]+Table37[[#This Row],[Capacity3]]&gt;0,"TerPal","-")</f>
        <v>TerPal</v>
      </c>
      <c r="O18" s="23">
        <v>9999000</v>
      </c>
      <c r="V18" s="1" t="s">
        <v>679</v>
      </c>
      <c r="W18" s="1" t="s">
        <v>678</v>
      </c>
      <c r="X18" s="1" t="s">
        <v>742</v>
      </c>
    </row>
    <row r="19" spans="1:24" x14ac:dyDescent="0.25">
      <c r="A19" s="1" t="s">
        <v>520</v>
      </c>
      <c r="B19" s="1">
        <v>6630032.0133999996</v>
      </c>
      <c r="C19" s="1">
        <v>393782.40580000001</v>
      </c>
      <c r="D19" s="5" t="str">
        <f t="shared" si="5"/>
        <v>P181F</v>
      </c>
      <c r="E19" s="6" t="s">
        <v>753</v>
      </c>
      <c r="F19" s="6">
        <v>200000</v>
      </c>
      <c r="G19" s="5" t="str">
        <f t="shared" si="0"/>
        <v>P182F</v>
      </c>
      <c r="H19" s="6" t="s">
        <v>720</v>
      </c>
      <c r="I19" s="23">
        <v>0</v>
      </c>
      <c r="J19" s="5" t="str">
        <f t="shared" si="1"/>
        <v>P183F</v>
      </c>
      <c r="K19" s="1" t="s">
        <v>720</v>
      </c>
      <c r="L19" s="1">
        <v>0</v>
      </c>
      <c r="M19" s="5" t="str">
        <f t="shared" si="2"/>
        <v>P184F</v>
      </c>
      <c r="N19" s="6" t="str">
        <f>IF(Table37[[#This Row],[Capacity2]]+Table37[[#This Row],[Capacity3]]&gt;0,"TerPal","-")</f>
        <v>-</v>
      </c>
      <c r="O19" s="23">
        <v>9999000</v>
      </c>
      <c r="V19" s="1" t="s">
        <v>707</v>
      </c>
      <c r="X19" s="1" t="s">
        <v>723</v>
      </c>
    </row>
    <row r="20" spans="1:24" x14ac:dyDescent="0.25">
      <c r="A20" s="1" t="s">
        <v>510</v>
      </c>
      <c r="B20" s="1">
        <v>6593530.1733999997</v>
      </c>
      <c r="C20" s="1">
        <v>517977.71309999999</v>
      </c>
      <c r="D20" s="5" t="str">
        <f t="shared" si="5"/>
        <v>P81F</v>
      </c>
      <c r="E20" s="6" t="s">
        <v>753</v>
      </c>
      <c r="F20" s="6">
        <v>150000</v>
      </c>
      <c r="G20" s="5" t="str">
        <f t="shared" si="0"/>
        <v>P82F</v>
      </c>
      <c r="H20" s="6" t="s">
        <v>754</v>
      </c>
      <c r="I20" s="23">
        <v>150000</v>
      </c>
      <c r="J20" s="5" t="str">
        <f t="shared" si="1"/>
        <v>P83F</v>
      </c>
      <c r="K20" s="1" t="s">
        <v>720</v>
      </c>
      <c r="L20" s="1">
        <v>0</v>
      </c>
      <c r="M20" s="5" t="str">
        <f t="shared" si="2"/>
        <v>P84F</v>
      </c>
      <c r="N20" s="6" t="str">
        <f>IF(Table37[[#This Row],[Capacity2]]+Table37[[#This Row],[Capacity3]]&gt;0,"TerPal","-")</f>
        <v>TerPal</v>
      </c>
      <c r="O20" s="23">
        <v>9999000</v>
      </c>
      <c r="V20" s="1" t="s">
        <v>719</v>
      </c>
      <c r="W20" s="1" t="s">
        <v>675</v>
      </c>
      <c r="X20" s="1" t="s">
        <v>749</v>
      </c>
    </row>
    <row r="21" spans="1:24" x14ac:dyDescent="0.25">
      <c r="A21" s="1" t="s">
        <v>512</v>
      </c>
      <c r="B21" s="1">
        <v>6589036.9464999996</v>
      </c>
      <c r="C21" s="1">
        <v>513950.06969999999</v>
      </c>
      <c r="D21" s="5" t="str">
        <f t="shared" si="5"/>
        <v>P101F</v>
      </c>
      <c r="E21" s="6" t="s">
        <v>720</v>
      </c>
      <c r="F21" s="6">
        <v>0</v>
      </c>
      <c r="G21" s="5" t="str">
        <f t="shared" si="0"/>
        <v>P102F</v>
      </c>
      <c r="H21" s="6" t="s">
        <v>720</v>
      </c>
      <c r="I21" s="23">
        <v>0</v>
      </c>
      <c r="J21" s="5" t="str">
        <f t="shared" si="1"/>
        <v>P103F</v>
      </c>
      <c r="K21" s="1" t="s">
        <v>720</v>
      </c>
      <c r="L21" s="1">
        <v>0</v>
      </c>
      <c r="M21" s="5" t="str">
        <f t="shared" si="2"/>
        <v>P104F</v>
      </c>
      <c r="N21" s="6" t="str">
        <f>IF(Table37[[#This Row],[Capacity2]]+Table37[[#This Row],[Capacity3]]&gt;0,"TerPal","-")</f>
        <v>-</v>
      </c>
      <c r="O21" s="23">
        <v>9999000</v>
      </c>
      <c r="V21" s="1" t="s">
        <v>717</v>
      </c>
      <c r="X21" s="1" t="s">
        <v>740</v>
      </c>
    </row>
    <row r="22" spans="1:24" x14ac:dyDescent="0.25">
      <c r="A22" s="1" t="s">
        <v>503</v>
      </c>
      <c r="B22" s="1">
        <v>6579393.6046000002</v>
      </c>
      <c r="C22" s="1">
        <v>392744.15159999998</v>
      </c>
      <c r="D22" s="5" t="str">
        <f t="shared" si="5"/>
        <v>P11F</v>
      </c>
      <c r="E22" s="6" t="s">
        <v>753</v>
      </c>
      <c r="F22" s="6">
        <v>500000</v>
      </c>
      <c r="G22" s="5" t="str">
        <f t="shared" si="0"/>
        <v>P12F</v>
      </c>
      <c r="H22" s="6" t="s">
        <v>754</v>
      </c>
      <c r="I22" s="23">
        <v>500000</v>
      </c>
      <c r="J22" s="5" t="str">
        <f t="shared" si="1"/>
        <v>P13F</v>
      </c>
      <c r="K22" s="1" t="s">
        <v>720</v>
      </c>
      <c r="L22" s="1">
        <v>0</v>
      </c>
      <c r="M22" s="5" t="str">
        <f t="shared" si="2"/>
        <v>P14F</v>
      </c>
      <c r="N22" s="6" t="str">
        <f>IF(Table37[[#This Row],[Capacity2]]+Table37[[#This Row],[Capacity3]]&gt;0,"TerPal","-")</f>
        <v>TerPal</v>
      </c>
      <c r="O22" s="23">
        <v>9999000</v>
      </c>
      <c r="V22" s="1" t="s">
        <v>719</v>
      </c>
      <c r="W22" s="1" t="s">
        <v>718</v>
      </c>
      <c r="X22" s="1" t="s">
        <v>724</v>
      </c>
    </row>
    <row r="23" spans="1:24" x14ac:dyDescent="0.25">
      <c r="A23" s="1" t="s">
        <v>532</v>
      </c>
      <c r="B23" s="1">
        <v>6576867.4497999996</v>
      </c>
      <c r="C23" s="1">
        <v>411644.07030000002</v>
      </c>
      <c r="D23" s="5" t="str">
        <f t="shared" si="5"/>
        <v>P301F</v>
      </c>
      <c r="E23" s="6" t="s">
        <v>753</v>
      </c>
      <c r="F23" s="6">
        <v>675000</v>
      </c>
      <c r="G23" s="5" t="str">
        <f t="shared" si="0"/>
        <v>P302F</v>
      </c>
      <c r="H23" s="6" t="s">
        <v>754</v>
      </c>
      <c r="I23" s="23">
        <v>675000</v>
      </c>
      <c r="J23" s="5" t="str">
        <f t="shared" si="1"/>
        <v>P303F</v>
      </c>
      <c r="K23" s="1" t="s">
        <v>722</v>
      </c>
      <c r="L23" s="1">
        <v>0</v>
      </c>
      <c r="M23" s="5" t="str">
        <f t="shared" si="2"/>
        <v>P304F</v>
      </c>
      <c r="N23" s="6" t="str">
        <f>IF(Table37[[#This Row],[Capacity2]]+Table37[[#This Row],[Capacity3]]&gt;0,"TerPal","-")</f>
        <v>TerPal</v>
      </c>
      <c r="O23" s="23">
        <v>9999000</v>
      </c>
      <c r="V23" s="1" t="s">
        <v>688</v>
      </c>
      <c r="W23" s="1" t="s">
        <v>689</v>
      </c>
      <c r="X23" s="1" t="s">
        <v>738</v>
      </c>
    </row>
    <row r="24" spans="1:24" x14ac:dyDescent="0.25">
      <c r="A24" s="1" t="s">
        <v>518</v>
      </c>
      <c r="B24" s="1">
        <v>6575117.5946000004</v>
      </c>
      <c r="C24" s="1">
        <v>446987.28289999999</v>
      </c>
      <c r="D24" s="5" t="str">
        <f t="shared" si="5"/>
        <v>P161F</v>
      </c>
      <c r="E24" s="6" t="s">
        <v>753</v>
      </c>
      <c r="F24" s="6">
        <v>230000</v>
      </c>
      <c r="G24" s="5" t="str">
        <f t="shared" si="0"/>
        <v>P162F</v>
      </c>
      <c r="H24" s="6" t="s">
        <v>754</v>
      </c>
      <c r="I24" s="23">
        <v>160000</v>
      </c>
      <c r="J24" s="5" t="str">
        <f t="shared" si="1"/>
        <v>P163F</v>
      </c>
      <c r="K24" s="1" t="s">
        <v>720</v>
      </c>
      <c r="L24" s="1">
        <v>0</v>
      </c>
      <c r="M24" s="5" t="str">
        <f t="shared" si="2"/>
        <v>P164F</v>
      </c>
      <c r="N24" s="6" t="str">
        <f>IF(Table37[[#This Row],[Capacity2]]+Table37[[#This Row],[Capacity3]]&gt;0,"TerPal","-")</f>
        <v>TerPal</v>
      </c>
      <c r="O24" s="23">
        <v>9999000</v>
      </c>
      <c r="V24" s="1" t="s">
        <v>709</v>
      </c>
      <c r="W24" s="1" t="s">
        <v>710</v>
      </c>
      <c r="X24" s="1" t="s">
        <v>730</v>
      </c>
    </row>
    <row r="25" spans="1:24" x14ac:dyDescent="0.25">
      <c r="A25" s="1" t="s">
        <v>519</v>
      </c>
      <c r="B25" s="1">
        <v>6557336.4855000004</v>
      </c>
      <c r="C25" s="1">
        <v>380717.17379999999</v>
      </c>
      <c r="D25" s="5" t="str">
        <f t="shared" si="5"/>
        <v>P171F</v>
      </c>
      <c r="E25" s="6" t="s">
        <v>753</v>
      </c>
      <c r="F25" s="6">
        <v>50000</v>
      </c>
      <c r="G25" s="5" t="str">
        <f t="shared" si="0"/>
        <v>P172F</v>
      </c>
      <c r="H25" s="6" t="s">
        <v>755</v>
      </c>
      <c r="I25" s="23">
        <v>50000</v>
      </c>
      <c r="J25" s="5" t="str">
        <f t="shared" si="1"/>
        <v>P173F</v>
      </c>
      <c r="K25" s="1" t="s">
        <v>720</v>
      </c>
      <c r="L25" s="1">
        <v>0</v>
      </c>
      <c r="M25" s="5" t="str">
        <f t="shared" si="2"/>
        <v>P174F</v>
      </c>
      <c r="N25" s="6" t="str">
        <f>IF(Table37[[#This Row],[Capacity2]]+Table37[[#This Row],[Capacity3]]&gt;0,"TerPal","-")</f>
        <v>TerPal</v>
      </c>
      <c r="O25" s="23">
        <v>9999000</v>
      </c>
      <c r="V25" s="1" t="s">
        <v>709</v>
      </c>
      <c r="W25" s="1" t="s">
        <v>708</v>
      </c>
      <c r="X25" s="1" t="s">
        <v>729</v>
      </c>
    </row>
    <row r="26" spans="1:24" x14ac:dyDescent="0.25">
      <c r="A26" s="1" t="s">
        <v>517</v>
      </c>
      <c r="B26" s="1">
        <v>6542035.2434999999</v>
      </c>
      <c r="C26" s="1">
        <v>342505.83429999999</v>
      </c>
      <c r="D26" s="5" t="str">
        <f t="shared" si="5"/>
        <v>P151F</v>
      </c>
      <c r="E26" s="6" t="s">
        <v>753</v>
      </c>
      <c r="F26" s="6">
        <v>80000</v>
      </c>
      <c r="G26" s="5" t="str">
        <f t="shared" si="0"/>
        <v>P152F</v>
      </c>
      <c r="H26" s="6" t="s">
        <v>755</v>
      </c>
      <c r="I26" s="23">
        <v>60000</v>
      </c>
      <c r="J26" s="5" t="str">
        <f t="shared" si="1"/>
        <v>P153F</v>
      </c>
      <c r="K26" s="1" t="s">
        <v>720</v>
      </c>
      <c r="L26" s="1">
        <v>0</v>
      </c>
      <c r="M26" s="5" t="str">
        <f t="shared" si="2"/>
        <v>P154F</v>
      </c>
      <c r="N26" s="6" t="str">
        <f>IF(Table37[[#This Row],[Capacity2]]+Table37[[#This Row],[Capacity3]]&gt;0,"TerPal","-")</f>
        <v>TerPal</v>
      </c>
      <c r="O26" s="23">
        <v>9999000</v>
      </c>
      <c r="V26" s="1" t="s">
        <v>711</v>
      </c>
      <c r="X26" s="1" t="s">
        <v>725</v>
      </c>
    </row>
    <row r="27" spans="1:24" x14ac:dyDescent="0.25">
      <c r="A27" s="1" t="s">
        <v>516</v>
      </c>
      <c r="B27" s="1">
        <v>6512671.4000000004</v>
      </c>
      <c r="C27" s="1">
        <v>488678.68180000002</v>
      </c>
      <c r="D27" s="5" t="str">
        <f t="shared" si="5"/>
        <v>P141F</v>
      </c>
      <c r="E27" s="6" t="s">
        <v>753</v>
      </c>
      <c r="F27" s="6">
        <v>150000</v>
      </c>
      <c r="G27" s="5" t="str">
        <f t="shared" si="0"/>
        <v>P142F</v>
      </c>
      <c r="H27" s="6" t="s">
        <v>720</v>
      </c>
      <c r="I27" s="23">
        <v>0</v>
      </c>
      <c r="J27" s="5" t="str">
        <f t="shared" si="1"/>
        <v>P143F</v>
      </c>
      <c r="K27" s="1" t="s">
        <v>720</v>
      </c>
      <c r="L27" s="1">
        <v>0</v>
      </c>
      <c r="M27" s="5" t="str">
        <f t="shared" si="2"/>
        <v>P144F</v>
      </c>
      <c r="N27" s="6" t="str">
        <f>IF(Table37[[#This Row],[Capacity2]]+Table37[[#This Row],[Capacity3]]&gt;0,"TerPal","-")</f>
        <v>-</v>
      </c>
      <c r="O27" s="23">
        <v>9999000</v>
      </c>
      <c r="V27" s="1" t="s">
        <v>712</v>
      </c>
      <c r="X27" s="1" t="s">
        <v>723</v>
      </c>
    </row>
    <row r="28" spans="1:24" x14ac:dyDescent="0.25">
      <c r="A28" s="1" t="s">
        <v>507</v>
      </c>
      <c r="B28" s="1">
        <v>6500610.4370999997</v>
      </c>
      <c r="C28" s="1">
        <v>573341.64769999997</v>
      </c>
      <c r="D28" s="5" t="str">
        <f t="shared" si="5"/>
        <v>P51F</v>
      </c>
      <c r="E28" s="6" t="s">
        <v>759</v>
      </c>
      <c r="F28" s="6">
        <v>650000</v>
      </c>
      <c r="G28" s="5" t="str">
        <f t="shared" si="0"/>
        <v>P52F</v>
      </c>
      <c r="H28" s="6" t="s">
        <v>756</v>
      </c>
      <c r="I28" s="23">
        <v>650000</v>
      </c>
      <c r="J28" s="5" t="str">
        <f t="shared" si="1"/>
        <v>P53F</v>
      </c>
      <c r="K28" s="1" t="s">
        <v>722</v>
      </c>
      <c r="L28" s="1">
        <v>0</v>
      </c>
      <c r="M28" s="5" t="str">
        <f t="shared" si="2"/>
        <v>P54F</v>
      </c>
      <c r="N28" s="6" t="str">
        <f>IF(Table37[[#This Row],[Capacity2]]+Table37[[#This Row],[Capacity3]]&gt;0,"TerPal","-")</f>
        <v>TerPal</v>
      </c>
      <c r="O28" s="23">
        <v>9999000</v>
      </c>
      <c r="V28" s="1" t="s">
        <v>679</v>
      </c>
      <c r="W28" s="1" t="s">
        <v>680</v>
      </c>
      <c r="X28" s="1" t="s">
        <v>741</v>
      </c>
    </row>
    <row r="29" spans="1:24" x14ac:dyDescent="0.25">
      <c r="A29" s="1" t="s">
        <v>505</v>
      </c>
      <c r="B29" s="1">
        <v>6493534.3687000005</v>
      </c>
      <c r="C29" s="1">
        <v>552300.17020000005</v>
      </c>
      <c r="D29" s="5" t="str">
        <f t="shared" si="5"/>
        <v>P31F</v>
      </c>
      <c r="E29" s="6" t="s">
        <v>753</v>
      </c>
      <c r="F29" s="6">
        <v>460000</v>
      </c>
      <c r="G29" s="5" t="str">
        <f t="shared" si="0"/>
        <v>P32F</v>
      </c>
      <c r="H29" s="6" t="s">
        <v>754</v>
      </c>
      <c r="I29" s="23">
        <v>460000</v>
      </c>
      <c r="J29" s="5" t="str">
        <f t="shared" si="1"/>
        <v>P33F</v>
      </c>
      <c r="K29" s="1" t="s">
        <v>720</v>
      </c>
      <c r="L29" s="1">
        <v>0</v>
      </c>
      <c r="M29" s="5" t="str">
        <f t="shared" si="2"/>
        <v>P34F</v>
      </c>
      <c r="N29" s="6" t="str">
        <f>IF(Table37[[#This Row],[Capacity2]]+Table37[[#This Row],[Capacity3]]&gt;0,"TerPal","-")</f>
        <v>TerPal</v>
      </c>
      <c r="O29" s="23">
        <v>9999000</v>
      </c>
      <c r="V29" s="1" t="s">
        <v>719</v>
      </c>
      <c r="W29" s="1" t="s">
        <v>690</v>
      </c>
      <c r="X29" s="1" t="s">
        <v>748</v>
      </c>
    </row>
    <row r="30" spans="1:24" x14ac:dyDescent="0.25">
      <c r="A30" s="1" t="s">
        <v>536</v>
      </c>
      <c r="B30" s="1">
        <v>6371872.4468999999</v>
      </c>
      <c r="C30" s="1">
        <v>446490.61810000002</v>
      </c>
      <c r="D30" s="5" t="str">
        <f t="shared" si="5"/>
        <v>P341F</v>
      </c>
      <c r="E30" s="6" t="s">
        <v>759</v>
      </c>
      <c r="F30" s="6">
        <v>200000</v>
      </c>
      <c r="G30" s="5" t="str">
        <f t="shared" si="0"/>
        <v>P342F</v>
      </c>
      <c r="H30" s="6" t="s">
        <v>720</v>
      </c>
      <c r="I30" s="23">
        <v>0</v>
      </c>
      <c r="J30" s="5" t="str">
        <f t="shared" si="1"/>
        <v>P343F</v>
      </c>
      <c r="K30" s="1" t="s">
        <v>720</v>
      </c>
      <c r="L30" s="1">
        <v>0</v>
      </c>
      <c r="M30" s="5" t="str">
        <f t="shared" si="2"/>
        <v>P344F</v>
      </c>
      <c r="N30" s="6" t="str">
        <f>IF(Table37[[#This Row],[Capacity2]]+Table37[[#This Row],[Capacity3]]&gt;0,"TerPal","-")</f>
        <v>-</v>
      </c>
      <c r="O30" s="23">
        <v>9999000</v>
      </c>
      <c r="V30" s="1" t="s">
        <v>684</v>
      </c>
      <c r="W30" s="1" t="s">
        <v>751</v>
      </c>
      <c r="X30" s="1" t="s">
        <v>752</v>
      </c>
    </row>
    <row r="31" spans="1:24" x14ac:dyDescent="0.25">
      <c r="A31" s="1" t="s">
        <v>523</v>
      </c>
      <c r="B31" s="1">
        <v>6345773.3624999998</v>
      </c>
      <c r="C31" s="1">
        <v>329120.52110000001</v>
      </c>
      <c r="D31" s="5" t="str">
        <f t="shared" si="5"/>
        <v>P211F</v>
      </c>
      <c r="E31" s="6" t="s">
        <v>753</v>
      </c>
      <c r="F31" s="6">
        <v>800000</v>
      </c>
      <c r="G31" s="5" t="str">
        <f t="shared" si="0"/>
        <v>P212F</v>
      </c>
      <c r="H31" s="6" t="s">
        <v>722</v>
      </c>
      <c r="I31" s="23">
        <v>0</v>
      </c>
      <c r="J31" s="5" t="str">
        <f t="shared" si="1"/>
        <v>P213F</v>
      </c>
      <c r="K31" s="1" t="s">
        <v>776</v>
      </c>
      <c r="L31" s="6">
        <v>2</v>
      </c>
      <c r="M31" s="5" t="str">
        <f t="shared" si="2"/>
        <v>P214F</v>
      </c>
      <c r="N31" s="6" t="s">
        <v>811</v>
      </c>
      <c r="O31" s="23">
        <v>9999000</v>
      </c>
      <c r="V31" s="1" t="s">
        <v>703</v>
      </c>
      <c r="X31" s="1" t="s">
        <v>723</v>
      </c>
    </row>
    <row r="32" spans="1:24" x14ac:dyDescent="0.25">
      <c r="A32" s="1" t="s">
        <v>521</v>
      </c>
      <c r="B32" s="1">
        <v>6328674.0059000002</v>
      </c>
      <c r="C32" s="1">
        <v>593197.91859999998</v>
      </c>
      <c r="D32" s="5" t="str">
        <f t="shared" si="5"/>
        <v>P191F</v>
      </c>
      <c r="E32" s="6" t="s">
        <v>753</v>
      </c>
      <c r="F32" s="6">
        <v>700000</v>
      </c>
      <c r="G32" s="5" t="str">
        <f t="shared" si="0"/>
        <v>P192F</v>
      </c>
      <c r="H32" s="6" t="s">
        <v>720</v>
      </c>
      <c r="I32" s="23">
        <v>0</v>
      </c>
      <c r="J32" s="5" t="str">
        <f t="shared" si="1"/>
        <v>P193F</v>
      </c>
      <c r="K32" s="1" t="s">
        <v>720</v>
      </c>
      <c r="L32" s="1">
        <v>0</v>
      </c>
      <c r="M32" s="5" t="str">
        <f t="shared" si="2"/>
        <v>P194F</v>
      </c>
      <c r="N32" s="6" t="str">
        <f>IF(Table37[[#This Row],[Capacity2]]+Table37[[#This Row],[Capacity3]]&gt;0,"TerPal","-")</f>
        <v>-</v>
      </c>
      <c r="O32" s="23">
        <v>9999000</v>
      </c>
      <c r="V32" s="1" t="s">
        <v>706</v>
      </c>
      <c r="X32" s="1" t="s">
        <v>723</v>
      </c>
    </row>
    <row r="33" spans="1:24" x14ac:dyDescent="0.25">
      <c r="A33" s="1" t="s">
        <v>533</v>
      </c>
      <c r="B33" s="1">
        <v>6318961.2652000003</v>
      </c>
      <c r="C33" s="1">
        <v>392998.15519999998</v>
      </c>
      <c r="D33" s="5" t="str">
        <f t="shared" si="5"/>
        <v>P311F</v>
      </c>
      <c r="E33" s="6" t="s">
        <v>759</v>
      </c>
      <c r="F33" s="6">
        <v>245000</v>
      </c>
      <c r="G33" s="5" t="str">
        <f t="shared" si="0"/>
        <v>P312F</v>
      </c>
      <c r="H33" s="6" t="s">
        <v>758</v>
      </c>
      <c r="I33" s="23">
        <v>245000</v>
      </c>
      <c r="J33" s="5" t="str">
        <f t="shared" si="1"/>
        <v>P313F</v>
      </c>
      <c r="K33" s="1" t="s">
        <v>720</v>
      </c>
      <c r="L33" s="1">
        <v>1</v>
      </c>
      <c r="M33" s="5" t="str">
        <f t="shared" si="2"/>
        <v>P314F</v>
      </c>
      <c r="N33" s="6" t="str">
        <f>IF(Table37[[#This Row],[Capacity2]]+Table37[[#This Row],[Capacity3]]&gt;0,"TerPal","-")</f>
        <v>TerPal</v>
      </c>
      <c r="O33" s="23">
        <v>9999000</v>
      </c>
      <c r="V33" s="1" t="s">
        <v>775</v>
      </c>
      <c r="W33" s="1" t="s">
        <v>687</v>
      </c>
      <c r="X33" s="1" t="s">
        <v>743</v>
      </c>
    </row>
    <row r="34" spans="1:24" x14ac:dyDescent="0.25">
      <c r="A34" s="1" t="s">
        <v>513</v>
      </c>
      <c r="B34" s="1">
        <v>6289234.0663000001</v>
      </c>
      <c r="C34" s="1">
        <v>516478.11989999999</v>
      </c>
      <c r="D34" s="5" t="str">
        <f t="shared" si="5"/>
        <v>P111F</v>
      </c>
      <c r="E34" s="6" t="s">
        <v>720</v>
      </c>
      <c r="F34" s="6">
        <v>0</v>
      </c>
      <c r="G34" s="5" t="str">
        <f t="shared" si="0"/>
        <v>P112F</v>
      </c>
      <c r="H34" s="6" t="s">
        <v>720</v>
      </c>
      <c r="I34" s="23">
        <v>0</v>
      </c>
      <c r="J34" s="5" t="str">
        <f t="shared" si="1"/>
        <v>P113F</v>
      </c>
      <c r="K34" s="1" t="s">
        <v>720</v>
      </c>
      <c r="L34" s="1">
        <v>0</v>
      </c>
      <c r="M34" s="5" t="str">
        <f t="shared" si="2"/>
        <v>P114F</v>
      </c>
      <c r="N34" s="6" t="str">
        <f>IF(Table37[[#This Row],[Capacity2]]+Table37[[#This Row],[Capacity3]]&gt;0,"TerPal","-")</f>
        <v>-</v>
      </c>
      <c r="O34" s="23">
        <v>9999000</v>
      </c>
      <c r="V34" s="1" t="s">
        <v>716</v>
      </c>
    </row>
    <row r="35" spans="1:24" x14ac:dyDescent="0.25">
      <c r="A35" s="1" t="s">
        <v>522</v>
      </c>
      <c r="B35" s="1">
        <v>6224076.7026000004</v>
      </c>
      <c r="C35" s="1">
        <v>485150.69219999999</v>
      </c>
      <c r="D35" s="5" t="str">
        <f t="shared" si="5"/>
        <v>P201F</v>
      </c>
      <c r="E35" s="6" t="s">
        <v>753</v>
      </c>
      <c r="F35" s="6">
        <v>600000</v>
      </c>
      <c r="G35" s="5" t="str">
        <f t="shared" si="0"/>
        <v>P202F</v>
      </c>
      <c r="H35" s="6" t="s">
        <v>722</v>
      </c>
      <c r="I35" s="23">
        <v>200000</v>
      </c>
      <c r="J35" s="5" t="str">
        <f t="shared" si="1"/>
        <v>P203F</v>
      </c>
      <c r="K35" s="1" t="s">
        <v>720</v>
      </c>
      <c r="L35" s="1">
        <v>0</v>
      </c>
      <c r="M35" s="5" t="str">
        <f t="shared" si="2"/>
        <v>P204F</v>
      </c>
      <c r="N35" s="6" t="str">
        <f>IF(Table37[[#This Row],[Capacity2]]+Table37[[#This Row],[Capacity3]]&gt;0,"TerPal","-")</f>
        <v>TerPal</v>
      </c>
      <c r="O35" s="23">
        <v>9999000</v>
      </c>
      <c r="V35" s="1" t="s">
        <v>704</v>
      </c>
      <c r="X35" s="1" t="s">
        <v>723</v>
      </c>
    </row>
    <row r="36" spans="1:24" x14ac:dyDescent="0.25">
      <c r="A36" s="1" t="s">
        <v>531</v>
      </c>
      <c r="B36" s="1">
        <v>6210855.8909</v>
      </c>
      <c r="C36" s="1">
        <v>467065.02710000001</v>
      </c>
      <c r="D36" s="5" t="str">
        <f t="shared" si="5"/>
        <v>P291F</v>
      </c>
      <c r="E36" s="6" t="s">
        <v>753</v>
      </c>
      <c r="F36" s="6">
        <v>800000</v>
      </c>
      <c r="G36" s="5" t="str">
        <f t="shared" si="0"/>
        <v>P292F</v>
      </c>
      <c r="H36" s="6" t="s">
        <v>755</v>
      </c>
      <c r="I36" s="23">
        <v>475000</v>
      </c>
      <c r="J36" s="5" t="str">
        <f t="shared" si="1"/>
        <v>P293F</v>
      </c>
      <c r="K36" s="1" t="s">
        <v>720</v>
      </c>
      <c r="L36" s="1">
        <v>0</v>
      </c>
      <c r="M36" s="5" t="str">
        <f t="shared" si="2"/>
        <v>P294F</v>
      </c>
      <c r="N36" s="6" t="str">
        <f>IF(Table37[[#This Row],[Capacity2]]+Table37[[#This Row],[Capacity3]]&gt;0,"TerPal","-")</f>
        <v>TerPal</v>
      </c>
      <c r="O36" s="23">
        <v>9999000</v>
      </c>
      <c r="V36" s="1" t="s">
        <v>691</v>
      </c>
      <c r="X36" s="1" t="s">
        <v>739</v>
      </c>
    </row>
    <row r="37" spans="1:24" x14ac:dyDescent="0.25">
      <c r="D37" s="3"/>
      <c r="E37" s="6"/>
      <c r="F37" s="6"/>
    </row>
    <row r="38" spans="1:24" x14ac:dyDescent="0.25">
      <c r="D38" s="3"/>
      <c r="E38" s="6"/>
      <c r="F38" s="6"/>
    </row>
    <row r="39" spans="1:24" x14ac:dyDescent="0.25">
      <c r="D39" s="3"/>
      <c r="E39" s="6"/>
      <c r="F39" s="6"/>
    </row>
    <row r="40" spans="1:24" x14ac:dyDescent="0.25">
      <c r="D40" s="3"/>
      <c r="E40" s="6"/>
      <c r="F40" s="6"/>
    </row>
    <row r="41" spans="1:24" x14ac:dyDescent="0.25">
      <c r="D41" s="3"/>
      <c r="E41" s="6"/>
      <c r="F41" s="6"/>
    </row>
    <row r="42" spans="1:24" x14ac:dyDescent="0.25">
      <c r="D42" s="3"/>
      <c r="E42" s="6"/>
      <c r="F42" s="6"/>
    </row>
    <row r="43" spans="1:24" x14ac:dyDescent="0.25">
      <c r="D43" s="3"/>
      <c r="E43" s="6"/>
      <c r="F43" s="6"/>
    </row>
    <row r="44" spans="1:24" x14ac:dyDescent="0.25">
      <c r="D44" s="3"/>
      <c r="E44" s="6"/>
      <c r="F44" s="6"/>
    </row>
    <row r="45" spans="1:24" x14ac:dyDescent="0.25">
      <c r="D45" s="3"/>
      <c r="E45" s="6"/>
      <c r="F45" s="6"/>
    </row>
    <row r="46" spans="1:24" x14ac:dyDescent="0.25">
      <c r="D46" s="3"/>
      <c r="E46" s="6"/>
      <c r="F46" s="6"/>
    </row>
    <row r="47" spans="1:24" x14ac:dyDescent="0.25">
      <c r="D47" s="3"/>
      <c r="E47" s="6"/>
      <c r="F47" s="6"/>
    </row>
    <row r="48" spans="1:24" x14ac:dyDescent="0.25">
      <c r="D48" s="3"/>
      <c r="E48" s="6"/>
      <c r="F48" s="6"/>
    </row>
    <row r="49" spans="4:6" x14ac:dyDescent="0.25">
      <c r="D49" s="3"/>
      <c r="E49" s="6"/>
      <c r="F49" s="6"/>
    </row>
    <row r="50" spans="4:6" x14ac:dyDescent="0.25">
      <c r="D50" s="3"/>
      <c r="E50" s="6"/>
      <c r="F50" s="6"/>
    </row>
    <row r="51" spans="4:6" x14ac:dyDescent="0.25">
      <c r="D51" s="3"/>
      <c r="E51" s="6"/>
      <c r="F51" s="6"/>
    </row>
    <row r="52" spans="4:6" x14ac:dyDescent="0.25">
      <c r="D52" s="3"/>
      <c r="E52" s="6"/>
      <c r="F52" s="6"/>
    </row>
    <row r="53" spans="4:6" x14ac:dyDescent="0.25">
      <c r="D53" s="3"/>
      <c r="E53" s="6"/>
      <c r="F53" s="6"/>
    </row>
    <row r="54" spans="4:6" x14ac:dyDescent="0.25">
      <c r="D54" s="3"/>
      <c r="E54" s="6"/>
      <c r="F54" s="6"/>
    </row>
    <row r="55" spans="4:6" x14ac:dyDescent="0.25">
      <c r="D55" s="3"/>
      <c r="E55" s="6"/>
      <c r="F55" s="6"/>
    </row>
    <row r="56" spans="4:6" x14ac:dyDescent="0.25">
      <c r="D56" s="3"/>
      <c r="E56" s="6"/>
      <c r="F56" s="6"/>
    </row>
    <row r="57" spans="4:6" x14ac:dyDescent="0.25">
      <c r="D57" s="3"/>
      <c r="E57" s="6"/>
      <c r="F57" s="6"/>
    </row>
    <row r="58" spans="4:6" x14ac:dyDescent="0.25">
      <c r="D58" s="3"/>
      <c r="E58" s="6"/>
      <c r="F58" s="6"/>
    </row>
    <row r="59" spans="4:6" x14ac:dyDescent="0.25">
      <c r="D59" s="3"/>
      <c r="E59" s="6"/>
      <c r="F59" s="6"/>
    </row>
    <row r="60" spans="4:6" x14ac:dyDescent="0.25">
      <c r="D60" s="3"/>
      <c r="E60" s="6"/>
      <c r="F60" s="6"/>
    </row>
    <row r="61" spans="4:6" x14ac:dyDescent="0.25">
      <c r="D61" s="3"/>
      <c r="E61" s="6"/>
      <c r="F61" s="6"/>
    </row>
    <row r="62" spans="4:6" x14ac:dyDescent="0.25">
      <c r="D62" s="3"/>
      <c r="E62" s="6"/>
      <c r="F62" s="6"/>
    </row>
    <row r="63" spans="4:6" x14ac:dyDescent="0.25">
      <c r="D63" s="3"/>
      <c r="E63" s="6"/>
      <c r="F63" s="6"/>
    </row>
    <row r="64" spans="4:6" x14ac:dyDescent="0.25">
      <c r="D64" s="3"/>
      <c r="E64" s="6"/>
      <c r="F64" s="6"/>
    </row>
    <row r="65" spans="4:6" x14ac:dyDescent="0.25">
      <c r="D65" s="3"/>
      <c r="E65" s="6"/>
      <c r="F65" s="6"/>
    </row>
    <row r="66" spans="4:6" x14ac:dyDescent="0.25">
      <c r="D66" s="3"/>
      <c r="E66" s="6"/>
      <c r="F66" s="6"/>
    </row>
    <row r="67" spans="4:6" x14ac:dyDescent="0.25">
      <c r="D67" s="3"/>
      <c r="E67" s="6"/>
      <c r="F67" s="6"/>
    </row>
    <row r="68" spans="4:6" x14ac:dyDescent="0.25">
      <c r="D68" s="3"/>
      <c r="E68" s="6"/>
      <c r="F68" s="6"/>
    </row>
    <row r="69" spans="4:6" x14ac:dyDescent="0.25">
      <c r="D69" s="3"/>
      <c r="E69" s="6"/>
      <c r="F69" s="6"/>
    </row>
    <row r="70" spans="4:6" x14ac:dyDescent="0.25">
      <c r="D70" s="3"/>
      <c r="E70" s="6"/>
      <c r="F70" s="6"/>
    </row>
    <row r="71" spans="4:6" x14ac:dyDescent="0.25">
      <c r="D71" s="3"/>
      <c r="E71" s="6"/>
      <c r="F71" s="6"/>
    </row>
    <row r="72" spans="4:6" x14ac:dyDescent="0.25">
      <c r="D72" s="3"/>
      <c r="E72" s="6"/>
      <c r="F72" s="6"/>
    </row>
    <row r="73" spans="4:6" x14ac:dyDescent="0.25">
      <c r="D73" s="3"/>
      <c r="E73" s="6"/>
      <c r="F73" s="6"/>
    </row>
    <row r="74" spans="4:6" x14ac:dyDescent="0.25">
      <c r="D74" s="3"/>
      <c r="E74" s="6"/>
      <c r="F74" s="6"/>
    </row>
    <row r="75" spans="4:6" x14ac:dyDescent="0.25">
      <c r="D75" s="3"/>
      <c r="E75" s="6"/>
      <c r="F75" s="6"/>
    </row>
    <row r="76" spans="4:6" x14ac:dyDescent="0.25">
      <c r="D76" s="3"/>
      <c r="E76" s="6"/>
      <c r="F76" s="6"/>
    </row>
    <row r="77" spans="4:6" x14ac:dyDescent="0.25">
      <c r="D77" s="3"/>
      <c r="E77" s="6"/>
      <c r="F77" s="6"/>
    </row>
    <row r="78" spans="4:6" x14ac:dyDescent="0.25">
      <c r="D78" s="3"/>
      <c r="E78" s="6"/>
      <c r="F78" s="6"/>
    </row>
    <row r="79" spans="4:6" x14ac:dyDescent="0.25">
      <c r="D79" s="3"/>
      <c r="E79" s="6"/>
      <c r="F79" s="6"/>
    </row>
    <row r="80" spans="4:6" x14ac:dyDescent="0.25">
      <c r="D80" s="3"/>
      <c r="E80" s="6"/>
      <c r="F80" s="6"/>
    </row>
    <row r="81" spans="4:6" x14ac:dyDescent="0.25">
      <c r="D81" s="3"/>
      <c r="E81" s="6"/>
      <c r="F81" s="6"/>
    </row>
    <row r="82" spans="4:6" x14ac:dyDescent="0.25">
      <c r="D82" s="3"/>
      <c r="E82" s="6"/>
      <c r="F82" s="6"/>
    </row>
    <row r="83" spans="4:6" x14ac:dyDescent="0.25">
      <c r="D83" s="3"/>
      <c r="E83" s="6"/>
      <c r="F83" s="6"/>
    </row>
    <row r="84" spans="4:6" x14ac:dyDescent="0.25">
      <c r="D84" s="3"/>
      <c r="E84" s="6"/>
      <c r="F84" s="6"/>
    </row>
    <row r="85" spans="4:6" x14ac:dyDescent="0.25">
      <c r="D85" s="3"/>
      <c r="E85" s="6"/>
      <c r="F85" s="6"/>
    </row>
    <row r="86" spans="4:6" x14ac:dyDescent="0.25">
      <c r="D86" s="3"/>
      <c r="E86" s="6"/>
      <c r="F86" s="6"/>
    </row>
    <row r="87" spans="4:6" x14ac:dyDescent="0.25">
      <c r="D87" s="3"/>
      <c r="E87" s="6"/>
      <c r="F87" s="6"/>
    </row>
    <row r="88" spans="4:6" x14ac:dyDescent="0.25">
      <c r="D88" s="3"/>
      <c r="E88" s="6"/>
      <c r="F88" s="6"/>
    </row>
    <row r="89" spans="4:6" x14ac:dyDescent="0.25">
      <c r="D89" s="3"/>
      <c r="E89" s="6"/>
      <c r="F89" s="6"/>
    </row>
    <row r="90" spans="4:6" x14ac:dyDescent="0.25">
      <c r="D90" s="3"/>
      <c r="E90" s="6"/>
      <c r="F90" s="6"/>
    </row>
    <row r="91" spans="4:6" x14ac:dyDescent="0.25">
      <c r="D91" s="3"/>
      <c r="E91" s="6"/>
      <c r="F91" s="6"/>
    </row>
    <row r="92" spans="4:6" x14ac:dyDescent="0.25">
      <c r="D92" s="3"/>
      <c r="E92" s="6"/>
      <c r="F92" s="6"/>
    </row>
    <row r="93" spans="4:6" x14ac:dyDescent="0.25">
      <c r="D93" s="3"/>
      <c r="E93" s="6"/>
      <c r="F93" s="6"/>
    </row>
    <row r="94" spans="4:6" x14ac:dyDescent="0.25">
      <c r="D94" s="3"/>
      <c r="E94" s="6"/>
      <c r="F94" s="6"/>
    </row>
    <row r="95" spans="4:6" x14ac:dyDescent="0.25">
      <c r="D95" s="3"/>
      <c r="E95" s="6"/>
      <c r="F95" s="6"/>
    </row>
    <row r="96" spans="4:6" x14ac:dyDescent="0.25">
      <c r="D96" s="3"/>
      <c r="E96" s="6"/>
      <c r="F96" s="6"/>
    </row>
    <row r="97" spans="4:6" x14ac:dyDescent="0.25">
      <c r="D97" s="3"/>
      <c r="E97" s="6"/>
      <c r="F97" s="6"/>
    </row>
    <row r="98" spans="4:6" x14ac:dyDescent="0.25">
      <c r="D98" s="3"/>
      <c r="E98" s="6"/>
      <c r="F98" s="6"/>
    </row>
    <row r="99" spans="4:6" x14ac:dyDescent="0.25">
      <c r="D99" s="3"/>
      <c r="E99" s="6"/>
      <c r="F99" s="6"/>
    </row>
    <row r="100" spans="4:6" x14ac:dyDescent="0.25">
      <c r="D100" s="3"/>
      <c r="E100" s="6"/>
      <c r="F100" s="6"/>
    </row>
    <row r="101" spans="4:6" x14ac:dyDescent="0.25">
      <c r="D101" s="3"/>
      <c r="E101" s="6"/>
      <c r="F101" s="6"/>
    </row>
    <row r="102" spans="4:6" x14ac:dyDescent="0.25">
      <c r="D102" s="3"/>
      <c r="E102" s="6"/>
      <c r="F102" s="6"/>
    </row>
    <row r="103" spans="4:6" x14ac:dyDescent="0.25">
      <c r="D103" s="3"/>
      <c r="E103" s="6"/>
      <c r="F103" s="6"/>
    </row>
    <row r="104" spans="4:6" x14ac:dyDescent="0.25">
      <c r="D104" s="3"/>
      <c r="E104" s="6"/>
      <c r="F104" s="6"/>
    </row>
    <row r="105" spans="4:6" x14ac:dyDescent="0.25">
      <c r="D105" s="3"/>
      <c r="E105" s="6"/>
      <c r="F105" s="6"/>
    </row>
    <row r="106" spans="4:6" x14ac:dyDescent="0.25">
      <c r="D106" s="3"/>
      <c r="E106" s="6"/>
      <c r="F106" s="6"/>
    </row>
    <row r="107" spans="4:6" x14ac:dyDescent="0.25">
      <c r="D107" s="3"/>
      <c r="E107" s="6"/>
      <c r="F107" s="6"/>
    </row>
    <row r="108" spans="4:6" x14ac:dyDescent="0.25">
      <c r="D108" s="3"/>
      <c r="E108" s="6"/>
      <c r="F108" s="6"/>
    </row>
    <row r="109" spans="4:6" x14ac:dyDescent="0.25">
      <c r="D109" s="3"/>
      <c r="E109" s="6"/>
      <c r="F109" s="6"/>
    </row>
    <row r="110" spans="4:6" x14ac:dyDescent="0.25">
      <c r="D110" s="3"/>
      <c r="E110" s="6"/>
      <c r="F110" s="6"/>
    </row>
    <row r="111" spans="4:6" x14ac:dyDescent="0.25">
      <c r="D111" s="3"/>
      <c r="E111" s="6"/>
      <c r="F111" s="6"/>
    </row>
    <row r="112" spans="4:6" x14ac:dyDescent="0.25">
      <c r="D112" s="3"/>
      <c r="E112" s="6"/>
      <c r="F112" s="6"/>
    </row>
    <row r="113" spans="4:6" x14ac:dyDescent="0.25">
      <c r="D113" s="3"/>
      <c r="E113" s="6"/>
      <c r="F113" s="6"/>
    </row>
    <row r="114" spans="4:6" x14ac:dyDescent="0.25">
      <c r="D114" s="3"/>
      <c r="E114" s="6"/>
      <c r="F114" s="6"/>
    </row>
    <row r="115" spans="4:6" x14ac:dyDescent="0.25">
      <c r="D115" s="3"/>
      <c r="E115" s="6"/>
      <c r="F115" s="6"/>
    </row>
    <row r="116" spans="4:6" x14ac:dyDescent="0.25">
      <c r="D116" s="3"/>
      <c r="E116" s="6"/>
      <c r="F116" s="6"/>
    </row>
    <row r="117" spans="4:6" x14ac:dyDescent="0.25">
      <c r="D117" s="3"/>
      <c r="E117" s="6"/>
      <c r="F117" s="6"/>
    </row>
    <row r="118" spans="4:6" x14ac:dyDescent="0.25">
      <c r="D118" s="3"/>
      <c r="E118" s="6"/>
      <c r="F118" s="6"/>
    </row>
    <row r="119" spans="4:6" x14ac:dyDescent="0.25">
      <c r="D119" s="3"/>
      <c r="E119" s="6"/>
      <c r="F119" s="6"/>
    </row>
    <row r="120" spans="4:6" x14ac:dyDescent="0.25">
      <c r="D120" s="3"/>
      <c r="E120" s="6"/>
      <c r="F120" s="6"/>
    </row>
    <row r="121" spans="4:6" x14ac:dyDescent="0.25">
      <c r="D121" s="3"/>
      <c r="E121" s="6"/>
      <c r="F121" s="6"/>
    </row>
    <row r="122" spans="4:6" x14ac:dyDescent="0.25">
      <c r="D122" s="3"/>
      <c r="E122" s="6"/>
      <c r="F122" s="6"/>
    </row>
    <row r="123" spans="4:6" x14ac:dyDescent="0.25">
      <c r="D123" s="3"/>
      <c r="E123" s="6"/>
      <c r="F123" s="6"/>
    </row>
    <row r="124" spans="4:6" x14ac:dyDescent="0.25">
      <c r="D124" s="3"/>
      <c r="E124" s="6"/>
      <c r="F124" s="6"/>
    </row>
    <row r="125" spans="4:6" x14ac:dyDescent="0.25">
      <c r="D125" s="3"/>
      <c r="E125" s="6"/>
      <c r="F125" s="6"/>
    </row>
    <row r="126" spans="4:6" x14ac:dyDescent="0.25">
      <c r="D126" s="3"/>
      <c r="E126" s="6"/>
      <c r="F126" s="6"/>
    </row>
    <row r="127" spans="4:6" x14ac:dyDescent="0.25">
      <c r="D127" s="3"/>
      <c r="E127" s="6"/>
      <c r="F127" s="6"/>
    </row>
    <row r="128" spans="4:6" x14ac:dyDescent="0.25">
      <c r="D128" s="3"/>
      <c r="E128" s="6"/>
      <c r="F128" s="6"/>
    </row>
    <row r="129" spans="4:6" x14ac:dyDescent="0.25">
      <c r="D129" s="3"/>
      <c r="E129" s="6"/>
      <c r="F129" s="6"/>
    </row>
    <row r="130" spans="4:6" x14ac:dyDescent="0.25">
      <c r="D130" s="3"/>
      <c r="E130" s="6"/>
      <c r="F130" s="6"/>
    </row>
    <row r="131" spans="4:6" x14ac:dyDescent="0.25">
      <c r="D131" s="3"/>
      <c r="E131" s="6"/>
      <c r="F131" s="6"/>
    </row>
    <row r="132" spans="4:6" x14ac:dyDescent="0.25">
      <c r="D132" s="3"/>
      <c r="E132" s="6"/>
      <c r="F132" s="6"/>
    </row>
    <row r="133" spans="4:6" x14ac:dyDescent="0.25">
      <c r="D133" s="3"/>
      <c r="E133" s="6"/>
      <c r="F133" s="6"/>
    </row>
    <row r="134" spans="4:6" x14ac:dyDescent="0.25">
      <c r="D134" s="3"/>
      <c r="E134" s="6"/>
      <c r="F134" s="6"/>
    </row>
    <row r="135" spans="4:6" x14ac:dyDescent="0.25">
      <c r="D135" s="3"/>
      <c r="E135" s="6"/>
      <c r="F135" s="6"/>
    </row>
    <row r="136" spans="4:6" x14ac:dyDescent="0.25">
      <c r="D136" s="3"/>
      <c r="E136" s="6"/>
      <c r="F136" s="6"/>
    </row>
    <row r="137" spans="4:6" x14ac:dyDescent="0.25">
      <c r="D137" s="3"/>
      <c r="E137" s="6"/>
      <c r="F137" s="6"/>
    </row>
    <row r="138" spans="4:6" x14ac:dyDescent="0.25">
      <c r="D138" s="3"/>
      <c r="E138" s="6"/>
      <c r="F138" s="6"/>
    </row>
    <row r="139" spans="4:6" x14ac:dyDescent="0.25">
      <c r="D139" s="3"/>
      <c r="E139" s="6"/>
      <c r="F139" s="6"/>
    </row>
    <row r="140" spans="4:6" x14ac:dyDescent="0.25">
      <c r="D140" s="3"/>
      <c r="E140" s="6"/>
      <c r="F140" s="6"/>
    </row>
    <row r="141" spans="4:6" x14ac:dyDescent="0.25">
      <c r="D141" s="3"/>
      <c r="E141" s="6"/>
      <c r="F141" s="6"/>
    </row>
    <row r="142" spans="4:6" x14ac:dyDescent="0.25">
      <c r="D142" s="3"/>
      <c r="E142" s="6"/>
      <c r="F142" s="6"/>
    </row>
    <row r="143" spans="4:6" x14ac:dyDescent="0.25">
      <c r="D143" s="3"/>
      <c r="E143" s="6"/>
      <c r="F143" s="6"/>
    </row>
    <row r="144" spans="4:6" x14ac:dyDescent="0.25">
      <c r="D144" s="3"/>
      <c r="E144" s="6"/>
      <c r="F144" s="6"/>
    </row>
    <row r="145" spans="4:6" x14ac:dyDescent="0.25">
      <c r="D145" s="3"/>
      <c r="E145" s="6"/>
      <c r="F145" s="6"/>
    </row>
    <row r="146" spans="4:6" x14ac:dyDescent="0.25">
      <c r="D146" s="3"/>
      <c r="E146" s="6"/>
      <c r="F146" s="6"/>
    </row>
    <row r="147" spans="4:6" x14ac:dyDescent="0.25">
      <c r="D147" s="3"/>
      <c r="E147" s="6"/>
      <c r="F147" s="6"/>
    </row>
    <row r="148" spans="4:6" x14ac:dyDescent="0.25">
      <c r="D148" s="3"/>
      <c r="E148" s="6"/>
      <c r="F148" s="6"/>
    </row>
    <row r="149" spans="4:6" x14ac:dyDescent="0.25">
      <c r="D149" s="3"/>
      <c r="E149" s="6"/>
      <c r="F149" s="6"/>
    </row>
    <row r="150" spans="4:6" x14ac:dyDescent="0.25">
      <c r="D150" s="3"/>
      <c r="E150" s="6"/>
      <c r="F150" s="6"/>
    </row>
    <row r="151" spans="4:6" x14ac:dyDescent="0.25">
      <c r="D151" s="3"/>
      <c r="E151" s="6"/>
      <c r="F151" s="6"/>
    </row>
    <row r="152" spans="4:6" x14ac:dyDescent="0.25">
      <c r="D152" s="3"/>
      <c r="E152" s="6"/>
      <c r="F152" s="6"/>
    </row>
    <row r="153" spans="4:6" x14ac:dyDescent="0.25">
      <c r="D153" s="3"/>
      <c r="E153" s="6"/>
      <c r="F153" s="6"/>
    </row>
    <row r="154" spans="4:6" x14ac:dyDescent="0.25">
      <c r="D154" s="3"/>
      <c r="E154" s="6"/>
      <c r="F154" s="6"/>
    </row>
    <row r="155" spans="4:6" x14ac:dyDescent="0.25">
      <c r="D155" s="3"/>
      <c r="E155" s="6"/>
      <c r="F155" s="6"/>
    </row>
    <row r="156" spans="4:6" x14ac:dyDescent="0.25">
      <c r="D156" s="3"/>
      <c r="E156" s="6"/>
      <c r="F156" s="6"/>
    </row>
    <row r="157" spans="4:6" x14ac:dyDescent="0.25">
      <c r="D157" s="3"/>
      <c r="E157" s="6"/>
      <c r="F157" s="6"/>
    </row>
    <row r="158" spans="4:6" x14ac:dyDescent="0.25">
      <c r="D158" s="3"/>
      <c r="E158" s="6"/>
      <c r="F158" s="6"/>
    </row>
    <row r="159" spans="4:6" x14ac:dyDescent="0.25">
      <c r="D159" s="3"/>
      <c r="E159" s="6"/>
      <c r="F159" s="6"/>
    </row>
    <row r="160" spans="4:6" x14ac:dyDescent="0.25">
      <c r="D160" s="3"/>
      <c r="E160" s="6"/>
      <c r="F160" s="6"/>
    </row>
    <row r="161" spans="4:6" x14ac:dyDescent="0.25">
      <c r="D161" s="3"/>
      <c r="E161" s="6"/>
      <c r="F161" s="6"/>
    </row>
    <row r="162" spans="4:6" x14ac:dyDescent="0.25">
      <c r="D162" s="3"/>
      <c r="E162" s="6"/>
      <c r="F162" s="6"/>
    </row>
    <row r="163" spans="4:6" x14ac:dyDescent="0.25">
      <c r="D163" s="3"/>
      <c r="E163" s="6"/>
      <c r="F163" s="6"/>
    </row>
    <row r="164" spans="4:6" x14ac:dyDescent="0.25">
      <c r="D164" s="3"/>
      <c r="E164" s="6"/>
      <c r="F164" s="6"/>
    </row>
    <row r="165" spans="4:6" x14ac:dyDescent="0.25">
      <c r="D165" s="3"/>
      <c r="E165" s="6"/>
      <c r="F165" s="6"/>
    </row>
    <row r="166" spans="4:6" x14ac:dyDescent="0.25">
      <c r="D166" s="3"/>
      <c r="E166" s="6"/>
      <c r="F166" s="6"/>
    </row>
    <row r="167" spans="4:6" x14ac:dyDescent="0.25">
      <c r="D167" s="3"/>
      <c r="E167" s="6"/>
      <c r="F167" s="6"/>
    </row>
    <row r="168" spans="4:6" x14ac:dyDescent="0.25">
      <c r="D168" s="3"/>
      <c r="E168" s="6"/>
      <c r="F168" s="6"/>
    </row>
    <row r="169" spans="4:6" x14ac:dyDescent="0.25">
      <c r="D169" s="3"/>
      <c r="E169" s="6"/>
      <c r="F169" s="6"/>
    </row>
    <row r="170" spans="4:6" x14ac:dyDescent="0.25">
      <c r="D170" s="3"/>
      <c r="E170" s="6"/>
      <c r="F170" s="6"/>
    </row>
    <row r="171" spans="4:6" x14ac:dyDescent="0.25">
      <c r="D171" s="3"/>
      <c r="E171" s="6"/>
      <c r="F171" s="6"/>
    </row>
    <row r="172" spans="4:6" x14ac:dyDescent="0.25">
      <c r="D172" s="3"/>
      <c r="E172" s="6"/>
      <c r="F172" s="6"/>
    </row>
    <row r="173" spans="4:6" x14ac:dyDescent="0.25">
      <c r="D173" s="3"/>
      <c r="E173" s="6"/>
      <c r="F173" s="6"/>
    </row>
    <row r="174" spans="4:6" x14ac:dyDescent="0.25">
      <c r="D174" s="3"/>
      <c r="E174" s="6"/>
      <c r="F174" s="6"/>
    </row>
    <row r="175" spans="4:6" x14ac:dyDescent="0.25">
      <c r="D175" s="3"/>
      <c r="E175" s="6"/>
      <c r="F175" s="6"/>
    </row>
    <row r="176" spans="4:6" x14ac:dyDescent="0.25">
      <c r="D176" s="3"/>
      <c r="E176" s="6"/>
      <c r="F176" s="6"/>
    </row>
    <row r="177" spans="4:6" x14ac:dyDescent="0.25">
      <c r="D177" s="3"/>
      <c r="E177" s="6"/>
      <c r="F177" s="6"/>
    </row>
    <row r="178" spans="4:6" x14ac:dyDescent="0.25">
      <c r="D178" s="3"/>
      <c r="E178" s="6"/>
      <c r="F178" s="6"/>
    </row>
    <row r="179" spans="4:6" x14ac:dyDescent="0.25">
      <c r="D179" s="3"/>
      <c r="E179" s="6"/>
      <c r="F179" s="6"/>
    </row>
    <row r="180" spans="4:6" x14ac:dyDescent="0.25">
      <c r="D180" s="3"/>
      <c r="E180" s="6"/>
      <c r="F180" s="6"/>
    </row>
    <row r="181" spans="4:6" x14ac:dyDescent="0.25">
      <c r="D181" s="3"/>
      <c r="E181" s="6"/>
      <c r="F181" s="6"/>
    </row>
    <row r="182" spans="4:6" x14ac:dyDescent="0.25">
      <c r="D182" s="3"/>
      <c r="E182" s="6"/>
      <c r="F182" s="6"/>
    </row>
    <row r="183" spans="4:6" x14ac:dyDescent="0.25">
      <c r="D183" s="3"/>
      <c r="E183" s="6"/>
      <c r="F183" s="6"/>
    </row>
    <row r="184" spans="4:6" x14ac:dyDescent="0.25">
      <c r="D184" s="3"/>
      <c r="E184" s="6"/>
      <c r="F184" s="6"/>
    </row>
    <row r="185" spans="4:6" x14ac:dyDescent="0.25">
      <c r="D185" s="3"/>
      <c r="E185" s="6"/>
      <c r="F185" s="6"/>
    </row>
    <row r="186" spans="4:6" x14ac:dyDescent="0.25">
      <c r="D186" s="3"/>
      <c r="E186" s="6"/>
      <c r="F186" s="6"/>
    </row>
    <row r="187" spans="4:6" x14ac:dyDescent="0.25">
      <c r="D187" s="3"/>
      <c r="E187" s="6"/>
      <c r="F187" s="6"/>
    </row>
    <row r="188" spans="4:6" x14ac:dyDescent="0.25">
      <c r="D188" s="3"/>
      <c r="E188" s="6"/>
      <c r="F188" s="6"/>
    </row>
    <row r="189" spans="4:6" x14ac:dyDescent="0.25">
      <c r="D189" s="3"/>
      <c r="E189" s="6"/>
      <c r="F189" s="6"/>
    </row>
    <row r="190" spans="4:6" x14ac:dyDescent="0.25">
      <c r="D190" s="3"/>
      <c r="E190" s="6"/>
      <c r="F190" s="6"/>
    </row>
    <row r="191" spans="4:6" x14ac:dyDescent="0.25">
      <c r="D191" s="3"/>
      <c r="E191" s="6"/>
      <c r="F191" s="6"/>
    </row>
    <row r="192" spans="4:6" x14ac:dyDescent="0.25">
      <c r="D192" s="3"/>
      <c r="E192" s="6"/>
      <c r="F192" s="6"/>
    </row>
    <row r="193" spans="4:6" x14ac:dyDescent="0.25">
      <c r="D193" s="3"/>
      <c r="E193" s="6"/>
      <c r="F193" s="6"/>
    </row>
    <row r="194" spans="4:6" x14ac:dyDescent="0.25">
      <c r="D194" s="3"/>
      <c r="E194" s="6"/>
      <c r="F194" s="6"/>
    </row>
    <row r="195" spans="4:6" x14ac:dyDescent="0.25">
      <c r="D195" s="3"/>
      <c r="E195" s="6"/>
      <c r="F195" s="6"/>
    </row>
    <row r="196" spans="4:6" x14ac:dyDescent="0.25">
      <c r="D196" s="3"/>
      <c r="E196" s="6"/>
      <c r="F196" s="6"/>
    </row>
    <row r="197" spans="4:6" x14ac:dyDescent="0.25">
      <c r="D197" s="3"/>
      <c r="E197" s="6"/>
      <c r="F197" s="6"/>
    </row>
    <row r="198" spans="4:6" x14ac:dyDescent="0.25">
      <c r="D198" s="3"/>
      <c r="E198" s="6"/>
      <c r="F198" s="6"/>
    </row>
    <row r="199" spans="4:6" x14ac:dyDescent="0.25">
      <c r="D199" s="3"/>
      <c r="E199" s="6"/>
      <c r="F199" s="6"/>
    </row>
    <row r="200" spans="4:6" x14ac:dyDescent="0.25">
      <c r="D200" s="3"/>
      <c r="E200" s="6"/>
      <c r="F200" s="6"/>
    </row>
    <row r="201" spans="4:6" x14ac:dyDescent="0.25">
      <c r="D201" s="3"/>
      <c r="E201" s="6"/>
      <c r="F201" s="6"/>
    </row>
    <row r="202" spans="4:6" x14ac:dyDescent="0.25">
      <c r="D202" s="3"/>
      <c r="E202" s="6"/>
      <c r="F202" s="6"/>
    </row>
    <row r="203" spans="4:6" x14ac:dyDescent="0.25">
      <c r="D203" s="3"/>
      <c r="E203" s="6"/>
      <c r="F203" s="6"/>
    </row>
    <row r="204" spans="4:6" x14ac:dyDescent="0.25">
      <c r="D204" s="3"/>
      <c r="E204" s="6"/>
      <c r="F204" s="6"/>
    </row>
    <row r="205" spans="4:6" x14ac:dyDescent="0.25">
      <c r="D205" s="3"/>
      <c r="E205" s="6"/>
      <c r="F205" s="6"/>
    </row>
    <row r="206" spans="4:6" x14ac:dyDescent="0.25">
      <c r="D206" s="3"/>
      <c r="E206" s="6"/>
      <c r="F206" s="6"/>
    </row>
    <row r="207" spans="4:6" x14ac:dyDescent="0.25">
      <c r="D207" s="3"/>
      <c r="E207" s="6"/>
      <c r="F207" s="6"/>
    </row>
    <row r="208" spans="4:6" x14ac:dyDescent="0.25">
      <c r="D208" s="3"/>
      <c r="E208" s="6"/>
      <c r="F208" s="6"/>
    </row>
    <row r="209" spans="4:6" x14ac:dyDescent="0.25">
      <c r="D209" s="3"/>
      <c r="E209" s="6"/>
      <c r="F209" s="6"/>
    </row>
    <row r="210" spans="4:6" x14ac:dyDescent="0.25">
      <c r="D210" s="3"/>
      <c r="E210" s="6"/>
      <c r="F210" s="6"/>
    </row>
    <row r="211" spans="4:6" x14ac:dyDescent="0.25">
      <c r="D211" s="3"/>
      <c r="E211" s="6"/>
      <c r="F211" s="6"/>
    </row>
    <row r="212" spans="4:6" x14ac:dyDescent="0.25">
      <c r="D212" s="3"/>
      <c r="E212" s="6"/>
      <c r="F212" s="6"/>
    </row>
    <row r="213" spans="4:6" x14ac:dyDescent="0.25">
      <c r="D213" s="3"/>
      <c r="E213" s="6"/>
      <c r="F213" s="6"/>
    </row>
    <row r="214" spans="4:6" x14ac:dyDescent="0.25">
      <c r="D214" s="3"/>
      <c r="E214" s="6"/>
      <c r="F214" s="6"/>
    </row>
    <row r="215" spans="4:6" x14ac:dyDescent="0.25">
      <c r="D215" s="3"/>
      <c r="E215" s="6"/>
      <c r="F215" s="6"/>
    </row>
    <row r="216" spans="4:6" x14ac:dyDescent="0.25">
      <c r="D216" s="3"/>
      <c r="E216" s="6"/>
      <c r="F216" s="6"/>
    </row>
    <row r="217" spans="4:6" x14ac:dyDescent="0.25">
      <c r="D217" s="3"/>
      <c r="E217" s="6"/>
      <c r="F217" s="6"/>
    </row>
    <row r="218" spans="4:6" x14ac:dyDescent="0.25">
      <c r="D218" s="3"/>
      <c r="E218" s="6"/>
      <c r="F218" s="6"/>
    </row>
    <row r="219" spans="4:6" x14ac:dyDescent="0.25">
      <c r="D219" s="3"/>
      <c r="E219" s="6"/>
      <c r="F219" s="6"/>
    </row>
    <row r="220" spans="4:6" x14ac:dyDescent="0.25">
      <c r="D220" s="3"/>
      <c r="E220" s="6"/>
      <c r="F220" s="6"/>
    </row>
    <row r="221" spans="4:6" x14ac:dyDescent="0.25">
      <c r="D221" s="3"/>
      <c r="E221" s="6"/>
      <c r="F221" s="6"/>
    </row>
    <row r="222" spans="4:6" x14ac:dyDescent="0.25">
      <c r="D222" s="3"/>
      <c r="E222" s="6"/>
      <c r="F222" s="6"/>
    </row>
    <row r="223" spans="4:6" x14ac:dyDescent="0.25">
      <c r="D223" s="3"/>
      <c r="E223" s="6"/>
      <c r="F223" s="6"/>
    </row>
    <row r="224" spans="4:6" x14ac:dyDescent="0.25">
      <c r="D224" s="3"/>
      <c r="E224" s="6"/>
      <c r="F224" s="6"/>
    </row>
    <row r="225" spans="4:6" x14ac:dyDescent="0.25">
      <c r="D225" s="3"/>
      <c r="E225" s="6"/>
      <c r="F225" s="6"/>
    </row>
    <row r="226" spans="4:6" x14ac:dyDescent="0.25">
      <c r="D226" s="3"/>
      <c r="E226" s="6"/>
      <c r="F226" s="6"/>
    </row>
    <row r="227" spans="4:6" x14ac:dyDescent="0.25">
      <c r="D227" s="3"/>
      <c r="E227" s="6"/>
      <c r="F227" s="6"/>
    </row>
    <row r="228" spans="4:6" x14ac:dyDescent="0.25">
      <c r="D228" s="3"/>
      <c r="E228" s="6"/>
      <c r="F228" s="6"/>
    </row>
    <row r="229" spans="4:6" x14ac:dyDescent="0.25">
      <c r="D229" s="3"/>
      <c r="E229" s="6"/>
      <c r="F229" s="6"/>
    </row>
    <row r="230" spans="4:6" x14ac:dyDescent="0.25">
      <c r="D230" s="3"/>
      <c r="E230" s="6"/>
      <c r="F230" s="6"/>
    </row>
    <row r="231" spans="4:6" x14ac:dyDescent="0.25">
      <c r="D231" s="3"/>
      <c r="E231" s="6"/>
      <c r="F231" s="6"/>
    </row>
    <row r="232" spans="4:6" x14ac:dyDescent="0.25">
      <c r="D232" s="3"/>
      <c r="E232" s="6"/>
      <c r="F232" s="6"/>
    </row>
    <row r="233" spans="4:6" x14ac:dyDescent="0.25">
      <c r="D233" s="3"/>
      <c r="E233" s="6"/>
      <c r="F233" s="6"/>
    </row>
    <row r="234" spans="4:6" x14ac:dyDescent="0.25">
      <c r="D234" s="3"/>
      <c r="E234" s="6"/>
      <c r="F234" s="6"/>
    </row>
    <row r="235" spans="4:6" x14ac:dyDescent="0.25">
      <c r="D235" s="3"/>
      <c r="E235" s="6"/>
      <c r="F235" s="6"/>
    </row>
    <row r="236" spans="4:6" x14ac:dyDescent="0.25">
      <c r="D236" s="3"/>
      <c r="E236" s="6"/>
      <c r="F236" s="6"/>
    </row>
    <row r="237" spans="4:6" x14ac:dyDescent="0.25">
      <c r="D237" s="3"/>
      <c r="E237" s="6"/>
      <c r="F237" s="6"/>
    </row>
    <row r="238" spans="4:6" x14ac:dyDescent="0.25">
      <c r="D238" s="3"/>
      <c r="E238" s="6"/>
      <c r="F238" s="6"/>
    </row>
    <row r="239" spans="4:6" x14ac:dyDescent="0.25">
      <c r="D239" s="3"/>
      <c r="E239" s="6"/>
      <c r="F239" s="6"/>
    </row>
    <row r="240" spans="4:6" x14ac:dyDescent="0.25">
      <c r="D240" s="3"/>
      <c r="E240" s="6"/>
      <c r="F240" s="6"/>
    </row>
    <row r="241" spans="4:6" x14ac:dyDescent="0.25">
      <c r="D241" s="3"/>
      <c r="E241" s="6"/>
      <c r="F241" s="6"/>
    </row>
    <row r="242" spans="4:6" x14ac:dyDescent="0.25">
      <c r="D242" s="3"/>
      <c r="E242" s="6"/>
      <c r="F242" s="6"/>
    </row>
    <row r="243" spans="4:6" x14ac:dyDescent="0.25">
      <c r="D243" s="3"/>
      <c r="E243" s="6"/>
      <c r="F243" s="6"/>
    </row>
    <row r="244" spans="4:6" x14ac:dyDescent="0.25">
      <c r="D244" s="3"/>
      <c r="E244" s="6"/>
      <c r="F244" s="6"/>
    </row>
    <row r="245" spans="4:6" x14ac:dyDescent="0.25">
      <c r="D245" s="3"/>
      <c r="E245" s="6"/>
      <c r="F245" s="6"/>
    </row>
    <row r="246" spans="4:6" x14ac:dyDescent="0.25">
      <c r="D246" s="3"/>
      <c r="E246" s="6"/>
      <c r="F246" s="6"/>
    </row>
    <row r="247" spans="4:6" x14ac:dyDescent="0.25">
      <c r="D247" s="3"/>
      <c r="E247" s="6"/>
      <c r="F247" s="6"/>
    </row>
    <row r="248" spans="4:6" x14ac:dyDescent="0.25">
      <c r="D248" s="3"/>
      <c r="E248" s="6"/>
      <c r="F248" s="6"/>
    </row>
    <row r="249" spans="4:6" x14ac:dyDescent="0.25">
      <c r="D249" s="3"/>
      <c r="E249" s="6"/>
      <c r="F249" s="6"/>
    </row>
    <row r="250" spans="4:6" x14ac:dyDescent="0.25">
      <c r="D250" s="3"/>
      <c r="E250" s="6"/>
      <c r="F250" s="6"/>
    </row>
    <row r="251" spans="4:6" x14ac:dyDescent="0.25">
      <c r="D251" s="3"/>
      <c r="E251" s="6"/>
      <c r="F251" s="6"/>
    </row>
    <row r="252" spans="4:6" x14ac:dyDescent="0.25">
      <c r="D252" s="3"/>
      <c r="E252" s="6"/>
      <c r="F252" s="6"/>
    </row>
    <row r="253" spans="4:6" x14ac:dyDescent="0.25">
      <c r="D253" s="3"/>
      <c r="E253" s="6"/>
      <c r="F253" s="6"/>
    </row>
    <row r="254" spans="4:6" x14ac:dyDescent="0.25">
      <c r="D254" s="3"/>
      <c r="E254" s="6"/>
      <c r="F254" s="6"/>
    </row>
    <row r="255" spans="4:6" x14ac:dyDescent="0.25">
      <c r="D255" s="3"/>
      <c r="E255" s="6"/>
      <c r="F255" s="6"/>
    </row>
    <row r="256" spans="4:6" x14ac:dyDescent="0.25">
      <c r="D256" s="3"/>
      <c r="E256" s="6"/>
      <c r="F256" s="6"/>
    </row>
    <row r="257" spans="4:6" x14ac:dyDescent="0.25">
      <c r="D257" s="3"/>
      <c r="E257" s="6"/>
      <c r="F257" s="6"/>
    </row>
    <row r="258" spans="4:6" x14ac:dyDescent="0.25">
      <c r="D258" s="3"/>
      <c r="E258" s="6"/>
      <c r="F258" s="6"/>
    </row>
    <row r="259" spans="4:6" x14ac:dyDescent="0.25">
      <c r="D259" s="3"/>
      <c r="E259" s="6"/>
      <c r="F259" s="6"/>
    </row>
    <row r="260" spans="4:6" x14ac:dyDescent="0.25">
      <c r="D260" s="3"/>
      <c r="E260" s="6"/>
      <c r="F260" s="6"/>
    </row>
    <row r="261" spans="4:6" x14ac:dyDescent="0.25">
      <c r="D261" s="3"/>
      <c r="E261" s="6"/>
      <c r="F261" s="6"/>
    </row>
    <row r="262" spans="4:6" x14ac:dyDescent="0.25">
      <c r="D262" s="3"/>
      <c r="E262" s="6"/>
      <c r="F262" s="6"/>
    </row>
    <row r="263" spans="4:6" x14ac:dyDescent="0.25">
      <c r="D263" s="3"/>
      <c r="E263" s="6"/>
      <c r="F263" s="6"/>
    </row>
    <row r="264" spans="4:6" x14ac:dyDescent="0.25">
      <c r="D264" s="3"/>
      <c r="E264" s="6"/>
      <c r="F264" s="6"/>
    </row>
    <row r="265" spans="4:6" x14ac:dyDescent="0.25">
      <c r="D265" s="3"/>
      <c r="E265" s="6"/>
      <c r="F265" s="6"/>
    </row>
    <row r="266" spans="4:6" x14ac:dyDescent="0.25">
      <c r="D266" s="3"/>
      <c r="E266" s="6"/>
      <c r="F266" s="6"/>
    </row>
    <row r="267" spans="4:6" x14ac:dyDescent="0.25">
      <c r="D267" s="3"/>
      <c r="E267" s="6"/>
      <c r="F267" s="6"/>
    </row>
    <row r="268" spans="4:6" x14ac:dyDescent="0.25">
      <c r="D268" s="3"/>
      <c r="E268" s="6"/>
      <c r="F268" s="6"/>
    </row>
    <row r="269" spans="4:6" x14ac:dyDescent="0.25">
      <c r="D269" s="3"/>
      <c r="E269" s="6"/>
      <c r="F269" s="6"/>
    </row>
    <row r="270" spans="4:6" x14ac:dyDescent="0.25">
      <c r="D270" s="3"/>
      <c r="E270" s="6"/>
      <c r="F270" s="6"/>
    </row>
    <row r="271" spans="4:6" x14ac:dyDescent="0.25">
      <c r="D271" s="3"/>
      <c r="E271" s="6"/>
      <c r="F271" s="6"/>
    </row>
    <row r="272" spans="4:6" x14ac:dyDescent="0.25">
      <c r="D272" s="3"/>
      <c r="E272" s="6"/>
      <c r="F272" s="6"/>
    </row>
    <row r="273" spans="4:6" x14ac:dyDescent="0.25">
      <c r="D273" s="3"/>
      <c r="E273" s="6"/>
      <c r="F273" s="6"/>
    </row>
    <row r="274" spans="4:6" x14ac:dyDescent="0.25">
      <c r="D274" s="3"/>
      <c r="E274" s="6"/>
      <c r="F274" s="6"/>
    </row>
    <row r="275" spans="4:6" x14ac:dyDescent="0.25">
      <c r="D275" s="3"/>
      <c r="E275" s="6"/>
      <c r="F275" s="6"/>
    </row>
    <row r="276" spans="4:6" x14ac:dyDescent="0.25">
      <c r="D276" s="3"/>
      <c r="E276" s="6"/>
      <c r="F276" s="6"/>
    </row>
    <row r="277" spans="4:6" x14ac:dyDescent="0.25">
      <c r="D277" s="3"/>
      <c r="E277" s="6"/>
      <c r="F277" s="6"/>
    </row>
    <row r="278" spans="4:6" x14ac:dyDescent="0.25">
      <c r="D278" s="3"/>
      <c r="E278" s="6"/>
      <c r="F278" s="6"/>
    </row>
    <row r="279" spans="4:6" x14ac:dyDescent="0.25">
      <c r="D279" s="3"/>
      <c r="E279" s="6"/>
      <c r="F279" s="6"/>
    </row>
    <row r="280" spans="4:6" x14ac:dyDescent="0.25">
      <c r="D280" s="3"/>
      <c r="E280" s="6"/>
      <c r="F280" s="6"/>
    </row>
    <row r="281" spans="4:6" x14ac:dyDescent="0.25">
      <c r="D281" s="3"/>
      <c r="E281" s="6"/>
      <c r="F281" s="6"/>
    </row>
    <row r="282" spans="4:6" x14ac:dyDescent="0.25">
      <c r="D282" s="3"/>
      <c r="E282" s="6"/>
      <c r="F282" s="6"/>
    </row>
    <row r="283" spans="4:6" x14ac:dyDescent="0.25">
      <c r="D283" s="3"/>
      <c r="E283" s="6"/>
      <c r="F283" s="6"/>
    </row>
    <row r="284" spans="4:6" x14ac:dyDescent="0.25">
      <c r="D284" s="3"/>
      <c r="E284" s="6"/>
      <c r="F284" s="6"/>
    </row>
    <row r="285" spans="4:6" x14ac:dyDescent="0.25">
      <c r="D285" s="3"/>
      <c r="E285" s="6"/>
      <c r="F285" s="6"/>
    </row>
    <row r="286" spans="4:6" x14ac:dyDescent="0.25">
      <c r="D286" s="3"/>
      <c r="E286" s="6"/>
      <c r="F286" s="6"/>
    </row>
    <row r="287" spans="4:6" x14ac:dyDescent="0.25">
      <c r="D287" s="3"/>
      <c r="E287" s="6"/>
      <c r="F287" s="6"/>
    </row>
    <row r="288" spans="4:6" x14ac:dyDescent="0.25">
      <c r="D288" s="3"/>
      <c r="E288" s="6"/>
      <c r="F288" s="6"/>
    </row>
    <row r="289" spans="4:6" x14ac:dyDescent="0.25">
      <c r="D289" s="3"/>
      <c r="E289" s="6"/>
      <c r="F289" s="6"/>
    </row>
    <row r="290" spans="4:6" x14ac:dyDescent="0.25">
      <c r="D290" s="3"/>
      <c r="E290" s="6"/>
      <c r="F290" s="6"/>
    </row>
    <row r="291" spans="4:6" x14ac:dyDescent="0.25">
      <c r="D291" s="3"/>
      <c r="E291" s="6"/>
      <c r="F291" s="6"/>
    </row>
    <row r="292" spans="4:6" x14ac:dyDescent="0.25">
      <c r="D292" s="3"/>
      <c r="E292" s="6"/>
      <c r="F292" s="6"/>
    </row>
    <row r="293" spans="4:6" x14ac:dyDescent="0.25">
      <c r="D293" s="3"/>
      <c r="E293" s="6"/>
      <c r="F293" s="6"/>
    </row>
    <row r="294" spans="4:6" x14ac:dyDescent="0.25">
      <c r="D294" s="3"/>
      <c r="E294" s="6"/>
      <c r="F294" s="6"/>
    </row>
    <row r="295" spans="4:6" x14ac:dyDescent="0.25">
      <c r="D295" s="3"/>
      <c r="E295" s="6"/>
      <c r="F295" s="6"/>
    </row>
    <row r="296" spans="4:6" x14ac:dyDescent="0.25">
      <c r="D296" s="3"/>
      <c r="E296" s="6"/>
      <c r="F296" s="6"/>
    </row>
    <row r="297" spans="4:6" x14ac:dyDescent="0.25">
      <c r="D297" s="3"/>
      <c r="E297" s="6"/>
      <c r="F297" s="6"/>
    </row>
    <row r="298" spans="4:6" x14ac:dyDescent="0.25">
      <c r="D298" s="3"/>
      <c r="E298" s="6"/>
      <c r="F298" s="6"/>
    </row>
    <row r="299" spans="4:6" x14ac:dyDescent="0.25">
      <c r="D299" s="3"/>
      <c r="E299" s="6"/>
      <c r="F299" s="6"/>
    </row>
    <row r="300" spans="4:6" x14ac:dyDescent="0.25">
      <c r="D300" s="3"/>
      <c r="E300" s="6"/>
      <c r="F300" s="6"/>
    </row>
    <row r="301" spans="4:6" x14ac:dyDescent="0.25">
      <c r="D301" s="3"/>
      <c r="E301" s="6"/>
      <c r="F301" s="6"/>
    </row>
    <row r="302" spans="4:6" x14ac:dyDescent="0.25">
      <c r="D302" s="3"/>
      <c r="E302" s="6"/>
      <c r="F302" s="6"/>
    </row>
    <row r="303" spans="4:6" x14ac:dyDescent="0.25">
      <c r="D303" s="3"/>
      <c r="E303" s="6"/>
      <c r="F303" s="6"/>
    </row>
    <row r="304" spans="4:6" x14ac:dyDescent="0.25">
      <c r="D304" s="3"/>
      <c r="E304" s="6"/>
      <c r="F304" s="6"/>
    </row>
    <row r="305" spans="4:6" x14ac:dyDescent="0.25">
      <c r="D305" s="3"/>
      <c r="E305" s="6"/>
      <c r="F305" s="6"/>
    </row>
    <row r="306" spans="4:6" x14ac:dyDescent="0.25">
      <c r="D306" s="3"/>
      <c r="E306" s="6"/>
      <c r="F306" s="6"/>
    </row>
    <row r="307" spans="4:6" x14ac:dyDescent="0.25">
      <c r="D307" s="3"/>
      <c r="E307" s="6"/>
      <c r="F307" s="6"/>
    </row>
    <row r="308" spans="4:6" x14ac:dyDescent="0.25">
      <c r="D308" s="3"/>
      <c r="E308" s="6"/>
      <c r="F308" s="6"/>
    </row>
    <row r="309" spans="4:6" x14ac:dyDescent="0.25">
      <c r="D309" s="3"/>
      <c r="E309" s="6"/>
      <c r="F309" s="6"/>
    </row>
    <row r="310" spans="4:6" x14ac:dyDescent="0.25">
      <c r="D310" s="3"/>
      <c r="E310" s="6"/>
      <c r="F310" s="6"/>
    </row>
    <row r="311" spans="4:6" x14ac:dyDescent="0.25">
      <c r="D311" s="3"/>
      <c r="E311" s="6"/>
      <c r="F311" s="6"/>
    </row>
    <row r="312" spans="4:6" x14ac:dyDescent="0.25">
      <c r="D312" s="3"/>
      <c r="E312" s="6"/>
      <c r="F312" s="6"/>
    </row>
    <row r="313" spans="4:6" x14ac:dyDescent="0.25">
      <c r="D313" s="3"/>
      <c r="E313" s="6"/>
      <c r="F313" s="6"/>
    </row>
    <row r="314" spans="4:6" x14ac:dyDescent="0.25">
      <c r="D314" s="3"/>
      <c r="E314" s="6"/>
      <c r="F314" s="6"/>
    </row>
    <row r="315" spans="4:6" x14ac:dyDescent="0.25">
      <c r="D315" s="3"/>
      <c r="E315" s="6"/>
      <c r="F315" s="6"/>
    </row>
    <row r="316" spans="4:6" x14ac:dyDescent="0.25">
      <c r="D316" s="3"/>
      <c r="E316" s="6"/>
      <c r="F316" s="6"/>
    </row>
    <row r="317" spans="4:6" x14ac:dyDescent="0.25">
      <c r="D317" s="3"/>
      <c r="E317" s="6"/>
      <c r="F317" s="6"/>
    </row>
    <row r="318" spans="4:6" x14ac:dyDescent="0.25">
      <c r="D318" s="3"/>
      <c r="E318" s="6"/>
      <c r="F318" s="6"/>
    </row>
    <row r="319" spans="4:6" x14ac:dyDescent="0.25">
      <c r="D319" s="3"/>
      <c r="E319" s="6"/>
      <c r="F319" s="6"/>
    </row>
    <row r="320" spans="4:6" x14ac:dyDescent="0.25">
      <c r="D320" s="3"/>
      <c r="E320" s="6"/>
      <c r="F320" s="6"/>
    </row>
    <row r="321" spans="4:6" x14ac:dyDescent="0.25">
      <c r="D321" s="3"/>
      <c r="E321" s="6"/>
      <c r="F321" s="6"/>
    </row>
    <row r="322" spans="4:6" x14ac:dyDescent="0.25">
      <c r="D322" s="3"/>
      <c r="E322" s="6"/>
      <c r="F322" s="6"/>
    </row>
    <row r="323" spans="4:6" x14ac:dyDescent="0.25">
      <c r="D323" s="3"/>
      <c r="E323" s="6"/>
      <c r="F323" s="6"/>
    </row>
    <row r="324" spans="4:6" x14ac:dyDescent="0.25">
      <c r="D324" s="3"/>
      <c r="E324" s="6"/>
      <c r="F324" s="6"/>
    </row>
    <row r="325" spans="4:6" x14ac:dyDescent="0.25">
      <c r="D325" s="3"/>
      <c r="E325" s="6"/>
      <c r="F325" s="6"/>
    </row>
    <row r="326" spans="4:6" x14ac:dyDescent="0.25">
      <c r="D326" s="3"/>
      <c r="E326" s="6"/>
      <c r="F326" s="6"/>
    </row>
    <row r="327" spans="4:6" x14ac:dyDescent="0.25">
      <c r="D327" s="3"/>
      <c r="E327" s="6"/>
      <c r="F327" s="6"/>
    </row>
    <row r="328" spans="4:6" x14ac:dyDescent="0.25">
      <c r="D328" s="3"/>
      <c r="E328" s="6"/>
      <c r="F328" s="6"/>
    </row>
    <row r="329" spans="4:6" x14ac:dyDescent="0.25">
      <c r="D329" s="3"/>
      <c r="E329" s="6"/>
      <c r="F329" s="6"/>
    </row>
    <row r="330" spans="4:6" x14ac:dyDescent="0.25">
      <c r="D330" s="3"/>
      <c r="E330" s="6"/>
      <c r="F330" s="6"/>
    </row>
    <row r="331" spans="4:6" x14ac:dyDescent="0.25">
      <c r="D331" s="3"/>
      <c r="E331" s="6"/>
      <c r="F331" s="6"/>
    </row>
    <row r="332" spans="4:6" x14ac:dyDescent="0.25">
      <c r="D332" s="3"/>
      <c r="E332" s="6"/>
      <c r="F332" s="6"/>
    </row>
    <row r="333" spans="4:6" x14ac:dyDescent="0.25">
      <c r="D333" s="3"/>
      <c r="E333" s="6"/>
      <c r="F333" s="6"/>
    </row>
    <row r="334" spans="4:6" x14ac:dyDescent="0.25">
      <c r="D334" s="3"/>
      <c r="E334" s="6"/>
      <c r="F334" s="6"/>
    </row>
    <row r="335" spans="4:6" x14ac:dyDescent="0.25">
      <c r="D335" s="3"/>
      <c r="E335" s="6"/>
      <c r="F335" s="6"/>
    </row>
    <row r="336" spans="4:6" x14ac:dyDescent="0.25">
      <c r="D336" s="3"/>
      <c r="E336" s="6"/>
      <c r="F336" s="6"/>
    </row>
    <row r="337" spans="4:6" x14ac:dyDescent="0.25">
      <c r="D337" s="3"/>
      <c r="E337" s="6"/>
      <c r="F337" s="6"/>
    </row>
    <row r="338" spans="4:6" x14ac:dyDescent="0.25">
      <c r="D338" s="3"/>
      <c r="E338" s="6"/>
      <c r="F338" s="6"/>
    </row>
    <row r="339" spans="4:6" x14ac:dyDescent="0.25">
      <c r="D339" s="3"/>
      <c r="E339" s="6"/>
      <c r="F339" s="6"/>
    </row>
    <row r="340" spans="4:6" x14ac:dyDescent="0.25">
      <c r="D340" s="3"/>
      <c r="E340" s="6"/>
      <c r="F340" s="6"/>
    </row>
    <row r="341" spans="4:6" x14ac:dyDescent="0.25">
      <c r="D341" s="3"/>
      <c r="E341" s="6"/>
      <c r="F341" s="6"/>
    </row>
    <row r="342" spans="4:6" x14ac:dyDescent="0.25">
      <c r="D342" s="3"/>
      <c r="E342" s="6"/>
      <c r="F342" s="6"/>
    </row>
    <row r="343" spans="4:6" x14ac:dyDescent="0.25">
      <c r="D343" s="3"/>
      <c r="E343" s="6"/>
      <c r="F343" s="6"/>
    </row>
    <row r="344" spans="4:6" x14ac:dyDescent="0.25">
      <c r="D344" s="3"/>
      <c r="E344" s="6"/>
      <c r="F344" s="6"/>
    </row>
    <row r="345" spans="4:6" x14ac:dyDescent="0.25">
      <c r="D345" s="3"/>
      <c r="E345" s="6"/>
      <c r="F345" s="6"/>
    </row>
    <row r="346" spans="4:6" x14ac:dyDescent="0.25">
      <c r="D346" s="3"/>
      <c r="E346" s="6"/>
      <c r="F346" s="6"/>
    </row>
    <row r="347" spans="4:6" x14ac:dyDescent="0.25">
      <c r="D347" s="3"/>
      <c r="E347" s="6"/>
      <c r="F347" s="6"/>
    </row>
    <row r="348" spans="4:6" x14ac:dyDescent="0.25">
      <c r="D348" s="3"/>
      <c r="E348" s="6"/>
      <c r="F348" s="6"/>
    </row>
    <row r="349" spans="4:6" x14ac:dyDescent="0.25">
      <c r="D349" s="3"/>
      <c r="E349" s="6"/>
      <c r="F349" s="6"/>
    </row>
    <row r="350" spans="4:6" x14ac:dyDescent="0.25">
      <c r="D350" s="3"/>
      <c r="E350" s="6"/>
      <c r="F350" s="6"/>
    </row>
    <row r="351" spans="4:6" x14ac:dyDescent="0.25">
      <c r="D351" s="3"/>
      <c r="E351" s="6"/>
      <c r="F351" s="6"/>
    </row>
    <row r="352" spans="4:6" x14ac:dyDescent="0.25">
      <c r="D352" s="3"/>
      <c r="E352" s="6"/>
      <c r="F352" s="6"/>
    </row>
    <row r="353" spans="4:6" x14ac:dyDescent="0.25">
      <c r="D353" s="3"/>
      <c r="E353" s="6"/>
      <c r="F353" s="6"/>
    </row>
    <row r="354" spans="4:6" x14ac:dyDescent="0.25">
      <c r="D354" s="3"/>
      <c r="E354" s="6"/>
      <c r="F354" s="6"/>
    </row>
    <row r="355" spans="4:6" x14ac:dyDescent="0.25">
      <c r="D355" s="3"/>
      <c r="E355" s="6"/>
      <c r="F355" s="6"/>
    </row>
    <row r="356" spans="4:6" x14ac:dyDescent="0.25">
      <c r="D356" s="3"/>
      <c r="E356" s="6"/>
      <c r="F356" s="6"/>
    </row>
    <row r="357" spans="4:6" x14ac:dyDescent="0.25">
      <c r="D357" s="3"/>
      <c r="E357" s="6"/>
      <c r="F357" s="6"/>
    </row>
    <row r="358" spans="4:6" x14ac:dyDescent="0.25">
      <c r="D358" s="3"/>
      <c r="E358" s="6"/>
      <c r="F358" s="6"/>
    </row>
    <row r="359" spans="4:6" x14ac:dyDescent="0.25">
      <c r="D359" s="3"/>
      <c r="E359" s="6"/>
      <c r="F359" s="6"/>
    </row>
    <row r="360" spans="4:6" x14ac:dyDescent="0.25">
      <c r="D360" s="3"/>
      <c r="E360" s="6"/>
      <c r="F360" s="6"/>
    </row>
    <row r="361" spans="4:6" x14ac:dyDescent="0.25">
      <c r="D361" s="3"/>
      <c r="E361" s="6"/>
      <c r="F361" s="6"/>
    </row>
    <row r="362" spans="4:6" x14ac:dyDescent="0.25">
      <c r="D362" s="3"/>
      <c r="E362" s="6"/>
      <c r="F362" s="6"/>
    </row>
    <row r="363" spans="4:6" x14ac:dyDescent="0.25">
      <c r="D363" s="3"/>
      <c r="E363" s="6"/>
      <c r="F363" s="6"/>
    </row>
    <row r="364" spans="4:6" x14ac:dyDescent="0.25">
      <c r="D364" s="3"/>
      <c r="E364" s="6"/>
      <c r="F364" s="6"/>
    </row>
    <row r="365" spans="4:6" x14ac:dyDescent="0.25">
      <c r="D365" s="3"/>
      <c r="E365" s="6"/>
      <c r="F365" s="6"/>
    </row>
    <row r="366" spans="4:6" x14ac:dyDescent="0.25">
      <c r="D366" s="3"/>
      <c r="E366" s="6"/>
      <c r="F366" s="6"/>
    </row>
    <row r="367" spans="4:6" x14ac:dyDescent="0.25">
      <c r="D367" s="3"/>
      <c r="E367" s="6"/>
      <c r="F367" s="6"/>
    </row>
    <row r="368" spans="4:6" x14ac:dyDescent="0.25">
      <c r="D368" s="3"/>
      <c r="E368" s="6"/>
      <c r="F368" s="6"/>
    </row>
    <row r="369" spans="4:6" x14ac:dyDescent="0.25">
      <c r="D369" s="3"/>
      <c r="E369" s="6"/>
      <c r="F369" s="6"/>
    </row>
    <row r="370" spans="4:6" x14ac:dyDescent="0.25">
      <c r="D370" s="3"/>
      <c r="E370" s="6"/>
      <c r="F370" s="6"/>
    </row>
    <row r="371" spans="4:6" x14ac:dyDescent="0.25">
      <c r="D371" s="3"/>
      <c r="E371" s="6"/>
      <c r="F371" s="6"/>
    </row>
    <row r="372" spans="4:6" x14ac:dyDescent="0.25">
      <c r="D372" s="3"/>
      <c r="E372" s="6"/>
      <c r="F372" s="6"/>
    </row>
    <row r="373" spans="4:6" x14ac:dyDescent="0.25">
      <c r="D373" s="3"/>
      <c r="E373" s="6"/>
      <c r="F373" s="6"/>
    </row>
    <row r="374" spans="4:6" x14ac:dyDescent="0.25">
      <c r="D374" s="3"/>
      <c r="E374" s="6"/>
      <c r="F374" s="6"/>
    </row>
    <row r="375" spans="4:6" ht="14.25" customHeight="1" x14ac:dyDescent="0.25">
      <c r="D375" s="3"/>
      <c r="E375" s="6"/>
      <c r="F375" s="6"/>
    </row>
    <row r="376" spans="4:6" x14ac:dyDescent="0.25">
      <c r="D376" s="3"/>
      <c r="E376" s="6"/>
      <c r="F376" s="6"/>
    </row>
    <row r="377" spans="4:6" x14ac:dyDescent="0.25">
      <c r="D377" s="3"/>
      <c r="E377" s="6"/>
      <c r="F377" s="6"/>
    </row>
    <row r="378" spans="4:6" x14ac:dyDescent="0.25">
      <c r="D378" s="3"/>
      <c r="E378" s="6"/>
      <c r="F378" s="6"/>
    </row>
    <row r="379" spans="4:6" x14ac:dyDescent="0.25">
      <c r="D379" s="3"/>
      <c r="E379" s="6"/>
      <c r="F379" s="6"/>
    </row>
    <row r="380" spans="4:6" x14ac:dyDescent="0.25">
      <c r="D380" s="3"/>
      <c r="E380" s="6"/>
      <c r="F380" s="6"/>
    </row>
    <row r="381" spans="4:6" x14ac:dyDescent="0.25">
      <c r="D381" s="3"/>
      <c r="E381" s="6"/>
      <c r="F381" s="6"/>
    </row>
    <row r="382" spans="4:6" x14ac:dyDescent="0.25">
      <c r="D382" s="3"/>
      <c r="E382" s="6"/>
      <c r="F382" s="6"/>
    </row>
    <row r="383" spans="4:6" x14ac:dyDescent="0.25">
      <c r="D383" s="3"/>
      <c r="E383" s="6"/>
      <c r="F383" s="6"/>
    </row>
    <row r="384" spans="4:6" x14ac:dyDescent="0.25">
      <c r="D384" s="3"/>
      <c r="E384" s="6"/>
      <c r="F384" s="6"/>
    </row>
    <row r="385" spans="4:6" x14ac:dyDescent="0.25">
      <c r="D385" s="3"/>
      <c r="E385" s="6"/>
      <c r="F385" s="6"/>
    </row>
    <row r="386" spans="4:6" x14ac:dyDescent="0.25">
      <c r="D386" s="3"/>
      <c r="E386" s="6"/>
      <c r="F386" s="6"/>
    </row>
    <row r="387" spans="4:6" x14ac:dyDescent="0.25">
      <c r="D387" s="3"/>
      <c r="E387" s="6"/>
      <c r="F387" s="6"/>
    </row>
    <row r="388" spans="4:6" x14ac:dyDescent="0.25">
      <c r="D388" s="3"/>
      <c r="E388" s="6"/>
      <c r="F388" s="6"/>
    </row>
    <row r="389" spans="4:6" x14ac:dyDescent="0.25">
      <c r="D389" s="3"/>
      <c r="E389" s="6"/>
      <c r="F389" s="6"/>
    </row>
    <row r="390" spans="4:6" x14ac:dyDescent="0.25">
      <c r="D390" s="3"/>
      <c r="E390" s="6"/>
      <c r="F390" s="6"/>
    </row>
    <row r="391" spans="4:6" x14ac:dyDescent="0.25">
      <c r="D391" s="3"/>
      <c r="E391" s="6"/>
      <c r="F391" s="6"/>
    </row>
    <row r="392" spans="4:6" x14ac:dyDescent="0.25">
      <c r="D392" s="3"/>
      <c r="E392" s="6"/>
      <c r="F392" s="6"/>
    </row>
    <row r="393" spans="4:6" x14ac:dyDescent="0.25">
      <c r="D393" s="3"/>
      <c r="E393" s="6"/>
      <c r="F393" s="6"/>
    </row>
    <row r="394" spans="4:6" x14ac:dyDescent="0.25">
      <c r="D394" s="3"/>
      <c r="E394" s="6"/>
      <c r="F394" s="6"/>
    </row>
    <row r="395" spans="4:6" x14ac:dyDescent="0.25">
      <c r="D395" s="3"/>
      <c r="E395" s="6"/>
      <c r="F395" s="6"/>
    </row>
    <row r="396" spans="4:6" x14ac:dyDescent="0.25">
      <c r="D396" s="3"/>
      <c r="E396" s="6"/>
      <c r="F396" s="6"/>
    </row>
    <row r="397" spans="4:6" x14ac:dyDescent="0.25">
      <c r="D397" s="3"/>
      <c r="E397" s="6"/>
      <c r="F397" s="6"/>
    </row>
    <row r="398" spans="4:6" x14ac:dyDescent="0.25">
      <c r="D398" s="3"/>
      <c r="E398" s="6"/>
      <c r="F398" s="6"/>
    </row>
    <row r="399" spans="4:6" x14ac:dyDescent="0.25">
      <c r="D399" s="3"/>
      <c r="E399" s="6"/>
      <c r="F399" s="6"/>
    </row>
    <row r="400" spans="4:6" x14ac:dyDescent="0.25">
      <c r="D400" s="24"/>
      <c r="E400" s="25"/>
      <c r="F400" s="2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00"/>
  <sheetViews>
    <sheetView zoomScale="85" zoomScaleNormal="85" workbookViewId="0">
      <selection activeCell="A2" sqref="A2"/>
    </sheetView>
  </sheetViews>
  <sheetFormatPr defaultColWidth="8.85546875" defaultRowHeight="15" x14ac:dyDescent="0.25"/>
  <cols>
    <col min="1" max="1" width="10.140625" style="1" customWidth="1"/>
    <col min="2" max="2" width="10.85546875" style="1" customWidth="1"/>
    <col min="3" max="3" width="9.7109375" style="1" customWidth="1"/>
    <col min="4" max="4" width="10.7109375" style="1" customWidth="1"/>
    <col min="5" max="5" width="8.85546875" style="1"/>
    <col min="6" max="6" width="10.140625" style="1" customWidth="1"/>
    <col min="7" max="7" width="10.7109375" style="3" customWidth="1"/>
    <col min="8" max="8" width="8.85546875" style="6"/>
    <col min="9" max="9" width="11.140625" style="23" customWidth="1"/>
    <col min="10" max="10" width="10.7109375" style="3" customWidth="1"/>
    <col min="11" max="11" width="8.85546875" style="6"/>
    <col min="12" max="12" width="11.140625" style="23" customWidth="1"/>
    <col min="13" max="13" width="10.7109375" style="3" customWidth="1"/>
    <col min="14" max="14" width="8.85546875" style="6"/>
    <col min="15" max="15" width="11.140625" style="23" customWidth="1"/>
    <col min="16" max="16" width="10.7109375" style="3" customWidth="1"/>
    <col min="17" max="17" width="8.85546875" style="6"/>
    <col min="18" max="18" width="11.140625" style="23" customWidth="1"/>
    <col min="19" max="19" width="10.7109375" style="1" customWidth="1"/>
    <col min="20" max="20" width="9" style="1" customWidth="1"/>
    <col min="21" max="21" width="12.140625" style="1" customWidth="1"/>
    <col min="22" max="16384" width="8.85546875" style="1"/>
  </cols>
  <sheetData>
    <row r="1" spans="1:22" s="4" customFormat="1" ht="15.75" x14ac:dyDescent="0.25">
      <c r="A1" s="26" t="s">
        <v>673</v>
      </c>
      <c r="B1" s="26" t="s">
        <v>667</v>
      </c>
      <c r="C1" s="26" t="s">
        <v>668</v>
      </c>
      <c r="D1" s="26" t="s">
        <v>782</v>
      </c>
      <c r="E1" s="26" t="s">
        <v>794</v>
      </c>
      <c r="F1" s="26" t="s">
        <v>795</v>
      </c>
      <c r="G1" s="27" t="s">
        <v>783</v>
      </c>
      <c r="H1" s="26" t="s">
        <v>788</v>
      </c>
      <c r="I1" s="26" t="s">
        <v>796</v>
      </c>
      <c r="J1" s="27" t="s">
        <v>784</v>
      </c>
      <c r="K1" s="26" t="s">
        <v>798</v>
      </c>
      <c r="L1" s="26" t="s">
        <v>789</v>
      </c>
      <c r="M1" s="27" t="s">
        <v>785</v>
      </c>
      <c r="N1" s="26" t="s">
        <v>790</v>
      </c>
      <c r="O1" s="26" t="s">
        <v>799</v>
      </c>
      <c r="P1" s="27" t="s">
        <v>786</v>
      </c>
      <c r="Q1" s="26" t="s">
        <v>800</v>
      </c>
      <c r="R1" s="26" t="s">
        <v>791</v>
      </c>
      <c r="S1" s="27" t="s">
        <v>787</v>
      </c>
      <c r="T1" s="26" t="s">
        <v>792</v>
      </c>
      <c r="U1" s="26" t="s">
        <v>797</v>
      </c>
      <c r="V1" s="4" t="s">
        <v>793</v>
      </c>
    </row>
    <row r="2" spans="1:22" x14ac:dyDescent="0.25">
      <c r="A2" s="1" t="s">
        <v>778</v>
      </c>
      <c r="B2" s="1">
        <v>7074566.0048000002</v>
      </c>
      <c r="C2" s="1">
        <v>762640.16429999995</v>
      </c>
      <c r="D2" s="5" t="str">
        <f>$A2&amp;RIGHT(D$1,1)&amp;"F"</f>
        <v>T11F</v>
      </c>
      <c r="E2" s="6" t="str">
        <f>IF(Table38[[#This Row],[Capacity1]]&gt;0,"TerSee","-")</f>
        <v>TerSee</v>
      </c>
      <c r="F2" s="22">
        <v>1</v>
      </c>
      <c r="G2" s="5" t="str">
        <f t="shared" ref="G2" si="0">$A2&amp;RIGHT(G$1,1)&amp;"F"</f>
        <v>T12F</v>
      </c>
      <c r="J2" s="5" t="str">
        <f t="shared" ref="J2" si="1">$A2&amp;RIGHT(J$1,1)&amp;"F"</f>
        <v>T13F</v>
      </c>
      <c r="M2" s="5" t="str">
        <f t="shared" ref="M2" si="2">$A2&amp;RIGHT(M$1,1)&amp;"F"</f>
        <v>T14F</v>
      </c>
      <c r="P2" s="5" t="str">
        <f t="shared" ref="P2" si="3">$A2&amp;RIGHT(P$1,1)&amp;"F"</f>
        <v>T15F</v>
      </c>
      <c r="S2" s="5" t="str">
        <f t="shared" ref="S2" si="4">$A2&amp;RIGHT(S$1,1)&amp;"F"</f>
        <v>T16F</v>
      </c>
    </row>
    <row r="3" spans="1:22" x14ac:dyDescent="0.25">
      <c r="A3" s="1" t="s">
        <v>779</v>
      </c>
      <c r="B3" s="1">
        <v>6729269.108</v>
      </c>
      <c r="C3" s="1">
        <v>623680.6888</v>
      </c>
      <c r="D3" s="5" t="str">
        <f t="shared" ref="D3:D4" si="5">$A3&amp;RIGHT(D$1,1)&amp;"F"</f>
        <v>T21F</v>
      </c>
      <c r="E3" s="6" t="str">
        <f>IF(Table38[[#This Row],[Capacity1]]&gt;0,"TerSee","-")</f>
        <v>TerSee</v>
      </c>
      <c r="F3" s="6">
        <v>1</v>
      </c>
    </row>
    <row r="4" spans="1:22" x14ac:dyDescent="0.25">
      <c r="A4" s="1" t="s">
        <v>780</v>
      </c>
      <c r="B4" s="1">
        <v>6500610.4370999997</v>
      </c>
      <c r="C4" s="1">
        <v>573341.64769999997</v>
      </c>
      <c r="D4" s="5" t="str">
        <f t="shared" si="5"/>
        <v>T31F</v>
      </c>
      <c r="E4" s="6" t="str">
        <f>IF(Table38[[#This Row],[Capacity1]]&gt;0,"TerSee","-")</f>
        <v>TerSee</v>
      </c>
      <c r="F4" s="6">
        <v>1</v>
      </c>
    </row>
    <row r="5" spans="1:22" x14ac:dyDescent="0.25">
      <c r="A5" s="1" t="s">
        <v>781</v>
      </c>
      <c r="B5" s="1">
        <v>6345773.3624999998</v>
      </c>
      <c r="C5" s="1">
        <v>329120.52110000001</v>
      </c>
      <c r="D5" s="5" t="str">
        <f>$A5&amp;RIGHT(D$1,1)&amp;"F"</f>
        <v>T41F</v>
      </c>
      <c r="E5" s="6" t="str">
        <f>IF(Table38[[#This Row],[Capacity1]]&gt;0,"TerSee","-")</f>
        <v>TerSee</v>
      </c>
      <c r="F5" s="6">
        <v>1</v>
      </c>
    </row>
    <row r="6" spans="1:22" x14ac:dyDescent="0.25">
      <c r="D6" s="3"/>
      <c r="E6" s="6" t="str">
        <f>IF(Table38[[#This Row],[Capacity1]]&gt;0,"TerSee","-")</f>
        <v>-</v>
      </c>
      <c r="F6" s="6"/>
    </row>
    <row r="7" spans="1:22" x14ac:dyDescent="0.25">
      <c r="D7" s="3"/>
      <c r="E7" s="6" t="str">
        <f>IF(Table38[[#This Row],[Capacity1]]&gt;0,"TerSee","-")</f>
        <v>-</v>
      </c>
      <c r="F7" s="6"/>
    </row>
    <row r="8" spans="1:22" x14ac:dyDescent="0.25">
      <c r="D8" s="3"/>
      <c r="E8" s="6" t="str">
        <f>IF(Table38[[#This Row],[Capacity1]]&gt;0,"TerSee","-")</f>
        <v>-</v>
      </c>
      <c r="F8" s="6"/>
    </row>
    <row r="9" spans="1:22" x14ac:dyDescent="0.25">
      <c r="D9" s="3"/>
      <c r="E9" s="6" t="str">
        <f>IF(Table38[[#This Row],[Capacity1]]&gt;0,"TerSee","-")</f>
        <v>-</v>
      </c>
      <c r="F9" s="6"/>
    </row>
    <row r="10" spans="1:22" x14ac:dyDescent="0.25">
      <c r="D10" s="3"/>
      <c r="E10" s="6" t="str">
        <f>IF(Table38[[#This Row],[Capacity1]]&gt;0,"TerSee","-")</f>
        <v>-</v>
      </c>
      <c r="F10" s="6"/>
    </row>
    <row r="11" spans="1:22" x14ac:dyDescent="0.25">
      <c r="D11" s="3"/>
      <c r="E11" s="6" t="str">
        <f>IF(Table38[[#This Row],[Capacity1]]&gt;0,"TerSee","-")</f>
        <v>-</v>
      </c>
      <c r="F11" s="6"/>
    </row>
    <row r="12" spans="1:22" x14ac:dyDescent="0.25">
      <c r="D12" s="3"/>
      <c r="E12" s="6" t="str">
        <f>IF(Table38[[#This Row],[Capacity1]]&gt;0,"TerSee","-")</f>
        <v>-</v>
      </c>
      <c r="F12" s="6"/>
    </row>
    <row r="13" spans="1:22" x14ac:dyDescent="0.25">
      <c r="D13" s="3"/>
      <c r="E13" s="6" t="str">
        <f>IF(Table38[[#This Row],[Capacity1]]&gt;0,"TerSee","-")</f>
        <v>-</v>
      </c>
      <c r="F13" s="6"/>
    </row>
    <row r="14" spans="1:22" x14ac:dyDescent="0.25">
      <c r="D14" s="3"/>
      <c r="E14" s="6" t="str">
        <f>IF(Table38[[#This Row],[Capacity1]]&gt;0,"TerSee","-")</f>
        <v>-</v>
      </c>
      <c r="F14" s="6"/>
    </row>
    <row r="15" spans="1:22" x14ac:dyDescent="0.25">
      <c r="D15" s="3"/>
      <c r="E15" s="6" t="str">
        <f>IF(Table38[[#This Row],[Capacity1]]&gt;0,"TerSee","-")</f>
        <v>-</v>
      </c>
      <c r="F15" s="6"/>
    </row>
    <row r="16" spans="1:22" x14ac:dyDescent="0.25">
      <c r="D16" s="3"/>
      <c r="E16" s="6" t="str">
        <f>IF(Table38[[#This Row],[Capacity1]]&gt;0,"TerSee","-")</f>
        <v>-</v>
      </c>
      <c r="F16" s="6"/>
    </row>
    <row r="17" spans="4:6" x14ac:dyDescent="0.25">
      <c r="D17" s="3"/>
      <c r="E17" s="6" t="str">
        <f>IF(Table38[[#This Row],[Capacity1]]&gt;0,"TerSee","-")</f>
        <v>-</v>
      </c>
      <c r="F17" s="6"/>
    </row>
    <row r="18" spans="4:6" x14ac:dyDescent="0.25">
      <c r="D18" s="3"/>
      <c r="E18" s="6" t="str">
        <f>IF(Table38[[#This Row],[Capacity1]]&gt;0,"TerSee","-")</f>
        <v>-</v>
      </c>
      <c r="F18" s="6"/>
    </row>
    <row r="19" spans="4:6" x14ac:dyDescent="0.25">
      <c r="D19" s="3"/>
      <c r="E19" s="6" t="str">
        <f>IF(Table38[[#This Row],[Capacity1]]&gt;0,"TerSee","-")</f>
        <v>-</v>
      </c>
      <c r="F19" s="6"/>
    </row>
    <row r="20" spans="4:6" x14ac:dyDescent="0.25">
      <c r="D20" s="3"/>
      <c r="E20" s="6" t="str">
        <f>IF(Table38[[#This Row],[Capacity1]]&gt;0,"TerSee","-")</f>
        <v>-</v>
      </c>
      <c r="F20" s="6"/>
    </row>
    <row r="21" spans="4:6" x14ac:dyDescent="0.25">
      <c r="D21" s="3"/>
      <c r="E21" s="6" t="str">
        <f>IF(Table38[[#This Row],[Capacity1]]&gt;0,"TerSee","-")</f>
        <v>-</v>
      </c>
      <c r="F21" s="6"/>
    </row>
    <row r="22" spans="4:6" x14ac:dyDescent="0.25">
      <c r="D22" s="3"/>
      <c r="E22" s="6" t="str">
        <f>IF(Table38[[#This Row],[Capacity1]]&gt;0,"TerSee","-")</f>
        <v>-</v>
      </c>
      <c r="F22" s="6"/>
    </row>
    <row r="23" spans="4:6" x14ac:dyDescent="0.25">
      <c r="D23" s="3"/>
      <c r="E23" s="6" t="str">
        <f>IF(Table38[[#This Row],[Capacity1]]&gt;0,"TerSee","-")</f>
        <v>-</v>
      </c>
      <c r="F23" s="6"/>
    </row>
    <row r="24" spans="4:6" x14ac:dyDescent="0.25">
      <c r="D24" s="3"/>
      <c r="E24" s="6" t="str">
        <f>IF(Table38[[#This Row],[Capacity1]]&gt;0,"TerSee","-")</f>
        <v>-</v>
      </c>
      <c r="F24" s="6"/>
    </row>
    <row r="25" spans="4:6" x14ac:dyDescent="0.25">
      <c r="D25" s="3"/>
      <c r="E25" s="6" t="str">
        <f>IF(Table38[[#This Row],[Capacity1]]&gt;0,"TerSee","-")</f>
        <v>-</v>
      </c>
      <c r="F25" s="6"/>
    </row>
    <row r="26" spans="4:6" x14ac:dyDescent="0.25">
      <c r="D26" s="3"/>
      <c r="E26" s="6" t="str">
        <f>IF(Table38[[#This Row],[Capacity1]]&gt;0,"TerSee","-")</f>
        <v>-</v>
      </c>
      <c r="F26" s="6"/>
    </row>
    <row r="27" spans="4:6" x14ac:dyDescent="0.25">
      <c r="D27" s="3"/>
      <c r="E27" s="6" t="str">
        <f>IF(Table38[[#This Row],[Capacity1]]&gt;0,"TerSee","-")</f>
        <v>-</v>
      </c>
      <c r="F27" s="6"/>
    </row>
    <row r="28" spans="4:6" x14ac:dyDescent="0.25">
      <c r="D28" s="3"/>
      <c r="E28" s="6" t="str">
        <f>IF(Table38[[#This Row],[Capacity1]]&gt;0,"TerSee","-")</f>
        <v>-</v>
      </c>
      <c r="F28" s="6"/>
    </row>
    <row r="29" spans="4:6" x14ac:dyDescent="0.25">
      <c r="D29" s="3"/>
      <c r="E29" s="6" t="str">
        <f>IF(Table38[[#This Row],[Capacity1]]&gt;0,"TerSee","-")</f>
        <v>-</v>
      </c>
      <c r="F29" s="6"/>
    </row>
    <row r="30" spans="4:6" x14ac:dyDescent="0.25">
      <c r="D30" s="3"/>
      <c r="E30" s="6" t="str">
        <f>IF(Table38[[#This Row],[Capacity1]]&gt;0,"TerSee","-")</f>
        <v>-</v>
      </c>
      <c r="F30" s="6"/>
    </row>
    <row r="31" spans="4:6" x14ac:dyDescent="0.25">
      <c r="D31" s="3"/>
      <c r="E31" s="6" t="str">
        <f>IF(Table38[[#This Row],[Capacity1]]&gt;0,"TerSee","-")</f>
        <v>-</v>
      </c>
      <c r="F31" s="6"/>
    </row>
    <row r="32" spans="4:6" x14ac:dyDescent="0.25">
      <c r="D32" s="3"/>
      <c r="E32" s="6" t="str">
        <f>IF(Table38[[#This Row],[Capacity1]]&gt;0,"TerSee","-")</f>
        <v>-</v>
      </c>
      <c r="F32" s="6"/>
    </row>
    <row r="33" spans="4:6" x14ac:dyDescent="0.25">
      <c r="D33" s="3"/>
      <c r="E33" s="6" t="str">
        <f>IF(Table38[[#This Row],[Capacity1]]&gt;0,"TerSee","-")</f>
        <v>-</v>
      </c>
      <c r="F33" s="6"/>
    </row>
    <row r="34" spans="4:6" x14ac:dyDescent="0.25">
      <c r="D34" s="3"/>
      <c r="E34" s="6" t="str">
        <f>IF(Table38[[#This Row],[Capacity1]]&gt;0,"TerSee","-")</f>
        <v>-</v>
      </c>
      <c r="F34" s="6"/>
    </row>
    <row r="35" spans="4:6" x14ac:dyDescent="0.25">
      <c r="D35" s="3"/>
      <c r="E35" s="6" t="str">
        <f>IF(Table38[[#This Row],[Capacity1]]&gt;0,"TerSee","-")</f>
        <v>-</v>
      </c>
      <c r="F35" s="6"/>
    </row>
    <row r="36" spans="4:6" x14ac:dyDescent="0.25">
      <c r="D36" s="3"/>
      <c r="E36" s="6" t="str">
        <f>IF(Table38[[#This Row],[Capacity1]]&gt;0,"TerSee","-")</f>
        <v>-</v>
      </c>
      <c r="F36" s="6"/>
    </row>
    <row r="37" spans="4:6" x14ac:dyDescent="0.25">
      <c r="D37" s="3"/>
      <c r="E37" s="6" t="str">
        <f>IF(Table38[[#This Row],[Capacity1]]&gt;0,"TerSee","-")</f>
        <v>-</v>
      </c>
      <c r="F37" s="6"/>
    </row>
    <row r="38" spans="4:6" x14ac:dyDescent="0.25">
      <c r="D38" s="3"/>
      <c r="E38" s="6" t="str">
        <f>IF(Table38[[#This Row],[Capacity1]]&gt;0,"TerSee","-")</f>
        <v>-</v>
      </c>
      <c r="F38" s="6"/>
    </row>
    <row r="39" spans="4:6" x14ac:dyDescent="0.25">
      <c r="D39" s="3"/>
      <c r="E39" s="6" t="str">
        <f>IF(Table38[[#This Row],[Capacity1]]&gt;0,"TerSee","-")</f>
        <v>-</v>
      </c>
      <c r="F39" s="6"/>
    </row>
    <row r="40" spans="4:6" x14ac:dyDescent="0.25">
      <c r="D40" s="3"/>
      <c r="E40" s="6" t="str">
        <f>IF(Table38[[#This Row],[Capacity1]]&gt;0,"TerSee","-")</f>
        <v>-</v>
      </c>
      <c r="F40" s="6"/>
    </row>
    <row r="41" spans="4:6" x14ac:dyDescent="0.25">
      <c r="D41" s="3"/>
      <c r="E41" s="6" t="str">
        <f>IF(Table38[[#This Row],[Capacity1]]&gt;0,"TerSee","-")</f>
        <v>-</v>
      </c>
      <c r="F41" s="6"/>
    </row>
    <row r="42" spans="4:6" x14ac:dyDescent="0.25">
      <c r="D42" s="3"/>
      <c r="E42" s="6" t="str">
        <f>IF(Table38[[#This Row],[Capacity1]]&gt;0,"TerSee","-")</f>
        <v>-</v>
      </c>
      <c r="F42" s="6"/>
    </row>
    <row r="43" spans="4:6" x14ac:dyDescent="0.25">
      <c r="D43" s="3"/>
      <c r="E43" s="6" t="str">
        <f>IF(Table38[[#This Row],[Capacity1]]&gt;0,"TerSee","-")</f>
        <v>-</v>
      </c>
      <c r="F43" s="6"/>
    </row>
    <row r="44" spans="4:6" x14ac:dyDescent="0.25">
      <c r="D44" s="3"/>
      <c r="E44" s="6" t="str">
        <f>IF(Table38[[#This Row],[Capacity1]]&gt;0,"TerSee","-")</f>
        <v>-</v>
      </c>
      <c r="F44" s="6"/>
    </row>
    <row r="45" spans="4:6" x14ac:dyDescent="0.25">
      <c r="D45" s="3"/>
      <c r="E45" s="6" t="str">
        <f>IF(Table38[[#This Row],[Capacity1]]&gt;0,"TerSee","-")</f>
        <v>-</v>
      </c>
      <c r="F45" s="6"/>
    </row>
    <row r="46" spans="4:6" x14ac:dyDescent="0.25">
      <c r="D46" s="3"/>
      <c r="E46" s="6" t="str">
        <f>IF(Table38[[#This Row],[Capacity1]]&gt;0,"TerSee","-")</f>
        <v>-</v>
      </c>
      <c r="F46" s="6"/>
    </row>
    <row r="47" spans="4:6" x14ac:dyDescent="0.25">
      <c r="D47" s="3"/>
      <c r="E47" s="6" t="str">
        <f>IF(Table38[[#This Row],[Capacity1]]&gt;0,"TerSee","-")</f>
        <v>-</v>
      </c>
      <c r="F47" s="6"/>
    </row>
    <row r="48" spans="4:6" x14ac:dyDescent="0.25">
      <c r="D48" s="3"/>
      <c r="E48" s="6" t="str">
        <f>IF(Table38[[#This Row],[Capacity1]]&gt;0,"TerSee","-")</f>
        <v>-</v>
      </c>
      <c r="F48" s="6"/>
    </row>
    <row r="49" spans="4:6" x14ac:dyDescent="0.25">
      <c r="D49" s="3"/>
      <c r="E49" s="6" t="str">
        <f>IF(Table38[[#This Row],[Capacity1]]&gt;0,"TerSee","-")</f>
        <v>-</v>
      </c>
      <c r="F49" s="6"/>
    </row>
    <row r="50" spans="4:6" x14ac:dyDescent="0.25">
      <c r="D50" s="3"/>
      <c r="E50" s="6" t="str">
        <f>IF(Table38[[#This Row],[Capacity1]]&gt;0,"TerSee","-")</f>
        <v>-</v>
      </c>
      <c r="F50" s="6"/>
    </row>
    <row r="51" spans="4:6" x14ac:dyDescent="0.25">
      <c r="D51" s="3"/>
      <c r="E51" s="6" t="str">
        <f>IF(Table38[[#This Row],[Capacity1]]&gt;0,"TerSee","-")</f>
        <v>-</v>
      </c>
      <c r="F51" s="6"/>
    </row>
    <row r="52" spans="4:6" x14ac:dyDescent="0.25">
      <c r="D52" s="3"/>
      <c r="E52" s="6" t="str">
        <f>IF(Table38[[#This Row],[Capacity1]]&gt;0,"TerSee","-")</f>
        <v>-</v>
      </c>
      <c r="F52" s="6"/>
    </row>
    <row r="53" spans="4:6" x14ac:dyDescent="0.25">
      <c r="D53" s="3"/>
      <c r="E53" s="6" t="str">
        <f>IF(Table38[[#This Row],[Capacity1]]&gt;0,"TerSee","-")</f>
        <v>-</v>
      </c>
      <c r="F53" s="6"/>
    </row>
    <row r="54" spans="4:6" x14ac:dyDescent="0.25">
      <c r="D54" s="3"/>
      <c r="E54" s="6" t="str">
        <f>IF(Table38[[#This Row],[Capacity1]]&gt;0,"TerSee","-")</f>
        <v>-</v>
      </c>
      <c r="F54" s="6"/>
    </row>
    <row r="55" spans="4:6" x14ac:dyDescent="0.25">
      <c r="D55" s="3"/>
      <c r="E55" s="6" t="str">
        <f>IF(Table38[[#This Row],[Capacity1]]&gt;0,"TerSee","-")</f>
        <v>-</v>
      </c>
      <c r="F55" s="6"/>
    </row>
    <row r="56" spans="4:6" x14ac:dyDescent="0.25">
      <c r="D56" s="3"/>
      <c r="E56" s="6" t="str">
        <f>IF(Table38[[#This Row],[Capacity1]]&gt;0,"TerSee","-")</f>
        <v>-</v>
      </c>
      <c r="F56" s="6"/>
    </row>
    <row r="57" spans="4:6" x14ac:dyDescent="0.25">
      <c r="D57" s="3"/>
      <c r="E57" s="6" t="str">
        <f>IF(Table38[[#This Row],[Capacity1]]&gt;0,"TerSee","-")</f>
        <v>-</v>
      </c>
      <c r="F57" s="6"/>
    </row>
    <row r="58" spans="4:6" x14ac:dyDescent="0.25">
      <c r="D58" s="3"/>
      <c r="E58" s="6" t="str">
        <f>IF(Table38[[#This Row],[Capacity1]]&gt;0,"TerSee","-")</f>
        <v>-</v>
      </c>
      <c r="F58" s="6"/>
    </row>
    <row r="59" spans="4:6" x14ac:dyDescent="0.25">
      <c r="D59" s="3"/>
      <c r="E59" s="6" t="str">
        <f>IF(Table38[[#This Row],[Capacity1]]&gt;0,"TerSee","-")</f>
        <v>-</v>
      </c>
      <c r="F59" s="6"/>
    </row>
    <row r="60" spans="4:6" x14ac:dyDescent="0.25">
      <c r="D60" s="3"/>
      <c r="E60" s="6" t="str">
        <f>IF(Table38[[#This Row],[Capacity1]]&gt;0,"TerSee","-")</f>
        <v>-</v>
      </c>
      <c r="F60" s="6"/>
    </row>
    <row r="61" spans="4:6" x14ac:dyDescent="0.25">
      <c r="D61" s="3"/>
      <c r="E61" s="6" t="str">
        <f>IF(Table38[[#This Row],[Capacity1]]&gt;0,"TerSee","-")</f>
        <v>-</v>
      </c>
      <c r="F61" s="6"/>
    </row>
    <row r="62" spans="4:6" x14ac:dyDescent="0.25">
      <c r="D62" s="3"/>
      <c r="E62" s="6" t="str">
        <f>IF(Table38[[#This Row],[Capacity1]]&gt;0,"TerSee","-")</f>
        <v>-</v>
      </c>
      <c r="F62" s="6"/>
    </row>
    <row r="63" spans="4:6" x14ac:dyDescent="0.25">
      <c r="D63" s="3"/>
      <c r="E63" s="6" t="str">
        <f>IF(Table38[[#This Row],[Capacity1]]&gt;0,"TerSee","-")</f>
        <v>-</v>
      </c>
      <c r="F63" s="6"/>
    </row>
    <row r="64" spans="4:6" x14ac:dyDescent="0.25">
      <c r="D64" s="3"/>
      <c r="E64" s="6" t="str">
        <f>IF(Table38[[#This Row],[Capacity1]]&gt;0,"TerSee","-")</f>
        <v>-</v>
      </c>
      <c r="F64" s="6"/>
    </row>
    <row r="65" spans="4:6" x14ac:dyDescent="0.25">
      <c r="D65" s="3"/>
      <c r="E65" s="6" t="str">
        <f>IF(Table38[[#This Row],[Capacity1]]&gt;0,"TerSee","-")</f>
        <v>-</v>
      </c>
      <c r="F65" s="6"/>
    </row>
    <row r="66" spans="4:6" x14ac:dyDescent="0.25">
      <c r="D66" s="3"/>
      <c r="E66" s="6" t="str">
        <f>IF(Table38[[#This Row],[Capacity1]]&gt;0,"TerSee","-")</f>
        <v>-</v>
      </c>
      <c r="F66" s="6"/>
    </row>
    <row r="67" spans="4:6" x14ac:dyDescent="0.25">
      <c r="D67" s="3"/>
      <c r="E67" s="6" t="str">
        <f>IF(Table38[[#This Row],[Capacity1]]&gt;0,"TerSee","-")</f>
        <v>-</v>
      </c>
      <c r="F67" s="6"/>
    </row>
    <row r="68" spans="4:6" x14ac:dyDescent="0.25">
      <c r="D68" s="3"/>
      <c r="E68" s="6" t="str">
        <f>IF(Table38[[#This Row],[Capacity1]]&gt;0,"TerSee","-")</f>
        <v>-</v>
      </c>
      <c r="F68" s="6"/>
    </row>
    <row r="69" spans="4:6" x14ac:dyDescent="0.25">
      <c r="D69" s="3"/>
      <c r="E69" s="6" t="str">
        <f>IF(Table38[[#This Row],[Capacity1]]&gt;0,"TerSee","-")</f>
        <v>-</v>
      </c>
      <c r="F69" s="6"/>
    </row>
    <row r="70" spans="4:6" x14ac:dyDescent="0.25">
      <c r="D70" s="3"/>
      <c r="E70" s="6" t="str">
        <f>IF(Table38[[#This Row],[Capacity1]]&gt;0,"TerSee","-")</f>
        <v>-</v>
      </c>
      <c r="F70" s="6"/>
    </row>
    <row r="71" spans="4:6" x14ac:dyDescent="0.25">
      <c r="D71" s="3"/>
      <c r="E71" s="6" t="str">
        <f>IF(Table38[[#This Row],[Capacity1]]&gt;0,"TerSee","-")</f>
        <v>-</v>
      </c>
      <c r="F71" s="6"/>
    </row>
    <row r="72" spans="4:6" x14ac:dyDescent="0.25">
      <c r="D72" s="3"/>
      <c r="E72" s="6" t="str">
        <f>IF(Table38[[#This Row],[Capacity1]]&gt;0,"TerSee","-")</f>
        <v>-</v>
      </c>
      <c r="F72" s="6"/>
    </row>
    <row r="73" spans="4:6" x14ac:dyDescent="0.25">
      <c r="D73" s="3"/>
      <c r="E73" s="6" t="str">
        <f>IF(Table38[[#This Row],[Capacity1]]&gt;0,"TerSee","-")</f>
        <v>-</v>
      </c>
      <c r="F73" s="6"/>
    </row>
    <row r="74" spans="4:6" x14ac:dyDescent="0.25">
      <c r="D74" s="3"/>
      <c r="E74" s="6" t="str">
        <f>IF(Table38[[#This Row],[Capacity1]]&gt;0,"TerSee","-")</f>
        <v>-</v>
      </c>
      <c r="F74" s="6"/>
    </row>
    <row r="75" spans="4:6" x14ac:dyDescent="0.25">
      <c r="D75" s="3"/>
      <c r="E75" s="6" t="str">
        <f>IF(Table38[[#This Row],[Capacity1]]&gt;0,"TerSee","-")</f>
        <v>-</v>
      </c>
      <c r="F75" s="6"/>
    </row>
    <row r="76" spans="4:6" x14ac:dyDescent="0.25">
      <c r="D76" s="3"/>
      <c r="E76" s="6" t="str">
        <f>IF(Table38[[#This Row],[Capacity1]]&gt;0,"TerSee","-")</f>
        <v>-</v>
      </c>
      <c r="F76" s="6"/>
    </row>
    <row r="77" spans="4:6" x14ac:dyDescent="0.25">
      <c r="D77" s="3"/>
      <c r="E77" s="6" t="str">
        <f>IF(Table38[[#This Row],[Capacity1]]&gt;0,"TerSee","-")</f>
        <v>-</v>
      </c>
      <c r="F77" s="6"/>
    </row>
    <row r="78" spans="4:6" x14ac:dyDescent="0.25">
      <c r="D78" s="3"/>
      <c r="E78" s="6" t="str">
        <f>IF(Table38[[#This Row],[Capacity1]]&gt;0,"TerSee","-")</f>
        <v>-</v>
      </c>
      <c r="F78" s="6"/>
    </row>
    <row r="79" spans="4:6" x14ac:dyDescent="0.25">
      <c r="D79" s="3"/>
      <c r="E79" s="6" t="str">
        <f>IF(Table38[[#This Row],[Capacity1]]&gt;0,"TerSee","-")</f>
        <v>-</v>
      </c>
      <c r="F79" s="6"/>
    </row>
    <row r="80" spans="4:6" x14ac:dyDescent="0.25">
      <c r="D80" s="3"/>
      <c r="E80" s="6" t="str">
        <f>IF(Table38[[#This Row],[Capacity1]]&gt;0,"TerSee","-")</f>
        <v>-</v>
      </c>
      <c r="F80" s="6"/>
    </row>
    <row r="81" spans="4:6" x14ac:dyDescent="0.25">
      <c r="D81" s="3"/>
      <c r="E81" s="6" t="str">
        <f>IF(Table38[[#This Row],[Capacity1]]&gt;0,"TerSee","-")</f>
        <v>-</v>
      </c>
      <c r="F81" s="6"/>
    </row>
    <row r="82" spans="4:6" x14ac:dyDescent="0.25">
      <c r="D82" s="3"/>
      <c r="E82" s="6" t="str">
        <f>IF(Table38[[#This Row],[Capacity1]]&gt;0,"TerSee","-")</f>
        <v>-</v>
      </c>
      <c r="F82" s="6"/>
    </row>
    <row r="83" spans="4:6" x14ac:dyDescent="0.25">
      <c r="D83" s="3"/>
      <c r="E83" s="6" t="str">
        <f>IF(Table38[[#This Row],[Capacity1]]&gt;0,"TerSee","-")</f>
        <v>-</v>
      </c>
      <c r="F83" s="6"/>
    </row>
    <row r="84" spans="4:6" x14ac:dyDescent="0.25">
      <c r="D84" s="3"/>
      <c r="E84" s="6" t="str">
        <f>IF(Table38[[#This Row],[Capacity1]]&gt;0,"TerSee","-")</f>
        <v>-</v>
      </c>
      <c r="F84" s="6"/>
    </row>
    <row r="85" spans="4:6" x14ac:dyDescent="0.25">
      <c r="D85" s="3"/>
      <c r="E85" s="6" t="str">
        <f>IF(Table38[[#This Row],[Capacity1]]&gt;0,"TerSee","-")</f>
        <v>-</v>
      </c>
      <c r="F85" s="6"/>
    </row>
    <row r="86" spans="4:6" x14ac:dyDescent="0.25">
      <c r="D86" s="3"/>
      <c r="E86" s="6" t="str">
        <f>IF(Table38[[#This Row],[Capacity1]]&gt;0,"TerSee","-")</f>
        <v>-</v>
      </c>
      <c r="F86" s="6"/>
    </row>
    <row r="87" spans="4:6" x14ac:dyDescent="0.25">
      <c r="D87" s="3"/>
      <c r="E87" s="6" t="str">
        <f>IF(Table38[[#This Row],[Capacity1]]&gt;0,"TerSee","-")</f>
        <v>-</v>
      </c>
      <c r="F87" s="6"/>
    </row>
    <row r="88" spans="4:6" x14ac:dyDescent="0.25">
      <c r="D88" s="3"/>
      <c r="E88" s="6" t="str">
        <f>IF(Table38[[#This Row],[Capacity1]]&gt;0,"TerSee","-")</f>
        <v>-</v>
      </c>
      <c r="F88" s="6"/>
    </row>
    <row r="89" spans="4:6" x14ac:dyDescent="0.25">
      <c r="D89" s="3"/>
      <c r="E89" s="6" t="str">
        <f>IF(Table38[[#This Row],[Capacity1]]&gt;0,"TerSee","-")</f>
        <v>-</v>
      </c>
      <c r="F89" s="6"/>
    </row>
    <row r="90" spans="4:6" x14ac:dyDescent="0.25">
      <c r="D90" s="3"/>
      <c r="E90" s="6" t="str">
        <f>IF(Table38[[#This Row],[Capacity1]]&gt;0,"TerSee","-")</f>
        <v>-</v>
      </c>
      <c r="F90" s="6"/>
    </row>
    <row r="91" spans="4:6" x14ac:dyDescent="0.25">
      <c r="D91" s="3"/>
      <c r="E91" s="6" t="str">
        <f>IF(Table38[[#This Row],[Capacity1]]&gt;0,"TerSee","-")</f>
        <v>-</v>
      </c>
      <c r="F91" s="6"/>
    </row>
    <row r="92" spans="4:6" x14ac:dyDescent="0.25">
      <c r="D92" s="3"/>
      <c r="E92" s="6" t="str">
        <f>IF(Table38[[#This Row],[Capacity1]]&gt;0,"TerSee","-")</f>
        <v>-</v>
      </c>
      <c r="F92" s="6"/>
    </row>
    <row r="93" spans="4:6" x14ac:dyDescent="0.25">
      <c r="D93" s="3"/>
      <c r="E93" s="6" t="str">
        <f>IF(Table38[[#This Row],[Capacity1]]&gt;0,"TerSee","-")</f>
        <v>-</v>
      </c>
      <c r="F93" s="6"/>
    </row>
    <row r="94" spans="4:6" x14ac:dyDescent="0.25">
      <c r="D94" s="3"/>
      <c r="E94" s="6" t="str">
        <f>IF(Table38[[#This Row],[Capacity1]]&gt;0,"TerSee","-")</f>
        <v>-</v>
      </c>
      <c r="F94" s="6"/>
    </row>
    <row r="95" spans="4:6" x14ac:dyDescent="0.25">
      <c r="D95" s="3"/>
      <c r="E95" s="6" t="str">
        <f>IF(Table38[[#This Row],[Capacity1]]&gt;0,"TerSee","-")</f>
        <v>-</v>
      </c>
      <c r="F95" s="6"/>
    </row>
    <row r="96" spans="4:6" x14ac:dyDescent="0.25">
      <c r="D96" s="3"/>
      <c r="E96" s="6" t="str">
        <f>IF(Table38[[#This Row],[Capacity1]]&gt;0,"TerSee","-")</f>
        <v>-</v>
      </c>
      <c r="F96" s="6"/>
    </row>
    <row r="97" spans="4:6" x14ac:dyDescent="0.25">
      <c r="D97" s="3"/>
      <c r="E97" s="6" t="str">
        <f>IF(Table38[[#This Row],[Capacity1]]&gt;0,"TerSee","-")</f>
        <v>-</v>
      </c>
      <c r="F97" s="6"/>
    </row>
    <row r="98" spans="4:6" x14ac:dyDescent="0.25">
      <c r="D98" s="3"/>
      <c r="E98" s="6" t="str">
        <f>IF(Table38[[#This Row],[Capacity1]]&gt;0,"TerSee","-")</f>
        <v>-</v>
      </c>
      <c r="F98" s="6"/>
    </row>
    <row r="99" spans="4:6" x14ac:dyDescent="0.25">
      <c r="D99" s="3"/>
      <c r="E99" s="6" t="str">
        <f>IF(Table38[[#This Row],[Capacity1]]&gt;0,"TerSee","-")</f>
        <v>-</v>
      </c>
      <c r="F99" s="6"/>
    </row>
    <row r="100" spans="4:6" x14ac:dyDescent="0.25">
      <c r="D100" s="3"/>
      <c r="E100" s="6" t="str">
        <f>IF(Table38[[#This Row],[Capacity1]]&gt;0,"TerSee","-")</f>
        <v>-</v>
      </c>
      <c r="F100" s="6"/>
    </row>
    <row r="101" spans="4:6" x14ac:dyDescent="0.25">
      <c r="D101" s="3"/>
      <c r="E101" s="6" t="str">
        <f>IF(Table38[[#This Row],[Capacity1]]&gt;0,"TerSee","-")</f>
        <v>-</v>
      </c>
      <c r="F101" s="6"/>
    </row>
    <row r="102" spans="4:6" x14ac:dyDescent="0.25">
      <c r="D102" s="3"/>
      <c r="E102" s="6" t="str">
        <f>IF(Table38[[#This Row],[Capacity1]]&gt;0,"TerSee","-")</f>
        <v>-</v>
      </c>
      <c r="F102" s="6"/>
    </row>
    <row r="103" spans="4:6" x14ac:dyDescent="0.25">
      <c r="D103" s="3"/>
      <c r="E103" s="6" t="str">
        <f>IF(Table38[[#This Row],[Capacity1]]&gt;0,"TerSee","-")</f>
        <v>-</v>
      </c>
      <c r="F103" s="6"/>
    </row>
    <row r="104" spans="4:6" x14ac:dyDescent="0.25">
      <c r="D104" s="3"/>
      <c r="E104" s="6" t="str">
        <f>IF(Table38[[#This Row],[Capacity1]]&gt;0,"TerSee","-")</f>
        <v>-</v>
      </c>
      <c r="F104" s="6"/>
    </row>
    <row r="105" spans="4:6" x14ac:dyDescent="0.25">
      <c r="D105" s="3"/>
      <c r="E105" s="6" t="str">
        <f>IF(Table38[[#This Row],[Capacity1]]&gt;0,"TerSee","-")</f>
        <v>-</v>
      </c>
      <c r="F105" s="6"/>
    </row>
    <row r="106" spans="4:6" x14ac:dyDescent="0.25">
      <c r="D106" s="3"/>
      <c r="E106" s="6" t="str">
        <f>IF(Table38[[#This Row],[Capacity1]]&gt;0,"TerSee","-")</f>
        <v>-</v>
      </c>
      <c r="F106" s="6"/>
    </row>
    <row r="107" spans="4:6" x14ac:dyDescent="0.25">
      <c r="D107" s="3"/>
      <c r="E107" s="6" t="str">
        <f>IF(Table38[[#This Row],[Capacity1]]&gt;0,"TerSee","-")</f>
        <v>-</v>
      </c>
      <c r="F107" s="6"/>
    </row>
    <row r="108" spans="4:6" x14ac:dyDescent="0.25">
      <c r="D108" s="3"/>
      <c r="E108" s="6" t="str">
        <f>IF(Table38[[#This Row],[Capacity1]]&gt;0,"TerSee","-")</f>
        <v>-</v>
      </c>
      <c r="F108" s="6"/>
    </row>
    <row r="109" spans="4:6" x14ac:dyDescent="0.25">
      <c r="D109" s="3"/>
      <c r="E109" s="6" t="str">
        <f>IF(Table38[[#This Row],[Capacity1]]&gt;0,"TerSee","-")</f>
        <v>-</v>
      </c>
      <c r="F109" s="6"/>
    </row>
    <row r="110" spans="4:6" x14ac:dyDescent="0.25">
      <c r="D110" s="3"/>
      <c r="E110" s="6" t="str">
        <f>IF(Table38[[#This Row],[Capacity1]]&gt;0,"TerSee","-")</f>
        <v>-</v>
      </c>
      <c r="F110" s="6"/>
    </row>
    <row r="111" spans="4:6" x14ac:dyDescent="0.25">
      <c r="D111" s="3"/>
      <c r="E111" s="6" t="str">
        <f>IF(Table38[[#This Row],[Capacity1]]&gt;0,"TerSee","-")</f>
        <v>-</v>
      </c>
      <c r="F111" s="6"/>
    </row>
    <row r="112" spans="4:6" x14ac:dyDescent="0.25">
      <c r="D112" s="3"/>
      <c r="E112" s="6" t="str">
        <f>IF(Table38[[#This Row],[Capacity1]]&gt;0,"TerSee","-")</f>
        <v>-</v>
      </c>
      <c r="F112" s="6"/>
    </row>
    <row r="113" spans="4:6" x14ac:dyDescent="0.25">
      <c r="D113" s="3"/>
      <c r="E113" s="6" t="str">
        <f>IF(Table38[[#This Row],[Capacity1]]&gt;0,"TerSee","-")</f>
        <v>-</v>
      </c>
      <c r="F113" s="6"/>
    </row>
    <row r="114" spans="4:6" x14ac:dyDescent="0.25">
      <c r="D114" s="3"/>
      <c r="E114" s="6" t="str">
        <f>IF(Table38[[#This Row],[Capacity1]]&gt;0,"TerSee","-")</f>
        <v>-</v>
      </c>
      <c r="F114" s="6"/>
    </row>
    <row r="115" spans="4:6" x14ac:dyDescent="0.25">
      <c r="D115" s="3"/>
      <c r="E115" s="6" t="str">
        <f>IF(Table38[[#This Row],[Capacity1]]&gt;0,"TerSee","-")</f>
        <v>-</v>
      </c>
      <c r="F115" s="6"/>
    </row>
    <row r="116" spans="4:6" x14ac:dyDescent="0.25">
      <c r="D116" s="3"/>
      <c r="E116" s="6" t="str">
        <f>IF(Table38[[#This Row],[Capacity1]]&gt;0,"TerSee","-")</f>
        <v>-</v>
      </c>
      <c r="F116" s="6"/>
    </row>
    <row r="117" spans="4:6" x14ac:dyDescent="0.25">
      <c r="D117" s="3"/>
      <c r="E117" s="6" t="str">
        <f>IF(Table38[[#This Row],[Capacity1]]&gt;0,"TerSee","-")</f>
        <v>-</v>
      </c>
      <c r="F117" s="6"/>
    </row>
    <row r="118" spans="4:6" x14ac:dyDescent="0.25">
      <c r="D118" s="3"/>
      <c r="E118" s="6" t="str">
        <f>IF(Table38[[#This Row],[Capacity1]]&gt;0,"TerSee","-")</f>
        <v>-</v>
      </c>
      <c r="F118" s="6"/>
    </row>
    <row r="119" spans="4:6" x14ac:dyDescent="0.25">
      <c r="D119" s="3"/>
      <c r="E119" s="6" t="str">
        <f>IF(Table38[[#This Row],[Capacity1]]&gt;0,"TerSee","-")</f>
        <v>-</v>
      </c>
      <c r="F119" s="6"/>
    </row>
    <row r="120" spans="4:6" x14ac:dyDescent="0.25">
      <c r="D120" s="3"/>
      <c r="E120" s="6" t="str">
        <f>IF(Table38[[#This Row],[Capacity1]]&gt;0,"TerSee","-")</f>
        <v>-</v>
      </c>
      <c r="F120" s="6"/>
    </row>
    <row r="121" spans="4:6" x14ac:dyDescent="0.25">
      <c r="D121" s="3"/>
      <c r="E121" s="6" t="str">
        <f>IF(Table38[[#This Row],[Capacity1]]&gt;0,"TerSee","-")</f>
        <v>-</v>
      </c>
      <c r="F121" s="6"/>
    </row>
    <row r="122" spans="4:6" x14ac:dyDescent="0.25">
      <c r="D122" s="3"/>
      <c r="E122" s="6" t="str">
        <f>IF(Table38[[#This Row],[Capacity1]]&gt;0,"TerSee","-")</f>
        <v>-</v>
      </c>
      <c r="F122" s="6"/>
    </row>
    <row r="123" spans="4:6" x14ac:dyDescent="0.25">
      <c r="D123" s="3"/>
      <c r="E123" s="6" t="str">
        <f>IF(Table38[[#This Row],[Capacity1]]&gt;0,"TerSee","-")</f>
        <v>-</v>
      </c>
      <c r="F123" s="6"/>
    </row>
    <row r="124" spans="4:6" x14ac:dyDescent="0.25">
      <c r="D124" s="3"/>
      <c r="E124" s="6" t="str">
        <f>IF(Table38[[#This Row],[Capacity1]]&gt;0,"TerSee","-")</f>
        <v>-</v>
      </c>
      <c r="F124" s="6"/>
    </row>
    <row r="125" spans="4:6" x14ac:dyDescent="0.25">
      <c r="D125" s="3"/>
      <c r="E125" s="6" t="str">
        <f>IF(Table38[[#This Row],[Capacity1]]&gt;0,"TerSee","-")</f>
        <v>-</v>
      </c>
      <c r="F125" s="6"/>
    </row>
    <row r="126" spans="4:6" x14ac:dyDescent="0.25">
      <c r="D126" s="3"/>
      <c r="E126" s="6" t="str">
        <f>IF(Table38[[#This Row],[Capacity1]]&gt;0,"TerSee","-")</f>
        <v>-</v>
      </c>
      <c r="F126" s="6"/>
    </row>
    <row r="127" spans="4:6" x14ac:dyDescent="0.25">
      <c r="D127" s="3"/>
      <c r="E127" s="6" t="str">
        <f>IF(Table38[[#This Row],[Capacity1]]&gt;0,"TerSee","-")</f>
        <v>-</v>
      </c>
      <c r="F127" s="6"/>
    </row>
    <row r="128" spans="4:6" x14ac:dyDescent="0.25">
      <c r="D128" s="3"/>
      <c r="E128" s="6" t="str">
        <f>IF(Table38[[#This Row],[Capacity1]]&gt;0,"TerSee","-")</f>
        <v>-</v>
      </c>
      <c r="F128" s="6"/>
    </row>
    <row r="129" spans="4:6" x14ac:dyDescent="0.25">
      <c r="D129" s="3"/>
      <c r="E129" s="6" t="str">
        <f>IF(Table38[[#This Row],[Capacity1]]&gt;0,"TerSee","-")</f>
        <v>-</v>
      </c>
      <c r="F129" s="6"/>
    </row>
    <row r="130" spans="4:6" x14ac:dyDescent="0.25">
      <c r="D130" s="3"/>
      <c r="E130" s="6" t="str">
        <f>IF(Table38[[#This Row],[Capacity1]]&gt;0,"TerSee","-")</f>
        <v>-</v>
      </c>
      <c r="F130" s="6"/>
    </row>
    <row r="131" spans="4:6" x14ac:dyDescent="0.25">
      <c r="D131" s="3"/>
      <c r="E131" s="6" t="str">
        <f>IF(Table38[[#This Row],[Capacity1]]&gt;0,"TerSee","-")</f>
        <v>-</v>
      </c>
      <c r="F131" s="6"/>
    </row>
    <row r="132" spans="4:6" x14ac:dyDescent="0.25">
      <c r="D132" s="3"/>
      <c r="E132" s="6" t="str">
        <f>IF(Table38[[#This Row],[Capacity1]]&gt;0,"TerSee","-")</f>
        <v>-</v>
      </c>
      <c r="F132" s="6"/>
    </row>
    <row r="133" spans="4:6" x14ac:dyDescent="0.25">
      <c r="D133" s="3"/>
      <c r="E133" s="6" t="str">
        <f>IF(Table38[[#This Row],[Capacity1]]&gt;0,"TerSee","-")</f>
        <v>-</v>
      </c>
      <c r="F133" s="6"/>
    </row>
    <row r="134" spans="4:6" x14ac:dyDescent="0.25">
      <c r="D134" s="3"/>
      <c r="E134" s="6" t="str">
        <f>IF(Table38[[#This Row],[Capacity1]]&gt;0,"TerSee","-")</f>
        <v>-</v>
      </c>
      <c r="F134" s="6"/>
    </row>
    <row r="135" spans="4:6" x14ac:dyDescent="0.25">
      <c r="D135" s="3"/>
      <c r="E135" s="6" t="str">
        <f>IF(Table38[[#This Row],[Capacity1]]&gt;0,"TerSee","-")</f>
        <v>-</v>
      </c>
      <c r="F135" s="6"/>
    </row>
    <row r="136" spans="4:6" x14ac:dyDescent="0.25">
      <c r="D136" s="3"/>
      <c r="E136" s="6" t="str">
        <f>IF(Table38[[#This Row],[Capacity1]]&gt;0,"TerSee","-")</f>
        <v>-</v>
      </c>
      <c r="F136" s="6"/>
    </row>
    <row r="137" spans="4:6" x14ac:dyDescent="0.25">
      <c r="D137" s="3"/>
      <c r="E137" s="6" t="str">
        <f>IF(Table38[[#This Row],[Capacity1]]&gt;0,"TerSee","-")</f>
        <v>-</v>
      </c>
      <c r="F137" s="6"/>
    </row>
    <row r="138" spans="4:6" x14ac:dyDescent="0.25">
      <c r="D138" s="3"/>
      <c r="E138" s="6" t="str">
        <f>IF(Table38[[#This Row],[Capacity1]]&gt;0,"TerSee","-")</f>
        <v>-</v>
      </c>
      <c r="F138" s="6"/>
    </row>
    <row r="139" spans="4:6" x14ac:dyDescent="0.25">
      <c r="D139" s="3"/>
      <c r="E139" s="6" t="str">
        <f>IF(Table38[[#This Row],[Capacity1]]&gt;0,"TerSee","-")</f>
        <v>-</v>
      </c>
      <c r="F139" s="6"/>
    </row>
    <row r="140" spans="4:6" x14ac:dyDescent="0.25">
      <c r="D140" s="3"/>
      <c r="E140" s="6" t="str">
        <f>IF(Table38[[#This Row],[Capacity1]]&gt;0,"TerSee","-")</f>
        <v>-</v>
      </c>
      <c r="F140" s="6"/>
    </row>
    <row r="141" spans="4:6" x14ac:dyDescent="0.25">
      <c r="D141" s="3"/>
      <c r="E141" s="6" t="str">
        <f>IF(Table38[[#This Row],[Capacity1]]&gt;0,"TerSee","-")</f>
        <v>-</v>
      </c>
      <c r="F141" s="6"/>
    </row>
    <row r="142" spans="4:6" x14ac:dyDescent="0.25">
      <c r="D142" s="3"/>
      <c r="E142" s="6" t="str">
        <f>IF(Table38[[#This Row],[Capacity1]]&gt;0,"TerSee","-")</f>
        <v>-</v>
      </c>
      <c r="F142" s="6"/>
    </row>
    <row r="143" spans="4:6" x14ac:dyDescent="0.25">
      <c r="D143" s="3"/>
      <c r="E143" s="6" t="str">
        <f>IF(Table38[[#This Row],[Capacity1]]&gt;0,"TerSee","-")</f>
        <v>-</v>
      </c>
      <c r="F143" s="6"/>
    </row>
    <row r="144" spans="4:6" x14ac:dyDescent="0.25">
      <c r="D144" s="3"/>
      <c r="E144" s="6" t="str">
        <f>IF(Table38[[#This Row],[Capacity1]]&gt;0,"TerSee","-")</f>
        <v>-</v>
      </c>
      <c r="F144" s="6"/>
    </row>
    <row r="145" spans="4:6" x14ac:dyDescent="0.25">
      <c r="D145" s="3"/>
      <c r="E145" s="6" t="str">
        <f>IF(Table38[[#This Row],[Capacity1]]&gt;0,"TerSee","-")</f>
        <v>-</v>
      </c>
      <c r="F145" s="6"/>
    </row>
    <row r="146" spans="4:6" x14ac:dyDescent="0.25">
      <c r="D146" s="3"/>
      <c r="E146" s="6" t="str">
        <f>IF(Table38[[#This Row],[Capacity1]]&gt;0,"TerSee","-")</f>
        <v>-</v>
      </c>
      <c r="F146" s="6"/>
    </row>
    <row r="147" spans="4:6" x14ac:dyDescent="0.25">
      <c r="D147" s="3"/>
      <c r="E147" s="6" t="str">
        <f>IF(Table38[[#This Row],[Capacity1]]&gt;0,"TerSee","-")</f>
        <v>-</v>
      </c>
      <c r="F147" s="6"/>
    </row>
    <row r="148" spans="4:6" x14ac:dyDescent="0.25">
      <c r="D148" s="3"/>
      <c r="E148" s="6" t="str">
        <f>IF(Table38[[#This Row],[Capacity1]]&gt;0,"TerSee","-")</f>
        <v>-</v>
      </c>
      <c r="F148" s="6"/>
    </row>
    <row r="149" spans="4:6" x14ac:dyDescent="0.25">
      <c r="D149" s="3"/>
      <c r="E149" s="6" t="str">
        <f>IF(Table38[[#This Row],[Capacity1]]&gt;0,"TerSee","-")</f>
        <v>-</v>
      </c>
      <c r="F149" s="6"/>
    </row>
    <row r="150" spans="4:6" x14ac:dyDescent="0.25">
      <c r="D150" s="3"/>
      <c r="E150" s="6" t="str">
        <f>IF(Table38[[#This Row],[Capacity1]]&gt;0,"TerSee","-")</f>
        <v>-</v>
      </c>
      <c r="F150" s="6"/>
    </row>
    <row r="151" spans="4:6" x14ac:dyDescent="0.25">
      <c r="D151" s="3"/>
      <c r="E151" s="6" t="str">
        <f>IF(Table38[[#This Row],[Capacity1]]&gt;0,"TerSee","-")</f>
        <v>-</v>
      </c>
      <c r="F151" s="6"/>
    </row>
    <row r="152" spans="4:6" x14ac:dyDescent="0.25">
      <c r="D152" s="3"/>
      <c r="E152" s="6" t="str">
        <f>IF(Table38[[#This Row],[Capacity1]]&gt;0,"TerSee","-")</f>
        <v>-</v>
      </c>
      <c r="F152" s="6"/>
    </row>
    <row r="153" spans="4:6" x14ac:dyDescent="0.25">
      <c r="D153" s="3"/>
      <c r="E153" s="6" t="str">
        <f>IF(Table38[[#This Row],[Capacity1]]&gt;0,"TerSee","-")</f>
        <v>-</v>
      </c>
      <c r="F153" s="6"/>
    </row>
    <row r="154" spans="4:6" x14ac:dyDescent="0.25">
      <c r="D154" s="3"/>
      <c r="E154" s="6" t="str">
        <f>IF(Table38[[#This Row],[Capacity1]]&gt;0,"TerSee","-")</f>
        <v>-</v>
      </c>
      <c r="F154" s="6"/>
    </row>
    <row r="155" spans="4:6" x14ac:dyDescent="0.25">
      <c r="D155" s="3"/>
      <c r="E155" s="6" t="str">
        <f>IF(Table38[[#This Row],[Capacity1]]&gt;0,"TerSee","-")</f>
        <v>-</v>
      </c>
      <c r="F155" s="6"/>
    </row>
    <row r="156" spans="4:6" x14ac:dyDescent="0.25">
      <c r="D156" s="3"/>
      <c r="E156" s="6" t="str">
        <f>IF(Table38[[#This Row],[Capacity1]]&gt;0,"TerSee","-")</f>
        <v>-</v>
      </c>
      <c r="F156" s="6"/>
    </row>
    <row r="157" spans="4:6" x14ac:dyDescent="0.25">
      <c r="D157" s="3"/>
      <c r="E157" s="6" t="str">
        <f>IF(Table38[[#This Row],[Capacity1]]&gt;0,"TerSee","-")</f>
        <v>-</v>
      </c>
      <c r="F157" s="6"/>
    </row>
    <row r="158" spans="4:6" x14ac:dyDescent="0.25">
      <c r="D158" s="3"/>
      <c r="E158" s="6" t="str">
        <f>IF(Table38[[#This Row],[Capacity1]]&gt;0,"TerSee","-")</f>
        <v>-</v>
      </c>
      <c r="F158" s="6"/>
    </row>
    <row r="159" spans="4:6" x14ac:dyDescent="0.25">
      <c r="D159" s="3"/>
      <c r="E159" s="6" t="str">
        <f>IF(Table38[[#This Row],[Capacity1]]&gt;0,"TerSee","-")</f>
        <v>-</v>
      </c>
      <c r="F159" s="6"/>
    </row>
    <row r="160" spans="4:6" x14ac:dyDescent="0.25">
      <c r="D160" s="3"/>
      <c r="E160" s="6" t="str">
        <f>IF(Table38[[#This Row],[Capacity1]]&gt;0,"TerSee","-")</f>
        <v>-</v>
      </c>
      <c r="F160" s="6"/>
    </row>
    <row r="161" spans="4:6" x14ac:dyDescent="0.25">
      <c r="D161" s="3"/>
      <c r="E161" s="6" t="str">
        <f>IF(Table38[[#This Row],[Capacity1]]&gt;0,"TerSee","-")</f>
        <v>-</v>
      </c>
      <c r="F161" s="6"/>
    </row>
    <row r="162" spans="4:6" x14ac:dyDescent="0.25">
      <c r="D162" s="3"/>
      <c r="E162" s="6" t="str">
        <f>IF(Table38[[#This Row],[Capacity1]]&gt;0,"TerSee","-")</f>
        <v>-</v>
      </c>
      <c r="F162" s="6"/>
    </row>
    <row r="163" spans="4:6" x14ac:dyDescent="0.25">
      <c r="D163" s="3"/>
      <c r="E163" s="6" t="str">
        <f>IF(Table38[[#This Row],[Capacity1]]&gt;0,"TerSee","-")</f>
        <v>-</v>
      </c>
      <c r="F163" s="6"/>
    </row>
    <row r="164" spans="4:6" x14ac:dyDescent="0.25">
      <c r="D164" s="3"/>
      <c r="E164" s="6" t="str">
        <f>IF(Table38[[#This Row],[Capacity1]]&gt;0,"TerSee","-")</f>
        <v>-</v>
      </c>
      <c r="F164" s="6"/>
    </row>
    <row r="165" spans="4:6" x14ac:dyDescent="0.25">
      <c r="D165" s="3"/>
      <c r="E165" s="6" t="str">
        <f>IF(Table38[[#This Row],[Capacity1]]&gt;0,"TerSee","-")</f>
        <v>-</v>
      </c>
      <c r="F165" s="6"/>
    </row>
    <row r="166" spans="4:6" x14ac:dyDescent="0.25">
      <c r="D166" s="3"/>
      <c r="E166" s="6" t="str">
        <f>IF(Table38[[#This Row],[Capacity1]]&gt;0,"TerSee","-")</f>
        <v>-</v>
      </c>
      <c r="F166" s="6"/>
    </row>
    <row r="167" spans="4:6" x14ac:dyDescent="0.25">
      <c r="D167" s="3"/>
      <c r="E167" s="6" t="str">
        <f>IF(Table38[[#This Row],[Capacity1]]&gt;0,"TerSee","-")</f>
        <v>-</v>
      </c>
      <c r="F167" s="6"/>
    </row>
    <row r="168" spans="4:6" x14ac:dyDescent="0.25">
      <c r="D168" s="3"/>
      <c r="E168" s="6" t="str">
        <f>IF(Table38[[#This Row],[Capacity1]]&gt;0,"TerSee","-")</f>
        <v>-</v>
      </c>
      <c r="F168" s="6"/>
    </row>
    <row r="169" spans="4:6" x14ac:dyDescent="0.25">
      <c r="D169" s="3"/>
      <c r="E169" s="6" t="str">
        <f>IF(Table38[[#This Row],[Capacity1]]&gt;0,"TerSee","-")</f>
        <v>-</v>
      </c>
      <c r="F169" s="6"/>
    </row>
    <row r="170" spans="4:6" x14ac:dyDescent="0.25">
      <c r="D170" s="3"/>
      <c r="E170" s="6" t="str">
        <f>IF(Table38[[#This Row],[Capacity1]]&gt;0,"TerSee","-")</f>
        <v>-</v>
      </c>
      <c r="F170" s="6"/>
    </row>
    <row r="171" spans="4:6" x14ac:dyDescent="0.25">
      <c r="D171" s="3"/>
      <c r="E171" s="6" t="str">
        <f>IF(Table38[[#This Row],[Capacity1]]&gt;0,"TerSee","-")</f>
        <v>-</v>
      </c>
      <c r="F171" s="6"/>
    </row>
    <row r="172" spans="4:6" x14ac:dyDescent="0.25">
      <c r="D172" s="3"/>
      <c r="E172" s="6" t="str">
        <f>IF(Table38[[#This Row],[Capacity1]]&gt;0,"TerSee","-")</f>
        <v>-</v>
      </c>
      <c r="F172" s="6"/>
    </row>
    <row r="173" spans="4:6" x14ac:dyDescent="0.25">
      <c r="D173" s="3"/>
      <c r="E173" s="6" t="str">
        <f>IF(Table38[[#This Row],[Capacity1]]&gt;0,"TerSee","-")</f>
        <v>-</v>
      </c>
      <c r="F173" s="6"/>
    </row>
    <row r="174" spans="4:6" x14ac:dyDescent="0.25">
      <c r="D174" s="3"/>
      <c r="E174" s="6" t="str">
        <f>IF(Table38[[#This Row],[Capacity1]]&gt;0,"TerSee","-")</f>
        <v>-</v>
      </c>
      <c r="F174" s="6"/>
    </row>
    <row r="175" spans="4:6" x14ac:dyDescent="0.25">
      <c r="D175" s="3"/>
      <c r="E175" s="6" t="str">
        <f>IF(Table38[[#This Row],[Capacity1]]&gt;0,"TerSee","-")</f>
        <v>-</v>
      </c>
      <c r="F175" s="6"/>
    </row>
    <row r="176" spans="4:6" x14ac:dyDescent="0.25">
      <c r="D176" s="3"/>
      <c r="E176" s="6" t="str">
        <f>IF(Table38[[#This Row],[Capacity1]]&gt;0,"TerSee","-")</f>
        <v>-</v>
      </c>
      <c r="F176" s="6"/>
    </row>
    <row r="177" spans="4:6" x14ac:dyDescent="0.25">
      <c r="D177" s="3"/>
      <c r="E177" s="6" t="str">
        <f>IF(Table38[[#This Row],[Capacity1]]&gt;0,"TerSee","-")</f>
        <v>-</v>
      </c>
      <c r="F177" s="6"/>
    </row>
    <row r="178" spans="4:6" x14ac:dyDescent="0.25">
      <c r="D178" s="3"/>
      <c r="E178" s="6" t="str">
        <f>IF(Table38[[#This Row],[Capacity1]]&gt;0,"TerSee","-")</f>
        <v>-</v>
      </c>
      <c r="F178" s="6"/>
    </row>
    <row r="179" spans="4:6" x14ac:dyDescent="0.25">
      <c r="D179" s="3"/>
      <c r="E179" s="6" t="str">
        <f>IF(Table38[[#This Row],[Capacity1]]&gt;0,"TerSee","-")</f>
        <v>-</v>
      </c>
      <c r="F179" s="6"/>
    </row>
    <row r="180" spans="4:6" x14ac:dyDescent="0.25">
      <c r="D180" s="3"/>
      <c r="E180" s="6" t="str">
        <f>IF(Table38[[#This Row],[Capacity1]]&gt;0,"TerSee","-")</f>
        <v>-</v>
      </c>
      <c r="F180" s="6"/>
    </row>
    <row r="181" spans="4:6" x14ac:dyDescent="0.25">
      <c r="D181" s="3"/>
      <c r="E181" s="6" t="str">
        <f>IF(Table38[[#This Row],[Capacity1]]&gt;0,"TerSee","-")</f>
        <v>-</v>
      </c>
      <c r="F181" s="6"/>
    </row>
    <row r="182" spans="4:6" x14ac:dyDescent="0.25">
      <c r="D182" s="3"/>
      <c r="E182" s="6" t="str">
        <f>IF(Table38[[#This Row],[Capacity1]]&gt;0,"TerSee","-")</f>
        <v>-</v>
      </c>
      <c r="F182" s="6"/>
    </row>
    <row r="183" spans="4:6" x14ac:dyDescent="0.25">
      <c r="D183" s="3"/>
      <c r="E183" s="6" t="str">
        <f>IF(Table38[[#This Row],[Capacity1]]&gt;0,"TerSee","-")</f>
        <v>-</v>
      </c>
      <c r="F183" s="6"/>
    </row>
    <row r="184" spans="4:6" x14ac:dyDescent="0.25">
      <c r="D184" s="3"/>
      <c r="E184" s="6" t="str">
        <f>IF(Table38[[#This Row],[Capacity1]]&gt;0,"TerSee","-")</f>
        <v>-</v>
      </c>
      <c r="F184" s="6"/>
    </row>
    <row r="185" spans="4:6" x14ac:dyDescent="0.25">
      <c r="D185" s="3"/>
      <c r="E185" s="6" t="str">
        <f>IF(Table38[[#This Row],[Capacity1]]&gt;0,"TerSee","-")</f>
        <v>-</v>
      </c>
      <c r="F185" s="6"/>
    </row>
    <row r="186" spans="4:6" x14ac:dyDescent="0.25">
      <c r="D186" s="3"/>
      <c r="E186" s="6" t="str">
        <f>IF(Table38[[#This Row],[Capacity1]]&gt;0,"TerSee","-")</f>
        <v>-</v>
      </c>
      <c r="F186" s="6"/>
    </row>
    <row r="187" spans="4:6" x14ac:dyDescent="0.25">
      <c r="D187" s="3"/>
      <c r="E187" s="6" t="str">
        <f>IF(Table38[[#This Row],[Capacity1]]&gt;0,"TerSee","-")</f>
        <v>-</v>
      </c>
      <c r="F187" s="6"/>
    </row>
    <row r="188" spans="4:6" x14ac:dyDescent="0.25">
      <c r="D188" s="3"/>
      <c r="E188" s="6" t="str">
        <f>IF(Table38[[#This Row],[Capacity1]]&gt;0,"TerSee","-")</f>
        <v>-</v>
      </c>
      <c r="F188" s="6"/>
    </row>
    <row r="189" spans="4:6" x14ac:dyDescent="0.25">
      <c r="D189" s="3"/>
      <c r="E189" s="6" t="str">
        <f>IF(Table38[[#This Row],[Capacity1]]&gt;0,"TerSee","-")</f>
        <v>-</v>
      </c>
      <c r="F189" s="6"/>
    </row>
    <row r="190" spans="4:6" x14ac:dyDescent="0.25">
      <c r="D190" s="3"/>
      <c r="E190" s="6" t="str">
        <f>IF(Table38[[#This Row],[Capacity1]]&gt;0,"TerSee","-")</f>
        <v>-</v>
      </c>
      <c r="F190" s="6"/>
    </row>
    <row r="191" spans="4:6" x14ac:dyDescent="0.25">
      <c r="D191" s="3"/>
      <c r="E191" s="6" t="str">
        <f>IF(Table38[[#This Row],[Capacity1]]&gt;0,"TerSee","-")</f>
        <v>-</v>
      </c>
      <c r="F191" s="6"/>
    </row>
    <row r="192" spans="4:6" x14ac:dyDescent="0.25">
      <c r="D192" s="3"/>
      <c r="E192" s="6" t="str">
        <f>IF(Table38[[#This Row],[Capacity1]]&gt;0,"TerSee","-")</f>
        <v>-</v>
      </c>
      <c r="F192" s="6"/>
    </row>
    <row r="193" spans="4:6" x14ac:dyDescent="0.25">
      <c r="D193" s="3"/>
      <c r="E193" s="6" t="str">
        <f>IF(Table38[[#This Row],[Capacity1]]&gt;0,"TerSee","-")</f>
        <v>-</v>
      </c>
      <c r="F193" s="6"/>
    </row>
    <row r="194" spans="4:6" x14ac:dyDescent="0.25">
      <c r="D194" s="3"/>
      <c r="E194" s="6" t="str">
        <f>IF(Table38[[#This Row],[Capacity1]]&gt;0,"TerSee","-")</f>
        <v>-</v>
      </c>
      <c r="F194" s="6"/>
    </row>
    <row r="195" spans="4:6" x14ac:dyDescent="0.25">
      <c r="D195" s="3"/>
      <c r="E195" s="6" t="str">
        <f>IF(Table38[[#This Row],[Capacity1]]&gt;0,"TerSee","-")</f>
        <v>-</v>
      </c>
      <c r="F195" s="6"/>
    </row>
    <row r="196" spans="4:6" x14ac:dyDescent="0.25">
      <c r="D196" s="3"/>
      <c r="E196" s="6" t="str">
        <f>IF(Table38[[#This Row],[Capacity1]]&gt;0,"TerSee","-")</f>
        <v>-</v>
      </c>
      <c r="F196" s="6"/>
    </row>
    <row r="197" spans="4:6" x14ac:dyDescent="0.25">
      <c r="D197" s="3"/>
      <c r="E197" s="6" t="str">
        <f>IF(Table38[[#This Row],[Capacity1]]&gt;0,"TerSee","-")</f>
        <v>-</v>
      </c>
      <c r="F197" s="6"/>
    </row>
    <row r="198" spans="4:6" x14ac:dyDescent="0.25">
      <c r="D198" s="3"/>
      <c r="E198" s="6" t="str">
        <f>IF(Table38[[#This Row],[Capacity1]]&gt;0,"TerSee","-")</f>
        <v>-</v>
      </c>
      <c r="F198" s="6"/>
    </row>
    <row r="199" spans="4:6" x14ac:dyDescent="0.25">
      <c r="D199" s="3"/>
      <c r="E199" s="6" t="str">
        <f>IF(Table38[[#This Row],[Capacity1]]&gt;0,"TerSee","-")</f>
        <v>-</v>
      </c>
      <c r="F199" s="6"/>
    </row>
    <row r="200" spans="4:6" x14ac:dyDescent="0.25">
      <c r="D200" s="3"/>
      <c r="E200" s="6" t="str">
        <f>IF(Table38[[#This Row],[Capacity1]]&gt;0,"TerSee","-")</f>
        <v>-</v>
      </c>
      <c r="F200" s="6"/>
    </row>
    <row r="201" spans="4:6" x14ac:dyDescent="0.25">
      <c r="D201" s="3"/>
      <c r="E201" s="6" t="str">
        <f>IF(Table38[[#This Row],[Capacity1]]&gt;0,"TerSee","-")</f>
        <v>-</v>
      </c>
      <c r="F201" s="6"/>
    </row>
    <row r="202" spans="4:6" x14ac:dyDescent="0.25">
      <c r="D202" s="3"/>
      <c r="E202" s="6" t="str">
        <f>IF(Table38[[#This Row],[Capacity1]]&gt;0,"TerSee","-")</f>
        <v>-</v>
      </c>
      <c r="F202" s="6"/>
    </row>
    <row r="203" spans="4:6" x14ac:dyDescent="0.25">
      <c r="D203" s="3"/>
      <c r="E203" s="6" t="str">
        <f>IF(Table38[[#This Row],[Capacity1]]&gt;0,"TerSee","-")</f>
        <v>-</v>
      </c>
      <c r="F203" s="6"/>
    </row>
    <row r="204" spans="4:6" x14ac:dyDescent="0.25">
      <c r="D204" s="3"/>
      <c r="E204" s="6" t="str">
        <f>IF(Table38[[#This Row],[Capacity1]]&gt;0,"TerSee","-")</f>
        <v>-</v>
      </c>
      <c r="F204" s="6"/>
    </row>
    <row r="205" spans="4:6" x14ac:dyDescent="0.25">
      <c r="D205" s="3"/>
      <c r="E205" s="6" t="str">
        <f>IF(Table38[[#This Row],[Capacity1]]&gt;0,"TerSee","-")</f>
        <v>-</v>
      </c>
      <c r="F205" s="6"/>
    </row>
    <row r="206" spans="4:6" x14ac:dyDescent="0.25">
      <c r="D206" s="3"/>
      <c r="E206" s="6" t="str">
        <f>IF(Table38[[#This Row],[Capacity1]]&gt;0,"TerSee","-")</f>
        <v>-</v>
      </c>
      <c r="F206" s="6"/>
    </row>
    <row r="207" spans="4:6" x14ac:dyDescent="0.25">
      <c r="D207" s="3"/>
      <c r="E207" s="6" t="str">
        <f>IF(Table38[[#This Row],[Capacity1]]&gt;0,"TerSee","-")</f>
        <v>-</v>
      </c>
      <c r="F207" s="6"/>
    </row>
    <row r="208" spans="4:6" x14ac:dyDescent="0.25">
      <c r="D208" s="3"/>
      <c r="E208" s="6" t="str">
        <f>IF(Table38[[#This Row],[Capacity1]]&gt;0,"TerSee","-")</f>
        <v>-</v>
      </c>
      <c r="F208" s="6"/>
    </row>
    <row r="209" spans="4:6" x14ac:dyDescent="0.25">
      <c r="D209" s="3"/>
      <c r="E209" s="6" t="str">
        <f>IF(Table38[[#This Row],[Capacity1]]&gt;0,"TerSee","-")</f>
        <v>-</v>
      </c>
      <c r="F209" s="6"/>
    </row>
    <row r="210" spans="4:6" x14ac:dyDescent="0.25">
      <c r="D210" s="3"/>
      <c r="E210" s="6" t="str">
        <f>IF(Table38[[#This Row],[Capacity1]]&gt;0,"TerSee","-")</f>
        <v>-</v>
      </c>
      <c r="F210" s="6"/>
    </row>
    <row r="211" spans="4:6" x14ac:dyDescent="0.25">
      <c r="D211" s="3"/>
      <c r="E211" s="6" t="str">
        <f>IF(Table38[[#This Row],[Capacity1]]&gt;0,"TerSee","-")</f>
        <v>-</v>
      </c>
      <c r="F211" s="6"/>
    </row>
    <row r="212" spans="4:6" x14ac:dyDescent="0.25">
      <c r="D212" s="3"/>
      <c r="E212" s="6" t="str">
        <f>IF(Table38[[#This Row],[Capacity1]]&gt;0,"TerSee","-")</f>
        <v>-</v>
      </c>
      <c r="F212" s="6"/>
    </row>
    <row r="213" spans="4:6" x14ac:dyDescent="0.25">
      <c r="D213" s="3"/>
      <c r="E213" s="6" t="str">
        <f>IF(Table38[[#This Row],[Capacity1]]&gt;0,"TerSee","-")</f>
        <v>-</v>
      </c>
      <c r="F213" s="6"/>
    </row>
    <row r="214" spans="4:6" x14ac:dyDescent="0.25">
      <c r="D214" s="3"/>
      <c r="E214" s="6" t="str">
        <f>IF(Table38[[#This Row],[Capacity1]]&gt;0,"TerSee","-")</f>
        <v>-</v>
      </c>
      <c r="F214" s="6"/>
    </row>
    <row r="215" spans="4:6" x14ac:dyDescent="0.25">
      <c r="D215" s="3"/>
      <c r="E215" s="6" t="str">
        <f>IF(Table38[[#This Row],[Capacity1]]&gt;0,"TerSee","-")</f>
        <v>-</v>
      </c>
      <c r="F215" s="6"/>
    </row>
    <row r="216" spans="4:6" x14ac:dyDescent="0.25">
      <c r="D216" s="3"/>
      <c r="E216" s="6" t="str">
        <f>IF(Table38[[#This Row],[Capacity1]]&gt;0,"TerSee","-")</f>
        <v>-</v>
      </c>
      <c r="F216" s="6"/>
    </row>
    <row r="217" spans="4:6" x14ac:dyDescent="0.25">
      <c r="D217" s="3"/>
      <c r="E217" s="6" t="str">
        <f>IF(Table38[[#This Row],[Capacity1]]&gt;0,"TerSee","-")</f>
        <v>-</v>
      </c>
      <c r="F217" s="6"/>
    </row>
    <row r="218" spans="4:6" x14ac:dyDescent="0.25">
      <c r="D218" s="3"/>
      <c r="E218" s="6" t="str">
        <f>IF(Table38[[#This Row],[Capacity1]]&gt;0,"TerSee","-")</f>
        <v>-</v>
      </c>
      <c r="F218" s="6"/>
    </row>
    <row r="219" spans="4:6" x14ac:dyDescent="0.25">
      <c r="D219" s="3"/>
      <c r="E219" s="6" t="str">
        <f>IF(Table38[[#This Row],[Capacity1]]&gt;0,"TerSee","-")</f>
        <v>-</v>
      </c>
      <c r="F219" s="6"/>
    </row>
    <row r="220" spans="4:6" x14ac:dyDescent="0.25">
      <c r="D220" s="3"/>
      <c r="E220" s="6" t="str">
        <f>IF(Table38[[#This Row],[Capacity1]]&gt;0,"TerSee","-")</f>
        <v>-</v>
      </c>
      <c r="F220" s="6"/>
    </row>
    <row r="221" spans="4:6" x14ac:dyDescent="0.25">
      <c r="D221" s="3"/>
      <c r="E221" s="6" t="str">
        <f>IF(Table38[[#This Row],[Capacity1]]&gt;0,"TerSee","-")</f>
        <v>-</v>
      </c>
      <c r="F221" s="6"/>
    </row>
    <row r="222" spans="4:6" x14ac:dyDescent="0.25">
      <c r="D222" s="3"/>
      <c r="E222" s="6" t="str">
        <f>IF(Table38[[#This Row],[Capacity1]]&gt;0,"TerSee","-")</f>
        <v>-</v>
      </c>
      <c r="F222" s="6"/>
    </row>
    <row r="223" spans="4:6" x14ac:dyDescent="0.25">
      <c r="D223" s="3"/>
      <c r="E223" s="6" t="str">
        <f>IF(Table38[[#This Row],[Capacity1]]&gt;0,"TerSee","-")</f>
        <v>-</v>
      </c>
      <c r="F223" s="6"/>
    </row>
    <row r="224" spans="4:6" x14ac:dyDescent="0.25">
      <c r="D224" s="3"/>
      <c r="E224" s="6" t="str">
        <f>IF(Table38[[#This Row],[Capacity1]]&gt;0,"TerSee","-")</f>
        <v>-</v>
      </c>
      <c r="F224" s="6"/>
    </row>
    <row r="225" spans="4:6" x14ac:dyDescent="0.25">
      <c r="D225" s="3"/>
      <c r="E225" s="6" t="str">
        <f>IF(Table38[[#This Row],[Capacity1]]&gt;0,"TerSee","-")</f>
        <v>-</v>
      </c>
      <c r="F225" s="6"/>
    </row>
    <row r="226" spans="4:6" x14ac:dyDescent="0.25">
      <c r="D226" s="3"/>
      <c r="E226" s="6" t="str">
        <f>IF(Table38[[#This Row],[Capacity1]]&gt;0,"TerSee","-")</f>
        <v>-</v>
      </c>
      <c r="F226" s="6"/>
    </row>
    <row r="227" spans="4:6" x14ac:dyDescent="0.25">
      <c r="D227" s="3"/>
      <c r="E227" s="6" t="str">
        <f>IF(Table38[[#This Row],[Capacity1]]&gt;0,"TerSee","-")</f>
        <v>-</v>
      </c>
      <c r="F227" s="6"/>
    </row>
    <row r="228" spans="4:6" x14ac:dyDescent="0.25">
      <c r="D228" s="3"/>
      <c r="E228" s="6" t="str">
        <f>IF(Table38[[#This Row],[Capacity1]]&gt;0,"TerSee","-")</f>
        <v>-</v>
      </c>
      <c r="F228" s="6"/>
    </row>
    <row r="229" spans="4:6" x14ac:dyDescent="0.25">
      <c r="D229" s="3"/>
      <c r="E229" s="6" t="str">
        <f>IF(Table38[[#This Row],[Capacity1]]&gt;0,"TerSee","-")</f>
        <v>-</v>
      </c>
      <c r="F229" s="6"/>
    </row>
    <row r="230" spans="4:6" x14ac:dyDescent="0.25">
      <c r="D230" s="3"/>
      <c r="E230" s="6" t="str">
        <f>IF(Table38[[#This Row],[Capacity1]]&gt;0,"TerSee","-")</f>
        <v>-</v>
      </c>
      <c r="F230" s="6"/>
    </row>
    <row r="231" spans="4:6" x14ac:dyDescent="0.25">
      <c r="D231" s="3"/>
      <c r="E231" s="6" t="str">
        <f>IF(Table38[[#This Row],[Capacity1]]&gt;0,"TerSee","-")</f>
        <v>-</v>
      </c>
      <c r="F231" s="6"/>
    </row>
    <row r="232" spans="4:6" x14ac:dyDescent="0.25">
      <c r="D232" s="3"/>
      <c r="E232" s="6" t="str">
        <f>IF(Table38[[#This Row],[Capacity1]]&gt;0,"TerSee","-")</f>
        <v>-</v>
      </c>
      <c r="F232" s="6"/>
    </row>
    <row r="233" spans="4:6" x14ac:dyDescent="0.25">
      <c r="D233" s="3"/>
      <c r="E233" s="6" t="str">
        <f>IF(Table38[[#This Row],[Capacity1]]&gt;0,"TerSee","-")</f>
        <v>-</v>
      </c>
      <c r="F233" s="6"/>
    </row>
    <row r="234" spans="4:6" x14ac:dyDescent="0.25">
      <c r="D234" s="3"/>
      <c r="E234" s="6" t="str">
        <f>IF(Table38[[#This Row],[Capacity1]]&gt;0,"TerSee","-")</f>
        <v>-</v>
      </c>
      <c r="F234" s="6"/>
    </row>
    <row r="235" spans="4:6" x14ac:dyDescent="0.25">
      <c r="D235" s="3"/>
      <c r="E235" s="6" t="str">
        <f>IF(Table38[[#This Row],[Capacity1]]&gt;0,"TerSee","-")</f>
        <v>-</v>
      </c>
      <c r="F235" s="6"/>
    </row>
    <row r="236" spans="4:6" x14ac:dyDescent="0.25">
      <c r="D236" s="3"/>
      <c r="E236" s="6" t="str">
        <f>IF(Table38[[#This Row],[Capacity1]]&gt;0,"TerSee","-")</f>
        <v>-</v>
      </c>
      <c r="F236" s="6"/>
    </row>
    <row r="237" spans="4:6" x14ac:dyDescent="0.25">
      <c r="D237" s="3"/>
      <c r="E237" s="6" t="str">
        <f>IF(Table38[[#This Row],[Capacity1]]&gt;0,"TerSee","-")</f>
        <v>-</v>
      </c>
      <c r="F237" s="6"/>
    </row>
    <row r="238" spans="4:6" x14ac:dyDescent="0.25">
      <c r="D238" s="3"/>
      <c r="E238" s="6" t="str">
        <f>IF(Table38[[#This Row],[Capacity1]]&gt;0,"TerSee","-")</f>
        <v>-</v>
      </c>
      <c r="F238" s="6"/>
    </row>
    <row r="239" spans="4:6" x14ac:dyDescent="0.25">
      <c r="D239" s="3"/>
      <c r="E239" s="6" t="str">
        <f>IF(Table38[[#This Row],[Capacity1]]&gt;0,"TerSee","-")</f>
        <v>-</v>
      </c>
      <c r="F239" s="6"/>
    </row>
    <row r="240" spans="4:6" x14ac:dyDescent="0.25">
      <c r="D240" s="3"/>
      <c r="E240" s="6" t="str">
        <f>IF(Table38[[#This Row],[Capacity1]]&gt;0,"TerSee","-")</f>
        <v>-</v>
      </c>
      <c r="F240" s="6"/>
    </row>
    <row r="241" spans="4:6" x14ac:dyDescent="0.25">
      <c r="D241" s="3"/>
      <c r="E241" s="6" t="str">
        <f>IF(Table38[[#This Row],[Capacity1]]&gt;0,"TerSee","-")</f>
        <v>-</v>
      </c>
      <c r="F241" s="6"/>
    </row>
    <row r="242" spans="4:6" x14ac:dyDescent="0.25">
      <c r="D242" s="3"/>
      <c r="E242" s="6" t="str">
        <f>IF(Table38[[#This Row],[Capacity1]]&gt;0,"TerSee","-")</f>
        <v>-</v>
      </c>
      <c r="F242" s="6"/>
    </row>
    <row r="243" spans="4:6" x14ac:dyDescent="0.25">
      <c r="D243" s="3"/>
      <c r="E243" s="6" t="str">
        <f>IF(Table38[[#This Row],[Capacity1]]&gt;0,"TerSee","-")</f>
        <v>-</v>
      </c>
      <c r="F243" s="6"/>
    </row>
    <row r="244" spans="4:6" x14ac:dyDescent="0.25">
      <c r="D244" s="3"/>
      <c r="E244" s="6" t="str">
        <f>IF(Table38[[#This Row],[Capacity1]]&gt;0,"TerSee","-")</f>
        <v>-</v>
      </c>
      <c r="F244" s="6"/>
    </row>
    <row r="245" spans="4:6" x14ac:dyDescent="0.25">
      <c r="D245" s="3"/>
      <c r="E245" s="6" t="str">
        <f>IF(Table38[[#This Row],[Capacity1]]&gt;0,"TerSee","-")</f>
        <v>-</v>
      </c>
      <c r="F245" s="6"/>
    </row>
    <row r="246" spans="4:6" x14ac:dyDescent="0.25">
      <c r="D246" s="3"/>
      <c r="E246" s="6" t="str">
        <f>IF(Table38[[#This Row],[Capacity1]]&gt;0,"TerSee","-")</f>
        <v>-</v>
      </c>
      <c r="F246" s="6"/>
    </row>
    <row r="247" spans="4:6" x14ac:dyDescent="0.25">
      <c r="D247" s="3"/>
      <c r="E247" s="6" t="str">
        <f>IF(Table38[[#This Row],[Capacity1]]&gt;0,"TerSee","-")</f>
        <v>-</v>
      </c>
      <c r="F247" s="6"/>
    </row>
    <row r="248" spans="4:6" x14ac:dyDescent="0.25">
      <c r="D248" s="3"/>
      <c r="E248" s="6" t="str">
        <f>IF(Table38[[#This Row],[Capacity1]]&gt;0,"TerSee","-")</f>
        <v>-</v>
      </c>
      <c r="F248" s="6"/>
    </row>
    <row r="249" spans="4:6" x14ac:dyDescent="0.25">
      <c r="D249" s="3"/>
      <c r="E249" s="6" t="str">
        <f>IF(Table38[[#This Row],[Capacity1]]&gt;0,"TerSee","-")</f>
        <v>-</v>
      </c>
      <c r="F249" s="6"/>
    </row>
    <row r="250" spans="4:6" x14ac:dyDescent="0.25">
      <c r="D250" s="3"/>
      <c r="E250" s="6" t="str">
        <f>IF(Table38[[#This Row],[Capacity1]]&gt;0,"TerSee","-")</f>
        <v>-</v>
      </c>
      <c r="F250" s="6"/>
    </row>
    <row r="251" spans="4:6" x14ac:dyDescent="0.25">
      <c r="D251" s="3"/>
      <c r="E251" s="6" t="str">
        <f>IF(Table38[[#This Row],[Capacity1]]&gt;0,"TerSee","-")</f>
        <v>-</v>
      </c>
      <c r="F251" s="6"/>
    </row>
    <row r="252" spans="4:6" x14ac:dyDescent="0.25">
      <c r="D252" s="3"/>
      <c r="E252" s="6" t="str">
        <f>IF(Table38[[#This Row],[Capacity1]]&gt;0,"TerSee","-")</f>
        <v>-</v>
      </c>
      <c r="F252" s="6"/>
    </row>
    <row r="253" spans="4:6" x14ac:dyDescent="0.25">
      <c r="D253" s="3"/>
      <c r="E253" s="6" t="str">
        <f>IF(Table38[[#This Row],[Capacity1]]&gt;0,"TerSee","-")</f>
        <v>-</v>
      </c>
      <c r="F253" s="6"/>
    </row>
    <row r="254" spans="4:6" x14ac:dyDescent="0.25">
      <c r="D254" s="3"/>
      <c r="E254" s="6" t="str">
        <f>IF(Table38[[#This Row],[Capacity1]]&gt;0,"TerSee","-")</f>
        <v>-</v>
      </c>
      <c r="F254" s="6"/>
    </row>
    <row r="255" spans="4:6" x14ac:dyDescent="0.25">
      <c r="D255" s="3"/>
      <c r="E255" s="6" t="str">
        <f>IF(Table38[[#This Row],[Capacity1]]&gt;0,"TerSee","-")</f>
        <v>-</v>
      </c>
      <c r="F255" s="6"/>
    </row>
    <row r="256" spans="4:6" x14ac:dyDescent="0.25">
      <c r="D256" s="3"/>
      <c r="E256" s="6" t="str">
        <f>IF(Table38[[#This Row],[Capacity1]]&gt;0,"TerSee","-")</f>
        <v>-</v>
      </c>
      <c r="F256" s="6"/>
    </row>
    <row r="257" spans="4:6" x14ac:dyDescent="0.25">
      <c r="D257" s="3"/>
      <c r="E257" s="6" t="str">
        <f>IF(Table38[[#This Row],[Capacity1]]&gt;0,"TerSee","-")</f>
        <v>-</v>
      </c>
      <c r="F257" s="6"/>
    </row>
    <row r="258" spans="4:6" x14ac:dyDescent="0.25">
      <c r="D258" s="3"/>
      <c r="E258" s="6" t="str">
        <f>IF(Table38[[#This Row],[Capacity1]]&gt;0,"TerSee","-")</f>
        <v>-</v>
      </c>
      <c r="F258" s="6"/>
    </row>
    <row r="259" spans="4:6" x14ac:dyDescent="0.25">
      <c r="D259" s="3"/>
      <c r="E259" s="6" t="str">
        <f>IF(Table38[[#This Row],[Capacity1]]&gt;0,"TerSee","-")</f>
        <v>-</v>
      </c>
      <c r="F259" s="6"/>
    </row>
    <row r="260" spans="4:6" x14ac:dyDescent="0.25">
      <c r="D260" s="3"/>
      <c r="E260" s="6" t="str">
        <f>IF(Table38[[#This Row],[Capacity1]]&gt;0,"TerSee","-")</f>
        <v>-</v>
      </c>
      <c r="F260" s="6"/>
    </row>
    <row r="261" spans="4:6" x14ac:dyDescent="0.25">
      <c r="D261" s="3"/>
      <c r="E261" s="6" t="str">
        <f>IF(Table38[[#This Row],[Capacity1]]&gt;0,"TerSee","-")</f>
        <v>-</v>
      </c>
      <c r="F261" s="6"/>
    </row>
    <row r="262" spans="4:6" x14ac:dyDescent="0.25">
      <c r="D262" s="3"/>
      <c r="E262" s="6" t="str">
        <f>IF(Table38[[#This Row],[Capacity1]]&gt;0,"TerSee","-")</f>
        <v>-</v>
      </c>
      <c r="F262" s="6"/>
    </row>
    <row r="263" spans="4:6" x14ac:dyDescent="0.25">
      <c r="D263" s="3"/>
      <c r="E263" s="6" t="str">
        <f>IF(Table38[[#This Row],[Capacity1]]&gt;0,"TerSee","-")</f>
        <v>-</v>
      </c>
      <c r="F263" s="6"/>
    </row>
    <row r="264" spans="4:6" x14ac:dyDescent="0.25">
      <c r="D264" s="3"/>
      <c r="E264" s="6" t="str">
        <f>IF(Table38[[#This Row],[Capacity1]]&gt;0,"TerSee","-")</f>
        <v>-</v>
      </c>
      <c r="F264" s="6"/>
    </row>
    <row r="265" spans="4:6" x14ac:dyDescent="0.25">
      <c r="D265" s="3"/>
      <c r="E265" s="6" t="str">
        <f>IF(Table38[[#This Row],[Capacity1]]&gt;0,"TerSee","-")</f>
        <v>-</v>
      </c>
      <c r="F265" s="6"/>
    </row>
    <row r="266" spans="4:6" x14ac:dyDescent="0.25">
      <c r="D266" s="3"/>
      <c r="E266" s="6" t="str">
        <f>IF(Table38[[#This Row],[Capacity1]]&gt;0,"TerSee","-")</f>
        <v>-</v>
      </c>
      <c r="F266" s="6"/>
    </row>
    <row r="267" spans="4:6" x14ac:dyDescent="0.25">
      <c r="D267" s="3"/>
      <c r="E267" s="6" t="str">
        <f>IF(Table38[[#This Row],[Capacity1]]&gt;0,"TerSee","-")</f>
        <v>-</v>
      </c>
      <c r="F267" s="6"/>
    </row>
    <row r="268" spans="4:6" x14ac:dyDescent="0.25">
      <c r="D268" s="3"/>
      <c r="E268" s="6" t="str">
        <f>IF(Table38[[#This Row],[Capacity1]]&gt;0,"TerSee","-")</f>
        <v>-</v>
      </c>
      <c r="F268" s="6"/>
    </row>
    <row r="269" spans="4:6" x14ac:dyDescent="0.25">
      <c r="D269" s="3"/>
      <c r="E269" s="6" t="str">
        <f>IF(Table38[[#This Row],[Capacity1]]&gt;0,"TerSee","-")</f>
        <v>-</v>
      </c>
      <c r="F269" s="6"/>
    </row>
    <row r="270" spans="4:6" x14ac:dyDescent="0.25">
      <c r="D270" s="3"/>
      <c r="E270" s="6" t="str">
        <f>IF(Table38[[#This Row],[Capacity1]]&gt;0,"TerSee","-")</f>
        <v>-</v>
      </c>
      <c r="F270" s="6"/>
    </row>
    <row r="271" spans="4:6" x14ac:dyDescent="0.25">
      <c r="D271" s="3"/>
      <c r="E271" s="6" t="str">
        <f>IF(Table38[[#This Row],[Capacity1]]&gt;0,"TerSee","-")</f>
        <v>-</v>
      </c>
      <c r="F271" s="6"/>
    </row>
    <row r="272" spans="4:6" x14ac:dyDescent="0.25">
      <c r="D272" s="3"/>
      <c r="E272" s="6" t="str">
        <f>IF(Table38[[#This Row],[Capacity1]]&gt;0,"TerSee","-")</f>
        <v>-</v>
      </c>
      <c r="F272" s="6"/>
    </row>
    <row r="273" spans="4:6" x14ac:dyDescent="0.25">
      <c r="D273" s="3"/>
      <c r="E273" s="6" t="str">
        <f>IF(Table38[[#This Row],[Capacity1]]&gt;0,"TerSee","-")</f>
        <v>-</v>
      </c>
      <c r="F273" s="6"/>
    </row>
    <row r="274" spans="4:6" x14ac:dyDescent="0.25">
      <c r="D274" s="3"/>
      <c r="E274" s="6" t="str">
        <f>IF(Table38[[#This Row],[Capacity1]]&gt;0,"TerSee","-")</f>
        <v>-</v>
      </c>
      <c r="F274" s="6"/>
    </row>
    <row r="275" spans="4:6" x14ac:dyDescent="0.25">
      <c r="D275" s="3"/>
      <c r="E275" s="6" t="str">
        <f>IF(Table38[[#This Row],[Capacity1]]&gt;0,"TerSee","-")</f>
        <v>-</v>
      </c>
      <c r="F275" s="6"/>
    </row>
    <row r="276" spans="4:6" x14ac:dyDescent="0.25">
      <c r="D276" s="3"/>
      <c r="E276" s="6" t="str">
        <f>IF(Table38[[#This Row],[Capacity1]]&gt;0,"TerSee","-")</f>
        <v>-</v>
      </c>
      <c r="F276" s="6"/>
    </row>
    <row r="277" spans="4:6" x14ac:dyDescent="0.25">
      <c r="D277" s="3"/>
      <c r="E277" s="6" t="str">
        <f>IF(Table38[[#This Row],[Capacity1]]&gt;0,"TerSee","-")</f>
        <v>-</v>
      </c>
      <c r="F277" s="6"/>
    </row>
    <row r="278" spans="4:6" x14ac:dyDescent="0.25">
      <c r="D278" s="3"/>
      <c r="E278" s="6" t="str">
        <f>IF(Table38[[#This Row],[Capacity1]]&gt;0,"TerSee","-")</f>
        <v>-</v>
      </c>
      <c r="F278" s="6"/>
    </row>
    <row r="279" spans="4:6" x14ac:dyDescent="0.25">
      <c r="D279" s="3"/>
      <c r="E279" s="6" t="str">
        <f>IF(Table38[[#This Row],[Capacity1]]&gt;0,"TerSee","-")</f>
        <v>-</v>
      </c>
      <c r="F279" s="6"/>
    </row>
    <row r="280" spans="4:6" x14ac:dyDescent="0.25">
      <c r="D280" s="3"/>
      <c r="E280" s="6" t="str">
        <f>IF(Table38[[#This Row],[Capacity1]]&gt;0,"TerSee","-")</f>
        <v>-</v>
      </c>
      <c r="F280" s="6"/>
    </row>
    <row r="281" spans="4:6" x14ac:dyDescent="0.25">
      <c r="D281" s="3"/>
      <c r="E281" s="6" t="str">
        <f>IF(Table38[[#This Row],[Capacity1]]&gt;0,"TerSee","-")</f>
        <v>-</v>
      </c>
      <c r="F281" s="6"/>
    </row>
    <row r="282" spans="4:6" x14ac:dyDescent="0.25">
      <c r="D282" s="3"/>
      <c r="E282" s="6" t="str">
        <f>IF(Table38[[#This Row],[Capacity1]]&gt;0,"TerSee","-")</f>
        <v>-</v>
      </c>
      <c r="F282" s="6"/>
    </row>
    <row r="283" spans="4:6" x14ac:dyDescent="0.25">
      <c r="D283" s="3"/>
      <c r="E283" s="6" t="str">
        <f>IF(Table38[[#This Row],[Capacity1]]&gt;0,"TerSee","-")</f>
        <v>-</v>
      </c>
      <c r="F283" s="6"/>
    </row>
    <row r="284" spans="4:6" x14ac:dyDescent="0.25">
      <c r="D284" s="3"/>
      <c r="E284" s="6" t="str">
        <f>IF(Table38[[#This Row],[Capacity1]]&gt;0,"TerSee","-")</f>
        <v>-</v>
      </c>
      <c r="F284" s="6"/>
    </row>
    <row r="285" spans="4:6" x14ac:dyDescent="0.25">
      <c r="D285" s="3"/>
      <c r="E285" s="6" t="str">
        <f>IF(Table38[[#This Row],[Capacity1]]&gt;0,"TerSee","-")</f>
        <v>-</v>
      </c>
      <c r="F285" s="6"/>
    </row>
    <row r="286" spans="4:6" x14ac:dyDescent="0.25">
      <c r="D286" s="3"/>
      <c r="E286" s="6" t="str">
        <f>IF(Table38[[#This Row],[Capacity1]]&gt;0,"TerSee","-")</f>
        <v>-</v>
      </c>
      <c r="F286" s="6"/>
    </row>
    <row r="287" spans="4:6" x14ac:dyDescent="0.25">
      <c r="D287" s="3"/>
      <c r="E287" s="6" t="str">
        <f>IF(Table38[[#This Row],[Capacity1]]&gt;0,"TerSee","-")</f>
        <v>-</v>
      </c>
      <c r="F287" s="6"/>
    </row>
    <row r="288" spans="4:6" x14ac:dyDescent="0.25">
      <c r="D288" s="3"/>
      <c r="E288" s="6" t="str">
        <f>IF(Table38[[#This Row],[Capacity1]]&gt;0,"TerSee","-")</f>
        <v>-</v>
      </c>
      <c r="F288" s="6"/>
    </row>
    <row r="289" spans="4:6" x14ac:dyDescent="0.25">
      <c r="D289" s="3"/>
      <c r="E289" s="6" t="str">
        <f>IF(Table38[[#This Row],[Capacity1]]&gt;0,"TerSee","-")</f>
        <v>-</v>
      </c>
      <c r="F289" s="6"/>
    </row>
    <row r="290" spans="4:6" x14ac:dyDescent="0.25">
      <c r="D290" s="3"/>
      <c r="E290" s="6" t="str">
        <f>IF(Table38[[#This Row],[Capacity1]]&gt;0,"TerSee","-")</f>
        <v>-</v>
      </c>
      <c r="F290" s="6"/>
    </row>
    <row r="291" spans="4:6" x14ac:dyDescent="0.25">
      <c r="D291" s="3"/>
      <c r="E291" s="6" t="str">
        <f>IF(Table38[[#This Row],[Capacity1]]&gt;0,"TerSee","-")</f>
        <v>-</v>
      </c>
      <c r="F291" s="6"/>
    </row>
    <row r="292" spans="4:6" x14ac:dyDescent="0.25">
      <c r="D292" s="3"/>
      <c r="E292" s="6" t="str">
        <f>IF(Table38[[#This Row],[Capacity1]]&gt;0,"TerSee","-")</f>
        <v>-</v>
      </c>
      <c r="F292" s="6"/>
    </row>
    <row r="293" spans="4:6" x14ac:dyDescent="0.25">
      <c r="D293" s="3"/>
      <c r="E293" s="6" t="str">
        <f>IF(Table38[[#This Row],[Capacity1]]&gt;0,"TerSee","-")</f>
        <v>-</v>
      </c>
      <c r="F293" s="6"/>
    </row>
    <row r="294" spans="4:6" x14ac:dyDescent="0.25">
      <c r="D294" s="3"/>
      <c r="E294" s="6" t="str">
        <f>IF(Table38[[#This Row],[Capacity1]]&gt;0,"TerSee","-")</f>
        <v>-</v>
      </c>
      <c r="F294" s="6"/>
    </row>
    <row r="295" spans="4:6" x14ac:dyDescent="0.25">
      <c r="D295" s="3"/>
      <c r="E295" s="6" t="str">
        <f>IF(Table38[[#This Row],[Capacity1]]&gt;0,"TerSee","-")</f>
        <v>-</v>
      </c>
      <c r="F295" s="6"/>
    </row>
    <row r="296" spans="4:6" x14ac:dyDescent="0.25">
      <c r="D296" s="3"/>
      <c r="E296" s="6" t="str">
        <f>IF(Table38[[#This Row],[Capacity1]]&gt;0,"TerSee","-")</f>
        <v>-</v>
      </c>
      <c r="F296" s="6"/>
    </row>
    <row r="297" spans="4:6" x14ac:dyDescent="0.25">
      <c r="D297" s="3"/>
      <c r="E297" s="6" t="str">
        <f>IF(Table38[[#This Row],[Capacity1]]&gt;0,"TerSee","-")</f>
        <v>-</v>
      </c>
      <c r="F297" s="6"/>
    </row>
    <row r="298" spans="4:6" x14ac:dyDescent="0.25">
      <c r="D298" s="3"/>
      <c r="E298" s="6" t="str">
        <f>IF(Table38[[#This Row],[Capacity1]]&gt;0,"TerSee","-")</f>
        <v>-</v>
      </c>
      <c r="F298" s="6"/>
    </row>
    <row r="299" spans="4:6" x14ac:dyDescent="0.25">
      <c r="D299" s="3"/>
      <c r="E299" s="6" t="str">
        <f>IF(Table38[[#This Row],[Capacity1]]&gt;0,"TerSee","-")</f>
        <v>-</v>
      </c>
      <c r="F299" s="6"/>
    </row>
    <row r="300" spans="4:6" x14ac:dyDescent="0.25">
      <c r="D300" s="3"/>
      <c r="E300" s="6" t="str">
        <f>IF(Table38[[#This Row],[Capacity1]]&gt;0,"TerSee","-")</f>
        <v>-</v>
      </c>
      <c r="F300" s="6"/>
    </row>
    <row r="301" spans="4:6" x14ac:dyDescent="0.25">
      <c r="D301" s="3"/>
      <c r="E301" s="6" t="str">
        <f>IF(Table38[[#This Row],[Capacity1]]&gt;0,"TerSee","-")</f>
        <v>-</v>
      </c>
      <c r="F301" s="6"/>
    </row>
    <row r="302" spans="4:6" x14ac:dyDescent="0.25">
      <c r="D302" s="3"/>
      <c r="E302" s="6" t="str">
        <f>IF(Table38[[#This Row],[Capacity1]]&gt;0,"TerSee","-")</f>
        <v>-</v>
      </c>
      <c r="F302" s="6"/>
    </row>
    <row r="303" spans="4:6" x14ac:dyDescent="0.25">
      <c r="D303" s="3"/>
      <c r="E303" s="6" t="str">
        <f>IF(Table38[[#This Row],[Capacity1]]&gt;0,"TerSee","-")</f>
        <v>-</v>
      </c>
      <c r="F303" s="6"/>
    </row>
    <row r="304" spans="4:6" x14ac:dyDescent="0.25">
      <c r="D304" s="3"/>
      <c r="E304" s="6" t="str">
        <f>IF(Table38[[#This Row],[Capacity1]]&gt;0,"TerSee","-")</f>
        <v>-</v>
      </c>
      <c r="F304" s="6"/>
    </row>
    <row r="305" spans="4:6" x14ac:dyDescent="0.25">
      <c r="D305" s="3"/>
      <c r="E305" s="6" t="str">
        <f>IF(Table38[[#This Row],[Capacity1]]&gt;0,"TerSee","-")</f>
        <v>-</v>
      </c>
      <c r="F305" s="6"/>
    </row>
    <row r="306" spans="4:6" x14ac:dyDescent="0.25">
      <c r="D306" s="3"/>
      <c r="E306" s="6" t="str">
        <f>IF(Table38[[#This Row],[Capacity1]]&gt;0,"TerSee","-")</f>
        <v>-</v>
      </c>
      <c r="F306" s="6"/>
    </row>
    <row r="307" spans="4:6" x14ac:dyDescent="0.25">
      <c r="D307" s="3"/>
      <c r="E307" s="6" t="str">
        <f>IF(Table38[[#This Row],[Capacity1]]&gt;0,"TerSee","-")</f>
        <v>-</v>
      </c>
      <c r="F307" s="6"/>
    </row>
    <row r="308" spans="4:6" x14ac:dyDescent="0.25">
      <c r="D308" s="3"/>
      <c r="E308" s="6" t="str">
        <f>IF(Table38[[#This Row],[Capacity1]]&gt;0,"TerSee","-")</f>
        <v>-</v>
      </c>
      <c r="F308" s="6"/>
    </row>
    <row r="309" spans="4:6" x14ac:dyDescent="0.25">
      <c r="D309" s="3"/>
      <c r="E309" s="6" t="str">
        <f>IF(Table38[[#This Row],[Capacity1]]&gt;0,"TerSee","-")</f>
        <v>-</v>
      </c>
      <c r="F309" s="6"/>
    </row>
    <row r="310" spans="4:6" x14ac:dyDescent="0.25">
      <c r="D310" s="3"/>
      <c r="E310" s="6" t="str">
        <f>IF(Table38[[#This Row],[Capacity1]]&gt;0,"TerSee","-")</f>
        <v>-</v>
      </c>
      <c r="F310" s="6"/>
    </row>
    <row r="311" spans="4:6" x14ac:dyDescent="0.25">
      <c r="D311" s="3"/>
      <c r="E311" s="6" t="str">
        <f>IF(Table38[[#This Row],[Capacity1]]&gt;0,"TerSee","-")</f>
        <v>-</v>
      </c>
      <c r="F311" s="6"/>
    </row>
    <row r="312" spans="4:6" x14ac:dyDescent="0.25">
      <c r="D312" s="3"/>
      <c r="E312" s="6" t="str">
        <f>IF(Table38[[#This Row],[Capacity1]]&gt;0,"TerSee","-")</f>
        <v>-</v>
      </c>
      <c r="F312" s="6"/>
    </row>
    <row r="313" spans="4:6" x14ac:dyDescent="0.25">
      <c r="D313" s="3"/>
      <c r="E313" s="6" t="str">
        <f>IF(Table38[[#This Row],[Capacity1]]&gt;0,"TerSee","-")</f>
        <v>-</v>
      </c>
      <c r="F313" s="6"/>
    </row>
    <row r="314" spans="4:6" x14ac:dyDescent="0.25">
      <c r="D314" s="3"/>
      <c r="E314" s="6" t="str">
        <f>IF(Table38[[#This Row],[Capacity1]]&gt;0,"TerSee","-")</f>
        <v>-</v>
      </c>
      <c r="F314" s="6"/>
    </row>
    <row r="315" spans="4:6" x14ac:dyDescent="0.25">
      <c r="D315" s="3"/>
      <c r="E315" s="6" t="str">
        <f>IF(Table38[[#This Row],[Capacity1]]&gt;0,"TerSee","-")</f>
        <v>-</v>
      </c>
      <c r="F315" s="6"/>
    </row>
    <row r="316" spans="4:6" x14ac:dyDescent="0.25">
      <c r="D316" s="3"/>
      <c r="E316" s="6" t="str">
        <f>IF(Table38[[#This Row],[Capacity1]]&gt;0,"TerSee","-")</f>
        <v>-</v>
      </c>
      <c r="F316" s="6"/>
    </row>
    <row r="317" spans="4:6" x14ac:dyDescent="0.25">
      <c r="D317" s="3"/>
      <c r="E317" s="6" t="str">
        <f>IF(Table38[[#This Row],[Capacity1]]&gt;0,"TerSee","-")</f>
        <v>-</v>
      </c>
      <c r="F317" s="6"/>
    </row>
    <row r="318" spans="4:6" x14ac:dyDescent="0.25">
      <c r="D318" s="3"/>
      <c r="E318" s="6" t="str">
        <f>IF(Table38[[#This Row],[Capacity1]]&gt;0,"TerSee","-")</f>
        <v>-</v>
      </c>
      <c r="F318" s="6"/>
    </row>
    <row r="319" spans="4:6" x14ac:dyDescent="0.25">
      <c r="D319" s="3"/>
      <c r="E319" s="6" t="str">
        <f>IF(Table38[[#This Row],[Capacity1]]&gt;0,"TerSee","-")</f>
        <v>-</v>
      </c>
      <c r="F319" s="6"/>
    </row>
    <row r="320" spans="4:6" x14ac:dyDescent="0.25">
      <c r="D320" s="3"/>
      <c r="E320" s="6" t="str">
        <f>IF(Table38[[#This Row],[Capacity1]]&gt;0,"TerSee","-")</f>
        <v>-</v>
      </c>
      <c r="F320" s="6"/>
    </row>
    <row r="321" spans="4:6" x14ac:dyDescent="0.25">
      <c r="D321" s="3"/>
      <c r="E321" s="6" t="str">
        <f>IF(Table38[[#This Row],[Capacity1]]&gt;0,"TerSee","-")</f>
        <v>-</v>
      </c>
      <c r="F321" s="6"/>
    </row>
    <row r="322" spans="4:6" x14ac:dyDescent="0.25">
      <c r="D322" s="3"/>
      <c r="E322" s="6" t="str">
        <f>IF(Table38[[#This Row],[Capacity1]]&gt;0,"TerSee","-")</f>
        <v>-</v>
      </c>
      <c r="F322" s="6"/>
    </row>
    <row r="323" spans="4:6" x14ac:dyDescent="0.25">
      <c r="D323" s="3"/>
      <c r="E323" s="6" t="str">
        <f>IF(Table38[[#This Row],[Capacity1]]&gt;0,"TerSee","-")</f>
        <v>-</v>
      </c>
      <c r="F323" s="6"/>
    </row>
    <row r="324" spans="4:6" x14ac:dyDescent="0.25">
      <c r="D324" s="3"/>
      <c r="E324" s="6" t="str">
        <f>IF(Table38[[#This Row],[Capacity1]]&gt;0,"TerSee","-")</f>
        <v>-</v>
      </c>
      <c r="F324" s="6"/>
    </row>
    <row r="325" spans="4:6" x14ac:dyDescent="0.25">
      <c r="D325" s="3"/>
      <c r="E325" s="6" t="str">
        <f>IF(Table38[[#This Row],[Capacity1]]&gt;0,"TerSee","-")</f>
        <v>-</v>
      </c>
      <c r="F325" s="6"/>
    </row>
    <row r="326" spans="4:6" x14ac:dyDescent="0.25">
      <c r="D326" s="3"/>
      <c r="E326" s="6" t="str">
        <f>IF(Table38[[#This Row],[Capacity1]]&gt;0,"TerSee","-")</f>
        <v>-</v>
      </c>
      <c r="F326" s="6"/>
    </row>
    <row r="327" spans="4:6" x14ac:dyDescent="0.25">
      <c r="D327" s="3"/>
      <c r="E327" s="6" t="str">
        <f>IF(Table38[[#This Row],[Capacity1]]&gt;0,"TerSee","-")</f>
        <v>-</v>
      </c>
      <c r="F327" s="6"/>
    </row>
    <row r="328" spans="4:6" x14ac:dyDescent="0.25">
      <c r="D328" s="3"/>
      <c r="E328" s="6" t="str">
        <f>IF(Table38[[#This Row],[Capacity1]]&gt;0,"TerSee","-")</f>
        <v>-</v>
      </c>
      <c r="F328" s="6"/>
    </row>
    <row r="329" spans="4:6" x14ac:dyDescent="0.25">
      <c r="D329" s="3"/>
      <c r="E329" s="6" t="str">
        <f>IF(Table38[[#This Row],[Capacity1]]&gt;0,"TerSee","-")</f>
        <v>-</v>
      </c>
      <c r="F329" s="6"/>
    </row>
    <row r="330" spans="4:6" x14ac:dyDescent="0.25">
      <c r="D330" s="3"/>
      <c r="E330" s="6" t="str">
        <f>IF(Table38[[#This Row],[Capacity1]]&gt;0,"TerSee","-")</f>
        <v>-</v>
      </c>
      <c r="F330" s="6"/>
    </row>
    <row r="331" spans="4:6" x14ac:dyDescent="0.25">
      <c r="D331" s="3"/>
      <c r="E331" s="6" t="str">
        <f>IF(Table38[[#This Row],[Capacity1]]&gt;0,"TerSee","-")</f>
        <v>-</v>
      </c>
      <c r="F331" s="6"/>
    </row>
    <row r="332" spans="4:6" x14ac:dyDescent="0.25">
      <c r="D332" s="3"/>
      <c r="E332" s="6" t="str">
        <f>IF(Table38[[#This Row],[Capacity1]]&gt;0,"TerSee","-")</f>
        <v>-</v>
      </c>
      <c r="F332" s="6"/>
    </row>
    <row r="333" spans="4:6" x14ac:dyDescent="0.25">
      <c r="D333" s="3"/>
      <c r="E333" s="6" t="str">
        <f>IF(Table38[[#This Row],[Capacity1]]&gt;0,"TerSee","-")</f>
        <v>-</v>
      </c>
      <c r="F333" s="6"/>
    </row>
    <row r="334" spans="4:6" x14ac:dyDescent="0.25">
      <c r="D334" s="3"/>
      <c r="E334" s="6" t="str">
        <f>IF(Table38[[#This Row],[Capacity1]]&gt;0,"TerSee","-")</f>
        <v>-</v>
      </c>
      <c r="F334" s="6"/>
    </row>
    <row r="335" spans="4:6" x14ac:dyDescent="0.25">
      <c r="D335" s="3"/>
      <c r="E335" s="6" t="str">
        <f>IF(Table38[[#This Row],[Capacity1]]&gt;0,"TerSee","-")</f>
        <v>-</v>
      </c>
      <c r="F335" s="6"/>
    </row>
    <row r="336" spans="4:6" x14ac:dyDescent="0.25">
      <c r="D336" s="3"/>
      <c r="E336" s="6" t="str">
        <f>IF(Table38[[#This Row],[Capacity1]]&gt;0,"TerSee","-")</f>
        <v>-</v>
      </c>
      <c r="F336" s="6"/>
    </row>
    <row r="337" spans="4:6" x14ac:dyDescent="0.25">
      <c r="D337" s="3"/>
      <c r="E337" s="6" t="str">
        <f>IF(Table38[[#This Row],[Capacity1]]&gt;0,"TerSee","-")</f>
        <v>-</v>
      </c>
      <c r="F337" s="6"/>
    </row>
    <row r="338" spans="4:6" x14ac:dyDescent="0.25">
      <c r="D338" s="3"/>
      <c r="E338" s="6" t="str">
        <f>IF(Table38[[#This Row],[Capacity1]]&gt;0,"TerSee","-")</f>
        <v>-</v>
      </c>
      <c r="F338" s="6"/>
    </row>
    <row r="339" spans="4:6" x14ac:dyDescent="0.25">
      <c r="D339" s="3"/>
      <c r="E339" s="6" t="str">
        <f>IF(Table38[[#This Row],[Capacity1]]&gt;0,"TerSee","-")</f>
        <v>-</v>
      </c>
      <c r="F339" s="6"/>
    </row>
    <row r="340" spans="4:6" x14ac:dyDescent="0.25">
      <c r="D340" s="3"/>
      <c r="E340" s="6" t="str">
        <f>IF(Table38[[#This Row],[Capacity1]]&gt;0,"TerSee","-")</f>
        <v>-</v>
      </c>
      <c r="F340" s="6"/>
    </row>
    <row r="341" spans="4:6" x14ac:dyDescent="0.25">
      <c r="D341" s="3"/>
      <c r="E341" s="6" t="str">
        <f>IF(Table38[[#This Row],[Capacity1]]&gt;0,"TerSee","-")</f>
        <v>-</v>
      </c>
      <c r="F341" s="6"/>
    </row>
    <row r="342" spans="4:6" x14ac:dyDescent="0.25">
      <c r="D342" s="3"/>
      <c r="E342" s="6" t="str">
        <f>IF(Table38[[#This Row],[Capacity1]]&gt;0,"TerSee","-")</f>
        <v>-</v>
      </c>
      <c r="F342" s="6"/>
    </row>
    <row r="343" spans="4:6" x14ac:dyDescent="0.25">
      <c r="D343" s="3"/>
      <c r="E343" s="6" t="str">
        <f>IF(Table38[[#This Row],[Capacity1]]&gt;0,"TerSee","-")</f>
        <v>-</v>
      </c>
      <c r="F343" s="6"/>
    </row>
    <row r="344" spans="4:6" x14ac:dyDescent="0.25">
      <c r="D344" s="3"/>
      <c r="E344" s="6" t="str">
        <f>IF(Table38[[#This Row],[Capacity1]]&gt;0,"TerSee","-")</f>
        <v>-</v>
      </c>
      <c r="F344" s="6"/>
    </row>
    <row r="345" spans="4:6" x14ac:dyDescent="0.25">
      <c r="D345" s="3"/>
      <c r="E345" s="6" t="str">
        <f>IF(Table38[[#This Row],[Capacity1]]&gt;0,"TerSee","-")</f>
        <v>-</v>
      </c>
      <c r="F345" s="6"/>
    </row>
    <row r="346" spans="4:6" x14ac:dyDescent="0.25">
      <c r="D346" s="3"/>
      <c r="E346" s="6" t="str">
        <f>IF(Table38[[#This Row],[Capacity1]]&gt;0,"TerSee","-")</f>
        <v>-</v>
      </c>
      <c r="F346" s="6"/>
    </row>
    <row r="347" spans="4:6" x14ac:dyDescent="0.25">
      <c r="D347" s="3"/>
      <c r="E347" s="6" t="str">
        <f>IF(Table38[[#This Row],[Capacity1]]&gt;0,"TerSee","-")</f>
        <v>-</v>
      </c>
      <c r="F347" s="6"/>
    </row>
    <row r="348" spans="4:6" x14ac:dyDescent="0.25">
      <c r="D348" s="3"/>
      <c r="E348" s="6" t="str">
        <f>IF(Table38[[#This Row],[Capacity1]]&gt;0,"TerSee","-")</f>
        <v>-</v>
      </c>
      <c r="F348" s="6"/>
    </row>
    <row r="349" spans="4:6" x14ac:dyDescent="0.25">
      <c r="D349" s="3"/>
      <c r="E349" s="6" t="str">
        <f>IF(Table38[[#This Row],[Capacity1]]&gt;0,"TerSee","-")</f>
        <v>-</v>
      </c>
      <c r="F349" s="6"/>
    </row>
    <row r="350" spans="4:6" x14ac:dyDescent="0.25">
      <c r="D350" s="3"/>
      <c r="E350" s="6" t="str">
        <f>IF(Table38[[#This Row],[Capacity1]]&gt;0,"TerSee","-")</f>
        <v>-</v>
      </c>
      <c r="F350" s="6"/>
    </row>
    <row r="351" spans="4:6" x14ac:dyDescent="0.25">
      <c r="D351" s="3"/>
      <c r="E351" s="6" t="str">
        <f>IF(Table38[[#This Row],[Capacity1]]&gt;0,"TerSee","-")</f>
        <v>-</v>
      </c>
      <c r="F351" s="6"/>
    </row>
    <row r="352" spans="4:6" x14ac:dyDescent="0.25">
      <c r="D352" s="3"/>
      <c r="E352" s="6" t="str">
        <f>IF(Table38[[#This Row],[Capacity1]]&gt;0,"TerSee","-")</f>
        <v>-</v>
      </c>
      <c r="F352" s="6"/>
    </row>
    <row r="353" spans="4:6" x14ac:dyDescent="0.25">
      <c r="D353" s="3"/>
      <c r="E353" s="6" t="str">
        <f>IF(Table38[[#This Row],[Capacity1]]&gt;0,"TerSee","-")</f>
        <v>-</v>
      </c>
      <c r="F353" s="6"/>
    </row>
    <row r="354" spans="4:6" x14ac:dyDescent="0.25">
      <c r="D354" s="3"/>
      <c r="E354" s="6" t="str">
        <f>IF(Table38[[#This Row],[Capacity1]]&gt;0,"TerSee","-")</f>
        <v>-</v>
      </c>
      <c r="F354" s="6"/>
    </row>
    <row r="355" spans="4:6" x14ac:dyDescent="0.25">
      <c r="D355" s="3"/>
      <c r="E355" s="6" t="str">
        <f>IF(Table38[[#This Row],[Capacity1]]&gt;0,"TerSee","-")</f>
        <v>-</v>
      </c>
      <c r="F355" s="6"/>
    </row>
    <row r="356" spans="4:6" x14ac:dyDescent="0.25">
      <c r="D356" s="3"/>
      <c r="E356" s="6" t="str">
        <f>IF(Table38[[#This Row],[Capacity1]]&gt;0,"TerSee","-")</f>
        <v>-</v>
      </c>
      <c r="F356" s="6"/>
    </row>
    <row r="357" spans="4:6" x14ac:dyDescent="0.25">
      <c r="D357" s="3"/>
      <c r="E357" s="6" t="str">
        <f>IF(Table38[[#This Row],[Capacity1]]&gt;0,"TerSee","-")</f>
        <v>-</v>
      </c>
      <c r="F357" s="6"/>
    </row>
    <row r="358" spans="4:6" x14ac:dyDescent="0.25">
      <c r="D358" s="3"/>
      <c r="E358" s="6" t="str">
        <f>IF(Table38[[#This Row],[Capacity1]]&gt;0,"TerSee","-")</f>
        <v>-</v>
      </c>
      <c r="F358" s="6"/>
    </row>
    <row r="359" spans="4:6" x14ac:dyDescent="0.25">
      <c r="D359" s="3"/>
      <c r="E359" s="6" t="str">
        <f>IF(Table38[[#This Row],[Capacity1]]&gt;0,"TerSee","-")</f>
        <v>-</v>
      </c>
      <c r="F359" s="6"/>
    </row>
    <row r="360" spans="4:6" x14ac:dyDescent="0.25">
      <c r="D360" s="3"/>
      <c r="E360" s="6" t="str">
        <f>IF(Table38[[#This Row],[Capacity1]]&gt;0,"TerSee","-")</f>
        <v>-</v>
      </c>
      <c r="F360" s="6"/>
    </row>
    <row r="361" spans="4:6" x14ac:dyDescent="0.25">
      <c r="D361" s="3"/>
      <c r="E361" s="6" t="str">
        <f>IF(Table38[[#This Row],[Capacity1]]&gt;0,"TerSee","-")</f>
        <v>-</v>
      </c>
      <c r="F361" s="6"/>
    </row>
    <row r="362" spans="4:6" x14ac:dyDescent="0.25">
      <c r="D362" s="3"/>
      <c r="E362" s="6" t="str">
        <f>IF(Table38[[#This Row],[Capacity1]]&gt;0,"TerSee","-")</f>
        <v>-</v>
      </c>
      <c r="F362" s="6"/>
    </row>
    <row r="363" spans="4:6" x14ac:dyDescent="0.25">
      <c r="D363" s="3"/>
      <c r="E363" s="6" t="str">
        <f>IF(Table38[[#This Row],[Capacity1]]&gt;0,"TerSee","-")</f>
        <v>-</v>
      </c>
      <c r="F363" s="6"/>
    </row>
    <row r="364" spans="4:6" x14ac:dyDescent="0.25">
      <c r="D364" s="3"/>
      <c r="E364" s="6" t="str">
        <f>IF(Table38[[#This Row],[Capacity1]]&gt;0,"TerSee","-")</f>
        <v>-</v>
      </c>
      <c r="F364" s="6"/>
    </row>
    <row r="365" spans="4:6" x14ac:dyDescent="0.25">
      <c r="D365" s="3"/>
      <c r="E365" s="6" t="str">
        <f>IF(Table38[[#This Row],[Capacity1]]&gt;0,"TerSee","-")</f>
        <v>-</v>
      </c>
      <c r="F365" s="6"/>
    </row>
    <row r="366" spans="4:6" x14ac:dyDescent="0.25">
      <c r="D366" s="3"/>
      <c r="E366" s="6" t="str">
        <f>IF(Table38[[#This Row],[Capacity1]]&gt;0,"TerSee","-")</f>
        <v>-</v>
      </c>
      <c r="F366" s="6"/>
    </row>
    <row r="367" spans="4:6" x14ac:dyDescent="0.25">
      <c r="D367" s="3"/>
      <c r="E367" s="6" t="str">
        <f>IF(Table38[[#This Row],[Capacity1]]&gt;0,"TerSee","-")</f>
        <v>-</v>
      </c>
      <c r="F367" s="6"/>
    </row>
    <row r="368" spans="4:6" x14ac:dyDescent="0.25">
      <c r="D368" s="3"/>
      <c r="E368" s="6" t="str">
        <f>IF(Table38[[#This Row],[Capacity1]]&gt;0,"TerSee","-")</f>
        <v>-</v>
      </c>
      <c r="F368" s="6"/>
    </row>
    <row r="369" spans="4:6" x14ac:dyDescent="0.25">
      <c r="D369" s="3"/>
      <c r="E369" s="6" t="str">
        <f>IF(Table38[[#This Row],[Capacity1]]&gt;0,"TerSee","-")</f>
        <v>-</v>
      </c>
      <c r="F369" s="6"/>
    </row>
    <row r="370" spans="4:6" x14ac:dyDescent="0.25">
      <c r="D370" s="3"/>
      <c r="E370" s="6" t="str">
        <f>IF(Table38[[#This Row],[Capacity1]]&gt;0,"TerSee","-")</f>
        <v>-</v>
      </c>
      <c r="F370" s="6"/>
    </row>
    <row r="371" spans="4:6" x14ac:dyDescent="0.25">
      <c r="D371" s="3"/>
      <c r="E371" s="6" t="str">
        <f>IF(Table38[[#This Row],[Capacity1]]&gt;0,"TerSee","-")</f>
        <v>-</v>
      </c>
      <c r="F371" s="6"/>
    </row>
    <row r="372" spans="4:6" x14ac:dyDescent="0.25">
      <c r="D372" s="3"/>
      <c r="E372" s="6" t="str">
        <f>IF(Table38[[#This Row],[Capacity1]]&gt;0,"TerSee","-")</f>
        <v>-</v>
      </c>
      <c r="F372" s="6"/>
    </row>
    <row r="373" spans="4:6" x14ac:dyDescent="0.25">
      <c r="D373" s="3"/>
      <c r="E373" s="6" t="str">
        <f>IF(Table38[[#This Row],[Capacity1]]&gt;0,"TerSee","-")</f>
        <v>-</v>
      </c>
      <c r="F373" s="6"/>
    </row>
    <row r="374" spans="4:6" x14ac:dyDescent="0.25">
      <c r="D374" s="3"/>
      <c r="E374" s="6" t="str">
        <f>IF(Table38[[#This Row],[Capacity1]]&gt;0,"TerSee","-")</f>
        <v>-</v>
      </c>
      <c r="F374" s="6"/>
    </row>
    <row r="375" spans="4:6" x14ac:dyDescent="0.25">
      <c r="D375" s="3"/>
      <c r="E375" s="6" t="str">
        <f>IF(Table38[[#This Row],[Capacity1]]&gt;0,"TerSee","-")</f>
        <v>-</v>
      </c>
      <c r="F375" s="6"/>
    </row>
    <row r="376" spans="4:6" x14ac:dyDescent="0.25">
      <c r="D376" s="3"/>
      <c r="E376" s="6" t="str">
        <f>IF(Table38[[#This Row],[Capacity1]]&gt;0,"TerSee","-")</f>
        <v>-</v>
      </c>
      <c r="F376" s="6"/>
    </row>
    <row r="377" spans="4:6" x14ac:dyDescent="0.25">
      <c r="D377" s="3"/>
      <c r="E377" s="6" t="str">
        <f>IF(Table38[[#This Row],[Capacity1]]&gt;0,"TerSee","-")</f>
        <v>-</v>
      </c>
      <c r="F377" s="6"/>
    </row>
    <row r="378" spans="4:6" x14ac:dyDescent="0.25">
      <c r="D378" s="3"/>
      <c r="E378" s="6" t="str">
        <f>IF(Table38[[#This Row],[Capacity1]]&gt;0,"TerSee","-")</f>
        <v>-</v>
      </c>
      <c r="F378" s="6"/>
    </row>
    <row r="379" spans="4:6" x14ac:dyDescent="0.25">
      <c r="D379" s="3"/>
      <c r="E379" s="6" t="str">
        <f>IF(Table38[[#This Row],[Capacity1]]&gt;0,"TerSee","-")</f>
        <v>-</v>
      </c>
      <c r="F379" s="6"/>
    </row>
    <row r="380" spans="4:6" x14ac:dyDescent="0.25">
      <c r="D380" s="3"/>
      <c r="E380" s="6" t="str">
        <f>IF(Table38[[#This Row],[Capacity1]]&gt;0,"TerSee","-")</f>
        <v>-</v>
      </c>
      <c r="F380" s="6"/>
    </row>
    <row r="381" spans="4:6" x14ac:dyDescent="0.25">
      <c r="D381" s="3"/>
      <c r="E381" s="6" t="str">
        <f>IF(Table38[[#This Row],[Capacity1]]&gt;0,"TerSee","-")</f>
        <v>-</v>
      </c>
      <c r="F381" s="6"/>
    </row>
    <row r="382" spans="4:6" x14ac:dyDescent="0.25">
      <c r="D382" s="3"/>
      <c r="E382" s="6" t="str">
        <f>IF(Table38[[#This Row],[Capacity1]]&gt;0,"TerSee","-")</f>
        <v>-</v>
      </c>
      <c r="F382" s="6"/>
    </row>
    <row r="383" spans="4:6" x14ac:dyDescent="0.25">
      <c r="D383" s="3"/>
      <c r="E383" s="6" t="str">
        <f>IF(Table38[[#This Row],[Capacity1]]&gt;0,"TerSee","-")</f>
        <v>-</v>
      </c>
      <c r="F383" s="6"/>
    </row>
    <row r="384" spans="4:6" x14ac:dyDescent="0.25">
      <c r="D384" s="3"/>
      <c r="E384" s="6" t="str">
        <f>IF(Table38[[#This Row],[Capacity1]]&gt;0,"TerSee","-")</f>
        <v>-</v>
      </c>
      <c r="F384" s="6"/>
    </row>
    <row r="385" spans="4:6" x14ac:dyDescent="0.25">
      <c r="D385" s="3"/>
      <c r="E385" s="6" t="str">
        <f>IF(Table38[[#This Row],[Capacity1]]&gt;0,"TerSee","-")</f>
        <v>-</v>
      </c>
      <c r="F385" s="6"/>
    </row>
    <row r="386" spans="4:6" x14ac:dyDescent="0.25">
      <c r="D386" s="3"/>
      <c r="E386" s="6" t="str">
        <f>IF(Table38[[#This Row],[Capacity1]]&gt;0,"TerSee","-")</f>
        <v>-</v>
      </c>
      <c r="F386" s="6"/>
    </row>
    <row r="387" spans="4:6" x14ac:dyDescent="0.25">
      <c r="D387" s="3"/>
      <c r="E387" s="6" t="str">
        <f>IF(Table38[[#This Row],[Capacity1]]&gt;0,"TerSee","-")</f>
        <v>-</v>
      </c>
      <c r="F387" s="6"/>
    </row>
    <row r="388" spans="4:6" x14ac:dyDescent="0.25">
      <c r="D388" s="3"/>
      <c r="E388" s="6" t="str">
        <f>IF(Table38[[#This Row],[Capacity1]]&gt;0,"TerSee","-")</f>
        <v>-</v>
      </c>
      <c r="F388" s="6"/>
    </row>
    <row r="389" spans="4:6" x14ac:dyDescent="0.25">
      <c r="D389" s="3"/>
      <c r="E389" s="6" t="str">
        <f>IF(Table38[[#This Row],[Capacity1]]&gt;0,"TerSee","-")</f>
        <v>-</v>
      </c>
      <c r="F389" s="6"/>
    </row>
    <row r="390" spans="4:6" x14ac:dyDescent="0.25">
      <c r="D390" s="3"/>
      <c r="E390" s="6" t="str">
        <f>IF(Table38[[#This Row],[Capacity1]]&gt;0,"TerSee","-")</f>
        <v>-</v>
      </c>
      <c r="F390" s="6"/>
    </row>
    <row r="391" spans="4:6" x14ac:dyDescent="0.25">
      <c r="D391" s="3"/>
      <c r="E391" s="6" t="str">
        <f>IF(Table38[[#This Row],[Capacity1]]&gt;0,"TerSee","-")</f>
        <v>-</v>
      </c>
      <c r="F391" s="6"/>
    </row>
    <row r="392" spans="4:6" x14ac:dyDescent="0.25">
      <c r="D392" s="3"/>
      <c r="E392" s="6" t="str">
        <f>IF(Table38[[#This Row],[Capacity1]]&gt;0,"TerSee","-")</f>
        <v>-</v>
      </c>
      <c r="F392" s="6"/>
    </row>
    <row r="393" spans="4:6" x14ac:dyDescent="0.25">
      <c r="D393" s="3"/>
      <c r="E393" s="6" t="str">
        <f>IF(Table38[[#This Row],[Capacity1]]&gt;0,"TerSee","-")</f>
        <v>-</v>
      </c>
      <c r="F393" s="6"/>
    </row>
    <row r="394" spans="4:6" x14ac:dyDescent="0.25">
      <c r="D394" s="3"/>
      <c r="E394" s="6" t="str">
        <f>IF(Table38[[#This Row],[Capacity1]]&gt;0,"TerSee","-")</f>
        <v>-</v>
      </c>
      <c r="F394" s="6"/>
    </row>
    <row r="395" spans="4:6" x14ac:dyDescent="0.25">
      <c r="D395" s="3"/>
      <c r="E395" s="6" t="str">
        <f>IF(Table38[[#This Row],[Capacity1]]&gt;0,"TerSee","-")</f>
        <v>-</v>
      </c>
      <c r="F395" s="6"/>
    </row>
    <row r="396" spans="4:6" x14ac:dyDescent="0.25">
      <c r="D396" s="3"/>
      <c r="E396" s="6" t="str">
        <f>IF(Table38[[#This Row],[Capacity1]]&gt;0,"TerSee","-")</f>
        <v>-</v>
      </c>
      <c r="F396" s="6"/>
    </row>
    <row r="397" spans="4:6" x14ac:dyDescent="0.25">
      <c r="D397" s="3"/>
      <c r="E397" s="6" t="str">
        <f>IF(Table38[[#This Row],[Capacity1]]&gt;0,"TerSee","-")</f>
        <v>-</v>
      </c>
      <c r="F397" s="6"/>
    </row>
    <row r="398" spans="4:6" x14ac:dyDescent="0.25">
      <c r="D398" s="3"/>
      <c r="E398" s="6" t="str">
        <f>IF(Table38[[#This Row],[Capacity1]]&gt;0,"TerSee","-")</f>
        <v>-</v>
      </c>
      <c r="F398" s="6"/>
    </row>
    <row r="399" spans="4:6" x14ac:dyDescent="0.25">
      <c r="D399" s="3"/>
      <c r="E399" s="6" t="str">
        <f>IF(Table38[[#This Row],[Capacity1]]&gt;0,"TerSee","-")</f>
        <v>-</v>
      </c>
      <c r="F399" s="6"/>
    </row>
    <row r="400" spans="4:6" x14ac:dyDescent="0.25">
      <c r="D400" s="24"/>
      <c r="E400" s="25" t="str">
        <f>IF(Table38[[#This Row],[Capacity1]]&gt;0,"TerSee","-")</f>
        <v>-</v>
      </c>
      <c r="F400" s="2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7"/>
  <sheetViews>
    <sheetView workbookViewId="0">
      <selection activeCell="B3" sqref="B3"/>
    </sheetView>
  </sheetViews>
  <sheetFormatPr defaultRowHeight="15" x14ac:dyDescent="0.25"/>
  <cols>
    <col min="1" max="1" width="14.42578125" customWidth="1"/>
    <col min="2" max="2" width="6.28515625" customWidth="1"/>
    <col min="3" max="3" width="8.28515625" customWidth="1"/>
    <col min="5" max="5" width="5.42578125" customWidth="1"/>
  </cols>
  <sheetData>
    <row r="2" spans="1:6" ht="15.75" thickBot="1" x14ac:dyDescent="0.3">
      <c r="A2" s="8" t="s">
        <v>764</v>
      </c>
      <c r="B2" s="8" t="s">
        <v>769</v>
      </c>
      <c r="C2" s="8" t="s">
        <v>669</v>
      </c>
      <c r="E2" s="1" t="s">
        <v>769</v>
      </c>
      <c r="F2" s="1" t="s">
        <v>764</v>
      </c>
    </row>
    <row r="3" spans="1:6" x14ac:dyDescent="0.25">
      <c r="A3" s="28" t="s">
        <v>810</v>
      </c>
      <c r="B3" s="29">
        <f>COUNTIFS(Table38[[Facility_1]:[Facility_1]],Table1[[#This Row],[Process]])</f>
        <v>0</v>
      </c>
      <c r="C3" s="29">
        <v>0</v>
      </c>
      <c r="E3">
        <v>1</v>
      </c>
      <c r="F3" t="str">
        <f>[1]Processes!$A2</f>
        <v>Sawmpi</v>
      </c>
    </row>
    <row r="4" spans="1:6" x14ac:dyDescent="0.25">
      <c r="A4" t="s">
        <v>765</v>
      </c>
      <c r="B4" s="7" t="e">
        <f>COUNTIFS(#REF!,F3,#REF!,"&gt;0")</f>
        <v>#REF!</v>
      </c>
      <c r="C4" s="7" t="e">
        <f>SUMIFS(#REF!,#REF!,A4)</f>
        <v>#REF!</v>
      </c>
      <c r="E4" s="1">
        <v>2</v>
      </c>
      <c r="F4" s="1" t="str">
        <f>[1]Processes!$A3</f>
        <v>Sawmsp</v>
      </c>
    </row>
    <row r="5" spans="1:6" x14ac:dyDescent="0.25">
      <c r="A5" t="s">
        <v>766</v>
      </c>
      <c r="B5" s="7" t="e">
        <f>COUNTIFS(#REF!,F4,#REF!,"&gt;0")</f>
        <v>#REF!</v>
      </c>
      <c r="C5" s="7" t="e">
        <f>SUMIFS(#REF!,#REF!,A5)</f>
        <v>#REF!</v>
      </c>
      <c r="E5" s="1">
        <v>3</v>
      </c>
      <c r="F5" s="1" t="str">
        <f>[1]Processes!$A4</f>
        <v>Sawmbe</v>
      </c>
    </row>
    <row r="6" spans="1:6" x14ac:dyDescent="0.25">
      <c r="A6" t="s">
        <v>767</v>
      </c>
      <c r="B6" s="7" t="e">
        <f>COUNTIFS(#REF!,Table2[[#This Row],[Process]],#REF!,"&gt;0")</f>
        <v>#REF!</v>
      </c>
      <c r="C6" s="7" t="e">
        <f>SUMIFS(#REF!,#REF!,A6)</f>
        <v>#REF!</v>
      </c>
      <c r="E6" s="1">
        <v>4</v>
      </c>
      <c r="F6" s="1" t="str">
        <f>[1]Processes!$A5</f>
        <v>Sawmal</v>
      </c>
    </row>
    <row r="7" spans="1:6" x14ac:dyDescent="0.25">
      <c r="A7" t="s">
        <v>721</v>
      </c>
      <c r="B7" s="7" t="e">
        <f>COUNTIFS(#REF!,A7) + COUNTIFS(#REF!,A7)</f>
        <v>#REF!</v>
      </c>
      <c r="C7" s="7" t="e">
        <f>SUMIFS(#REF!,#REF!,"=Heatpl") + SUMIFS(#REF!,#REF!,"=Heatpl")</f>
        <v>#REF!</v>
      </c>
      <c r="E7" s="1">
        <v>5</v>
      </c>
      <c r="F7" s="1" t="str">
        <f>[1]Processes!$A6</f>
        <v>Heatpl</v>
      </c>
    </row>
    <row r="8" spans="1:6" x14ac:dyDescent="0.25">
      <c r="A8" s="10" t="s">
        <v>768</v>
      </c>
      <c r="B8" s="11" t="e">
        <f>COUNTIFS(#REF!,A8) + COUNTIFS(#REF!,A8)</f>
        <v>#REF!</v>
      </c>
      <c r="C8" s="11" t="e">
        <f>SUMIFS(#REF!,#REF!,"=CHPpl_") + SUMIFS(#REF!,#REF!,"=CHPpl_")</f>
        <v>#REF!</v>
      </c>
      <c r="E8" s="1">
        <v>6</v>
      </c>
      <c r="F8" s="1" t="str">
        <f>[1]Processes!$A7</f>
        <v>CHPpl_</v>
      </c>
    </row>
    <row r="9" spans="1:6" x14ac:dyDescent="0.25">
      <c r="A9" s="10" t="s">
        <v>761</v>
      </c>
      <c r="B9" s="11" t="e">
        <f>COUNTIFS(#REF!,A9) + COUNTIFS(#REF!,A9) + COUNTIFS(#REF!,A9) + COUNTIFS(#REF!,A9) + COUNTIFS(#REF!,A9)</f>
        <v>#REF!</v>
      </c>
      <c r="C9" s="11" t="e">
        <f>SUMIFS(#REF!,#REF!,A9) + SUMIFS(#REF!,#REF!,A9) + SUMIFS(#REF!,#REF!,A9) + SUMIFS(#REF!,#REF!,A9) + SUMIFS(#REF!,#REF!,A9)</f>
        <v>#REF!</v>
      </c>
      <c r="E9" s="1">
        <v>7</v>
      </c>
      <c r="F9" s="1" t="str">
        <f>[1]Processes!$A8</f>
        <v>FTDpl_</v>
      </c>
    </row>
    <row r="10" spans="1:6" x14ac:dyDescent="0.25">
      <c r="A10" t="s">
        <v>753</v>
      </c>
      <c r="B10" s="7" t="e">
        <f>COUNTIFS(#REF!,A10) + COUNTIFS(#REF!,A10) + COUNTIFS(#REF!,A10) + COUNTIFS(#REF!,A10) + COUNTIFS(#REF!,A10)</f>
        <v>#REF!</v>
      </c>
      <c r="C10" s="7" t="e">
        <f>SUMIFS(#REF!,#REF!,A10) + SUMIFS(#REF!,#REF!,A10) + SUMIFS(#REF!,#REF!,A10) + SUMIFS(#REF!,#REF!,A10) + SUMIFS(#REF!,#REF!,A10)</f>
        <v>#REF!</v>
      </c>
      <c r="E10" s="1">
        <v>8</v>
      </c>
      <c r="F10" s="1" t="str">
        <f>[1]Processes!$A9</f>
        <v>PuChem</v>
      </c>
    </row>
    <row r="11" spans="1:6" x14ac:dyDescent="0.25">
      <c r="A11" t="s">
        <v>759</v>
      </c>
      <c r="B11" s="7" t="e">
        <f>COUNTIFS(#REF!,A11) + COUNTIFS(#REF!,A11) + COUNTIFS(#REF!,A11) + COUNTIFS(#REF!,A11) + COUNTIFS(#REF!,A11)</f>
        <v>#REF!</v>
      </c>
      <c r="C11" s="7" t="e">
        <f>SUMIFS(#REF!,#REF!,A11) + SUMIFS(#REF!,#REF!,A11) + SUMIFS(#REF!,#REF!,A11) + SUMIFS(#REF!,#REF!,A11) + SUMIFS(#REF!,#REF!,A11)</f>
        <v>#REF!</v>
      </c>
      <c r="E11" s="1">
        <v>9</v>
      </c>
      <c r="F11" s="1" t="str">
        <f>[1]Processes!$A10</f>
        <v>PuCTMP</v>
      </c>
    </row>
    <row r="12" spans="1:6" x14ac:dyDescent="0.25">
      <c r="A12" t="s">
        <v>757</v>
      </c>
      <c r="B12" s="7" t="e">
        <f>COUNTIFS(#REF!,A12) + COUNTIFS(#REF!,A12) + COUNTIFS(#REF!,A12) + COUNTIFS(#REF!,A12) + COUNTIFS(#REF!,A12)</f>
        <v>#REF!</v>
      </c>
      <c r="C12" s="7" t="e">
        <f>SUMIFS(#REF!,#REF!,A12) + SUMIFS(#REF!,#REF!,A12) + SUMIFS(#REF!,#REF!,A12) + SUMIFS(#REF!,#REF!,A12) + SUMIFS(#REF!,#REF!,A12)</f>
        <v>#REF!</v>
      </c>
      <c r="E12" s="1">
        <v>10</v>
      </c>
      <c r="F12" s="1" t="str">
        <f>[1]Processes!$A11</f>
        <v>PuMech</v>
      </c>
    </row>
    <row r="13" spans="1:6" x14ac:dyDescent="0.25">
      <c r="A13" t="s">
        <v>722</v>
      </c>
      <c r="B13" s="7" t="e">
        <f>COUNTIFS(#REF!,A13) + COUNTIFS(#REF!,A13) + COUNTIFS(#REF!,A13) + COUNTIFS(#REF!,A13) + COUNTIFS(#REF!,A13)</f>
        <v>#REF!</v>
      </c>
      <c r="C13" s="7" t="e">
        <f>SUMIFS(#REF!,#REF!,A13) + SUMIFS(#REF!,#REF!,A13) + SUMIFS(#REF!,#REF!,A13) + SUMIFS(#REF!,#REF!,A13) + SUMIFS(#REF!,#REF!,A13)</f>
        <v>#REF!</v>
      </c>
      <c r="E13" s="1">
        <v>11</v>
      </c>
      <c r="F13" s="1" t="str">
        <f>[1]Processes!$A12</f>
        <v>PuDiss</v>
      </c>
    </row>
    <row r="14" spans="1:6" x14ac:dyDescent="0.25">
      <c r="A14" t="s">
        <v>754</v>
      </c>
      <c r="B14" s="7" t="e">
        <f>COUNTIFS(#REF!,A14) + COUNTIFS(#REF!,A14) + COUNTIFS(#REF!,A14) + COUNTIFS(#REF!,A14) + COUNTIFS(#REF!,A14)</f>
        <v>#REF!</v>
      </c>
      <c r="C14" s="7" t="e">
        <f>SUMIFS(#REF!,#REF!,A14) + SUMIFS(#REF!,#REF!,A14) + SUMIFS(#REF!,#REF!,A14) + SUMIFS(#REF!,#REF!,A14) + SUMIFS(#REF!,#REF!,A14)</f>
        <v>#REF!</v>
      </c>
      <c r="E14" s="1">
        <v>12</v>
      </c>
      <c r="F14" s="1" t="str">
        <f>[1]Processes!$A13</f>
        <v>PaChem</v>
      </c>
    </row>
    <row r="15" spans="1:6" x14ac:dyDescent="0.25">
      <c r="A15" t="s">
        <v>755</v>
      </c>
      <c r="B15" s="7" t="e">
        <f>COUNTIFS(#REF!,A15) + COUNTIFS(#REF!,A15) + COUNTIFS(#REF!,A15) + COUNTIFS(#REF!,A15) + COUNTIFS(#REF!,A15)</f>
        <v>#REF!</v>
      </c>
      <c r="C15" s="7" t="e">
        <f>SUMIFS(#REF!,#REF!,A15) + SUMIFS(#REF!,#REF!,A15) + SUMIFS(#REF!,#REF!,A15) + SUMIFS(#REF!,#REF!,A15) + SUMIFS(#REF!,#REF!,A15)</f>
        <v>#REF!</v>
      </c>
      <c r="E15" s="1">
        <v>13</v>
      </c>
      <c r="F15" s="1" t="str">
        <f>[1]Processes!$A14</f>
        <v>OtChem</v>
      </c>
    </row>
    <row r="16" spans="1:6" x14ac:dyDescent="0.25">
      <c r="A16" t="s">
        <v>756</v>
      </c>
      <c r="B16" s="7" t="e">
        <f>COUNTIFS(#REF!,A16) + COUNTIFS(#REF!,A16) + COUNTIFS(#REF!,A16) + COUNTIFS(#REF!,A16) + COUNTIFS(#REF!,A16)</f>
        <v>#REF!</v>
      </c>
      <c r="C16" s="7" t="e">
        <f>SUMIFS(#REF!,#REF!,A16) + SUMIFS(#REF!,#REF!,A16) + SUMIFS(#REF!,#REF!,A16) + SUMIFS(#REF!,#REF!,A16) + SUMIFS(#REF!,#REF!,A16)</f>
        <v>#REF!</v>
      </c>
      <c r="E16" s="1">
        <v>14</v>
      </c>
      <c r="F16" s="1" t="str">
        <f>[1]Processes!$A15</f>
        <v>OtMech</v>
      </c>
    </row>
    <row r="17" spans="1:6" x14ac:dyDescent="0.25">
      <c r="A17" t="s">
        <v>758</v>
      </c>
      <c r="B17" s="7" t="e">
        <f>COUNTIFS(#REF!,A17) + COUNTIFS(#REF!,A17) + COUNTIFS(#REF!,A17) + COUNTIFS(#REF!,A17) + COUNTIFS(#REF!,A17)</f>
        <v>#REF!</v>
      </c>
      <c r="C17" s="7" t="e">
        <f>SUMIFS(#REF!,#REF!,A17) + SUMIFS(#REF!,#REF!,A17) + SUMIFS(#REF!,#REF!,A17) + SUMIFS(#REF!,#REF!,A17) + SUMIFS(#REF!,#REF!,A17)</f>
        <v>#REF!</v>
      </c>
      <c r="E17" s="1">
        <v>15</v>
      </c>
      <c r="F17" s="1" t="str">
        <f>[1]Processes!$A16</f>
        <v>NwMech</v>
      </c>
    </row>
    <row r="18" spans="1:6" x14ac:dyDescent="0.25">
      <c r="A18" s="10" t="s">
        <v>760</v>
      </c>
      <c r="B18" s="11" t="e">
        <f>COUNTIFS(#REF!,A18) + COUNTIFS(#REF!,A18) + COUNTIFS(#REF!,A18) + COUNTIFS(#REF!,A18) + COUNTIFS(#REF!,A18)</f>
        <v>#REF!</v>
      </c>
      <c r="C18" s="11" t="e">
        <f>SUMIFS(#REF!,#REF!,A18) + SUMIFS(#REF!,#REF!,A18) + SUMIFS(#REF!,#REF!,A18) + SUMIFS(#REF!,#REF!,A18) + SUMIFS(#REF!,#REF!,A18)</f>
        <v>#REF!</v>
      </c>
      <c r="E18" s="1">
        <v>16</v>
      </c>
      <c r="F18" s="1" t="str">
        <f>[1]Processes!$A17</f>
        <v>PuBCCS</v>
      </c>
    </row>
    <row r="19" spans="1:6" x14ac:dyDescent="0.25">
      <c r="A19" s="10" t="s">
        <v>762</v>
      </c>
      <c r="B19" s="11" t="e">
        <f>COUNTIFS(#REF!,A19) + COUNTIFS(#REF!,A19) + COUNTIFS(#REF!,A19) + COUNTIFS(#REF!,A19) + COUNTIFS(#REF!,A19)</f>
        <v>#REF!</v>
      </c>
      <c r="C19" s="11" t="e">
        <f>SUMIFS(#REF!,#REF!,A19) + SUMIFS(#REF!,#REF!,A19) + SUMIFS(#REF!,#REF!,A19) + SUMIFS(#REF!,#REF!,A19) + SUMIFS(#REF!,#REF!,A19)</f>
        <v>#REF!</v>
      </c>
      <c r="E19" s="1">
        <v>17</v>
      </c>
      <c r="F19" s="1" t="str">
        <f>[1]Processes!$A18</f>
        <v>PaBCCS</v>
      </c>
    </row>
    <row r="20" spans="1:6" ht="15.75" thickBot="1" x14ac:dyDescent="0.3">
      <c r="A20" s="12" t="s">
        <v>763</v>
      </c>
      <c r="B20" s="13" t="e">
        <f>COUNTIFS(#REF!,A20) + COUNTIFS(#REF!,A20) + COUNTIFS(#REF!,A20) + COUNTIFS(#REF!,A20) + COUNTIFS(#REF!,A20)</f>
        <v>#REF!</v>
      </c>
      <c r="C20" s="13" t="e">
        <f>SUMIFS(#REF!,#REF!,A20) + SUMIFS(#REF!,#REF!,A20) + SUMIFS(#REF!,#REF!,A20) + SUMIFS(#REF!,#REF!,A20) + SUMIFS(#REF!,#REF!,A20)</f>
        <v>#REF!</v>
      </c>
      <c r="E20" s="1">
        <v>18</v>
      </c>
      <c r="F20" s="1" t="str">
        <f>[1]Processes!$A19</f>
        <v>OtBCCS</v>
      </c>
    </row>
    <row r="21" spans="1:6" x14ac:dyDescent="0.25">
      <c r="A21" t="s">
        <v>770</v>
      </c>
      <c r="B21" s="7" t="e">
        <f>SUM(B4:B6)</f>
        <v>#REF!</v>
      </c>
      <c r="C21" s="7" t="e">
        <f>SUM(C4:C6)</f>
        <v>#REF!</v>
      </c>
      <c r="E21" s="1">
        <v>19</v>
      </c>
      <c r="F21" s="1" t="str">
        <f>[1]Processes!$A20</f>
        <v>TerFTD</v>
      </c>
    </row>
    <row r="22" spans="1:6" x14ac:dyDescent="0.25">
      <c r="A22" t="s">
        <v>773</v>
      </c>
      <c r="B22" s="7" t="e">
        <f>B7</f>
        <v>#REF!</v>
      </c>
      <c r="C22" s="7" t="e">
        <f>C7</f>
        <v>#REF!</v>
      </c>
      <c r="E22" s="1">
        <v>20</v>
      </c>
      <c r="F22" s="1" t="str">
        <f>[1]Processes!$A21</f>
        <v>TerTsp</v>
      </c>
    </row>
    <row r="23" spans="1:6" x14ac:dyDescent="0.25">
      <c r="A23" t="s">
        <v>774</v>
      </c>
      <c r="B23" s="7" t="e">
        <f>B8</f>
        <v>#REF!</v>
      </c>
      <c r="C23" s="7" t="e">
        <f>C8</f>
        <v>#REF!</v>
      </c>
      <c r="E23" s="1">
        <v>21</v>
      </c>
      <c r="F23" s="1" t="str">
        <f>[1]Processes!$A22</f>
        <v>TerTal</v>
      </c>
    </row>
    <row r="24" spans="1:6" x14ac:dyDescent="0.25">
      <c r="A24" t="s">
        <v>771</v>
      </c>
      <c r="B24" s="7" t="e">
        <f>SUM(B10:B13)</f>
        <v>#REF!</v>
      </c>
      <c r="C24" s="7" t="e">
        <f>SUM(C10:C13)</f>
        <v>#REF!</v>
      </c>
      <c r="E24" s="1">
        <v>22</v>
      </c>
      <c r="F24" s="1" t="str">
        <f>[1]Processes!$A23</f>
        <v>TerPsp</v>
      </c>
    </row>
    <row r="25" spans="1:6" x14ac:dyDescent="0.25">
      <c r="A25" s="6" t="s">
        <v>772</v>
      </c>
      <c r="B25" s="9" t="e">
        <f>SUM(B14:B17)</f>
        <v>#REF!</v>
      </c>
      <c r="C25" s="9" t="e">
        <f>SUM(C14:C17)</f>
        <v>#REF!</v>
      </c>
      <c r="E25" s="1">
        <v>23</v>
      </c>
      <c r="F25" s="1" t="str">
        <f>[1]Processes!$A24</f>
        <v>TerPal</v>
      </c>
    </row>
    <row r="26" spans="1:6" x14ac:dyDescent="0.25">
      <c r="E26" s="1">
        <v>24</v>
      </c>
      <c r="F26" s="1" t="str">
        <f>[1]Processes!$A25</f>
        <v>TerHea</v>
      </c>
    </row>
    <row r="27" spans="1:6" x14ac:dyDescent="0.25">
      <c r="B27" s="7" t="e">
        <f>B21+B22+B24</f>
        <v>#REF!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47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673</v>
      </c>
      <c r="B1" s="1" t="s">
        <v>667</v>
      </c>
      <c r="C1" s="1" t="s">
        <v>668</v>
      </c>
      <c r="D1" t="s">
        <v>669</v>
      </c>
    </row>
    <row r="2" spans="1:4" x14ac:dyDescent="0.25">
      <c r="A2" t="e">
        <f>#REF!</f>
        <v>#REF!</v>
      </c>
      <c r="B2" s="1" t="e">
        <f>#REF!</f>
        <v>#REF!</v>
      </c>
      <c r="C2" s="1" t="e">
        <f>#REF!</f>
        <v>#REF!</v>
      </c>
      <c r="D2" t="e">
        <f>SUMIFS(#REF!,#REF!,A2)
+SUMIFS(#REF!,#REF!,A2)
+SUMIFS(#REF!,#REF!,A2)</f>
        <v>#REF!</v>
      </c>
    </row>
    <row r="3" spans="1:4" x14ac:dyDescent="0.25">
      <c r="A3" s="1" t="e">
        <f>#REF!</f>
        <v>#REF!</v>
      </c>
      <c r="B3" s="1" t="e">
        <f>#REF!</f>
        <v>#REF!</v>
      </c>
      <c r="C3" s="1" t="e">
        <f>#REF!</f>
        <v>#REF!</v>
      </c>
      <c r="D3" s="1" t="e">
        <f>SUMIFS(#REF!,#REF!,A3)
+SUMIFS(#REF!,#REF!,A3)
+SUMIFS(#REF!,#REF!,A3)</f>
        <v>#REF!</v>
      </c>
    </row>
    <row r="4" spans="1:4" x14ac:dyDescent="0.25">
      <c r="A4" s="1" t="e">
        <f>#REF!</f>
        <v>#REF!</v>
      </c>
      <c r="B4" s="1" t="e">
        <f>#REF!</f>
        <v>#REF!</v>
      </c>
      <c r="C4" s="1" t="e">
        <f>#REF!</f>
        <v>#REF!</v>
      </c>
      <c r="D4" s="1" t="e">
        <f>SUMIFS(#REF!,#REF!,A4)
+SUMIFS(#REF!,#REF!,A4)
+SUMIFS(#REF!,#REF!,A4)</f>
        <v>#REF!</v>
      </c>
    </row>
    <row r="5" spans="1:4" x14ac:dyDescent="0.25">
      <c r="A5" s="1" t="e">
        <f>#REF!</f>
        <v>#REF!</v>
      </c>
      <c r="B5" s="1" t="e">
        <f>#REF!</f>
        <v>#REF!</v>
      </c>
      <c r="C5" s="1" t="e">
        <f>#REF!</f>
        <v>#REF!</v>
      </c>
      <c r="D5" s="1" t="e">
        <f>SUMIFS(#REF!,#REF!,A5)
+SUMIFS(#REF!,#REF!,A5)
+SUMIFS(#REF!,#REF!,A5)</f>
        <v>#REF!</v>
      </c>
    </row>
    <row r="6" spans="1:4" x14ac:dyDescent="0.25">
      <c r="A6" s="1" t="e">
        <f>#REF!</f>
        <v>#REF!</v>
      </c>
      <c r="B6" s="1" t="e">
        <f>#REF!</f>
        <v>#REF!</v>
      </c>
      <c r="C6" s="1" t="e">
        <f>#REF!</f>
        <v>#REF!</v>
      </c>
      <c r="D6" s="1" t="e">
        <f>SUMIFS(#REF!,#REF!,A6)
+SUMIFS(#REF!,#REF!,A6)
+SUMIFS(#REF!,#REF!,A6)</f>
        <v>#REF!</v>
      </c>
    </row>
    <row r="7" spans="1:4" x14ac:dyDescent="0.25">
      <c r="A7" s="1" t="e">
        <f>#REF!</f>
        <v>#REF!</v>
      </c>
      <c r="B7" s="1" t="e">
        <f>#REF!</f>
        <v>#REF!</v>
      </c>
      <c r="C7" s="1" t="e">
        <f>#REF!</f>
        <v>#REF!</v>
      </c>
      <c r="D7" s="1" t="e">
        <f>SUMIFS(#REF!,#REF!,A7)
+SUMIFS(#REF!,#REF!,A7)
+SUMIFS(#REF!,#REF!,A7)</f>
        <v>#REF!</v>
      </c>
    </row>
    <row r="8" spans="1:4" x14ac:dyDescent="0.25">
      <c r="A8" s="1" t="e">
        <f>#REF!</f>
        <v>#REF!</v>
      </c>
      <c r="B8" s="1" t="e">
        <f>#REF!</f>
        <v>#REF!</v>
      </c>
      <c r="C8" s="1" t="e">
        <f>#REF!</f>
        <v>#REF!</v>
      </c>
      <c r="D8" s="1" t="e">
        <f>SUMIFS(#REF!,#REF!,A8)
+SUMIFS(#REF!,#REF!,A8)
+SUMIFS(#REF!,#REF!,A8)</f>
        <v>#REF!</v>
      </c>
    </row>
    <row r="9" spans="1:4" x14ac:dyDescent="0.25">
      <c r="A9" s="1" t="e">
        <f>#REF!</f>
        <v>#REF!</v>
      </c>
      <c r="B9" s="1" t="e">
        <f>#REF!</f>
        <v>#REF!</v>
      </c>
      <c r="C9" s="1" t="e">
        <f>#REF!</f>
        <v>#REF!</v>
      </c>
      <c r="D9" s="1" t="e">
        <f>SUMIFS(#REF!,#REF!,A9)
+SUMIFS(#REF!,#REF!,A9)
+SUMIFS(#REF!,#REF!,A9)</f>
        <v>#REF!</v>
      </c>
    </row>
    <row r="10" spans="1:4" x14ac:dyDescent="0.25">
      <c r="A10" s="1" t="e">
        <f>#REF!</f>
        <v>#REF!</v>
      </c>
      <c r="B10" s="1" t="e">
        <f>#REF!</f>
        <v>#REF!</v>
      </c>
      <c r="C10" s="1" t="e">
        <f>#REF!</f>
        <v>#REF!</v>
      </c>
      <c r="D10" s="1" t="e">
        <f>SUMIFS(#REF!,#REF!,A10)
+SUMIFS(#REF!,#REF!,A10)
+SUMIFS(#REF!,#REF!,A10)</f>
        <v>#REF!</v>
      </c>
    </row>
    <row r="11" spans="1:4" x14ac:dyDescent="0.25">
      <c r="A11" s="1" t="e">
        <f>#REF!</f>
        <v>#REF!</v>
      </c>
      <c r="B11" s="1" t="e">
        <f>#REF!</f>
        <v>#REF!</v>
      </c>
      <c r="C11" s="1" t="e">
        <f>#REF!</f>
        <v>#REF!</v>
      </c>
      <c r="D11" s="1" t="e">
        <f>SUMIFS(#REF!,#REF!,A11)
+SUMIFS(#REF!,#REF!,A11)
+SUMIFS(#REF!,#REF!,A11)</f>
        <v>#REF!</v>
      </c>
    </row>
    <row r="12" spans="1:4" x14ac:dyDescent="0.25">
      <c r="A12" s="1" t="e">
        <f>#REF!</f>
        <v>#REF!</v>
      </c>
      <c r="B12" s="1" t="e">
        <f>#REF!</f>
        <v>#REF!</v>
      </c>
      <c r="C12" s="1" t="e">
        <f>#REF!</f>
        <v>#REF!</v>
      </c>
      <c r="D12" s="1" t="e">
        <f>SUMIFS(#REF!,#REF!,A12)
+SUMIFS(#REF!,#REF!,A12)
+SUMIFS(#REF!,#REF!,A12)</f>
        <v>#REF!</v>
      </c>
    </row>
    <row r="13" spans="1:4" x14ac:dyDescent="0.25">
      <c r="A13" s="1" t="e">
        <f>#REF!</f>
        <v>#REF!</v>
      </c>
      <c r="B13" s="1" t="e">
        <f>#REF!</f>
        <v>#REF!</v>
      </c>
      <c r="C13" s="1" t="e">
        <f>#REF!</f>
        <v>#REF!</v>
      </c>
      <c r="D13" s="1" t="e">
        <f>SUMIFS(#REF!,#REF!,A13)
+SUMIFS(#REF!,#REF!,A13)
+SUMIFS(#REF!,#REF!,A13)</f>
        <v>#REF!</v>
      </c>
    </row>
    <row r="14" spans="1:4" x14ac:dyDescent="0.25">
      <c r="A14" s="1" t="e">
        <f>#REF!</f>
        <v>#REF!</v>
      </c>
      <c r="B14" s="1" t="e">
        <f>#REF!</f>
        <v>#REF!</v>
      </c>
      <c r="C14" s="1" t="e">
        <f>#REF!</f>
        <v>#REF!</v>
      </c>
      <c r="D14" s="1" t="e">
        <f>SUMIFS(#REF!,#REF!,A14)
+SUMIFS(#REF!,#REF!,A14)
+SUMIFS(#REF!,#REF!,A14)</f>
        <v>#REF!</v>
      </c>
    </row>
    <row r="15" spans="1:4" x14ac:dyDescent="0.25">
      <c r="A15" s="1" t="e">
        <f>#REF!</f>
        <v>#REF!</v>
      </c>
      <c r="B15" s="1" t="e">
        <f>#REF!</f>
        <v>#REF!</v>
      </c>
      <c r="C15" s="1" t="e">
        <f>#REF!</f>
        <v>#REF!</v>
      </c>
      <c r="D15" s="1" t="e">
        <f>SUMIFS(#REF!,#REF!,A15)
+SUMIFS(#REF!,#REF!,A15)
+SUMIFS(#REF!,#REF!,A15)</f>
        <v>#REF!</v>
      </c>
    </row>
    <row r="16" spans="1:4" x14ac:dyDescent="0.25">
      <c r="A16" s="1" t="e">
        <f>#REF!</f>
        <v>#REF!</v>
      </c>
      <c r="B16" s="1" t="e">
        <f>#REF!</f>
        <v>#REF!</v>
      </c>
      <c r="C16" s="1" t="e">
        <f>#REF!</f>
        <v>#REF!</v>
      </c>
      <c r="D16" s="1" t="e">
        <f>SUMIFS(#REF!,#REF!,A16)
+SUMIFS(#REF!,#REF!,A16)
+SUMIFS(#REF!,#REF!,A16)</f>
        <v>#REF!</v>
      </c>
    </row>
    <row r="17" spans="1:4" x14ac:dyDescent="0.25">
      <c r="A17" s="1" t="e">
        <f>#REF!</f>
        <v>#REF!</v>
      </c>
      <c r="B17" s="1" t="e">
        <f>#REF!</f>
        <v>#REF!</v>
      </c>
      <c r="C17" s="1" t="e">
        <f>#REF!</f>
        <v>#REF!</v>
      </c>
      <c r="D17" s="1" t="e">
        <f>SUMIFS(#REF!,#REF!,A17)
+SUMIFS(#REF!,#REF!,A17)
+SUMIFS(#REF!,#REF!,A17)</f>
        <v>#REF!</v>
      </c>
    </row>
    <row r="18" spans="1:4" x14ac:dyDescent="0.25">
      <c r="A18" s="1" t="e">
        <f>#REF!</f>
        <v>#REF!</v>
      </c>
      <c r="B18" s="1" t="e">
        <f>#REF!</f>
        <v>#REF!</v>
      </c>
      <c r="C18" s="1" t="e">
        <f>#REF!</f>
        <v>#REF!</v>
      </c>
      <c r="D18" s="1" t="e">
        <f>SUMIFS(#REF!,#REF!,A18)
+SUMIFS(#REF!,#REF!,A18)
+SUMIFS(#REF!,#REF!,A18)</f>
        <v>#REF!</v>
      </c>
    </row>
    <row r="19" spans="1:4" x14ac:dyDescent="0.25">
      <c r="A19" s="1" t="e">
        <f>#REF!</f>
        <v>#REF!</v>
      </c>
      <c r="B19" s="1" t="e">
        <f>#REF!</f>
        <v>#REF!</v>
      </c>
      <c r="C19" s="1" t="e">
        <f>#REF!</f>
        <v>#REF!</v>
      </c>
      <c r="D19" s="1" t="e">
        <f>SUMIFS(#REF!,#REF!,A19)
+SUMIFS(#REF!,#REF!,A19)
+SUMIFS(#REF!,#REF!,A19)</f>
        <v>#REF!</v>
      </c>
    </row>
    <row r="20" spans="1:4" x14ac:dyDescent="0.25">
      <c r="A20" s="1" t="e">
        <f>#REF!</f>
        <v>#REF!</v>
      </c>
      <c r="B20" s="1" t="e">
        <f>#REF!</f>
        <v>#REF!</v>
      </c>
      <c r="C20" s="1" t="e">
        <f>#REF!</f>
        <v>#REF!</v>
      </c>
      <c r="D20" s="1" t="e">
        <f>SUMIFS(#REF!,#REF!,A20)
+SUMIFS(#REF!,#REF!,A20)
+SUMIFS(#REF!,#REF!,A20)</f>
        <v>#REF!</v>
      </c>
    </row>
    <row r="21" spans="1:4" x14ac:dyDescent="0.25">
      <c r="A21" s="1" t="e">
        <f>#REF!</f>
        <v>#REF!</v>
      </c>
      <c r="B21" s="1" t="e">
        <f>#REF!</f>
        <v>#REF!</v>
      </c>
      <c r="C21" s="1" t="e">
        <f>#REF!</f>
        <v>#REF!</v>
      </c>
      <c r="D21" s="1" t="e">
        <f>SUMIFS(#REF!,#REF!,A21)
+SUMIFS(#REF!,#REF!,A21)
+SUMIFS(#REF!,#REF!,A21)</f>
        <v>#REF!</v>
      </c>
    </row>
    <row r="22" spans="1:4" x14ac:dyDescent="0.25">
      <c r="A22" s="1" t="e">
        <f>#REF!</f>
        <v>#REF!</v>
      </c>
      <c r="B22" s="1" t="e">
        <f>#REF!</f>
        <v>#REF!</v>
      </c>
      <c r="C22" s="1" t="e">
        <f>#REF!</f>
        <v>#REF!</v>
      </c>
      <c r="D22" s="1" t="e">
        <f>SUMIFS(#REF!,#REF!,A22)
+SUMIFS(#REF!,#REF!,A22)
+SUMIFS(#REF!,#REF!,A22)</f>
        <v>#REF!</v>
      </c>
    </row>
    <row r="23" spans="1:4" x14ac:dyDescent="0.25">
      <c r="A23" s="1" t="e">
        <f>#REF!</f>
        <v>#REF!</v>
      </c>
      <c r="B23" s="1" t="e">
        <f>#REF!</f>
        <v>#REF!</v>
      </c>
      <c r="C23" s="1" t="e">
        <f>#REF!</f>
        <v>#REF!</v>
      </c>
      <c r="D23" s="1" t="e">
        <f>SUMIFS(#REF!,#REF!,A23)
+SUMIFS(#REF!,#REF!,A23)
+SUMIFS(#REF!,#REF!,A23)</f>
        <v>#REF!</v>
      </c>
    </row>
    <row r="24" spans="1:4" x14ac:dyDescent="0.25">
      <c r="A24" s="1" t="e">
        <f>#REF!</f>
        <v>#REF!</v>
      </c>
      <c r="B24" s="1" t="e">
        <f>#REF!</f>
        <v>#REF!</v>
      </c>
      <c r="C24" s="1" t="e">
        <f>#REF!</f>
        <v>#REF!</v>
      </c>
      <c r="D24" s="1" t="e">
        <f>SUMIFS(#REF!,#REF!,A24)
+SUMIFS(#REF!,#REF!,A24)
+SUMIFS(#REF!,#REF!,A24)</f>
        <v>#REF!</v>
      </c>
    </row>
    <row r="25" spans="1:4" x14ac:dyDescent="0.25">
      <c r="A25" s="1" t="e">
        <f>#REF!</f>
        <v>#REF!</v>
      </c>
      <c r="B25" s="1" t="e">
        <f>#REF!</f>
        <v>#REF!</v>
      </c>
      <c r="C25" s="1" t="e">
        <f>#REF!</f>
        <v>#REF!</v>
      </c>
      <c r="D25" s="1" t="e">
        <f>SUMIFS(#REF!,#REF!,A25)
+SUMIFS(#REF!,#REF!,A25)
+SUMIFS(#REF!,#REF!,A25)</f>
        <v>#REF!</v>
      </c>
    </row>
    <row r="26" spans="1:4" x14ac:dyDescent="0.25">
      <c r="A26" s="1" t="e">
        <f>#REF!</f>
        <v>#REF!</v>
      </c>
      <c r="B26" s="1" t="e">
        <f>#REF!</f>
        <v>#REF!</v>
      </c>
      <c r="C26" s="1" t="e">
        <f>#REF!</f>
        <v>#REF!</v>
      </c>
      <c r="D26" s="1" t="e">
        <f>SUMIFS(#REF!,#REF!,A26)
+SUMIFS(#REF!,#REF!,A26)
+SUMIFS(#REF!,#REF!,A26)</f>
        <v>#REF!</v>
      </c>
    </row>
    <row r="27" spans="1:4" x14ac:dyDescent="0.25">
      <c r="A27" s="1" t="e">
        <f>#REF!</f>
        <v>#REF!</v>
      </c>
      <c r="B27" s="1" t="e">
        <f>#REF!</f>
        <v>#REF!</v>
      </c>
      <c r="C27" s="1" t="e">
        <f>#REF!</f>
        <v>#REF!</v>
      </c>
      <c r="D27" s="1" t="e">
        <f>SUMIFS(#REF!,#REF!,A27)
+SUMIFS(#REF!,#REF!,A27)
+SUMIFS(#REF!,#REF!,A27)</f>
        <v>#REF!</v>
      </c>
    </row>
    <row r="28" spans="1:4" x14ac:dyDescent="0.25">
      <c r="A28" s="1" t="e">
        <f>#REF!</f>
        <v>#REF!</v>
      </c>
      <c r="B28" s="1" t="e">
        <f>#REF!</f>
        <v>#REF!</v>
      </c>
      <c r="C28" s="1" t="e">
        <f>#REF!</f>
        <v>#REF!</v>
      </c>
      <c r="D28" s="1" t="e">
        <f>SUMIFS(#REF!,#REF!,A28)
+SUMIFS(#REF!,#REF!,A28)
+SUMIFS(#REF!,#REF!,A28)</f>
        <v>#REF!</v>
      </c>
    </row>
    <row r="29" spans="1:4" x14ac:dyDescent="0.25">
      <c r="A29" s="1" t="e">
        <f>#REF!</f>
        <v>#REF!</v>
      </c>
      <c r="B29" s="1" t="e">
        <f>#REF!</f>
        <v>#REF!</v>
      </c>
      <c r="C29" s="1" t="e">
        <f>#REF!</f>
        <v>#REF!</v>
      </c>
      <c r="D29" s="1" t="e">
        <f>SUMIFS(#REF!,#REF!,A29)
+SUMIFS(#REF!,#REF!,A29)
+SUMIFS(#REF!,#REF!,A29)</f>
        <v>#REF!</v>
      </c>
    </row>
    <row r="30" spans="1:4" x14ac:dyDescent="0.25">
      <c r="A30" s="1" t="e">
        <f>#REF!</f>
        <v>#REF!</v>
      </c>
      <c r="B30" s="1" t="e">
        <f>#REF!</f>
        <v>#REF!</v>
      </c>
      <c r="C30" s="1" t="e">
        <f>#REF!</f>
        <v>#REF!</v>
      </c>
      <c r="D30" s="1" t="e">
        <f>SUMIFS(#REF!,#REF!,A30)
+SUMIFS(#REF!,#REF!,A30)
+SUMIFS(#REF!,#REF!,A30)</f>
        <v>#REF!</v>
      </c>
    </row>
    <row r="31" spans="1:4" x14ac:dyDescent="0.25">
      <c r="A31" s="1" t="e">
        <f>#REF!</f>
        <v>#REF!</v>
      </c>
      <c r="B31" s="1" t="e">
        <f>#REF!</f>
        <v>#REF!</v>
      </c>
      <c r="C31" s="1" t="e">
        <f>#REF!</f>
        <v>#REF!</v>
      </c>
      <c r="D31" s="1" t="e">
        <f>SUMIFS(#REF!,#REF!,A31)
+SUMIFS(#REF!,#REF!,A31)
+SUMIFS(#REF!,#REF!,A31)</f>
        <v>#REF!</v>
      </c>
    </row>
    <row r="32" spans="1:4" x14ac:dyDescent="0.25">
      <c r="A32" s="1" t="e">
        <f>#REF!</f>
        <v>#REF!</v>
      </c>
      <c r="B32" s="1" t="e">
        <f>#REF!</f>
        <v>#REF!</v>
      </c>
      <c r="C32" s="1" t="e">
        <f>#REF!</f>
        <v>#REF!</v>
      </c>
      <c r="D32" s="1" t="e">
        <f>SUMIFS(#REF!,#REF!,A32)
+SUMIFS(#REF!,#REF!,A32)
+SUMIFS(#REF!,#REF!,A32)</f>
        <v>#REF!</v>
      </c>
    </row>
    <row r="33" spans="1:4" x14ac:dyDescent="0.25">
      <c r="A33" s="1" t="e">
        <f>#REF!</f>
        <v>#REF!</v>
      </c>
      <c r="B33" s="1" t="e">
        <f>#REF!</f>
        <v>#REF!</v>
      </c>
      <c r="C33" s="1" t="e">
        <f>#REF!</f>
        <v>#REF!</v>
      </c>
      <c r="D33" s="1" t="e">
        <f>SUMIFS(#REF!,#REF!,A33)
+SUMIFS(#REF!,#REF!,A33)
+SUMIFS(#REF!,#REF!,A33)</f>
        <v>#REF!</v>
      </c>
    </row>
    <row r="34" spans="1:4" x14ac:dyDescent="0.25">
      <c r="A34" s="1" t="e">
        <f>#REF!</f>
        <v>#REF!</v>
      </c>
      <c r="B34" s="1" t="e">
        <f>#REF!</f>
        <v>#REF!</v>
      </c>
      <c r="C34" s="1" t="e">
        <f>#REF!</f>
        <v>#REF!</v>
      </c>
      <c r="D34" s="1" t="e">
        <f>SUMIFS(#REF!,#REF!,A34)
+SUMIFS(#REF!,#REF!,A34)
+SUMIFS(#REF!,#REF!,A34)</f>
        <v>#REF!</v>
      </c>
    </row>
    <row r="35" spans="1:4" x14ac:dyDescent="0.25">
      <c r="A35" s="1" t="e">
        <f>#REF!</f>
        <v>#REF!</v>
      </c>
      <c r="B35" s="1" t="e">
        <f>#REF!</f>
        <v>#REF!</v>
      </c>
      <c r="C35" s="1" t="e">
        <f>#REF!</f>
        <v>#REF!</v>
      </c>
      <c r="D35" s="1" t="e">
        <f>SUMIFS(#REF!,#REF!,A35)
+SUMIFS(#REF!,#REF!,A35)
+SUMIFS(#REF!,#REF!,A35)</f>
        <v>#REF!</v>
      </c>
    </row>
    <row r="36" spans="1:4" x14ac:dyDescent="0.25">
      <c r="A36" s="1" t="e">
        <f>#REF!</f>
        <v>#REF!</v>
      </c>
      <c r="B36" s="1" t="e">
        <f>#REF!</f>
        <v>#REF!</v>
      </c>
      <c r="C36" s="1" t="e">
        <f>#REF!</f>
        <v>#REF!</v>
      </c>
      <c r="D36" s="1" t="e">
        <f>SUMIFS(#REF!,#REF!,A36)
+SUMIFS(#REF!,#REF!,A36)
+SUMIFS(#REF!,#REF!,A36)</f>
        <v>#REF!</v>
      </c>
    </row>
    <row r="37" spans="1:4" x14ac:dyDescent="0.25">
      <c r="A37" s="1" t="e">
        <f>#REF!</f>
        <v>#REF!</v>
      </c>
      <c r="B37" s="1" t="e">
        <f>#REF!</f>
        <v>#REF!</v>
      </c>
      <c r="C37" s="1" t="e">
        <f>#REF!</f>
        <v>#REF!</v>
      </c>
      <c r="D37" s="1" t="e">
        <f>SUMIFS(#REF!,#REF!,A37)
+SUMIFS(#REF!,#REF!,A37)
+SUMIFS(#REF!,#REF!,A37)</f>
        <v>#REF!</v>
      </c>
    </row>
    <row r="38" spans="1:4" x14ac:dyDescent="0.25">
      <c r="A38" s="1" t="e">
        <f>#REF!</f>
        <v>#REF!</v>
      </c>
      <c r="B38" s="1" t="e">
        <f>#REF!</f>
        <v>#REF!</v>
      </c>
      <c r="C38" s="1" t="e">
        <f>#REF!</f>
        <v>#REF!</v>
      </c>
      <c r="D38" s="1" t="e">
        <f>SUMIFS(#REF!,#REF!,A38)
+SUMIFS(#REF!,#REF!,A38)
+SUMIFS(#REF!,#REF!,A38)</f>
        <v>#REF!</v>
      </c>
    </row>
    <row r="39" spans="1:4" x14ac:dyDescent="0.25">
      <c r="A39" s="1" t="e">
        <f>#REF!</f>
        <v>#REF!</v>
      </c>
      <c r="B39" s="1" t="e">
        <f>#REF!</f>
        <v>#REF!</v>
      </c>
      <c r="C39" s="1" t="e">
        <f>#REF!</f>
        <v>#REF!</v>
      </c>
      <c r="D39" s="1" t="e">
        <f>SUMIFS(#REF!,#REF!,A39)
+SUMIFS(#REF!,#REF!,A39)
+SUMIFS(#REF!,#REF!,A39)</f>
        <v>#REF!</v>
      </c>
    </row>
    <row r="40" spans="1:4" x14ac:dyDescent="0.25">
      <c r="A40" s="1" t="e">
        <f>#REF!</f>
        <v>#REF!</v>
      </c>
      <c r="B40" s="1" t="e">
        <f>#REF!</f>
        <v>#REF!</v>
      </c>
      <c r="C40" s="1" t="e">
        <f>#REF!</f>
        <v>#REF!</v>
      </c>
      <c r="D40" s="1" t="e">
        <f>SUMIFS(#REF!,#REF!,A40)
+SUMIFS(#REF!,#REF!,A40)
+SUMIFS(#REF!,#REF!,A40)</f>
        <v>#REF!</v>
      </c>
    </row>
    <row r="41" spans="1:4" x14ac:dyDescent="0.25">
      <c r="A41" s="1" t="e">
        <f>#REF!</f>
        <v>#REF!</v>
      </c>
      <c r="B41" s="1" t="e">
        <f>#REF!</f>
        <v>#REF!</v>
      </c>
      <c r="C41" s="1" t="e">
        <f>#REF!</f>
        <v>#REF!</v>
      </c>
      <c r="D41" s="1" t="e">
        <f>SUMIFS(#REF!,#REF!,A41)
+SUMIFS(#REF!,#REF!,A41)
+SUMIFS(#REF!,#REF!,A41)</f>
        <v>#REF!</v>
      </c>
    </row>
    <row r="42" spans="1:4" x14ac:dyDescent="0.25">
      <c r="A42" s="1" t="e">
        <f>#REF!</f>
        <v>#REF!</v>
      </c>
      <c r="B42" s="1" t="e">
        <f>#REF!</f>
        <v>#REF!</v>
      </c>
      <c r="C42" s="1" t="e">
        <f>#REF!</f>
        <v>#REF!</v>
      </c>
      <c r="D42" s="1" t="e">
        <f>SUMIFS(#REF!,#REF!,A42)
+SUMIFS(#REF!,#REF!,A42)
+SUMIFS(#REF!,#REF!,A42)</f>
        <v>#REF!</v>
      </c>
    </row>
    <row r="43" spans="1:4" x14ac:dyDescent="0.25">
      <c r="A43" s="1" t="e">
        <f>#REF!</f>
        <v>#REF!</v>
      </c>
      <c r="B43" s="1" t="e">
        <f>#REF!</f>
        <v>#REF!</v>
      </c>
      <c r="C43" s="1" t="e">
        <f>#REF!</f>
        <v>#REF!</v>
      </c>
      <c r="D43" s="1" t="e">
        <f>SUMIFS(#REF!,#REF!,A43)
+SUMIFS(#REF!,#REF!,A43)
+SUMIFS(#REF!,#REF!,A43)</f>
        <v>#REF!</v>
      </c>
    </row>
    <row r="44" spans="1:4" x14ac:dyDescent="0.25">
      <c r="A44" s="1" t="e">
        <f>#REF!</f>
        <v>#REF!</v>
      </c>
      <c r="B44" s="1" t="e">
        <f>#REF!</f>
        <v>#REF!</v>
      </c>
      <c r="C44" s="1" t="e">
        <f>#REF!</f>
        <v>#REF!</v>
      </c>
      <c r="D44" s="1" t="e">
        <f>SUMIFS(#REF!,#REF!,A44)
+SUMIFS(#REF!,#REF!,A44)
+SUMIFS(#REF!,#REF!,A44)</f>
        <v>#REF!</v>
      </c>
    </row>
    <row r="45" spans="1:4" x14ac:dyDescent="0.25">
      <c r="A45" s="1" t="e">
        <f>#REF!</f>
        <v>#REF!</v>
      </c>
      <c r="B45" s="1" t="e">
        <f>#REF!</f>
        <v>#REF!</v>
      </c>
      <c r="C45" s="1" t="e">
        <f>#REF!</f>
        <v>#REF!</v>
      </c>
      <c r="D45" s="1" t="e">
        <f>SUMIFS(#REF!,#REF!,A45)
+SUMIFS(#REF!,#REF!,A45)
+SUMIFS(#REF!,#REF!,A45)</f>
        <v>#REF!</v>
      </c>
    </row>
    <row r="46" spans="1:4" x14ac:dyDescent="0.25">
      <c r="A46" s="1" t="e">
        <f>#REF!</f>
        <v>#REF!</v>
      </c>
      <c r="B46" s="1" t="e">
        <f>#REF!</f>
        <v>#REF!</v>
      </c>
      <c r="C46" s="1" t="e">
        <f>#REF!</f>
        <v>#REF!</v>
      </c>
      <c r="D46" s="1" t="e">
        <f>SUMIFS(#REF!,#REF!,A46)
+SUMIFS(#REF!,#REF!,A46)
+SUMIFS(#REF!,#REF!,A46)</f>
        <v>#REF!</v>
      </c>
    </row>
    <row r="47" spans="1:4" x14ac:dyDescent="0.25">
      <c r="A47" s="1" t="e">
        <f>#REF!</f>
        <v>#REF!</v>
      </c>
      <c r="B47" s="1" t="e">
        <f>#REF!</f>
        <v>#REF!</v>
      </c>
      <c r="C47" s="1" t="e">
        <f>#REF!</f>
        <v>#REF!</v>
      </c>
      <c r="D47" s="1" t="e">
        <f>SUMIFS(#REF!,#REF!,A47)
+SUMIFS(#REF!,#REF!,A47)
+SUMIFS(#REF!,#REF!,A47)</f>
        <v>#REF!</v>
      </c>
    </row>
    <row r="48" spans="1:4" x14ac:dyDescent="0.25">
      <c r="A48" s="1" t="e">
        <f>#REF!</f>
        <v>#REF!</v>
      </c>
      <c r="B48" s="1" t="e">
        <f>#REF!</f>
        <v>#REF!</v>
      </c>
      <c r="C48" s="1" t="e">
        <f>#REF!</f>
        <v>#REF!</v>
      </c>
      <c r="D48" s="1" t="e">
        <f>SUMIFS(#REF!,#REF!,A48)
+SUMIFS(#REF!,#REF!,A48)
+SUMIFS(#REF!,#REF!,A48)</f>
        <v>#REF!</v>
      </c>
    </row>
    <row r="49" spans="1:4" x14ac:dyDescent="0.25">
      <c r="A49" s="1" t="e">
        <f>#REF!</f>
        <v>#REF!</v>
      </c>
      <c r="B49" s="1" t="e">
        <f>#REF!</f>
        <v>#REF!</v>
      </c>
      <c r="C49" s="1" t="e">
        <f>#REF!</f>
        <v>#REF!</v>
      </c>
      <c r="D49" s="1" t="e">
        <f>SUMIFS(#REF!,#REF!,A49)
+SUMIFS(#REF!,#REF!,A49)
+SUMIFS(#REF!,#REF!,A49)</f>
        <v>#REF!</v>
      </c>
    </row>
    <row r="50" spans="1:4" x14ac:dyDescent="0.25">
      <c r="A50" s="1" t="e">
        <f>#REF!</f>
        <v>#REF!</v>
      </c>
      <c r="B50" s="1" t="e">
        <f>#REF!</f>
        <v>#REF!</v>
      </c>
      <c r="C50" s="1" t="e">
        <f>#REF!</f>
        <v>#REF!</v>
      </c>
      <c r="D50" s="1" t="e">
        <f>SUMIFS(#REF!,#REF!,A50)
+SUMIFS(#REF!,#REF!,A50)
+SUMIFS(#REF!,#REF!,A50)</f>
        <v>#REF!</v>
      </c>
    </row>
    <row r="51" spans="1:4" x14ac:dyDescent="0.25">
      <c r="A51" s="1" t="e">
        <f>#REF!</f>
        <v>#REF!</v>
      </c>
      <c r="B51" s="1" t="e">
        <f>#REF!</f>
        <v>#REF!</v>
      </c>
      <c r="C51" s="1" t="e">
        <f>#REF!</f>
        <v>#REF!</v>
      </c>
      <c r="D51" s="1" t="e">
        <f>SUMIFS(#REF!,#REF!,A51)
+SUMIFS(#REF!,#REF!,A51)
+SUMIFS(#REF!,#REF!,A51)</f>
        <v>#REF!</v>
      </c>
    </row>
    <row r="52" spans="1:4" x14ac:dyDescent="0.25">
      <c r="A52" s="1" t="e">
        <f>#REF!</f>
        <v>#REF!</v>
      </c>
      <c r="B52" s="1" t="e">
        <f>#REF!</f>
        <v>#REF!</v>
      </c>
      <c r="C52" s="1" t="e">
        <f>#REF!</f>
        <v>#REF!</v>
      </c>
      <c r="D52" s="1" t="e">
        <f>SUMIFS(#REF!,#REF!,A52)
+SUMIFS(#REF!,#REF!,A52)
+SUMIFS(#REF!,#REF!,A52)</f>
        <v>#REF!</v>
      </c>
    </row>
    <row r="53" spans="1:4" x14ac:dyDescent="0.25">
      <c r="A53" s="1" t="e">
        <f>#REF!</f>
        <v>#REF!</v>
      </c>
      <c r="B53" s="1" t="e">
        <f>#REF!</f>
        <v>#REF!</v>
      </c>
      <c r="C53" s="1" t="e">
        <f>#REF!</f>
        <v>#REF!</v>
      </c>
      <c r="D53" s="1" t="e">
        <f>SUMIFS(#REF!,#REF!,A53)
+SUMIFS(#REF!,#REF!,A53)
+SUMIFS(#REF!,#REF!,A53)</f>
        <v>#REF!</v>
      </c>
    </row>
    <row r="54" spans="1:4" x14ac:dyDescent="0.25">
      <c r="A54" s="1" t="e">
        <f>#REF!</f>
        <v>#REF!</v>
      </c>
      <c r="B54" s="1" t="e">
        <f>#REF!</f>
        <v>#REF!</v>
      </c>
      <c r="C54" s="1" t="e">
        <f>#REF!</f>
        <v>#REF!</v>
      </c>
      <c r="D54" s="1" t="e">
        <f>SUMIFS(#REF!,#REF!,A54)
+SUMIFS(#REF!,#REF!,A54)
+SUMIFS(#REF!,#REF!,A54)</f>
        <v>#REF!</v>
      </c>
    </row>
    <row r="55" spans="1:4" x14ac:dyDescent="0.25">
      <c r="A55" s="1" t="e">
        <f>#REF!</f>
        <v>#REF!</v>
      </c>
      <c r="B55" s="1" t="e">
        <f>#REF!</f>
        <v>#REF!</v>
      </c>
      <c r="C55" s="1" t="e">
        <f>#REF!</f>
        <v>#REF!</v>
      </c>
      <c r="D55" s="1" t="e">
        <f>SUMIFS(#REF!,#REF!,A55)
+SUMIFS(#REF!,#REF!,A55)
+SUMIFS(#REF!,#REF!,A55)</f>
        <v>#REF!</v>
      </c>
    </row>
    <row r="56" spans="1:4" x14ac:dyDescent="0.25">
      <c r="A56" s="1" t="e">
        <f>#REF!</f>
        <v>#REF!</v>
      </c>
      <c r="B56" s="1" t="e">
        <f>#REF!</f>
        <v>#REF!</v>
      </c>
      <c r="C56" s="1" t="e">
        <f>#REF!</f>
        <v>#REF!</v>
      </c>
      <c r="D56" s="1" t="e">
        <f>SUMIFS(#REF!,#REF!,A56)
+SUMIFS(#REF!,#REF!,A56)
+SUMIFS(#REF!,#REF!,A56)</f>
        <v>#REF!</v>
      </c>
    </row>
    <row r="57" spans="1:4" x14ac:dyDescent="0.25">
      <c r="A57" s="1" t="e">
        <f>#REF!</f>
        <v>#REF!</v>
      </c>
      <c r="B57" s="1" t="e">
        <f>#REF!</f>
        <v>#REF!</v>
      </c>
      <c r="C57" s="1" t="e">
        <f>#REF!</f>
        <v>#REF!</v>
      </c>
      <c r="D57" s="1" t="e">
        <f>SUMIFS(#REF!,#REF!,A57)
+SUMIFS(#REF!,#REF!,A57)
+SUMIFS(#REF!,#REF!,A57)</f>
        <v>#REF!</v>
      </c>
    </row>
    <row r="58" spans="1:4" x14ac:dyDescent="0.25">
      <c r="A58" s="1" t="e">
        <f>#REF!</f>
        <v>#REF!</v>
      </c>
      <c r="B58" s="1" t="e">
        <f>#REF!</f>
        <v>#REF!</v>
      </c>
      <c r="C58" s="1" t="e">
        <f>#REF!</f>
        <v>#REF!</v>
      </c>
      <c r="D58" s="1" t="e">
        <f>SUMIFS(#REF!,#REF!,A58)
+SUMIFS(#REF!,#REF!,A58)
+SUMIFS(#REF!,#REF!,A58)</f>
        <v>#REF!</v>
      </c>
    </row>
    <row r="59" spans="1:4" x14ac:dyDescent="0.25">
      <c r="A59" s="1" t="e">
        <f>#REF!</f>
        <v>#REF!</v>
      </c>
      <c r="B59" s="1" t="e">
        <f>#REF!</f>
        <v>#REF!</v>
      </c>
      <c r="C59" s="1" t="e">
        <f>#REF!</f>
        <v>#REF!</v>
      </c>
      <c r="D59" s="1" t="e">
        <f>SUMIFS(#REF!,#REF!,A59)
+SUMIFS(#REF!,#REF!,A59)
+SUMIFS(#REF!,#REF!,A59)</f>
        <v>#REF!</v>
      </c>
    </row>
    <row r="60" spans="1:4" x14ac:dyDescent="0.25">
      <c r="A60" s="1" t="e">
        <f>#REF!</f>
        <v>#REF!</v>
      </c>
      <c r="B60" s="1" t="e">
        <f>#REF!</f>
        <v>#REF!</v>
      </c>
      <c r="C60" s="1" t="e">
        <f>#REF!</f>
        <v>#REF!</v>
      </c>
      <c r="D60" s="1" t="e">
        <f>SUMIFS(#REF!,#REF!,A60)
+SUMIFS(#REF!,#REF!,A60)
+SUMIFS(#REF!,#REF!,A60)</f>
        <v>#REF!</v>
      </c>
    </row>
    <row r="61" spans="1:4" x14ac:dyDescent="0.25">
      <c r="A61" s="1" t="e">
        <f>#REF!</f>
        <v>#REF!</v>
      </c>
      <c r="B61" s="1" t="e">
        <f>#REF!</f>
        <v>#REF!</v>
      </c>
      <c r="C61" s="1" t="e">
        <f>#REF!</f>
        <v>#REF!</v>
      </c>
      <c r="D61" s="1" t="e">
        <f>SUMIFS(#REF!,#REF!,A61)
+SUMIFS(#REF!,#REF!,A61)
+SUMIFS(#REF!,#REF!,A61)</f>
        <v>#REF!</v>
      </c>
    </row>
    <row r="62" spans="1:4" x14ac:dyDescent="0.25">
      <c r="A62" s="1" t="e">
        <f>#REF!</f>
        <v>#REF!</v>
      </c>
      <c r="B62" s="1" t="e">
        <f>#REF!</f>
        <v>#REF!</v>
      </c>
      <c r="C62" s="1" t="e">
        <f>#REF!</f>
        <v>#REF!</v>
      </c>
      <c r="D62" s="1" t="e">
        <f>SUMIFS(#REF!,#REF!,A62)
+SUMIFS(#REF!,#REF!,A62)
+SUMIFS(#REF!,#REF!,A62)</f>
        <v>#REF!</v>
      </c>
    </row>
    <row r="63" spans="1:4" x14ac:dyDescent="0.25">
      <c r="A63" s="1" t="e">
        <f>#REF!</f>
        <v>#REF!</v>
      </c>
      <c r="B63" s="1" t="e">
        <f>#REF!</f>
        <v>#REF!</v>
      </c>
      <c r="C63" s="1" t="e">
        <f>#REF!</f>
        <v>#REF!</v>
      </c>
      <c r="D63" s="1" t="e">
        <f>SUMIFS(#REF!,#REF!,A63)
+SUMIFS(#REF!,#REF!,A63)
+SUMIFS(#REF!,#REF!,A63)</f>
        <v>#REF!</v>
      </c>
    </row>
    <row r="64" spans="1:4" x14ac:dyDescent="0.25">
      <c r="A64" s="1" t="e">
        <f>#REF!</f>
        <v>#REF!</v>
      </c>
      <c r="B64" s="1" t="e">
        <f>#REF!</f>
        <v>#REF!</v>
      </c>
      <c r="C64" s="1" t="e">
        <f>#REF!</f>
        <v>#REF!</v>
      </c>
      <c r="D64" s="1" t="e">
        <f>SUMIFS(#REF!,#REF!,A64)
+SUMIFS(#REF!,#REF!,A64)
+SUMIFS(#REF!,#REF!,A64)</f>
        <v>#REF!</v>
      </c>
    </row>
    <row r="65" spans="1:4" x14ac:dyDescent="0.25">
      <c r="A65" s="1" t="e">
        <f>#REF!</f>
        <v>#REF!</v>
      </c>
      <c r="B65" s="1" t="e">
        <f>#REF!</f>
        <v>#REF!</v>
      </c>
      <c r="C65" s="1" t="e">
        <f>#REF!</f>
        <v>#REF!</v>
      </c>
      <c r="D65" s="1" t="e">
        <f>SUMIFS(#REF!,#REF!,A65)
+SUMIFS(#REF!,#REF!,A65)
+SUMIFS(#REF!,#REF!,A65)</f>
        <v>#REF!</v>
      </c>
    </row>
    <row r="66" spans="1:4" x14ac:dyDescent="0.25">
      <c r="A66" s="1" t="e">
        <f>#REF!</f>
        <v>#REF!</v>
      </c>
      <c r="B66" s="1" t="e">
        <f>#REF!</f>
        <v>#REF!</v>
      </c>
      <c r="C66" s="1" t="e">
        <f>#REF!</f>
        <v>#REF!</v>
      </c>
      <c r="D66" s="1" t="e">
        <f>SUMIFS(#REF!,#REF!,A66)
+SUMIFS(#REF!,#REF!,A66)
+SUMIFS(#REF!,#REF!,A66)</f>
        <v>#REF!</v>
      </c>
    </row>
    <row r="67" spans="1:4" x14ac:dyDescent="0.25">
      <c r="A67" s="1" t="e">
        <f>#REF!</f>
        <v>#REF!</v>
      </c>
      <c r="B67" s="1" t="e">
        <f>#REF!</f>
        <v>#REF!</v>
      </c>
      <c r="C67" s="1" t="e">
        <f>#REF!</f>
        <v>#REF!</v>
      </c>
      <c r="D67" s="1" t="e">
        <f>SUMIFS(#REF!,#REF!,A67)
+SUMIFS(#REF!,#REF!,A67)
+SUMIFS(#REF!,#REF!,A67)</f>
        <v>#REF!</v>
      </c>
    </row>
    <row r="68" spans="1:4" x14ac:dyDescent="0.25">
      <c r="A68" s="1" t="e">
        <f>#REF!</f>
        <v>#REF!</v>
      </c>
      <c r="B68" s="1" t="e">
        <f>#REF!</f>
        <v>#REF!</v>
      </c>
      <c r="C68" s="1" t="e">
        <f>#REF!</f>
        <v>#REF!</v>
      </c>
      <c r="D68" s="1" t="e">
        <f>SUMIFS(#REF!,#REF!,A68)
+SUMIFS(#REF!,#REF!,A68)
+SUMIFS(#REF!,#REF!,A68)</f>
        <v>#REF!</v>
      </c>
    </row>
    <row r="69" spans="1:4" x14ac:dyDescent="0.25">
      <c r="A69" s="1" t="e">
        <f>#REF!</f>
        <v>#REF!</v>
      </c>
      <c r="B69" s="1" t="e">
        <f>#REF!</f>
        <v>#REF!</v>
      </c>
      <c r="C69" s="1" t="e">
        <f>#REF!</f>
        <v>#REF!</v>
      </c>
      <c r="D69" s="1" t="e">
        <f>SUMIFS(#REF!,#REF!,A69)
+SUMIFS(#REF!,#REF!,A69)
+SUMIFS(#REF!,#REF!,A69)</f>
        <v>#REF!</v>
      </c>
    </row>
    <row r="70" spans="1:4" x14ac:dyDescent="0.25">
      <c r="A70" s="1" t="e">
        <f>#REF!</f>
        <v>#REF!</v>
      </c>
      <c r="B70" s="1" t="e">
        <f>#REF!</f>
        <v>#REF!</v>
      </c>
      <c r="C70" s="1" t="e">
        <f>#REF!</f>
        <v>#REF!</v>
      </c>
      <c r="D70" s="1" t="e">
        <f>SUMIFS(#REF!,#REF!,A70)
+SUMIFS(#REF!,#REF!,A70)
+SUMIFS(#REF!,#REF!,A70)</f>
        <v>#REF!</v>
      </c>
    </row>
    <row r="71" spans="1:4" x14ac:dyDescent="0.25">
      <c r="A71" s="1" t="e">
        <f>#REF!</f>
        <v>#REF!</v>
      </c>
      <c r="B71" s="1" t="e">
        <f>#REF!</f>
        <v>#REF!</v>
      </c>
      <c r="C71" s="1" t="e">
        <f>#REF!</f>
        <v>#REF!</v>
      </c>
      <c r="D71" s="1" t="e">
        <f>SUMIFS(#REF!,#REF!,A71)
+SUMIFS(#REF!,#REF!,A71)
+SUMIFS(#REF!,#REF!,A71)</f>
        <v>#REF!</v>
      </c>
    </row>
    <row r="72" spans="1:4" x14ac:dyDescent="0.25">
      <c r="A72" s="1" t="e">
        <f>#REF!</f>
        <v>#REF!</v>
      </c>
      <c r="B72" s="1" t="e">
        <f>#REF!</f>
        <v>#REF!</v>
      </c>
      <c r="C72" s="1" t="e">
        <f>#REF!</f>
        <v>#REF!</v>
      </c>
      <c r="D72" s="1" t="e">
        <f>SUMIFS(#REF!,#REF!,A72)
+SUMIFS(#REF!,#REF!,A72)
+SUMIFS(#REF!,#REF!,A72)</f>
        <v>#REF!</v>
      </c>
    </row>
    <row r="73" spans="1:4" x14ac:dyDescent="0.25">
      <c r="A73" s="1" t="e">
        <f>#REF!</f>
        <v>#REF!</v>
      </c>
      <c r="B73" s="1" t="e">
        <f>#REF!</f>
        <v>#REF!</v>
      </c>
      <c r="C73" s="1" t="e">
        <f>#REF!</f>
        <v>#REF!</v>
      </c>
      <c r="D73" s="1" t="e">
        <f>SUMIFS(#REF!,#REF!,A73)
+SUMIFS(#REF!,#REF!,A73)
+SUMIFS(#REF!,#REF!,A73)</f>
        <v>#REF!</v>
      </c>
    </row>
    <row r="74" spans="1:4" x14ac:dyDescent="0.25">
      <c r="A74" s="1" t="e">
        <f>#REF!</f>
        <v>#REF!</v>
      </c>
      <c r="B74" s="1" t="e">
        <f>#REF!</f>
        <v>#REF!</v>
      </c>
      <c r="C74" s="1" t="e">
        <f>#REF!</f>
        <v>#REF!</v>
      </c>
      <c r="D74" s="1" t="e">
        <f>SUMIFS(#REF!,#REF!,A74)
+SUMIFS(#REF!,#REF!,A74)
+SUMIFS(#REF!,#REF!,A74)</f>
        <v>#REF!</v>
      </c>
    </row>
    <row r="75" spans="1:4" x14ac:dyDescent="0.25">
      <c r="A75" s="1" t="e">
        <f>#REF!</f>
        <v>#REF!</v>
      </c>
      <c r="B75" s="1" t="e">
        <f>#REF!</f>
        <v>#REF!</v>
      </c>
      <c r="C75" s="1" t="e">
        <f>#REF!</f>
        <v>#REF!</v>
      </c>
      <c r="D75" s="1" t="e">
        <f>SUMIFS(#REF!,#REF!,A75)
+SUMIFS(#REF!,#REF!,A75)
+SUMIFS(#REF!,#REF!,A75)</f>
        <v>#REF!</v>
      </c>
    </row>
    <row r="76" spans="1:4" x14ac:dyDescent="0.25">
      <c r="A76" s="1" t="e">
        <f>#REF!</f>
        <v>#REF!</v>
      </c>
      <c r="B76" s="1" t="e">
        <f>#REF!</f>
        <v>#REF!</v>
      </c>
      <c r="C76" s="1" t="e">
        <f>#REF!</f>
        <v>#REF!</v>
      </c>
      <c r="D76" s="1" t="e">
        <f>SUMIFS(#REF!,#REF!,A76)
+SUMIFS(#REF!,#REF!,A76)
+SUMIFS(#REF!,#REF!,A76)</f>
        <v>#REF!</v>
      </c>
    </row>
    <row r="77" spans="1:4" x14ac:dyDescent="0.25">
      <c r="A77" s="1" t="e">
        <f>#REF!</f>
        <v>#REF!</v>
      </c>
      <c r="B77" s="1" t="e">
        <f>#REF!</f>
        <v>#REF!</v>
      </c>
      <c r="C77" s="1" t="e">
        <f>#REF!</f>
        <v>#REF!</v>
      </c>
      <c r="D77" s="1" t="e">
        <f>SUMIFS(#REF!,#REF!,A77)
+SUMIFS(#REF!,#REF!,A77)
+SUMIFS(#REF!,#REF!,A77)</f>
        <v>#REF!</v>
      </c>
    </row>
    <row r="78" spans="1:4" x14ac:dyDescent="0.25">
      <c r="A78" s="1" t="e">
        <f>#REF!</f>
        <v>#REF!</v>
      </c>
      <c r="B78" s="1" t="e">
        <f>#REF!</f>
        <v>#REF!</v>
      </c>
      <c r="C78" s="1" t="e">
        <f>#REF!</f>
        <v>#REF!</v>
      </c>
      <c r="D78" s="1" t="e">
        <f>SUMIFS(#REF!,#REF!,A78)
+SUMIFS(#REF!,#REF!,A78)
+SUMIFS(#REF!,#REF!,A78)</f>
        <v>#REF!</v>
      </c>
    </row>
    <row r="79" spans="1:4" x14ac:dyDescent="0.25">
      <c r="A79" s="1" t="e">
        <f>#REF!</f>
        <v>#REF!</v>
      </c>
      <c r="B79" s="1" t="e">
        <f>#REF!</f>
        <v>#REF!</v>
      </c>
      <c r="C79" s="1" t="e">
        <f>#REF!</f>
        <v>#REF!</v>
      </c>
      <c r="D79" s="1" t="e">
        <f>SUMIFS(#REF!,#REF!,A79)
+SUMIFS(#REF!,#REF!,A79)
+SUMIFS(#REF!,#REF!,A79)</f>
        <v>#REF!</v>
      </c>
    </row>
    <row r="80" spans="1:4" x14ac:dyDescent="0.25">
      <c r="A80" s="1" t="e">
        <f>#REF!</f>
        <v>#REF!</v>
      </c>
      <c r="B80" s="1" t="e">
        <f>#REF!</f>
        <v>#REF!</v>
      </c>
      <c r="C80" s="1" t="e">
        <f>#REF!</f>
        <v>#REF!</v>
      </c>
      <c r="D80" s="1" t="e">
        <f>SUMIFS(#REF!,#REF!,A80)
+SUMIFS(#REF!,#REF!,A80)
+SUMIFS(#REF!,#REF!,A80)</f>
        <v>#REF!</v>
      </c>
    </row>
    <row r="81" spans="1:4" x14ac:dyDescent="0.25">
      <c r="A81" s="1" t="e">
        <f>#REF!</f>
        <v>#REF!</v>
      </c>
      <c r="B81" s="1" t="e">
        <f>#REF!</f>
        <v>#REF!</v>
      </c>
      <c r="C81" s="1" t="e">
        <f>#REF!</f>
        <v>#REF!</v>
      </c>
      <c r="D81" s="1" t="e">
        <f>SUMIFS(#REF!,#REF!,A81)
+SUMIFS(#REF!,#REF!,A81)
+SUMIFS(#REF!,#REF!,A81)</f>
        <v>#REF!</v>
      </c>
    </row>
    <row r="82" spans="1:4" x14ac:dyDescent="0.25">
      <c r="A82" s="1" t="e">
        <f>#REF!</f>
        <v>#REF!</v>
      </c>
      <c r="B82" s="1" t="e">
        <f>#REF!</f>
        <v>#REF!</v>
      </c>
      <c r="C82" s="1" t="e">
        <f>#REF!</f>
        <v>#REF!</v>
      </c>
      <c r="D82" s="1" t="e">
        <f>SUMIFS(#REF!,#REF!,A82)
+SUMIFS(#REF!,#REF!,A82)
+SUMIFS(#REF!,#REF!,A82)</f>
        <v>#REF!</v>
      </c>
    </row>
    <row r="83" spans="1:4" x14ac:dyDescent="0.25">
      <c r="A83" s="1" t="e">
        <f>#REF!</f>
        <v>#REF!</v>
      </c>
      <c r="B83" s="1" t="e">
        <f>#REF!</f>
        <v>#REF!</v>
      </c>
      <c r="C83" s="1" t="e">
        <f>#REF!</f>
        <v>#REF!</v>
      </c>
      <c r="D83" s="1" t="e">
        <f>SUMIFS(#REF!,#REF!,A83)
+SUMIFS(#REF!,#REF!,A83)
+SUMIFS(#REF!,#REF!,A83)</f>
        <v>#REF!</v>
      </c>
    </row>
    <row r="84" spans="1:4" x14ac:dyDescent="0.25">
      <c r="A84" s="1" t="e">
        <f>#REF!</f>
        <v>#REF!</v>
      </c>
      <c r="B84" s="1" t="e">
        <f>#REF!</f>
        <v>#REF!</v>
      </c>
      <c r="C84" s="1" t="e">
        <f>#REF!</f>
        <v>#REF!</v>
      </c>
      <c r="D84" s="1" t="e">
        <f>SUMIFS(#REF!,#REF!,A84)
+SUMIFS(#REF!,#REF!,A84)
+SUMIFS(#REF!,#REF!,A84)</f>
        <v>#REF!</v>
      </c>
    </row>
    <row r="85" spans="1:4" x14ac:dyDescent="0.25">
      <c r="A85" s="1" t="e">
        <f>#REF!</f>
        <v>#REF!</v>
      </c>
      <c r="B85" s="1" t="e">
        <f>#REF!</f>
        <v>#REF!</v>
      </c>
      <c r="C85" s="1" t="e">
        <f>#REF!</f>
        <v>#REF!</v>
      </c>
      <c r="D85" s="1" t="e">
        <f>SUMIFS(#REF!,#REF!,A85)
+SUMIFS(#REF!,#REF!,A85)
+SUMIFS(#REF!,#REF!,A85)</f>
        <v>#REF!</v>
      </c>
    </row>
    <row r="86" spans="1:4" x14ac:dyDescent="0.25">
      <c r="A86" s="1" t="e">
        <f>#REF!</f>
        <v>#REF!</v>
      </c>
      <c r="B86" s="1" t="e">
        <f>#REF!</f>
        <v>#REF!</v>
      </c>
      <c r="C86" s="1" t="e">
        <f>#REF!</f>
        <v>#REF!</v>
      </c>
      <c r="D86" s="1" t="e">
        <f>SUMIFS(#REF!,#REF!,A86)
+SUMIFS(#REF!,#REF!,A86)
+SUMIFS(#REF!,#REF!,A86)</f>
        <v>#REF!</v>
      </c>
    </row>
    <row r="87" spans="1:4" x14ac:dyDescent="0.25">
      <c r="A87" s="1" t="e">
        <f>#REF!</f>
        <v>#REF!</v>
      </c>
      <c r="B87" s="1" t="e">
        <f>#REF!</f>
        <v>#REF!</v>
      </c>
      <c r="C87" s="1" t="e">
        <f>#REF!</f>
        <v>#REF!</v>
      </c>
      <c r="D87" s="1" t="e">
        <f>SUMIFS(#REF!,#REF!,A87)
+SUMIFS(#REF!,#REF!,A87)
+SUMIFS(#REF!,#REF!,A87)</f>
        <v>#REF!</v>
      </c>
    </row>
    <row r="88" spans="1:4" x14ac:dyDescent="0.25">
      <c r="A88" s="1" t="e">
        <f>#REF!</f>
        <v>#REF!</v>
      </c>
      <c r="B88" s="1" t="e">
        <f>#REF!</f>
        <v>#REF!</v>
      </c>
      <c r="C88" s="1" t="e">
        <f>#REF!</f>
        <v>#REF!</v>
      </c>
      <c r="D88" s="1" t="e">
        <f>SUMIFS(#REF!,#REF!,A88)
+SUMIFS(#REF!,#REF!,A88)
+SUMIFS(#REF!,#REF!,A88)</f>
        <v>#REF!</v>
      </c>
    </row>
    <row r="89" spans="1:4" x14ac:dyDescent="0.25">
      <c r="A89" s="1" t="e">
        <f>#REF!</f>
        <v>#REF!</v>
      </c>
      <c r="B89" s="1" t="e">
        <f>#REF!</f>
        <v>#REF!</v>
      </c>
      <c r="C89" s="1" t="e">
        <f>#REF!</f>
        <v>#REF!</v>
      </c>
      <c r="D89" s="1" t="e">
        <f>SUMIFS(#REF!,#REF!,A89)
+SUMIFS(#REF!,#REF!,A89)
+SUMIFS(#REF!,#REF!,A89)</f>
        <v>#REF!</v>
      </c>
    </row>
    <row r="90" spans="1:4" x14ac:dyDescent="0.25">
      <c r="A90" s="1" t="e">
        <f>#REF!</f>
        <v>#REF!</v>
      </c>
      <c r="B90" s="1" t="e">
        <f>#REF!</f>
        <v>#REF!</v>
      </c>
      <c r="C90" s="1" t="e">
        <f>#REF!</f>
        <v>#REF!</v>
      </c>
      <c r="D90" s="1" t="e">
        <f>SUMIFS(#REF!,#REF!,A90)
+SUMIFS(#REF!,#REF!,A90)
+SUMIFS(#REF!,#REF!,A90)</f>
        <v>#REF!</v>
      </c>
    </row>
    <row r="91" spans="1:4" x14ac:dyDescent="0.25">
      <c r="A91" s="1" t="e">
        <f>#REF!</f>
        <v>#REF!</v>
      </c>
      <c r="B91" s="1" t="e">
        <f>#REF!</f>
        <v>#REF!</v>
      </c>
      <c r="C91" s="1" t="e">
        <f>#REF!</f>
        <v>#REF!</v>
      </c>
      <c r="D91" s="1" t="e">
        <f>SUMIFS(#REF!,#REF!,A91)
+SUMIFS(#REF!,#REF!,A91)
+SUMIFS(#REF!,#REF!,A91)</f>
        <v>#REF!</v>
      </c>
    </row>
    <row r="92" spans="1:4" x14ac:dyDescent="0.25">
      <c r="A92" s="1" t="e">
        <f>#REF!</f>
        <v>#REF!</v>
      </c>
      <c r="B92" s="1" t="e">
        <f>#REF!</f>
        <v>#REF!</v>
      </c>
      <c r="C92" s="1" t="e">
        <f>#REF!</f>
        <v>#REF!</v>
      </c>
      <c r="D92" s="1" t="e">
        <f>SUMIFS(#REF!,#REF!,A92)
+SUMIFS(#REF!,#REF!,A92)
+SUMIFS(#REF!,#REF!,A92)</f>
        <v>#REF!</v>
      </c>
    </row>
    <row r="93" spans="1:4" x14ac:dyDescent="0.25">
      <c r="A93" s="1" t="e">
        <f>#REF!</f>
        <v>#REF!</v>
      </c>
      <c r="B93" s="1" t="e">
        <f>#REF!</f>
        <v>#REF!</v>
      </c>
      <c r="C93" s="1" t="e">
        <f>#REF!</f>
        <v>#REF!</v>
      </c>
      <c r="D93" s="1" t="e">
        <f>SUMIFS(#REF!,#REF!,A93)
+SUMIFS(#REF!,#REF!,A93)
+SUMIFS(#REF!,#REF!,A93)</f>
        <v>#REF!</v>
      </c>
    </row>
    <row r="94" spans="1:4" x14ac:dyDescent="0.25">
      <c r="A94" s="1" t="e">
        <f>#REF!</f>
        <v>#REF!</v>
      </c>
      <c r="B94" s="1" t="e">
        <f>#REF!</f>
        <v>#REF!</v>
      </c>
      <c r="C94" s="1" t="e">
        <f>#REF!</f>
        <v>#REF!</v>
      </c>
      <c r="D94" s="1" t="e">
        <f>SUMIFS(#REF!,#REF!,A94)
+SUMIFS(#REF!,#REF!,A94)
+SUMIFS(#REF!,#REF!,A94)</f>
        <v>#REF!</v>
      </c>
    </row>
    <row r="95" spans="1:4" x14ac:dyDescent="0.25">
      <c r="A95" s="1" t="e">
        <f>#REF!</f>
        <v>#REF!</v>
      </c>
      <c r="B95" s="1" t="e">
        <f>#REF!</f>
        <v>#REF!</v>
      </c>
      <c r="C95" s="1" t="e">
        <f>#REF!</f>
        <v>#REF!</v>
      </c>
      <c r="D95" s="1" t="e">
        <f>SUMIFS(#REF!,#REF!,A95)
+SUMIFS(#REF!,#REF!,A95)
+SUMIFS(#REF!,#REF!,A95)</f>
        <v>#REF!</v>
      </c>
    </row>
    <row r="96" spans="1:4" x14ac:dyDescent="0.25">
      <c r="A96" s="1" t="e">
        <f>#REF!</f>
        <v>#REF!</v>
      </c>
      <c r="B96" s="1" t="e">
        <f>#REF!</f>
        <v>#REF!</v>
      </c>
      <c r="C96" s="1" t="e">
        <f>#REF!</f>
        <v>#REF!</v>
      </c>
      <c r="D96" s="1" t="e">
        <f>SUMIFS(#REF!,#REF!,A96)
+SUMIFS(#REF!,#REF!,A96)
+SUMIFS(#REF!,#REF!,A96)</f>
        <v>#REF!</v>
      </c>
    </row>
    <row r="97" spans="1:4" x14ac:dyDescent="0.25">
      <c r="A97" s="1" t="e">
        <f>#REF!</f>
        <v>#REF!</v>
      </c>
      <c r="B97" s="1" t="e">
        <f>#REF!</f>
        <v>#REF!</v>
      </c>
      <c r="C97" s="1" t="e">
        <f>#REF!</f>
        <v>#REF!</v>
      </c>
      <c r="D97" s="1" t="e">
        <f>SUMIFS(#REF!,#REF!,A97)
+SUMIFS(#REF!,#REF!,A97)
+SUMIFS(#REF!,#REF!,A97)</f>
        <v>#REF!</v>
      </c>
    </row>
    <row r="98" spans="1:4" x14ac:dyDescent="0.25">
      <c r="A98" s="1" t="e">
        <f>#REF!</f>
        <v>#REF!</v>
      </c>
      <c r="B98" s="1" t="e">
        <f>#REF!</f>
        <v>#REF!</v>
      </c>
      <c r="C98" s="1" t="e">
        <f>#REF!</f>
        <v>#REF!</v>
      </c>
      <c r="D98" s="1" t="e">
        <f>SUMIFS(#REF!,#REF!,A98)
+SUMIFS(#REF!,#REF!,A98)
+SUMIFS(#REF!,#REF!,A98)</f>
        <v>#REF!</v>
      </c>
    </row>
    <row r="99" spans="1:4" x14ac:dyDescent="0.25">
      <c r="A99" s="1" t="e">
        <f>#REF!</f>
        <v>#REF!</v>
      </c>
      <c r="B99" s="1" t="e">
        <f>#REF!</f>
        <v>#REF!</v>
      </c>
      <c r="C99" s="1" t="e">
        <f>#REF!</f>
        <v>#REF!</v>
      </c>
      <c r="D99" s="1" t="e">
        <f>SUMIFS(#REF!,#REF!,A99)
+SUMIFS(#REF!,#REF!,A99)
+SUMIFS(#REF!,#REF!,A99)</f>
        <v>#REF!</v>
      </c>
    </row>
    <row r="100" spans="1:4" x14ac:dyDescent="0.25">
      <c r="A100" s="1" t="e">
        <f>#REF!</f>
        <v>#REF!</v>
      </c>
      <c r="B100" s="1" t="e">
        <f>#REF!</f>
        <v>#REF!</v>
      </c>
      <c r="C100" s="1" t="e">
        <f>#REF!</f>
        <v>#REF!</v>
      </c>
      <c r="D100" s="1" t="e">
        <f>SUMIFS(#REF!,#REF!,A100)
+SUMIFS(#REF!,#REF!,A100)
+SUMIFS(#REF!,#REF!,A100)</f>
        <v>#REF!</v>
      </c>
    </row>
    <row r="101" spans="1:4" x14ac:dyDescent="0.25">
      <c r="A101" s="1" t="e">
        <f>#REF!</f>
        <v>#REF!</v>
      </c>
      <c r="B101" s="1" t="e">
        <f>#REF!</f>
        <v>#REF!</v>
      </c>
      <c r="C101" s="1" t="e">
        <f>#REF!</f>
        <v>#REF!</v>
      </c>
      <c r="D101" s="1" t="e">
        <f>SUMIFS(#REF!,#REF!,A101)
+SUMIFS(#REF!,#REF!,A101)
+SUMIFS(#REF!,#REF!,A101)</f>
        <v>#REF!</v>
      </c>
    </row>
    <row r="102" spans="1:4" x14ac:dyDescent="0.25">
      <c r="A102" s="1" t="e">
        <f>#REF!</f>
        <v>#REF!</v>
      </c>
      <c r="B102" s="1" t="e">
        <f>#REF!</f>
        <v>#REF!</v>
      </c>
      <c r="C102" s="1" t="e">
        <f>#REF!</f>
        <v>#REF!</v>
      </c>
      <c r="D102" s="1" t="e">
        <f>SUMIFS(#REF!,#REF!,A102)
+SUMIFS(#REF!,#REF!,A102)
+SUMIFS(#REF!,#REF!,A102)</f>
        <v>#REF!</v>
      </c>
    </row>
    <row r="103" spans="1:4" x14ac:dyDescent="0.25">
      <c r="A103" s="1" t="e">
        <f>#REF!</f>
        <v>#REF!</v>
      </c>
      <c r="B103" s="1" t="e">
        <f>#REF!</f>
        <v>#REF!</v>
      </c>
      <c r="C103" s="1" t="e">
        <f>#REF!</f>
        <v>#REF!</v>
      </c>
      <c r="D103" s="1" t="e">
        <f>SUMIFS(#REF!,#REF!,A103)
+SUMIFS(#REF!,#REF!,A103)
+SUMIFS(#REF!,#REF!,A103)</f>
        <v>#REF!</v>
      </c>
    </row>
    <row r="104" spans="1:4" x14ac:dyDescent="0.25">
      <c r="A104" s="1" t="e">
        <f>#REF!</f>
        <v>#REF!</v>
      </c>
      <c r="B104" s="1" t="e">
        <f>#REF!</f>
        <v>#REF!</v>
      </c>
      <c r="C104" s="1" t="e">
        <f>#REF!</f>
        <v>#REF!</v>
      </c>
      <c r="D104" s="1" t="e">
        <f>SUMIFS(#REF!,#REF!,A104)
+SUMIFS(#REF!,#REF!,A104)
+SUMIFS(#REF!,#REF!,A104)</f>
        <v>#REF!</v>
      </c>
    </row>
    <row r="105" spans="1:4" x14ac:dyDescent="0.25">
      <c r="A105" s="1" t="e">
        <f>#REF!</f>
        <v>#REF!</v>
      </c>
      <c r="B105" s="1" t="e">
        <f>#REF!</f>
        <v>#REF!</v>
      </c>
      <c r="C105" s="1" t="e">
        <f>#REF!</f>
        <v>#REF!</v>
      </c>
      <c r="D105" s="1" t="e">
        <f>SUMIFS(#REF!,#REF!,A105)
+SUMIFS(#REF!,#REF!,A105)
+SUMIFS(#REF!,#REF!,A105)</f>
        <v>#REF!</v>
      </c>
    </row>
    <row r="106" spans="1:4" x14ac:dyDescent="0.25">
      <c r="A106" s="1" t="e">
        <f>#REF!</f>
        <v>#REF!</v>
      </c>
      <c r="B106" s="1" t="e">
        <f>#REF!</f>
        <v>#REF!</v>
      </c>
      <c r="C106" s="1" t="e">
        <f>#REF!</f>
        <v>#REF!</v>
      </c>
      <c r="D106" s="1" t="e">
        <f>SUMIFS(#REF!,#REF!,A106)
+SUMIFS(#REF!,#REF!,A106)
+SUMIFS(#REF!,#REF!,A106)</f>
        <v>#REF!</v>
      </c>
    </row>
    <row r="107" spans="1:4" x14ac:dyDescent="0.25">
      <c r="A107" s="1" t="e">
        <f>#REF!</f>
        <v>#REF!</v>
      </c>
      <c r="B107" s="1" t="e">
        <f>#REF!</f>
        <v>#REF!</v>
      </c>
      <c r="C107" s="1" t="e">
        <f>#REF!</f>
        <v>#REF!</v>
      </c>
      <c r="D107" s="1" t="e">
        <f>SUMIFS(#REF!,#REF!,A107)
+SUMIFS(#REF!,#REF!,A107)
+SUMIFS(#REF!,#REF!,A107)</f>
        <v>#REF!</v>
      </c>
    </row>
    <row r="108" spans="1:4" x14ac:dyDescent="0.25">
      <c r="A108" s="1" t="e">
        <f>#REF!</f>
        <v>#REF!</v>
      </c>
      <c r="B108" s="1" t="e">
        <f>#REF!</f>
        <v>#REF!</v>
      </c>
      <c r="C108" s="1" t="e">
        <f>#REF!</f>
        <v>#REF!</v>
      </c>
      <c r="D108" s="1" t="e">
        <f>SUMIFS(#REF!,#REF!,A108)
+SUMIFS(#REF!,#REF!,A108)
+SUMIFS(#REF!,#REF!,A108)</f>
        <v>#REF!</v>
      </c>
    </row>
    <row r="109" spans="1:4" x14ac:dyDescent="0.25">
      <c r="A109" s="1" t="e">
        <f>#REF!</f>
        <v>#REF!</v>
      </c>
      <c r="B109" s="1" t="e">
        <f>#REF!</f>
        <v>#REF!</v>
      </c>
      <c r="C109" s="1" t="e">
        <f>#REF!</f>
        <v>#REF!</v>
      </c>
      <c r="D109" s="1" t="e">
        <f>SUMIFS(#REF!,#REF!,A109)
+SUMIFS(#REF!,#REF!,A109)
+SUMIFS(#REF!,#REF!,A109)</f>
        <v>#REF!</v>
      </c>
    </row>
    <row r="110" spans="1:4" x14ac:dyDescent="0.25">
      <c r="A110" s="1" t="e">
        <f>#REF!</f>
        <v>#REF!</v>
      </c>
      <c r="B110" s="1" t="e">
        <f>#REF!</f>
        <v>#REF!</v>
      </c>
      <c r="C110" s="1" t="e">
        <f>#REF!</f>
        <v>#REF!</v>
      </c>
      <c r="D110" s="1" t="e">
        <f>SUMIFS(#REF!,#REF!,A110)
+SUMIFS(#REF!,#REF!,A110)
+SUMIFS(#REF!,#REF!,A110)</f>
        <v>#REF!</v>
      </c>
    </row>
    <row r="111" spans="1:4" x14ac:dyDescent="0.25">
      <c r="A111" s="1" t="e">
        <f>#REF!</f>
        <v>#REF!</v>
      </c>
      <c r="B111" s="1" t="e">
        <f>#REF!</f>
        <v>#REF!</v>
      </c>
      <c r="C111" s="1" t="e">
        <f>#REF!</f>
        <v>#REF!</v>
      </c>
      <c r="D111" s="1" t="e">
        <f>SUMIFS(#REF!,#REF!,A111)
+SUMIFS(#REF!,#REF!,A111)
+SUMIFS(#REF!,#REF!,A111)</f>
        <v>#REF!</v>
      </c>
    </row>
    <row r="112" spans="1:4" x14ac:dyDescent="0.25">
      <c r="A112" s="1" t="e">
        <f>#REF!</f>
        <v>#REF!</v>
      </c>
      <c r="B112" s="1" t="e">
        <f>#REF!</f>
        <v>#REF!</v>
      </c>
      <c r="C112" s="1" t="e">
        <f>#REF!</f>
        <v>#REF!</v>
      </c>
      <c r="D112" s="1" t="e">
        <f>SUMIFS(#REF!,#REF!,A112)
+SUMIFS(#REF!,#REF!,A112)
+SUMIFS(#REF!,#REF!,A112)</f>
        <v>#REF!</v>
      </c>
    </row>
    <row r="113" spans="1:4" x14ac:dyDescent="0.25">
      <c r="A113" s="1" t="e">
        <f>#REF!</f>
        <v>#REF!</v>
      </c>
      <c r="B113" s="1" t="e">
        <f>#REF!</f>
        <v>#REF!</v>
      </c>
      <c r="C113" s="1" t="e">
        <f>#REF!</f>
        <v>#REF!</v>
      </c>
      <c r="D113" s="1" t="e">
        <f>SUMIFS(#REF!,#REF!,A113)
+SUMIFS(#REF!,#REF!,A113)
+SUMIFS(#REF!,#REF!,A113)</f>
        <v>#REF!</v>
      </c>
    </row>
    <row r="114" spans="1:4" x14ac:dyDescent="0.25">
      <c r="A114" s="1" t="e">
        <f>#REF!</f>
        <v>#REF!</v>
      </c>
      <c r="B114" s="1" t="e">
        <f>#REF!</f>
        <v>#REF!</v>
      </c>
      <c r="C114" s="1" t="e">
        <f>#REF!</f>
        <v>#REF!</v>
      </c>
      <c r="D114" s="1" t="e">
        <f>SUMIFS(#REF!,#REF!,A114)
+SUMIFS(#REF!,#REF!,A114)
+SUMIFS(#REF!,#REF!,A114)</f>
        <v>#REF!</v>
      </c>
    </row>
    <row r="115" spans="1:4" x14ac:dyDescent="0.25">
      <c r="A115" s="1" t="e">
        <f>#REF!</f>
        <v>#REF!</v>
      </c>
      <c r="B115" s="1" t="e">
        <f>#REF!</f>
        <v>#REF!</v>
      </c>
      <c r="C115" s="1" t="e">
        <f>#REF!</f>
        <v>#REF!</v>
      </c>
      <c r="D115" s="1" t="e">
        <f>SUMIFS(#REF!,#REF!,A115)
+SUMIFS(#REF!,#REF!,A115)
+SUMIFS(#REF!,#REF!,A115)</f>
        <v>#REF!</v>
      </c>
    </row>
    <row r="116" spans="1:4" x14ac:dyDescent="0.25">
      <c r="A116" s="1" t="e">
        <f>#REF!</f>
        <v>#REF!</v>
      </c>
      <c r="B116" s="1" t="e">
        <f>#REF!</f>
        <v>#REF!</v>
      </c>
      <c r="C116" s="1" t="e">
        <f>#REF!</f>
        <v>#REF!</v>
      </c>
      <c r="D116" s="1" t="e">
        <f>SUMIFS(#REF!,#REF!,A116)
+SUMIFS(#REF!,#REF!,A116)
+SUMIFS(#REF!,#REF!,A116)</f>
        <v>#REF!</v>
      </c>
    </row>
    <row r="117" spans="1:4" x14ac:dyDescent="0.25">
      <c r="A117" s="1" t="e">
        <f>#REF!</f>
        <v>#REF!</v>
      </c>
      <c r="B117" s="1" t="e">
        <f>#REF!</f>
        <v>#REF!</v>
      </c>
      <c r="C117" s="1" t="e">
        <f>#REF!</f>
        <v>#REF!</v>
      </c>
      <c r="D117" s="1" t="e">
        <f>SUMIFS(#REF!,#REF!,A117)
+SUMIFS(#REF!,#REF!,A117)
+SUMIFS(#REF!,#REF!,A117)</f>
        <v>#REF!</v>
      </c>
    </row>
    <row r="118" spans="1:4" x14ac:dyDescent="0.25">
      <c r="A118" s="1" t="e">
        <f>#REF!</f>
        <v>#REF!</v>
      </c>
      <c r="B118" s="1" t="e">
        <f>#REF!</f>
        <v>#REF!</v>
      </c>
      <c r="C118" s="1" t="e">
        <f>#REF!</f>
        <v>#REF!</v>
      </c>
      <c r="D118" s="1" t="e">
        <f>SUMIFS(#REF!,#REF!,A118)
+SUMIFS(#REF!,#REF!,A118)
+SUMIFS(#REF!,#REF!,A118)</f>
        <v>#REF!</v>
      </c>
    </row>
    <row r="119" spans="1:4" x14ac:dyDescent="0.25">
      <c r="A119" s="1" t="e">
        <f>#REF!</f>
        <v>#REF!</v>
      </c>
      <c r="B119" s="1" t="e">
        <f>#REF!</f>
        <v>#REF!</v>
      </c>
      <c r="C119" s="1" t="e">
        <f>#REF!</f>
        <v>#REF!</v>
      </c>
      <c r="D119" s="1" t="e">
        <f>SUMIFS(#REF!,#REF!,A119)
+SUMIFS(#REF!,#REF!,A119)
+SUMIFS(#REF!,#REF!,A119)</f>
        <v>#REF!</v>
      </c>
    </row>
    <row r="120" spans="1:4" x14ac:dyDescent="0.25">
      <c r="A120" s="1" t="e">
        <f>#REF!</f>
        <v>#REF!</v>
      </c>
      <c r="B120" s="1" t="e">
        <f>#REF!</f>
        <v>#REF!</v>
      </c>
      <c r="C120" s="1" t="e">
        <f>#REF!</f>
        <v>#REF!</v>
      </c>
      <c r="D120" s="1" t="e">
        <f>SUMIFS(#REF!,#REF!,A120)
+SUMIFS(#REF!,#REF!,A120)
+SUMIFS(#REF!,#REF!,A120)</f>
        <v>#REF!</v>
      </c>
    </row>
    <row r="121" spans="1:4" x14ac:dyDescent="0.25">
      <c r="A121" s="1" t="e">
        <f>#REF!</f>
        <v>#REF!</v>
      </c>
      <c r="B121" s="1" t="e">
        <f>#REF!</f>
        <v>#REF!</v>
      </c>
      <c r="C121" s="1" t="e">
        <f>#REF!</f>
        <v>#REF!</v>
      </c>
      <c r="D121" s="1" t="e">
        <f>SUMIFS(#REF!,#REF!,A121)
+SUMIFS(#REF!,#REF!,A121)
+SUMIFS(#REF!,#REF!,A121)</f>
        <v>#REF!</v>
      </c>
    </row>
    <row r="122" spans="1:4" x14ac:dyDescent="0.25">
      <c r="A122" s="1" t="e">
        <f>#REF!</f>
        <v>#REF!</v>
      </c>
      <c r="B122" s="1" t="e">
        <f>#REF!</f>
        <v>#REF!</v>
      </c>
      <c r="C122" s="1" t="e">
        <f>#REF!</f>
        <v>#REF!</v>
      </c>
      <c r="D122" s="1" t="e">
        <f>SUMIFS(#REF!,#REF!,A122)
+SUMIFS(#REF!,#REF!,A122)
+SUMIFS(#REF!,#REF!,A122)</f>
        <v>#REF!</v>
      </c>
    </row>
    <row r="123" spans="1:4" x14ac:dyDescent="0.25">
      <c r="A123" s="1" t="e">
        <f>#REF!</f>
        <v>#REF!</v>
      </c>
      <c r="B123" s="1" t="e">
        <f>#REF!</f>
        <v>#REF!</v>
      </c>
      <c r="C123" s="1" t="e">
        <f>#REF!</f>
        <v>#REF!</v>
      </c>
      <c r="D123" s="1" t="e">
        <f>SUMIFS(#REF!,#REF!,A123)
+SUMIFS(#REF!,#REF!,A123)
+SUMIFS(#REF!,#REF!,A123)</f>
        <v>#REF!</v>
      </c>
    </row>
    <row r="124" spans="1:4" x14ac:dyDescent="0.25">
      <c r="A124" s="1" t="e">
        <f>#REF!</f>
        <v>#REF!</v>
      </c>
      <c r="B124" s="1" t="e">
        <f>#REF!</f>
        <v>#REF!</v>
      </c>
      <c r="C124" s="1" t="e">
        <f>#REF!</f>
        <v>#REF!</v>
      </c>
      <c r="D124" s="1" t="e">
        <f>SUMIFS(#REF!,#REF!,A124)
+SUMIFS(#REF!,#REF!,A124)
+SUMIFS(#REF!,#REF!,A124)</f>
        <v>#REF!</v>
      </c>
    </row>
    <row r="125" spans="1:4" x14ac:dyDescent="0.25">
      <c r="A125" s="1" t="e">
        <f>#REF!</f>
        <v>#REF!</v>
      </c>
      <c r="B125" s="1" t="e">
        <f>#REF!</f>
        <v>#REF!</v>
      </c>
      <c r="C125" s="1" t="e">
        <f>#REF!</f>
        <v>#REF!</v>
      </c>
      <c r="D125" s="1" t="e">
        <f>SUMIFS(#REF!,#REF!,A125)
+SUMIFS(#REF!,#REF!,A125)
+SUMIFS(#REF!,#REF!,A125)</f>
        <v>#REF!</v>
      </c>
    </row>
    <row r="126" spans="1:4" x14ac:dyDescent="0.25">
      <c r="A126" s="1" t="e">
        <f>#REF!</f>
        <v>#REF!</v>
      </c>
      <c r="B126" s="1" t="e">
        <f>#REF!</f>
        <v>#REF!</v>
      </c>
      <c r="C126" s="1" t="e">
        <f>#REF!</f>
        <v>#REF!</v>
      </c>
      <c r="D126" s="1" t="e">
        <f>SUMIFS(#REF!,#REF!,A126)
+SUMIFS(#REF!,#REF!,A126)
+SUMIFS(#REF!,#REF!,A126)</f>
        <v>#REF!</v>
      </c>
    </row>
    <row r="127" spans="1:4" x14ac:dyDescent="0.25">
      <c r="A127" s="1" t="e">
        <f>#REF!</f>
        <v>#REF!</v>
      </c>
      <c r="B127" s="1" t="e">
        <f>#REF!</f>
        <v>#REF!</v>
      </c>
      <c r="C127" s="1" t="e">
        <f>#REF!</f>
        <v>#REF!</v>
      </c>
      <c r="D127" s="1" t="e">
        <f>SUMIFS(#REF!,#REF!,A127)
+SUMIFS(#REF!,#REF!,A127)
+SUMIFS(#REF!,#REF!,A127)</f>
        <v>#REF!</v>
      </c>
    </row>
    <row r="128" spans="1:4" x14ac:dyDescent="0.25">
      <c r="A128" s="1" t="e">
        <f>#REF!</f>
        <v>#REF!</v>
      </c>
      <c r="B128" s="1" t="e">
        <f>#REF!</f>
        <v>#REF!</v>
      </c>
      <c r="C128" s="1" t="e">
        <f>#REF!</f>
        <v>#REF!</v>
      </c>
      <c r="D128" s="1" t="e">
        <f>SUMIFS(#REF!,#REF!,A128)
+SUMIFS(#REF!,#REF!,A128)
+SUMIFS(#REF!,#REF!,A128)</f>
        <v>#REF!</v>
      </c>
    </row>
    <row r="129" spans="1:4" x14ac:dyDescent="0.25">
      <c r="A129" s="1" t="e">
        <f>#REF!</f>
        <v>#REF!</v>
      </c>
      <c r="B129" s="1" t="e">
        <f>#REF!</f>
        <v>#REF!</v>
      </c>
      <c r="C129" s="1" t="e">
        <f>#REF!</f>
        <v>#REF!</v>
      </c>
      <c r="D129" s="1" t="e">
        <f>SUMIFS(#REF!,#REF!,A129)
+SUMIFS(#REF!,#REF!,A129)
+SUMIFS(#REF!,#REF!,A129)</f>
        <v>#REF!</v>
      </c>
    </row>
    <row r="130" spans="1:4" x14ac:dyDescent="0.25">
      <c r="A130" s="1" t="e">
        <f>#REF!</f>
        <v>#REF!</v>
      </c>
      <c r="B130" s="1" t="e">
        <f>#REF!</f>
        <v>#REF!</v>
      </c>
      <c r="C130" s="1" t="e">
        <f>#REF!</f>
        <v>#REF!</v>
      </c>
      <c r="D130" s="1" t="e">
        <f>SUMIFS(#REF!,#REF!,A130)
+SUMIFS(#REF!,#REF!,A130)
+SUMIFS(#REF!,#REF!,A130)</f>
        <v>#REF!</v>
      </c>
    </row>
    <row r="131" spans="1:4" x14ac:dyDescent="0.25">
      <c r="A131" s="1" t="e">
        <f>#REF!</f>
        <v>#REF!</v>
      </c>
      <c r="B131" s="1" t="e">
        <f>#REF!</f>
        <v>#REF!</v>
      </c>
      <c r="C131" s="1" t="e">
        <f>#REF!</f>
        <v>#REF!</v>
      </c>
      <c r="D131" s="1" t="e">
        <f>SUMIFS(#REF!,#REF!,A131)
+SUMIFS(#REF!,#REF!,A131)
+SUMIFS(#REF!,#REF!,A131)</f>
        <v>#REF!</v>
      </c>
    </row>
    <row r="132" spans="1:4" x14ac:dyDescent="0.25">
      <c r="A132" s="1" t="e">
        <f>#REF!</f>
        <v>#REF!</v>
      </c>
      <c r="B132" s="1" t="e">
        <f>#REF!</f>
        <v>#REF!</v>
      </c>
      <c r="C132" s="1" t="e">
        <f>#REF!</f>
        <v>#REF!</v>
      </c>
      <c r="D132" s="1" t="e">
        <f>SUMIFS(#REF!,#REF!,A132)
+SUMIFS(#REF!,#REF!,A132)
+SUMIFS(#REF!,#REF!,A132)</f>
        <v>#REF!</v>
      </c>
    </row>
    <row r="133" spans="1:4" x14ac:dyDescent="0.25">
      <c r="A133" s="1" t="e">
        <f>#REF!</f>
        <v>#REF!</v>
      </c>
      <c r="B133" s="1" t="e">
        <f>#REF!</f>
        <v>#REF!</v>
      </c>
      <c r="C133" s="1" t="e">
        <f>#REF!</f>
        <v>#REF!</v>
      </c>
      <c r="D133" s="1" t="e">
        <f>SUMIFS(#REF!,#REF!,A133)
+SUMIFS(#REF!,#REF!,A133)
+SUMIFS(#REF!,#REF!,A133)</f>
        <v>#REF!</v>
      </c>
    </row>
    <row r="134" spans="1:4" x14ac:dyDescent="0.25">
      <c r="A134" s="1" t="e">
        <f>#REF!</f>
        <v>#REF!</v>
      </c>
      <c r="B134" s="1" t="e">
        <f>#REF!</f>
        <v>#REF!</v>
      </c>
      <c r="C134" s="1" t="e">
        <f>#REF!</f>
        <v>#REF!</v>
      </c>
      <c r="D134" s="1" t="e">
        <f>SUMIFS(#REF!,#REF!,A134)
+SUMIFS(#REF!,#REF!,A134)
+SUMIFS(#REF!,#REF!,A134)</f>
        <v>#REF!</v>
      </c>
    </row>
    <row r="135" spans="1:4" x14ac:dyDescent="0.25">
      <c r="A135" s="1" t="e">
        <f>#REF!</f>
        <v>#REF!</v>
      </c>
      <c r="B135" s="1" t="e">
        <f>#REF!</f>
        <v>#REF!</v>
      </c>
      <c r="C135" s="1" t="e">
        <f>#REF!</f>
        <v>#REF!</v>
      </c>
      <c r="D135" s="1" t="e">
        <f>SUMIFS(#REF!,#REF!,A135)
+SUMIFS(#REF!,#REF!,A135)
+SUMIFS(#REF!,#REF!,A135)</f>
        <v>#REF!</v>
      </c>
    </row>
    <row r="136" spans="1:4" x14ac:dyDescent="0.25">
      <c r="A136" s="1" t="e">
        <f>#REF!</f>
        <v>#REF!</v>
      </c>
      <c r="B136" s="1" t="e">
        <f>#REF!</f>
        <v>#REF!</v>
      </c>
      <c r="C136" s="1" t="e">
        <f>#REF!</f>
        <v>#REF!</v>
      </c>
      <c r="D136" s="1" t="e">
        <f>SUMIFS(#REF!,#REF!,A136)
+SUMIFS(#REF!,#REF!,A136)
+SUMIFS(#REF!,#REF!,A136)</f>
        <v>#REF!</v>
      </c>
    </row>
    <row r="137" spans="1:4" x14ac:dyDescent="0.25">
      <c r="A137" s="1" t="e">
        <f>#REF!</f>
        <v>#REF!</v>
      </c>
      <c r="B137" s="1" t="e">
        <f>#REF!</f>
        <v>#REF!</v>
      </c>
      <c r="C137" s="1" t="e">
        <f>#REF!</f>
        <v>#REF!</v>
      </c>
      <c r="D137" s="1" t="e">
        <f>SUMIFS(#REF!,#REF!,A137)
+SUMIFS(#REF!,#REF!,A137)
+SUMIFS(#REF!,#REF!,A137)</f>
        <v>#REF!</v>
      </c>
    </row>
    <row r="138" spans="1:4" x14ac:dyDescent="0.25">
      <c r="A138" s="1" t="e">
        <f>#REF!</f>
        <v>#REF!</v>
      </c>
      <c r="B138" s="1" t="e">
        <f>#REF!</f>
        <v>#REF!</v>
      </c>
      <c r="C138" s="1" t="e">
        <f>#REF!</f>
        <v>#REF!</v>
      </c>
      <c r="D138" s="1" t="e">
        <f>SUMIFS(#REF!,#REF!,A138)
+SUMIFS(#REF!,#REF!,A138)
+SUMIFS(#REF!,#REF!,A138)</f>
        <v>#REF!</v>
      </c>
    </row>
    <row r="139" spans="1:4" x14ac:dyDescent="0.25">
      <c r="A139" s="1" t="e">
        <f>#REF!</f>
        <v>#REF!</v>
      </c>
      <c r="B139" s="1" t="e">
        <f>#REF!</f>
        <v>#REF!</v>
      </c>
      <c r="C139" s="1" t="e">
        <f>#REF!</f>
        <v>#REF!</v>
      </c>
      <c r="D139" s="1" t="e">
        <f>SUMIFS(#REF!,#REF!,A139)
+SUMIFS(#REF!,#REF!,A139)
+SUMIFS(#REF!,#REF!,A139)</f>
        <v>#REF!</v>
      </c>
    </row>
    <row r="140" spans="1:4" x14ac:dyDescent="0.25">
      <c r="A140" s="1" t="e">
        <f>#REF!</f>
        <v>#REF!</v>
      </c>
      <c r="B140" s="1" t="e">
        <f>#REF!</f>
        <v>#REF!</v>
      </c>
      <c r="C140" s="1" t="e">
        <f>#REF!</f>
        <v>#REF!</v>
      </c>
      <c r="D140" s="1" t="e">
        <f>SUMIFS(#REF!,#REF!,A140)
+SUMIFS(#REF!,#REF!,A140)
+SUMIFS(#REF!,#REF!,A140)</f>
        <v>#REF!</v>
      </c>
    </row>
    <row r="141" spans="1:4" x14ac:dyDescent="0.25">
      <c r="A141" s="1" t="e">
        <f>#REF!</f>
        <v>#REF!</v>
      </c>
      <c r="B141" s="1" t="e">
        <f>#REF!</f>
        <v>#REF!</v>
      </c>
      <c r="C141" s="1" t="e">
        <f>#REF!</f>
        <v>#REF!</v>
      </c>
      <c r="D141" s="1" t="e">
        <f>SUMIFS(#REF!,#REF!,A141)
+SUMIFS(#REF!,#REF!,A141)
+SUMIFS(#REF!,#REF!,A141)</f>
        <v>#REF!</v>
      </c>
    </row>
    <row r="142" spans="1:4" x14ac:dyDescent="0.25">
      <c r="A142" s="1" t="e">
        <f>#REF!</f>
        <v>#REF!</v>
      </c>
      <c r="B142" s="1" t="e">
        <f>#REF!</f>
        <v>#REF!</v>
      </c>
      <c r="C142" s="1" t="e">
        <f>#REF!</f>
        <v>#REF!</v>
      </c>
      <c r="D142" s="1" t="e">
        <f>SUMIFS(#REF!,#REF!,A142)
+SUMIFS(#REF!,#REF!,A142)
+SUMIFS(#REF!,#REF!,A142)</f>
        <v>#REF!</v>
      </c>
    </row>
    <row r="143" spans="1:4" x14ac:dyDescent="0.25">
      <c r="A143" s="1" t="e">
        <f>#REF!</f>
        <v>#REF!</v>
      </c>
      <c r="B143" s="1" t="e">
        <f>#REF!</f>
        <v>#REF!</v>
      </c>
      <c r="C143" s="1" t="e">
        <f>#REF!</f>
        <v>#REF!</v>
      </c>
      <c r="D143" s="1" t="e">
        <f>SUMIFS(#REF!,#REF!,A143)
+SUMIFS(#REF!,#REF!,A143)
+SUMIFS(#REF!,#REF!,A143)</f>
        <v>#REF!</v>
      </c>
    </row>
    <row r="144" spans="1:4" x14ac:dyDescent="0.25">
      <c r="A144" s="1" t="e">
        <f>#REF!</f>
        <v>#REF!</v>
      </c>
      <c r="B144" s="1" t="e">
        <f>#REF!</f>
        <v>#REF!</v>
      </c>
      <c r="C144" s="1" t="e">
        <f>#REF!</f>
        <v>#REF!</v>
      </c>
      <c r="D144" s="1" t="e">
        <f>SUMIFS(#REF!,#REF!,A144)
+SUMIFS(#REF!,#REF!,A144)
+SUMIFS(#REF!,#REF!,A144)</f>
        <v>#REF!</v>
      </c>
    </row>
    <row r="145" spans="1:4" x14ac:dyDescent="0.25">
      <c r="A145" s="1" t="e">
        <f>#REF!</f>
        <v>#REF!</v>
      </c>
      <c r="B145" s="1" t="e">
        <f>#REF!</f>
        <v>#REF!</v>
      </c>
      <c r="C145" s="1" t="e">
        <f>#REF!</f>
        <v>#REF!</v>
      </c>
      <c r="D145" s="1" t="e">
        <f>SUMIFS(#REF!,#REF!,A145)
+SUMIFS(#REF!,#REF!,A145)
+SUMIFS(#REF!,#REF!,A145)</f>
        <v>#REF!</v>
      </c>
    </row>
    <row r="146" spans="1:4" x14ac:dyDescent="0.25">
      <c r="A146" s="1" t="e">
        <f>#REF!</f>
        <v>#REF!</v>
      </c>
      <c r="B146" s="1" t="e">
        <f>#REF!</f>
        <v>#REF!</v>
      </c>
      <c r="C146" s="1" t="e">
        <f>#REF!</f>
        <v>#REF!</v>
      </c>
      <c r="D146" s="1" t="e">
        <f>SUMIFS(#REF!,#REF!,A146)
+SUMIFS(#REF!,#REF!,A146)
+SUMIFS(#REF!,#REF!,A146)</f>
        <v>#REF!</v>
      </c>
    </row>
    <row r="147" spans="1:4" x14ac:dyDescent="0.25">
      <c r="A147" s="1" t="e">
        <f>#REF!</f>
        <v>#REF!</v>
      </c>
      <c r="B147" s="1" t="e">
        <f>#REF!</f>
        <v>#REF!</v>
      </c>
      <c r="C147" s="1" t="e">
        <f>#REF!</f>
        <v>#REF!</v>
      </c>
      <c r="D147" s="1" t="e">
        <f>SUMIFS(#REF!,#REF!,A147)
+SUMIFS(#REF!,#REF!,A147)
+SUMIFS(#REF!,#REF!,A147)</f>
        <v>#REF!</v>
      </c>
    </row>
    <row r="148" spans="1:4" x14ac:dyDescent="0.25">
      <c r="A148" s="1" t="e">
        <f>#REF!</f>
        <v>#REF!</v>
      </c>
      <c r="B148" s="1" t="e">
        <f>#REF!</f>
        <v>#REF!</v>
      </c>
      <c r="C148" s="1" t="e">
        <f>#REF!</f>
        <v>#REF!</v>
      </c>
      <c r="D148" s="1" t="e">
        <f>SUMIFS(#REF!,#REF!,A148)
+SUMIFS(#REF!,#REF!,A148)
+SUMIFS(#REF!,#REF!,A148)</f>
        <v>#REF!</v>
      </c>
    </row>
    <row r="149" spans="1:4" x14ac:dyDescent="0.25">
      <c r="A149" s="1" t="e">
        <f>#REF!</f>
        <v>#REF!</v>
      </c>
      <c r="B149" s="1" t="e">
        <f>#REF!</f>
        <v>#REF!</v>
      </c>
      <c r="C149" s="1" t="e">
        <f>#REF!</f>
        <v>#REF!</v>
      </c>
      <c r="D149" s="1" t="e">
        <f>SUMIFS(#REF!,#REF!,A149)
+SUMIFS(#REF!,#REF!,A149)
+SUMIFS(#REF!,#REF!,A149)</f>
        <v>#REF!</v>
      </c>
    </row>
    <row r="150" spans="1:4" x14ac:dyDescent="0.25">
      <c r="A150" s="1" t="e">
        <f>#REF!</f>
        <v>#REF!</v>
      </c>
      <c r="B150" s="1" t="e">
        <f>#REF!</f>
        <v>#REF!</v>
      </c>
      <c r="C150" s="1" t="e">
        <f>#REF!</f>
        <v>#REF!</v>
      </c>
      <c r="D150" s="1" t="e">
        <f>SUMIFS(#REF!,#REF!,A150)
+SUMIFS(#REF!,#REF!,A150)
+SUMIFS(#REF!,#REF!,A150)</f>
        <v>#REF!</v>
      </c>
    </row>
    <row r="151" spans="1:4" x14ac:dyDescent="0.25">
      <c r="A151" s="1" t="e">
        <f>#REF!</f>
        <v>#REF!</v>
      </c>
      <c r="B151" s="1" t="e">
        <f>#REF!</f>
        <v>#REF!</v>
      </c>
      <c r="C151" s="1" t="e">
        <f>#REF!</f>
        <v>#REF!</v>
      </c>
      <c r="D151" s="1" t="e">
        <f>SUMIFS(#REF!,#REF!,A151)
+SUMIFS(#REF!,#REF!,A151)
+SUMIFS(#REF!,#REF!,A151)</f>
        <v>#REF!</v>
      </c>
    </row>
    <row r="152" spans="1:4" x14ac:dyDescent="0.25">
      <c r="A152" s="1" t="e">
        <f>#REF!</f>
        <v>#REF!</v>
      </c>
      <c r="B152" s="1" t="e">
        <f>#REF!</f>
        <v>#REF!</v>
      </c>
      <c r="C152" s="1" t="e">
        <f>#REF!</f>
        <v>#REF!</v>
      </c>
      <c r="D152" s="1" t="e">
        <f>SUMIFS(#REF!,#REF!,A152)
+SUMIFS(#REF!,#REF!,A152)
+SUMIFS(#REF!,#REF!,A152)</f>
        <v>#REF!</v>
      </c>
    </row>
    <row r="153" spans="1:4" x14ac:dyDescent="0.25">
      <c r="A153" s="1" t="e">
        <f>#REF!</f>
        <v>#REF!</v>
      </c>
      <c r="B153" s="1" t="e">
        <f>#REF!</f>
        <v>#REF!</v>
      </c>
      <c r="C153" s="1" t="e">
        <f>#REF!</f>
        <v>#REF!</v>
      </c>
      <c r="D153" s="1" t="e">
        <f>SUMIFS(#REF!,#REF!,A153)
+SUMIFS(#REF!,#REF!,A153)
+SUMIFS(#REF!,#REF!,A153)</f>
        <v>#REF!</v>
      </c>
    </row>
    <row r="154" spans="1:4" x14ac:dyDescent="0.25">
      <c r="A154" s="1" t="e">
        <f>#REF!</f>
        <v>#REF!</v>
      </c>
      <c r="B154" s="1" t="e">
        <f>#REF!</f>
        <v>#REF!</v>
      </c>
      <c r="C154" s="1" t="e">
        <f>#REF!</f>
        <v>#REF!</v>
      </c>
      <c r="D154" s="1" t="e">
        <f>SUMIFS(#REF!,#REF!,A154)
+SUMIFS(#REF!,#REF!,A154)
+SUMIFS(#REF!,#REF!,A154)</f>
        <v>#REF!</v>
      </c>
    </row>
    <row r="155" spans="1:4" x14ac:dyDescent="0.25">
      <c r="A155" s="1" t="e">
        <f>#REF!</f>
        <v>#REF!</v>
      </c>
      <c r="B155" s="1" t="e">
        <f>#REF!</f>
        <v>#REF!</v>
      </c>
      <c r="C155" s="1" t="e">
        <f>#REF!</f>
        <v>#REF!</v>
      </c>
      <c r="D155" s="1" t="e">
        <f>SUMIFS(#REF!,#REF!,A155)
+SUMIFS(#REF!,#REF!,A155)
+SUMIFS(#REF!,#REF!,A155)</f>
        <v>#REF!</v>
      </c>
    </row>
    <row r="156" spans="1:4" x14ac:dyDescent="0.25">
      <c r="A156" s="1" t="e">
        <f>#REF!</f>
        <v>#REF!</v>
      </c>
      <c r="B156" s="1" t="e">
        <f>#REF!</f>
        <v>#REF!</v>
      </c>
      <c r="C156" s="1" t="e">
        <f>#REF!</f>
        <v>#REF!</v>
      </c>
      <c r="D156" s="1" t="e">
        <f>SUMIFS(#REF!,#REF!,A156)
+SUMIFS(#REF!,#REF!,A156)
+SUMIFS(#REF!,#REF!,A156)</f>
        <v>#REF!</v>
      </c>
    </row>
    <row r="157" spans="1:4" x14ac:dyDescent="0.25">
      <c r="A157" s="1" t="e">
        <f>#REF!</f>
        <v>#REF!</v>
      </c>
      <c r="B157" s="1" t="e">
        <f>#REF!</f>
        <v>#REF!</v>
      </c>
      <c r="C157" s="1" t="e">
        <f>#REF!</f>
        <v>#REF!</v>
      </c>
      <c r="D157" s="1" t="e">
        <f>SUMIFS(#REF!,#REF!,A157)
+SUMIFS(#REF!,#REF!,A157)
+SUMIFS(#REF!,#REF!,A157)</f>
        <v>#REF!</v>
      </c>
    </row>
    <row r="158" spans="1:4" x14ac:dyDescent="0.25">
      <c r="A158" s="1" t="e">
        <f>#REF!</f>
        <v>#REF!</v>
      </c>
      <c r="B158" s="1" t="e">
        <f>#REF!</f>
        <v>#REF!</v>
      </c>
      <c r="C158" s="1" t="e">
        <f>#REF!</f>
        <v>#REF!</v>
      </c>
      <c r="D158" s="1" t="e">
        <f>SUMIFS(#REF!,#REF!,A158)
+SUMIFS(#REF!,#REF!,A158)
+SUMIFS(#REF!,#REF!,A158)</f>
        <v>#REF!</v>
      </c>
    </row>
    <row r="159" spans="1:4" x14ac:dyDescent="0.25">
      <c r="A159" s="1" t="e">
        <f>#REF!</f>
        <v>#REF!</v>
      </c>
      <c r="B159" s="1" t="e">
        <f>#REF!</f>
        <v>#REF!</v>
      </c>
      <c r="C159" s="1" t="e">
        <f>#REF!</f>
        <v>#REF!</v>
      </c>
      <c r="D159" s="1" t="e">
        <f>SUMIFS(#REF!,#REF!,A159)
+SUMIFS(#REF!,#REF!,A159)
+SUMIFS(#REF!,#REF!,A159)</f>
        <v>#REF!</v>
      </c>
    </row>
    <row r="160" spans="1:4" x14ac:dyDescent="0.25">
      <c r="A160" s="1" t="e">
        <f>#REF!</f>
        <v>#REF!</v>
      </c>
      <c r="B160" s="1" t="e">
        <f>#REF!</f>
        <v>#REF!</v>
      </c>
      <c r="C160" s="1" t="e">
        <f>#REF!</f>
        <v>#REF!</v>
      </c>
      <c r="D160" s="1" t="e">
        <f>SUMIFS(#REF!,#REF!,A160)
+SUMIFS(#REF!,#REF!,A160)
+SUMIFS(#REF!,#REF!,A160)</f>
        <v>#REF!</v>
      </c>
    </row>
    <row r="161" spans="1:4" x14ac:dyDescent="0.25">
      <c r="A161" s="1" t="e">
        <f>#REF!</f>
        <v>#REF!</v>
      </c>
      <c r="B161" s="1" t="e">
        <f>#REF!</f>
        <v>#REF!</v>
      </c>
      <c r="C161" s="1" t="e">
        <f>#REF!</f>
        <v>#REF!</v>
      </c>
      <c r="D161" s="1" t="e">
        <f>SUMIFS(#REF!,#REF!,A161)
+SUMIFS(#REF!,#REF!,A161)
+SUMIFS(#REF!,#REF!,A161)</f>
        <v>#REF!</v>
      </c>
    </row>
    <row r="162" spans="1:4" x14ac:dyDescent="0.25">
      <c r="A162" s="1" t="e">
        <f>#REF!</f>
        <v>#REF!</v>
      </c>
      <c r="B162" s="1" t="e">
        <f>#REF!</f>
        <v>#REF!</v>
      </c>
      <c r="C162" s="1" t="e">
        <f>#REF!</f>
        <v>#REF!</v>
      </c>
      <c r="D162" s="1" t="e">
        <f>SUMIFS(#REF!,#REF!,A162)
+SUMIFS(#REF!,#REF!,A162)
+SUMIFS(#REF!,#REF!,A162)</f>
        <v>#REF!</v>
      </c>
    </row>
    <row r="163" spans="1:4" x14ac:dyDescent="0.25">
      <c r="A163" s="1" t="e">
        <f>#REF!</f>
        <v>#REF!</v>
      </c>
      <c r="B163" s="1" t="e">
        <f>#REF!</f>
        <v>#REF!</v>
      </c>
      <c r="C163" s="1" t="e">
        <f>#REF!</f>
        <v>#REF!</v>
      </c>
      <c r="D163" s="1" t="e">
        <f>SUMIFS(#REF!,#REF!,A163)
+SUMIFS(#REF!,#REF!,A163)
+SUMIFS(#REF!,#REF!,A163)</f>
        <v>#REF!</v>
      </c>
    </row>
    <row r="164" spans="1:4" x14ac:dyDescent="0.25">
      <c r="A164" s="1" t="e">
        <f>#REF!</f>
        <v>#REF!</v>
      </c>
      <c r="B164" s="1" t="e">
        <f>#REF!</f>
        <v>#REF!</v>
      </c>
      <c r="C164" s="1" t="e">
        <f>#REF!</f>
        <v>#REF!</v>
      </c>
      <c r="D164" s="1" t="e">
        <f>SUMIFS(#REF!,#REF!,A164)
+SUMIFS(#REF!,#REF!,A164)
+SUMIFS(#REF!,#REF!,A164)</f>
        <v>#REF!</v>
      </c>
    </row>
    <row r="165" spans="1:4" x14ac:dyDescent="0.25">
      <c r="A165" s="1" t="e">
        <f>#REF!</f>
        <v>#REF!</v>
      </c>
      <c r="B165" s="1" t="e">
        <f>#REF!</f>
        <v>#REF!</v>
      </c>
      <c r="C165" s="1" t="e">
        <f>#REF!</f>
        <v>#REF!</v>
      </c>
      <c r="D165" s="1" t="e">
        <f>SUMIFS(#REF!,#REF!,A165)
+SUMIFS(#REF!,#REF!,A165)
+SUMIFS(#REF!,#REF!,A165)</f>
        <v>#REF!</v>
      </c>
    </row>
    <row r="166" spans="1:4" x14ac:dyDescent="0.25">
      <c r="A166" s="1" t="e">
        <f>#REF!</f>
        <v>#REF!</v>
      </c>
      <c r="B166" s="1" t="e">
        <f>#REF!</f>
        <v>#REF!</v>
      </c>
      <c r="C166" s="1" t="e">
        <f>#REF!</f>
        <v>#REF!</v>
      </c>
      <c r="D166" s="1" t="e">
        <f>SUMIFS(#REF!,#REF!,A166)
+SUMIFS(#REF!,#REF!,A166)
+SUMIFS(#REF!,#REF!,A166)</f>
        <v>#REF!</v>
      </c>
    </row>
    <row r="167" spans="1:4" x14ac:dyDescent="0.25">
      <c r="A167" s="1" t="e">
        <f>#REF!</f>
        <v>#REF!</v>
      </c>
      <c r="B167" s="1" t="e">
        <f>#REF!</f>
        <v>#REF!</v>
      </c>
      <c r="C167" s="1" t="e">
        <f>#REF!</f>
        <v>#REF!</v>
      </c>
      <c r="D167" s="1" t="e">
        <f>SUMIFS(#REF!,#REF!,A167)
+SUMIFS(#REF!,#REF!,A167)
+SUMIFS(#REF!,#REF!,A167)</f>
        <v>#REF!</v>
      </c>
    </row>
    <row r="168" spans="1:4" x14ac:dyDescent="0.25">
      <c r="A168" s="1" t="e">
        <f>#REF!</f>
        <v>#REF!</v>
      </c>
      <c r="B168" s="1" t="e">
        <f>#REF!</f>
        <v>#REF!</v>
      </c>
      <c r="C168" s="1" t="e">
        <f>#REF!</f>
        <v>#REF!</v>
      </c>
      <c r="D168" s="1" t="e">
        <f>SUMIFS(#REF!,#REF!,A168)
+SUMIFS(#REF!,#REF!,A168)
+SUMIFS(#REF!,#REF!,A168)</f>
        <v>#REF!</v>
      </c>
    </row>
    <row r="169" spans="1:4" x14ac:dyDescent="0.25">
      <c r="A169" s="1" t="e">
        <f>#REF!</f>
        <v>#REF!</v>
      </c>
      <c r="B169" s="1" t="e">
        <f>#REF!</f>
        <v>#REF!</v>
      </c>
      <c r="C169" s="1" t="e">
        <f>#REF!</f>
        <v>#REF!</v>
      </c>
      <c r="D169" s="1" t="e">
        <f>SUMIFS(#REF!,#REF!,A169)
+SUMIFS(#REF!,#REF!,A169)
+SUMIFS(#REF!,#REF!,A169)</f>
        <v>#REF!</v>
      </c>
    </row>
    <row r="170" spans="1:4" x14ac:dyDescent="0.25">
      <c r="A170" s="1" t="e">
        <f>#REF!</f>
        <v>#REF!</v>
      </c>
      <c r="B170" s="1" t="e">
        <f>#REF!</f>
        <v>#REF!</v>
      </c>
      <c r="C170" s="1" t="e">
        <f>#REF!</f>
        <v>#REF!</v>
      </c>
      <c r="D170" s="1" t="e">
        <f>SUMIFS(#REF!,#REF!,A170)
+SUMIFS(#REF!,#REF!,A170)
+SUMIFS(#REF!,#REF!,A170)</f>
        <v>#REF!</v>
      </c>
    </row>
    <row r="171" spans="1:4" x14ac:dyDescent="0.25">
      <c r="A171" s="1" t="e">
        <f>#REF!</f>
        <v>#REF!</v>
      </c>
      <c r="B171" s="1" t="e">
        <f>#REF!</f>
        <v>#REF!</v>
      </c>
      <c r="C171" s="1" t="e">
        <f>#REF!</f>
        <v>#REF!</v>
      </c>
      <c r="D171" s="1" t="e">
        <f>SUMIFS(#REF!,#REF!,A171)
+SUMIFS(#REF!,#REF!,A171)
+SUMIFS(#REF!,#REF!,A171)</f>
        <v>#REF!</v>
      </c>
    </row>
    <row r="172" spans="1:4" x14ac:dyDescent="0.25">
      <c r="A172" s="1" t="e">
        <f>#REF!</f>
        <v>#REF!</v>
      </c>
      <c r="B172" s="1" t="e">
        <f>#REF!</f>
        <v>#REF!</v>
      </c>
      <c r="C172" s="1" t="e">
        <f>#REF!</f>
        <v>#REF!</v>
      </c>
      <c r="D172" s="1" t="e">
        <f>SUMIFS(#REF!,#REF!,A172)
+SUMIFS(#REF!,#REF!,A172)
+SUMIFS(#REF!,#REF!,A172)</f>
        <v>#REF!</v>
      </c>
    </row>
    <row r="173" spans="1:4" x14ac:dyDescent="0.25">
      <c r="A173" s="1" t="e">
        <f>#REF!</f>
        <v>#REF!</v>
      </c>
      <c r="B173" s="1" t="e">
        <f>#REF!</f>
        <v>#REF!</v>
      </c>
      <c r="C173" s="1" t="e">
        <f>#REF!</f>
        <v>#REF!</v>
      </c>
      <c r="D173" s="1" t="e">
        <f>SUMIFS(#REF!,#REF!,A173)
+SUMIFS(#REF!,#REF!,A173)
+SUMIFS(#REF!,#REF!,A173)</f>
        <v>#REF!</v>
      </c>
    </row>
    <row r="174" spans="1:4" x14ac:dyDescent="0.25">
      <c r="A174" s="1" t="e">
        <f>#REF!</f>
        <v>#REF!</v>
      </c>
      <c r="B174" s="1" t="e">
        <f>#REF!</f>
        <v>#REF!</v>
      </c>
      <c r="C174" s="1" t="e">
        <f>#REF!</f>
        <v>#REF!</v>
      </c>
      <c r="D174" s="1" t="e">
        <f>SUMIFS(#REF!,#REF!,A174)
+SUMIFS(#REF!,#REF!,A174)
+SUMIFS(#REF!,#REF!,A174)</f>
        <v>#REF!</v>
      </c>
    </row>
    <row r="175" spans="1:4" x14ac:dyDescent="0.25">
      <c r="A175" s="1" t="e">
        <f>#REF!</f>
        <v>#REF!</v>
      </c>
      <c r="B175" s="1" t="e">
        <f>#REF!</f>
        <v>#REF!</v>
      </c>
      <c r="C175" s="1" t="e">
        <f>#REF!</f>
        <v>#REF!</v>
      </c>
      <c r="D175" s="1" t="e">
        <f>SUMIFS(#REF!,#REF!,A175)
+SUMIFS(#REF!,#REF!,A175)
+SUMIFS(#REF!,#REF!,A175)</f>
        <v>#REF!</v>
      </c>
    </row>
    <row r="176" spans="1:4" x14ac:dyDescent="0.25">
      <c r="A176" s="1" t="e">
        <f>#REF!</f>
        <v>#REF!</v>
      </c>
      <c r="B176" s="1" t="e">
        <f>#REF!</f>
        <v>#REF!</v>
      </c>
      <c r="C176" s="1" t="e">
        <f>#REF!</f>
        <v>#REF!</v>
      </c>
      <c r="D176" s="1" t="e">
        <f>SUMIFS(#REF!,#REF!,A176)
+SUMIFS(#REF!,#REF!,A176)
+SUMIFS(#REF!,#REF!,A176)</f>
        <v>#REF!</v>
      </c>
    </row>
    <row r="177" spans="1:4" x14ac:dyDescent="0.25">
      <c r="A177" s="1" t="e">
        <f>#REF!</f>
        <v>#REF!</v>
      </c>
      <c r="B177" s="1" t="e">
        <f>#REF!</f>
        <v>#REF!</v>
      </c>
      <c r="C177" s="1" t="e">
        <f>#REF!</f>
        <v>#REF!</v>
      </c>
      <c r="D177" s="1" t="e">
        <f>SUMIFS(#REF!,#REF!,A177)
+SUMIFS(#REF!,#REF!,A177)
+SUMIFS(#REF!,#REF!,A177)</f>
        <v>#REF!</v>
      </c>
    </row>
    <row r="178" spans="1:4" x14ac:dyDescent="0.25">
      <c r="A178" s="1" t="e">
        <f>#REF!</f>
        <v>#REF!</v>
      </c>
      <c r="B178" s="1" t="e">
        <f>#REF!</f>
        <v>#REF!</v>
      </c>
      <c r="C178" s="1" t="e">
        <f>#REF!</f>
        <v>#REF!</v>
      </c>
      <c r="D178" s="1" t="e">
        <f>SUMIFS(#REF!,#REF!,A178)
+SUMIFS(#REF!,#REF!,A178)
+SUMIFS(#REF!,#REF!,A178)</f>
        <v>#REF!</v>
      </c>
    </row>
    <row r="179" spans="1:4" x14ac:dyDescent="0.25">
      <c r="A179" s="1" t="e">
        <f>#REF!</f>
        <v>#REF!</v>
      </c>
      <c r="B179" s="1" t="e">
        <f>#REF!</f>
        <v>#REF!</v>
      </c>
      <c r="C179" s="1" t="e">
        <f>#REF!</f>
        <v>#REF!</v>
      </c>
      <c r="D179" s="1" t="e">
        <f>SUMIFS(#REF!,#REF!,A179)
+SUMIFS(#REF!,#REF!,A179)
+SUMIFS(#REF!,#REF!,A179)</f>
        <v>#REF!</v>
      </c>
    </row>
    <row r="180" spans="1:4" x14ac:dyDescent="0.25">
      <c r="A180" s="1" t="e">
        <f>#REF!</f>
        <v>#REF!</v>
      </c>
      <c r="B180" s="1" t="e">
        <f>#REF!</f>
        <v>#REF!</v>
      </c>
      <c r="C180" s="1" t="e">
        <f>#REF!</f>
        <v>#REF!</v>
      </c>
      <c r="D180" s="1" t="e">
        <f>SUMIFS(#REF!,#REF!,A180)
+SUMIFS(#REF!,#REF!,A180)
+SUMIFS(#REF!,#REF!,A180)</f>
        <v>#REF!</v>
      </c>
    </row>
    <row r="181" spans="1:4" x14ac:dyDescent="0.25">
      <c r="A181" s="1" t="e">
        <f>#REF!</f>
        <v>#REF!</v>
      </c>
      <c r="B181" s="1" t="e">
        <f>#REF!</f>
        <v>#REF!</v>
      </c>
      <c r="C181" s="1" t="e">
        <f>#REF!</f>
        <v>#REF!</v>
      </c>
      <c r="D181" s="1" t="e">
        <f>SUMIFS(#REF!,#REF!,A181)
+SUMIFS(#REF!,#REF!,A181)
+SUMIFS(#REF!,#REF!,A181)</f>
        <v>#REF!</v>
      </c>
    </row>
    <row r="182" spans="1:4" x14ac:dyDescent="0.25">
      <c r="A182" s="1" t="e">
        <f>#REF!</f>
        <v>#REF!</v>
      </c>
      <c r="B182" s="1" t="e">
        <f>#REF!</f>
        <v>#REF!</v>
      </c>
      <c r="C182" s="1" t="e">
        <f>#REF!</f>
        <v>#REF!</v>
      </c>
      <c r="D182" s="1" t="e">
        <f>SUMIFS(#REF!,#REF!,A182)
+SUMIFS(#REF!,#REF!,A182)
+SUMIFS(#REF!,#REF!,A182)</f>
        <v>#REF!</v>
      </c>
    </row>
    <row r="183" spans="1:4" x14ac:dyDescent="0.25">
      <c r="A183" s="1" t="e">
        <f>#REF!</f>
        <v>#REF!</v>
      </c>
      <c r="B183" s="1" t="e">
        <f>#REF!</f>
        <v>#REF!</v>
      </c>
      <c r="C183" s="1" t="e">
        <f>#REF!</f>
        <v>#REF!</v>
      </c>
      <c r="D183" s="1" t="e">
        <f>SUMIFS(#REF!,#REF!,A183)
+SUMIFS(#REF!,#REF!,A183)
+SUMIFS(#REF!,#REF!,A183)</f>
        <v>#REF!</v>
      </c>
    </row>
    <row r="184" spans="1:4" x14ac:dyDescent="0.25">
      <c r="A184" s="1" t="e">
        <f>#REF!</f>
        <v>#REF!</v>
      </c>
      <c r="B184" s="1" t="e">
        <f>#REF!</f>
        <v>#REF!</v>
      </c>
      <c r="C184" s="1" t="e">
        <f>#REF!</f>
        <v>#REF!</v>
      </c>
      <c r="D184" s="1" t="e">
        <f>SUMIFS(#REF!,#REF!,A184)
+SUMIFS(#REF!,#REF!,A184)
+SUMIFS(#REF!,#REF!,A184)</f>
        <v>#REF!</v>
      </c>
    </row>
    <row r="185" spans="1:4" x14ac:dyDescent="0.25">
      <c r="A185" s="1" t="e">
        <f>#REF!</f>
        <v>#REF!</v>
      </c>
      <c r="B185" s="1" t="e">
        <f>#REF!</f>
        <v>#REF!</v>
      </c>
      <c r="C185" s="1" t="e">
        <f>#REF!</f>
        <v>#REF!</v>
      </c>
      <c r="D185" s="1" t="e">
        <f>SUMIFS(#REF!,#REF!,A185)
+SUMIFS(#REF!,#REF!,A185)
+SUMIFS(#REF!,#REF!,A185)</f>
        <v>#REF!</v>
      </c>
    </row>
    <row r="186" spans="1:4" x14ac:dyDescent="0.25">
      <c r="A186" s="1" t="e">
        <f>#REF!</f>
        <v>#REF!</v>
      </c>
      <c r="B186" s="1" t="e">
        <f>#REF!</f>
        <v>#REF!</v>
      </c>
      <c r="C186" s="1" t="e">
        <f>#REF!</f>
        <v>#REF!</v>
      </c>
      <c r="D186" s="1" t="e">
        <f>SUMIFS(#REF!,#REF!,A186)
+SUMIFS(#REF!,#REF!,A186)
+SUMIFS(#REF!,#REF!,A186)</f>
        <v>#REF!</v>
      </c>
    </row>
    <row r="187" spans="1:4" x14ac:dyDescent="0.25">
      <c r="A187" s="1" t="e">
        <f>#REF!</f>
        <v>#REF!</v>
      </c>
      <c r="B187" s="1" t="e">
        <f>#REF!</f>
        <v>#REF!</v>
      </c>
      <c r="C187" s="1" t="e">
        <f>#REF!</f>
        <v>#REF!</v>
      </c>
      <c r="D187" s="1" t="e">
        <f>SUMIFS(#REF!,#REF!,A187)
+SUMIFS(#REF!,#REF!,A187)
+SUMIFS(#REF!,#REF!,A187)</f>
        <v>#REF!</v>
      </c>
    </row>
    <row r="188" spans="1:4" x14ac:dyDescent="0.25">
      <c r="A188" s="1" t="e">
        <f>#REF!</f>
        <v>#REF!</v>
      </c>
      <c r="B188" s="1" t="e">
        <f>#REF!</f>
        <v>#REF!</v>
      </c>
      <c r="C188" s="1" t="e">
        <f>#REF!</f>
        <v>#REF!</v>
      </c>
      <c r="D188" s="1" t="e">
        <f>SUMIFS(#REF!,#REF!,A188)
+SUMIFS(#REF!,#REF!,A188)
+SUMIFS(#REF!,#REF!,A188)</f>
        <v>#REF!</v>
      </c>
    </row>
    <row r="189" spans="1:4" x14ac:dyDescent="0.25">
      <c r="A189" s="1" t="e">
        <f>#REF!</f>
        <v>#REF!</v>
      </c>
      <c r="B189" s="1" t="e">
        <f>#REF!</f>
        <v>#REF!</v>
      </c>
      <c r="C189" s="1" t="e">
        <f>#REF!</f>
        <v>#REF!</v>
      </c>
      <c r="D189" s="1" t="e">
        <f>SUMIFS(#REF!,#REF!,A189)
+SUMIFS(#REF!,#REF!,A189)
+SUMIFS(#REF!,#REF!,A189)</f>
        <v>#REF!</v>
      </c>
    </row>
    <row r="190" spans="1:4" x14ac:dyDescent="0.25">
      <c r="A190" s="1" t="e">
        <f>#REF!</f>
        <v>#REF!</v>
      </c>
      <c r="B190" s="1" t="e">
        <f>#REF!</f>
        <v>#REF!</v>
      </c>
      <c r="C190" s="1" t="e">
        <f>#REF!</f>
        <v>#REF!</v>
      </c>
      <c r="D190" s="1" t="e">
        <f>SUMIFS(#REF!,#REF!,A190)
+SUMIFS(#REF!,#REF!,A190)
+SUMIFS(#REF!,#REF!,A190)</f>
        <v>#REF!</v>
      </c>
    </row>
    <row r="191" spans="1:4" x14ac:dyDescent="0.25">
      <c r="A191" s="1" t="e">
        <f>#REF!</f>
        <v>#REF!</v>
      </c>
      <c r="B191" s="1" t="e">
        <f>#REF!</f>
        <v>#REF!</v>
      </c>
      <c r="C191" s="1" t="e">
        <f>#REF!</f>
        <v>#REF!</v>
      </c>
      <c r="D191" s="1" t="e">
        <f>SUMIFS(#REF!,#REF!,A191)
+SUMIFS(#REF!,#REF!,A191)
+SUMIFS(#REF!,#REF!,A191)</f>
        <v>#REF!</v>
      </c>
    </row>
    <row r="192" spans="1:4" x14ac:dyDescent="0.25">
      <c r="A192" s="1" t="e">
        <f>#REF!</f>
        <v>#REF!</v>
      </c>
      <c r="B192" s="1" t="e">
        <f>#REF!</f>
        <v>#REF!</v>
      </c>
      <c r="C192" s="1" t="e">
        <f>#REF!</f>
        <v>#REF!</v>
      </c>
      <c r="D192" s="1" t="e">
        <f>SUMIFS(#REF!,#REF!,A192)
+SUMIFS(#REF!,#REF!,A192)
+SUMIFS(#REF!,#REF!,A192)</f>
        <v>#REF!</v>
      </c>
    </row>
    <row r="193" spans="1:4" x14ac:dyDescent="0.25">
      <c r="A193" s="1" t="e">
        <f>#REF!</f>
        <v>#REF!</v>
      </c>
      <c r="B193" s="1" t="e">
        <f>#REF!</f>
        <v>#REF!</v>
      </c>
      <c r="C193" s="1" t="e">
        <f>#REF!</f>
        <v>#REF!</v>
      </c>
      <c r="D193" s="1" t="e">
        <f>SUMIFS(#REF!,#REF!,A193)
+SUMIFS(#REF!,#REF!,A193)
+SUMIFS(#REF!,#REF!,A193)</f>
        <v>#REF!</v>
      </c>
    </row>
    <row r="194" spans="1:4" x14ac:dyDescent="0.25">
      <c r="A194" s="1" t="e">
        <f>#REF!</f>
        <v>#REF!</v>
      </c>
      <c r="B194" s="1" t="e">
        <f>#REF!</f>
        <v>#REF!</v>
      </c>
      <c r="C194" s="1" t="e">
        <f>#REF!</f>
        <v>#REF!</v>
      </c>
      <c r="D194" s="1" t="e">
        <f>SUMIFS(#REF!,#REF!,A194)
+SUMIFS(#REF!,#REF!,A194)
+SUMIFS(#REF!,#REF!,A194)</f>
        <v>#REF!</v>
      </c>
    </row>
    <row r="195" spans="1:4" x14ac:dyDescent="0.25">
      <c r="A195" s="1" t="e">
        <f>#REF!</f>
        <v>#REF!</v>
      </c>
      <c r="B195" s="1" t="e">
        <f>#REF!</f>
        <v>#REF!</v>
      </c>
      <c r="C195" s="1" t="e">
        <f>#REF!</f>
        <v>#REF!</v>
      </c>
      <c r="D195" s="1" t="e">
        <f>SUMIFS(#REF!,#REF!,A195)
+SUMIFS(#REF!,#REF!,A195)
+SUMIFS(#REF!,#REF!,A195)</f>
        <v>#REF!</v>
      </c>
    </row>
    <row r="196" spans="1:4" x14ac:dyDescent="0.25">
      <c r="A196" s="1" t="e">
        <f>#REF!</f>
        <v>#REF!</v>
      </c>
      <c r="B196" s="1" t="e">
        <f>#REF!</f>
        <v>#REF!</v>
      </c>
      <c r="C196" s="1" t="e">
        <f>#REF!</f>
        <v>#REF!</v>
      </c>
      <c r="D196" s="1" t="e">
        <f>SUMIFS(#REF!,#REF!,A196)
+SUMIFS(#REF!,#REF!,A196)
+SUMIFS(#REF!,#REF!,A196)</f>
        <v>#REF!</v>
      </c>
    </row>
    <row r="197" spans="1:4" x14ac:dyDescent="0.25">
      <c r="A197" s="1" t="e">
        <f>#REF!</f>
        <v>#REF!</v>
      </c>
      <c r="B197" s="1" t="e">
        <f>#REF!</f>
        <v>#REF!</v>
      </c>
      <c r="C197" s="1" t="e">
        <f>#REF!</f>
        <v>#REF!</v>
      </c>
      <c r="D197" s="1" t="e">
        <f>SUMIFS(#REF!,#REF!,A197)
+SUMIFS(#REF!,#REF!,A197)
+SUMIFS(#REF!,#REF!,A197)</f>
        <v>#REF!</v>
      </c>
    </row>
    <row r="198" spans="1:4" x14ac:dyDescent="0.25">
      <c r="A198" s="1" t="e">
        <f>#REF!</f>
        <v>#REF!</v>
      </c>
      <c r="B198" s="1" t="e">
        <f>#REF!</f>
        <v>#REF!</v>
      </c>
      <c r="C198" s="1" t="e">
        <f>#REF!</f>
        <v>#REF!</v>
      </c>
      <c r="D198" s="1" t="e">
        <f>SUMIFS(#REF!,#REF!,A198)
+SUMIFS(#REF!,#REF!,A198)
+SUMIFS(#REF!,#REF!,A198)</f>
        <v>#REF!</v>
      </c>
    </row>
    <row r="199" spans="1:4" x14ac:dyDescent="0.25">
      <c r="A199" s="1" t="e">
        <f>#REF!</f>
        <v>#REF!</v>
      </c>
      <c r="B199" s="1" t="e">
        <f>#REF!</f>
        <v>#REF!</v>
      </c>
      <c r="C199" s="1" t="e">
        <f>#REF!</f>
        <v>#REF!</v>
      </c>
      <c r="D199" s="1" t="e">
        <f>SUMIFS(#REF!,#REF!,A199)
+SUMIFS(#REF!,#REF!,A199)
+SUMIFS(#REF!,#REF!,A199)</f>
        <v>#REF!</v>
      </c>
    </row>
    <row r="200" spans="1:4" x14ac:dyDescent="0.25">
      <c r="A200" s="1" t="e">
        <f>#REF!</f>
        <v>#REF!</v>
      </c>
      <c r="B200" s="1" t="e">
        <f>#REF!</f>
        <v>#REF!</v>
      </c>
      <c r="C200" s="1" t="e">
        <f>#REF!</f>
        <v>#REF!</v>
      </c>
      <c r="D200" s="1" t="e">
        <f>SUMIFS(#REF!,#REF!,A200)
+SUMIFS(#REF!,#REF!,A200)
+SUMIFS(#REF!,#REF!,A200)</f>
        <v>#REF!</v>
      </c>
    </row>
    <row r="201" spans="1:4" x14ac:dyDescent="0.25">
      <c r="A201" s="1" t="e">
        <f>#REF!</f>
        <v>#REF!</v>
      </c>
      <c r="B201" s="1" t="e">
        <f>#REF!</f>
        <v>#REF!</v>
      </c>
      <c r="C201" s="1" t="e">
        <f>#REF!</f>
        <v>#REF!</v>
      </c>
      <c r="D201" s="1" t="e">
        <f>SUMIFS(#REF!,#REF!,A201)
+SUMIFS(#REF!,#REF!,A201)
+SUMIFS(#REF!,#REF!,A201)</f>
        <v>#REF!</v>
      </c>
    </row>
    <row r="202" spans="1:4" x14ac:dyDescent="0.25">
      <c r="A202" s="1" t="e">
        <f>#REF!</f>
        <v>#REF!</v>
      </c>
      <c r="B202" s="1" t="e">
        <f>#REF!</f>
        <v>#REF!</v>
      </c>
      <c r="C202" s="1" t="e">
        <f>#REF!</f>
        <v>#REF!</v>
      </c>
      <c r="D202" s="1" t="e">
        <f>SUMIFS(#REF!,#REF!,A202)
+SUMIFS(#REF!,#REF!,A202)
+SUMIFS(#REF!,#REF!,A202)</f>
        <v>#REF!</v>
      </c>
    </row>
    <row r="203" spans="1:4" x14ac:dyDescent="0.25">
      <c r="A203" s="1" t="e">
        <f>#REF!</f>
        <v>#REF!</v>
      </c>
      <c r="B203" s="1" t="e">
        <f>#REF!</f>
        <v>#REF!</v>
      </c>
      <c r="C203" s="1" t="e">
        <f>#REF!</f>
        <v>#REF!</v>
      </c>
      <c r="D203" s="1" t="e">
        <f>SUMIFS(#REF!,#REF!,A203)
+SUMIFS(#REF!,#REF!,A203)
+SUMIFS(#REF!,#REF!,A203)</f>
        <v>#REF!</v>
      </c>
    </row>
    <row r="204" spans="1:4" x14ac:dyDescent="0.25">
      <c r="A204" s="1" t="e">
        <f>#REF!</f>
        <v>#REF!</v>
      </c>
      <c r="B204" s="1" t="e">
        <f>#REF!</f>
        <v>#REF!</v>
      </c>
      <c r="C204" s="1" t="e">
        <f>#REF!</f>
        <v>#REF!</v>
      </c>
      <c r="D204" s="1" t="e">
        <f>SUMIFS(#REF!,#REF!,A204)
+SUMIFS(#REF!,#REF!,A204)
+SUMIFS(#REF!,#REF!,A204)</f>
        <v>#REF!</v>
      </c>
    </row>
    <row r="205" spans="1:4" x14ac:dyDescent="0.25">
      <c r="A205" s="1" t="e">
        <f>#REF!</f>
        <v>#REF!</v>
      </c>
      <c r="B205" s="1" t="e">
        <f>#REF!</f>
        <v>#REF!</v>
      </c>
      <c r="C205" s="1" t="e">
        <f>#REF!</f>
        <v>#REF!</v>
      </c>
      <c r="D205" s="1" t="e">
        <f>SUMIFS(#REF!,#REF!,A205)
+SUMIFS(#REF!,#REF!,A205)
+SUMIFS(#REF!,#REF!,A205)</f>
        <v>#REF!</v>
      </c>
    </row>
    <row r="206" spans="1:4" x14ac:dyDescent="0.25">
      <c r="A206" s="1" t="e">
        <f>#REF!</f>
        <v>#REF!</v>
      </c>
      <c r="B206" s="1" t="e">
        <f>#REF!</f>
        <v>#REF!</v>
      </c>
      <c r="C206" s="1" t="e">
        <f>#REF!</f>
        <v>#REF!</v>
      </c>
      <c r="D206" s="1" t="e">
        <f>SUMIFS(#REF!,#REF!,A206)
+SUMIFS(#REF!,#REF!,A206)
+SUMIFS(#REF!,#REF!,A206)</f>
        <v>#REF!</v>
      </c>
    </row>
    <row r="207" spans="1:4" x14ac:dyDescent="0.25">
      <c r="A207" s="1" t="e">
        <f>#REF!</f>
        <v>#REF!</v>
      </c>
      <c r="B207" s="1" t="e">
        <f>#REF!</f>
        <v>#REF!</v>
      </c>
      <c r="C207" s="1" t="e">
        <f>#REF!</f>
        <v>#REF!</v>
      </c>
      <c r="D207" s="1" t="e">
        <f>SUMIFS(#REF!,#REF!,A207)
+SUMIFS(#REF!,#REF!,A207)
+SUMIFS(#REF!,#REF!,A207)</f>
        <v>#REF!</v>
      </c>
    </row>
    <row r="208" spans="1:4" x14ac:dyDescent="0.25">
      <c r="A208" s="1" t="e">
        <f>#REF!</f>
        <v>#REF!</v>
      </c>
      <c r="B208" s="1" t="e">
        <f>#REF!</f>
        <v>#REF!</v>
      </c>
      <c r="C208" s="1" t="e">
        <f>#REF!</f>
        <v>#REF!</v>
      </c>
      <c r="D208" s="1" t="e">
        <f>SUMIFS(#REF!,#REF!,A208)
+SUMIFS(#REF!,#REF!,A208)
+SUMIFS(#REF!,#REF!,A208)</f>
        <v>#REF!</v>
      </c>
    </row>
    <row r="209" spans="1:4" x14ac:dyDescent="0.25">
      <c r="A209" s="1" t="e">
        <f>#REF!</f>
        <v>#REF!</v>
      </c>
      <c r="B209" s="1" t="e">
        <f>#REF!</f>
        <v>#REF!</v>
      </c>
      <c r="C209" s="1" t="e">
        <f>#REF!</f>
        <v>#REF!</v>
      </c>
      <c r="D209" s="1" t="e">
        <f>SUMIFS(#REF!,#REF!,A209)
+SUMIFS(#REF!,#REF!,A209)
+SUMIFS(#REF!,#REF!,A209)</f>
        <v>#REF!</v>
      </c>
    </row>
    <row r="210" spans="1:4" x14ac:dyDescent="0.25">
      <c r="A210" s="1" t="e">
        <f>#REF!</f>
        <v>#REF!</v>
      </c>
      <c r="B210" s="1" t="e">
        <f>#REF!</f>
        <v>#REF!</v>
      </c>
      <c r="C210" s="1" t="e">
        <f>#REF!</f>
        <v>#REF!</v>
      </c>
      <c r="D210" s="1" t="e">
        <f>SUMIFS(#REF!,#REF!,A210)
+SUMIFS(#REF!,#REF!,A210)
+SUMIFS(#REF!,#REF!,A210)</f>
        <v>#REF!</v>
      </c>
    </row>
    <row r="211" spans="1:4" x14ac:dyDescent="0.25">
      <c r="A211" s="1" t="e">
        <f>#REF!</f>
        <v>#REF!</v>
      </c>
      <c r="B211" s="1" t="e">
        <f>#REF!</f>
        <v>#REF!</v>
      </c>
      <c r="C211" s="1" t="e">
        <f>#REF!</f>
        <v>#REF!</v>
      </c>
      <c r="D211" s="1" t="e">
        <f>SUMIFS(#REF!,#REF!,A211)
+SUMIFS(#REF!,#REF!,A211)
+SUMIFS(#REF!,#REF!,A211)</f>
        <v>#REF!</v>
      </c>
    </row>
    <row r="212" spans="1:4" x14ac:dyDescent="0.25">
      <c r="A212" s="1" t="e">
        <f>#REF!</f>
        <v>#REF!</v>
      </c>
      <c r="B212" s="1" t="e">
        <f>#REF!</f>
        <v>#REF!</v>
      </c>
      <c r="C212" s="1" t="e">
        <f>#REF!</f>
        <v>#REF!</v>
      </c>
      <c r="D212" s="1" t="e">
        <f>SUMIFS(#REF!,#REF!,A212)
+SUMIFS(#REF!,#REF!,A212)
+SUMIFS(#REF!,#REF!,A212)</f>
        <v>#REF!</v>
      </c>
    </row>
    <row r="213" spans="1:4" x14ac:dyDescent="0.25">
      <c r="A213" s="1" t="e">
        <f>#REF!</f>
        <v>#REF!</v>
      </c>
      <c r="B213" s="1" t="e">
        <f>#REF!</f>
        <v>#REF!</v>
      </c>
      <c r="C213" s="1" t="e">
        <f>#REF!</f>
        <v>#REF!</v>
      </c>
      <c r="D213" s="1" t="e">
        <f>SUMIFS(#REF!,#REF!,A213)
+SUMIFS(#REF!,#REF!,A213)
+SUMIFS(#REF!,#REF!,A213)</f>
        <v>#REF!</v>
      </c>
    </row>
    <row r="214" spans="1:4" x14ac:dyDescent="0.25">
      <c r="A214" s="1" t="e">
        <f>#REF!</f>
        <v>#REF!</v>
      </c>
      <c r="B214" s="1" t="e">
        <f>#REF!</f>
        <v>#REF!</v>
      </c>
      <c r="C214" s="1" t="e">
        <f>#REF!</f>
        <v>#REF!</v>
      </c>
      <c r="D214" s="1" t="e">
        <f>SUMIFS(#REF!,#REF!,A214)
+SUMIFS(#REF!,#REF!,A214)
+SUMIFS(#REF!,#REF!,A214)</f>
        <v>#REF!</v>
      </c>
    </row>
    <row r="215" spans="1:4" x14ac:dyDescent="0.25">
      <c r="A215" s="1" t="e">
        <f>#REF!</f>
        <v>#REF!</v>
      </c>
      <c r="B215" s="1" t="e">
        <f>#REF!</f>
        <v>#REF!</v>
      </c>
      <c r="C215" s="1" t="e">
        <f>#REF!</f>
        <v>#REF!</v>
      </c>
      <c r="D215" s="1" t="e">
        <f>SUMIFS(#REF!,#REF!,A215)
+SUMIFS(#REF!,#REF!,A215)
+SUMIFS(#REF!,#REF!,A215)</f>
        <v>#REF!</v>
      </c>
    </row>
    <row r="216" spans="1:4" x14ac:dyDescent="0.25">
      <c r="A216" s="1" t="e">
        <f>#REF!</f>
        <v>#REF!</v>
      </c>
      <c r="B216" s="1" t="e">
        <f>#REF!</f>
        <v>#REF!</v>
      </c>
      <c r="C216" s="1" t="e">
        <f>#REF!</f>
        <v>#REF!</v>
      </c>
      <c r="D216" s="1" t="e">
        <f>SUMIFS(#REF!,#REF!,A216)
+SUMIFS(#REF!,#REF!,A216)
+SUMIFS(#REF!,#REF!,A216)</f>
        <v>#REF!</v>
      </c>
    </row>
    <row r="217" spans="1:4" x14ac:dyDescent="0.25">
      <c r="A217" s="1" t="e">
        <f>#REF!</f>
        <v>#REF!</v>
      </c>
      <c r="B217" s="1" t="e">
        <f>#REF!</f>
        <v>#REF!</v>
      </c>
      <c r="C217" s="1" t="e">
        <f>#REF!</f>
        <v>#REF!</v>
      </c>
      <c r="D217" s="1" t="e">
        <f>SUMIFS(#REF!,#REF!,A217)
+SUMIFS(#REF!,#REF!,A217)
+SUMIFS(#REF!,#REF!,A217)</f>
        <v>#REF!</v>
      </c>
    </row>
    <row r="218" spans="1:4" x14ac:dyDescent="0.25">
      <c r="A218" s="1" t="e">
        <f>#REF!</f>
        <v>#REF!</v>
      </c>
      <c r="B218" s="1" t="e">
        <f>#REF!</f>
        <v>#REF!</v>
      </c>
      <c r="C218" s="1" t="e">
        <f>#REF!</f>
        <v>#REF!</v>
      </c>
      <c r="D218" s="1" t="e">
        <f>SUMIFS(#REF!,#REF!,A218)
+SUMIFS(#REF!,#REF!,A218)
+SUMIFS(#REF!,#REF!,A218)</f>
        <v>#REF!</v>
      </c>
    </row>
    <row r="219" spans="1:4" x14ac:dyDescent="0.25">
      <c r="A219" s="1" t="e">
        <f>#REF!</f>
        <v>#REF!</v>
      </c>
      <c r="B219" s="1" t="e">
        <f>#REF!</f>
        <v>#REF!</v>
      </c>
      <c r="C219" s="1" t="e">
        <f>#REF!</f>
        <v>#REF!</v>
      </c>
      <c r="D219" s="1" t="e">
        <f>SUMIFS(#REF!,#REF!,A219)
+SUMIFS(#REF!,#REF!,A219)
+SUMIFS(#REF!,#REF!,A219)</f>
        <v>#REF!</v>
      </c>
    </row>
    <row r="220" spans="1:4" x14ac:dyDescent="0.25">
      <c r="A220" s="1" t="e">
        <f>#REF!</f>
        <v>#REF!</v>
      </c>
      <c r="B220" s="1" t="e">
        <f>#REF!</f>
        <v>#REF!</v>
      </c>
      <c r="C220" s="1" t="e">
        <f>#REF!</f>
        <v>#REF!</v>
      </c>
      <c r="D220" s="1" t="e">
        <f>SUMIFS(#REF!,#REF!,A220)
+SUMIFS(#REF!,#REF!,A220)
+SUMIFS(#REF!,#REF!,A220)</f>
        <v>#REF!</v>
      </c>
    </row>
    <row r="221" spans="1:4" x14ac:dyDescent="0.25">
      <c r="A221" s="1" t="e">
        <f>#REF!</f>
        <v>#REF!</v>
      </c>
      <c r="B221" s="1" t="e">
        <f>#REF!</f>
        <v>#REF!</v>
      </c>
      <c r="C221" s="1" t="e">
        <f>#REF!</f>
        <v>#REF!</v>
      </c>
      <c r="D221" s="1" t="e">
        <f>SUMIFS(#REF!,#REF!,A221)
+SUMIFS(#REF!,#REF!,A221)
+SUMIFS(#REF!,#REF!,A221)</f>
        <v>#REF!</v>
      </c>
    </row>
    <row r="222" spans="1:4" x14ac:dyDescent="0.25">
      <c r="A222" s="1" t="e">
        <f>#REF!</f>
        <v>#REF!</v>
      </c>
      <c r="B222" s="1" t="e">
        <f>#REF!</f>
        <v>#REF!</v>
      </c>
      <c r="C222" s="1" t="e">
        <f>#REF!</f>
        <v>#REF!</v>
      </c>
      <c r="D222" s="1" t="e">
        <f>SUMIFS(#REF!,#REF!,A222)
+SUMIFS(#REF!,#REF!,A222)
+SUMIFS(#REF!,#REF!,A222)</f>
        <v>#REF!</v>
      </c>
    </row>
    <row r="223" spans="1:4" x14ac:dyDescent="0.25">
      <c r="A223" s="1" t="e">
        <f>#REF!</f>
        <v>#REF!</v>
      </c>
      <c r="B223" s="1" t="e">
        <f>#REF!</f>
        <v>#REF!</v>
      </c>
      <c r="C223" s="1" t="e">
        <f>#REF!</f>
        <v>#REF!</v>
      </c>
      <c r="D223" s="1" t="e">
        <f>SUMIFS(#REF!,#REF!,A223)
+SUMIFS(#REF!,#REF!,A223)
+SUMIFS(#REF!,#REF!,A223)</f>
        <v>#REF!</v>
      </c>
    </row>
    <row r="224" spans="1:4" x14ac:dyDescent="0.25">
      <c r="A224" s="1" t="e">
        <f>#REF!</f>
        <v>#REF!</v>
      </c>
      <c r="B224" s="1" t="e">
        <f>#REF!</f>
        <v>#REF!</v>
      </c>
      <c r="C224" s="1" t="e">
        <f>#REF!</f>
        <v>#REF!</v>
      </c>
      <c r="D224" s="1" t="e">
        <f>SUMIFS(#REF!,#REF!,A224)
+SUMIFS(#REF!,#REF!,A224)
+SUMIFS(#REF!,#REF!,A224)</f>
        <v>#REF!</v>
      </c>
    </row>
    <row r="225" spans="1:4" x14ac:dyDescent="0.25">
      <c r="A225" s="1" t="e">
        <f>#REF!</f>
        <v>#REF!</v>
      </c>
      <c r="B225" s="1" t="e">
        <f>#REF!</f>
        <v>#REF!</v>
      </c>
      <c r="C225" s="1" t="e">
        <f>#REF!</f>
        <v>#REF!</v>
      </c>
      <c r="D225" s="1" t="e">
        <f>SUMIFS(#REF!,#REF!,A225)
+SUMIFS(#REF!,#REF!,A225)
+SUMIFS(#REF!,#REF!,A225)</f>
        <v>#REF!</v>
      </c>
    </row>
    <row r="226" spans="1:4" x14ac:dyDescent="0.25">
      <c r="A226" s="1" t="e">
        <f>#REF!</f>
        <v>#REF!</v>
      </c>
      <c r="B226" s="1" t="e">
        <f>#REF!</f>
        <v>#REF!</v>
      </c>
      <c r="C226" s="1" t="e">
        <f>#REF!</f>
        <v>#REF!</v>
      </c>
      <c r="D226" s="1" t="e">
        <f>SUMIFS(#REF!,#REF!,A226)
+SUMIFS(#REF!,#REF!,A226)
+SUMIFS(#REF!,#REF!,A226)</f>
        <v>#REF!</v>
      </c>
    </row>
    <row r="227" spans="1:4" x14ac:dyDescent="0.25">
      <c r="A227" s="1" t="e">
        <f>#REF!</f>
        <v>#REF!</v>
      </c>
      <c r="B227" s="1" t="e">
        <f>#REF!</f>
        <v>#REF!</v>
      </c>
      <c r="C227" s="1" t="e">
        <f>#REF!</f>
        <v>#REF!</v>
      </c>
      <c r="D227" s="1" t="e">
        <f>SUMIFS(#REF!,#REF!,A227)
+SUMIFS(#REF!,#REF!,A227)
+SUMIFS(#REF!,#REF!,A227)</f>
        <v>#REF!</v>
      </c>
    </row>
    <row r="228" spans="1:4" x14ac:dyDescent="0.25">
      <c r="A228" s="1" t="e">
        <f>#REF!</f>
        <v>#REF!</v>
      </c>
      <c r="B228" s="1" t="e">
        <f>#REF!</f>
        <v>#REF!</v>
      </c>
      <c r="C228" s="1" t="e">
        <f>#REF!</f>
        <v>#REF!</v>
      </c>
      <c r="D228" s="1" t="e">
        <f>SUMIFS(#REF!,#REF!,A228)
+SUMIFS(#REF!,#REF!,A228)
+SUMIFS(#REF!,#REF!,A228)</f>
        <v>#REF!</v>
      </c>
    </row>
    <row r="229" spans="1:4" x14ac:dyDescent="0.25">
      <c r="A229" s="1" t="e">
        <f>#REF!</f>
        <v>#REF!</v>
      </c>
      <c r="B229" s="1" t="e">
        <f>#REF!</f>
        <v>#REF!</v>
      </c>
      <c r="C229" s="1" t="e">
        <f>#REF!</f>
        <v>#REF!</v>
      </c>
      <c r="D229" s="1" t="e">
        <f>SUMIFS(#REF!,#REF!,A229)
+SUMIFS(#REF!,#REF!,A229)
+SUMIFS(#REF!,#REF!,A229)</f>
        <v>#REF!</v>
      </c>
    </row>
    <row r="230" spans="1:4" x14ac:dyDescent="0.25">
      <c r="A230" s="1" t="e">
        <f>#REF!</f>
        <v>#REF!</v>
      </c>
      <c r="B230" s="1" t="e">
        <f>#REF!</f>
        <v>#REF!</v>
      </c>
      <c r="C230" s="1" t="e">
        <f>#REF!</f>
        <v>#REF!</v>
      </c>
      <c r="D230" s="1" t="e">
        <f>SUMIFS(#REF!,#REF!,A230)
+SUMIFS(#REF!,#REF!,A230)
+SUMIFS(#REF!,#REF!,A230)</f>
        <v>#REF!</v>
      </c>
    </row>
    <row r="231" spans="1:4" x14ac:dyDescent="0.25">
      <c r="A231" s="1" t="e">
        <f>#REF!</f>
        <v>#REF!</v>
      </c>
      <c r="B231" s="1" t="e">
        <f>#REF!</f>
        <v>#REF!</v>
      </c>
      <c r="C231" s="1" t="e">
        <f>#REF!</f>
        <v>#REF!</v>
      </c>
      <c r="D231" s="1" t="e">
        <f>SUMIFS(#REF!,#REF!,A231)
+SUMIFS(#REF!,#REF!,A231)
+SUMIFS(#REF!,#REF!,A231)</f>
        <v>#REF!</v>
      </c>
    </row>
    <row r="232" spans="1:4" x14ac:dyDescent="0.25">
      <c r="A232" s="1" t="e">
        <f>#REF!</f>
        <v>#REF!</v>
      </c>
      <c r="B232" s="1" t="e">
        <f>#REF!</f>
        <v>#REF!</v>
      </c>
      <c r="C232" s="1" t="e">
        <f>#REF!</f>
        <v>#REF!</v>
      </c>
      <c r="D232" s="1" t="e">
        <f>SUMIFS(#REF!,#REF!,A232)
+SUMIFS(#REF!,#REF!,A232)
+SUMIFS(#REF!,#REF!,A232)</f>
        <v>#REF!</v>
      </c>
    </row>
    <row r="233" spans="1:4" x14ac:dyDescent="0.25">
      <c r="A233" s="1" t="e">
        <f>#REF!</f>
        <v>#REF!</v>
      </c>
      <c r="B233" s="1" t="e">
        <f>#REF!</f>
        <v>#REF!</v>
      </c>
      <c r="C233" s="1" t="e">
        <f>#REF!</f>
        <v>#REF!</v>
      </c>
      <c r="D233" s="1" t="e">
        <f>SUMIFS(#REF!,#REF!,A233)
+SUMIFS(#REF!,#REF!,A233)
+SUMIFS(#REF!,#REF!,A233)</f>
        <v>#REF!</v>
      </c>
    </row>
    <row r="234" spans="1:4" x14ac:dyDescent="0.25">
      <c r="A234" s="1" t="e">
        <f>#REF!</f>
        <v>#REF!</v>
      </c>
      <c r="B234" s="1" t="e">
        <f>#REF!</f>
        <v>#REF!</v>
      </c>
      <c r="C234" s="1" t="e">
        <f>#REF!</f>
        <v>#REF!</v>
      </c>
      <c r="D234" s="1" t="e">
        <f>SUMIFS(#REF!,#REF!,A234)
+SUMIFS(#REF!,#REF!,A234)
+SUMIFS(#REF!,#REF!,A234)</f>
        <v>#REF!</v>
      </c>
    </row>
    <row r="235" spans="1:4" x14ac:dyDescent="0.25">
      <c r="A235" s="1" t="e">
        <f>#REF!</f>
        <v>#REF!</v>
      </c>
      <c r="B235" s="1" t="e">
        <f>#REF!</f>
        <v>#REF!</v>
      </c>
      <c r="C235" s="1" t="e">
        <f>#REF!</f>
        <v>#REF!</v>
      </c>
      <c r="D235" s="1" t="e">
        <f>SUMIFS(#REF!,#REF!,A235)
+SUMIFS(#REF!,#REF!,A235)
+SUMIFS(#REF!,#REF!,A235)</f>
        <v>#REF!</v>
      </c>
    </row>
    <row r="236" spans="1:4" x14ac:dyDescent="0.25">
      <c r="A236" s="1" t="e">
        <f>#REF!</f>
        <v>#REF!</v>
      </c>
      <c r="B236" s="1" t="e">
        <f>#REF!</f>
        <v>#REF!</v>
      </c>
      <c r="C236" s="1" t="e">
        <f>#REF!</f>
        <v>#REF!</v>
      </c>
      <c r="D236" s="1" t="e">
        <f>SUMIFS(#REF!,#REF!,A236)
+SUMIFS(#REF!,#REF!,A236)
+SUMIFS(#REF!,#REF!,A236)</f>
        <v>#REF!</v>
      </c>
    </row>
    <row r="237" spans="1:4" x14ac:dyDescent="0.25">
      <c r="A237" s="1" t="e">
        <f>#REF!</f>
        <v>#REF!</v>
      </c>
      <c r="B237" s="1" t="e">
        <f>#REF!</f>
        <v>#REF!</v>
      </c>
      <c r="C237" s="1" t="e">
        <f>#REF!</f>
        <v>#REF!</v>
      </c>
      <c r="D237" s="1" t="e">
        <f>SUMIFS(#REF!,#REF!,A237)
+SUMIFS(#REF!,#REF!,A237)
+SUMIFS(#REF!,#REF!,A237)</f>
        <v>#REF!</v>
      </c>
    </row>
    <row r="238" spans="1:4" x14ac:dyDescent="0.25">
      <c r="A238" s="1" t="e">
        <f>#REF!</f>
        <v>#REF!</v>
      </c>
      <c r="B238" s="1" t="e">
        <f>#REF!</f>
        <v>#REF!</v>
      </c>
      <c r="C238" s="1" t="e">
        <f>#REF!</f>
        <v>#REF!</v>
      </c>
      <c r="D238" s="1" t="e">
        <f>SUMIFS(#REF!,#REF!,A238)
+SUMIFS(#REF!,#REF!,A238)
+SUMIFS(#REF!,#REF!,A238)</f>
        <v>#REF!</v>
      </c>
    </row>
    <row r="239" spans="1:4" x14ac:dyDescent="0.25">
      <c r="A239" s="1" t="e">
        <f>#REF!</f>
        <v>#REF!</v>
      </c>
      <c r="B239" s="1" t="e">
        <f>#REF!</f>
        <v>#REF!</v>
      </c>
      <c r="C239" s="1" t="e">
        <f>#REF!</f>
        <v>#REF!</v>
      </c>
      <c r="D239" s="1" t="e">
        <f>SUMIFS(#REF!,#REF!,A239)
+SUMIFS(#REF!,#REF!,A239)
+SUMIFS(#REF!,#REF!,A239)</f>
        <v>#REF!</v>
      </c>
    </row>
    <row r="240" spans="1:4" x14ac:dyDescent="0.25">
      <c r="A240" s="1" t="e">
        <f>#REF!</f>
        <v>#REF!</v>
      </c>
      <c r="B240" s="1" t="e">
        <f>#REF!</f>
        <v>#REF!</v>
      </c>
      <c r="C240" s="1" t="e">
        <f>#REF!</f>
        <v>#REF!</v>
      </c>
      <c r="D240" s="1" t="e">
        <f>SUMIFS(#REF!,#REF!,A240)
+SUMIFS(#REF!,#REF!,A240)
+SUMIFS(#REF!,#REF!,A240)</f>
        <v>#REF!</v>
      </c>
    </row>
    <row r="241" spans="1:4" x14ac:dyDescent="0.25">
      <c r="A241" s="1" t="e">
        <f>#REF!</f>
        <v>#REF!</v>
      </c>
      <c r="B241" s="1" t="e">
        <f>#REF!</f>
        <v>#REF!</v>
      </c>
      <c r="C241" s="1" t="e">
        <f>#REF!</f>
        <v>#REF!</v>
      </c>
      <c r="D241" s="1" t="e">
        <f>SUMIFS(#REF!,#REF!,A241)
+SUMIFS(#REF!,#REF!,A241)
+SUMIFS(#REF!,#REF!,A241)</f>
        <v>#REF!</v>
      </c>
    </row>
    <row r="242" spans="1:4" x14ac:dyDescent="0.25">
      <c r="A242" s="1" t="e">
        <f>#REF!</f>
        <v>#REF!</v>
      </c>
      <c r="B242" s="1" t="e">
        <f>#REF!</f>
        <v>#REF!</v>
      </c>
      <c r="C242" s="1" t="e">
        <f>#REF!</f>
        <v>#REF!</v>
      </c>
      <c r="D242" s="1" t="e">
        <f>SUMIFS(#REF!,#REF!,A242)
+SUMIFS(#REF!,#REF!,A242)
+SUMIFS(#REF!,#REF!,A242)</f>
        <v>#REF!</v>
      </c>
    </row>
    <row r="243" spans="1:4" x14ac:dyDescent="0.25">
      <c r="A243" s="1" t="e">
        <f>#REF!</f>
        <v>#REF!</v>
      </c>
      <c r="B243" s="1" t="e">
        <f>#REF!</f>
        <v>#REF!</v>
      </c>
      <c r="C243" s="1" t="e">
        <f>#REF!</f>
        <v>#REF!</v>
      </c>
      <c r="D243" s="1" t="e">
        <f>SUMIFS(#REF!,#REF!,A243)
+SUMIFS(#REF!,#REF!,A243)
+SUMIFS(#REF!,#REF!,A243)</f>
        <v>#REF!</v>
      </c>
    </row>
    <row r="244" spans="1:4" x14ac:dyDescent="0.25">
      <c r="A244" s="1" t="e">
        <f>#REF!</f>
        <v>#REF!</v>
      </c>
      <c r="B244" s="1" t="e">
        <f>#REF!</f>
        <v>#REF!</v>
      </c>
      <c r="C244" s="1" t="e">
        <f>#REF!</f>
        <v>#REF!</v>
      </c>
      <c r="D244" s="1" t="e">
        <f>SUMIFS(#REF!,#REF!,A244)
+SUMIFS(#REF!,#REF!,A244)
+SUMIFS(#REF!,#REF!,A244)</f>
        <v>#REF!</v>
      </c>
    </row>
    <row r="245" spans="1:4" x14ac:dyDescent="0.25">
      <c r="A245" s="1" t="e">
        <f>#REF!</f>
        <v>#REF!</v>
      </c>
      <c r="B245" s="1" t="e">
        <f>#REF!</f>
        <v>#REF!</v>
      </c>
      <c r="C245" s="1" t="e">
        <f>#REF!</f>
        <v>#REF!</v>
      </c>
      <c r="D245" s="1" t="e">
        <f>SUMIFS(#REF!,#REF!,A245)
+SUMIFS(#REF!,#REF!,A245)
+SUMIFS(#REF!,#REF!,A245)</f>
        <v>#REF!</v>
      </c>
    </row>
    <row r="246" spans="1:4" x14ac:dyDescent="0.25">
      <c r="A246" s="1" t="e">
        <f>#REF!</f>
        <v>#REF!</v>
      </c>
      <c r="B246" s="1" t="e">
        <f>#REF!</f>
        <v>#REF!</v>
      </c>
      <c r="C246" s="1" t="e">
        <f>#REF!</f>
        <v>#REF!</v>
      </c>
      <c r="D246" s="1" t="e">
        <f>SUMIFS(#REF!,#REF!,A246)
+SUMIFS(#REF!,#REF!,A246)
+SUMIFS(#REF!,#REF!,A246)</f>
        <v>#REF!</v>
      </c>
    </row>
    <row r="247" spans="1:4" x14ac:dyDescent="0.25">
      <c r="A247" s="1" t="e">
        <f>#REF!</f>
        <v>#REF!</v>
      </c>
      <c r="B247" s="1" t="e">
        <f>#REF!</f>
        <v>#REF!</v>
      </c>
      <c r="C247" s="1" t="e">
        <f>#REF!</f>
        <v>#REF!</v>
      </c>
      <c r="D247" s="1" t="e">
        <f>SUMIFS(#REF!,#REF!,A247)
+SUMIFS(#REF!,#REF!,A247)
+SUMIFS(#REF!,#REF!,A247)</f>
        <v>#REF!</v>
      </c>
    </row>
    <row r="248" spans="1:4" x14ac:dyDescent="0.25">
      <c r="A248" s="1" t="e">
        <f>#REF!</f>
        <v>#REF!</v>
      </c>
      <c r="B248" s="1" t="e">
        <f>#REF!</f>
        <v>#REF!</v>
      </c>
      <c r="C248" s="1" t="e">
        <f>#REF!</f>
        <v>#REF!</v>
      </c>
      <c r="D248" s="1" t="e">
        <f>SUMIFS(#REF!,#REF!,A248)
+SUMIFS(#REF!,#REF!,A248)
+SUMIFS(#REF!,#REF!,A248)</f>
        <v>#REF!</v>
      </c>
    </row>
    <row r="249" spans="1:4" x14ac:dyDescent="0.25">
      <c r="A249" s="1" t="e">
        <f>#REF!</f>
        <v>#REF!</v>
      </c>
      <c r="B249" s="1" t="e">
        <f>#REF!</f>
        <v>#REF!</v>
      </c>
      <c r="C249" s="1" t="e">
        <f>#REF!</f>
        <v>#REF!</v>
      </c>
      <c r="D249" s="1" t="e">
        <f>SUMIFS(#REF!,#REF!,A249)
+SUMIFS(#REF!,#REF!,A249)
+SUMIFS(#REF!,#REF!,A249)</f>
        <v>#REF!</v>
      </c>
    </row>
    <row r="250" spans="1:4" x14ac:dyDescent="0.25">
      <c r="A250" s="1" t="e">
        <f>#REF!</f>
        <v>#REF!</v>
      </c>
      <c r="B250" s="1" t="e">
        <f>#REF!</f>
        <v>#REF!</v>
      </c>
      <c r="C250" s="1" t="e">
        <f>#REF!</f>
        <v>#REF!</v>
      </c>
      <c r="D250" s="1" t="e">
        <f>SUMIFS(#REF!,#REF!,A250)
+SUMIFS(#REF!,#REF!,A250)
+SUMIFS(#REF!,#REF!,A250)</f>
        <v>#REF!</v>
      </c>
    </row>
    <row r="251" spans="1:4" x14ac:dyDescent="0.25">
      <c r="A251" s="1" t="e">
        <f>#REF!</f>
        <v>#REF!</v>
      </c>
      <c r="B251" s="1" t="e">
        <f>#REF!</f>
        <v>#REF!</v>
      </c>
      <c r="C251" s="1" t="e">
        <f>#REF!</f>
        <v>#REF!</v>
      </c>
      <c r="D251" s="1" t="e">
        <f>SUMIFS(#REF!,#REF!,A251)
+SUMIFS(#REF!,#REF!,A251)
+SUMIFS(#REF!,#REF!,A251)</f>
        <v>#REF!</v>
      </c>
    </row>
    <row r="252" spans="1:4" x14ac:dyDescent="0.25">
      <c r="A252" s="1" t="e">
        <f>#REF!</f>
        <v>#REF!</v>
      </c>
      <c r="B252" s="1" t="e">
        <f>#REF!</f>
        <v>#REF!</v>
      </c>
      <c r="C252" s="1" t="e">
        <f>#REF!</f>
        <v>#REF!</v>
      </c>
      <c r="D252" s="1" t="e">
        <f>SUMIFS(#REF!,#REF!,A252)
+SUMIFS(#REF!,#REF!,A252)
+SUMIFS(#REF!,#REF!,A252)</f>
        <v>#REF!</v>
      </c>
    </row>
    <row r="253" spans="1:4" x14ac:dyDescent="0.25">
      <c r="A253" s="1" t="e">
        <f>#REF!</f>
        <v>#REF!</v>
      </c>
      <c r="B253" s="1" t="e">
        <f>#REF!</f>
        <v>#REF!</v>
      </c>
      <c r="C253" s="1" t="e">
        <f>#REF!</f>
        <v>#REF!</v>
      </c>
      <c r="D253" s="1" t="e">
        <f>SUMIFS(#REF!,#REF!,A253)
+SUMIFS(#REF!,#REF!,A253)
+SUMIFS(#REF!,#REF!,A253)</f>
        <v>#REF!</v>
      </c>
    </row>
    <row r="254" spans="1:4" x14ac:dyDescent="0.25">
      <c r="A254" s="1" t="e">
        <f>#REF!</f>
        <v>#REF!</v>
      </c>
      <c r="B254" s="1" t="e">
        <f>#REF!</f>
        <v>#REF!</v>
      </c>
      <c r="C254" s="1" t="e">
        <f>#REF!</f>
        <v>#REF!</v>
      </c>
      <c r="D254" s="1" t="e">
        <f>SUMIFS(#REF!,#REF!,A254)
+SUMIFS(#REF!,#REF!,A254)
+SUMIFS(#REF!,#REF!,A254)</f>
        <v>#REF!</v>
      </c>
    </row>
    <row r="255" spans="1:4" x14ac:dyDescent="0.25">
      <c r="A255" s="1" t="e">
        <f>#REF!</f>
        <v>#REF!</v>
      </c>
      <c r="B255" s="1" t="e">
        <f>#REF!</f>
        <v>#REF!</v>
      </c>
      <c r="C255" s="1" t="e">
        <f>#REF!</f>
        <v>#REF!</v>
      </c>
      <c r="D255" s="1" t="e">
        <f>SUMIFS(#REF!,#REF!,A255)
+SUMIFS(#REF!,#REF!,A255)
+SUMIFS(#REF!,#REF!,A255)</f>
        <v>#REF!</v>
      </c>
    </row>
    <row r="256" spans="1:4" x14ac:dyDescent="0.25">
      <c r="A256" s="1" t="e">
        <f>#REF!</f>
        <v>#REF!</v>
      </c>
      <c r="B256" s="1" t="e">
        <f>#REF!</f>
        <v>#REF!</v>
      </c>
      <c r="C256" s="1" t="e">
        <f>#REF!</f>
        <v>#REF!</v>
      </c>
      <c r="D256" s="1" t="e">
        <f>SUMIFS(#REF!,#REF!,A256)
+SUMIFS(#REF!,#REF!,A256)
+SUMIFS(#REF!,#REF!,A256)</f>
        <v>#REF!</v>
      </c>
    </row>
    <row r="257" spans="1:4" x14ac:dyDescent="0.25">
      <c r="A257" s="1" t="e">
        <f>#REF!</f>
        <v>#REF!</v>
      </c>
      <c r="B257" s="1" t="e">
        <f>#REF!</f>
        <v>#REF!</v>
      </c>
      <c r="C257" s="1" t="e">
        <f>#REF!</f>
        <v>#REF!</v>
      </c>
      <c r="D257" s="1" t="e">
        <f>SUMIFS(#REF!,#REF!,A257)
+SUMIFS(#REF!,#REF!,A257)
+SUMIFS(#REF!,#REF!,A257)</f>
        <v>#REF!</v>
      </c>
    </row>
    <row r="258" spans="1:4" x14ac:dyDescent="0.25">
      <c r="A258" s="1" t="e">
        <f>#REF!</f>
        <v>#REF!</v>
      </c>
      <c r="B258" s="1" t="e">
        <f>#REF!</f>
        <v>#REF!</v>
      </c>
      <c r="C258" s="1" t="e">
        <f>#REF!</f>
        <v>#REF!</v>
      </c>
      <c r="D258" s="1" t="e">
        <f>SUMIFS(#REF!,#REF!,A258)
+SUMIFS(#REF!,#REF!,A258)
+SUMIFS(#REF!,#REF!,A258)</f>
        <v>#REF!</v>
      </c>
    </row>
    <row r="259" spans="1:4" x14ac:dyDescent="0.25">
      <c r="A259" s="1" t="e">
        <f>#REF!</f>
        <v>#REF!</v>
      </c>
      <c r="B259" s="1" t="e">
        <f>#REF!</f>
        <v>#REF!</v>
      </c>
      <c r="C259" s="1" t="e">
        <f>#REF!</f>
        <v>#REF!</v>
      </c>
      <c r="D259" s="1" t="e">
        <f>SUMIFS(#REF!,#REF!,A259)
+SUMIFS(#REF!,#REF!,A259)
+SUMIFS(#REF!,#REF!,A259)</f>
        <v>#REF!</v>
      </c>
    </row>
    <row r="260" spans="1:4" x14ac:dyDescent="0.25">
      <c r="A260" s="1" t="e">
        <f>#REF!</f>
        <v>#REF!</v>
      </c>
      <c r="B260" s="1" t="e">
        <f>#REF!</f>
        <v>#REF!</v>
      </c>
      <c r="C260" s="1" t="e">
        <f>#REF!</f>
        <v>#REF!</v>
      </c>
      <c r="D260" s="1" t="e">
        <f>SUMIFS(#REF!,#REF!,A260)
+SUMIFS(#REF!,#REF!,A260)
+SUMIFS(#REF!,#REF!,A260)</f>
        <v>#REF!</v>
      </c>
    </row>
    <row r="261" spans="1:4" x14ac:dyDescent="0.25">
      <c r="A261" s="1" t="e">
        <f>#REF!</f>
        <v>#REF!</v>
      </c>
      <c r="B261" s="1" t="e">
        <f>#REF!</f>
        <v>#REF!</v>
      </c>
      <c r="C261" s="1" t="e">
        <f>#REF!</f>
        <v>#REF!</v>
      </c>
      <c r="D261" s="1" t="e">
        <f>SUMIFS(#REF!,#REF!,A261)
+SUMIFS(#REF!,#REF!,A261)
+SUMIFS(#REF!,#REF!,A261)</f>
        <v>#REF!</v>
      </c>
    </row>
    <row r="262" spans="1:4" x14ac:dyDescent="0.25">
      <c r="A262" s="1" t="e">
        <f>#REF!</f>
        <v>#REF!</v>
      </c>
      <c r="B262" s="1" t="e">
        <f>#REF!</f>
        <v>#REF!</v>
      </c>
      <c r="C262" s="1" t="e">
        <f>#REF!</f>
        <v>#REF!</v>
      </c>
      <c r="D262" s="1" t="e">
        <f>SUMIFS(#REF!,#REF!,A262)
+SUMIFS(#REF!,#REF!,A262)
+SUMIFS(#REF!,#REF!,A262)</f>
        <v>#REF!</v>
      </c>
    </row>
    <row r="263" spans="1:4" x14ac:dyDescent="0.25">
      <c r="A263" s="1" t="e">
        <f>#REF!</f>
        <v>#REF!</v>
      </c>
      <c r="B263" s="1" t="e">
        <f>#REF!</f>
        <v>#REF!</v>
      </c>
      <c r="C263" s="1" t="e">
        <f>#REF!</f>
        <v>#REF!</v>
      </c>
      <c r="D263" s="1" t="e">
        <f>SUMIFS(#REF!,#REF!,A263)
+SUMIFS(#REF!,#REF!,A263)
+SUMIFS(#REF!,#REF!,A263)</f>
        <v>#REF!</v>
      </c>
    </row>
    <row r="264" spans="1:4" x14ac:dyDescent="0.25">
      <c r="A264" s="1" t="e">
        <f>#REF!</f>
        <v>#REF!</v>
      </c>
      <c r="B264" s="1" t="e">
        <f>#REF!</f>
        <v>#REF!</v>
      </c>
      <c r="C264" s="1" t="e">
        <f>#REF!</f>
        <v>#REF!</v>
      </c>
      <c r="D264" s="1" t="e">
        <f>SUMIFS(#REF!,#REF!,A264)
+SUMIFS(#REF!,#REF!,A264)
+SUMIFS(#REF!,#REF!,A264)</f>
        <v>#REF!</v>
      </c>
    </row>
    <row r="265" spans="1:4" x14ac:dyDescent="0.25">
      <c r="A265" s="1" t="e">
        <f>#REF!</f>
        <v>#REF!</v>
      </c>
      <c r="B265" s="1" t="e">
        <f>#REF!</f>
        <v>#REF!</v>
      </c>
      <c r="C265" s="1" t="e">
        <f>#REF!</f>
        <v>#REF!</v>
      </c>
      <c r="D265" s="1" t="e">
        <f>SUMIFS(#REF!,#REF!,A265)
+SUMIFS(#REF!,#REF!,A265)
+SUMIFS(#REF!,#REF!,A265)</f>
        <v>#REF!</v>
      </c>
    </row>
    <row r="266" spans="1:4" x14ac:dyDescent="0.25">
      <c r="A266" s="1" t="e">
        <f>#REF!</f>
        <v>#REF!</v>
      </c>
      <c r="B266" s="1" t="e">
        <f>#REF!</f>
        <v>#REF!</v>
      </c>
      <c r="C266" s="1" t="e">
        <f>#REF!</f>
        <v>#REF!</v>
      </c>
      <c r="D266" s="1" t="e">
        <f>SUMIFS(#REF!,#REF!,A266)
+SUMIFS(#REF!,#REF!,A266)
+SUMIFS(#REF!,#REF!,A266)</f>
        <v>#REF!</v>
      </c>
    </row>
    <row r="267" spans="1:4" x14ac:dyDescent="0.25">
      <c r="A267" s="1" t="e">
        <f>#REF!</f>
        <v>#REF!</v>
      </c>
      <c r="B267" s="1" t="e">
        <f>#REF!</f>
        <v>#REF!</v>
      </c>
      <c r="C267" s="1" t="e">
        <f>#REF!</f>
        <v>#REF!</v>
      </c>
      <c r="D267" s="1" t="e">
        <f>SUMIFS(#REF!,#REF!,A267)
+SUMIFS(#REF!,#REF!,A267)
+SUMIFS(#REF!,#REF!,A267)</f>
        <v>#REF!</v>
      </c>
    </row>
    <row r="268" spans="1:4" x14ac:dyDescent="0.25">
      <c r="A268" s="1" t="e">
        <f>#REF!</f>
        <v>#REF!</v>
      </c>
      <c r="B268" s="1" t="e">
        <f>#REF!</f>
        <v>#REF!</v>
      </c>
      <c r="C268" s="1" t="e">
        <f>#REF!</f>
        <v>#REF!</v>
      </c>
      <c r="D268" s="1" t="e">
        <f>SUMIFS(#REF!,#REF!,A268)
+SUMIFS(#REF!,#REF!,A268)
+SUMIFS(#REF!,#REF!,A268)</f>
        <v>#REF!</v>
      </c>
    </row>
    <row r="269" spans="1:4" x14ac:dyDescent="0.25">
      <c r="A269" s="1" t="e">
        <f>#REF!</f>
        <v>#REF!</v>
      </c>
      <c r="B269" s="1" t="e">
        <f>#REF!</f>
        <v>#REF!</v>
      </c>
      <c r="C269" s="1" t="e">
        <f>#REF!</f>
        <v>#REF!</v>
      </c>
      <c r="D269" s="1" t="e">
        <f>SUMIFS(#REF!,#REF!,A269)
+SUMIFS(#REF!,#REF!,A269)
+SUMIFS(#REF!,#REF!,A269)</f>
        <v>#REF!</v>
      </c>
    </row>
    <row r="270" spans="1:4" x14ac:dyDescent="0.25">
      <c r="A270" s="1" t="e">
        <f>#REF!</f>
        <v>#REF!</v>
      </c>
      <c r="B270" s="1" t="e">
        <f>#REF!</f>
        <v>#REF!</v>
      </c>
      <c r="C270" s="1" t="e">
        <f>#REF!</f>
        <v>#REF!</v>
      </c>
      <c r="D270" s="1" t="e">
        <f>SUMIFS(#REF!,#REF!,A270)
+SUMIFS(#REF!,#REF!,A270)
+SUMIFS(#REF!,#REF!,A270)</f>
        <v>#REF!</v>
      </c>
    </row>
    <row r="271" spans="1:4" x14ac:dyDescent="0.25">
      <c r="A271" s="1" t="e">
        <f>#REF!</f>
        <v>#REF!</v>
      </c>
      <c r="B271" s="1" t="e">
        <f>#REF!</f>
        <v>#REF!</v>
      </c>
      <c r="C271" s="1" t="e">
        <f>#REF!</f>
        <v>#REF!</v>
      </c>
      <c r="D271" s="1" t="e">
        <f>SUMIFS(#REF!,#REF!,A271)
+SUMIFS(#REF!,#REF!,A271)
+SUMIFS(#REF!,#REF!,A271)</f>
        <v>#REF!</v>
      </c>
    </row>
    <row r="272" spans="1:4" x14ac:dyDescent="0.25">
      <c r="A272" s="1" t="e">
        <f>#REF!</f>
        <v>#REF!</v>
      </c>
      <c r="B272" s="1" t="e">
        <f>#REF!</f>
        <v>#REF!</v>
      </c>
      <c r="C272" s="1" t="e">
        <f>#REF!</f>
        <v>#REF!</v>
      </c>
      <c r="D272" s="1" t="e">
        <f>SUMIFS(#REF!,#REF!,A272)
+SUMIFS(#REF!,#REF!,A272)
+SUMIFS(#REF!,#REF!,A272)</f>
        <v>#REF!</v>
      </c>
    </row>
    <row r="273" spans="1:4" x14ac:dyDescent="0.25">
      <c r="A273" s="1" t="e">
        <f>#REF!</f>
        <v>#REF!</v>
      </c>
      <c r="B273" s="1" t="e">
        <f>#REF!</f>
        <v>#REF!</v>
      </c>
      <c r="C273" s="1" t="e">
        <f>#REF!</f>
        <v>#REF!</v>
      </c>
      <c r="D273" s="1" t="e">
        <f>SUMIFS(#REF!,#REF!,A273)
+SUMIFS(#REF!,#REF!,A273)
+SUMIFS(#REF!,#REF!,A273)</f>
        <v>#REF!</v>
      </c>
    </row>
    <row r="274" spans="1:4" x14ac:dyDescent="0.25">
      <c r="A274" s="1" t="e">
        <f>#REF!</f>
        <v>#REF!</v>
      </c>
      <c r="B274" s="1" t="e">
        <f>#REF!</f>
        <v>#REF!</v>
      </c>
      <c r="C274" s="1" t="e">
        <f>#REF!</f>
        <v>#REF!</v>
      </c>
      <c r="D274" s="1" t="e">
        <f>SUMIFS(#REF!,#REF!,A274)
+SUMIFS(#REF!,#REF!,A274)
+SUMIFS(#REF!,#REF!,A274)</f>
        <v>#REF!</v>
      </c>
    </row>
    <row r="275" spans="1:4" x14ac:dyDescent="0.25">
      <c r="A275" s="1" t="e">
        <f>#REF!</f>
        <v>#REF!</v>
      </c>
      <c r="B275" s="1" t="e">
        <f>#REF!</f>
        <v>#REF!</v>
      </c>
      <c r="C275" s="1" t="e">
        <f>#REF!</f>
        <v>#REF!</v>
      </c>
      <c r="D275" s="1" t="e">
        <f>SUMIFS(#REF!,#REF!,A275)
+SUMIFS(#REF!,#REF!,A275)
+SUMIFS(#REF!,#REF!,A275)</f>
        <v>#REF!</v>
      </c>
    </row>
    <row r="276" spans="1:4" x14ac:dyDescent="0.25">
      <c r="A276" s="1" t="e">
        <f>#REF!</f>
        <v>#REF!</v>
      </c>
      <c r="B276" s="1" t="e">
        <f>#REF!</f>
        <v>#REF!</v>
      </c>
      <c r="C276" s="1" t="e">
        <f>#REF!</f>
        <v>#REF!</v>
      </c>
      <c r="D276" s="1" t="e">
        <f>SUMIFS(#REF!,#REF!,A276)
+SUMIFS(#REF!,#REF!,A276)
+SUMIFS(#REF!,#REF!,A276)</f>
        <v>#REF!</v>
      </c>
    </row>
    <row r="277" spans="1:4" x14ac:dyDescent="0.25">
      <c r="A277" s="1" t="e">
        <f>#REF!</f>
        <v>#REF!</v>
      </c>
      <c r="B277" s="1" t="e">
        <f>#REF!</f>
        <v>#REF!</v>
      </c>
      <c r="C277" s="1" t="e">
        <f>#REF!</f>
        <v>#REF!</v>
      </c>
      <c r="D277" s="1" t="e">
        <f>SUMIFS(#REF!,#REF!,A277)
+SUMIFS(#REF!,#REF!,A277)
+SUMIFS(#REF!,#REF!,A277)</f>
        <v>#REF!</v>
      </c>
    </row>
    <row r="278" spans="1:4" x14ac:dyDescent="0.25">
      <c r="A278" s="1" t="e">
        <f>#REF!</f>
        <v>#REF!</v>
      </c>
      <c r="B278" s="1" t="e">
        <f>#REF!</f>
        <v>#REF!</v>
      </c>
      <c r="C278" s="1" t="e">
        <f>#REF!</f>
        <v>#REF!</v>
      </c>
      <c r="D278" s="1" t="e">
        <f>SUMIFS(#REF!,#REF!,A278)
+SUMIFS(#REF!,#REF!,A278)
+SUMIFS(#REF!,#REF!,A278)</f>
        <v>#REF!</v>
      </c>
    </row>
    <row r="279" spans="1:4" x14ac:dyDescent="0.25">
      <c r="A279" s="1" t="e">
        <f>#REF!</f>
        <v>#REF!</v>
      </c>
      <c r="B279" s="1" t="e">
        <f>#REF!</f>
        <v>#REF!</v>
      </c>
      <c r="C279" s="1" t="e">
        <f>#REF!</f>
        <v>#REF!</v>
      </c>
      <c r="D279" s="1" t="e">
        <f>SUMIFS(#REF!,#REF!,A279)
+SUMIFS(#REF!,#REF!,A279)
+SUMIFS(#REF!,#REF!,A279)</f>
        <v>#REF!</v>
      </c>
    </row>
    <row r="280" spans="1:4" x14ac:dyDescent="0.25">
      <c r="A280" s="1" t="e">
        <f>#REF!</f>
        <v>#REF!</v>
      </c>
      <c r="B280" s="1" t="e">
        <f>#REF!</f>
        <v>#REF!</v>
      </c>
      <c r="C280" s="1" t="e">
        <f>#REF!</f>
        <v>#REF!</v>
      </c>
      <c r="D280" s="1" t="e">
        <f>SUMIFS(#REF!,#REF!,A280)
+SUMIFS(#REF!,#REF!,A280)
+SUMIFS(#REF!,#REF!,A280)</f>
        <v>#REF!</v>
      </c>
    </row>
    <row r="281" spans="1:4" x14ac:dyDescent="0.25">
      <c r="A281" s="1" t="e">
        <f>#REF!</f>
        <v>#REF!</v>
      </c>
      <c r="B281" s="1" t="e">
        <f>#REF!</f>
        <v>#REF!</v>
      </c>
      <c r="C281" s="1" t="e">
        <f>#REF!</f>
        <v>#REF!</v>
      </c>
      <c r="D281" s="1" t="e">
        <f>SUMIFS(#REF!,#REF!,A281)
+SUMIFS(#REF!,#REF!,A281)
+SUMIFS(#REF!,#REF!,A281)</f>
        <v>#REF!</v>
      </c>
    </row>
    <row r="282" spans="1:4" x14ac:dyDescent="0.25">
      <c r="A282" s="1" t="e">
        <f>#REF!</f>
        <v>#REF!</v>
      </c>
      <c r="B282" s="1" t="e">
        <f>#REF!</f>
        <v>#REF!</v>
      </c>
      <c r="C282" s="1" t="e">
        <f>#REF!</f>
        <v>#REF!</v>
      </c>
      <c r="D282" s="1" t="e">
        <f>SUMIFS(#REF!,#REF!,A282)
+SUMIFS(#REF!,#REF!,A282)
+SUMIFS(#REF!,#REF!,A282)</f>
        <v>#REF!</v>
      </c>
    </row>
    <row r="283" spans="1:4" x14ac:dyDescent="0.25">
      <c r="A283" s="1" t="e">
        <f>#REF!</f>
        <v>#REF!</v>
      </c>
      <c r="B283" s="1" t="e">
        <f>#REF!</f>
        <v>#REF!</v>
      </c>
      <c r="C283" s="1" t="e">
        <f>#REF!</f>
        <v>#REF!</v>
      </c>
      <c r="D283" s="1" t="e">
        <f>SUMIFS(#REF!,#REF!,A283)
+SUMIFS(#REF!,#REF!,A283)
+SUMIFS(#REF!,#REF!,A283)</f>
        <v>#REF!</v>
      </c>
    </row>
    <row r="284" spans="1:4" x14ac:dyDescent="0.25">
      <c r="A284" s="1" t="e">
        <f>#REF!</f>
        <v>#REF!</v>
      </c>
      <c r="B284" s="1" t="e">
        <f>#REF!</f>
        <v>#REF!</v>
      </c>
      <c r="C284" s="1" t="e">
        <f>#REF!</f>
        <v>#REF!</v>
      </c>
      <c r="D284" s="1" t="e">
        <f>SUMIFS(#REF!,#REF!,A284)
+SUMIFS(#REF!,#REF!,A284)
+SUMIFS(#REF!,#REF!,A284)</f>
        <v>#REF!</v>
      </c>
    </row>
    <row r="285" spans="1:4" x14ac:dyDescent="0.25">
      <c r="A285" s="1" t="e">
        <f>#REF!</f>
        <v>#REF!</v>
      </c>
      <c r="B285" s="1" t="e">
        <f>#REF!</f>
        <v>#REF!</v>
      </c>
      <c r="C285" s="1" t="e">
        <f>#REF!</f>
        <v>#REF!</v>
      </c>
      <c r="D285" s="1" t="e">
        <f>SUMIFS(#REF!,#REF!,A285)
+SUMIFS(#REF!,#REF!,A285)
+SUMIFS(#REF!,#REF!,A285)</f>
        <v>#REF!</v>
      </c>
    </row>
    <row r="286" spans="1:4" x14ac:dyDescent="0.25">
      <c r="A286" s="1" t="e">
        <f>#REF!</f>
        <v>#REF!</v>
      </c>
      <c r="B286" s="1" t="e">
        <f>#REF!</f>
        <v>#REF!</v>
      </c>
      <c r="C286" s="1" t="e">
        <f>#REF!</f>
        <v>#REF!</v>
      </c>
      <c r="D286" s="1" t="e">
        <f>SUMIFS(#REF!,#REF!,A286)
+SUMIFS(#REF!,#REF!,A286)
+SUMIFS(#REF!,#REF!,A286)</f>
        <v>#REF!</v>
      </c>
    </row>
    <row r="287" spans="1:4" x14ac:dyDescent="0.25">
      <c r="A287" s="1" t="e">
        <f>#REF!</f>
        <v>#REF!</v>
      </c>
      <c r="B287" s="1" t="e">
        <f>#REF!</f>
        <v>#REF!</v>
      </c>
      <c r="C287" s="1" t="e">
        <f>#REF!</f>
        <v>#REF!</v>
      </c>
      <c r="D287" s="1" t="e">
        <f>SUMIFS(#REF!,#REF!,A287)
+SUMIFS(#REF!,#REF!,A287)
+SUMIFS(#REF!,#REF!,A287)</f>
        <v>#REF!</v>
      </c>
    </row>
    <row r="288" spans="1:4" x14ac:dyDescent="0.25">
      <c r="A288" s="1" t="e">
        <f>#REF!</f>
        <v>#REF!</v>
      </c>
      <c r="B288" s="1" t="e">
        <f>#REF!</f>
        <v>#REF!</v>
      </c>
      <c r="C288" s="1" t="e">
        <f>#REF!</f>
        <v>#REF!</v>
      </c>
      <c r="D288" s="1" t="e">
        <f>SUMIFS(#REF!,#REF!,A288)
+SUMIFS(#REF!,#REF!,A288)
+SUMIFS(#REF!,#REF!,A288)</f>
        <v>#REF!</v>
      </c>
    </row>
    <row r="289" spans="1:4" x14ac:dyDescent="0.25">
      <c r="A289" s="1" t="e">
        <f>#REF!</f>
        <v>#REF!</v>
      </c>
      <c r="B289" s="1" t="e">
        <f>#REF!</f>
        <v>#REF!</v>
      </c>
      <c r="C289" s="1" t="e">
        <f>#REF!</f>
        <v>#REF!</v>
      </c>
      <c r="D289" s="1" t="e">
        <f>SUMIFS(#REF!,#REF!,A289)
+SUMIFS(#REF!,#REF!,A289)
+SUMIFS(#REF!,#REF!,A289)</f>
        <v>#REF!</v>
      </c>
    </row>
    <row r="290" spans="1:4" x14ac:dyDescent="0.25">
      <c r="A290" s="1" t="e">
        <f>#REF!</f>
        <v>#REF!</v>
      </c>
      <c r="B290" s="1" t="e">
        <f>#REF!</f>
        <v>#REF!</v>
      </c>
      <c r="C290" s="1" t="e">
        <f>#REF!</f>
        <v>#REF!</v>
      </c>
      <c r="D290" s="1" t="e">
        <f>SUMIFS(#REF!,#REF!,A290)
+SUMIFS(#REF!,#REF!,A290)
+SUMIFS(#REF!,#REF!,A290)</f>
        <v>#REF!</v>
      </c>
    </row>
    <row r="291" spans="1:4" x14ac:dyDescent="0.25">
      <c r="A291" s="1" t="e">
        <f>#REF!</f>
        <v>#REF!</v>
      </c>
      <c r="B291" s="1" t="e">
        <f>#REF!</f>
        <v>#REF!</v>
      </c>
      <c r="C291" s="1" t="e">
        <f>#REF!</f>
        <v>#REF!</v>
      </c>
      <c r="D291" s="1" t="e">
        <f>SUMIFS(#REF!,#REF!,A291)
+SUMIFS(#REF!,#REF!,A291)
+SUMIFS(#REF!,#REF!,A291)</f>
        <v>#REF!</v>
      </c>
    </row>
    <row r="292" spans="1:4" x14ac:dyDescent="0.25">
      <c r="A292" s="1" t="e">
        <f>#REF!</f>
        <v>#REF!</v>
      </c>
      <c r="B292" s="1" t="e">
        <f>#REF!</f>
        <v>#REF!</v>
      </c>
      <c r="C292" s="1" t="e">
        <f>#REF!</f>
        <v>#REF!</v>
      </c>
      <c r="D292" s="1" t="e">
        <f>SUMIFS(#REF!,#REF!,A292)
+SUMIFS(#REF!,#REF!,A292)
+SUMIFS(#REF!,#REF!,A292)</f>
        <v>#REF!</v>
      </c>
    </row>
    <row r="293" spans="1:4" x14ac:dyDescent="0.25">
      <c r="A293" s="1" t="e">
        <f>#REF!</f>
        <v>#REF!</v>
      </c>
      <c r="B293" s="1" t="e">
        <f>#REF!</f>
        <v>#REF!</v>
      </c>
      <c r="C293" s="1" t="e">
        <f>#REF!</f>
        <v>#REF!</v>
      </c>
      <c r="D293" s="1" t="e">
        <f>SUMIFS(#REF!,#REF!,A293)
+SUMIFS(#REF!,#REF!,A293)
+SUMIFS(#REF!,#REF!,A293)</f>
        <v>#REF!</v>
      </c>
    </row>
    <row r="294" spans="1:4" x14ac:dyDescent="0.25">
      <c r="A294" s="1" t="e">
        <f>#REF!</f>
        <v>#REF!</v>
      </c>
      <c r="B294" s="1" t="e">
        <f>#REF!</f>
        <v>#REF!</v>
      </c>
      <c r="C294" s="1" t="e">
        <f>#REF!</f>
        <v>#REF!</v>
      </c>
      <c r="D294" s="1" t="e">
        <f>SUMIFS(#REF!,#REF!,A294)
+SUMIFS(#REF!,#REF!,A294)
+SUMIFS(#REF!,#REF!,A294)</f>
        <v>#REF!</v>
      </c>
    </row>
    <row r="295" spans="1:4" x14ac:dyDescent="0.25">
      <c r="A295" s="1" t="e">
        <f>#REF!</f>
        <v>#REF!</v>
      </c>
      <c r="B295" s="1" t="e">
        <f>#REF!</f>
        <v>#REF!</v>
      </c>
      <c r="C295" s="1" t="e">
        <f>#REF!</f>
        <v>#REF!</v>
      </c>
      <c r="D295" s="1" t="e">
        <f>SUMIFS(#REF!,#REF!,A295)
+SUMIFS(#REF!,#REF!,A295)
+SUMIFS(#REF!,#REF!,A295)</f>
        <v>#REF!</v>
      </c>
    </row>
    <row r="296" spans="1:4" x14ac:dyDescent="0.25">
      <c r="A296" s="1" t="e">
        <f>#REF!</f>
        <v>#REF!</v>
      </c>
      <c r="B296" s="1" t="e">
        <f>#REF!</f>
        <v>#REF!</v>
      </c>
      <c r="C296" s="1" t="e">
        <f>#REF!</f>
        <v>#REF!</v>
      </c>
      <c r="D296" s="1" t="e">
        <f>SUMIFS(#REF!,#REF!,A296)
+SUMIFS(#REF!,#REF!,A296)
+SUMIFS(#REF!,#REF!,A296)</f>
        <v>#REF!</v>
      </c>
    </row>
    <row r="297" spans="1:4" x14ac:dyDescent="0.25">
      <c r="A297" s="1" t="e">
        <f>#REF!</f>
        <v>#REF!</v>
      </c>
      <c r="B297" s="1" t="e">
        <f>#REF!</f>
        <v>#REF!</v>
      </c>
      <c r="C297" s="1" t="e">
        <f>#REF!</f>
        <v>#REF!</v>
      </c>
      <c r="D297" s="1" t="e">
        <f>SUMIFS(#REF!,#REF!,A297)
+SUMIFS(#REF!,#REF!,A297)
+SUMIFS(#REF!,#REF!,A297)</f>
        <v>#REF!</v>
      </c>
    </row>
    <row r="298" spans="1:4" x14ac:dyDescent="0.25">
      <c r="A298" s="1" t="e">
        <f>#REF!</f>
        <v>#REF!</v>
      </c>
      <c r="B298" s="1" t="e">
        <f>#REF!</f>
        <v>#REF!</v>
      </c>
      <c r="C298" s="1" t="e">
        <f>#REF!</f>
        <v>#REF!</v>
      </c>
      <c r="D298" s="1" t="e">
        <f>SUMIFS(#REF!,#REF!,A298)
+SUMIFS(#REF!,#REF!,A298)
+SUMIFS(#REF!,#REF!,A298)</f>
        <v>#REF!</v>
      </c>
    </row>
    <row r="299" spans="1:4" x14ac:dyDescent="0.25">
      <c r="A299" s="1" t="e">
        <f>#REF!</f>
        <v>#REF!</v>
      </c>
      <c r="B299" s="1" t="e">
        <f>#REF!</f>
        <v>#REF!</v>
      </c>
      <c r="C299" s="1" t="e">
        <f>#REF!</f>
        <v>#REF!</v>
      </c>
      <c r="D299" s="1" t="e">
        <f>SUMIFS(#REF!,#REF!,A299)
+SUMIFS(#REF!,#REF!,A299)
+SUMIFS(#REF!,#REF!,A299)</f>
        <v>#REF!</v>
      </c>
    </row>
    <row r="300" spans="1:4" x14ac:dyDescent="0.25">
      <c r="A300" s="1" t="e">
        <f>#REF!</f>
        <v>#REF!</v>
      </c>
      <c r="B300" s="1" t="e">
        <f>#REF!</f>
        <v>#REF!</v>
      </c>
      <c r="C300" s="1" t="e">
        <f>#REF!</f>
        <v>#REF!</v>
      </c>
      <c r="D300" s="1" t="e">
        <f>SUMIFS(#REF!,#REF!,A300)
+SUMIFS(#REF!,#REF!,A300)
+SUMIFS(#REF!,#REF!,A300)</f>
        <v>#REF!</v>
      </c>
    </row>
    <row r="301" spans="1:4" x14ac:dyDescent="0.25">
      <c r="A301" s="1" t="e">
        <f>#REF!</f>
        <v>#REF!</v>
      </c>
      <c r="B301" s="1" t="e">
        <f>#REF!</f>
        <v>#REF!</v>
      </c>
      <c r="C301" s="1" t="e">
        <f>#REF!</f>
        <v>#REF!</v>
      </c>
      <c r="D301" s="1" t="e">
        <f>SUMIFS(#REF!,#REF!,A301)
+SUMIFS(#REF!,#REF!,A301)
+SUMIFS(#REF!,#REF!,A301)</f>
        <v>#REF!</v>
      </c>
    </row>
    <row r="302" spans="1:4" x14ac:dyDescent="0.25">
      <c r="A302" s="1" t="e">
        <f>#REF!</f>
        <v>#REF!</v>
      </c>
      <c r="B302" s="1" t="e">
        <f>#REF!</f>
        <v>#REF!</v>
      </c>
      <c r="C302" s="1" t="e">
        <f>#REF!</f>
        <v>#REF!</v>
      </c>
      <c r="D302" s="1" t="e">
        <f>SUMIFS(#REF!,#REF!,A302)
+SUMIFS(#REF!,#REF!,A302)
+SUMIFS(#REF!,#REF!,A302)</f>
        <v>#REF!</v>
      </c>
    </row>
    <row r="303" spans="1:4" x14ac:dyDescent="0.25">
      <c r="A303" s="1" t="e">
        <f>#REF!</f>
        <v>#REF!</v>
      </c>
      <c r="B303" s="1" t="e">
        <f>#REF!</f>
        <v>#REF!</v>
      </c>
      <c r="C303" s="1" t="e">
        <f>#REF!</f>
        <v>#REF!</v>
      </c>
      <c r="D303" s="1" t="e">
        <f>SUMIFS(#REF!,#REF!,A303)
+SUMIFS(#REF!,#REF!,A303)
+SUMIFS(#REF!,#REF!,A303)</f>
        <v>#REF!</v>
      </c>
    </row>
    <row r="304" spans="1:4" x14ac:dyDescent="0.25">
      <c r="A304" s="1" t="e">
        <f>#REF!</f>
        <v>#REF!</v>
      </c>
      <c r="B304" s="1" t="e">
        <f>#REF!</f>
        <v>#REF!</v>
      </c>
      <c r="C304" s="1" t="e">
        <f>#REF!</f>
        <v>#REF!</v>
      </c>
      <c r="D304" s="1" t="e">
        <f>SUMIFS(#REF!,#REF!,A304)
+SUMIFS(#REF!,#REF!,A304)
+SUMIFS(#REF!,#REF!,A304)</f>
        <v>#REF!</v>
      </c>
    </row>
    <row r="305" spans="1:4" x14ac:dyDescent="0.25">
      <c r="A305" s="1" t="e">
        <f>#REF!</f>
        <v>#REF!</v>
      </c>
      <c r="B305" s="1" t="e">
        <f>#REF!</f>
        <v>#REF!</v>
      </c>
      <c r="C305" s="1" t="e">
        <f>#REF!</f>
        <v>#REF!</v>
      </c>
      <c r="D305" s="1" t="e">
        <f>SUMIFS(#REF!,#REF!,A305)
+SUMIFS(#REF!,#REF!,A305)
+SUMIFS(#REF!,#REF!,A305)</f>
        <v>#REF!</v>
      </c>
    </row>
    <row r="306" spans="1:4" x14ac:dyDescent="0.25">
      <c r="A306" s="1" t="e">
        <f>#REF!</f>
        <v>#REF!</v>
      </c>
      <c r="B306" s="1" t="e">
        <f>#REF!</f>
        <v>#REF!</v>
      </c>
      <c r="C306" s="1" t="e">
        <f>#REF!</f>
        <v>#REF!</v>
      </c>
      <c r="D306" s="1" t="e">
        <f>SUMIFS(#REF!,#REF!,A306)
+SUMIFS(#REF!,#REF!,A306)
+SUMIFS(#REF!,#REF!,A306)</f>
        <v>#REF!</v>
      </c>
    </row>
    <row r="307" spans="1:4" x14ac:dyDescent="0.25">
      <c r="A307" s="1" t="e">
        <f>#REF!</f>
        <v>#REF!</v>
      </c>
      <c r="B307" s="1" t="e">
        <f>#REF!</f>
        <v>#REF!</v>
      </c>
      <c r="C307" s="1" t="e">
        <f>#REF!</f>
        <v>#REF!</v>
      </c>
      <c r="D307" s="1" t="e">
        <f>SUMIFS(#REF!,#REF!,A307)
+SUMIFS(#REF!,#REF!,A307)
+SUMIFS(#REF!,#REF!,A307)</f>
        <v>#REF!</v>
      </c>
    </row>
    <row r="308" spans="1:4" x14ac:dyDescent="0.25">
      <c r="A308" s="1" t="e">
        <f>#REF!</f>
        <v>#REF!</v>
      </c>
      <c r="B308" s="1" t="e">
        <f>#REF!</f>
        <v>#REF!</v>
      </c>
      <c r="C308" s="1" t="e">
        <f>#REF!</f>
        <v>#REF!</v>
      </c>
      <c r="D308" s="1" t="e">
        <f>SUMIFS(#REF!,#REF!,A308)
+SUMIFS(#REF!,#REF!,A308)
+SUMIFS(#REF!,#REF!,A308)</f>
        <v>#REF!</v>
      </c>
    </row>
    <row r="309" spans="1:4" x14ac:dyDescent="0.25">
      <c r="A309" s="1" t="e">
        <f>#REF!</f>
        <v>#REF!</v>
      </c>
      <c r="B309" s="1" t="e">
        <f>#REF!</f>
        <v>#REF!</v>
      </c>
      <c r="C309" s="1" t="e">
        <f>#REF!</f>
        <v>#REF!</v>
      </c>
      <c r="D309" s="1" t="e">
        <f>SUMIFS(#REF!,#REF!,A309)
+SUMIFS(#REF!,#REF!,A309)
+SUMIFS(#REF!,#REF!,A309)</f>
        <v>#REF!</v>
      </c>
    </row>
    <row r="310" spans="1:4" x14ac:dyDescent="0.25">
      <c r="A310" s="1" t="e">
        <f>#REF!</f>
        <v>#REF!</v>
      </c>
      <c r="B310" s="1" t="e">
        <f>#REF!</f>
        <v>#REF!</v>
      </c>
      <c r="C310" s="1" t="e">
        <f>#REF!</f>
        <v>#REF!</v>
      </c>
      <c r="D310" s="1" t="e">
        <f>SUMIFS(#REF!,#REF!,A310)
+SUMIFS(#REF!,#REF!,A310)
+SUMIFS(#REF!,#REF!,A310)</f>
        <v>#REF!</v>
      </c>
    </row>
    <row r="311" spans="1:4" x14ac:dyDescent="0.25">
      <c r="A311" s="1" t="e">
        <f>#REF!</f>
        <v>#REF!</v>
      </c>
      <c r="B311" s="1" t="e">
        <f>#REF!</f>
        <v>#REF!</v>
      </c>
      <c r="C311" s="1" t="e">
        <f>#REF!</f>
        <v>#REF!</v>
      </c>
      <c r="D311" s="1" t="e">
        <f>SUMIFS(#REF!,#REF!,A311)
+SUMIFS(#REF!,#REF!,A311)
+SUMIFS(#REF!,#REF!,A311)</f>
        <v>#REF!</v>
      </c>
    </row>
    <row r="312" spans="1:4" x14ac:dyDescent="0.25">
      <c r="A312" s="1" t="e">
        <f>#REF!</f>
        <v>#REF!</v>
      </c>
      <c r="B312" s="1" t="e">
        <f>#REF!</f>
        <v>#REF!</v>
      </c>
      <c r="C312" s="1" t="e">
        <f>#REF!</f>
        <v>#REF!</v>
      </c>
      <c r="D312" s="1" t="e">
        <f>SUMIFS(#REF!,#REF!,A312)
+SUMIFS(#REF!,#REF!,A312)
+SUMIFS(#REF!,#REF!,A312)</f>
        <v>#REF!</v>
      </c>
    </row>
    <row r="313" spans="1:4" x14ac:dyDescent="0.25">
      <c r="A313" s="1" t="e">
        <f>#REF!</f>
        <v>#REF!</v>
      </c>
      <c r="B313" s="1" t="e">
        <f>#REF!</f>
        <v>#REF!</v>
      </c>
      <c r="C313" s="1" t="e">
        <f>#REF!</f>
        <v>#REF!</v>
      </c>
      <c r="D313" s="1" t="e">
        <f>SUMIFS(#REF!,#REF!,A313)
+SUMIFS(#REF!,#REF!,A313)
+SUMIFS(#REF!,#REF!,A313)</f>
        <v>#REF!</v>
      </c>
    </row>
    <row r="314" spans="1:4" x14ac:dyDescent="0.25">
      <c r="A314" s="1" t="e">
        <f>#REF!</f>
        <v>#REF!</v>
      </c>
      <c r="B314" s="1" t="e">
        <f>#REF!</f>
        <v>#REF!</v>
      </c>
      <c r="C314" s="1" t="e">
        <f>#REF!</f>
        <v>#REF!</v>
      </c>
      <c r="D314" s="1" t="e">
        <f>SUMIFS(#REF!,#REF!,A314)
+SUMIFS(#REF!,#REF!,A314)
+SUMIFS(#REF!,#REF!,A314)</f>
        <v>#REF!</v>
      </c>
    </row>
    <row r="315" spans="1:4" x14ac:dyDescent="0.25">
      <c r="A315" s="1" t="e">
        <f>#REF!</f>
        <v>#REF!</v>
      </c>
      <c r="B315" s="1" t="e">
        <f>#REF!</f>
        <v>#REF!</v>
      </c>
      <c r="C315" s="1" t="e">
        <f>#REF!</f>
        <v>#REF!</v>
      </c>
      <c r="D315" s="1" t="e">
        <f>SUMIFS(#REF!,#REF!,A315)
+SUMIFS(#REF!,#REF!,A315)
+SUMIFS(#REF!,#REF!,A315)</f>
        <v>#REF!</v>
      </c>
    </row>
    <row r="316" spans="1:4" x14ac:dyDescent="0.25">
      <c r="A316" s="1" t="e">
        <f>#REF!</f>
        <v>#REF!</v>
      </c>
      <c r="B316" s="1" t="e">
        <f>#REF!</f>
        <v>#REF!</v>
      </c>
      <c r="C316" s="1" t="e">
        <f>#REF!</f>
        <v>#REF!</v>
      </c>
      <c r="D316" s="1" t="e">
        <f>SUMIFS(#REF!,#REF!,A316)
+SUMIFS(#REF!,#REF!,A316)
+SUMIFS(#REF!,#REF!,A316)</f>
        <v>#REF!</v>
      </c>
    </row>
    <row r="317" spans="1:4" x14ac:dyDescent="0.25">
      <c r="A317" s="1" t="e">
        <f>#REF!</f>
        <v>#REF!</v>
      </c>
      <c r="B317" s="1" t="e">
        <f>#REF!</f>
        <v>#REF!</v>
      </c>
      <c r="C317" s="1" t="e">
        <f>#REF!</f>
        <v>#REF!</v>
      </c>
      <c r="D317" s="1" t="e">
        <f>SUMIFS(#REF!,#REF!,A317)
+SUMIFS(#REF!,#REF!,A317)
+SUMIFS(#REF!,#REF!,A317)</f>
        <v>#REF!</v>
      </c>
    </row>
    <row r="318" spans="1:4" x14ac:dyDescent="0.25">
      <c r="A318" s="1" t="e">
        <f>#REF!</f>
        <v>#REF!</v>
      </c>
      <c r="B318" s="1" t="e">
        <f>#REF!</f>
        <v>#REF!</v>
      </c>
      <c r="C318" s="1" t="e">
        <f>#REF!</f>
        <v>#REF!</v>
      </c>
      <c r="D318" s="1" t="e">
        <f>SUMIFS(#REF!,#REF!,A318)
+SUMIFS(#REF!,#REF!,A318)
+SUMIFS(#REF!,#REF!,A318)</f>
        <v>#REF!</v>
      </c>
    </row>
    <row r="319" spans="1:4" x14ac:dyDescent="0.25">
      <c r="A319" s="1" t="e">
        <f>#REF!</f>
        <v>#REF!</v>
      </c>
      <c r="B319" s="1" t="e">
        <f>#REF!</f>
        <v>#REF!</v>
      </c>
      <c r="C319" s="1" t="e">
        <f>#REF!</f>
        <v>#REF!</v>
      </c>
      <c r="D319" s="1" t="e">
        <f>SUMIFS(#REF!,#REF!,A319)
+SUMIFS(#REF!,#REF!,A319)
+SUMIFS(#REF!,#REF!,A319)</f>
        <v>#REF!</v>
      </c>
    </row>
    <row r="320" spans="1:4" x14ac:dyDescent="0.25">
      <c r="A320" s="1" t="e">
        <f>#REF!</f>
        <v>#REF!</v>
      </c>
      <c r="B320" s="1" t="e">
        <f>#REF!</f>
        <v>#REF!</v>
      </c>
      <c r="C320" s="1" t="e">
        <f>#REF!</f>
        <v>#REF!</v>
      </c>
      <c r="D320" s="1" t="e">
        <f>SUMIFS(#REF!,#REF!,A320)
+SUMIFS(#REF!,#REF!,A320)
+SUMIFS(#REF!,#REF!,A320)</f>
        <v>#REF!</v>
      </c>
    </row>
    <row r="321" spans="1:4" x14ac:dyDescent="0.25">
      <c r="A321" s="1" t="e">
        <f>#REF!</f>
        <v>#REF!</v>
      </c>
      <c r="B321" s="1" t="e">
        <f>#REF!</f>
        <v>#REF!</v>
      </c>
      <c r="C321" s="1" t="e">
        <f>#REF!</f>
        <v>#REF!</v>
      </c>
      <c r="D321" s="1" t="e">
        <f>SUMIFS(#REF!,#REF!,A321)
+SUMIFS(#REF!,#REF!,A321)
+SUMIFS(#REF!,#REF!,A321)</f>
        <v>#REF!</v>
      </c>
    </row>
    <row r="322" spans="1:4" x14ac:dyDescent="0.25">
      <c r="A322" s="1" t="e">
        <f>#REF!</f>
        <v>#REF!</v>
      </c>
      <c r="B322" s="1" t="e">
        <f>#REF!</f>
        <v>#REF!</v>
      </c>
      <c r="C322" s="1" t="e">
        <f>#REF!</f>
        <v>#REF!</v>
      </c>
      <c r="D322" s="1" t="e">
        <f>SUMIFS(#REF!,#REF!,A322)
+SUMIFS(#REF!,#REF!,A322)
+SUMIFS(#REF!,#REF!,A322)</f>
        <v>#REF!</v>
      </c>
    </row>
    <row r="323" spans="1:4" x14ac:dyDescent="0.25">
      <c r="A323" s="1" t="e">
        <f>#REF!</f>
        <v>#REF!</v>
      </c>
      <c r="B323" s="1" t="e">
        <f>#REF!</f>
        <v>#REF!</v>
      </c>
      <c r="C323" s="1" t="e">
        <f>#REF!</f>
        <v>#REF!</v>
      </c>
      <c r="D323" s="1" t="e">
        <f>SUMIFS(#REF!,#REF!,A323)
+SUMIFS(#REF!,#REF!,A323)
+SUMIFS(#REF!,#REF!,A323)</f>
        <v>#REF!</v>
      </c>
    </row>
    <row r="324" spans="1:4" x14ac:dyDescent="0.25">
      <c r="A324" s="1" t="e">
        <f>#REF!</f>
        <v>#REF!</v>
      </c>
      <c r="B324" s="1" t="e">
        <f>#REF!</f>
        <v>#REF!</v>
      </c>
      <c r="C324" s="1" t="e">
        <f>#REF!</f>
        <v>#REF!</v>
      </c>
      <c r="D324" s="1" t="e">
        <f>SUMIFS(#REF!,#REF!,A324)
+SUMIFS(#REF!,#REF!,A324)
+SUMIFS(#REF!,#REF!,A324)</f>
        <v>#REF!</v>
      </c>
    </row>
    <row r="325" spans="1:4" x14ac:dyDescent="0.25">
      <c r="A325" s="1" t="e">
        <f>#REF!</f>
        <v>#REF!</v>
      </c>
      <c r="B325" s="1" t="e">
        <f>#REF!</f>
        <v>#REF!</v>
      </c>
      <c r="C325" s="1" t="e">
        <f>#REF!</f>
        <v>#REF!</v>
      </c>
      <c r="D325" s="1" t="e">
        <f>SUMIFS(#REF!,#REF!,A325)
+SUMIFS(#REF!,#REF!,A325)
+SUMIFS(#REF!,#REF!,A325)</f>
        <v>#REF!</v>
      </c>
    </row>
    <row r="326" spans="1:4" x14ac:dyDescent="0.25">
      <c r="A326" s="1" t="e">
        <f>#REF!</f>
        <v>#REF!</v>
      </c>
      <c r="B326" s="1" t="e">
        <f>#REF!</f>
        <v>#REF!</v>
      </c>
      <c r="C326" s="1" t="e">
        <f>#REF!</f>
        <v>#REF!</v>
      </c>
      <c r="D326" s="1" t="e">
        <f>SUMIFS(#REF!,#REF!,A326)
+SUMIFS(#REF!,#REF!,A326)
+SUMIFS(#REF!,#REF!,A326)</f>
        <v>#REF!</v>
      </c>
    </row>
    <row r="327" spans="1:4" x14ac:dyDescent="0.25">
      <c r="A327" s="1" t="e">
        <f>#REF!</f>
        <v>#REF!</v>
      </c>
      <c r="B327" s="1" t="e">
        <f>#REF!</f>
        <v>#REF!</v>
      </c>
      <c r="C327" s="1" t="e">
        <f>#REF!</f>
        <v>#REF!</v>
      </c>
      <c r="D327" s="1" t="e">
        <f>SUMIFS(#REF!,#REF!,A327)
+SUMIFS(#REF!,#REF!,A327)
+SUMIFS(#REF!,#REF!,A327)</f>
        <v>#REF!</v>
      </c>
    </row>
    <row r="328" spans="1:4" x14ac:dyDescent="0.25">
      <c r="A328" s="1" t="e">
        <f>#REF!</f>
        <v>#REF!</v>
      </c>
      <c r="B328" s="1" t="e">
        <f>#REF!</f>
        <v>#REF!</v>
      </c>
      <c r="C328" s="1" t="e">
        <f>#REF!</f>
        <v>#REF!</v>
      </c>
      <c r="D328" s="1" t="e">
        <f>SUMIFS(#REF!,#REF!,A328)
+SUMIFS(#REF!,#REF!,A328)
+SUMIFS(#REF!,#REF!,A328)</f>
        <v>#REF!</v>
      </c>
    </row>
    <row r="329" spans="1:4" x14ac:dyDescent="0.25">
      <c r="A329" s="1" t="e">
        <f>#REF!</f>
        <v>#REF!</v>
      </c>
      <c r="B329" s="1" t="e">
        <f>#REF!</f>
        <v>#REF!</v>
      </c>
      <c r="C329" s="1" t="e">
        <f>#REF!</f>
        <v>#REF!</v>
      </c>
      <c r="D329" s="1" t="e">
        <f>SUMIFS(#REF!,#REF!,A329)
+SUMIFS(#REF!,#REF!,A329)
+SUMIFS(#REF!,#REF!,A329)</f>
        <v>#REF!</v>
      </c>
    </row>
    <row r="330" spans="1:4" x14ac:dyDescent="0.25">
      <c r="A330" s="1" t="e">
        <f>#REF!</f>
        <v>#REF!</v>
      </c>
      <c r="B330" s="1" t="e">
        <f>#REF!</f>
        <v>#REF!</v>
      </c>
      <c r="C330" s="1" t="e">
        <f>#REF!</f>
        <v>#REF!</v>
      </c>
      <c r="D330" s="1" t="e">
        <f>SUMIFS(#REF!,#REF!,A330)
+SUMIFS(#REF!,#REF!,A330)
+SUMIFS(#REF!,#REF!,A330)</f>
        <v>#REF!</v>
      </c>
    </row>
    <row r="331" spans="1:4" x14ac:dyDescent="0.25">
      <c r="A331" s="1" t="e">
        <f>#REF!</f>
        <v>#REF!</v>
      </c>
      <c r="B331" s="1" t="e">
        <f>#REF!</f>
        <v>#REF!</v>
      </c>
      <c r="C331" s="1" t="e">
        <f>#REF!</f>
        <v>#REF!</v>
      </c>
      <c r="D331" s="1" t="e">
        <f>SUMIFS(#REF!,#REF!,A331)
+SUMIFS(#REF!,#REF!,A331)
+SUMIFS(#REF!,#REF!,A331)</f>
        <v>#REF!</v>
      </c>
    </row>
    <row r="332" spans="1:4" x14ac:dyDescent="0.25">
      <c r="A332" s="1" t="e">
        <f>#REF!</f>
        <v>#REF!</v>
      </c>
      <c r="B332" s="1" t="e">
        <f>#REF!</f>
        <v>#REF!</v>
      </c>
      <c r="C332" s="1" t="e">
        <f>#REF!</f>
        <v>#REF!</v>
      </c>
      <c r="D332" s="1" t="e">
        <f>SUMIFS(#REF!,#REF!,A332)
+SUMIFS(#REF!,#REF!,A332)
+SUMIFS(#REF!,#REF!,A332)</f>
        <v>#REF!</v>
      </c>
    </row>
    <row r="333" spans="1:4" x14ac:dyDescent="0.25">
      <c r="A333" s="1" t="e">
        <f>#REF!</f>
        <v>#REF!</v>
      </c>
      <c r="B333" s="1" t="e">
        <f>#REF!</f>
        <v>#REF!</v>
      </c>
      <c r="C333" s="1" t="e">
        <f>#REF!</f>
        <v>#REF!</v>
      </c>
      <c r="D333" s="1" t="e">
        <f>SUMIFS(#REF!,#REF!,A333)
+SUMIFS(#REF!,#REF!,A333)
+SUMIFS(#REF!,#REF!,A333)</f>
        <v>#REF!</v>
      </c>
    </row>
    <row r="334" spans="1:4" x14ac:dyDescent="0.25">
      <c r="A334" s="1" t="e">
        <f>#REF!</f>
        <v>#REF!</v>
      </c>
      <c r="B334" s="1" t="e">
        <f>#REF!</f>
        <v>#REF!</v>
      </c>
      <c r="C334" s="1" t="e">
        <f>#REF!</f>
        <v>#REF!</v>
      </c>
      <c r="D334" s="1" t="e">
        <f>SUMIFS(#REF!,#REF!,A334)
+SUMIFS(#REF!,#REF!,A334)
+SUMIFS(#REF!,#REF!,A334)</f>
        <v>#REF!</v>
      </c>
    </row>
    <row r="335" spans="1:4" x14ac:dyDescent="0.25">
      <c r="A335" s="1" t="e">
        <f>#REF!</f>
        <v>#REF!</v>
      </c>
      <c r="B335" s="1" t="e">
        <f>#REF!</f>
        <v>#REF!</v>
      </c>
      <c r="C335" s="1" t="e">
        <f>#REF!</f>
        <v>#REF!</v>
      </c>
      <c r="D335" s="1" t="e">
        <f>SUMIFS(#REF!,#REF!,A335)
+SUMIFS(#REF!,#REF!,A335)
+SUMIFS(#REF!,#REF!,A335)</f>
        <v>#REF!</v>
      </c>
    </row>
    <row r="336" spans="1:4" x14ac:dyDescent="0.25">
      <c r="A336" s="1" t="e">
        <f>#REF!</f>
        <v>#REF!</v>
      </c>
      <c r="B336" s="1" t="e">
        <f>#REF!</f>
        <v>#REF!</v>
      </c>
      <c r="C336" s="1" t="e">
        <f>#REF!</f>
        <v>#REF!</v>
      </c>
      <c r="D336" s="1" t="e">
        <f>SUMIFS(#REF!,#REF!,A336)
+SUMIFS(#REF!,#REF!,A336)
+SUMIFS(#REF!,#REF!,A336)</f>
        <v>#REF!</v>
      </c>
    </row>
    <row r="337" spans="1:4" x14ac:dyDescent="0.25">
      <c r="A337" s="1" t="e">
        <f>#REF!</f>
        <v>#REF!</v>
      </c>
      <c r="B337" s="1" t="e">
        <f>#REF!</f>
        <v>#REF!</v>
      </c>
      <c r="C337" s="1" t="e">
        <f>#REF!</f>
        <v>#REF!</v>
      </c>
      <c r="D337" s="1" t="e">
        <f>SUMIFS(#REF!,#REF!,A337)
+SUMIFS(#REF!,#REF!,A337)
+SUMIFS(#REF!,#REF!,A337)</f>
        <v>#REF!</v>
      </c>
    </row>
    <row r="338" spans="1:4" x14ac:dyDescent="0.25">
      <c r="A338" s="1" t="e">
        <f>#REF!</f>
        <v>#REF!</v>
      </c>
      <c r="B338" s="1" t="e">
        <f>#REF!</f>
        <v>#REF!</v>
      </c>
      <c r="C338" s="1" t="e">
        <f>#REF!</f>
        <v>#REF!</v>
      </c>
      <c r="D338" s="1" t="e">
        <f>SUMIFS(#REF!,#REF!,A338)
+SUMIFS(#REF!,#REF!,A338)
+SUMIFS(#REF!,#REF!,A338)</f>
        <v>#REF!</v>
      </c>
    </row>
    <row r="339" spans="1:4" x14ac:dyDescent="0.25">
      <c r="A339" s="1" t="e">
        <f>#REF!</f>
        <v>#REF!</v>
      </c>
      <c r="B339" s="1" t="e">
        <f>#REF!</f>
        <v>#REF!</v>
      </c>
      <c r="C339" s="1" t="e">
        <f>#REF!</f>
        <v>#REF!</v>
      </c>
      <c r="D339" s="1" t="e">
        <f>SUMIFS(#REF!,#REF!,A339)
+SUMIFS(#REF!,#REF!,A339)
+SUMIFS(#REF!,#REF!,A339)</f>
        <v>#REF!</v>
      </c>
    </row>
    <row r="340" spans="1:4" x14ac:dyDescent="0.25">
      <c r="A340" s="1" t="e">
        <f>#REF!</f>
        <v>#REF!</v>
      </c>
      <c r="B340" s="1" t="e">
        <f>#REF!</f>
        <v>#REF!</v>
      </c>
      <c r="C340" s="1" t="e">
        <f>#REF!</f>
        <v>#REF!</v>
      </c>
      <c r="D340" s="1" t="e">
        <f>SUMIFS(#REF!,#REF!,A340)
+SUMIFS(#REF!,#REF!,A340)
+SUMIFS(#REF!,#REF!,A340)</f>
        <v>#REF!</v>
      </c>
    </row>
    <row r="341" spans="1:4" x14ac:dyDescent="0.25">
      <c r="A341" s="1" t="e">
        <f>#REF!</f>
        <v>#REF!</v>
      </c>
      <c r="B341" s="1" t="e">
        <f>#REF!</f>
        <v>#REF!</v>
      </c>
      <c r="C341" s="1" t="e">
        <f>#REF!</f>
        <v>#REF!</v>
      </c>
      <c r="D341" s="1" t="e">
        <f>SUMIFS(#REF!,#REF!,A341)
+SUMIFS(#REF!,#REF!,A341)
+SUMIFS(#REF!,#REF!,A341)</f>
        <v>#REF!</v>
      </c>
    </row>
    <row r="342" spans="1:4" x14ac:dyDescent="0.25">
      <c r="A342" s="1" t="e">
        <f>#REF!</f>
        <v>#REF!</v>
      </c>
      <c r="B342" s="1" t="e">
        <f>#REF!</f>
        <v>#REF!</v>
      </c>
      <c r="C342" s="1" t="e">
        <f>#REF!</f>
        <v>#REF!</v>
      </c>
      <c r="D342" s="1" t="e">
        <f>SUMIFS(#REF!,#REF!,A342)
+SUMIFS(#REF!,#REF!,A342)
+SUMIFS(#REF!,#REF!,A342)</f>
        <v>#REF!</v>
      </c>
    </row>
    <row r="343" spans="1:4" x14ac:dyDescent="0.25">
      <c r="A343" s="1" t="e">
        <f>#REF!</f>
        <v>#REF!</v>
      </c>
      <c r="B343" s="1" t="e">
        <f>#REF!</f>
        <v>#REF!</v>
      </c>
      <c r="C343" s="1" t="e">
        <f>#REF!</f>
        <v>#REF!</v>
      </c>
      <c r="D343" s="1" t="e">
        <f>SUMIFS(#REF!,#REF!,A343)
+SUMIFS(#REF!,#REF!,A343)
+SUMIFS(#REF!,#REF!,A343)</f>
        <v>#REF!</v>
      </c>
    </row>
    <row r="344" spans="1:4" x14ac:dyDescent="0.25">
      <c r="A344" s="1" t="e">
        <f>#REF!</f>
        <v>#REF!</v>
      </c>
      <c r="B344" s="1" t="e">
        <f>#REF!</f>
        <v>#REF!</v>
      </c>
      <c r="C344" s="1" t="e">
        <f>#REF!</f>
        <v>#REF!</v>
      </c>
      <c r="D344" s="1" t="e">
        <f>SUMIFS(#REF!,#REF!,A344)
+SUMIFS(#REF!,#REF!,A344)
+SUMIFS(#REF!,#REF!,A344)</f>
        <v>#REF!</v>
      </c>
    </row>
    <row r="345" spans="1:4" x14ac:dyDescent="0.25">
      <c r="A345" s="1" t="e">
        <f>#REF!</f>
        <v>#REF!</v>
      </c>
      <c r="B345" s="1" t="e">
        <f>#REF!</f>
        <v>#REF!</v>
      </c>
      <c r="C345" s="1" t="e">
        <f>#REF!</f>
        <v>#REF!</v>
      </c>
      <c r="D345" s="1" t="e">
        <f>SUMIFS(#REF!,#REF!,A345)
+SUMIFS(#REF!,#REF!,A345)
+SUMIFS(#REF!,#REF!,A345)</f>
        <v>#REF!</v>
      </c>
    </row>
    <row r="346" spans="1:4" x14ac:dyDescent="0.25">
      <c r="A346" s="1" t="e">
        <f>#REF!</f>
        <v>#REF!</v>
      </c>
      <c r="B346" s="1" t="e">
        <f>#REF!</f>
        <v>#REF!</v>
      </c>
      <c r="C346" s="1" t="e">
        <f>#REF!</f>
        <v>#REF!</v>
      </c>
      <c r="D346" s="1" t="e">
        <f>SUMIFS(#REF!,#REF!,A346)
+SUMIFS(#REF!,#REF!,A346)
+SUMIFS(#REF!,#REF!,A346)</f>
        <v>#REF!</v>
      </c>
    </row>
    <row r="347" spans="1:4" x14ac:dyDescent="0.25">
      <c r="A347" s="1" t="e">
        <f>#REF!</f>
        <v>#REF!</v>
      </c>
      <c r="B347" s="1" t="e">
        <f>#REF!</f>
        <v>#REF!</v>
      </c>
      <c r="C347" s="1" t="e">
        <f>#REF!</f>
        <v>#REF!</v>
      </c>
      <c r="D347" s="1" t="e">
        <f>SUMIFS(#REF!,#REF!,A347)
+SUMIFS(#REF!,#REF!,A347)
+SUMIFS(#REF!,#REF!,A347)</f>
        <v>#REF!</v>
      </c>
    </row>
    <row r="348" spans="1:4" x14ac:dyDescent="0.25">
      <c r="A348" s="1" t="e">
        <f>#REF!</f>
        <v>#REF!</v>
      </c>
      <c r="B348" s="1" t="e">
        <f>#REF!</f>
        <v>#REF!</v>
      </c>
      <c r="C348" s="1" t="e">
        <f>#REF!</f>
        <v>#REF!</v>
      </c>
      <c r="D348" s="1" t="e">
        <f>SUMIFS(#REF!,#REF!,A348)
+SUMIFS(#REF!,#REF!,A348)
+SUMIFS(#REF!,#REF!,A348)</f>
        <v>#REF!</v>
      </c>
    </row>
    <row r="349" spans="1:4" x14ac:dyDescent="0.25">
      <c r="A349" s="1" t="e">
        <f>#REF!</f>
        <v>#REF!</v>
      </c>
      <c r="B349" s="1" t="e">
        <f>#REF!</f>
        <v>#REF!</v>
      </c>
      <c r="C349" s="1" t="e">
        <f>#REF!</f>
        <v>#REF!</v>
      </c>
      <c r="D349" s="1" t="e">
        <f>SUMIFS(#REF!,#REF!,A349)
+SUMIFS(#REF!,#REF!,A349)
+SUMIFS(#REF!,#REF!,A349)</f>
        <v>#REF!</v>
      </c>
    </row>
    <row r="350" spans="1:4" x14ac:dyDescent="0.25">
      <c r="A350" s="1" t="e">
        <f>#REF!</f>
        <v>#REF!</v>
      </c>
      <c r="B350" s="1" t="e">
        <f>#REF!</f>
        <v>#REF!</v>
      </c>
      <c r="C350" s="1" t="e">
        <f>#REF!</f>
        <v>#REF!</v>
      </c>
      <c r="D350" s="1" t="e">
        <f>SUMIFS(#REF!,#REF!,A350)
+SUMIFS(#REF!,#REF!,A350)
+SUMIFS(#REF!,#REF!,A350)</f>
        <v>#REF!</v>
      </c>
    </row>
    <row r="351" spans="1:4" x14ac:dyDescent="0.25">
      <c r="A351" s="1" t="e">
        <f>#REF!</f>
        <v>#REF!</v>
      </c>
      <c r="B351" s="1" t="e">
        <f>#REF!</f>
        <v>#REF!</v>
      </c>
      <c r="C351" s="1" t="e">
        <f>#REF!</f>
        <v>#REF!</v>
      </c>
      <c r="D351" s="1" t="e">
        <f>SUMIFS(#REF!,#REF!,A351)
+SUMIFS(#REF!,#REF!,A351)
+SUMIFS(#REF!,#REF!,A351)</f>
        <v>#REF!</v>
      </c>
    </row>
    <row r="352" spans="1:4" x14ac:dyDescent="0.25">
      <c r="A352" s="1" t="e">
        <f>#REF!</f>
        <v>#REF!</v>
      </c>
      <c r="B352" s="1" t="e">
        <f>#REF!</f>
        <v>#REF!</v>
      </c>
      <c r="C352" s="1" t="e">
        <f>#REF!</f>
        <v>#REF!</v>
      </c>
      <c r="D352" s="1" t="e">
        <f>SUMIFS(#REF!,#REF!,A352)
+SUMIFS(#REF!,#REF!,A352)
+SUMIFS(#REF!,#REF!,A352)</f>
        <v>#REF!</v>
      </c>
    </row>
    <row r="353" spans="1:4" x14ac:dyDescent="0.25">
      <c r="A353" s="1" t="e">
        <f>#REF!</f>
        <v>#REF!</v>
      </c>
      <c r="B353" s="1" t="e">
        <f>#REF!</f>
        <v>#REF!</v>
      </c>
      <c r="C353" s="1" t="e">
        <f>#REF!</f>
        <v>#REF!</v>
      </c>
      <c r="D353" s="1" t="e">
        <f>SUMIFS(#REF!,#REF!,A353)
+SUMIFS(#REF!,#REF!,A353)
+SUMIFS(#REF!,#REF!,A353)</f>
        <v>#REF!</v>
      </c>
    </row>
    <row r="354" spans="1:4" x14ac:dyDescent="0.25">
      <c r="A354" s="1" t="e">
        <f>#REF!</f>
        <v>#REF!</v>
      </c>
      <c r="B354" s="1" t="e">
        <f>#REF!</f>
        <v>#REF!</v>
      </c>
      <c r="C354" s="1" t="e">
        <f>#REF!</f>
        <v>#REF!</v>
      </c>
      <c r="D354" s="1" t="e">
        <f>SUMIFS(#REF!,#REF!,A354)
+SUMIFS(#REF!,#REF!,A354)
+SUMIFS(#REF!,#REF!,A354)</f>
        <v>#REF!</v>
      </c>
    </row>
    <row r="355" spans="1:4" x14ac:dyDescent="0.25">
      <c r="A355" s="1" t="e">
        <f>#REF!</f>
        <v>#REF!</v>
      </c>
      <c r="B355" s="1" t="e">
        <f>#REF!</f>
        <v>#REF!</v>
      </c>
      <c r="C355" s="1" t="e">
        <f>#REF!</f>
        <v>#REF!</v>
      </c>
      <c r="D355" s="1" t="e">
        <f>SUMIFS(#REF!,#REF!,A355)
+SUMIFS(#REF!,#REF!,A355)
+SUMIFS(#REF!,#REF!,A355)</f>
        <v>#REF!</v>
      </c>
    </row>
    <row r="356" spans="1:4" x14ac:dyDescent="0.25">
      <c r="A356" s="1" t="e">
        <f>#REF!</f>
        <v>#REF!</v>
      </c>
      <c r="B356" s="1" t="e">
        <f>#REF!</f>
        <v>#REF!</v>
      </c>
      <c r="C356" s="1" t="e">
        <f>#REF!</f>
        <v>#REF!</v>
      </c>
      <c r="D356" s="1" t="e">
        <f>SUMIFS(#REF!,#REF!,A356)
+SUMIFS(#REF!,#REF!,A356)
+SUMIFS(#REF!,#REF!,A356)</f>
        <v>#REF!</v>
      </c>
    </row>
    <row r="357" spans="1:4" x14ac:dyDescent="0.25">
      <c r="A357" s="1" t="e">
        <f>#REF!</f>
        <v>#REF!</v>
      </c>
      <c r="B357" s="1" t="e">
        <f>#REF!</f>
        <v>#REF!</v>
      </c>
      <c r="C357" s="1" t="e">
        <f>#REF!</f>
        <v>#REF!</v>
      </c>
      <c r="D357" s="1" t="e">
        <f>SUMIFS(#REF!,#REF!,A357)
+SUMIFS(#REF!,#REF!,A357)
+SUMIFS(#REF!,#REF!,A357)</f>
        <v>#REF!</v>
      </c>
    </row>
    <row r="358" spans="1:4" x14ac:dyDescent="0.25">
      <c r="A358" s="1" t="e">
        <f>#REF!</f>
        <v>#REF!</v>
      </c>
      <c r="B358" s="1" t="e">
        <f>#REF!</f>
        <v>#REF!</v>
      </c>
      <c r="C358" s="1" t="e">
        <f>#REF!</f>
        <v>#REF!</v>
      </c>
      <c r="D358" s="1" t="e">
        <f>SUMIFS(#REF!,#REF!,A358)
+SUMIFS(#REF!,#REF!,A358)
+SUMIFS(#REF!,#REF!,A358)</f>
        <v>#REF!</v>
      </c>
    </row>
    <row r="359" spans="1:4" x14ac:dyDescent="0.25">
      <c r="A359" s="16" t="e">
        <f>#REF!</f>
        <v>#REF!</v>
      </c>
      <c r="B359" s="16" t="e">
        <f>#REF!</f>
        <v>#REF!</v>
      </c>
      <c r="C359" s="16" t="e">
        <f>#REF!</f>
        <v>#REF!</v>
      </c>
      <c r="D359" s="16" t="e">
        <f>SUMIFS(#REF!,#REF!,A359)
+SUMIFS(#REF!,#REF!,A359)
+SUMIFS(#REF!,#REF!,A359)</f>
        <v>#REF!</v>
      </c>
    </row>
    <row r="360" spans="1:4" x14ac:dyDescent="0.25">
      <c r="A360" s="15" t="e">
        <f>#REF!</f>
        <v>#REF!</v>
      </c>
      <c r="B360" s="1" t="e">
        <f>#REF!</f>
        <v>#REF!</v>
      </c>
      <c r="C360" s="1" t="e">
        <f>#REF!</f>
        <v>#REF!</v>
      </c>
      <c r="D360" s="15" t="e">
        <f>SUMIFS(#REF!,#REF!,A360)+
SUMIFS(#REF!,#REF!,A360)+
SUMIFS(#REF!,#REF!,A360)</f>
        <v>#REF!</v>
      </c>
    </row>
    <row r="361" spans="1:4" x14ac:dyDescent="0.25">
      <c r="A361" s="15" t="e">
        <f>#REF!</f>
        <v>#REF!</v>
      </c>
      <c r="B361" s="1" t="e">
        <f>#REF!</f>
        <v>#REF!</v>
      </c>
      <c r="C361" s="1" t="e">
        <f>#REF!</f>
        <v>#REF!</v>
      </c>
      <c r="D361" s="15" t="e">
        <f>SUMIFS(#REF!,#REF!,A361)+
SUMIFS(#REF!,#REF!,A361)+
SUMIFS(#REF!,#REF!,A361)</f>
        <v>#REF!</v>
      </c>
    </row>
    <row r="362" spans="1:4" x14ac:dyDescent="0.25">
      <c r="A362" s="15" t="e">
        <f>#REF!</f>
        <v>#REF!</v>
      </c>
      <c r="B362" s="1" t="e">
        <f>#REF!</f>
        <v>#REF!</v>
      </c>
      <c r="C362" s="1" t="e">
        <f>#REF!</f>
        <v>#REF!</v>
      </c>
      <c r="D362" s="15" t="e">
        <f>SUMIFS(#REF!,#REF!,A362)+
SUMIFS(#REF!,#REF!,A362)+
SUMIFS(#REF!,#REF!,A362)</f>
        <v>#REF!</v>
      </c>
    </row>
    <row r="363" spans="1:4" x14ac:dyDescent="0.25">
      <c r="A363" s="15" t="e">
        <f>#REF!</f>
        <v>#REF!</v>
      </c>
      <c r="B363" s="1" t="e">
        <f>#REF!</f>
        <v>#REF!</v>
      </c>
      <c r="C363" s="1" t="e">
        <f>#REF!</f>
        <v>#REF!</v>
      </c>
      <c r="D363" s="15" t="e">
        <f>SUMIFS(#REF!,#REF!,A363)+
SUMIFS(#REF!,#REF!,A363)+
SUMIFS(#REF!,#REF!,A363)</f>
        <v>#REF!</v>
      </c>
    </row>
    <row r="364" spans="1:4" x14ac:dyDescent="0.25">
      <c r="A364" s="15" t="e">
        <f>#REF!</f>
        <v>#REF!</v>
      </c>
      <c r="B364" s="1" t="e">
        <f>#REF!</f>
        <v>#REF!</v>
      </c>
      <c r="C364" s="1" t="e">
        <f>#REF!</f>
        <v>#REF!</v>
      </c>
      <c r="D364" s="15" t="e">
        <f>SUMIFS(#REF!,#REF!,A364)+
SUMIFS(#REF!,#REF!,A364)+
SUMIFS(#REF!,#REF!,A364)</f>
        <v>#REF!</v>
      </c>
    </row>
    <row r="365" spans="1:4" x14ac:dyDescent="0.25">
      <c r="A365" s="15" t="e">
        <f>#REF!</f>
        <v>#REF!</v>
      </c>
      <c r="B365" s="1" t="e">
        <f>#REF!</f>
        <v>#REF!</v>
      </c>
      <c r="C365" s="1" t="e">
        <f>#REF!</f>
        <v>#REF!</v>
      </c>
      <c r="D365" s="15" t="e">
        <f>SUMIFS(#REF!,#REF!,A365)+
SUMIFS(#REF!,#REF!,A365)+
SUMIFS(#REF!,#REF!,A365)</f>
        <v>#REF!</v>
      </c>
    </row>
    <row r="366" spans="1:4" x14ac:dyDescent="0.25">
      <c r="A366" s="15" t="e">
        <f>#REF!</f>
        <v>#REF!</v>
      </c>
      <c r="B366" s="1" t="e">
        <f>#REF!</f>
        <v>#REF!</v>
      </c>
      <c r="C366" s="1" t="e">
        <f>#REF!</f>
        <v>#REF!</v>
      </c>
      <c r="D366" s="15" t="e">
        <f>SUMIFS(#REF!,#REF!,A366)+
SUMIFS(#REF!,#REF!,A366)+
SUMIFS(#REF!,#REF!,A366)</f>
        <v>#REF!</v>
      </c>
    </row>
    <row r="367" spans="1:4" x14ac:dyDescent="0.25">
      <c r="A367" s="15" t="e">
        <f>#REF!</f>
        <v>#REF!</v>
      </c>
      <c r="B367" s="1" t="e">
        <f>#REF!</f>
        <v>#REF!</v>
      </c>
      <c r="C367" s="1" t="e">
        <f>#REF!</f>
        <v>#REF!</v>
      </c>
      <c r="D367" s="15" t="e">
        <f>SUMIFS(#REF!,#REF!,A367)+
SUMIFS(#REF!,#REF!,A367)+
SUMIFS(#REF!,#REF!,A367)</f>
        <v>#REF!</v>
      </c>
    </row>
    <row r="368" spans="1:4" x14ac:dyDescent="0.25">
      <c r="A368" s="15" t="e">
        <f>#REF!</f>
        <v>#REF!</v>
      </c>
      <c r="B368" s="1" t="e">
        <f>#REF!</f>
        <v>#REF!</v>
      </c>
      <c r="C368" s="1" t="e">
        <f>#REF!</f>
        <v>#REF!</v>
      </c>
      <c r="D368" s="15" t="e">
        <f>SUMIFS(#REF!,#REF!,A368)+
SUMIFS(#REF!,#REF!,A368)+
SUMIFS(#REF!,#REF!,A368)</f>
        <v>#REF!</v>
      </c>
    </row>
    <row r="369" spans="1:4" x14ac:dyDescent="0.25">
      <c r="A369" s="15" t="e">
        <f>#REF!</f>
        <v>#REF!</v>
      </c>
      <c r="B369" s="1" t="e">
        <f>#REF!</f>
        <v>#REF!</v>
      </c>
      <c r="C369" s="1" t="e">
        <f>#REF!</f>
        <v>#REF!</v>
      </c>
      <c r="D369" s="15" t="e">
        <f>SUMIFS(#REF!,#REF!,A369)+
SUMIFS(#REF!,#REF!,A369)+
SUMIFS(#REF!,#REF!,A369)</f>
        <v>#REF!</v>
      </c>
    </row>
    <row r="370" spans="1:4" x14ac:dyDescent="0.25">
      <c r="A370" s="15" t="e">
        <f>#REF!</f>
        <v>#REF!</v>
      </c>
      <c r="B370" s="1" t="e">
        <f>#REF!</f>
        <v>#REF!</v>
      </c>
      <c r="C370" s="1" t="e">
        <f>#REF!</f>
        <v>#REF!</v>
      </c>
      <c r="D370" s="15" t="e">
        <f>SUMIFS(#REF!,#REF!,A370)+
SUMIFS(#REF!,#REF!,A370)+
SUMIFS(#REF!,#REF!,A370)</f>
        <v>#REF!</v>
      </c>
    </row>
    <row r="371" spans="1:4" x14ac:dyDescent="0.25">
      <c r="A371" s="15" t="e">
        <f>#REF!</f>
        <v>#REF!</v>
      </c>
      <c r="B371" s="1" t="e">
        <f>#REF!</f>
        <v>#REF!</v>
      </c>
      <c r="C371" s="1" t="e">
        <f>#REF!</f>
        <v>#REF!</v>
      </c>
      <c r="D371" s="15" t="e">
        <f>SUMIFS(#REF!,#REF!,A371)+
SUMIFS(#REF!,#REF!,A371)+
SUMIFS(#REF!,#REF!,A371)</f>
        <v>#REF!</v>
      </c>
    </row>
    <row r="372" spans="1:4" x14ac:dyDescent="0.25">
      <c r="A372" s="15" t="e">
        <f>#REF!</f>
        <v>#REF!</v>
      </c>
      <c r="B372" s="1" t="e">
        <f>#REF!</f>
        <v>#REF!</v>
      </c>
      <c r="C372" s="1" t="e">
        <f>#REF!</f>
        <v>#REF!</v>
      </c>
      <c r="D372" s="15" t="e">
        <f>SUMIFS(#REF!,#REF!,A372)+
SUMIFS(#REF!,#REF!,A372)+
SUMIFS(#REF!,#REF!,A372)</f>
        <v>#REF!</v>
      </c>
    </row>
    <row r="373" spans="1:4" x14ac:dyDescent="0.25">
      <c r="A373" s="15" t="e">
        <f>#REF!</f>
        <v>#REF!</v>
      </c>
      <c r="B373" s="1" t="e">
        <f>#REF!</f>
        <v>#REF!</v>
      </c>
      <c r="C373" s="1" t="e">
        <f>#REF!</f>
        <v>#REF!</v>
      </c>
      <c r="D373" s="15" t="e">
        <f>SUMIFS(#REF!,#REF!,A373)+
SUMIFS(#REF!,#REF!,A373)+
SUMIFS(#REF!,#REF!,A373)</f>
        <v>#REF!</v>
      </c>
    </row>
    <row r="374" spans="1:4" x14ac:dyDescent="0.25">
      <c r="A374" s="15" t="e">
        <f>#REF!</f>
        <v>#REF!</v>
      </c>
      <c r="B374" s="1" t="e">
        <f>#REF!</f>
        <v>#REF!</v>
      </c>
      <c r="C374" s="1" t="e">
        <f>#REF!</f>
        <v>#REF!</v>
      </c>
      <c r="D374" s="15" t="e">
        <f>SUMIFS(#REF!,#REF!,A374)+
SUMIFS(#REF!,#REF!,A374)+
SUMIFS(#REF!,#REF!,A374)</f>
        <v>#REF!</v>
      </c>
    </row>
    <row r="375" spans="1:4" x14ac:dyDescent="0.25">
      <c r="A375" s="15" t="e">
        <f>#REF!</f>
        <v>#REF!</v>
      </c>
      <c r="B375" s="1" t="e">
        <f>#REF!</f>
        <v>#REF!</v>
      </c>
      <c r="C375" s="1" t="e">
        <f>#REF!</f>
        <v>#REF!</v>
      </c>
      <c r="D375" s="15" t="e">
        <f>SUMIFS(#REF!,#REF!,A375)+
SUMIFS(#REF!,#REF!,A375)+
SUMIFS(#REF!,#REF!,A375)</f>
        <v>#REF!</v>
      </c>
    </row>
    <row r="376" spans="1:4" x14ac:dyDescent="0.25">
      <c r="A376" s="15" t="e">
        <f>#REF!</f>
        <v>#REF!</v>
      </c>
      <c r="B376" s="1" t="e">
        <f>#REF!</f>
        <v>#REF!</v>
      </c>
      <c r="C376" s="1" t="e">
        <f>#REF!</f>
        <v>#REF!</v>
      </c>
      <c r="D376" s="15" t="e">
        <f>SUMIFS(#REF!,#REF!,A376)+
SUMIFS(#REF!,#REF!,A376)+
SUMIFS(#REF!,#REF!,A376)</f>
        <v>#REF!</v>
      </c>
    </row>
    <row r="377" spans="1:4" x14ac:dyDescent="0.25">
      <c r="A377" s="15" t="e">
        <f>#REF!</f>
        <v>#REF!</v>
      </c>
      <c r="B377" s="1" t="e">
        <f>#REF!</f>
        <v>#REF!</v>
      </c>
      <c r="C377" s="1" t="e">
        <f>#REF!</f>
        <v>#REF!</v>
      </c>
      <c r="D377" s="15" t="e">
        <f>SUMIFS(#REF!,#REF!,A377)+
SUMIFS(#REF!,#REF!,A377)+
SUMIFS(#REF!,#REF!,A377)</f>
        <v>#REF!</v>
      </c>
    </row>
    <row r="378" spans="1:4" x14ac:dyDescent="0.25">
      <c r="A378" s="15" t="e">
        <f>#REF!</f>
        <v>#REF!</v>
      </c>
      <c r="B378" s="1" t="e">
        <f>#REF!</f>
        <v>#REF!</v>
      </c>
      <c r="C378" s="1" t="e">
        <f>#REF!</f>
        <v>#REF!</v>
      </c>
      <c r="D378" s="15" t="e">
        <f>SUMIFS(#REF!,#REF!,A378)+
SUMIFS(#REF!,#REF!,A378)+
SUMIFS(#REF!,#REF!,A378)</f>
        <v>#REF!</v>
      </c>
    </row>
    <row r="379" spans="1:4" x14ac:dyDescent="0.25">
      <c r="A379" s="15" t="e">
        <f>#REF!</f>
        <v>#REF!</v>
      </c>
      <c r="B379" s="1" t="e">
        <f>#REF!</f>
        <v>#REF!</v>
      </c>
      <c r="C379" s="1" t="e">
        <f>#REF!</f>
        <v>#REF!</v>
      </c>
      <c r="D379" s="15" t="e">
        <f>SUMIFS(#REF!,#REF!,A379)+
SUMIFS(#REF!,#REF!,A379)+
SUMIFS(#REF!,#REF!,A379)</f>
        <v>#REF!</v>
      </c>
    </row>
    <row r="380" spans="1:4" x14ac:dyDescent="0.25">
      <c r="A380" s="15" t="e">
        <f>#REF!</f>
        <v>#REF!</v>
      </c>
      <c r="B380" s="1" t="e">
        <f>#REF!</f>
        <v>#REF!</v>
      </c>
      <c r="C380" s="1" t="e">
        <f>#REF!</f>
        <v>#REF!</v>
      </c>
      <c r="D380" s="15" t="e">
        <f>SUMIFS(#REF!,#REF!,A380)+
SUMIFS(#REF!,#REF!,A380)+
SUMIFS(#REF!,#REF!,A380)</f>
        <v>#REF!</v>
      </c>
    </row>
    <row r="381" spans="1:4" x14ac:dyDescent="0.25">
      <c r="A381" s="15" t="e">
        <f>#REF!</f>
        <v>#REF!</v>
      </c>
      <c r="B381" s="1" t="e">
        <f>#REF!</f>
        <v>#REF!</v>
      </c>
      <c r="C381" s="1" t="e">
        <f>#REF!</f>
        <v>#REF!</v>
      </c>
      <c r="D381" s="15" t="e">
        <f>SUMIFS(#REF!,#REF!,A381)+
SUMIFS(#REF!,#REF!,A381)+
SUMIFS(#REF!,#REF!,A381)</f>
        <v>#REF!</v>
      </c>
    </row>
    <row r="382" spans="1:4" x14ac:dyDescent="0.25">
      <c r="A382" s="15" t="e">
        <f>#REF!</f>
        <v>#REF!</v>
      </c>
      <c r="B382" s="1" t="e">
        <f>#REF!</f>
        <v>#REF!</v>
      </c>
      <c r="C382" s="1" t="e">
        <f>#REF!</f>
        <v>#REF!</v>
      </c>
      <c r="D382" s="15" t="e">
        <f>SUMIFS(#REF!,#REF!,A382)+
SUMIFS(#REF!,#REF!,A382)+
SUMIFS(#REF!,#REF!,A382)</f>
        <v>#REF!</v>
      </c>
    </row>
    <row r="383" spans="1:4" x14ac:dyDescent="0.25">
      <c r="A383" s="15" t="e">
        <f>#REF!</f>
        <v>#REF!</v>
      </c>
      <c r="B383" s="1" t="e">
        <f>#REF!</f>
        <v>#REF!</v>
      </c>
      <c r="C383" s="1" t="e">
        <f>#REF!</f>
        <v>#REF!</v>
      </c>
      <c r="D383" s="15" t="e">
        <f>SUMIFS(#REF!,#REF!,A383)+
SUMIFS(#REF!,#REF!,A383)+
SUMIFS(#REF!,#REF!,A383)</f>
        <v>#REF!</v>
      </c>
    </row>
    <row r="384" spans="1:4" x14ac:dyDescent="0.25">
      <c r="A384" s="15" t="e">
        <f>#REF!</f>
        <v>#REF!</v>
      </c>
      <c r="B384" s="1" t="e">
        <f>#REF!</f>
        <v>#REF!</v>
      </c>
      <c r="C384" s="1" t="e">
        <f>#REF!</f>
        <v>#REF!</v>
      </c>
      <c r="D384" s="15" t="e">
        <f>SUMIFS(#REF!,#REF!,A384)+
SUMIFS(#REF!,#REF!,A384)+
SUMIFS(#REF!,#REF!,A384)</f>
        <v>#REF!</v>
      </c>
    </row>
    <row r="385" spans="1:4" x14ac:dyDescent="0.25">
      <c r="A385" s="15" t="e">
        <f>#REF!</f>
        <v>#REF!</v>
      </c>
      <c r="B385" s="1" t="e">
        <f>#REF!</f>
        <v>#REF!</v>
      </c>
      <c r="C385" s="1" t="e">
        <f>#REF!</f>
        <v>#REF!</v>
      </c>
      <c r="D385" s="15" t="e">
        <f>SUMIFS(#REF!,#REF!,A385)+
SUMIFS(#REF!,#REF!,A385)+
SUMIFS(#REF!,#REF!,A385)</f>
        <v>#REF!</v>
      </c>
    </row>
    <row r="386" spans="1:4" x14ac:dyDescent="0.25">
      <c r="A386" s="15" t="e">
        <f>#REF!</f>
        <v>#REF!</v>
      </c>
      <c r="B386" s="1" t="e">
        <f>#REF!</f>
        <v>#REF!</v>
      </c>
      <c r="C386" s="1" t="e">
        <f>#REF!</f>
        <v>#REF!</v>
      </c>
      <c r="D386" s="15" t="e">
        <f>SUMIFS(#REF!,#REF!,A386)+
SUMIFS(#REF!,#REF!,A386)+
SUMIFS(#REF!,#REF!,A386)</f>
        <v>#REF!</v>
      </c>
    </row>
    <row r="387" spans="1:4" x14ac:dyDescent="0.25">
      <c r="A387" s="15" t="e">
        <f>#REF!</f>
        <v>#REF!</v>
      </c>
      <c r="B387" s="1" t="e">
        <f>#REF!</f>
        <v>#REF!</v>
      </c>
      <c r="C387" s="1" t="e">
        <f>#REF!</f>
        <v>#REF!</v>
      </c>
      <c r="D387" s="15" t="e">
        <f>SUMIFS(#REF!,#REF!,A387)+
SUMIFS(#REF!,#REF!,A387)+
SUMIFS(#REF!,#REF!,A387)</f>
        <v>#REF!</v>
      </c>
    </row>
    <row r="388" spans="1:4" x14ac:dyDescent="0.25">
      <c r="A388" s="15" t="e">
        <f>#REF!</f>
        <v>#REF!</v>
      </c>
      <c r="B388" s="1" t="e">
        <f>#REF!</f>
        <v>#REF!</v>
      </c>
      <c r="C388" s="1" t="e">
        <f>#REF!</f>
        <v>#REF!</v>
      </c>
      <c r="D388" s="15" t="e">
        <f>SUMIFS(#REF!,#REF!,A388)+
SUMIFS(#REF!,#REF!,A388)+
SUMIFS(#REF!,#REF!,A388)</f>
        <v>#REF!</v>
      </c>
    </row>
    <row r="389" spans="1:4" x14ac:dyDescent="0.25">
      <c r="A389" s="15" t="e">
        <f>#REF!</f>
        <v>#REF!</v>
      </c>
      <c r="B389" s="1" t="e">
        <f>#REF!</f>
        <v>#REF!</v>
      </c>
      <c r="C389" s="1" t="e">
        <f>#REF!</f>
        <v>#REF!</v>
      </c>
      <c r="D389" s="15" t="e">
        <f>SUMIFS(#REF!,#REF!,A389)+
SUMIFS(#REF!,#REF!,A389)+
SUMIFS(#REF!,#REF!,A389)</f>
        <v>#REF!</v>
      </c>
    </row>
    <row r="390" spans="1:4" x14ac:dyDescent="0.25">
      <c r="A390" s="15" t="e">
        <f>#REF!</f>
        <v>#REF!</v>
      </c>
      <c r="B390" s="1" t="e">
        <f>#REF!</f>
        <v>#REF!</v>
      </c>
      <c r="C390" s="1" t="e">
        <f>#REF!</f>
        <v>#REF!</v>
      </c>
      <c r="D390" s="15" t="e">
        <f>SUMIFS(#REF!,#REF!,A390)+
SUMIFS(#REF!,#REF!,A390)+
SUMIFS(#REF!,#REF!,A390)</f>
        <v>#REF!</v>
      </c>
    </row>
    <row r="391" spans="1:4" x14ac:dyDescent="0.25">
      <c r="A391" s="15" t="e">
        <f>#REF!</f>
        <v>#REF!</v>
      </c>
      <c r="B391" s="1" t="e">
        <f>#REF!</f>
        <v>#REF!</v>
      </c>
      <c r="C391" s="1" t="e">
        <f>#REF!</f>
        <v>#REF!</v>
      </c>
      <c r="D391" s="15" t="e">
        <f>SUMIFS(#REF!,#REF!,A391)+
SUMIFS(#REF!,#REF!,A391)+
SUMIFS(#REF!,#REF!,A391)</f>
        <v>#REF!</v>
      </c>
    </row>
    <row r="392" spans="1:4" x14ac:dyDescent="0.25">
      <c r="A392" s="15" t="e">
        <f>#REF!</f>
        <v>#REF!</v>
      </c>
      <c r="B392" s="1" t="e">
        <f>#REF!</f>
        <v>#REF!</v>
      </c>
      <c r="C392" s="1" t="e">
        <f>#REF!</f>
        <v>#REF!</v>
      </c>
      <c r="D392" s="15" t="e">
        <f>SUMIFS(#REF!,#REF!,A392)+
SUMIFS(#REF!,#REF!,A392)+
SUMIFS(#REF!,#REF!,A392)</f>
        <v>#REF!</v>
      </c>
    </row>
    <row r="393" spans="1:4" x14ac:dyDescent="0.25">
      <c r="A393" s="15" t="e">
        <f>#REF!</f>
        <v>#REF!</v>
      </c>
      <c r="B393" s="1" t="e">
        <f>#REF!</f>
        <v>#REF!</v>
      </c>
      <c r="C393" s="1" t="e">
        <f>#REF!</f>
        <v>#REF!</v>
      </c>
      <c r="D393" s="15" t="e">
        <f>SUMIFS(#REF!,#REF!,A393)+
SUMIFS(#REF!,#REF!,A393)+
SUMIFS(#REF!,#REF!,A393)</f>
        <v>#REF!</v>
      </c>
    </row>
    <row r="394" spans="1:4" x14ac:dyDescent="0.25">
      <c r="A394" s="15" t="e">
        <f>#REF!</f>
        <v>#REF!</v>
      </c>
      <c r="B394" s="1" t="e">
        <f>#REF!</f>
        <v>#REF!</v>
      </c>
      <c r="C394" s="1" t="e">
        <f>#REF!</f>
        <v>#REF!</v>
      </c>
      <c r="D394" s="15" t="e">
        <f>SUMIFS(#REF!,#REF!,A394)+
SUMIFS(#REF!,#REF!,A394)+
SUMIFS(#REF!,#REF!,A394)</f>
        <v>#REF!</v>
      </c>
    </row>
    <row r="395" spans="1:4" x14ac:dyDescent="0.25">
      <c r="A395" s="15" t="e">
        <f>#REF!</f>
        <v>#REF!</v>
      </c>
      <c r="B395" s="1" t="e">
        <f>#REF!</f>
        <v>#REF!</v>
      </c>
      <c r="C395" s="1" t="e">
        <f>#REF!</f>
        <v>#REF!</v>
      </c>
      <c r="D395" s="15" t="e">
        <f>SUMIFS(#REF!,#REF!,A395)+
SUMIFS(#REF!,#REF!,A395)+
SUMIFS(#REF!,#REF!,A395)</f>
        <v>#REF!</v>
      </c>
    </row>
    <row r="396" spans="1:4" x14ac:dyDescent="0.25">
      <c r="A396" s="15" t="e">
        <f>#REF!</f>
        <v>#REF!</v>
      </c>
      <c r="B396" s="1" t="e">
        <f>#REF!</f>
        <v>#REF!</v>
      </c>
      <c r="C396" s="1" t="e">
        <f>#REF!</f>
        <v>#REF!</v>
      </c>
      <c r="D396" s="15" t="e">
        <f>SUMIFS(#REF!,#REF!,A396)+
SUMIFS(#REF!,#REF!,A396)+
SUMIFS(#REF!,#REF!,A396)</f>
        <v>#REF!</v>
      </c>
    </row>
    <row r="397" spans="1:4" x14ac:dyDescent="0.25">
      <c r="A397" s="15" t="e">
        <f>#REF!</f>
        <v>#REF!</v>
      </c>
      <c r="B397" s="1" t="e">
        <f>#REF!</f>
        <v>#REF!</v>
      </c>
      <c r="C397" s="1" t="e">
        <f>#REF!</f>
        <v>#REF!</v>
      </c>
      <c r="D397" s="15" t="e">
        <f>SUMIFS(#REF!,#REF!,A397)+
SUMIFS(#REF!,#REF!,A397)+
SUMIFS(#REF!,#REF!,A397)</f>
        <v>#REF!</v>
      </c>
    </row>
    <row r="398" spans="1:4" x14ac:dyDescent="0.25">
      <c r="A398" s="15" t="e">
        <f>#REF!</f>
        <v>#REF!</v>
      </c>
      <c r="B398" s="1" t="e">
        <f>#REF!</f>
        <v>#REF!</v>
      </c>
      <c r="C398" s="1" t="e">
        <f>#REF!</f>
        <v>#REF!</v>
      </c>
      <c r="D398" s="15" t="e">
        <f>SUMIFS(#REF!,#REF!,A398)+
SUMIFS(#REF!,#REF!,A398)+
SUMIFS(#REF!,#REF!,A398)</f>
        <v>#REF!</v>
      </c>
    </row>
    <row r="399" spans="1:4" x14ac:dyDescent="0.25">
      <c r="A399" s="15" t="e">
        <f>#REF!</f>
        <v>#REF!</v>
      </c>
      <c r="B399" s="1" t="e">
        <f>#REF!</f>
        <v>#REF!</v>
      </c>
      <c r="C399" s="1" t="e">
        <f>#REF!</f>
        <v>#REF!</v>
      </c>
      <c r="D399" s="15" t="e">
        <f>SUMIFS(#REF!,#REF!,A399)+
SUMIFS(#REF!,#REF!,A399)+
SUMIFS(#REF!,#REF!,A399)</f>
        <v>#REF!</v>
      </c>
    </row>
    <row r="400" spans="1:4" x14ac:dyDescent="0.25">
      <c r="A400" s="15" t="e">
        <f>#REF!</f>
        <v>#REF!</v>
      </c>
      <c r="B400" s="1" t="e">
        <f>#REF!</f>
        <v>#REF!</v>
      </c>
      <c r="C400" s="1" t="e">
        <f>#REF!</f>
        <v>#REF!</v>
      </c>
      <c r="D400" s="15" t="e">
        <f>SUMIFS(#REF!,#REF!,A400)+
SUMIFS(#REF!,#REF!,A400)+
SUMIFS(#REF!,#REF!,A400)</f>
        <v>#REF!</v>
      </c>
    </row>
    <row r="401" spans="1:4" x14ac:dyDescent="0.25">
      <c r="A401" s="15" t="e">
        <f>#REF!</f>
        <v>#REF!</v>
      </c>
      <c r="B401" s="1" t="e">
        <f>#REF!</f>
        <v>#REF!</v>
      </c>
      <c r="C401" s="1" t="e">
        <f>#REF!</f>
        <v>#REF!</v>
      </c>
      <c r="D401" s="15" t="e">
        <f>SUMIFS(#REF!,#REF!,A401)+
SUMIFS(#REF!,#REF!,A401)+
SUMIFS(#REF!,#REF!,A401)</f>
        <v>#REF!</v>
      </c>
    </row>
    <row r="402" spans="1:4" x14ac:dyDescent="0.25">
      <c r="A402" s="15" t="e">
        <f>#REF!</f>
        <v>#REF!</v>
      </c>
      <c r="B402" s="1" t="e">
        <f>#REF!</f>
        <v>#REF!</v>
      </c>
      <c r="C402" s="1" t="e">
        <f>#REF!</f>
        <v>#REF!</v>
      </c>
      <c r="D402" s="15" t="e">
        <f>SUMIFS(#REF!,#REF!,A402)+
SUMIFS(#REF!,#REF!,A402)+
SUMIFS(#REF!,#REF!,A402)</f>
        <v>#REF!</v>
      </c>
    </row>
    <row r="403" spans="1:4" x14ac:dyDescent="0.25">
      <c r="A403" s="15" t="e">
        <f>#REF!</f>
        <v>#REF!</v>
      </c>
      <c r="B403" s="1" t="e">
        <f>#REF!</f>
        <v>#REF!</v>
      </c>
      <c r="C403" s="1" t="e">
        <f>#REF!</f>
        <v>#REF!</v>
      </c>
      <c r="D403" s="15" t="e">
        <f>SUMIFS(#REF!,#REF!,A403)+
SUMIFS(#REF!,#REF!,A403)+
SUMIFS(#REF!,#REF!,A403)</f>
        <v>#REF!</v>
      </c>
    </row>
    <row r="404" spans="1:4" x14ac:dyDescent="0.25">
      <c r="A404" s="15" t="e">
        <f>#REF!</f>
        <v>#REF!</v>
      </c>
      <c r="B404" s="1" t="e">
        <f>#REF!</f>
        <v>#REF!</v>
      </c>
      <c r="C404" s="1" t="e">
        <f>#REF!</f>
        <v>#REF!</v>
      </c>
      <c r="D404" s="15" t="e">
        <f>SUMIFS(#REF!,#REF!,A404)+
SUMIFS(#REF!,#REF!,A404)+
SUMIFS(#REF!,#REF!,A404)</f>
        <v>#REF!</v>
      </c>
    </row>
    <row r="405" spans="1:4" x14ac:dyDescent="0.25">
      <c r="A405" s="15" t="e">
        <f>#REF!</f>
        <v>#REF!</v>
      </c>
      <c r="B405" s="1" t="e">
        <f>#REF!</f>
        <v>#REF!</v>
      </c>
      <c r="C405" s="1" t="e">
        <f>#REF!</f>
        <v>#REF!</v>
      </c>
      <c r="D405" s="15" t="e">
        <f>SUMIFS(#REF!,#REF!,A405)+
SUMIFS(#REF!,#REF!,A405)+
SUMIFS(#REF!,#REF!,A405)</f>
        <v>#REF!</v>
      </c>
    </row>
    <row r="406" spans="1:4" x14ac:dyDescent="0.25">
      <c r="A406" s="15" t="e">
        <f>#REF!</f>
        <v>#REF!</v>
      </c>
      <c r="B406" s="1" t="e">
        <f>#REF!</f>
        <v>#REF!</v>
      </c>
      <c r="C406" s="1" t="e">
        <f>#REF!</f>
        <v>#REF!</v>
      </c>
      <c r="D406" s="15" t="e">
        <f>SUMIFS(#REF!,#REF!,A406)+
SUMIFS(#REF!,#REF!,A406)+
SUMIFS(#REF!,#REF!,A406)</f>
        <v>#REF!</v>
      </c>
    </row>
    <row r="407" spans="1:4" x14ac:dyDescent="0.25">
      <c r="A407" s="15" t="e">
        <f>#REF!</f>
        <v>#REF!</v>
      </c>
      <c r="B407" s="1" t="e">
        <f>#REF!</f>
        <v>#REF!</v>
      </c>
      <c r="C407" s="1" t="e">
        <f>#REF!</f>
        <v>#REF!</v>
      </c>
      <c r="D407" s="15" t="e">
        <f>SUMIFS(#REF!,#REF!,A407)+
SUMIFS(#REF!,#REF!,A407)+
SUMIFS(#REF!,#REF!,A407)</f>
        <v>#REF!</v>
      </c>
    </row>
    <row r="408" spans="1:4" x14ac:dyDescent="0.25">
      <c r="A408" s="15" t="e">
        <f>#REF!</f>
        <v>#REF!</v>
      </c>
      <c r="B408" s="1" t="e">
        <f>#REF!</f>
        <v>#REF!</v>
      </c>
      <c r="C408" s="1" t="e">
        <f>#REF!</f>
        <v>#REF!</v>
      </c>
      <c r="D408" s="15" t="e">
        <f>SUMIFS(#REF!,#REF!,A408)+
SUMIFS(#REF!,#REF!,A408)+
SUMIFS(#REF!,#REF!,A408)</f>
        <v>#REF!</v>
      </c>
    </row>
    <row r="409" spans="1:4" x14ac:dyDescent="0.25">
      <c r="A409" s="15" t="e">
        <f>#REF!</f>
        <v>#REF!</v>
      </c>
      <c r="B409" s="1" t="e">
        <f>#REF!</f>
        <v>#REF!</v>
      </c>
      <c r="C409" s="1" t="e">
        <f>#REF!</f>
        <v>#REF!</v>
      </c>
      <c r="D409" s="15" t="e">
        <f>SUMIFS(#REF!,#REF!,A409)+
SUMIFS(#REF!,#REF!,A409)+
SUMIFS(#REF!,#REF!,A409)</f>
        <v>#REF!</v>
      </c>
    </row>
    <row r="410" spans="1:4" x14ac:dyDescent="0.25">
      <c r="A410" s="15" t="e">
        <f>#REF!</f>
        <v>#REF!</v>
      </c>
      <c r="B410" s="1" t="e">
        <f>#REF!</f>
        <v>#REF!</v>
      </c>
      <c r="C410" s="1" t="e">
        <f>#REF!</f>
        <v>#REF!</v>
      </c>
      <c r="D410" s="15" t="e">
        <f>SUMIFS(#REF!,#REF!,A410)+
SUMIFS(#REF!,#REF!,A410)+
SUMIFS(#REF!,#REF!,A410)</f>
        <v>#REF!</v>
      </c>
    </row>
    <row r="411" spans="1:4" x14ac:dyDescent="0.25">
      <c r="A411" s="15" t="e">
        <f>#REF!</f>
        <v>#REF!</v>
      </c>
      <c r="B411" s="1" t="e">
        <f>#REF!</f>
        <v>#REF!</v>
      </c>
      <c r="C411" s="1" t="e">
        <f>#REF!</f>
        <v>#REF!</v>
      </c>
      <c r="D411" s="15" t="e">
        <f>SUMIFS(#REF!,#REF!,A411)+
SUMIFS(#REF!,#REF!,A411)+
SUMIFS(#REF!,#REF!,A411)</f>
        <v>#REF!</v>
      </c>
    </row>
    <row r="412" spans="1:4" x14ac:dyDescent="0.25">
      <c r="A412" s="15" t="e">
        <f>#REF!</f>
        <v>#REF!</v>
      </c>
      <c r="B412" s="1" t="e">
        <f>#REF!</f>
        <v>#REF!</v>
      </c>
      <c r="C412" s="1" t="e">
        <f>#REF!</f>
        <v>#REF!</v>
      </c>
      <c r="D412" s="15" t="e">
        <f>SUMIFS(#REF!,#REF!,A412)+
SUMIFS(#REF!,#REF!,A412)+
SUMIFS(#REF!,#REF!,A412)</f>
        <v>#REF!</v>
      </c>
    </row>
    <row r="413" spans="1:4" x14ac:dyDescent="0.25">
      <c r="A413" s="15" t="e">
        <f>#REF!</f>
        <v>#REF!</v>
      </c>
      <c r="B413" s="1" t="e">
        <f>#REF!</f>
        <v>#REF!</v>
      </c>
      <c r="C413" s="1" t="e">
        <f>#REF!</f>
        <v>#REF!</v>
      </c>
      <c r="D413" s="15" t="e">
        <f>SUMIFS(#REF!,#REF!,A413)+
SUMIFS(#REF!,#REF!,A413)+
SUMIFS(#REF!,#REF!,A413)</f>
        <v>#REF!</v>
      </c>
    </row>
    <row r="414" spans="1:4" x14ac:dyDescent="0.25">
      <c r="A414" s="15" t="e">
        <f>#REF!</f>
        <v>#REF!</v>
      </c>
      <c r="B414" s="1" t="e">
        <f>#REF!</f>
        <v>#REF!</v>
      </c>
      <c r="C414" s="1" t="e">
        <f>#REF!</f>
        <v>#REF!</v>
      </c>
      <c r="D414" s="15" t="e">
        <f>SUMIFS(#REF!,#REF!,A414)+
SUMIFS(#REF!,#REF!,A414)+
SUMIFS(#REF!,#REF!,A414)</f>
        <v>#REF!</v>
      </c>
    </row>
    <row r="415" spans="1:4" x14ac:dyDescent="0.25">
      <c r="A415" s="15" t="e">
        <f>#REF!</f>
        <v>#REF!</v>
      </c>
      <c r="B415" s="1" t="e">
        <f>#REF!</f>
        <v>#REF!</v>
      </c>
      <c r="C415" s="1" t="e">
        <f>#REF!</f>
        <v>#REF!</v>
      </c>
      <c r="D415" s="15" t="e">
        <f>SUMIFS(#REF!,#REF!,A415)+
SUMIFS(#REF!,#REF!,A415)+
SUMIFS(#REF!,#REF!,A415)</f>
        <v>#REF!</v>
      </c>
    </row>
    <row r="416" spans="1:4" x14ac:dyDescent="0.25">
      <c r="A416" s="15" t="e">
        <f>#REF!</f>
        <v>#REF!</v>
      </c>
      <c r="B416" s="1" t="e">
        <f>#REF!</f>
        <v>#REF!</v>
      </c>
      <c r="C416" s="1" t="e">
        <f>#REF!</f>
        <v>#REF!</v>
      </c>
      <c r="D416" s="15" t="e">
        <f>SUMIFS(#REF!,#REF!,A416)+
SUMIFS(#REF!,#REF!,A416)+
SUMIFS(#REF!,#REF!,A416)</f>
        <v>#REF!</v>
      </c>
    </row>
    <row r="417" spans="1:4" x14ac:dyDescent="0.25">
      <c r="A417" s="15" t="e">
        <f>#REF!</f>
        <v>#REF!</v>
      </c>
      <c r="B417" s="1" t="e">
        <f>#REF!</f>
        <v>#REF!</v>
      </c>
      <c r="C417" s="1" t="e">
        <f>#REF!</f>
        <v>#REF!</v>
      </c>
      <c r="D417" s="15" t="e">
        <f>SUMIFS(#REF!,#REF!,A417)+
SUMIFS(#REF!,#REF!,A417)+
SUMIFS(#REF!,#REF!,A417)</f>
        <v>#REF!</v>
      </c>
    </row>
    <row r="418" spans="1:4" x14ac:dyDescent="0.25">
      <c r="A418" s="15" t="e">
        <f>#REF!</f>
        <v>#REF!</v>
      </c>
      <c r="B418" s="1" t="e">
        <f>#REF!</f>
        <v>#REF!</v>
      </c>
      <c r="C418" s="1" t="e">
        <f>#REF!</f>
        <v>#REF!</v>
      </c>
      <c r="D418" s="15" t="e">
        <f>SUMIFS(#REF!,#REF!,A418)+
SUMIFS(#REF!,#REF!,A418)+
SUMIFS(#REF!,#REF!,A418)</f>
        <v>#REF!</v>
      </c>
    </row>
    <row r="419" spans="1:4" x14ac:dyDescent="0.25">
      <c r="A419" s="15" t="e">
        <f>#REF!</f>
        <v>#REF!</v>
      </c>
      <c r="B419" s="1" t="e">
        <f>#REF!</f>
        <v>#REF!</v>
      </c>
      <c r="C419" s="1" t="e">
        <f>#REF!</f>
        <v>#REF!</v>
      </c>
      <c r="D419" s="15" t="e">
        <f>SUMIFS(#REF!,#REF!,A419)+
SUMIFS(#REF!,#REF!,A419)+
SUMIFS(#REF!,#REF!,A419)</f>
        <v>#REF!</v>
      </c>
    </row>
    <row r="420" spans="1:4" x14ac:dyDescent="0.25">
      <c r="A420" s="15" t="e">
        <f>#REF!</f>
        <v>#REF!</v>
      </c>
      <c r="B420" s="1" t="e">
        <f>#REF!</f>
        <v>#REF!</v>
      </c>
      <c r="C420" s="1" t="e">
        <f>#REF!</f>
        <v>#REF!</v>
      </c>
      <c r="D420" s="15" t="e">
        <f>SUMIFS(#REF!,#REF!,A420)+
SUMIFS(#REF!,#REF!,A420)+
SUMIFS(#REF!,#REF!,A420)</f>
        <v>#REF!</v>
      </c>
    </row>
    <row r="421" spans="1:4" x14ac:dyDescent="0.25">
      <c r="A421" s="15" t="e">
        <f>#REF!</f>
        <v>#REF!</v>
      </c>
      <c r="B421" s="1" t="e">
        <f>#REF!</f>
        <v>#REF!</v>
      </c>
      <c r="C421" s="1" t="e">
        <f>#REF!</f>
        <v>#REF!</v>
      </c>
      <c r="D421" s="15" t="e">
        <f>SUMIFS(#REF!,#REF!,A421)+
SUMIFS(#REF!,#REF!,A421)+
SUMIFS(#REF!,#REF!,A421)</f>
        <v>#REF!</v>
      </c>
    </row>
    <row r="422" spans="1:4" x14ac:dyDescent="0.25">
      <c r="A422" s="15" t="e">
        <f>#REF!</f>
        <v>#REF!</v>
      </c>
      <c r="B422" s="1" t="e">
        <f>#REF!</f>
        <v>#REF!</v>
      </c>
      <c r="C422" s="1" t="e">
        <f>#REF!</f>
        <v>#REF!</v>
      </c>
      <c r="D422" s="15" t="e">
        <f>SUMIFS(#REF!,#REF!,A422)+
SUMIFS(#REF!,#REF!,A422)+
SUMIFS(#REF!,#REF!,A422)</f>
        <v>#REF!</v>
      </c>
    </row>
    <row r="423" spans="1:4" x14ac:dyDescent="0.25">
      <c r="A423" s="15" t="e">
        <f>#REF!</f>
        <v>#REF!</v>
      </c>
      <c r="B423" s="1" t="e">
        <f>#REF!</f>
        <v>#REF!</v>
      </c>
      <c r="C423" s="1" t="e">
        <f>#REF!</f>
        <v>#REF!</v>
      </c>
      <c r="D423" s="15" t="e">
        <f>SUMIFS(#REF!,#REF!,A423)+
SUMIFS(#REF!,#REF!,A423)+
SUMIFS(#REF!,#REF!,A423)</f>
        <v>#REF!</v>
      </c>
    </row>
    <row r="424" spans="1:4" x14ac:dyDescent="0.25">
      <c r="A424" s="15" t="e">
        <f>#REF!</f>
        <v>#REF!</v>
      </c>
      <c r="B424" s="1" t="e">
        <f>#REF!</f>
        <v>#REF!</v>
      </c>
      <c r="C424" s="1" t="e">
        <f>#REF!</f>
        <v>#REF!</v>
      </c>
      <c r="D424" s="15" t="e">
        <f>SUMIFS(#REF!,#REF!,A424)+
SUMIFS(#REF!,#REF!,A424)+
SUMIFS(#REF!,#REF!,A424)</f>
        <v>#REF!</v>
      </c>
    </row>
    <row r="425" spans="1:4" x14ac:dyDescent="0.25">
      <c r="A425" s="15" t="e">
        <f>#REF!</f>
        <v>#REF!</v>
      </c>
      <c r="B425" s="1" t="e">
        <f>#REF!</f>
        <v>#REF!</v>
      </c>
      <c r="C425" s="1" t="e">
        <f>#REF!</f>
        <v>#REF!</v>
      </c>
      <c r="D425" s="15" t="e">
        <f>SUMIFS(#REF!,#REF!,A425)+
SUMIFS(#REF!,#REF!,A425)+
SUMIFS(#REF!,#REF!,A425)</f>
        <v>#REF!</v>
      </c>
    </row>
    <row r="426" spans="1:4" x14ac:dyDescent="0.25">
      <c r="A426" s="15" t="e">
        <f>#REF!</f>
        <v>#REF!</v>
      </c>
      <c r="B426" s="1" t="e">
        <f>#REF!</f>
        <v>#REF!</v>
      </c>
      <c r="C426" s="1" t="e">
        <f>#REF!</f>
        <v>#REF!</v>
      </c>
      <c r="D426" s="15" t="e">
        <f>SUMIFS(#REF!,#REF!,A426)+
SUMIFS(#REF!,#REF!,A426)+
SUMIFS(#REF!,#REF!,A426)</f>
        <v>#REF!</v>
      </c>
    </row>
    <row r="427" spans="1:4" x14ac:dyDescent="0.25">
      <c r="A427" s="15" t="e">
        <f>#REF!</f>
        <v>#REF!</v>
      </c>
      <c r="B427" s="1" t="e">
        <f>#REF!</f>
        <v>#REF!</v>
      </c>
      <c r="C427" s="1" t="e">
        <f>#REF!</f>
        <v>#REF!</v>
      </c>
      <c r="D427" s="15" t="e">
        <f>SUMIFS(#REF!,#REF!,A427)+
SUMIFS(#REF!,#REF!,A427)+
SUMIFS(#REF!,#REF!,A427)</f>
        <v>#REF!</v>
      </c>
    </row>
    <row r="428" spans="1:4" x14ac:dyDescent="0.25">
      <c r="A428" s="15" t="e">
        <f>#REF!</f>
        <v>#REF!</v>
      </c>
      <c r="B428" s="1" t="e">
        <f>#REF!</f>
        <v>#REF!</v>
      </c>
      <c r="C428" s="1" t="e">
        <f>#REF!</f>
        <v>#REF!</v>
      </c>
      <c r="D428" s="15" t="e">
        <f>SUMIFS(#REF!,#REF!,A428)+
SUMIFS(#REF!,#REF!,A428)+
SUMIFS(#REF!,#REF!,A428)</f>
        <v>#REF!</v>
      </c>
    </row>
    <row r="429" spans="1:4" x14ac:dyDescent="0.25">
      <c r="A429" s="15" t="e">
        <f>#REF!</f>
        <v>#REF!</v>
      </c>
      <c r="B429" s="1" t="e">
        <f>#REF!</f>
        <v>#REF!</v>
      </c>
      <c r="C429" s="1" t="e">
        <f>#REF!</f>
        <v>#REF!</v>
      </c>
      <c r="D429" s="15" t="e">
        <f>SUMIFS(#REF!,#REF!,A429)+
SUMIFS(#REF!,#REF!,A429)+
SUMIFS(#REF!,#REF!,A429)</f>
        <v>#REF!</v>
      </c>
    </row>
    <row r="430" spans="1:4" x14ac:dyDescent="0.25">
      <c r="A430" s="15" t="e">
        <f>#REF!</f>
        <v>#REF!</v>
      </c>
      <c r="B430" s="1" t="e">
        <f>#REF!</f>
        <v>#REF!</v>
      </c>
      <c r="C430" s="1" t="e">
        <f>#REF!</f>
        <v>#REF!</v>
      </c>
      <c r="D430" s="15" t="e">
        <f>SUMIFS(#REF!,#REF!,A430)+
SUMIFS(#REF!,#REF!,A430)+
SUMIFS(#REF!,#REF!,A430)</f>
        <v>#REF!</v>
      </c>
    </row>
    <row r="431" spans="1:4" x14ac:dyDescent="0.25">
      <c r="A431" s="15" t="e">
        <f>#REF!</f>
        <v>#REF!</v>
      </c>
      <c r="B431" s="1" t="e">
        <f>#REF!</f>
        <v>#REF!</v>
      </c>
      <c r="C431" s="1" t="e">
        <f>#REF!</f>
        <v>#REF!</v>
      </c>
      <c r="D431" s="15" t="e">
        <f>SUMIFS(#REF!,#REF!,A431)+
SUMIFS(#REF!,#REF!,A431)+
SUMIFS(#REF!,#REF!,A431)</f>
        <v>#REF!</v>
      </c>
    </row>
    <row r="432" spans="1:4" x14ac:dyDescent="0.25">
      <c r="A432" s="15" t="e">
        <f>#REF!</f>
        <v>#REF!</v>
      </c>
      <c r="B432" s="1" t="e">
        <f>#REF!</f>
        <v>#REF!</v>
      </c>
      <c r="C432" s="1" t="e">
        <f>#REF!</f>
        <v>#REF!</v>
      </c>
      <c r="D432" s="15" t="e">
        <f>SUMIFS(#REF!,#REF!,A432)+
SUMIFS(#REF!,#REF!,A432)+
SUMIFS(#REF!,#REF!,A432)</f>
        <v>#REF!</v>
      </c>
    </row>
    <row r="433" spans="1:4" x14ac:dyDescent="0.25">
      <c r="A433" s="15" t="e">
        <f>#REF!</f>
        <v>#REF!</v>
      </c>
      <c r="B433" s="1" t="e">
        <f>#REF!</f>
        <v>#REF!</v>
      </c>
      <c r="C433" s="1" t="e">
        <f>#REF!</f>
        <v>#REF!</v>
      </c>
      <c r="D433" s="15" t="e">
        <f>SUMIFS(#REF!,#REF!,A433)+
SUMIFS(#REF!,#REF!,A433)+
SUMIFS(#REF!,#REF!,A433)</f>
        <v>#REF!</v>
      </c>
    </row>
    <row r="434" spans="1:4" x14ac:dyDescent="0.25">
      <c r="A434" s="15" t="e">
        <f>#REF!</f>
        <v>#REF!</v>
      </c>
      <c r="B434" s="1" t="e">
        <f>#REF!</f>
        <v>#REF!</v>
      </c>
      <c r="C434" s="1" t="e">
        <f>#REF!</f>
        <v>#REF!</v>
      </c>
      <c r="D434" s="15" t="e">
        <f>SUMIFS(#REF!,#REF!,A434)+
SUMIFS(#REF!,#REF!,A434)+
SUMIFS(#REF!,#REF!,A434)</f>
        <v>#REF!</v>
      </c>
    </row>
    <row r="435" spans="1:4" x14ac:dyDescent="0.25">
      <c r="A435" s="15" t="e">
        <f>#REF!</f>
        <v>#REF!</v>
      </c>
      <c r="B435" s="1" t="e">
        <f>#REF!</f>
        <v>#REF!</v>
      </c>
      <c r="C435" s="1" t="e">
        <f>#REF!</f>
        <v>#REF!</v>
      </c>
      <c r="D435" s="15" t="e">
        <f>SUMIFS(#REF!,#REF!,A435)+
SUMIFS(#REF!,#REF!,A435)+
SUMIFS(#REF!,#REF!,A435)</f>
        <v>#REF!</v>
      </c>
    </row>
    <row r="436" spans="1:4" x14ac:dyDescent="0.25">
      <c r="A436" s="15" t="e">
        <f>#REF!</f>
        <v>#REF!</v>
      </c>
      <c r="B436" s="1" t="e">
        <f>#REF!</f>
        <v>#REF!</v>
      </c>
      <c r="C436" s="1" t="e">
        <f>#REF!</f>
        <v>#REF!</v>
      </c>
      <c r="D436" s="15" t="e">
        <f>SUMIFS(#REF!,#REF!,A436)+
SUMIFS(#REF!,#REF!,A436)+
SUMIFS(#REF!,#REF!,A436)</f>
        <v>#REF!</v>
      </c>
    </row>
    <row r="437" spans="1:4" x14ac:dyDescent="0.25">
      <c r="A437" s="15" t="e">
        <f>#REF!</f>
        <v>#REF!</v>
      </c>
      <c r="B437" s="1" t="e">
        <f>#REF!</f>
        <v>#REF!</v>
      </c>
      <c r="C437" s="1" t="e">
        <f>#REF!</f>
        <v>#REF!</v>
      </c>
      <c r="D437" s="15" t="e">
        <f>SUMIFS(#REF!,#REF!,A437)+
SUMIFS(#REF!,#REF!,A437)+
SUMIFS(#REF!,#REF!,A437)</f>
        <v>#REF!</v>
      </c>
    </row>
    <row r="438" spans="1:4" x14ac:dyDescent="0.25">
      <c r="A438" s="15" t="e">
        <f>#REF!</f>
        <v>#REF!</v>
      </c>
      <c r="B438" s="1" t="e">
        <f>#REF!</f>
        <v>#REF!</v>
      </c>
      <c r="C438" s="1" t="e">
        <f>#REF!</f>
        <v>#REF!</v>
      </c>
      <c r="D438" s="15" t="e">
        <f>SUMIFS(#REF!,#REF!,A438)+
SUMIFS(#REF!,#REF!,A438)+
SUMIFS(#REF!,#REF!,A438)</f>
        <v>#REF!</v>
      </c>
    </row>
    <row r="439" spans="1:4" x14ac:dyDescent="0.25">
      <c r="A439" s="15" t="e">
        <f>#REF!</f>
        <v>#REF!</v>
      </c>
      <c r="B439" s="1" t="e">
        <f>#REF!</f>
        <v>#REF!</v>
      </c>
      <c r="C439" s="1" t="e">
        <f>#REF!</f>
        <v>#REF!</v>
      </c>
      <c r="D439" s="15" t="e">
        <f>SUMIFS(#REF!,#REF!,A439)+
SUMIFS(#REF!,#REF!,A439)+
SUMIFS(#REF!,#REF!,A439)</f>
        <v>#REF!</v>
      </c>
    </row>
    <row r="440" spans="1:4" x14ac:dyDescent="0.25">
      <c r="A440" s="15" t="e">
        <f>#REF!</f>
        <v>#REF!</v>
      </c>
      <c r="B440" s="1" t="e">
        <f>#REF!</f>
        <v>#REF!</v>
      </c>
      <c r="C440" s="1" t="e">
        <f>#REF!</f>
        <v>#REF!</v>
      </c>
      <c r="D440" s="15" t="e">
        <f>SUMIFS(#REF!,#REF!,A440)+
SUMIFS(#REF!,#REF!,A440)+
SUMIFS(#REF!,#REF!,A440)</f>
        <v>#REF!</v>
      </c>
    </row>
    <row r="441" spans="1:4" x14ac:dyDescent="0.25">
      <c r="A441" s="15" t="e">
        <f>#REF!</f>
        <v>#REF!</v>
      </c>
      <c r="B441" s="1" t="e">
        <f>#REF!</f>
        <v>#REF!</v>
      </c>
      <c r="C441" s="1" t="e">
        <f>#REF!</f>
        <v>#REF!</v>
      </c>
      <c r="D441" s="15" t="e">
        <f>SUMIFS(#REF!,#REF!,A441)+
SUMIFS(#REF!,#REF!,A441)+
SUMIFS(#REF!,#REF!,A441)</f>
        <v>#REF!</v>
      </c>
    </row>
    <row r="442" spans="1:4" x14ac:dyDescent="0.25">
      <c r="A442" s="15" t="e">
        <f>#REF!</f>
        <v>#REF!</v>
      </c>
      <c r="B442" s="1" t="e">
        <f>#REF!</f>
        <v>#REF!</v>
      </c>
      <c r="C442" s="1" t="e">
        <f>#REF!</f>
        <v>#REF!</v>
      </c>
      <c r="D442" s="15" t="e">
        <f>SUMIFS(#REF!,#REF!,A442)+
SUMIFS(#REF!,#REF!,A442)+
SUMIFS(#REF!,#REF!,A442)</f>
        <v>#REF!</v>
      </c>
    </row>
    <row r="443" spans="1:4" x14ac:dyDescent="0.25">
      <c r="A443" s="15" t="e">
        <f>#REF!</f>
        <v>#REF!</v>
      </c>
      <c r="B443" s="1" t="e">
        <f>#REF!</f>
        <v>#REF!</v>
      </c>
      <c r="C443" s="1" t="e">
        <f>#REF!</f>
        <v>#REF!</v>
      </c>
      <c r="D443" s="15" t="e">
        <f>SUMIFS(#REF!,#REF!,A443)+
SUMIFS(#REF!,#REF!,A443)+
SUMIFS(#REF!,#REF!,A443)</f>
        <v>#REF!</v>
      </c>
    </row>
    <row r="444" spans="1:4" x14ac:dyDescent="0.25">
      <c r="A444" s="15" t="e">
        <f>#REF!</f>
        <v>#REF!</v>
      </c>
      <c r="B444" s="1" t="e">
        <f>#REF!</f>
        <v>#REF!</v>
      </c>
      <c r="C444" s="1" t="e">
        <f>#REF!</f>
        <v>#REF!</v>
      </c>
      <c r="D444" s="15" t="e">
        <f>SUMIFS(#REF!,#REF!,A444)+
SUMIFS(#REF!,#REF!,A444)+
SUMIFS(#REF!,#REF!,A444)</f>
        <v>#REF!</v>
      </c>
    </row>
    <row r="445" spans="1:4" x14ac:dyDescent="0.25">
      <c r="A445" s="15" t="e">
        <f>#REF!</f>
        <v>#REF!</v>
      </c>
      <c r="B445" s="1" t="e">
        <f>#REF!</f>
        <v>#REF!</v>
      </c>
      <c r="C445" s="1" t="e">
        <f>#REF!</f>
        <v>#REF!</v>
      </c>
      <c r="D445" s="15" t="e">
        <f>SUMIFS(#REF!,#REF!,A445)+
SUMIFS(#REF!,#REF!,A445)+
SUMIFS(#REF!,#REF!,A445)</f>
        <v>#REF!</v>
      </c>
    </row>
    <row r="446" spans="1:4" x14ac:dyDescent="0.25">
      <c r="A446" s="15" t="e">
        <f>#REF!</f>
        <v>#REF!</v>
      </c>
      <c r="B446" s="1" t="e">
        <f>#REF!</f>
        <v>#REF!</v>
      </c>
      <c r="C446" s="1" t="e">
        <f>#REF!</f>
        <v>#REF!</v>
      </c>
      <c r="D446" s="15" t="e">
        <f>SUMIFS(#REF!,#REF!,A446)+
SUMIFS(#REF!,#REF!,A446)+
SUMIFS(#REF!,#REF!,A446)</f>
        <v>#REF!</v>
      </c>
    </row>
    <row r="447" spans="1:4" x14ac:dyDescent="0.25">
      <c r="A447" s="15" t="e">
        <f>#REF!</f>
        <v>#REF!</v>
      </c>
      <c r="B447" s="1" t="e">
        <f>#REF!</f>
        <v>#REF!</v>
      </c>
      <c r="C447" s="1" t="e">
        <f>#REF!</f>
        <v>#REF!</v>
      </c>
      <c r="D447" s="15" t="e">
        <f>SUMIFS(#REF!,#REF!,A447)+
SUMIFS(#REF!,#REF!,A447)+
SUMIFS(#REF!,#REF!,A447)</f>
        <v>#REF!</v>
      </c>
    </row>
    <row r="448" spans="1:4" x14ac:dyDescent="0.25">
      <c r="A448" s="15" t="e">
        <f>#REF!</f>
        <v>#REF!</v>
      </c>
      <c r="B448" s="1" t="e">
        <f>#REF!</f>
        <v>#REF!</v>
      </c>
      <c r="C448" s="1" t="e">
        <f>#REF!</f>
        <v>#REF!</v>
      </c>
      <c r="D448" s="15" t="e">
        <f>SUMIFS(#REF!,#REF!,A448)+
SUMIFS(#REF!,#REF!,A448)+
SUMIFS(#REF!,#REF!,A448)</f>
        <v>#REF!</v>
      </c>
    </row>
    <row r="449" spans="1:4" x14ac:dyDescent="0.25">
      <c r="A449" s="15" t="e">
        <f>#REF!</f>
        <v>#REF!</v>
      </c>
      <c r="B449" s="1" t="e">
        <f>#REF!</f>
        <v>#REF!</v>
      </c>
      <c r="C449" s="1" t="e">
        <f>#REF!</f>
        <v>#REF!</v>
      </c>
      <c r="D449" s="15" t="e">
        <f>SUMIFS(#REF!,#REF!,A449)+
SUMIFS(#REF!,#REF!,A449)+
SUMIFS(#REF!,#REF!,A449)</f>
        <v>#REF!</v>
      </c>
    </row>
    <row r="450" spans="1:4" x14ac:dyDescent="0.25">
      <c r="A450" s="15" t="e">
        <f>#REF!</f>
        <v>#REF!</v>
      </c>
      <c r="B450" s="1" t="e">
        <f>#REF!</f>
        <v>#REF!</v>
      </c>
      <c r="C450" s="1" t="e">
        <f>#REF!</f>
        <v>#REF!</v>
      </c>
      <c r="D450" s="15" t="e">
        <f>SUMIFS(#REF!,#REF!,A450)+
SUMIFS(#REF!,#REF!,A450)+
SUMIFS(#REF!,#REF!,A450)</f>
        <v>#REF!</v>
      </c>
    </row>
    <row r="451" spans="1:4" x14ac:dyDescent="0.25">
      <c r="A451" s="15" t="e">
        <f>#REF!</f>
        <v>#REF!</v>
      </c>
      <c r="B451" s="1" t="e">
        <f>#REF!</f>
        <v>#REF!</v>
      </c>
      <c r="C451" s="1" t="e">
        <f>#REF!</f>
        <v>#REF!</v>
      </c>
      <c r="D451" s="15" t="e">
        <f>SUMIFS(#REF!,#REF!,A451)+
SUMIFS(#REF!,#REF!,A451)+
SUMIFS(#REF!,#REF!,A451)</f>
        <v>#REF!</v>
      </c>
    </row>
    <row r="452" spans="1:4" x14ac:dyDescent="0.25">
      <c r="A452" s="15" t="e">
        <f>#REF!</f>
        <v>#REF!</v>
      </c>
      <c r="B452" s="1" t="e">
        <f>#REF!</f>
        <v>#REF!</v>
      </c>
      <c r="C452" s="1" t="e">
        <f>#REF!</f>
        <v>#REF!</v>
      </c>
      <c r="D452" s="15" t="e">
        <f>SUMIFS(#REF!,#REF!,A452)+
SUMIFS(#REF!,#REF!,A452)+
SUMIFS(#REF!,#REF!,A452)</f>
        <v>#REF!</v>
      </c>
    </row>
    <row r="453" spans="1:4" x14ac:dyDescent="0.25">
      <c r="A453" s="15" t="e">
        <f>#REF!</f>
        <v>#REF!</v>
      </c>
      <c r="B453" s="1" t="e">
        <f>#REF!</f>
        <v>#REF!</v>
      </c>
      <c r="C453" s="1" t="e">
        <f>#REF!</f>
        <v>#REF!</v>
      </c>
      <c r="D453" s="15" t="e">
        <f>SUMIFS(#REF!,#REF!,A453)+
SUMIFS(#REF!,#REF!,A453)+
SUMIFS(#REF!,#REF!,A453)</f>
        <v>#REF!</v>
      </c>
    </row>
    <row r="454" spans="1:4" x14ac:dyDescent="0.25">
      <c r="A454" s="15" t="e">
        <f>#REF!</f>
        <v>#REF!</v>
      </c>
      <c r="B454" s="1" t="e">
        <f>#REF!</f>
        <v>#REF!</v>
      </c>
      <c r="C454" s="1" t="e">
        <f>#REF!</f>
        <v>#REF!</v>
      </c>
      <c r="D454" s="15" t="e">
        <f>SUMIFS(#REF!,#REF!,A454)+
SUMIFS(#REF!,#REF!,A454)+
SUMIFS(#REF!,#REF!,A454)</f>
        <v>#REF!</v>
      </c>
    </row>
    <row r="455" spans="1:4" x14ac:dyDescent="0.25">
      <c r="A455" s="15" t="e">
        <f>#REF!</f>
        <v>#REF!</v>
      </c>
      <c r="B455" s="1" t="e">
        <f>#REF!</f>
        <v>#REF!</v>
      </c>
      <c r="C455" s="1" t="e">
        <f>#REF!</f>
        <v>#REF!</v>
      </c>
      <c r="D455" s="15" t="e">
        <f>SUMIFS(#REF!,#REF!,A455)+
SUMIFS(#REF!,#REF!,A455)+
SUMIFS(#REF!,#REF!,A455)</f>
        <v>#REF!</v>
      </c>
    </row>
    <row r="456" spans="1:4" x14ac:dyDescent="0.25">
      <c r="A456" s="15" t="e">
        <f>#REF!</f>
        <v>#REF!</v>
      </c>
      <c r="B456" s="1" t="e">
        <f>#REF!</f>
        <v>#REF!</v>
      </c>
      <c r="C456" s="1" t="e">
        <f>#REF!</f>
        <v>#REF!</v>
      </c>
      <c r="D456" s="15" t="e">
        <f>SUMIFS(#REF!,#REF!,A456)+
SUMIFS(#REF!,#REF!,A456)+
SUMIFS(#REF!,#REF!,A456)</f>
        <v>#REF!</v>
      </c>
    </row>
    <row r="457" spans="1:4" x14ac:dyDescent="0.25">
      <c r="A457" s="15" t="e">
        <f>#REF!</f>
        <v>#REF!</v>
      </c>
      <c r="B457" s="1" t="e">
        <f>#REF!</f>
        <v>#REF!</v>
      </c>
      <c r="C457" s="1" t="e">
        <f>#REF!</f>
        <v>#REF!</v>
      </c>
      <c r="D457" s="15" t="e">
        <f>SUMIFS(#REF!,#REF!,A457)+
SUMIFS(#REF!,#REF!,A457)+
SUMIFS(#REF!,#REF!,A457)</f>
        <v>#REF!</v>
      </c>
    </row>
    <row r="458" spans="1:4" x14ac:dyDescent="0.25">
      <c r="A458" s="15" t="e">
        <f>#REF!</f>
        <v>#REF!</v>
      </c>
      <c r="B458" s="1" t="e">
        <f>#REF!</f>
        <v>#REF!</v>
      </c>
      <c r="C458" s="1" t="e">
        <f>#REF!</f>
        <v>#REF!</v>
      </c>
      <c r="D458" s="15" t="e">
        <f>SUMIFS(#REF!,#REF!,A458)+
SUMIFS(#REF!,#REF!,A458)+
SUMIFS(#REF!,#REF!,A458)</f>
        <v>#REF!</v>
      </c>
    </row>
    <row r="459" spans="1:4" x14ac:dyDescent="0.25">
      <c r="A459" s="15" t="e">
        <f>#REF!</f>
        <v>#REF!</v>
      </c>
      <c r="B459" s="1" t="e">
        <f>#REF!</f>
        <v>#REF!</v>
      </c>
      <c r="C459" s="1" t="e">
        <f>#REF!</f>
        <v>#REF!</v>
      </c>
      <c r="D459" s="15" t="e">
        <f>SUMIFS(#REF!,#REF!,A459)+
SUMIFS(#REF!,#REF!,A459)+
SUMIFS(#REF!,#REF!,A459)</f>
        <v>#REF!</v>
      </c>
    </row>
    <row r="460" spans="1:4" x14ac:dyDescent="0.25">
      <c r="A460" s="15" t="e">
        <f>#REF!</f>
        <v>#REF!</v>
      </c>
      <c r="B460" s="1" t="e">
        <f>#REF!</f>
        <v>#REF!</v>
      </c>
      <c r="C460" s="1" t="e">
        <f>#REF!</f>
        <v>#REF!</v>
      </c>
      <c r="D460" s="15" t="e">
        <f>SUMIFS(#REF!,#REF!,A460)+
SUMIFS(#REF!,#REF!,A460)+
SUMIFS(#REF!,#REF!,A460)</f>
        <v>#REF!</v>
      </c>
    </row>
    <row r="461" spans="1:4" x14ac:dyDescent="0.25">
      <c r="A461" s="15" t="e">
        <f>#REF!</f>
        <v>#REF!</v>
      </c>
      <c r="B461" s="1" t="e">
        <f>#REF!</f>
        <v>#REF!</v>
      </c>
      <c r="C461" s="1" t="e">
        <f>#REF!</f>
        <v>#REF!</v>
      </c>
      <c r="D461" s="15" t="e">
        <f>SUMIFS(#REF!,#REF!,A461)+
SUMIFS(#REF!,#REF!,A461)+
SUMIFS(#REF!,#REF!,A461)</f>
        <v>#REF!</v>
      </c>
    </row>
    <row r="462" spans="1:4" x14ac:dyDescent="0.25">
      <c r="A462" s="15" t="e">
        <f>#REF!</f>
        <v>#REF!</v>
      </c>
      <c r="B462" s="1" t="e">
        <f>#REF!</f>
        <v>#REF!</v>
      </c>
      <c r="C462" s="1" t="e">
        <f>#REF!</f>
        <v>#REF!</v>
      </c>
      <c r="D462" s="15" t="e">
        <f>SUMIFS(#REF!,#REF!,A462)+
SUMIFS(#REF!,#REF!,A462)+
SUMIFS(#REF!,#REF!,A462)</f>
        <v>#REF!</v>
      </c>
    </row>
    <row r="463" spans="1:4" x14ac:dyDescent="0.25">
      <c r="A463" s="15" t="e">
        <f>#REF!</f>
        <v>#REF!</v>
      </c>
      <c r="B463" s="1" t="e">
        <f>#REF!</f>
        <v>#REF!</v>
      </c>
      <c r="C463" s="1" t="e">
        <f>#REF!</f>
        <v>#REF!</v>
      </c>
      <c r="D463" s="15" t="e">
        <f>SUMIFS(#REF!,#REF!,A463)+
SUMIFS(#REF!,#REF!,A463)+
SUMIFS(#REF!,#REF!,A463)</f>
        <v>#REF!</v>
      </c>
    </row>
    <row r="464" spans="1:4" x14ac:dyDescent="0.25">
      <c r="A464" s="15" t="e">
        <f>#REF!</f>
        <v>#REF!</v>
      </c>
      <c r="B464" s="1" t="e">
        <f>#REF!</f>
        <v>#REF!</v>
      </c>
      <c r="C464" s="1" t="e">
        <f>#REF!</f>
        <v>#REF!</v>
      </c>
      <c r="D464" s="15" t="e">
        <f>SUMIFS(#REF!,#REF!,A464)+
SUMIFS(#REF!,#REF!,A464)+
SUMIFS(#REF!,#REF!,A464)</f>
        <v>#REF!</v>
      </c>
    </row>
    <row r="465" spans="1:4" x14ac:dyDescent="0.25">
      <c r="A465" s="15" t="e">
        <f>#REF!</f>
        <v>#REF!</v>
      </c>
      <c r="B465" s="1" t="e">
        <f>#REF!</f>
        <v>#REF!</v>
      </c>
      <c r="C465" s="1" t="e">
        <f>#REF!</f>
        <v>#REF!</v>
      </c>
      <c r="D465" s="15" t="e">
        <f>SUMIFS(#REF!,#REF!,A465)+
SUMIFS(#REF!,#REF!,A465)+
SUMIFS(#REF!,#REF!,A465)</f>
        <v>#REF!</v>
      </c>
    </row>
    <row r="466" spans="1:4" x14ac:dyDescent="0.25">
      <c r="A466" s="15" t="e">
        <f>#REF!</f>
        <v>#REF!</v>
      </c>
      <c r="B466" s="1" t="e">
        <f>#REF!</f>
        <v>#REF!</v>
      </c>
      <c r="C466" s="1" t="e">
        <f>#REF!</f>
        <v>#REF!</v>
      </c>
      <c r="D466" s="15" t="e">
        <f>SUMIFS(#REF!,#REF!,A466)+
SUMIFS(#REF!,#REF!,A466)+
SUMIFS(#REF!,#REF!,A466)</f>
        <v>#REF!</v>
      </c>
    </row>
    <row r="467" spans="1:4" x14ac:dyDescent="0.25">
      <c r="A467" s="15" t="e">
        <f>#REF!</f>
        <v>#REF!</v>
      </c>
      <c r="B467" s="1" t="e">
        <f>#REF!</f>
        <v>#REF!</v>
      </c>
      <c r="C467" s="1" t="e">
        <f>#REF!</f>
        <v>#REF!</v>
      </c>
      <c r="D467" s="15" t="e">
        <f>SUMIFS(#REF!,#REF!,A467)+
SUMIFS(#REF!,#REF!,A467)+
SUMIFS(#REF!,#REF!,A467)</f>
        <v>#REF!</v>
      </c>
    </row>
    <row r="468" spans="1:4" x14ac:dyDescent="0.25">
      <c r="A468" s="15" t="e">
        <f>#REF!</f>
        <v>#REF!</v>
      </c>
      <c r="B468" s="1" t="e">
        <f>#REF!</f>
        <v>#REF!</v>
      </c>
      <c r="C468" s="1" t="e">
        <f>#REF!</f>
        <v>#REF!</v>
      </c>
      <c r="D468" s="15" t="e">
        <f>SUMIFS(#REF!,#REF!,A468)+
SUMIFS(#REF!,#REF!,A468)+
SUMIFS(#REF!,#REF!,A468)</f>
        <v>#REF!</v>
      </c>
    </row>
    <row r="469" spans="1:4" x14ac:dyDescent="0.25">
      <c r="A469" s="15" t="e">
        <f>#REF!</f>
        <v>#REF!</v>
      </c>
      <c r="B469" s="1" t="e">
        <f>#REF!</f>
        <v>#REF!</v>
      </c>
      <c r="C469" s="1" t="e">
        <f>#REF!</f>
        <v>#REF!</v>
      </c>
      <c r="D469" s="15" t="e">
        <f>SUMIFS(#REF!,#REF!,A469)+
SUMIFS(#REF!,#REF!,A469)+
SUMIFS(#REF!,#REF!,A469)</f>
        <v>#REF!</v>
      </c>
    </row>
    <row r="470" spans="1:4" x14ac:dyDescent="0.25">
      <c r="A470" s="15" t="e">
        <f>#REF!</f>
        <v>#REF!</v>
      </c>
      <c r="B470" s="1" t="e">
        <f>#REF!</f>
        <v>#REF!</v>
      </c>
      <c r="C470" s="1" t="e">
        <f>#REF!</f>
        <v>#REF!</v>
      </c>
      <c r="D470" s="15" t="e">
        <f>SUMIFS(#REF!,#REF!,A470)+
SUMIFS(#REF!,#REF!,A470)+
SUMIFS(#REF!,#REF!,A470)</f>
        <v>#REF!</v>
      </c>
    </row>
    <row r="471" spans="1:4" x14ac:dyDescent="0.25">
      <c r="A471" s="15" t="e">
        <f>#REF!</f>
        <v>#REF!</v>
      </c>
      <c r="B471" s="1" t="e">
        <f>#REF!</f>
        <v>#REF!</v>
      </c>
      <c r="C471" s="1" t="e">
        <f>#REF!</f>
        <v>#REF!</v>
      </c>
      <c r="D471" s="15" t="e">
        <f>SUMIFS(#REF!,#REF!,A471)+
SUMIFS(#REF!,#REF!,A471)+
SUMIFS(#REF!,#REF!,A471)</f>
        <v>#REF!</v>
      </c>
    </row>
    <row r="472" spans="1:4" x14ac:dyDescent="0.25">
      <c r="A472" s="15" t="e">
        <f>#REF!</f>
        <v>#REF!</v>
      </c>
      <c r="B472" s="1" t="e">
        <f>#REF!</f>
        <v>#REF!</v>
      </c>
      <c r="C472" s="1" t="e">
        <f>#REF!</f>
        <v>#REF!</v>
      </c>
      <c r="D472" s="15" t="e">
        <f>SUMIFS(#REF!,#REF!,A472)+
SUMIFS(#REF!,#REF!,A472)+
SUMIFS(#REF!,#REF!,A472)</f>
        <v>#REF!</v>
      </c>
    </row>
    <row r="473" spans="1:4" x14ac:dyDescent="0.25">
      <c r="A473" s="15" t="e">
        <f>#REF!</f>
        <v>#REF!</v>
      </c>
      <c r="B473" s="1" t="e">
        <f>#REF!</f>
        <v>#REF!</v>
      </c>
      <c r="C473" s="1" t="e">
        <f>#REF!</f>
        <v>#REF!</v>
      </c>
      <c r="D473" s="15" t="e">
        <f>SUMIFS(#REF!,#REF!,A473)+
SUMIFS(#REF!,#REF!,A473)+
SUMIFS(#REF!,#REF!,A473)</f>
        <v>#REF!</v>
      </c>
    </row>
    <row r="474" spans="1:4" x14ac:dyDescent="0.25">
      <c r="A474" s="15" t="e">
        <f>#REF!</f>
        <v>#REF!</v>
      </c>
      <c r="B474" s="1" t="e">
        <f>#REF!</f>
        <v>#REF!</v>
      </c>
      <c r="C474" s="1" t="e">
        <f>#REF!</f>
        <v>#REF!</v>
      </c>
      <c r="D474" s="15" t="e">
        <f>SUMIFS(#REF!,#REF!,A474)+
SUMIFS(#REF!,#REF!,A474)+
SUMIFS(#REF!,#REF!,A474)</f>
        <v>#REF!</v>
      </c>
    </row>
    <row r="475" spans="1:4" x14ac:dyDescent="0.25">
      <c r="A475" s="15" t="e">
        <f>#REF!</f>
        <v>#REF!</v>
      </c>
      <c r="B475" s="1" t="e">
        <f>#REF!</f>
        <v>#REF!</v>
      </c>
      <c r="C475" s="1" t="e">
        <f>#REF!</f>
        <v>#REF!</v>
      </c>
      <c r="D475" s="15" t="e">
        <f>SUMIFS(#REF!,#REF!,A475)+
SUMIFS(#REF!,#REF!,A475)+
SUMIFS(#REF!,#REF!,A475)</f>
        <v>#REF!</v>
      </c>
    </row>
    <row r="476" spans="1:4" x14ac:dyDescent="0.25">
      <c r="A476" s="15" t="e">
        <f>#REF!</f>
        <v>#REF!</v>
      </c>
      <c r="B476" s="1" t="e">
        <f>#REF!</f>
        <v>#REF!</v>
      </c>
      <c r="C476" s="1" t="e">
        <f>#REF!</f>
        <v>#REF!</v>
      </c>
      <c r="D476" s="15" t="e">
        <f>SUMIFS(#REF!,#REF!,A476)+
SUMIFS(#REF!,#REF!,A476)+
SUMIFS(#REF!,#REF!,A476)</f>
        <v>#REF!</v>
      </c>
    </row>
    <row r="477" spans="1:4" x14ac:dyDescent="0.25">
      <c r="A477" s="15" t="e">
        <f>#REF!</f>
        <v>#REF!</v>
      </c>
      <c r="B477" s="1" t="e">
        <f>#REF!</f>
        <v>#REF!</v>
      </c>
      <c r="C477" s="1" t="e">
        <f>#REF!</f>
        <v>#REF!</v>
      </c>
      <c r="D477" s="15" t="e">
        <f>SUMIFS(#REF!,#REF!,A477)+
SUMIFS(#REF!,#REF!,A477)+
SUMIFS(#REF!,#REF!,A477)</f>
        <v>#REF!</v>
      </c>
    </row>
    <row r="478" spans="1:4" x14ac:dyDescent="0.25">
      <c r="A478" s="15" t="e">
        <f>#REF!</f>
        <v>#REF!</v>
      </c>
      <c r="B478" s="1" t="e">
        <f>#REF!</f>
        <v>#REF!</v>
      </c>
      <c r="C478" s="1" t="e">
        <f>#REF!</f>
        <v>#REF!</v>
      </c>
      <c r="D478" s="15" t="e">
        <f>SUMIFS(#REF!,#REF!,A478)+
SUMIFS(#REF!,#REF!,A478)+
SUMIFS(#REF!,#REF!,A478)</f>
        <v>#REF!</v>
      </c>
    </row>
    <row r="479" spans="1:4" x14ac:dyDescent="0.25">
      <c r="A479" s="15" t="e">
        <f>#REF!</f>
        <v>#REF!</v>
      </c>
      <c r="B479" s="1" t="e">
        <f>#REF!</f>
        <v>#REF!</v>
      </c>
      <c r="C479" s="1" t="e">
        <f>#REF!</f>
        <v>#REF!</v>
      </c>
      <c r="D479" s="15" t="e">
        <f>SUMIFS(#REF!,#REF!,A479)+
SUMIFS(#REF!,#REF!,A479)+
SUMIFS(#REF!,#REF!,A479)</f>
        <v>#REF!</v>
      </c>
    </row>
    <row r="480" spans="1:4" x14ac:dyDescent="0.25">
      <c r="A480" s="15" t="e">
        <f>#REF!</f>
        <v>#REF!</v>
      </c>
      <c r="B480" s="1" t="e">
        <f>#REF!</f>
        <v>#REF!</v>
      </c>
      <c r="C480" s="1" t="e">
        <f>#REF!</f>
        <v>#REF!</v>
      </c>
      <c r="D480" s="15" t="e">
        <f>SUMIFS(#REF!,#REF!,A480)+
SUMIFS(#REF!,#REF!,A480)+
SUMIFS(#REF!,#REF!,A480)</f>
        <v>#REF!</v>
      </c>
    </row>
    <row r="481" spans="1:4" x14ac:dyDescent="0.25">
      <c r="A481" s="15" t="e">
        <f>#REF!</f>
        <v>#REF!</v>
      </c>
      <c r="B481" s="1" t="e">
        <f>#REF!</f>
        <v>#REF!</v>
      </c>
      <c r="C481" s="1" t="e">
        <f>#REF!</f>
        <v>#REF!</v>
      </c>
      <c r="D481" s="15" t="e">
        <f>SUMIFS(#REF!,#REF!,A481)+
SUMIFS(#REF!,#REF!,A481)+
SUMIFS(#REF!,#REF!,A481)</f>
        <v>#REF!</v>
      </c>
    </row>
    <row r="482" spans="1:4" x14ac:dyDescent="0.25">
      <c r="A482" s="15" t="e">
        <f>#REF!</f>
        <v>#REF!</v>
      </c>
      <c r="B482" s="1" t="e">
        <f>#REF!</f>
        <v>#REF!</v>
      </c>
      <c r="C482" s="1" t="e">
        <f>#REF!</f>
        <v>#REF!</v>
      </c>
      <c r="D482" s="15" t="e">
        <f>SUMIFS(#REF!,#REF!,A482)+
SUMIFS(#REF!,#REF!,A482)+
SUMIFS(#REF!,#REF!,A482)</f>
        <v>#REF!</v>
      </c>
    </row>
    <row r="483" spans="1:4" x14ac:dyDescent="0.25">
      <c r="A483" s="15" t="e">
        <f>#REF!</f>
        <v>#REF!</v>
      </c>
      <c r="B483" s="1" t="e">
        <f>#REF!</f>
        <v>#REF!</v>
      </c>
      <c r="C483" s="1" t="e">
        <f>#REF!</f>
        <v>#REF!</v>
      </c>
      <c r="D483" s="15" t="e">
        <f>SUMIFS(#REF!,#REF!,A483)+
SUMIFS(#REF!,#REF!,A483)+
SUMIFS(#REF!,#REF!,A483)</f>
        <v>#REF!</v>
      </c>
    </row>
    <row r="484" spans="1:4" x14ac:dyDescent="0.25">
      <c r="A484" s="15" t="e">
        <f>#REF!</f>
        <v>#REF!</v>
      </c>
      <c r="B484" s="1" t="e">
        <f>#REF!</f>
        <v>#REF!</v>
      </c>
      <c r="C484" s="1" t="e">
        <f>#REF!</f>
        <v>#REF!</v>
      </c>
      <c r="D484" s="15" t="e">
        <f>SUMIFS(#REF!,#REF!,A484)+
SUMIFS(#REF!,#REF!,A484)+
SUMIFS(#REF!,#REF!,A484)</f>
        <v>#REF!</v>
      </c>
    </row>
    <row r="485" spans="1:4" x14ac:dyDescent="0.25">
      <c r="A485" s="15" t="e">
        <f>#REF!</f>
        <v>#REF!</v>
      </c>
      <c r="B485" s="1" t="e">
        <f>#REF!</f>
        <v>#REF!</v>
      </c>
      <c r="C485" s="1" t="e">
        <f>#REF!</f>
        <v>#REF!</v>
      </c>
      <c r="D485" s="15" t="e">
        <f>SUMIFS(#REF!,#REF!,A485)+
SUMIFS(#REF!,#REF!,A485)+
SUMIFS(#REF!,#REF!,A485)</f>
        <v>#REF!</v>
      </c>
    </row>
    <row r="486" spans="1:4" x14ac:dyDescent="0.25">
      <c r="A486" s="15" t="e">
        <f>#REF!</f>
        <v>#REF!</v>
      </c>
      <c r="B486" s="1" t="e">
        <f>#REF!</f>
        <v>#REF!</v>
      </c>
      <c r="C486" s="1" t="e">
        <f>#REF!</f>
        <v>#REF!</v>
      </c>
      <c r="D486" s="15" t="e">
        <f>SUMIFS(#REF!,#REF!,A486)+
SUMIFS(#REF!,#REF!,A486)+
SUMIFS(#REF!,#REF!,A486)</f>
        <v>#REF!</v>
      </c>
    </row>
    <row r="487" spans="1:4" x14ac:dyDescent="0.25">
      <c r="A487" s="15" t="e">
        <f>#REF!</f>
        <v>#REF!</v>
      </c>
      <c r="B487" s="1" t="e">
        <f>#REF!</f>
        <v>#REF!</v>
      </c>
      <c r="C487" s="1" t="e">
        <f>#REF!</f>
        <v>#REF!</v>
      </c>
      <c r="D487" s="15" t="e">
        <f>SUMIFS(#REF!,#REF!,A487)+
SUMIFS(#REF!,#REF!,A487)+
SUMIFS(#REF!,#REF!,A487)</f>
        <v>#REF!</v>
      </c>
    </row>
    <row r="488" spans="1:4" x14ac:dyDescent="0.25">
      <c r="A488" s="15" t="e">
        <f>#REF!</f>
        <v>#REF!</v>
      </c>
      <c r="B488" s="1" t="e">
        <f>#REF!</f>
        <v>#REF!</v>
      </c>
      <c r="C488" s="1" t="e">
        <f>#REF!</f>
        <v>#REF!</v>
      </c>
      <c r="D488" s="15" t="e">
        <f>SUMIFS(#REF!,#REF!,A488)+
SUMIFS(#REF!,#REF!,A488)+
SUMIFS(#REF!,#REF!,A488)</f>
        <v>#REF!</v>
      </c>
    </row>
    <row r="489" spans="1:4" x14ac:dyDescent="0.25">
      <c r="A489" s="15" t="e">
        <f>#REF!</f>
        <v>#REF!</v>
      </c>
      <c r="B489" s="1" t="e">
        <f>#REF!</f>
        <v>#REF!</v>
      </c>
      <c r="C489" s="1" t="e">
        <f>#REF!</f>
        <v>#REF!</v>
      </c>
      <c r="D489" s="15" t="e">
        <f>SUMIFS(#REF!,#REF!,A489)+
SUMIFS(#REF!,#REF!,A489)+
SUMIFS(#REF!,#REF!,A489)</f>
        <v>#REF!</v>
      </c>
    </row>
    <row r="490" spans="1:4" x14ac:dyDescent="0.25">
      <c r="A490" s="15" t="e">
        <f>#REF!</f>
        <v>#REF!</v>
      </c>
      <c r="B490" s="1" t="e">
        <f>#REF!</f>
        <v>#REF!</v>
      </c>
      <c r="C490" s="1" t="e">
        <f>#REF!</f>
        <v>#REF!</v>
      </c>
      <c r="D490" s="15" t="e">
        <f>SUMIFS(#REF!,#REF!,A490)+
SUMIFS(#REF!,#REF!,A490)+
SUMIFS(#REF!,#REF!,A490)</f>
        <v>#REF!</v>
      </c>
    </row>
    <row r="491" spans="1:4" x14ac:dyDescent="0.25">
      <c r="A491" s="15" t="e">
        <f>#REF!</f>
        <v>#REF!</v>
      </c>
      <c r="B491" s="1" t="e">
        <f>#REF!</f>
        <v>#REF!</v>
      </c>
      <c r="C491" s="1" t="e">
        <f>#REF!</f>
        <v>#REF!</v>
      </c>
      <c r="D491" s="15" t="e">
        <f>SUMIFS(#REF!,#REF!,A491)+
SUMIFS(#REF!,#REF!,A491)+
SUMIFS(#REF!,#REF!,A491)</f>
        <v>#REF!</v>
      </c>
    </row>
    <row r="492" spans="1:4" x14ac:dyDescent="0.25">
      <c r="A492" s="15" t="e">
        <f>#REF!</f>
        <v>#REF!</v>
      </c>
      <c r="B492" s="1" t="e">
        <f>#REF!</f>
        <v>#REF!</v>
      </c>
      <c r="C492" s="1" t="e">
        <f>#REF!</f>
        <v>#REF!</v>
      </c>
      <c r="D492" s="15" t="e">
        <f>SUMIFS(#REF!,#REF!,A492)+
SUMIFS(#REF!,#REF!,A492)+
SUMIFS(#REF!,#REF!,A492)</f>
        <v>#REF!</v>
      </c>
    </row>
    <row r="493" spans="1:4" x14ac:dyDescent="0.25">
      <c r="A493" s="15" t="e">
        <f>#REF!</f>
        <v>#REF!</v>
      </c>
      <c r="B493" s="1" t="e">
        <f>#REF!</f>
        <v>#REF!</v>
      </c>
      <c r="C493" s="1" t="e">
        <f>#REF!</f>
        <v>#REF!</v>
      </c>
      <c r="D493" s="15" t="e">
        <f>SUMIFS(#REF!,#REF!,A493)+
SUMIFS(#REF!,#REF!,A493)+
SUMIFS(#REF!,#REF!,A493)</f>
        <v>#REF!</v>
      </c>
    </row>
    <row r="494" spans="1:4" x14ac:dyDescent="0.25">
      <c r="A494" s="15" t="e">
        <f>#REF!</f>
        <v>#REF!</v>
      </c>
      <c r="B494" s="1" t="e">
        <f>#REF!</f>
        <v>#REF!</v>
      </c>
      <c r="C494" s="1" t="e">
        <f>#REF!</f>
        <v>#REF!</v>
      </c>
      <c r="D494" s="15" t="e">
        <f>SUMIFS(#REF!,#REF!,A494)+
SUMIFS(#REF!,#REF!,A494)+
SUMIFS(#REF!,#REF!,A494)</f>
        <v>#REF!</v>
      </c>
    </row>
    <row r="495" spans="1:4" x14ac:dyDescent="0.25">
      <c r="A495" s="15" t="e">
        <f>#REF!</f>
        <v>#REF!</v>
      </c>
      <c r="B495" s="1" t="e">
        <f>#REF!</f>
        <v>#REF!</v>
      </c>
      <c r="C495" s="1" t="e">
        <f>#REF!</f>
        <v>#REF!</v>
      </c>
      <c r="D495" s="15" t="e">
        <f>SUMIFS(#REF!,#REF!,A495)+
SUMIFS(#REF!,#REF!,A495)+
SUMIFS(#REF!,#REF!,A495)</f>
        <v>#REF!</v>
      </c>
    </row>
    <row r="496" spans="1:4" x14ac:dyDescent="0.25">
      <c r="A496" s="15" t="e">
        <f>#REF!</f>
        <v>#REF!</v>
      </c>
      <c r="B496" s="1" t="e">
        <f>#REF!</f>
        <v>#REF!</v>
      </c>
      <c r="C496" s="1" t="e">
        <f>#REF!</f>
        <v>#REF!</v>
      </c>
      <c r="D496" s="15" t="e">
        <f>SUMIFS(#REF!,#REF!,A496)+
SUMIFS(#REF!,#REF!,A496)+
SUMIFS(#REF!,#REF!,A496)</f>
        <v>#REF!</v>
      </c>
    </row>
    <row r="497" spans="1:4" x14ac:dyDescent="0.25">
      <c r="A497" s="15" t="e">
        <f>#REF!</f>
        <v>#REF!</v>
      </c>
      <c r="B497" s="1" t="e">
        <f>#REF!</f>
        <v>#REF!</v>
      </c>
      <c r="C497" s="1" t="e">
        <f>#REF!</f>
        <v>#REF!</v>
      </c>
      <c r="D497" s="15" t="e">
        <f>SUMIFS(#REF!,#REF!,A497)+
SUMIFS(#REF!,#REF!,A497)+
SUMIFS(#REF!,#REF!,A497)</f>
        <v>#REF!</v>
      </c>
    </row>
    <row r="498" spans="1:4" x14ac:dyDescent="0.25">
      <c r="A498" s="15" t="e">
        <f>#REF!</f>
        <v>#REF!</v>
      </c>
      <c r="B498" s="1" t="e">
        <f>#REF!</f>
        <v>#REF!</v>
      </c>
      <c r="C498" s="1" t="e">
        <f>#REF!</f>
        <v>#REF!</v>
      </c>
      <c r="D498" s="15" t="e">
        <f>SUMIFS(#REF!,#REF!,A498)+
SUMIFS(#REF!,#REF!,A498)+
SUMIFS(#REF!,#REF!,A498)</f>
        <v>#REF!</v>
      </c>
    </row>
    <row r="499" spans="1:4" x14ac:dyDescent="0.25">
      <c r="A499" s="15" t="e">
        <f>#REF!</f>
        <v>#REF!</v>
      </c>
      <c r="B499" s="1" t="e">
        <f>#REF!</f>
        <v>#REF!</v>
      </c>
      <c r="C499" s="1" t="e">
        <f>#REF!</f>
        <v>#REF!</v>
      </c>
      <c r="D499" s="15" t="e">
        <f>SUMIFS(#REF!,#REF!,A499)+
SUMIFS(#REF!,#REF!,A499)+
SUMIFS(#REF!,#REF!,A499)</f>
        <v>#REF!</v>
      </c>
    </row>
    <row r="500" spans="1:4" x14ac:dyDescent="0.25">
      <c r="A500" s="15" t="e">
        <f>#REF!</f>
        <v>#REF!</v>
      </c>
      <c r="B500" s="1" t="e">
        <f>#REF!</f>
        <v>#REF!</v>
      </c>
      <c r="C500" s="1" t="e">
        <f>#REF!</f>
        <v>#REF!</v>
      </c>
      <c r="D500" s="15" t="e">
        <f>SUMIFS(#REF!,#REF!,A500)+
SUMIFS(#REF!,#REF!,A500)+
SUMIFS(#REF!,#REF!,A500)</f>
        <v>#REF!</v>
      </c>
    </row>
    <row r="501" spans="1:4" x14ac:dyDescent="0.25">
      <c r="A501" s="15" t="e">
        <f>#REF!</f>
        <v>#REF!</v>
      </c>
      <c r="B501" s="1" t="e">
        <f>#REF!</f>
        <v>#REF!</v>
      </c>
      <c r="C501" s="1" t="e">
        <f>#REF!</f>
        <v>#REF!</v>
      </c>
      <c r="D501" s="15" t="e">
        <f>SUMIFS(#REF!,#REF!,A501)+
SUMIFS(#REF!,#REF!,A501)+
SUMIFS(#REF!,#REF!,A501)</f>
        <v>#REF!</v>
      </c>
    </row>
    <row r="502" spans="1:4" x14ac:dyDescent="0.25">
      <c r="A502" s="15" t="e">
        <f>#REF!</f>
        <v>#REF!</v>
      </c>
      <c r="B502" s="1" t="e">
        <f>#REF!</f>
        <v>#REF!</v>
      </c>
      <c r="C502" s="1" t="e">
        <f>#REF!</f>
        <v>#REF!</v>
      </c>
      <c r="D502" s="15" t="e">
        <f>SUMIFS(#REF!,#REF!,A502)+
SUMIFS(#REF!,#REF!,A502)+
SUMIFS(#REF!,#REF!,A502)</f>
        <v>#REF!</v>
      </c>
    </row>
    <row r="503" spans="1:4" x14ac:dyDescent="0.25">
      <c r="A503" s="15" t="e">
        <f>#REF!</f>
        <v>#REF!</v>
      </c>
      <c r="B503" s="1" t="e">
        <f>#REF!</f>
        <v>#REF!</v>
      </c>
      <c r="C503" s="1" t="e">
        <f>#REF!</f>
        <v>#REF!</v>
      </c>
      <c r="D503" s="15" t="e">
        <f>SUMIFS(#REF!,#REF!,A503)+
SUMIFS(#REF!,#REF!,A503)+
SUMIFS(#REF!,#REF!,A503)</f>
        <v>#REF!</v>
      </c>
    </row>
    <row r="504" spans="1:4" x14ac:dyDescent="0.25">
      <c r="A504" s="15" t="e">
        <f>#REF!</f>
        <v>#REF!</v>
      </c>
      <c r="B504" s="1" t="e">
        <f>#REF!</f>
        <v>#REF!</v>
      </c>
      <c r="C504" s="1" t="e">
        <f>#REF!</f>
        <v>#REF!</v>
      </c>
      <c r="D504" s="15" t="e">
        <f>SUMIFS(#REF!,#REF!,A504)+
SUMIFS(#REF!,#REF!,A504)+
SUMIFS(#REF!,#REF!,A504)</f>
        <v>#REF!</v>
      </c>
    </row>
    <row r="505" spans="1:4" x14ac:dyDescent="0.25">
      <c r="A505" s="15" t="e">
        <f>#REF!</f>
        <v>#REF!</v>
      </c>
      <c r="B505" s="1" t="e">
        <f>#REF!</f>
        <v>#REF!</v>
      </c>
      <c r="C505" s="1" t="e">
        <f>#REF!</f>
        <v>#REF!</v>
      </c>
      <c r="D505" s="15" t="e">
        <f>SUMIFS(#REF!,#REF!,A505)+
SUMIFS(#REF!,#REF!,A505)+
SUMIFS(#REF!,#REF!,A505)</f>
        <v>#REF!</v>
      </c>
    </row>
    <row r="506" spans="1:4" x14ac:dyDescent="0.25">
      <c r="A506" s="15" t="e">
        <f>#REF!</f>
        <v>#REF!</v>
      </c>
      <c r="B506" s="1" t="e">
        <f>#REF!</f>
        <v>#REF!</v>
      </c>
      <c r="C506" s="1" t="e">
        <f>#REF!</f>
        <v>#REF!</v>
      </c>
      <c r="D506" s="15" t="e">
        <f>SUMIFS(#REF!,#REF!,A506)+
SUMIFS(#REF!,#REF!,A506)+
SUMIFS(#REF!,#REF!,A506)</f>
        <v>#REF!</v>
      </c>
    </row>
    <row r="507" spans="1:4" x14ac:dyDescent="0.25">
      <c r="A507" s="15" t="e">
        <f>#REF!</f>
        <v>#REF!</v>
      </c>
      <c r="B507" s="1" t="e">
        <f>#REF!</f>
        <v>#REF!</v>
      </c>
      <c r="C507" s="1" t="e">
        <f>#REF!</f>
        <v>#REF!</v>
      </c>
      <c r="D507" s="15" t="e">
        <f>SUMIFS(#REF!,#REF!,A507)+
SUMIFS(#REF!,#REF!,A507)+
SUMIFS(#REF!,#REF!,A507)</f>
        <v>#REF!</v>
      </c>
    </row>
    <row r="508" spans="1:4" x14ac:dyDescent="0.25">
      <c r="A508" s="15" t="e">
        <f>#REF!</f>
        <v>#REF!</v>
      </c>
      <c r="B508" s="1" t="e">
        <f>#REF!</f>
        <v>#REF!</v>
      </c>
      <c r="C508" s="1" t="e">
        <f>#REF!</f>
        <v>#REF!</v>
      </c>
      <c r="D508" s="15" t="e">
        <f>SUMIFS(#REF!,#REF!,A508)+
SUMIFS(#REF!,#REF!,A508)+
SUMIFS(#REF!,#REF!,A508)</f>
        <v>#REF!</v>
      </c>
    </row>
    <row r="509" spans="1:4" x14ac:dyDescent="0.25">
      <c r="A509" s="15" t="e">
        <f>#REF!</f>
        <v>#REF!</v>
      </c>
      <c r="B509" s="1" t="e">
        <f>#REF!</f>
        <v>#REF!</v>
      </c>
      <c r="C509" s="1" t="e">
        <f>#REF!</f>
        <v>#REF!</v>
      </c>
      <c r="D509" s="15" t="e">
        <f>SUMIFS(#REF!,#REF!,A509)+
SUMIFS(#REF!,#REF!,A509)+
SUMIFS(#REF!,#REF!,A509)</f>
        <v>#REF!</v>
      </c>
    </row>
    <row r="510" spans="1:4" x14ac:dyDescent="0.25">
      <c r="A510" s="15" t="e">
        <f>#REF!</f>
        <v>#REF!</v>
      </c>
      <c r="B510" s="1" t="e">
        <f>#REF!</f>
        <v>#REF!</v>
      </c>
      <c r="C510" s="1" t="e">
        <f>#REF!</f>
        <v>#REF!</v>
      </c>
      <c r="D510" s="15" t="e">
        <f>SUMIFS(#REF!,#REF!,A510)+
SUMIFS(#REF!,#REF!,A510)+
SUMIFS(#REF!,#REF!,A510)</f>
        <v>#REF!</v>
      </c>
    </row>
    <row r="511" spans="1:4" x14ac:dyDescent="0.25">
      <c r="A511" s="15" t="e">
        <f>#REF!</f>
        <v>#REF!</v>
      </c>
      <c r="B511" s="1" t="e">
        <f>#REF!</f>
        <v>#REF!</v>
      </c>
      <c r="C511" s="1" t="e">
        <f>#REF!</f>
        <v>#REF!</v>
      </c>
      <c r="D511" s="15" t="e">
        <f>SUMIFS(#REF!,#REF!,A511)+
SUMIFS(#REF!,#REF!,A511)+
SUMIFS(#REF!,#REF!,A511)</f>
        <v>#REF!</v>
      </c>
    </row>
    <row r="512" spans="1:4" x14ac:dyDescent="0.25">
      <c r="A512" s="17" t="e">
        <f>#REF!</f>
        <v>#REF!</v>
      </c>
      <c r="B512" s="16" t="e">
        <f>#REF!</f>
        <v>#REF!</v>
      </c>
      <c r="C512" s="16" t="e">
        <f>#REF!</f>
        <v>#REF!</v>
      </c>
      <c r="D512" s="17" t="e">
        <f>SUMIFS(#REF!,#REF!,A512)+
SUMIFS(#REF!,#REF!,A512)+
SUMIFS(#REF!,#REF!,A512)</f>
        <v>#REF!</v>
      </c>
    </row>
    <row r="513" spans="1:4" x14ac:dyDescent="0.25">
      <c r="A513" s="15" t="e">
        <f>#REF!</f>
        <v>#REF!</v>
      </c>
      <c r="B513" s="1" t="e">
        <f>#REF!</f>
        <v>#REF!</v>
      </c>
      <c r="C513" s="1" t="e">
        <f>#REF!</f>
        <v>#REF!</v>
      </c>
      <c r="D513" s="18" t="e">
        <f>SUMIFS(#REF!,#REF!,A513)+
SUMIFS(#REF!,#REF!,A2)+
SUMIFS(#REF!,#REF!,A2)+
SUMIFS(#REF!,#REF!,A2)+
SUMIFS(#REF!,#REF!,A2)+
SUMIFS(#REF!,#REF!,A2)+
SUMIFS(#REF!,#REF!,A2)</f>
        <v>#REF!</v>
      </c>
    </row>
    <row r="514" spans="1:4" x14ac:dyDescent="0.25">
      <c r="A514" s="15" t="e">
        <f>#REF!</f>
        <v>#REF!</v>
      </c>
      <c r="B514" s="1" t="e">
        <f>#REF!</f>
        <v>#REF!</v>
      </c>
      <c r="C514" s="1" t="e">
        <f>#REF!</f>
        <v>#REF!</v>
      </c>
      <c r="D514" s="18" t="e">
        <f>SUMIFS(#REF!,#REF!,A514)+
SUMIFS(#REF!,#REF!,A3)+
SUMIFS(#REF!,#REF!,A3)+
SUMIFS(#REF!,#REF!,A3)+
SUMIFS(#REF!,#REF!,A3)+
SUMIFS(#REF!,#REF!,A3)+
SUMIFS(#REF!,#REF!,A3)</f>
        <v>#REF!</v>
      </c>
    </row>
    <row r="515" spans="1:4" x14ac:dyDescent="0.25">
      <c r="A515" s="15" t="e">
        <f>#REF!</f>
        <v>#REF!</v>
      </c>
      <c r="B515" s="1" t="e">
        <f>#REF!</f>
        <v>#REF!</v>
      </c>
      <c r="C515" s="1" t="e">
        <f>#REF!</f>
        <v>#REF!</v>
      </c>
      <c r="D515" s="18" t="e">
        <f>SUMIFS(#REF!,#REF!,A515)+
SUMIFS(#REF!,#REF!,A4)+
SUMIFS(#REF!,#REF!,A4)+
SUMIFS(#REF!,#REF!,A4)+
SUMIFS(#REF!,#REF!,A4)+
SUMIFS(#REF!,#REF!,A4)+
SUMIFS(#REF!,#REF!,A4)</f>
        <v>#REF!</v>
      </c>
    </row>
    <row r="516" spans="1:4" x14ac:dyDescent="0.25">
      <c r="A516" s="15" t="e">
        <f>#REF!</f>
        <v>#REF!</v>
      </c>
      <c r="B516" s="1" t="e">
        <f>#REF!</f>
        <v>#REF!</v>
      </c>
      <c r="C516" s="1" t="e">
        <f>#REF!</f>
        <v>#REF!</v>
      </c>
      <c r="D516" s="18" t="e">
        <f>SUMIFS(#REF!,#REF!,A516)+
SUMIFS(#REF!,#REF!,A5)+
SUMIFS(#REF!,#REF!,A5)+
SUMIFS(#REF!,#REF!,A5)+
SUMIFS(#REF!,#REF!,A5)+
SUMIFS(#REF!,#REF!,A5)+
SUMIFS(#REF!,#REF!,A5)</f>
        <v>#REF!</v>
      </c>
    </row>
    <row r="517" spans="1:4" x14ac:dyDescent="0.25">
      <c r="A517" s="15" t="e">
        <f>#REF!</f>
        <v>#REF!</v>
      </c>
      <c r="B517" s="1" t="e">
        <f>#REF!</f>
        <v>#REF!</v>
      </c>
      <c r="C517" s="1" t="e">
        <f>#REF!</f>
        <v>#REF!</v>
      </c>
      <c r="D517" s="18" t="e">
        <f>SUMIFS(#REF!,#REF!,A517)+
SUMIFS(#REF!,#REF!,A6)+
SUMIFS(#REF!,#REF!,A6)+
SUMIFS(#REF!,#REF!,A6)+
SUMIFS(#REF!,#REF!,A6)+
SUMIFS(#REF!,#REF!,A6)+
SUMIFS(#REF!,#REF!,A6)</f>
        <v>#REF!</v>
      </c>
    </row>
    <row r="518" spans="1:4" x14ac:dyDescent="0.25">
      <c r="A518" s="15" t="e">
        <f>#REF!</f>
        <v>#REF!</v>
      </c>
      <c r="B518" s="1" t="e">
        <f>#REF!</f>
        <v>#REF!</v>
      </c>
      <c r="C518" s="1" t="e">
        <f>#REF!</f>
        <v>#REF!</v>
      </c>
      <c r="D518" s="18" t="e">
        <f>SUMIFS(#REF!,#REF!,A518)+
SUMIFS(#REF!,#REF!,A7)+
SUMIFS(#REF!,#REF!,A7)+
SUMIFS(#REF!,#REF!,A7)+
SUMIFS(#REF!,#REF!,A7)+
SUMIFS(#REF!,#REF!,A7)+
SUMIFS(#REF!,#REF!,A7)</f>
        <v>#REF!</v>
      </c>
    </row>
    <row r="519" spans="1:4" x14ac:dyDescent="0.25">
      <c r="A519" s="15" t="e">
        <f>#REF!</f>
        <v>#REF!</v>
      </c>
      <c r="B519" s="1" t="e">
        <f>#REF!</f>
        <v>#REF!</v>
      </c>
      <c r="C519" s="1" t="e">
        <f>#REF!</f>
        <v>#REF!</v>
      </c>
      <c r="D519" s="18" t="e">
        <f>SUMIFS(#REF!,#REF!,A519)+
SUMIFS(#REF!,#REF!,A8)+
SUMIFS(#REF!,#REF!,A8)+
SUMIFS(#REF!,#REF!,A8)+
SUMIFS(#REF!,#REF!,A8)+
SUMIFS(#REF!,#REF!,A8)+
SUMIFS(#REF!,#REF!,A8)</f>
        <v>#REF!</v>
      </c>
    </row>
    <row r="520" spans="1:4" x14ac:dyDescent="0.25">
      <c r="A520" s="15" t="e">
        <f>#REF!</f>
        <v>#REF!</v>
      </c>
      <c r="B520" s="1" t="e">
        <f>#REF!</f>
        <v>#REF!</v>
      </c>
      <c r="C520" s="1" t="e">
        <f>#REF!</f>
        <v>#REF!</v>
      </c>
      <c r="D520" s="18" t="e">
        <f>SUMIFS(#REF!,#REF!,A520)+
SUMIFS(#REF!,#REF!,A9)+
SUMIFS(#REF!,#REF!,A9)+
SUMIFS(#REF!,#REF!,A9)+
SUMIFS(#REF!,#REF!,A9)+
SUMIFS(#REF!,#REF!,A9)+
SUMIFS(#REF!,#REF!,A9)</f>
        <v>#REF!</v>
      </c>
    </row>
    <row r="521" spans="1:4" x14ac:dyDescent="0.25">
      <c r="A521" s="15" t="e">
        <f>#REF!</f>
        <v>#REF!</v>
      </c>
      <c r="B521" s="1" t="e">
        <f>#REF!</f>
        <v>#REF!</v>
      </c>
      <c r="C521" s="1" t="e">
        <f>#REF!</f>
        <v>#REF!</v>
      </c>
      <c r="D521" s="18" t="e">
        <f>SUMIFS(#REF!,#REF!,A521)+
SUMIFS(#REF!,#REF!,A10)+
SUMIFS(#REF!,#REF!,A10)+
SUMIFS(#REF!,#REF!,A10)+
SUMIFS(#REF!,#REF!,A10)+
SUMIFS(#REF!,#REF!,A10)+
SUMIFS(#REF!,#REF!,A10)</f>
        <v>#REF!</v>
      </c>
    </row>
    <row r="522" spans="1:4" x14ac:dyDescent="0.25">
      <c r="A522" s="15" t="e">
        <f>#REF!</f>
        <v>#REF!</v>
      </c>
      <c r="B522" s="1" t="e">
        <f>#REF!</f>
        <v>#REF!</v>
      </c>
      <c r="C522" s="1" t="e">
        <f>#REF!</f>
        <v>#REF!</v>
      </c>
      <c r="D522" s="18" t="e">
        <f>SUMIFS(#REF!,#REF!,A522)+
SUMIFS(#REF!,#REF!,A11)+
SUMIFS(#REF!,#REF!,A11)+
SUMIFS(#REF!,#REF!,A11)+
SUMIFS(#REF!,#REF!,A11)+
SUMIFS(#REF!,#REF!,A11)+
SUMIFS(#REF!,#REF!,A11)</f>
        <v>#REF!</v>
      </c>
    </row>
    <row r="523" spans="1:4" x14ac:dyDescent="0.25">
      <c r="A523" s="15" t="e">
        <f>#REF!</f>
        <v>#REF!</v>
      </c>
      <c r="B523" s="1" t="e">
        <f>#REF!</f>
        <v>#REF!</v>
      </c>
      <c r="C523" s="1" t="e">
        <f>#REF!</f>
        <v>#REF!</v>
      </c>
      <c r="D523" s="18" t="e">
        <f>SUMIFS(#REF!,#REF!,A523)+
SUMIFS(#REF!,#REF!,A12)+
SUMIFS(#REF!,#REF!,A12)+
SUMIFS(#REF!,#REF!,A12)+
SUMIFS(#REF!,#REF!,A12)+
SUMIFS(#REF!,#REF!,A12)+
SUMIFS(#REF!,#REF!,A12)</f>
        <v>#REF!</v>
      </c>
    </row>
    <row r="524" spans="1:4" x14ac:dyDescent="0.25">
      <c r="A524" s="15" t="e">
        <f>#REF!</f>
        <v>#REF!</v>
      </c>
      <c r="B524" s="1" t="e">
        <f>#REF!</f>
        <v>#REF!</v>
      </c>
      <c r="C524" s="1" t="e">
        <f>#REF!</f>
        <v>#REF!</v>
      </c>
      <c r="D524" s="18" t="e">
        <f>SUMIFS(#REF!,#REF!,A524)+
SUMIFS(#REF!,#REF!,A13)+
SUMIFS(#REF!,#REF!,A13)+
SUMIFS(#REF!,#REF!,A13)+
SUMIFS(#REF!,#REF!,A13)+
SUMIFS(#REF!,#REF!,A13)+
SUMIFS(#REF!,#REF!,A13)</f>
        <v>#REF!</v>
      </c>
    </row>
    <row r="525" spans="1:4" x14ac:dyDescent="0.25">
      <c r="A525" s="15" t="e">
        <f>#REF!</f>
        <v>#REF!</v>
      </c>
      <c r="B525" s="1" t="e">
        <f>#REF!</f>
        <v>#REF!</v>
      </c>
      <c r="C525" s="1" t="e">
        <f>#REF!</f>
        <v>#REF!</v>
      </c>
      <c r="D525" s="18" t="e">
        <f>SUMIFS(#REF!,#REF!,A525)+
SUMIFS(#REF!,#REF!,A14)+
SUMIFS(#REF!,#REF!,A14)+
SUMIFS(#REF!,#REF!,A14)+
SUMIFS(#REF!,#REF!,A14)+
SUMIFS(#REF!,#REF!,A14)+
SUMIFS(#REF!,#REF!,A14)</f>
        <v>#REF!</v>
      </c>
    </row>
    <row r="526" spans="1:4" x14ac:dyDescent="0.25">
      <c r="A526" s="15" t="e">
        <f>#REF!</f>
        <v>#REF!</v>
      </c>
      <c r="B526" s="1" t="e">
        <f>#REF!</f>
        <v>#REF!</v>
      </c>
      <c r="C526" s="1" t="e">
        <f>#REF!</f>
        <v>#REF!</v>
      </c>
      <c r="D526" s="18" t="e">
        <f>SUMIFS(#REF!,#REF!,A526)+
SUMIFS(#REF!,#REF!,A15)+
SUMIFS(#REF!,#REF!,A15)+
SUMIFS(#REF!,#REF!,A15)+
SUMIFS(#REF!,#REF!,A15)+
SUMIFS(#REF!,#REF!,A15)+
SUMIFS(#REF!,#REF!,A15)</f>
        <v>#REF!</v>
      </c>
    </row>
    <row r="527" spans="1:4" x14ac:dyDescent="0.25">
      <c r="A527" s="15" t="e">
        <f>#REF!</f>
        <v>#REF!</v>
      </c>
      <c r="B527" s="1" t="e">
        <f>#REF!</f>
        <v>#REF!</v>
      </c>
      <c r="C527" s="1" t="e">
        <f>#REF!</f>
        <v>#REF!</v>
      </c>
      <c r="D527" s="18" t="e">
        <f>SUMIFS(#REF!,#REF!,A527)+
SUMIFS(#REF!,#REF!,A16)+
SUMIFS(#REF!,#REF!,A16)+
SUMIFS(#REF!,#REF!,A16)+
SUMIFS(#REF!,#REF!,A16)+
SUMIFS(#REF!,#REF!,A16)+
SUMIFS(#REF!,#REF!,A16)</f>
        <v>#REF!</v>
      </c>
    </row>
    <row r="528" spans="1:4" x14ac:dyDescent="0.25">
      <c r="A528" s="15" t="e">
        <f>#REF!</f>
        <v>#REF!</v>
      </c>
      <c r="B528" s="1" t="e">
        <f>#REF!</f>
        <v>#REF!</v>
      </c>
      <c r="C528" s="1" t="e">
        <f>#REF!</f>
        <v>#REF!</v>
      </c>
      <c r="D528" s="18" t="e">
        <f>SUMIFS(#REF!,#REF!,A528)+
SUMIFS(#REF!,#REF!,A17)+
SUMIFS(#REF!,#REF!,A17)+
SUMIFS(#REF!,#REF!,A17)+
SUMIFS(#REF!,#REF!,A17)+
SUMIFS(#REF!,#REF!,A17)+
SUMIFS(#REF!,#REF!,A17)</f>
        <v>#REF!</v>
      </c>
    </row>
    <row r="529" spans="1:4" x14ac:dyDescent="0.25">
      <c r="A529" s="15" t="e">
        <f>#REF!</f>
        <v>#REF!</v>
      </c>
      <c r="B529" s="1" t="e">
        <f>#REF!</f>
        <v>#REF!</v>
      </c>
      <c r="C529" s="1" t="e">
        <f>#REF!</f>
        <v>#REF!</v>
      </c>
      <c r="D529" s="18" t="e">
        <f>SUMIFS(#REF!,#REF!,A529)+
SUMIFS(#REF!,#REF!,A18)+
SUMIFS(#REF!,#REF!,A18)+
SUMIFS(#REF!,#REF!,A18)+
SUMIFS(#REF!,#REF!,A18)+
SUMIFS(#REF!,#REF!,A18)+
SUMIFS(#REF!,#REF!,A18)</f>
        <v>#REF!</v>
      </c>
    </row>
    <row r="530" spans="1:4" x14ac:dyDescent="0.25">
      <c r="A530" s="15" t="e">
        <f>#REF!</f>
        <v>#REF!</v>
      </c>
      <c r="B530" s="1" t="e">
        <f>#REF!</f>
        <v>#REF!</v>
      </c>
      <c r="C530" s="1" t="e">
        <f>#REF!</f>
        <v>#REF!</v>
      </c>
      <c r="D530" s="18" t="e">
        <f>SUMIFS(#REF!,#REF!,A530)+
SUMIFS(#REF!,#REF!,A19)+
SUMIFS(#REF!,#REF!,A19)+
SUMIFS(#REF!,#REF!,A19)+
SUMIFS(#REF!,#REF!,A19)+
SUMIFS(#REF!,#REF!,A19)+
SUMIFS(#REF!,#REF!,A19)</f>
        <v>#REF!</v>
      </c>
    </row>
    <row r="531" spans="1:4" x14ac:dyDescent="0.25">
      <c r="A531" s="15" t="e">
        <f>#REF!</f>
        <v>#REF!</v>
      </c>
      <c r="B531" s="1" t="e">
        <f>#REF!</f>
        <v>#REF!</v>
      </c>
      <c r="C531" s="1" t="e">
        <f>#REF!</f>
        <v>#REF!</v>
      </c>
      <c r="D531" s="18" t="e">
        <f>SUMIFS(#REF!,#REF!,A531)+
SUMIFS(#REF!,#REF!,A20)+
SUMIFS(#REF!,#REF!,A20)+
SUMIFS(#REF!,#REF!,A20)+
SUMIFS(#REF!,#REF!,A20)+
SUMIFS(#REF!,#REF!,A20)+
SUMIFS(#REF!,#REF!,A20)</f>
        <v>#REF!</v>
      </c>
    </row>
    <row r="532" spans="1:4" x14ac:dyDescent="0.25">
      <c r="A532" s="15" t="e">
        <f>#REF!</f>
        <v>#REF!</v>
      </c>
      <c r="B532" s="1" t="e">
        <f>#REF!</f>
        <v>#REF!</v>
      </c>
      <c r="C532" s="1" t="e">
        <f>#REF!</f>
        <v>#REF!</v>
      </c>
      <c r="D532" s="18" t="e">
        <f>SUMIFS(#REF!,#REF!,A532)+
SUMIFS(#REF!,#REF!,A21)+
SUMIFS(#REF!,#REF!,A21)+
SUMIFS(#REF!,#REF!,A21)+
SUMIFS(#REF!,#REF!,A21)+
SUMIFS(#REF!,#REF!,A21)+
SUMIFS(#REF!,#REF!,A21)</f>
        <v>#REF!</v>
      </c>
    </row>
    <row r="533" spans="1:4" x14ac:dyDescent="0.25">
      <c r="A533" s="15" t="e">
        <f>#REF!</f>
        <v>#REF!</v>
      </c>
      <c r="B533" s="1" t="e">
        <f>#REF!</f>
        <v>#REF!</v>
      </c>
      <c r="C533" s="1" t="e">
        <f>#REF!</f>
        <v>#REF!</v>
      </c>
      <c r="D533" s="18" t="e">
        <f>SUMIFS(#REF!,#REF!,A533)+
SUMIFS(#REF!,#REF!,A22)+
SUMIFS(#REF!,#REF!,A22)+
SUMIFS(#REF!,#REF!,A22)+
SUMIFS(#REF!,#REF!,A22)+
SUMIFS(#REF!,#REF!,A22)+
SUMIFS(#REF!,#REF!,A22)</f>
        <v>#REF!</v>
      </c>
    </row>
    <row r="534" spans="1:4" x14ac:dyDescent="0.25">
      <c r="A534" s="15" t="e">
        <f>#REF!</f>
        <v>#REF!</v>
      </c>
      <c r="B534" s="1" t="e">
        <f>#REF!</f>
        <v>#REF!</v>
      </c>
      <c r="C534" s="1" t="e">
        <f>#REF!</f>
        <v>#REF!</v>
      </c>
      <c r="D534" s="18" t="e">
        <f>SUMIFS(#REF!,#REF!,A534)+
SUMIFS(#REF!,#REF!,A23)+
SUMIFS(#REF!,#REF!,A23)+
SUMIFS(#REF!,#REF!,A23)+
SUMIFS(#REF!,#REF!,A23)+
SUMIFS(#REF!,#REF!,A23)+
SUMIFS(#REF!,#REF!,A23)</f>
        <v>#REF!</v>
      </c>
    </row>
    <row r="535" spans="1:4" x14ac:dyDescent="0.25">
      <c r="A535" s="15" t="e">
        <f>#REF!</f>
        <v>#REF!</v>
      </c>
      <c r="B535" s="1" t="e">
        <f>#REF!</f>
        <v>#REF!</v>
      </c>
      <c r="C535" s="1" t="e">
        <f>#REF!</f>
        <v>#REF!</v>
      </c>
      <c r="D535" s="18" t="e">
        <f>SUMIFS(#REF!,#REF!,A535)+
SUMIFS(#REF!,#REF!,A24)+
SUMIFS(#REF!,#REF!,A24)+
SUMIFS(#REF!,#REF!,A24)+
SUMIFS(#REF!,#REF!,A24)+
SUMIFS(#REF!,#REF!,A24)+
SUMIFS(#REF!,#REF!,A24)</f>
        <v>#REF!</v>
      </c>
    </row>
    <row r="536" spans="1:4" x14ac:dyDescent="0.25">
      <c r="A536" s="15" t="e">
        <f>#REF!</f>
        <v>#REF!</v>
      </c>
      <c r="B536" s="1" t="e">
        <f>#REF!</f>
        <v>#REF!</v>
      </c>
      <c r="C536" s="1" t="e">
        <f>#REF!</f>
        <v>#REF!</v>
      </c>
      <c r="D536" s="18" t="e">
        <f>SUMIFS(#REF!,#REF!,A536)+
SUMIFS(#REF!,#REF!,A25)+
SUMIFS(#REF!,#REF!,A25)+
SUMIFS(#REF!,#REF!,A25)+
SUMIFS(#REF!,#REF!,A25)+
SUMIFS(#REF!,#REF!,A25)+
SUMIFS(#REF!,#REF!,A25)</f>
        <v>#REF!</v>
      </c>
    </row>
    <row r="537" spans="1:4" x14ac:dyDescent="0.25">
      <c r="A537" s="15" t="e">
        <f>#REF!</f>
        <v>#REF!</v>
      </c>
      <c r="B537" s="1" t="e">
        <f>#REF!</f>
        <v>#REF!</v>
      </c>
      <c r="C537" s="1" t="e">
        <f>#REF!</f>
        <v>#REF!</v>
      </c>
      <c r="D537" s="18" t="e">
        <f>SUMIFS(#REF!,#REF!,A537)+
SUMIFS(#REF!,#REF!,A26)+
SUMIFS(#REF!,#REF!,A26)+
SUMIFS(#REF!,#REF!,A26)+
SUMIFS(#REF!,#REF!,A26)+
SUMIFS(#REF!,#REF!,A26)+
SUMIFS(#REF!,#REF!,A26)</f>
        <v>#REF!</v>
      </c>
    </row>
    <row r="538" spans="1:4" x14ac:dyDescent="0.25">
      <c r="A538" s="15" t="e">
        <f>#REF!</f>
        <v>#REF!</v>
      </c>
      <c r="B538" s="1" t="e">
        <f>#REF!</f>
        <v>#REF!</v>
      </c>
      <c r="C538" s="1" t="e">
        <f>#REF!</f>
        <v>#REF!</v>
      </c>
      <c r="D538" s="18" t="e">
        <f>SUMIFS(#REF!,#REF!,A538)+
SUMIFS(#REF!,#REF!,A27)+
SUMIFS(#REF!,#REF!,A27)+
SUMIFS(#REF!,#REF!,A27)+
SUMIFS(#REF!,#REF!,A27)+
SUMIFS(#REF!,#REF!,A27)+
SUMIFS(#REF!,#REF!,A27)</f>
        <v>#REF!</v>
      </c>
    </row>
    <row r="539" spans="1:4" x14ac:dyDescent="0.25">
      <c r="A539" s="15" t="e">
        <f>#REF!</f>
        <v>#REF!</v>
      </c>
      <c r="B539" s="1" t="e">
        <f>#REF!</f>
        <v>#REF!</v>
      </c>
      <c r="C539" s="1" t="e">
        <f>#REF!</f>
        <v>#REF!</v>
      </c>
      <c r="D539" s="18" t="e">
        <f>SUMIFS(#REF!,#REF!,A539)+
SUMIFS(#REF!,#REF!,A28)+
SUMIFS(#REF!,#REF!,A28)+
SUMIFS(#REF!,#REF!,A28)+
SUMIFS(#REF!,#REF!,A28)+
SUMIFS(#REF!,#REF!,A28)+
SUMIFS(#REF!,#REF!,A28)</f>
        <v>#REF!</v>
      </c>
    </row>
    <row r="540" spans="1:4" x14ac:dyDescent="0.25">
      <c r="A540" s="15" t="e">
        <f>#REF!</f>
        <v>#REF!</v>
      </c>
      <c r="B540" s="1" t="e">
        <f>#REF!</f>
        <v>#REF!</v>
      </c>
      <c r="C540" s="1" t="e">
        <f>#REF!</f>
        <v>#REF!</v>
      </c>
      <c r="D540" s="18" t="e">
        <f>SUMIFS(#REF!,#REF!,A540)+
SUMIFS(#REF!,#REF!,A29)+
SUMIFS(#REF!,#REF!,A29)+
SUMIFS(#REF!,#REF!,A29)+
SUMIFS(#REF!,#REF!,A29)+
SUMIFS(#REF!,#REF!,A29)+
SUMIFS(#REF!,#REF!,A29)</f>
        <v>#REF!</v>
      </c>
    </row>
    <row r="541" spans="1:4" x14ac:dyDescent="0.25">
      <c r="A541" s="15" t="e">
        <f>#REF!</f>
        <v>#REF!</v>
      </c>
      <c r="B541" s="1" t="e">
        <f>#REF!</f>
        <v>#REF!</v>
      </c>
      <c r="C541" s="1" t="e">
        <f>#REF!</f>
        <v>#REF!</v>
      </c>
      <c r="D541" s="18" t="e">
        <f>SUMIFS(#REF!,#REF!,A541)+
SUMIFS(#REF!,#REF!,A30)+
SUMIFS(#REF!,#REF!,A30)+
SUMIFS(#REF!,#REF!,A30)+
SUMIFS(#REF!,#REF!,A30)+
SUMIFS(#REF!,#REF!,A30)+
SUMIFS(#REF!,#REF!,A30)</f>
        <v>#REF!</v>
      </c>
    </row>
    <row r="542" spans="1:4" x14ac:dyDescent="0.25">
      <c r="A542" s="15" t="e">
        <f>#REF!</f>
        <v>#REF!</v>
      </c>
      <c r="B542" s="1" t="e">
        <f>#REF!</f>
        <v>#REF!</v>
      </c>
      <c r="C542" s="1" t="e">
        <f>#REF!</f>
        <v>#REF!</v>
      </c>
      <c r="D542" s="18" t="e">
        <f>SUMIFS(#REF!,#REF!,A542)+
SUMIFS(#REF!,#REF!,A31)+
SUMIFS(#REF!,#REF!,A31)+
SUMIFS(#REF!,#REF!,A31)+
SUMIFS(#REF!,#REF!,A31)+
SUMIFS(#REF!,#REF!,A31)+
SUMIFS(#REF!,#REF!,A31)</f>
        <v>#REF!</v>
      </c>
    </row>
    <row r="543" spans="1:4" x14ac:dyDescent="0.25">
      <c r="A543" s="15" t="e">
        <f>#REF!</f>
        <v>#REF!</v>
      </c>
      <c r="B543" s="1" t="e">
        <f>#REF!</f>
        <v>#REF!</v>
      </c>
      <c r="C543" s="1" t="e">
        <f>#REF!</f>
        <v>#REF!</v>
      </c>
      <c r="D543" s="18" t="e">
        <f>SUMIFS(#REF!,#REF!,A543)+
SUMIFS(#REF!,#REF!,A32)+
SUMIFS(#REF!,#REF!,A32)+
SUMIFS(#REF!,#REF!,A32)+
SUMIFS(#REF!,#REF!,A32)+
SUMIFS(#REF!,#REF!,A32)+
SUMIFS(#REF!,#REF!,A32)</f>
        <v>#REF!</v>
      </c>
    </row>
    <row r="544" spans="1:4" x14ac:dyDescent="0.25">
      <c r="A544" s="15" t="e">
        <f>#REF!</f>
        <v>#REF!</v>
      </c>
      <c r="B544" s="1" t="e">
        <f>#REF!</f>
        <v>#REF!</v>
      </c>
      <c r="C544" s="1" t="e">
        <f>#REF!</f>
        <v>#REF!</v>
      </c>
      <c r="D544" s="18" t="e">
        <f>SUMIFS(#REF!,#REF!,A544)+
SUMIFS(#REF!,#REF!,A33)+
SUMIFS(#REF!,#REF!,A33)+
SUMIFS(#REF!,#REF!,A33)+
SUMIFS(#REF!,#REF!,A33)+
SUMIFS(#REF!,#REF!,A33)+
SUMIFS(#REF!,#REF!,A33)</f>
        <v>#REF!</v>
      </c>
    </row>
    <row r="545" spans="1:4" x14ac:dyDescent="0.25">
      <c r="A545" s="15" t="e">
        <f>#REF!</f>
        <v>#REF!</v>
      </c>
      <c r="B545" s="1" t="e">
        <f>#REF!</f>
        <v>#REF!</v>
      </c>
      <c r="C545" s="1" t="e">
        <f>#REF!</f>
        <v>#REF!</v>
      </c>
      <c r="D545" s="18" t="e">
        <f>SUMIFS(#REF!,#REF!,A545)+
SUMIFS(#REF!,#REF!,A34)+
SUMIFS(#REF!,#REF!,A34)+
SUMIFS(#REF!,#REF!,A34)+
SUMIFS(#REF!,#REF!,A34)+
SUMIFS(#REF!,#REF!,A34)+
SUMIFS(#REF!,#REF!,A34)</f>
        <v>#REF!</v>
      </c>
    </row>
    <row r="546" spans="1:4" x14ac:dyDescent="0.25">
      <c r="A546" s="15" t="e">
        <f>#REF!</f>
        <v>#REF!</v>
      </c>
      <c r="B546" s="1" t="e">
        <f>#REF!</f>
        <v>#REF!</v>
      </c>
      <c r="C546" s="1" t="e">
        <f>#REF!</f>
        <v>#REF!</v>
      </c>
      <c r="D546" s="18" t="e">
        <f>SUMIFS(#REF!,#REF!,A546)+
SUMIFS(#REF!,#REF!,A35)+
SUMIFS(#REF!,#REF!,A35)+
SUMIFS(#REF!,#REF!,A35)+
SUMIFS(#REF!,#REF!,A35)+
SUMIFS(#REF!,#REF!,A35)+
SUMIFS(#REF!,#REF!,A35)</f>
        <v>#REF!</v>
      </c>
    </row>
    <row r="547" spans="1:4" x14ac:dyDescent="0.25">
      <c r="A547" s="19" t="e">
        <f>#REF!</f>
        <v>#REF!</v>
      </c>
      <c r="B547" s="20" t="e">
        <f>#REF!</f>
        <v>#REF!</v>
      </c>
      <c r="C547" s="20" t="e">
        <f>#REF!</f>
        <v>#REF!</v>
      </c>
      <c r="D547" s="21" t="e">
        <f>SUMIFS(#REF!,#REF!,A547)+
SUMIFS(#REF!,#REF!,A36)+
SUMIFS(#REF!,#REF!,A36)+
SUMIFS(#REF!,#REF!,A36)+
SUMIFS(#REF!,#REF!,A36)+
SUMIFS(#REF!,#REF!,A36)+
SUMIFS(#REF!,#REF!,A36)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HeatingPlants</vt:lpstr>
      <vt:lpstr>SawMills</vt:lpstr>
      <vt:lpstr>PulpPaper</vt:lpstr>
      <vt:lpstr>Terminals</vt:lpstr>
      <vt:lpstr>Summary</vt:lpstr>
      <vt:lpstr>Locations</vt:lpstr>
    </vt:vector>
  </TitlesOfParts>
  <Company>Linnaeus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Ljusk Ola Eriksson</dc:creator>
  <cp:lastModifiedBy>Ljusk Ola Eriksson</cp:lastModifiedBy>
  <dcterms:created xsi:type="dcterms:W3CDTF">2020-09-12T07:43:40Z</dcterms:created>
  <dcterms:modified xsi:type="dcterms:W3CDTF">2026-03-12T07:57:20Z</dcterms:modified>
</cp:coreProperties>
</file>