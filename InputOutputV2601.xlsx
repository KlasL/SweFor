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ljeraa\BioFrame\SweForGit\"/>
    </mc:Choice>
  </mc:AlternateContent>
  <xr:revisionPtr revIDLastSave="0" documentId="13_ncr:1_{229AD207-7389-479E-8B1D-8105743B9DFB}" xr6:coauthVersionLast="47" xr6:coauthVersionMax="47" xr10:uidLastSave="{00000000-0000-0000-0000-000000000000}"/>
  <bookViews>
    <workbookView xWindow="5985" yWindow="2145" windowWidth="20490" windowHeight="10950" firstSheet="1" activeTab="2" xr2:uid="{00000000-000D-0000-FFFF-FFFF00000000}"/>
  </bookViews>
  <sheets>
    <sheet name="Factors" sheetId="4" r:id="rId1"/>
    <sheet name="Processes" sheetId="17" r:id="rId2"/>
    <sheet name="IO" sheetId="40" r:id="rId3"/>
    <sheet name="ConvFact" sheetId="15" r:id="rId4"/>
    <sheet name="Trp" sheetId="41" r:id="rId5"/>
    <sheet name="SKA22B" sheetId="44" r:id="rId6"/>
    <sheet name="SKA22A" sheetId="43" r:id="rId7"/>
    <sheet name="FAO" sheetId="30" r:id="rId8"/>
    <sheet name="IIASA" sheetId="42" r:id="rId9"/>
  </sheets>
  <externalReferences>
    <externalReference r:id="rId10"/>
    <externalReference r:id="rId11"/>
  </externalReferences>
  <definedNames>
    <definedName name="_xlnm.Print_Area" localSheetId="2">IO!$A$1:$AE$84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9" i="44" l="1"/>
  <c r="B24" i="44"/>
  <c r="B49" i="44"/>
  <c r="B21" i="44"/>
  <c r="B20" i="44"/>
  <c r="B19" i="44"/>
  <c r="B18" i="44"/>
  <c r="O128" i="44"/>
  <c r="N128" i="44"/>
  <c r="M128" i="44"/>
  <c r="L128" i="44"/>
  <c r="J128" i="44"/>
  <c r="H50" i="44" s="1"/>
  <c r="G128" i="44"/>
  <c r="E50" i="44" s="1"/>
  <c r="F128" i="44"/>
  <c r="D50" i="44" s="1"/>
  <c r="E128" i="44"/>
  <c r="C50" i="44" s="1"/>
  <c r="C128" i="44"/>
  <c r="B128" i="44"/>
  <c r="P128" i="44" s="1"/>
  <c r="N50" i="44" s="1"/>
  <c r="B126" i="44"/>
  <c r="N126" i="44" s="1"/>
  <c r="L48" i="44" s="1"/>
  <c r="Q125" i="44"/>
  <c r="O125" i="44"/>
  <c r="N125" i="44"/>
  <c r="M125" i="44"/>
  <c r="L125" i="44"/>
  <c r="K125" i="44"/>
  <c r="I47" i="44" s="1"/>
  <c r="B125" i="44"/>
  <c r="I125" i="44" s="1"/>
  <c r="G47" i="44" s="1"/>
  <c r="B124" i="44"/>
  <c r="Q124" i="44" s="1"/>
  <c r="O46" i="44" s="1"/>
  <c r="A124" i="44"/>
  <c r="B123" i="44"/>
  <c r="Q123" i="44" s="1"/>
  <c r="O45" i="44" s="1"/>
  <c r="V122" i="44"/>
  <c r="U122" i="44"/>
  <c r="T122" i="44"/>
  <c r="B122" i="44"/>
  <c r="R122" i="44" s="1"/>
  <c r="P44" i="44" s="1"/>
  <c r="O121" i="44"/>
  <c r="M43" i="44" s="1"/>
  <c r="N121" i="44"/>
  <c r="L43" i="44" s="1"/>
  <c r="M121" i="44"/>
  <c r="K43" i="44" s="1"/>
  <c r="L121" i="44"/>
  <c r="J43" i="44" s="1"/>
  <c r="K121" i="44"/>
  <c r="I43" i="44" s="1"/>
  <c r="B121" i="44"/>
  <c r="U121" i="44" s="1"/>
  <c r="A116" i="44"/>
  <c r="A115" i="44"/>
  <c r="A109" i="44"/>
  <c r="A108" i="44"/>
  <c r="A107" i="44"/>
  <c r="A106" i="44"/>
  <c r="A105" i="44"/>
  <c r="A104" i="44"/>
  <c r="A103" i="44"/>
  <c r="A102" i="44"/>
  <c r="A101" i="44"/>
  <c r="A100" i="44"/>
  <c r="A99" i="44"/>
  <c r="A98" i="44"/>
  <c r="A97" i="44"/>
  <c r="A96" i="44"/>
  <c r="A95" i="44"/>
  <c r="A94" i="44"/>
  <c r="A93" i="44"/>
  <c r="A92" i="44"/>
  <c r="A91" i="44"/>
  <c r="A9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W67" i="44"/>
  <c r="V67" i="44"/>
  <c r="U67" i="44"/>
  <c r="T67" i="44"/>
  <c r="S67" i="44"/>
  <c r="R67" i="44"/>
  <c r="Q67" i="44"/>
  <c r="P67" i="44"/>
  <c r="O67" i="44"/>
  <c r="N67" i="44"/>
  <c r="M67" i="44"/>
  <c r="L67" i="44"/>
  <c r="K67" i="44"/>
  <c r="J67" i="44"/>
  <c r="I67" i="44"/>
  <c r="H67" i="44"/>
  <c r="G67" i="44"/>
  <c r="F67" i="44"/>
  <c r="E67" i="44"/>
  <c r="D67" i="44"/>
  <c r="C67" i="44"/>
  <c r="B67" i="44"/>
  <c r="A67" i="44"/>
  <c r="B66" i="44"/>
  <c r="A66" i="44"/>
  <c r="B65" i="44"/>
  <c r="A65" i="44"/>
  <c r="A64" i="44"/>
  <c r="A63" i="44"/>
  <c r="A62" i="44"/>
  <c r="A61" i="44"/>
  <c r="A60" i="44"/>
  <c r="M50" i="44"/>
  <c r="L50" i="44"/>
  <c r="K50" i="44"/>
  <c r="J50" i="44"/>
  <c r="A50" i="44"/>
  <c r="A128" i="44" s="1"/>
  <c r="Q49" i="44"/>
  <c r="R49" i="44" s="1"/>
  <c r="S49" i="44" s="1"/>
  <c r="T49" i="44" s="1"/>
  <c r="U49" i="44" s="1"/>
  <c r="V49" i="44" s="1"/>
  <c r="P49" i="44"/>
  <c r="O49" i="44"/>
  <c r="N49" i="44"/>
  <c r="M49" i="44"/>
  <c r="L49" i="44"/>
  <c r="K49" i="44"/>
  <c r="J49" i="44"/>
  <c r="I49" i="44"/>
  <c r="H49" i="44"/>
  <c r="G49" i="44"/>
  <c r="F49" i="44"/>
  <c r="E49" i="44"/>
  <c r="D49" i="44"/>
  <c r="C49" i="44"/>
  <c r="A49" i="44"/>
  <c r="A127" i="44" s="1"/>
  <c r="A48" i="44"/>
  <c r="A126" i="44" s="1"/>
  <c r="O47" i="44"/>
  <c r="M47" i="44"/>
  <c r="L47" i="44"/>
  <c r="K47" i="44"/>
  <c r="J47" i="44"/>
  <c r="A47" i="44"/>
  <c r="A125" i="44" s="1"/>
  <c r="A46" i="44"/>
  <c r="A45" i="44"/>
  <c r="A123" i="44" s="1"/>
  <c r="A44" i="44"/>
  <c r="A122" i="44" s="1"/>
  <c r="A43" i="44"/>
  <c r="A121" i="44" s="1"/>
  <c r="A42" i="44"/>
  <c r="A41" i="44"/>
  <c r="A40" i="44"/>
  <c r="A118" i="44" s="1"/>
  <c r="Q39" i="44"/>
  <c r="R39" i="44" s="1"/>
  <c r="S39" i="44" s="1"/>
  <c r="T39" i="44" s="1"/>
  <c r="U39" i="44" s="1"/>
  <c r="V39" i="44" s="1"/>
  <c r="O39" i="44"/>
  <c r="P39" i="44" s="1"/>
  <c r="M39" i="44"/>
  <c r="N39" i="44" s="1"/>
  <c r="K39" i="44"/>
  <c r="L39" i="44" s="1"/>
  <c r="I39" i="44"/>
  <c r="J39" i="44" s="1"/>
  <c r="G39" i="44"/>
  <c r="H39" i="44" s="1"/>
  <c r="E39" i="44"/>
  <c r="F39" i="44" s="1"/>
  <c r="C39" i="44"/>
  <c r="A39" i="44"/>
  <c r="A117" i="44" s="1"/>
  <c r="A38" i="44"/>
  <c r="A37" i="44"/>
  <c r="C36" i="44"/>
  <c r="D36" i="44" s="1"/>
  <c r="E36" i="44" s="1"/>
  <c r="F36" i="44" s="1"/>
  <c r="G36" i="44" s="1"/>
  <c r="H36" i="44" s="1"/>
  <c r="I36" i="44" s="1"/>
  <c r="J36" i="44" s="1"/>
  <c r="K36" i="44" s="1"/>
  <c r="L36" i="44" s="1"/>
  <c r="M36" i="44" s="1"/>
  <c r="N36" i="44" s="1"/>
  <c r="O36" i="44" s="1"/>
  <c r="P36" i="44" s="1"/>
  <c r="Q36" i="44" s="1"/>
  <c r="R36" i="44" s="1"/>
  <c r="S36" i="44" s="1"/>
  <c r="T36" i="44" s="1"/>
  <c r="U36" i="44" s="1"/>
  <c r="V36" i="44" s="1"/>
  <c r="A36" i="44"/>
  <c r="A114" i="44" s="1"/>
  <c r="C35" i="44"/>
  <c r="D35" i="44" s="1"/>
  <c r="E35" i="44" s="1"/>
  <c r="F35" i="44" s="1"/>
  <c r="G35" i="44" s="1"/>
  <c r="H35" i="44" s="1"/>
  <c r="I35" i="44" s="1"/>
  <c r="J35" i="44" s="1"/>
  <c r="K35" i="44" s="1"/>
  <c r="L35" i="44" s="1"/>
  <c r="M35" i="44" s="1"/>
  <c r="N35" i="44" s="1"/>
  <c r="O35" i="44" s="1"/>
  <c r="P35" i="44" s="1"/>
  <c r="Q35" i="44" s="1"/>
  <c r="R35" i="44" s="1"/>
  <c r="S35" i="44" s="1"/>
  <c r="T35" i="44" s="1"/>
  <c r="U35" i="44" s="1"/>
  <c r="V35" i="44" s="1"/>
  <c r="A35" i="44"/>
  <c r="A113" i="44" s="1"/>
  <c r="E34" i="44"/>
  <c r="F34" i="44" s="1"/>
  <c r="G34" i="44" s="1"/>
  <c r="H34" i="44" s="1"/>
  <c r="I34" i="44" s="1"/>
  <c r="J34" i="44" s="1"/>
  <c r="K34" i="44" s="1"/>
  <c r="L34" i="44" s="1"/>
  <c r="M34" i="44" s="1"/>
  <c r="N34" i="44" s="1"/>
  <c r="O34" i="44" s="1"/>
  <c r="P34" i="44" s="1"/>
  <c r="Q34" i="44" s="1"/>
  <c r="R34" i="44" s="1"/>
  <c r="S34" i="44" s="1"/>
  <c r="T34" i="44" s="1"/>
  <c r="U34" i="44" s="1"/>
  <c r="V34" i="44" s="1"/>
  <c r="C34" i="44"/>
  <c r="D34" i="44" s="1"/>
  <c r="A34" i="44"/>
  <c r="A112" i="44" s="1"/>
  <c r="C33" i="44"/>
  <c r="D33" i="44" s="1"/>
  <c r="E33" i="44" s="1"/>
  <c r="F33" i="44" s="1"/>
  <c r="G33" i="44" s="1"/>
  <c r="H33" i="44" s="1"/>
  <c r="I33" i="44" s="1"/>
  <c r="J33" i="44" s="1"/>
  <c r="K33" i="44" s="1"/>
  <c r="L33" i="44" s="1"/>
  <c r="M33" i="44" s="1"/>
  <c r="N33" i="44" s="1"/>
  <c r="O33" i="44" s="1"/>
  <c r="P33" i="44" s="1"/>
  <c r="Q33" i="44" s="1"/>
  <c r="R33" i="44" s="1"/>
  <c r="S33" i="44" s="1"/>
  <c r="T33" i="44" s="1"/>
  <c r="U33" i="44" s="1"/>
  <c r="V33" i="44" s="1"/>
  <c r="A33" i="44"/>
  <c r="C32" i="44"/>
  <c r="D32" i="44" s="1"/>
  <c r="E32" i="44" s="1"/>
  <c r="F32" i="44" s="1"/>
  <c r="G32" i="44" s="1"/>
  <c r="H32" i="44" s="1"/>
  <c r="I32" i="44" s="1"/>
  <c r="J32" i="44" s="1"/>
  <c r="K32" i="44" s="1"/>
  <c r="L32" i="44" s="1"/>
  <c r="M32" i="44" s="1"/>
  <c r="N32" i="44" s="1"/>
  <c r="O32" i="44" s="1"/>
  <c r="P32" i="44" s="1"/>
  <c r="Q32" i="44" s="1"/>
  <c r="R32" i="44" s="1"/>
  <c r="S32" i="44" s="1"/>
  <c r="T32" i="44" s="1"/>
  <c r="U32" i="44" s="1"/>
  <c r="V32" i="44" s="1"/>
  <c r="A32" i="44"/>
  <c r="C31" i="44"/>
  <c r="D31" i="44" s="1"/>
  <c r="E31" i="44" s="1"/>
  <c r="F31" i="44" s="1"/>
  <c r="G31" i="44" s="1"/>
  <c r="H31" i="44" s="1"/>
  <c r="I31" i="44" s="1"/>
  <c r="J31" i="44" s="1"/>
  <c r="K31" i="44" s="1"/>
  <c r="L31" i="44" s="1"/>
  <c r="M31" i="44" s="1"/>
  <c r="N31" i="44" s="1"/>
  <c r="O31" i="44" s="1"/>
  <c r="P31" i="44" s="1"/>
  <c r="Q31" i="44" s="1"/>
  <c r="R31" i="44" s="1"/>
  <c r="S31" i="44" s="1"/>
  <c r="T31" i="44" s="1"/>
  <c r="U31" i="44" s="1"/>
  <c r="V31" i="44" s="1"/>
  <c r="A31" i="44"/>
  <c r="D30" i="44"/>
  <c r="E30" i="44" s="1"/>
  <c r="F30" i="44" s="1"/>
  <c r="G30" i="44" s="1"/>
  <c r="H30" i="44" s="1"/>
  <c r="I30" i="44" s="1"/>
  <c r="J30" i="44" s="1"/>
  <c r="K30" i="44" s="1"/>
  <c r="L30" i="44" s="1"/>
  <c r="M30" i="44" s="1"/>
  <c r="N30" i="44" s="1"/>
  <c r="O30" i="44" s="1"/>
  <c r="P30" i="44" s="1"/>
  <c r="Q30" i="44" s="1"/>
  <c r="R30" i="44" s="1"/>
  <c r="S30" i="44" s="1"/>
  <c r="T30" i="44" s="1"/>
  <c r="U30" i="44" s="1"/>
  <c r="V30" i="44" s="1"/>
  <c r="C30" i="44"/>
  <c r="A30" i="44"/>
  <c r="Q24" i="44"/>
  <c r="R24" i="44" s="1"/>
  <c r="S24" i="44" s="1"/>
  <c r="T24" i="44" s="1"/>
  <c r="U24" i="44" s="1"/>
  <c r="V24" i="44" s="1"/>
  <c r="O24" i="44"/>
  <c r="P24" i="44" s="1"/>
  <c r="M24" i="44"/>
  <c r="N24" i="44" s="1"/>
  <c r="K24" i="44"/>
  <c r="L24" i="44" s="1"/>
  <c r="I24" i="44"/>
  <c r="G24" i="44"/>
  <c r="H24" i="44" s="1"/>
  <c r="E24" i="44"/>
  <c r="C24" i="44"/>
  <c r="A24" i="44"/>
  <c r="Q23" i="44"/>
  <c r="R23" i="44" s="1"/>
  <c r="S23" i="44" s="1"/>
  <c r="T23" i="44" s="1"/>
  <c r="U23" i="44" s="1"/>
  <c r="O23" i="44"/>
  <c r="P23" i="44" s="1"/>
  <c r="M23" i="44"/>
  <c r="N23" i="44" s="1"/>
  <c r="K23" i="44"/>
  <c r="L23" i="44" s="1"/>
  <c r="I23" i="44"/>
  <c r="G23" i="44"/>
  <c r="H23" i="44" s="1"/>
  <c r="E23" i="44"/>
  <c r="F23" i="44" s="1"/>
  <c r="C23" i="44"/>
  <c r="D23" i="44" s="1"/>
  <c r="A23" i="44"/>
  <c r="Q22" i="44"/>
  <c r="R22" i="44" s="1"/>
  <c r="S22" i="44" s="1"/>
  <c r="T22" i="44" s="1"/>
  <c r="U22" i="44" s="1"/>
  <c r="O22" i="44"/>
  <c r="M22" i="44"/>
  <c r="N22" i="44" s="1"/>
  <c r="K22" i="44"/>
  <c r="I22" i="44"/>
  <c r="J22" i="44" s="1"/>
  <c r="G22" i="44"/>
  <c r="H22" i="44" s="1"/>
  <c r="E22" i="44"/>
  <c r="F22" i="44" s="1"/>
  <c r="C22" i="44"/>
  <c r="D22" i="44" s="1"/>
  <c r="A22" i="44"/>
  <c r="Q21" i="44"/>
  <c r="R21" i="44" s="1"/>
  <c r="S21" i="44" s="1"/>
  <c r="T21" i="44" s="1"/>
  <c r="U21" i="44" s="1"/>
  <c r="V21" i="44" s="1"/>
  <c r="O21" i="44"/>
  <c r="M21" i="44"/>
  <c r="K21" i="44"/>
  <c r="L21" i="44" s="1"/>
  <c r="I21" i="44"/>
  <c r="G21" i="44"/>
  <c r="H21" i="44" s="1"/>
  <c r="E21" i="44"/>
  <c r="F21" i="44" s="1"/>
  <c r="C21" i="44"/>
  <c r="D21" i="44" s="1"/>
  <c r="A21" i="44"/>
  <c r="Q20" i="44"/>
  <c r="R20" i="44" s="1"/>
  <c r="S20" i="44" s="1"/>
  <c r="T20" i="44" s="1"/>
  <c r="U20" i="44" s="1"/>
  <c r="O20" i="44"/>
  <c r="P20" i="44" s="1"/>
  <c r="M20" i="44"/>
  <c r="N20" i="44" s="1"/>
  <c r="L20" i="44"/>
  <c r="K20" i="44"/>
  <c r="I20" i="44"/>
  <c r="G20" i="44"/>
  <c r="H20" i="44" s="1"/>
  <c r="E20" i="44"/>
  <c r="C20" i="44"/>
  <c r="D20" i="44" s="1"/>
  <c r="A20" i="44"/>
  <c r="Q19" i="44"/>
  <c r="R19" i="44" s="1"/>
  <c r="S19" i="44" s="1"/>
  <c r="T19" i="44" s="1"/>
  <c r="U19" i="44" s="1"/>
  <c r="V19" i="44" s="1"/>
  <c r="O19" i="44"/>
  <c r="P19" i="44" s="1"/>
  <c r="M19" i="44"/>
  <c r="N19" i="44" s="1"/>
  <c r="K19" i="44"/>
  <c r="L19" i="44" s="1"/>
  <c r="I19" i="44"/>
  <c r="J19" i="44" s="1"/>
  <c r="G19" i="44"/>
  <c r="E19" i="44"/>
  <c r="F19" i="44" s="1"/>
  <c r="C19" i="44"/>
  <c r="A19" i="44"/>
  <c r="Q18" i="44"/>
  <c r="R18" i="44" s="1"/>
  <c r="S18" i="44" s="1"/>
  <c r="T18" i="44" s="1"/>
  <c r="U18" i="44" s="1"/>
  <c r="O18" i="44"/>
  <c r="P18" i="44" s="1"/>
  <c r="M18" i="44"/>
  <c r="N18" i="44" s="1"/>
  <c r="K18" i="44"/>
  <c r="L18" i="44" s="1"/>
  <c r="I18" i="44"/>
  <c r="H18" i="44" s="1"/>
  <c r="G18" i="44"/>
  <c r="F18" i="44"/>
  <c r="E18" i="44"/>
  <c r="C18" i="44"/>
  <c r="A18" i="44"/>
  <c r="Q17" i="44"/>
  <c r="R17" i="44" s="1"/>
  <c r="S17" i="44" s="1"/>
  <c r="T17" i="44" s="1"/>
  <c r="U17" i="44" s="1"/>
  <c r="O17" i="44"/>
  <c r="P17" i="44" s="1"/>
  <c r="M17" i="44"/>
  <c r="N17" i="44" s="1"/>
  <c r="K17" i="44"/>
  <c r="L17" i="44" s="1"/>
  <c r="I17" i="44"/>
  <c r="J17" i="44" s="1"/>
  <c r="G17" i="44"/>
  <c r="H17" i="44" s="1"/>
  <c r="E17" i="44"/>
  <c r="F17" i="44" s="1"/>
  <c r="C17" i="44"/>
  <c r="A17" i="44"/>
  <c r="A16" i="44"/>
  <c r="A15" i="44"/>
  <c r="A14" i="44"/>
  <c r="Q13" i="44"/>
  <c r="R13" i="44" s="1"/>
  <c r="S13" i="44" s="1"/>
  <c r="T13" i="44" s="1"/>
  <c r="U13" i="44" s="1"/>
  <c r="O13" i="44"/>
  <c r="P13" i="44" s="1"/>
  <c r="M13" i="44"/>
  <c r="N13" i="44" s="1"/>
  <c r="K13" i="44"/>
  <c r="L13" i="44" s="1"/>
  <c r="I13" i="44"/>
  <c r="G13" i="44"/>
  <c r="E13" i="44"/>
  <c r="F13" i="44" s="1"/>
  <c r="C13" i="44"/>
  <c r="A13" i="44"/>
  <c r="A12" i="44"/>
  <c r="A11" i="44"/>
  <c r="C10" i="44"/>
  <c r="D10" i="44" s="1"/>
  <c r="A10" i="44"/>
  <c r="C9" i="44"/>
  <c r="A9" i="44"/>
  <c r="J8" i="44"/>
  <c r="K8" i="44" s="1"/>
  <c r="L8" i="44" s="1"/>
  <c r="M8" i="44" s="1"/>
  <c r="N8" i="44" s="1"/>
  <c r="O8" i="44" s="1"/>
  <c r="P8" i="44" s="1"/>
  <c r="Q8" i="44" s="1"/>
  <c r="R8" i="44" s="1"/>
  <c r="S8" i="44" s="1"/>
  <c r="T8" i="44" s="1"/>
  <c r="U8" i="44" s="1"/>
  <c r="V8" i="44" s="1"/>
  <c r="C8" i="44"/>
  <c r="D8" i="44" s="1"/>
  <c r="E8" i="44" s="1"/>
  <c r="F8" i="44" s="1"/>
  <c r="G8" i="44" s="1"/>
  <c r="H8" i="44" s="1"/>
  <c r="I8" i="44" s="1"/>
  <c r="A8" i="44"/>
  <c r="C7" i="44"/>
  <c r="D7" i="44" s="1"/>
  <c r="E7" i="44" s="1"/>
  <c r="F7" i="44" s="1"/>
  <c r="G7" i="44" s="1"/>
  <c r="H7" i="44" s="1"/>
  <c r="I7" i="44" s="1"/>
  <c r="J7" i="44" s="1"/>
  <c r="K7" i="44" s="1"/>
  <c r="L7" i="44" s="1"/>
  <c r="M7" i="44" s="1"/>
  <c r="N7" i="44" s="1"/>
  <c r="O7" i="44" s="1"/>
  <c r="P7" i="44" s="1"/>
  <c r="Q7" i="44" s="1"/>
  <c r="R7" i="44" s="1"/>
  <c r="S7" i="44" s="1"/>
  <c r="T7" i="44" s="1"/>
  <c r="U7" i="44" s="1"/>
  <c r="V7" i="44" s="1"/>
  <c r="A7" i="44"/>
  <c r="C6" i="44"/>
  <c r="D6" i="44" s="1"/>
  <c r="E6" i="44" s="1"/>
  <c r="F6" i="44" s="1"/>
  <c r="G6" i="44" s="1"/>
  <c r="H6" i="44" s="1"/>
  <c r="I6" i="44" s="1"/>
  <c r="J6" i="44" s="1"/>
  <c r="K6" i="44" s="1"/>
  <c r="L6" i="44" s="1"/>
  <c r="M6" i="44" s="1"/>
  <c r="N6" i="44" s="1"/>
  <c r="O6" i="44" s="1"/>
  <c r="P6" i="44" s="1"/>
  <c r="Q6" i="44" s="1"/>
  <c r="R6" i="44" s="1"/>
  <c r="S6" i="44" s="1"/>
  <c r="T6" i="44" s="1"/>
  <c r="U6" i="44" s="1"/>
  <c r="V6" i="44" s="1"/>
  <c r="A6" i="44"/>
  <c r="C5" i="44"/>
  <c r="D5" i="44" s="1"/>
  <c r="E5" i="44" s="1"/>
  <c r="F5" i="44" s="1"/>
  <c r="G5" i="44" s="1"/>
  <c r="H5" i="44" s="1"/>
  <c r="I5" i="44" s="1"/>
  <c r="J5" i="44" s="1"/>
  <c r="K5" i="44" s="1"/>
  <c r="L5" i="44" s="1"/>
  <c r="M5" i="44" s="1"/>
  <c r="N5" i="44" s="1"/>
  <c r="O5" i="44" s="1"/>
  <c r="P5" i="44" s="1"/>
  <c r="Q5" i="44" s="1"/>
  <c r="R5" i="44" s="1"/>
  <c r="S5" i="44" s="1"/>
  <c r="T5" i="44" s="1"/>
  <c r="U5" i="44" s="1"/>
  <c r="V5" i="44" s="1"/>
  <c r="A5" i="44"/>
  <c r="C4" i="44"/>
  <c r="D4" i="44" s="1"/>
  <c r="E4" i="44" s="1"/>
  <c r="F4" i="44" s="1"/>
  <c r="G4" i="44" s="1"/>
  <c r="H4" i="44" s="1"/>
  <c r="I4" i="44" s="1"/>
  <c r="J4" i="44" s="1"/>
  <c r="K4" i="44" s="1"/>
  <c r="L4" i="44" s="1"/>
  <c r="M4" i="44" s="1"/>
  <c r="N4" i="44" s="1"/>
  <c r="O4" i="44" s="1"/>
  <c r="P4" i="44" s="1"/>
  <c r="Q4" i="44" s="1"/>
  <c r="R4" i="44" s="1"/>
  <c r="S4" i="44" s="1"/>
  <c r="T4" i="44" s="1"/>
  <c r="U4" i="44" s="1"/>
  <c r="V4" i="44" s="1"/>
  <c r="A4" i="44"/>
  <c r="B121" i="43"/>
  <c r="N124" i="44" l="1"/>
  <c r="L46" i="44" s="1"/>
  <c r="C66" i="44"/>
  <c r="I123" i="44"/>
  <c r="G45" i="44" s="1"/>
  <c r="B22" i="44"/>
  <c r="J123" i="44"/>
  <c r="H45" i="44" s="1"/>
  <c r="R124" i="44"/>
  <c r="P46" i="44" s="1"/>
  <c r="C122" i="44"/>
  <c r="W125" i="44"/>
  <c r="P124" i="44"/>
  <c r="N46" i="44" s="1"/>
  <c r="K123" i="44"/>
  <c r="I45" i="44" s="1"/>
  <c r="D122" i="44"/>
  <c r="B44" i="44" s="1"/>
  <c r="L123" i="44"/>
  <c r="J45" i="44" s="1"/>
  <c r="C125" i="44"/>
  <c r="D13" i="44"/>
  <c r="D19" i="44"/>
  <c r="J21" i="44"/>
  <c r="F122" i="44"/>
  <c r="D44" i="44" s="1"/>
  <c r="M123" i="44"/>
  <c r="K45" i="44" s="1"/>
  <c r="E125" i="44"/>
  <c r="C47" i="44" s="1"/>
  <c r="H122" i="44"/>
  <c r="F44" i="44" s="1"/>
  <c r="N123" i="44"/>
  <c r="L45" i="44" s="1"/>
  <c r="F125" i="44"/>
  <c r="D47" i="44" s="1"/>
  <c r="P126" i="44"/>
  <c r="N48" i="44" s="1"/>
  <c r="H13" i="44"/>
  <c r="D18" i="44"/>
  <c r="J20" i="44"/>
  <c r="N21" i="44"/>
  <c r="P22" i="44"/>
  <c r="D24" i="44"/>
  <c r="P122" i="44"/>
  <c r="N44" i="44" s="1"/>
  <c r="O123" i="44"/>
  <c r="M45" i="44" s="1"/>
  <c r="G125" i="44"/>
  <c r="E47" i="44" s="1"/>
  <c r="R126" i="44"/>
  <c r="P48" i="44" s="1"/>
  <c r="B13" i="44"/>
  <c r="B23" i="44"/>
  <c r="U125" i="44"/>
  <c r="J13" i="44"/>
  <c r="D17" i="44"/>
  <c r="P21" i="44"/>
  <c r="F24" i="44"/>
  <c r="W123" i="44"/>
  <c r="B17" i="44"/>
  <c r="W31" i="44"/>
  <c r="W34" i="44"/>
  <c r="D66" i="44"/>
  <c r="E10" i="44"/>
  <c r="W35" i="44"/>
  <c r="W33" i="44"/>
  <c r="W36" i="44"/>
  <c r="W7" i="44"/>
  <c r="V23" i="44"/>
  <c r="W32" i="44"/>
  <c r="W5" i="44"/>
  <c r="W30" i="44"/>
  <c r="W4" i="44"/>
  <c r="W6" i="44"/>
  <c r="V18" i="44"/>
  <c r="W8" i="44"/>
  <c r="V20" i="44"/>
  <c r="V17" i="44"/>
  <c r="V22" i="44"/>
  <c r="U124" i="44"/>
  <c r="I124" i="44"/>
  <c r="G46" i="44" s="1"/>
  <c r="S124" i="44"/>
  <c r="Q46" i="44" s="1"/>
  <c r="R46" i="44" s="1"/>
  <c r="S46" i="44" s="1"/>
  <c r="T46" i="44" s="1"/>
  <c r="U46" i="44" s="1"/>
  <c r="V46" i="44" s="1"/>
  <c r="G124" i="44"/>
  <c r="E46" i="44" s="1"/>
  <c r="M124" i="44"/>
  <c r="K46" i="44" s="1"/>
  <c r="E124" i="44"/>
  <c r="C46" i="44" s="1"/>
  <c r="L124" i="44"/>
  <c r="J46" i="44" s="1"/>
  <c r="K124" i="44"/>
  <c r="I46" i="44" s="1"/>
  <c r="W124" i="44"/>
  <c r="H124" i="44"/>
  <c r="F46" i="44" s="1"/>
  <c r="V124" i="44"/>
  <c r="F124" i="44"/>
  <c r="D46" i="44" s="1"/>
  <c r="J124" i="44"/>
  <c r="H46" i="44" s="1"/>
  <c r="T124" i="44"/>
  <c r="C126" i="44"/>
  <c r="C124" i="44"/>
  <c r="W126" i="44"/>
  <c r="K126" i="44"/>
  <c r="I48" i="44" s="1"/>
  <c r="U126" i="44"/>
  <c r="I126" i="44"/>
  <c r="G48" i="44" s="1"/>
  <c r="T126" i="44"/>
  <c r="H126" i="44"/>
  <c r="F48" i="44" s="1"/>
  <c r="M126" i="44"/>
  <c r="K48" i="44" s="1"/>
  <c r="L126" i="44"/>
  <c r="J48" i="44" s="1"/>
  <c r="F126" i="44"/>
  <c r="D48" i="44" s="1"/>
  <c r="V126" i="44"/>
  <c r="J126" i="44"/>
  <c r="H48" i="44" s="1"/>
  <c r="D126" i="44"/>
  <c r="B48" i="44" s="1"/>
  <c r="G126" i="44"/>
  <c r="E48" i="44" s="1"/>
  <c r="E126" i="44"/>
  <c r="C48" i="44" s="1"/>
  <c r="S126" i="44"/>
  <c r="Q48" i="44" s="1"/>
  <c r="R48" i="44" s="1"/>
  <c r="S48" i="44" s="1"/>
  <c r="T48" i="44" s="1"/>
  <c r="U48" i="44" s="1"/>
  <c r="V48" i="44" s="1"/>
  <c r="V13" i="44"/>
  <c r="D9" i="44"/>
  <c r="C65" i="44"/>
  <c r="D124" i="44"/>
  <c r="B46" i="44" s="1"/>
  <c r="O126" i="44"/>
  <c r="M48" i="44" s="1"/>
  <c r="J18" i="44"/>
  <c r="L22" i="44"/>
  <c r="J23" i="44"/>
  <c r="D39" i="44"/>
  <c r="S122" i="44"/>
  <c r="Q44" i="44" s="1"/>
  <c r="R44" i="44" s="1"/>
  <c r="S44" i="44" s="1"/>
  <c r="T44" i="44" s="1"/>
  <c r="U44" i="44" s="1"/>
  <c r="V44" i="44" s="1"/>
  <c r="G122" i="44"/>
  <c r="E44" i="44" s="1"/>
  <c r="Q122" i="44"/>
  <c r="O44" i="44" s="1"/>
  <c r="E122" i="44"/>
  <c r="C44" i="44" s="1"/>
  <c r="O122" i="44"/>
  <c r="M44" i="44" s="1"/>
  <c r="N122" i="44"/>
  <c r="L44" i="44" s="1"/>
  <c r="J122" i="44"/>
  <c r="H44" i="44" s="1"/>
  <c r="M122" i="44"/>
  <c r="K44" i="44" s="1"/>
  <c r="K122" i="44"/>
  <c r="I44" i="44" s="1"/>
  <c r="W122" i="44"/>
  <c r="I122" i="44"/>
  <c r="G44" i="44" s="1"/>
  <c r="L122" i="44"/>
  <c r="J44" i="44" s="1"/>
  <c r="O124" i="44"/>
  <c r="M46" i="44" s="1"/>
  <c r="Q126" i="44"/>
  <c r="O48" i="44" s="1"/>
  <c r="S121" i="44"/>
  <c r="Q43" i="44" s="1"/>
  <c r="R43" i="44" s="1"/>
  <c r="S43" i="44" s="1"/>
  <c r="T43" i="44" s="1"/>
  <c r="U43" i="44" s="1"/>
  <c r="V43" i="44" s="1"/>
  <c r="G121" i="44"/>
  <c r="E43" i="44" s="1"/>
  <c r="C123" i="44"/>
  <c r="R121" i="44"/>
  <c r="P43" i="44" s="1"/>
  <c r="F121" i="44"/>
  <c r="D43" i="44" s="1"/>
  <c r="P121" i="44"/>
  <c r="N43" i="44" s="1"/>
  <c r="D121" i="44"/>
  <c r="B43" i="44" s="1"/>
  <c r="Q121" i="44"/>
  <c r="O43" i="44" s="1"/>
  <c r="C121" i="44"/>
  <c r="E121" i="44"/>
  <c r="C43" i="44" s="1"/>
  <c r="T121" i="44"/>
  <c r="T123" i="44"/>
  <c r="H123" i="44"/>
  <c r="F45" i="44" s="1"/>
  <c r="R123" i="44"/>
  <c r="P45" i="44" s="1"/>
  <c r="F123" i="44"/>
  <c r="D45" i="44" s="1"/>
  <c r="P123" i="44"/>
  <c r="N45" i="44" s="1"/>
  <c r="F20" i="44"/>
  <c r="J24" i="44"/>
  <c r="H121" i="44"/>
  <c r="F43" i="44" s="1"/>
  <c r="V121" i="44"/>
  <c r="D123" i="44"/>
  <c r="B45" i="44" s="1"/>
  <c r="S123" i="44"/>
  <c r="Q45" i="44" s="1"/>
  <c r="R45" i="44" s="1"/>
  <c r="S45" i="44" s="1"/>
  <c r="T45" i="44" s="1"/>
  <c r="U45" i="44" s="1"/>
  <c r="V45" i="44" s="1"/>
  <c r="V125" i="44"/>
  <c r="J125" i="44"/>
  <c r="H47" i="44" s="1"/>
  <c r="T125" i="44"/>
  <c r="H125" i="44"/>
  <c r="F47" i="44" s="1"/>
  <c r="S125" i="44"/>
  <c r="Q47" i="44" s="1"/>
  <c r="R47" i="44" s="1"/>
  <c r="S47" i="44" s="1"/>
  <c r="T47" i="44" s="1"/>
  <c r="U47" i="44" s="1"/>
  <c r="V47" i="44" s="1"/>
  <c r="P125" i="44"/>
  <c r="N47" i="44" s="1"/>
  <c r="W128" i="44"/>
  <c r="K128" i="44"/>
  <c r="I50" i="44" s="1"/>
  <c r="V128" i="44"/>
  <c r="U128" i="44"/>
  <c r="I128" i="44"/>
  <c r="G50" i="44" s="1"/>
  <c r="H128" i="44"/>
  <c r="F50" i="44" s="1"/>
  <c r="T128" i="44"/>
  <c r="Q128" i="44"/>
  <c r="O50" i="44" s="1"/>
  <c r="I121" i="44"/>
  <c r="G43" i="44" s="1"/>
  <c r="W121" i="44"/>
  <c r="E123" i="44"/>
  <c r="C45" i="44" s="1"/>
  <c r="U123" i="44"/>
  <c r="R128" i="44"/>
  <c r="P50" i="44" s="1"/>
  <c r="H19" i="44"/>
  <c r="J121" i="44"/>
  <c r="H43" i="44" s="1"/>
  <c r="G123" i="44"/>
  <c r="E45" i="44" s="1"/>
  <c r="V123" i="44"/>
  <c r="D125" i="44"/>
  <c r="B47" i="44" s="1"/>
  <c r="R125" i="44"/>
  <c r="P47" i="44" s="1"/>
  <c r="D128" i="44"/>
  <c r="B50" i="44" s="1"/>
  <c r="S128" i="44"/>
  <c r="Q50" i="44" s="1"/>
  <c r="R50" i="44" s="1"/>
  <c r="S50" i="44" s="1"/>
  <c r="T50" i="44" s="1"/>
  <c r="U50" i="44" s="1"/>
  <c r="V50" i="44" s="1"/>
  <c r="J11" i="4"/>
  <c r="J12" i="4"/>
  <c r="A50" i="43"/>
  <c r="A24" i="43"/>
  <c r="G2" i="41" a="1"/>
  <c r="G2" i="41" s="1"/>
  <c r="A13" i="41"/>
  <c r="B13" i="41"/>
  <c r="C13" i="41"/>
  <c r="A14" i="41"/>
  <c r="B14" i="41"/>
  <c r="C14" i="41"/>
  <c r="A15" i="41"/>
  <c r="B15" i="41"/>
  <c r="C15" i="41"/>
  <c r="A16" i="41"/>
  <c r="B16" i="41"/>
  <c r="C16" i="41"/>
  <c r="A17" i="41"/>
  <c r="B17" i="41"/>
  <c r="C17" i="41"/>
  <c r="A18" i="41"/>
  <c r="B18" i="41"/>
  <c r="C18" i="41"/>
  <c r="A19" i="41"/>
  <c r="B19" i="41"/>
  <c r="C19" i="41"/>
  <c r="A20" i="41"/>
  <c r="B20" i="41"/>
  <c r="C20" i="41"/>
  <c r="A21" i="41"/>
  <c r="B21" i="41"/>
  <c r="C21" i="41"/>
  <c r="A22" i="41"/>
  <c r="B22" i="41"/>
  <c r="C22" i="41"/>
  <c r="A23" i="41"/>
  <c r="B23" i="41"/>
  <c r="C23" i="41"/>
  <c r="B12" i="41"/>
  <c r="C12" i="41"/>
  <c r="A4" i="41"/>
  <c r="A5" i="41"/>
  <c r="A6" i="41"/>
  <c r="A7" i="41"/>
  <c r="A8" i="41"/>
  <c r="A9" i="41"/>
  <c r="A10" i="41"/>
  <c r="A11" i="41"/>
  <c r="A12" i="41"/>
  <c r="F10" i="44" l="1"/>
  <c r="E66" i="44"/>
  <c r="D65" i="44"/>
  <c r="E9" i="44"/>
  <c r="AF2" i="41"/>
  <c r="AD2" i="41"/>
  <c r="AB2" i="41"/>
  <c r="Z2" i="41"/>
  <c r="X2" i="41"/>
  <c r="V2" i="41"/>
  <c r="T2" i="41"/>
  <c r="R2" i="41"/>
  <c r="P2" i="41"/>
  <c r="N2" i="41"/>
  <c r="L2" i="41"/>
  <c r="J2" i="41"/>
  <c r="H2" i="41"/>
  <c r="AG2" i="41"/>
  <c r="AE2" i="41"/>
  <c r="AC2" i="41"/>
  <c r="AA2" i="41"/>
  <c r="Y2" i="41"/>
  <c r="W2" i="41"/>
  <c r="U2" i="41"/>
  <c r="S2" i="41"/>
  <c r="Q2" i="41"/>
  <c r="O2" i="41"/>
  <c r="M2" i="41"/>
  <c r="K2" i="41"/>
  <c r="I2" i="41"/>
  <c r="F9" i="44" l="1"/>
  <c r="E65" i="44"/>
  <c r="G10" i="44"/>
  <c r="F66" i="44"/>
  <c r="B122" i="43"/>
  <c r="B123" i="43"/>
  <c r="B124" i="43"/>
  <c r="B125" i="43"/>
  <c r="B126" i="43"/>
  <c r="B128" i="43"/>
  <c r="A128" i="43"/>
  <c r="Z66" i="40"/>
  <c r="Z67" i="40"/>
  <c r="Z68" i="40"/>
  <c r="Z69" i="40"/>
  <c r="Z70" i="40"/>
  <c r="Z71" i="40"/>
  <c r="Z72" i="40"/>
  <c r="Z73" i="40"/>
  <c r="Z65" i="40"/>
  <c r="AE29" i="40"/>
  <c r="AE30" i="40"/>
  <c r="AE31" i="40"/>
  <c r="H10" i="44" l="1"/>
  <c r="G66" i="44"/>
  <c r="F65" i="44"/>
  <c r="G9" i="44"/>
  <c r="R17" i="43"/>
  <c r="P17" i="43"/>
  <c r="N17" i="43"/>
  <c r="L17" i="43"/>
  <c r="J17" i="43"/>
  <c r="H17" i="43"/>
  <c r="F17" i="43"/>
  <c r="D17" i="43"/>
  <c r="B17" i="43"/>
  <c r="B8" i="41"/>
  <c r="C8" i="41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H9" i="44" l="1"/>
  <c r="G65" i="44"/>
  <c r="I10" i="44"/>
  <c r="H66" i="44"/>
  <c r="R39" i="43"/>
  <c r="P39" i="43"/>
  <c r="N39" i="43"/>
  <c r="L39" i="43"/>
  <c r="J39" i="43"/>
  <c r="H39" i="43"/>
  <c r="F39" i="43"/>
  <c r="D39" i="43"/>
  <c r="B39" i="43"/>
  <c r="R24" i="43"/>
  <c r="P24" i="43"/>
  <c r="N24" i="43"/>
  <c r="L24" i="43"/>
  <c r="J24" i="43"/>
  <c r="H24" i="43"/>
  <c r="F24" i="43"/>
  <c r="D24" i="43"/>
  <c r="B24" i="43"/>
  <c r="R23" i="43"/>
  <c r="P23" i="43"/>
  <c r="N23" i="43"/>
  <c r="L23" i="43"/>
  <c r="J23" i="43"/>
  <c r="H23" i="43"/>
  <c r="F23" i="43"/>
  <c r="D23" i="43"/>
  <c r="B23" i="43"/>
  <c r="R22" i="43"/>
  <c r="P22" i="43"/>
  <c r="N22" i="43"/>
  <c r="L22" i="43"/>
  <c r="J22" i="43"/>
  <c r="H22" i="43"/>
  <c r="F22" i="43"/>
  <c r="D22" i="43"/>
  <c r="B22" i="43"/>
  <c r="R21" i="43"/>
  <c r="P21" i="43"/>
  <c r="N21" i="43"/>
  <c r="L21" i="43"/>
  <c r="J21" i="43"/>
  <c r="H21" i="43"/>
  <c r="F21" i="43"/>
  <c r="D21" i="43"/>
  <c r="B21" i="43"/>
  <c r="R20" i="43"/>
  <c r="P20" i="43"/>
  <c r="N20" i="43"/>
  <c r="L20" i="43"/>
  <c r="J20" i="43"/>
  <c r="H20" i="43"/>
  <c r="F20" i="43"/>
  <c r="D20" i="43"/>
  <c r="B20" i="43"/>
  <c r="R19" i="43"/>
  <c r="P19" i="43"/>
  <c r="N19" i="43"/>
  <c r="L19" i="43"/>
  <c r="J19" i="43"/>
  <c r="H19" i="43"/>
  <c r="F19" i="43"/>
  <c r="D19" i="43"/>
  <c r="B19" i="43"/>
  <c r="R18" i="43"/>
  <c r="P18" i="43"/>
  <c r="N18" i="43"/>
  <c r="L18" i="43"/>
  <c r="J18" i="43"/>
  <c r="H18" i="43"/>
  <c r="F18" i="43"/>
  <c r="D18" i="43"/>
  <c r="B18" i="43"/>
  <c r="R13" i="43"/>
  <c r="P13" i="43"/>
  <c r="N13" i="43"/>
  <c r="L13" i="43"/>
  <c r="J13" i="43"/>
  <c r="H13" i="43"/>
  <c r="F13" i="43"/>
  <c r="D13" i="43"/>
  <c r="B13" i="43"/>
  <c r="AB3" i="40"/>
  <c r="AC3" i="40"/>
  <c r="AF3" i="40"/>
  <c r="AG3" i="40"/>
  <c r="AD3" i="40"/>
  <c r="Y3" i="40"/>
  <c r="X3" i="40"/>
  <c r="W3" i="40"/>
  <c r="V3" i="40"/>
  <c r="U3" i="40"/>
  <c r="T3" i="40"/>
  <c r="S3" i="40"/>
  <c r="R3" i="40"/>
  <c r="Q3" i="40"/>
  <c r="P3" i="40"/>
  <c r="O3" i="40"/>
  <c r="O44" i="40" s="1"/>
  <c r="F44" i="40" s="1"/>
  <c r="N3" i="40"/>
  <c r="N21" i="40" s="1"/>
  <c r="F21" i="40" s="1"/>
  <c r="M3" i="40"/>
  <c r="M20" i="40" s="1"/>
  <c r="F20" i="40" s="1"/>
  <c r="L3" i="40"/>
  <c r="L19" i="40" s="1"/>
  <c r="F19" i="40" s="1"/>
  <c r="K3" i="40"/>
  <c r="J3" i="40"/>
  <c r="I3" i="40"/>
  <c r="H3" i="40"/>
  <c r="G3" i="40"/>
  <c r="F4" i="17"/>
  <c r="F5" i="17"/>
  <c r="F3" i="17"/>
  <c r="B27" i="17"/>
  <c r="C27" i="17"/>
  <c r="D27" i="17"/>
  <c r="E27" i="17"/>
  <c r="J10" i="44" l="1"/>
  <c r="I66" i="44"/>
  <c r="I9" i="44"/>
  <c r="H65" i="44"/>
  <c r="Q75" i="40"/>
  <c r="F75" i="40" s="1"/>
  <c r="Q74" i="40"/>
  <c r="F74" i="40" s="1"/>
  <c r="R76" i="40"/>
  <c r="R77" i="40"/>
  <c r="X77" i="40"/>
  <c r="X76" i="40"/>
  <c r="W58" i="40"/>
  <c r="W60" i="40"/>
  <c r="W62" i="40"/>
  <c r="W64" i="40"/>
  <c r="W57" i="40"/>
  <c r="W59" i="40"/>
  <c r="W61" i="40"/>
  <c r="W63" i="40"/>
  <c r="W56" i="40"/>
  <c r="P73" i="40"/>
  <c r="F73" i="40" s="1"/>
  <c r="D73" i="40" s="1"/>
  <c r="P71" i="40"/>
  <c r="F71" i="40" s="1"/>
  <c r="D71" i="40" s="1"/>
  <c r="P69" i="40"/>
  <c r="F69" i="40" s="1"/>
  <c r="D69" i="40" s="1"/>
  <c r="P67" i="40"/>
  <c r="F67" i="40" s="1"/>
  <c r="D67" i="40" s="1"/>
  <c r="P65" i="40"/>
  <c r="F65" i="40" s="1"/>
  <c r="D65" i="40" s="1"/>
  <c r="P63" i="40"/>
  <c r="F63" i="40" s="1"/>
  <c r="D63" i="40" s="1"/>
  <c r="P61" i="40"/>
  <c r="F61" i="40" s="1"/>
  <c r="D61" i="40" s="1"/>
  <c r="P59" i="40"/>
  <c r="P57" i="40"/>
  <c r="F57" i="40" s="1"/>
  <c r="D57" i="40" s="1"/>
  <c r="P72" i="40"/>
  <c r="F72" i="40" s="1"/>
  <c r="D72" i="40" s="1"/>
  <c r="P70" i="40"/>
  <c r="F70" i="40" s="1"/>
  <c r="D70" i="40" s="1"/>
  <c r="P68" i="40"/>
  <c r="F68" i="40" s="1"/>
  <c r="D68" i="40" s="1"/>
  <c r="P66" i="40"/>
  <c r="F66" i="40" s="1"/>
  <c r="D66" i="40" s="1"/>
  <c r="P64" i="40"/>
  <c r="P62" i="40"/>
  <c r="P60" i="40"/>
  <c r="P58" i="40"/>
  <c r="F58" i="40" s="1"/>
  <c r="D58" i="40" s="1"/>
  <c r="P56" i="40"/>
  <c r="F56" i="40" s="1"/>
  <c r="D56" i="40" s="1"/>
  <c r="H34" i="40"/>
  <c r="F34" i="40" s="1"/>
  <c r="H31" i="40"/>
  <c r="F31" i="40" s="1"/>
  <c r="H29" i="40"/>
  <c r="F29" i="40" s="1"/>
  <c r="H30" i="40"/>
  <c r="F30" i="40" s="1"/>
  <c r="O52" i="40"/>
  <c r="F52" i="40" s="1"/>
  <c r="O53" i="40"/>
  <c r="F53" i="40" s="1"/>
  <c r="O43" i="40"/>
  <c r="F43" i="40" s="1"/>
  <c r="L16" i="40"/>
  <c r="F16" i="40" s="1"/>
  <c r="D16" i="40" s="1"/>
  <c r="M17" i="40"/>
  <c r="F17" i="40" s="1"/>
  <c r="D17" i="40" s="1"/>
  <c r="N18" i="40"/>
  <c r="F18" i="40" s="1"/>
  <c r="D19" i="40"/>
  <c r="D20" i="40"/>
  <c r="Q39" i="43"/>
  <c r="G39" i="43"/>
  <c r="E39" i="43"/>
  <c r="S39" i="43"/>
  <c r="T39" i="43" s="1"/>
  <c r="U39" i="43" s="1"/>
  <c r="V39" i="43" s="1"/>
  <c r="W39" i="43" s="1"/>
  <c r="M39" i="43"/>
  <c r="I39" i="43"/>
  <c r="O39" i="43"/>
  <c r="I24" i="43"/>
  <c r="G24" i="43"/>
  <c r="E24" i="43"/>
  <c r="C24" i="43"/>
  <c r="Q23" i="43"/>
  <c r="O23" i="43"/>
  <c r="M23" i="43"/>
  <c r="I23" i="43"/>
  <c r="G23" i="43"/>
  <c r="E23" i="43"/>
  <c r="C23" i="43"/>
  <c r="S22" i="43"/>
  <c r="T22" i="43" s="1"/>
  <c r="U22" i="43" s="1"/>
  <c r="V22" i="43" s="1"/>
  <c r="W22" i="43" s="1"/>
  <c r="O22" i="43"/>
  <c r="E22" i="43"/>
  <c r="Q21" i="43"/>
  <c r="M21" i="43"/>
  <c r="O20" i="43"/>
  <c r="G20" i="43"/>
  <c r="M19" i="43"/>
  <c r="G17" i="43"/>
  <c r="S24" i="43"/>
  <c r="T24" i="43" s="1"/>
  <c r="U24" i="43" s="1"/>
  <c r="V24" i="43" s="1"/>
  <c r="W24" i="43" s="1"/>
  <c r="Q24" i="43"/>
  <c r="O24" i="43"/>
  <c r="K24" i="43"/>
  <c r="S23" i="43"/>
  <c r="T23" i="43" s="1"/>
  <c r="U23" i="43" s="1"/>
  <c r="V23" i="43" s="1"/>
  <c r="W23" i="43" s="1"/>
  <c r="Q22" i="43"/>
  <c r="K22" i="43"/>
  <c r="G22" i="43"/>
  <c r="C22" i="43"/>
  <c r="O21" i="43"/>
  <c r="K21" i="43"/>
  <c r="I21" i="43"/>
  <c r="E21" i="43"/>
  <c r="C21" i="43"/>
  <c r="S20" i="43"/>
  <c r="T20" i="43" s="1"/>
  <c r="U20" i="43" s="1"/>
  <c r="V20" i="43" s="1"/>
  <c r="W20" i="43" s="1"/>
  <c r="K20" i="43"/>
  <c r="I20" i="43"/>
  <c r="C20" i="43"/>
  <c r="S19" i="43"/>
  <c r="T19" i="43" s="1"/>
  <c r="U19" i="43" s="1"/>
  <c r="V19" i="43" s="1"/>
  <c r="W19" i="43" s="1"/>
  <c r="Q19" i="43"/>
  <c r="I19" i="43"/>
  <c r="G19" i="43"/>
  <c r="E19" i="43"/>
  <c r="C19" i="43"/>
  <c r="S18" i="43"/>
  <c r="T18" i="43" s="1"/>
  <c r="U18" i="43" s="1"/>
  <c r="V18" i="43" s="1"/>
  <c r="W18" i="43" s="1"/>
  <c r="Q18" i="43"/>
  <c r="O18" i="43"/>
  <c r="K18" i="43"/>
  <c r="I18" i="43"/>
  <c r="G18" i="43"/>
  <c r="E18" i="43"/>
  <c r="C18" i="43"/>
  <c r="S17" i="43"/>
  <c r="T17" i="43" s="1"/>
  <c r="U17" i="43" s="1"/>
  <c r="V17" i="43" s="1"/>
  <c r="W17" i="43" s="1"/>
  <c r="Q17" i="43"/>
  <c r="O17" i="43"/>
  <c r="M17" i="43"/>
  <c r="I17" i="43"/>
  <c r="C17" i="43"/>
  <c r="O13" i="43"/>
  <c r="A4" i="43"/>
  <c r="C4" i="43"/>
  <c r="D4" i="43" s="1"/>
  <c r="E4" i="43" s="1"/>
  <c r="F4" i="43" s="1"/>
  <c r="G4" i="43" s="1"/>
  <c r="H4" i="43" s="1"/>
  <c r="I4" i="43" s="1"/>
  <c r="J4" i="43" s="1"/>
  <c r="K4" i="43" s="1"/>
  <c r="L4" i="43" s="1"/>
  <c r="M4" i="43" s="1"/>
  <c r="N4" i="43" s="1"/>
  <c r="O4" i="43" s="1"/>
  <c r="P4" i="43" s="1"/>
  <c r="Q4" i="43" s="1"/>
  <c r="R4" i="43" s="1"/>
  <c r="S4" i="43" s="1"/>
  <c r="T4" i="43" s="1"/>
  <c r="U4" i="43" s="1"/>
  <c r="V4" i="43" s="1"/>
  <c r="A5" i="43"/>
  <c r="C5" i="43"/>
  <c r="D5" i="43" s="1"/>
  <c r="E5" i="43" s="1"/>
  <c r="F5" i="43" s="1"/>
  <c r="G5" i="43" s="1"/>
  <c r="H5" i="43" s="1"/>
  <c r="I5" i="43" s="1"/>
  <c r="J5" i="43" s="1"/>
  <c r="K5" i="43" s="1"/>
  <c r="L5" i="43" s="1"/>
  <c r="M5" i="43" s="1"/>
  <c r="N5" i="43" s="1"/>
  <c r="O5" i="43" s="1"/>
  <c r="P5" i="43" s="1"/>
  <c r="Q5" i="43" s="1"/>
  <c r="R5" i="43" s="1"/>
  <c r="S5" i="43" s="1"/>
  <c r="T5" i="43" s="1"/>
  <c r="U5" i="43" s="1"/>
  <c r="V5" i="43" s="1"/>
  <c r="A6" i="43"/>
  <c r="C6" i="43"/>
  <c r="D6" i="43" s="1"/>
  <c r="E6" i="43" s="1"/>
  <c r="F6" i="43" s="1"/>
  <c r="G6" i="43" s="1"/>
  <c r="H6" i="43" s="1"/>
  <c r="I6" i="43" s="1"/>
  <c r="J6" i="43" s="1"/>
  <c r="K6" i="43" s="1"/>
  <c r="L6" i="43" s="1"/>
  <c r="M6" i="43" s="1"/>
  <c r="N6" i="43" s="1"/>
  <c r="O6" i="43" s="1"/>
  <c r="P6" i="43" s="1"/>
  <c r="Q6" i="43" s="1"/>
  <c r="R6" i="43" s="1"/>
  <c r="S6" i="43" s="1"/>
  <c r="T6" i="43" s="1"/>
  <c r="U6" i="43" s="1"/>
  <c r="V6" i="43" s="1"/>
  <c r="A7" i="43"/>
  <c r="C7" i="43"/>
  <c r="D7" i="43" s="1"/>
  <c r="E7" i="43" s="1"/>
  <c r="F7" i="43" s="1"/>
  <c r="G7" i="43" s="1"/>
  <c r="H7" i="43" s="1"/>
  <c r="I7" i="43" s="1"/>
  <c r="J7" i="43" s="1"/>
  <c r="K7" i="43" s="1"/>
  <c r="L7" i="43" s="1"/>
  <c r="M7" i="43" s="1"/>
  <c r="N7" i="43" s="1"/>
  <c r="O7" i="43" s="1"/>
  <c r="P7" i="43" s="1"/>
  <c r="Q7" i="43" s="1"/>
  <c r="R7" i="43" s="1"/>
  <c r="S7" i="43" s="1"/>
  <c r="T7" i="43" s="1"/>
  <c r="U7" i="43" s="1"/>
  <c r="V7" i="43" s="1"/>
  <c r="A8" i="43"/>
  <c r="C8" i="43"/>
  <c r="D8" i="43" s="1"/>
  <c r="E8" i="43" s="1"/>
  <c r="F8" i="43" s="1"/>
  <c r="G8" i="43" s="1"/>
  <c r="H8" i="43" s="1"/>
  <c r="I8" i="43" s="1"/>
  <c r="J8" i="43" s="1"/>
  <c r="K8" i="43" s="1"/>
  <c r="L8" i="43" s="1"/>
  <c r="M8" i="43" s="1"/>
  <c r="N8" i="43" s="1"/>
  <c r="O8" i="43" s="1"/>
  <c r="P8" i="43" s="1"/>
  <c r="Q8" i="43" s="1"/>
  <c r="R8" i="43" s="1"/>
  <c r="S8" i="43" s="1"/>
  <c r="T8" i="43" s="1"/>
  <c r="U8" i="43" s="1"/>
  <c r="V8" i="43" s="1"/>
  <c r="W8" i="43" s="1"/>
  <c r="A9" i="43"/>
  <c r="C9" i="43"/>
  <c r="D9" i="43" s="1"/>
  <c r="E9" i="43" s="1"/>
  <c r="E65" i="43" s="1"/>
  <c r="A10" i="43"/>
  <c r="C10" i="43"/>
  <c r="C66" i="43" s="1"/>
  <c r="A11" i="43"/>
  <c r="A12" i="43"/>
  <c r="A13" i="43"/>
  <c r="E13" i="43"/>
  <c r="K13" i="43"/>
  <c r="M13" i="43"/>
  <c r="S13" i="43"/>
  <c r="T13" i="43" s="1"/>
  <c r="U13" i="43" s="1"/>
  <c r="V13" i="43" s="1"/>
  <c r="W13" i="43" s="1"/>
  <c r="A14" i="43"/>
  <c r="Z14" i="43"/>
  <c r="Z67" i="43" s="1"/>
  <c r="A15" i="43"/>
  <c r="Z15" i="43"/>
  <c r="AA15" i="43" s="1"/>
  <c r="AB15" i="43" s="1"/>
  <c r="A16" i="43"/>
  <c r="Z16" i="43"/>
  <c r="AA16" i="43" s="1"/>
  <c r="AB16" i="43" s="1"/>
  <c r="A17" i="43"/>
  <c r="A18" i="43"/>
  <c r="A19" i="43"/>
  <c r="A20" i="43"/>
  <c r="A21" i="43"/>
  <c r="A22" i="43"/>
  <c r="A23" i="43"/>
  <c r="A30" i="43"/>
  <c r="C30" i="43"/>
  <c r="D30" i="43" s="1"/>
  <c r="E30" i="43" s="1"/>
  <c r="F30" i="43" s="1"/>
  <c r="G30" i="43" s="1"/>
  <c r="H30" i="43" s="1"/>
  <c r="I30" i="43" s="1"/>
  <c r="J30" i="43" s="1"/>
  <c r="K30" i="43" s="1"/>
  <c r="L30" i="43" s="1"/>
  <c r="M30" i="43" s="1"/>
  <c r="N30" i="43" s="1"/>
  <c r="O30" i="43" s="1"/>
  <c r="P30" i="43" s="1"/>
  <c r="Q30" i="43" s="1"/>
  <c r="R30" i="43" s="1"/>
  <c r="S30" i="43" s="1"/>
  <c r="T30" i="43" s="1"/>
  <c r="U30" i="43" s="1"/>
  <c r="V30" i="43" s="1"/>
  <c r="A31" i="43"/>
  <c r="C31" i="43"/>
  <c r="D31" i="43" s="1"/>
  <c r="E31" i="43" s="1"/>
  <c r="F31" i="43" s="1"/>
  <c r="G31" i="43" s="1"/>
  <c r="H31" i="43" s="1"/>
  <c r="I31" i="43" s="1"/>
  <c r="J31" i="43" s="1"/>
  <c r="K31" i="43" s="1"/>
  <c r="L31" i="43" s="1"/>
  <c r="M31" i="43" s="1"/>
  <c r="N31" i="43" s="1"/>
  <c r="O31" i="43" s="1"/>
  <c r="P31" i="43" s="1"/>
  <c r="Q31" i="43" s="1"/>
  <c r="R31" i="43" s="1"/>
  <c r="S31" i="43" s="1"/>
  <c r="T31" i="43" s="1"/>
  <c r="U31" i="43" s="1"/>
  <c r="V31" i="43" s="1"/>
  <c r="A32" i="43"/>
  <c r="C32" i="43"/>
  <c r="D32" i="43" s="1"/>
  <c r="E32" i="43" s="1"/>
  <c r="F32" i="43" s="1"/>
  <c r="G32" i="43" s="1"/>
  <c r="H32" i="43" s="1"/>
  <c r="I32" i="43" s="1"/>
  <c r="J32" i="43" s="1"/>
  <c r="K32" i="43" s="1"/>
  <c r="L32" i="43" s="1"/>
  <c r="M32" i="43" s="1"/>
  <c r="N32" i="43" s="1"/>
  <c r="O32" i="43" s="1"/>
  <c r="P32" i="43" s="1"/>
  <c r="Q32" i="43" s="1"/>
  <c r="R32" i="43" s="1"/>
  <c r="S32" i="43" s="1"/>
  <c r="T32" i="43" s="1"/>
  <c r="U32" i="43" s="1"/>
  <c r="V32" i="43" s="1"/>
  <c r="A33" i="43"/>
  <c r="C33" i="43"/>
  <c r="D33" i="43" s="1"/>
  <c r="E33" i="43" s="1"/>
  <c r="F33" i="43" s="1"/>
  <c r="G33" i="43" s="1"/>
  <c r="H33" i="43" s="1"/>
  <c r="I33" i="43" s="1"/>
  <c r="J33" i="43" s="1"/>
  <c r="K33" i="43" s="1"/>
  <c r="L33" i="43" s="1"/>
  <c r="M33" i="43" s="1"/>
  <c r="N33" i="43" s="1"/>
  <c r="O33" i="43" s="1"/>
  <c r="P33" i="43" s="1"/>
  <c r="Q33" i="43" s="1"/>
  <c r="R33" i="43" s="1"/>
  <c r="S33" i="43" s="1"/>
  <c r="T33" i="43" s="1"/>
  <c r="U33" i="43" s="1"/>
  <c r="V33" i="43" s="1"/>
  <c r="A34" i="43"/>
  <c r="A112" i="43" s="1"/>
  <c r="C34" i="43"/>
  <c r="D34" i="43" s="1"/>
  <c r="E34" i="43" s="1"/>
  <c r="F34" i="43" s="1"/>
  <c r="G34" i="43" s="1"/>
  <c r="H34" i="43" s="1"/>
  <c r="I34" i="43" s="1"/>
  <c r="J34" i="43" s="1"/>
  <c r="K34" i="43" s="1"/>
  <c r="L34" i="43" s="1"/>
  <c r="M34" i="43" s="1"/>
  <c r="N34" i="43" s="1"/>
  <c r="O34" i="43" s="1"/>
  <c r="P34" i="43" s="1"/>
  <c r="Q34" i="43" s="1"/>
  <c r="R34" i="43" s="1"/>
  <c r="S34" i="43" s="1"/>
  <c r="T34" i="43" s="1"/>
  <c r="U34" i="43" s="1"/>
  <c r="V34" i="43" s="1"/>
  <c r="A35" i="43"/>
  <c r="A113" i="43" s="1"/>
  <c r="C35" i="43"/>
  <c r="D35" i="43" s="1"/>
  <c r="E35" i="43" s="1"/>
  <c r="F35" i="43" s="1"/>
  <c r="G35" i="43" s="1"/>
  <c r="H35" i="43" s="1"/>
  <c r="I35" i="43" s="1"/>
  <c r="J35" i="43" s="1"/>
  <c r="K35" i="43" s="1"/>
  <c r="L35" i="43" s="1"/>
  <c r="M35" i="43" s="1"/>
  <c r="N35" i="43" s="1"/>
  <c r="O35" i="43" s="1"/>
  <c r="P35" i="43" s="1"/>
  <c r="Q35" i="43" s="1"/>
  <c r="R35" i="43" s="1"/>
  <c r="S35" i="43" s="1"/>
  <c r="T35" i="43" s="1"/>
  <c r="U35" i="43" s="1"/>
  <c r="V35" i="43" s="1"/>
  <c r="A36" i="43"/>
  <c r="A114" i="43" s="1"/>
  <c r="C36" i="43"/>
  <c r="D36" i="43" s="1"/>
  <c r="E36" i="43" s="1"/>
  <c r="F36" i="43" s="1"/>
  <c r="G36" i="43" s="1"/>
  <c r="H36" i="43" s="1"/>
  <c r="I36" i="43" s="1"/>
  <c r="J36" i="43" s="1"/>
  <c r="K36" i="43" s="1"/>
  <c r="L36" i="43" s="1"/>
  <c r="M36" i="43" s="1"/>
  <c r="N36" i="43" s="1"/>
  <c r="O36" i="43" s="1"/>
  <c r="P36" i="43" s="1"/>
  <c r="Q36" i="43" s="1"/>
  <c r="R36" i="43" s="1"/>
  <c r="S36" i="43" s="1"/>
  <c r="T36" i="43" s="1"/>
  <c r="U36" i="43" s="1"/>
  <c r="V36" i="43" s="1"/>
  <c r="A37" i="43"/>
  <c r="A115" i="43" s="1"/>
  <c r="A38" i="43"/>
  <c r="A116" i="43" s="1"/>
  <c r="A39" i="43"/>
  <c r="A117" i="43" s="1"/>
  <c r="A40" i="43"/>
  <c r="A118" i="43" s="1"/>
  <c r="A41" i="43"/>
  <c r="A42" i="43"/>
  <c r="A43" i="43"/>
  <c r="A121" i="43" s="1"/>
  <c r="A44" i="43"/>
  <c r="A122" i="43" s="1"/>
  <c r="A45" i="43"/>
  <c r="A123" i="43" s="1"/>
  <c r="A46" i="43"/>
  <c r="A124" i="43" s="1"/>
  <c r="A47" i="43"/>
  <c r="A125" i="43" s="1"/>
  <c r="A48" i="43"/>
  <c r="A126" i="43" s="1"/>
  <c r="A49" i="43"/>
  <c r="A127" i="43" s="1"/>
  <c r="A60" i="43"/>
  <c r="A61" i="43"/>
  <c r="A62" i="43"/>
  <c r="A63" i="43"/>
  <c r="A64" i="43"/>
  <c r="A65" i="43"/>
  <c r="B65" i="43"/>
  <c r="A66" i="43"/>
  <c r="B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90" i="43"/>
  <c r="Z90" i="43"/>
  <c r="AA90" i="43" s="1"/>
  <c r="AB90" i="43" s="1"/>
  <c r="A91" i="43"/>
  <c r="Z91" i="43"/>
  <c r="AA91" i="43" s="1"/>
  <c r="AB91" i="43" s="1"/>
  <c r="A92" i="43"/>
  <c r="Z92" i="43"/>
  <c r="AA92" i="43" s="1"/>
  <c r="AB92" i="43" s="1"/>
  <c r="A93" i="43"/>
  <c r="Z93" i="43"/>
  <c r="AA93" i="43" s="1"/>
  <c r="AB93" i="43" s="1"/>
  <c r="A94" i="43"/>
  <c r="Z94" i="43"/>
  <c r="AA94" i="43" s="1"/>
  <c r="AB94" i="43" s="1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C79" i="42"/>
  <c r="D79" i="42" s="1"/>
  <c r="E79" i="42" s="1"/>
  <c r="F79" i="42" s="1"/>
  <c r="G79" i="42" s="1"/>
  <c r="H79" i="42" s="1"/>
  <c r="I79" i="42" s="1"/>
  <c r="J79" i="42" s="1"/>
  <c r="K79" i="42" s="1"/>
  <c r="L79" i="42" s="1"/>
  <c r="M79" i="42" s="1"/>
  <c r="N79" i="42" s="1"/>
  <c r="O79" i="42" s="1"/>
  <c r="P79" i="42" s="1"/>
  <c r="Q79" i="42" s="1"/>
  <c r="R79" i="42" s="1"/>
  <c r="S79" i="42" s="1"/>
  <c r="T79" i="42" s="1"/>
  <c r="U79" i="42" s="1"/>
  <c r="V79" i="42" s="1"/>
  <c r="C78" i="42"/>
  <c r="D78" i="42" s="1"/>
  <c r="E78" i="42" s="1"/>
  <c r="F78" i="42" s="1"/>
  <c r="G78" i="42" s="1"/>
  <c r="H78" i="42" s="1"/>
  <c r="I78" i="42" s="1"/>
  <c r="J78" i="42" s="1"/>
  <c r="K78" i="42" s="1"/>
  <c r="L78" i="42" s="1"/>
  <c r="M78" i="42" s="1"/>
  <c r="N78" i="42" s="1"/>
  <c r="O78" i="42" s="1"/>
  <c r="P78" i="42" s="1"/>
  <c r="Q78" i="42" s="1"/>
  <c r="R78" i="42" s="1"/>
  <c r="S78" i="42" s="1"/>
  <c r="T78" i="42" s="1"/>
  <c r="U78" i="42" s="1"/>
  <c r="V78" i="42" s="1"/>
  <c r="C77" i="42"/>
  <c r="D77" i="42" s="1"/>
  <c r="E77" i="42" s="1"/>
  <c r="F77" i="42" s="1"/>
  <c r="G77" i="42" s="1"/>
  <c r="H77" i="42" s="1"/>
  <c r="I77" i="42" s="1"/>
  <c r="J77" i="42" s="1"/>
  <c r="K77" i="42" s="1"/>
  <c r="L77" i="42" s="1"/>
  <c r="M77" i="42" s="1"/>
  <c r="N77" i="42" s="1"/>
  <c r="O77" i="42" s="1"/>
  <c r="P77" i="42" s="1"/>
  <c r="Q77" i="42" s="1"/>
  <c r="R77" i="42" s="1"/>
  <c r="S77" i="42" s="1"/>
  <c r="T77" i="42" s="1"/>
  <c r="U77" i="42" s="1"/>
  <c r="V77" i="42" s="1"/>
  <c r="C76" i="42"/>
  <c r="D76" i="42" s="1"/>
  <c r="E76" i="42" s="1"/>
  <c r="F76" i="42" s="1"/>
  <c r="G76" i="42" s="1"/>
  <c r="H76" i="42" s="1"/>
  <c r="I76" i="42" s="1"/>
  <c r="J76" i="42" s="1"/>
  <c r="K76" i="42" s="1"/>
  <c r="L76" i="42" s="1"/>
  <c r="M76" i="42" s="1"/>
  <c r="N76" i="42" s="1"/>
  <c r="O76" i="42" s="1"/>
  <c r="P76" i="42" s="1"/>
  <c r="Q76" i="42" s="1"/>
  <c r="R76" i="42" s="1"/>
  <c r="S76" i="42" s="1"/>
  <c r="T76" i="42" s="1"/>
  <c r="U76" i="42" s="1"/>
  <c r="V76" i="42" s="1"/>
  <c r="C75" i="42"/>
  <c r="D75" i="42" s="1"/>
  <c r="E75" i="42" s="1"/>
  <c r="F75" i="42" s="1"/>
  <c r="G75" i="42" s="1"/>
  <c r="H75" i="42" s="1"/>
  <c r="I75" i="42" s="1"/>
  <c r="J75" i="42" s="1"/>
  <c r="K75" i="42" s="1"/>
  <c r="L75" i="42" s="1"/>
  <c r="M75" i="42" s="1"/>
  <c r="N75" i="42" s="1"/>
  <c r="O75" i="42" s="1"/>
  <c r="P75" i="42" s="1"/>
  <c r="Q75" i="42" s="1"/>
  <c r="R75" i="42" s="1"/>
  <c r="S75" i="42" s="1"/>
  <c r="T75" i="42" s="1"/>
  <c r="U75" i="42" s="1"/>
  <c r="V75" i="42" s="1"/>
  <c r="Y59" i="42"/>
  <c r="W59" i="42"/>
  <c r="V59" i="42"/>
  <c r="U59" i="42"/>
  <c r="T59" i="42"/>
  <c r="S59" i="42"/>
  <c r="R59" i="42"/>
  <c r="Q59" i="42"/>
  <c r="P59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C59" i="42"/>
  <c r="B59" i="42"/>
  <c r="B58" i="42"/>
  <c r="B57" i="42"/>
  <c r="S48" i="42"/>
  <c r="T48" i="42" s="1"/>
  <c r="U48" i="42" s="1"/>
  <c r="V48" i="42" s="1"/>
  <c r="W48" i="42" s="1"/>
  <c r="Y48" i="42" s="1"/>
  <c r="M48" i="42"/>
  <c r="K48" i="42"/>
  <c r="E48" i="42"/>
  <c r="C48" i="42"/>
  <c r="S47" i="42"/>
  <c r="T47" i="42" s="1"/>
  <c r="U47" i="42" s="1"/>
  <c r="V47" i="42" s="1"/>
  <c r="W47" i="42" s="1"/>
  <c r="Y47" i="42" s="1"/>
  <c r="O47" i="42"/>
  <c r="K47" i="42"/>
  <c r="I47" i="42"/>
  <c r="G47" i="42"/>
  <c r="E47" i="42"/>
  <c r="C47" i="42"/>
  <c r="S46" i="42"/>
  <c r="T46" i="42" s="1"/>
  <c r="U46" i="42" s="1"/>
  <c r="V46" i="42" s="1"/>
  <c r="W46" i="42" s="1"/>
  <c r="Y46" i="42" s="1"/>
  <c r="K46" i="42"/>
  <c r="G46" i="42"/>
  <c r="E46" i="42"/>
  <c r="C46" i="42"/>
  <c r="S45" i="42"/>
  <c r="T45" i="42" s="1"/>
  <c r="U45" i="42" s="1"/>
  <c r="V45" i="42" s="1"/>
  <c r="W45" i="42" s="1"/>
  <c r="Y45" i="42" s="1"/>
  <c r="Q45" i="42"/>
  <c r="M45" i="42"/>
  <c r="K45" i="42"/>
  <c r="G45" i="42"/>
  <c r="W44" i="42"/>
  <c r="Y44" i="42" s="1"/>
  <c r="S43" i="42"/>
  <c r="T43" i="42" s="1"/>
  <c r="U43" i="42" s="1"/>
  <c r="V43" i="42" s="1"/>
  <c r="W43" i="42" s="1"/>
  <c r="Y43" i="42" s="1"/>
  <c r="Q43" i="42"/>
  <c r="O43" i="42"/>
  <c r="M43" i="42"/>
  <c r="K43" i="42"/>
  <c r="I43" i="42"/>
  <c r="E43" i="42"/>
  <c r="C43" i="42"/>
  <c r="S42" i="42"/>
  <c r="T42" i="42" s="1"/>
  <c r="U42" i="42" s="1"/>
  <c r="V42" i="42" s="1"/>
  <c r="W42" i="42" s="1"/>
  <c r="Y42" i="42" s="1"/>
  <c r="O42" i="42"/>
  <c r="M42" i="42"/>
  <c r="K42" i="42"/>
  <c r="I42" i="42"/>
  <c r="G42" i="42"/>
  <c r="C42" i="42"/>
  <c r="S37" i="42"/>
  <c r="T37" i="42" s="1"/>
  <c r="U37" i="42" s="1"/>
  <c r="V37" i="42" s="1"/>
  <c r="W37" i="42" s="1"/>
  <c r="Q37" i="42"/>
  <c r="O37" i="42"/>
  <c r="K37" i="42"/>
  <c r="I37" i="42"/>
  <c r="G37" i="42"/>
  <c r="C37" i="42"/>
  <c r="C34" i="42"/>
  <c r="D34" i="42" s="1"/>
  <c r="E34" i="42" s="1"/>
  <c r="F34" i="42" s="1"/>
  <c r="G34" i="42" s="1"/>
  <c r="H34" i="42" s="1"/>
  <c r="I34" i="42" s="1"/>
  <c r="J34" i="42" s="1"/>
  <c r="K34" i="42" s="1"/>
  <c r="L34" i="42" s="1"/>
  <c r="M34" i="42" s="1"/>
  <c r="N34" i="42" s="1"/>
  <c r="O34" i="42" s="1"/>
  <c r="P34" i="42" s="1"/>
  <c r="Q34" i="42" s="1"/>
  <c r="R34" i="42" s="1"/>
  <c r="S34" i="42" s="1"/>
  <c r="T34" i="42" s="1"/>
  <c r="U34" i="42" s="1"/>
  <c r="V34" i="42" s="1"/>
  <c r="C33" i="42"/>
  <c r="D33" i="42" s="1"/>
  <c r="E33" i="42" s="1"/>
  <c r="F33" i="42" s="1"/>
  <c r="G33" i="42" s="1"/>
  <c r="H33" i="42" s="1"/>
  <c r="I33" i="42" s="1"/>
  <c r="J33" i="42" s="1"/>
  <c r="K33" i="42" s="1"/>
  <c r="L33" i="42" s="1"/>
  <c r="M33" i="42" s="1"/>
  <c r="N33" i="42" s="1"/>
  <c r="O33" i="42" s="1"/>
  <c r="P33" i="42" s="1"/>
  <c r="Q33" i="42" s="1"/>
  <c r="R33" i="42" s="1"/>
  <c r="S33" i="42" s="1"/>
  <c r="T33" i="42" s="1"/>
  <c r="U33" i="42" s="1"/>
  <c r="V33" i="42" s="1"/>
  <c r="C32" i="42"/>
  <c r="D32" i="42" s="1"/>
  <c r="E32" i="42" s="1"/>
  <c r="F32" i="42" s="1"/>
  <c r="G32" i="42" s="1"/>
  <c r="H32" i="42" s="1"/>
  <c r="I32" i="42" s="1"/>
  <c r="J32" i="42" s="1"/>
  <c r="K32" i="42" s="1"/>
  <c r="L32" i="42" s="1"/>
  <c r="M32" i="42" s="1"/>
  <c r="N32" i="42" s="1"/>
  <c r="O32" i="42" s="1"/>
  <c r="P32" i="42" s="1"/>
  <c r="Q32" i="42" s="1"/>
  <c r="R32" i="42" s="1"/>
  <c r="S32" i="42" s="1"/>
  <c r="T32" i="42" s="1"/>
  <c r="U32" i="42" s="1"/>
  <c r="V32" i="42" s="1"/>
  <c r="C31" i="42"/>
  <c r="D31" i="42" s="1"/>
  <c r="E31" i="42" s="1"/>
  <c r="F31" i="42" s="1"/>
  <c r="G31" i="42" s="1"/>
  <c r="H31" i="42" s="1"/>
  <c r="I31" i="42" s="1"/>
  <c r="J31" i="42" s="1"/>
  <c r="K31" i="42" s="1"/>
  <c r="L31" i="42" s="1"/>
  <c r="M31" i="42" s="1"/>
  <c r="N31" i="42" s="1"/>
  <c r="O31" i="42" s="1"/>
  <c r="P31" i="42" s="1"/>
  <c r="Q31" i="42" s="1"/>
  <c r="R31" i="42" s="1"/>
  <c r="S31" i="42" s="1"/>
  <c r="T31" i="42" s="1"/>
  <c r="U31" i="42" s="1"/>
  <c r="V31" i="42" s="1"/>
  <c r="C30" i="42"/>
  <c r="D30" i="42" s="1"/>
  <c r="E30" i="42" s="1"/>
  <c r="F30" i="42" s="1"/>
  <c r="G30" i="42" s="1"/>
  <c r="H30" i="42" s="1"/>
  <c r="I30" i="42" s="1"/>
  <c r="J30" i="42" s="1"/>
  <c r="K30" i="42" s="1"/>
  <c r="L30" i="42" s="1"/>
  <c r="M30" i="42" s="1"/>
  <c r="N30" i="42" s="1"/>
  <c r="O30" i="42" s="1"/>
  <c r="P30" i="42" s="1"/>
  <c r="Q30" i="42" s="1"/>
  <c r="R30" i="42" s="1"/>
  <c r="S30" i="42" s="1"/>
  <c r="T30" i="42" s="1"/>
  <c r="U30" i="42" s="1"/>
  <c r="V30" i="42" s="1"/>
  <c r="C29" i="42"/>
  <c r="D29" i="42" s="1"/>
  <c r="E29" i="42" s="1"/>
  <c r="F29" i="42" s="1"/>
  <c r="G29" i="42" s="1"/>
  <c r="H29" i="42" s="1"/>
  <c r="I29" i="42" s="1"/>
  <c r="J29" i="42" s="1"/>
  <c r="K29" i="42" s="1"/>
  <c r="L29" i="42" s="1"/>
  <c r="M29" i="42" s="1"/>
  <c r="N29" i="42" s="1"/>
  <c r="O29" i="42" s="1"/>
  <c r="P29" i="42" s="1"/>
  <c r="Q29" i="42" s="1"/>
  <c r="R29" i="42" s="1"/>
  <c r="S29" i="42" s="1"/>
  <c r="T29" i="42" s="1"/>
  <c r="U29" i="42" s="1"/>
  <c r="V29" i="42" s="1"/>
  <c r="C28" i="42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S24" i="42"/>
  <c r="T24" i="42" s="1"/>
  <c r="U24" i="42" s="1"/>
  <c r="V24" i="42" s="1"/>
  <c r="AA24" i="42" s="1"/>
  <c r="AB24" i="42" s="1"/>
  <c r="AC24" i="42" s="1"/>
  <c r="O24" i="42"/>
  <c r="G24" i="42"/>
  <c r="C24" i="42"/>
  <c r="S23" i="42"/>
  <c r="T23" i="42" s="1"/>
  <c r="U23" i="42" s="1"/>
  <c r="V23" i="42" s="1"/>
  <c r="Q23" i="42"/>
  <c r="O23" i="42"/>
  <c r="K23" i="42"/>
  <c r="I23" i="42"/>
  <c r="G23" i="42"/>
  <c r="C23" i="42"/>
  <c r="S22" i="42"/>
  <c r="T22" i="42" s="1"/>
  <c r="U22" i="42" s="1"/>
  <c r="V22" i="42" s="1"/>
  <c r="Q22" i="42"/>
  <c r="O22" i="42"/>
  <c r="M22" i="42"/>
  <c r="K22" i="42"/>
  <c r="G22" i="42"/>
  <c r="E22" i="42"/>
  <c r="C22" i="42"/>
  <c r="S21" i="42"/>
  <c r="T21" i="42" s="1"/>
  <c r="U21" i="42" s="1"/>
  <c r="V21" i="42" s="1"/>
  <c r="O21" i="42"/>
  <c r="M21" i="42"/>
  <c r="K21" i="42"/>
  <c r="I21" i="42"/>
  <c r="E21" i="42"/>
  <c r="C21" i="42"/>
  <c r="AA20" i="42"/>
  <c r="AB20" i="42" s="1"/>
  <c r="AC20" i="42" s="1"/>
  <c r="S19" i="42"/>
  <c r="T19" i="42" s="1"/>
  <c r="U19" i="42" s="1"/>
  <c r="V19" i="42" s="1"/>
  <c r="Q19" i="42"/>
  <c r="O19" i="42"/>
  <c r="K19" i="42"/>
  <c r="G19" i="42"/>
  <c r="E19" i="42"/>
  <c r="C19" i="42"/>
  <c r="S18" i="42"/>
  <c r="T18" i="42" s="1"/>
  <c r="U18" i="42" s="1"/>
  <c r="V18" i="42" s="1"/>
  <c r="AA18" i="42" s="1"/>
  <c r="AB18" i="42" s="1"/>
  <c r="AC18" i="42" s="1"/>
  <c r="Q18" i="42"/>
  <c r="O18" i="42"/>
  <c r="M18" i="42"/>
  <c r="K18" i="42"/>
  <c r="G18" i="42"/>
  <c r="C18" i="42"/>
  <c r="AA17" i="42"/>
  <c r="AB17" i="42" s="1"/>
  <c r="AC17" i="42" s="1"/>
  <c r="AA16" i="42"/>
  <c r="AB16" i="42" s="1"/>
  <c r="AC16" i="42" s="1"/>
  <c r="AA15" i="42"/>
  <c r="B14" i="42"/>
  <c r="S13" i="42"/>
  <c r="T13" i="42" s="1"/>
  <c r="M13" i="42"/>
  <c r="G13" i="42"/>
  <c r="E13" i="42"/>
  <c r="C10" i="42"/>
  <c r="C58" i="42" s="1"/>
  <c r="C9" i="42"/>
  <c r="D9" i="42" s="1"/>
  <c r="E9" i="42" s="1"/>
  <c r="E57" i="42" s="1"/>
  <c r="C8" i="42"/>
  <c r="D8" i="42" s="1"/>
  <c r="E8" i="42" s="1"/>
  <c r="F8" i="42" s="1"/>
  <c r="G8" i="42" s="1"/>
  <c r="H8" i="42" s="1"/>
  <c r="I8" i="42" s="1"/>
  <c r="J8" i="42" s="1"/>
  <c r="K8" i="42" s="1"/>
  <c r="L8" i="42" s="1"/>
  <c r="M8" i="42" s="1"/>
  <c r="N8" i="42" s="1"/>
  <c r="O8" i="42" s="1"/>
  <c r="P8" i="42" s="1"/>
  <c r="Q8" i="42" s="1"/>
  <c r="R8" i="42" s="1"/>
  <c r="S8" i="42" s="1"/>
  <c r="T8" i="42" s="1"/>
  <c r="U8" i="42" s="1"/>
  <c r="V8" i="42" s="1"/>
  <c r="C7" i="42"/>
  <c r="D7" i="42" s="1"/>
  <c r="E7" i="42" s="1"/>
  <c r="F7" i="42" s="1"/>
  <c r="G7" i="42" s="1"/>
  <c r="H7" i="42" s="1"/>
  <c r="I7" i="42" s="1"/>
  <c r="J7" i="42" s="1"/>
  <c r="K7" i="42" s="1"/>
  <c r="L7" i="42" s="1"/>
  <c r="M7" i="42" s="1"/>
  <c r="N7" i="42" s="1"/>
  <c r="O7" i="42" s="1"/>
  <c r="P7" i="42" s="1"/>
  <c r="Q7" i="42" s="1"/>
  <c r="R7" i="42" s="1"/>
  <c r="S7" i="42" s="1"/>
  <c r="T7" i="42" s="1"/>
  <c r="U7" i="42" s="1"/>
  <c r="V7" i="42" s="1"/>
  <c r="C6" i="42"/>
  <c r="D6" i="42" s="1"/>
  <c r="E6" i="42" s="1"/>
  <c r="F6" i="42" s="1"/>
  <c r="G6" i="42" s="1"/>
  <c r="H6" i="42" s="1"/>
  <c r="I6" i="42" s="1"/>
  <c r="J6" i="42" s="1"/>
  <c r="K6" i="42" s="1"/>
  <c r="L6" i="42" s="1"/>
  <c r="M6" i="42" s="1"/>
  <c r="N6" i="42" s="1"/>
  <c r="O6" i="42" s="1"/>
  <c r="P6" i="42" s="1"/>
  <c r="Q6" i="42" s="1"/>
  <c r="R6" i="42" s="1"/>
  <c r="S6" i="42" s="1"/>
  <c r="T6" i="42" s="1"/>
  <c r="U6" i="42" s="1"/>
  <c r="V6" i="42" s="1"/>
  <c r="C5" i="42"/>
  <c r="D5" i="42" s="1"/>
  <c r="E5" i="42" s="1"/>
  <c r="F5" i="42" s="1"/>
  <c r="G5" i="42" s="1"/>
  <c r="H5" i="42" s="1"/>
  <c r="I5" i="42" s="1"/>
  <c r="J5" i="42" s="1"/>
  <c r="K5" i="42" s="1"/>
  <c r="L5" i="42" s="1"/>
  <c r="M5" i="42" s="1"/>
  <c r="N5" i="42" s="1"/>
  <c r="O5" i="42" s="1"/>
  <c r="P5" i="42" s="1"/>
  <c r="Q5" i="42" s="1"/>
  <c r="R5" i="42" s="1"/>
  <c r="S5" i="42" s="1"/>
  <c r="T5" i="42" s="1"/>
  <c r="U5" i="42" s="1"/>
  <c r="V5" i="42" s="1"/>
  <c r="C4" i="42"/>
  <c r="D4" i="42" s="1"/>
  <c r="E4" i="42" s="1"/>
  <c r="F4" i="42" s="1"/>
  <c r="G4" i="42" s="1"/>
  <c r="H4" i="42" s="1"/>
  <c r="I4" i="42" s="1"/>
  <c r="J4" i="42" s="1"/>
  <c r="K4" i="42" s="1"/>
  <c r="L4" i="42" s="1"/>
  <c r="M4" i="42" s="1"/>
  <c r="N4" i="42" s="1"/>
  <c r="O4" i="42" s="1"/>
  <c r="P4" i="42" s="1"/>
  <c r="Q4" i="42" s="1"/>
  <c r="R4" i="42" s="1"/>
  <c r="S4" i="42" s="1"/>
  <c r="T4" i="42" s="1"/>
  <c r="U4" i="42" s="1"/>
  <c r="V4" i="42" s="1"/>
  <c r="J9" i="44" l="1"/>
  <c r="I65" i="44"/>
  <c r="K10" i="44"/>
  <c r="J66" i="44"/>
  <c r="F60" i="40"/>
  <c r="D60" i="40" s="1"/>
  <c r="F62" i="40"/>
  <c r="D62" i="40" s="1"/>
  <c r="F64" i="40"/>
  <c r="D64" i="40" s="1"/>
  <c r="F59" i="40"/>
  <c r="D59" i="40" s="1"/>
  <c r="D65" i="43"/>
  <c r="C65" i="43"/>
  <c r="AA14" i="43"/>
  <c r="AA67" i="43" s="1"/>
  <c r="F9" i="43"/>
  <c r="F65" i="43" s="1"/>
  <c r="AB14" i="43"/>
  <c r="AB67" i="43" s="1"/>
  <c r="G9" i="43"/>
  <c r="H9" i="43" s="1"/>
  <c r="I9" i="43" s="1"/>
  <c r="F76" i="40"/>
  <c r="D76" i="40" s="1"/>
  <c r="F77" i="40"/>
  <c r="D77" i="40" s="1"/>
  <c r="D10" i="43"/>
  <c r="D66" i="43" s="1"/>
  <c r="G48" i="42"/>
  <c r="C45" i="42"/>
  <c r="Q13" i="42"/>
  <c r="Q14" i="42" s="1"/>
  <c r="E18" i="42"/>
  <c r="I19" i="42"/>
  <c r="Q21" i="42"/>
  <c r="E24" i="42"/>
  <c r="Q42" i="42"/>
  <c r="E45" i="42"/>
  <c r="I46" i="42"/>
  <c r="M47" i="42"/>
  <c r="I18" i="42"/>
  <c r="M19" i="42"/>
  <c r="E23" i="42"/>
  <c r="I24" i="42"/>
  <c r="E37" i="42"/>
  <c r="I45" i="42"/>
  <c r="M46" i="42"/>
  <c r="Q47" i="42"/>
  <c r="K39" i="43"/>
  <c r="C39" i="43"/>
  <c r="M22" i="43"/>
  <c r="M20" i="43"/>
  <c r="K19" i="43"/>
  <c r="E17" i="43"/>
  <c r="K17" i="43"/>
  <c r="M18" i="43"/>
  <c r="E20" i="43"/>
  <c r="I22" i="43"/>
  <c r="Q20" i="43"/>
  <c r="G21" i="43"/>
  <c r="M24" i="43"/>
  <c r="O19" i="43"/>
  <c r="S21" i="43"/>
  <c r="T21" i="43" s="1"/>
  <c r="U21" i="43" s="1"/>
  <c r="V21" i="43" s="1"/>
  <c r="W21" i="43" s="1"/>
  <c r="K23" i="43"/>
  <c r="Z19" i="43"/>
  <c r="AA19" i="43" s="1"/>
  <c r="AB19" i="43" s="1"/>
  <c r="Z20" i="43"/>
  <c r="AA20" i="43" s="1"/>
  <c r="AB20" i="43" s="1"/>
  <c r="Q13" i="43"/>
  <c r="Z13" i="43"/>
  <c r="AA13" i="43" s="1"/>
  <c r="AB13" i="43" s="1"/>
  <c r="C13" i="43"/>
  <c r="W32" i="43"/>
  <c r="Z32" i="43"/>
  <c r="AA32" i="43" s="1"/>
  <c r="AB32" i="43" s="1"/>
  <c r="W6" i="43"/>
  <c r="Z6" i="43"/>
  <c r="AA6" i="43" s="1"/>
  <c r="AB6" i="43" s="1"/>
  <c r="W31" i="43"/>
  <c r="Z31" i="43"/>
  <c r="AA31" i="43" s="1"/>
  <c r="AB31" i="43" s="1"/>
  <c r="W4" i="43"/>
  <c r="Z4" i="43"/>
  <c r="AA4" i="43" s="1"/>
  <c r="AB4" i="43" s="1"/>
  <c r="W34" i="43"/>
  <c r="Z34" i="43"/>
  <c r="AA34" i="43" s="1"/>
  <c r="AB34" i="43" s="1"/>
  <c r="W33" i="43"/>
  <c r="Z33" i="43"/>
  <c r="AA33" i="43" s="1"/>
  <c r="AB33" i="43" s="1"/>
  <c r="Z8" i="43"/>
  <c r="AA8" i="43" s="1"/>
  <c r="AB8" i="43" s="1"/>
  <c r="W30" i="43"/>
  <c r="Z30" i="43"/>
  <c r="AA30" i="43" s="1"/>
  <c r="AB30" i="43" s="1"/>
  <c r="W36" i="43"/>
  <c r="Z36" i="43"/>
  <c r="AA36" i="43" s="1"/>
  <c r="AB36" i="43" s="1"/>
  <c r="W35" i="43"/>
  <c r="Z35" i="43"/>
  <c r="AA35" i="43" s="1"/>
  <c r="AB35" i="43" s="1"/>
  <c r="Z5" i="43"/>
  <c r="AA5" i="43" s="1"/>
  <c r="AB5" i="43" s="1"/>
  <c r="W5" i="43"/>
  <c r="Z23" i="43"/>
  <c r="AA23" i="43" s="1"/>
  <c r="AB23" i="43" s="1"/>
  <c r="Z7" i="43"/>
  <c r="AA7" i="43" s="1"/>
  <c r="AB7" i="43" s="1"/>
  <c r="W7" i="43"/>
  <c r="I13" i="43"/>
  <c r="G13" i="43"/>
  <c r="Z17" i="43"/>
  <c r="AA17" i="43" s="1"/>
  <c r="AB17" i="43" s="1"/>
  <c r="C57" i="42"/>
  <c r="R14" i="42"/>
  <c r="P14" i="42"/>
  <c r="I13" i="42"/>
  <c r="I14" i="42" s="1"/>
  <c r="G21" i="42"/>
  <c r="I22" i="42"/>
  <c r="Q24" i="42"/>
  <c r="M37" i="42"/>
  <c r="E42" i="42"/>
  <c r="G43" i="42"/>
  <c r="O45" i="42"/>
  <c r="O46" i="42"/>
  <c r="Q46" i="42"/>
  <c r="AB15" i="42"/>
  <c r="O48" i="42"/>
  <c r="Q48" i="42"/>
  <c r="D14" i="42"/>
  <c r="K24" i="42"/>
  <c r="E14" i="42"/>
  <c r="F14" i="42"/>
  <c r="W20" i="42"/>
  <c r="Y20" i="42" s="1"/>
  <c r="J14" i="42"/>
  <c r="G14" i="42"/>
  <c r="H14" i="42"/>
  <c r="O13" i="42"/>
  <c r="O14" i="42" s="1"/>
  <c r="I48" i="42"/>
  <c r="AA6" i="42"/>
  <c r="AB6" i="42" s="1"/>
  <c r="AC6" i="42" s="1"/>
  <c r="W6" i="42"/>
  <c r="Y6" i="42" s="1"/>
  <c r="AA29" i="42"/>
  <c r="AB29" i="42" s="1"/>
  <c r="AC29" i="42" s="1"/>
  <c r="W29" i="42"/>
  <c r="Y29" i="42" s="1"/>
  <c r="W77" i="42"/>
  <c r="Y77" i="42" s="1"/>
  <c r="AA77" i="42"/>
  <c r="AB77" i="42" s="1"/>
  <c r="AC77" i="42" s="1"/>
  <c r="W32" i="42"/>
  <c r="Y32" i="42" s="1"/>
  <c r="AA32" i="42"/>
  <c r="AB32" i="42" s="1"/>
  <c r="AC32" i="42" s="1"/>
  <c r="AA22" i="42"/>
  <c r="AB22" i="42" s="1"/>
  <c r="AC22" i="42" s="1"/>
  <c r="W22" i="42"/>
  <c r="Y22" i="42" s="1"/>
  <c r="AA76" i="42"/>
  <c r="AB76" i="42" s="1"/>
  <c r="AC76" i="42" s="1"/>
  <c r="W76" i="42"/>
  <c r="Y76" i="42" s="1"/>
  <c r="AA19" i="42"/>
  <c r="AB19" i="42" s="1"/>
  <c r="AC19" i="42" s="1"/>
  <c r="W19" i="42"/>
  <c r="Y19" i="42" s="1"/>
  <c r="AA21" i="42"/>
  <c r="AB21" i="42" s="1"/>
  <c r="AC21" i="42" s="1"/>
  <c r="W21" i="42"/>
  <c r="Y21" i="42" s="1"/>
  <c r="AA33" i="42"/>
  <c r="AB33" i="42" s="1"/>
  <c r="AC33" i="42" s="1"/>
  <c r="W33" i="42"/>
  <c r="Y33" i="42" s="1"/>
  <c r="AA30" i="42"/>
  <c r="AB30" i="42" s="1"/>
  <c r="AC30" i="42" s="1"/>
  <c r="W30" i="42"/>
  <c r="Y30" i="42" s="1"/>
  <c r="W78" i="42"/>
  <c r="Y78" i="42" s="1"/>
  <c r="AA78" i="42"/>
  <c r="AB78" i="42" s="1"/>
  <c r="AC78" i="42" s="1"/>
  <c r="AA8" i="42"/>
  <c r="AB8" i="42" s="1"/>
  <c r="AC8" i="42" s="1"/>
  <c r="W8" i="42"/>
  <c r="Y8" i="42" s="1"/>
  <c r="W4" i="42"/>
  <c r="Y4" i="42" s="1"/>
  <c r="AA4" i="42"/>
  <c r="AB4" i="42" s="1"/>
  <c r="AC4" i="42" s="1"/>
  <c r="W5" i="42"/>
  <c r="Y5" i="42" s="1"/>
  <c r="AA5" i="42"/>
  <c r="AB5" i="42" s="1"/>
  <c r="AC5" i="42" s="1"/>
  <c r="U13" i="42"/>
  <c r="T14" i="42"/>
  <c r="W7" i="42"/>
  <c r="Y7" i="42" s="1"/>
  <c r="AA7" i="42"/>
  <c r="AB7" i="42" s="1"/>
  <c r="AC7" i="42" s="1"/>
  <c r="AA31" i="42"/>
  <c r="AB31" i="42" s="1"/>
  <c r="AC31" i="42" s="1"/>
  <c r="W31" i="42"/>
  <c r="Y31" i="42" s="1"/>
  <c r="AA79" i="42"/>
  <c r="AB79" i="42" s="1"/>
  <c r="AC79" i="42" s="1"/>
  <c r="W79" i="42"/>
  <c r="Y79" i="42" s="1"/>
  <c r="AA75" i="42"/>
  <c r="AB75" i="42" s="1"/>
  <c r="AC75" i="42" s="1"/>
  <c r="W75" i="42"/>
  <c r="Y75" i="42" s="1"/>
  <c r="W28" i="42"/>
  <c r="Y28" i="42" s="1"/>
  <c r="AA28" i="42"/>
  <c r="AB28" i="42" s="1"/>
  <c r="AC28" i="42" s="1"/>
  <c r="W34" i="42"/>
  <c r="Y34" i="42" s="1"/>
  <c r="AA34" i="42"/>
  <c r="AB34" i="42" s="1"/>
  <c r="AC34" i="42" s="1"/>
  <c r="K13" i="42"/>
  <c r="K14" i="42" s="1"/>
  <c r="F9" i="42"/>
  <c r="W18" i="42"/>
  <c r="Y18" i="42" s="1"/>
  <c r="M24" i="42"/>
  <c r="AA23" i="42"/>
  <c r="AB23" i="42" s="1"/>
  <c r="AC23" i="42" s="1"/>
  <c r="W23" i="42"/>
  <c r="Y23" i="42" s="1"/>
  <c r="D57" i="42"/>
  <c r="D10" i="42"/>
  <c r="W24" i="42"/>
  <c r="Y24" i="42" s="1"/>
  <c r="M23" i="42"/>
  <c r="L14" i="42"/>
  <c r="C13" i="42"/>
  <c r="C14" i="42" s="1"/>
  <c r="S14" i="42"/>
  <c r="M14" i="42"/>
  <c r="N14" i="42"/>
  <c r="K66" i="44" l="1"/>
  <c r="L10" i="44"/>
  <c r="J65" i="44"/>
  <c r="K9" i="44"/>
  <c r="H65" i="43"/>
  <c r="G65" i="43"/>
  <c r="E10" i="43"/>
  <c r="E66" i="43" s="1"/>
  <c r="I65" i="43"/>
  <c r="J9" i="43"/>
  <c r="Z21" i="43"/>
  <c r="AA21" i="43" s="1"/>
  <c r="AB21" i="43" s="1"/>
  <c r="Z18" i="43"/>
  <c r="AA18" i="43" s="1"/>
  <c r="AB18" i="43" s="1"/>
  <c r="Z22" i="43"/>
  <c r="AA22" i="43" s="1"/>
  <c r="AB22" i="43" s="1"/>
  <c r="AC15" i="42"/>
  <c r="V13" i="42"/>
  <c r="U14" i="42"/>
  <c r="G9" i="42"/>
  <c r="F57" i="42"/>
  <c r="D58" i="42"/>
  <c r="E10" i="42"/>
  <c r="M10" i="44" l="1"/>
  <c r="L66" i="44"/>
  <c r="K65" i="44"/>
  <c r="L9" i="44"/>
  <c r="J65" i="43"/>
  <c r="K9" i="43"/>
  <c r="F10" i="43"/>
  <c r="F66" i="43" s="1"/>
  <c r="H9" i="42"/>
  <c r="G57" i="42"/>
  <c r="E58" i="42"/>
  <c r="F10" i="42"/>
  <c r="AA13" i="42"/>
  <c r="AB13" i="42" s="1"/>
  <c r="AC13" i="42" s="1"/>
  <c r="W13" i="42"/>
  <c r="V14" i="42"/>
  <c r="M9" i="44" l="1"/>
  <c r="L65" i="44"/>
  <c r="M66" i="44"/>
  <c r="N10" i="44"/>
  <c r="K65" i="43"/>
  <c r="L9" i="43"/>
  <c r="G10" i="43"/>
  <c r="G66" i="43" s="1"/>
  <c r="W14" i="42"/>
  <c r="Y13" i="42"/>
  <c r="F58" i="42"/>
  <c r="G10" i="42"/>
  <c r="H57" i="42"/>
  <c r="I9" i="42"/>
  <c r="N66" i="44" l="1"/>
  <c r="O10" i="44"/>
  <c r="M65" i="44"/>
  <c r="N9" i="44"/>
  <c r="L65" i="43"/>
  <c r="M9" i="43"/>
  <c r="H10" i="43"/>
  <c r="H66" i="43" s="1"/>
  <c r="I57" i="42"/>
  <c r="J9" i="42"/>
  <c r="G58" i="42"/>
  <c r="H10" i="42"/>
  <c r="Y56" i="42"/>
  <c r="Y55" i="42"/>
  <c r="Y54" i="42"/>
  <c r="Y53" i="42"/>
  <c r="Y52" i="42"/>
  <c r="O9" i="44" l="1"/>
  <c r="N65" i="44"/>
  <c r="P10" i="44"/>
  <c r="O66" i="44"/>
  <c r="I10" i="43"/>
  <c r="I66" i="43" s="1"/>
  <c r="N9" i="43"/>
  <c r="M65" i="43"/>
  <c r="H58" i="42"/>
  <c r="I10" i="42"/>
  <c r="J57" i="42"/>
  <c r="K9" i="42"/>
  <c r="P66" i="44" l="1"/>
  <c r="Q10" i="44"/>
  <c r="O65" i="44"/>
  <c r="P9" i="44"/>
  <c r="O9" i="43"/>
  <c r="N65" i="43"/>
  <c r="J10" i="43"/>
  <c r="J66" i="43" s="1"/>
  <c r="K57" i="42"/>
  <c r="L9" i="42"/>
  <c r="I58" i="42"/>
  <c r="J10" i="42"/>
  <c r="P65" i="44" l="1"/>
  <c r="Q9" i="44"/>
  <c r="R10" i="44"/>
  <c r="Q66" i="44"/>
  <c r="K10" i="43"/>
  <c r="K66" i="43" s="1"/>
  <c r="O65" i="43"/>
  <c r="P9" i="43"/>
  <c r="K10" i="42"/>
  <c r="J58" i="42"/>
  <c r="L57" i="42"/>
  <c r="M9" i="42"/>
  <c r="S10" i="44" l="1"/>
  <c r="R66" i="44"/>
  <c r="R9" i="44"/>
  <c r="Q65" i="44"/>
  <c r="P65" i="43"/>
  <c r="Q9" i="43"/>
  <c r="L10" i="43"/>
  <c r="L66" i="43" s="1"/>
  <c r="M57" i="42"/>
  <c r="N9" i="42"/>
  <c r="K58" i="42"/>
  <c r="L10" i="42"/>
  <c r="R65" i="44" l="1"/>
  <c r="S9" i="44"/>
  <c r="T10" i="44"/>
  <c r="S66" i="44"/>
  <c r="M10" i="43"/>
  <c r="M66" i="43" s="1"/>
  <c r="R9" i="43"/>
  <c r="Q65" i="43"/>
  <c r="L58" i="42"/>
  <c r="M10" i="42"/>
  <c r="N57" i="42"/>
  <c r="O9" i="42"/>
  <c r="U10" i="44" l="1"/>
  <c r="T66" i="44"/>
  <c r="T9" i="44"/>
  <c r="S65" i="44"/>
  <c r="S9" i="43"/>
  <c r="R65" i="43"/>
  <c r="N10" i="43"/>
  <c r="N66" i="43" s="1"/>
  <c r="M58" i="42"/>
  <c r="N10" i="42"/>
  <c r="O57" i="42"/>
  <c r="P9" i="42"/>
  <c r="T65" i="44" l="1"/>
  <c r="U9" i="44"/>
  <c r="V10" i="44"/>
  <c r="U66" i="44"/>
  <c r="O10" i="43"/>
  <c r="O66" i="43" s="1"/>
  <c r="S65" i="43"/>
  <c r="T9" i="43"/>
  <c r="O10" i="42"/>
  <c r="N58" i="42"/>
  <c r="P57" i="42"/>
  <c r="Q9" i="42"/>
  <c r="W10" i="44" l="1"/>
  <c r="W66" i="44" s="1"/>
  <c r="V66" i="44"/>
  <c r="V9" i="44"/>
  <c r="U65" i="44"/>
  <c r="T65" i="43"/>
  <c r="U9" i="43"/>
  <c r="P10" i="43"/>
  <c r="P66" i="43" s="1"/>
  <c r="P10" i="42"/>
  <c r="O58" i="42"/>
  <c r="Q57" i="42"/>
  <c r="R9" i="42"/>
  <c r="W9" i="44" l="1"/>
  <c r="W65" i="44" s="1"/>
  <c r="V65" i="44"/>
  <c r="Q10" i="43"/>
  <c r="Q66" i="43" s="1"/>
  <c r="V9" i="43"/>
  <c r="U65" i="43"/>
  <c r="P58" i="42"/>
  <c r="Q10" i="42"/>
  <c r="R57" i="42"/>
  <c r="S9" i="42"/>
  <c r="W9" i="43" l="1"/>
  <c r="Z9" i="43"/>
  <c r="V65" i="43"/>
  <c r="R10" i="43"/>
  <c r="R66" i="43" s="1"/>
  <c r="Q58" i="42"/>
  <c r="R10" i="42"/>
  <c r="T9" i="42"/>
  <c r="S57" i="42"/>
  <c r="S10" i="43" l="1"/>
  <c r="S66" i="43" s="1"/>
  <c r="Z65" i="43"/>
  <c r="AA9" i="43"/>
  <c r="W65" i="43"/>
  <c r="T57" i="42"/>
  <c r="U9" i="42"/>
  <c r="R58" i="42"/>
  <c r="S10" i="42"/>
  <c r="AA65" i="43" l="1"/>
  <c r="AB9" i="43"/>
  <c r="AB65" i="43" s="1"/>
  <c r="T10" i="43"/>
  <c r="T66" i="43" s="1"/>
  <c r="U57" i="42"/>
  <c r="V9" i="42"/>
  <c r="S58" i="42"/>
  <c r="T10" i="42"/>
  <c r="U10" i="43" l="1"/>
  <c r="U66" i="43" s="1"/>
  <c r="AA9" i="42"/>
  <c r="V57" i="42"/>
  <c r="W9" i="42"/>
  <c r="T58" i="42"/>
  <c r="U10" i="42"/>
  <c r="V10" i="43" l="1"/>
  <c r="V66" i="43" s="1"/>
  <c r="W57" i="42"/>
  <c r="Y9" i="42"/>
  <c r="Y57" i="42" s="1"/>
  <c r="U58" i="42"/>
  <c r="V10" i="42"/>
  <c r="AB9" i="42"/>
  <c r="AA57" i="42"/>
  <c r="Z10" i="43" l="1"/>
  <c r="W10" i="43"/>
  <c r="W66" i="43" s="1"/>
  <c r="AC9" i="42"/>
  <c r="AC57" i="42" s="1"/>
  <c r="AB57" i="42"/>
  <c r="W10" i="42"/>
  <c r="AA10" i="42"/>
  <c r="V58" i="42"/>
  <c r="AA10" i="43" l="1"/>
  <c r="Z66" i="43"/>
  <c r="AA58" i="42"/>
  <c r="AB10" i="42"/>
  <c r="Y10" i="42"/>
  <c r="Y58" i="42" s="1"/>
  <c r="W58" i="42"/>
  <c r="AB10" i="43" l="1"/>
  <c r="AB66" i="43" s="1"/>
  <c r="AA66" i="43"/>
  <c r="AB58" i="42"/>
  <c r="AC10" i="42"/>
  <c r="AC58" i="42" s="1"/>
  <c r="B58" i="30" l="1"/>
  <c r="A84" i="30"/>
  <c r="A61" i="30"/>
  <c r="A37" i="30"/>
  <c r="A14" i="30"/>
  <c r="G37" i="40" l="1"/>
  <c r="H37" i="40"/>
  <c r="K37" i="40"/>
  <c r="H36" i="40"/>
  <c r="K36" i="40"/>
  <c r="G36" i="40"/>
  <c r="H33" i="40"/>
  <c r="H27" i="40"/>
  <c r="F37" i="40" l="1"/>
  <c r="F36" i="40"/>
  <c r="O51" i="40"/>
  <c r="F51" i="40" s="1"/>
  <c r="O42" i="40"/>
  <c r="F42" i="40" s="1"/>
  <c r="A3" i="41" l="1"/>
  <c r="B3" i="41"/>
  <c r="C3" i="41"/>
  <c r="B4" i="41"/>
  <c r="C4" i="41"/>
  <c r="B5" i="41"/>
  <c r="C5" i="41"/>
  <c r="B6" i="41"/>
  <c r="C6" i="41"/>
  <c r="B7" i="41"/>
  <c r="C7" i="41"/>
  <c r="B9" i="41"/>
  <c r="C9" i="41"/>
  <c r="B10" i="41"/>
  <c r="C10" i="41"/>
  <c r="B11" i="41"/>
  <c r="C11" i="41"/>
  <c r="B2" i="41"/>
  <c r="C2" i="41"/>
  <c r="G35" i="40" l="1"/>
  <c r="F35" i="40" s="1"/>
  <c r="AE32" i="40" l="1"/>
  <c r="F32" i="40" s="1"/>
  <c r="F33" i="40" l="1"/>
  <c r="AE28" i="40"/>
  <c r="F28" i="40" s="1"/>
  <c r="F27" i="40"/>
  <c r="H26" i="40"/>
  <c r="F26" i="40" s="1"/>
  <c r="H25" i="40"/>
  <c r="F25" i="40" s="1"/>
  <c r="AA78" i="40" l="1"/>
  <c r="V83" i="40"/>
  <c r="F83" i="40" s="1"/>
  <c r="U82" i="40"/>
  <c r="F82" i="40" s="1"/>
  <c r="T80" i="40"/>
  <c r="O47" i="40" l="1"/>
  <c r="F47" i="40" s="1"/>
  <c r="O38" i="40"/>
  <c r="F38" i="40" s="1"/>
  <c r="O55" i="40"/>
  <c r="F55" i="40" s="1"/>
  <c r="O50" i="40"/>
  <c r="F50" i="40" s="1"/>
  <c r="O48" i="40"/>
  <c r="F48" i="40" s="1"/>
  <c r="O46" i="40"/>
  <c r="F46" i="40" s="1"/>
  <c r="O41" i="40"/>
  <c r="F41" i="40" s="1"/>
  <c r="O39" i="40"/>
  <c r="F39" i="40" s="1"/>
  <c r="O49" i="40"/>
  <c r="F49" i="40" s="1"/>
  <c r="O40" i="40"/>
  <c r="F40" i="40" s="1"/>
  <c r="O54" i="40"/>
  <c r="F54" i="40" s="1"/>
  <c r="O45" i="40"/>
  <c r="F45" i="40" s="1"/>
  <c r="AA80" i="40"/>
  <c r="F80" i="40" s="1"/>
  <c r="D80" i="40" s="1"/>
  <c r="S78" i="40"/>
  <c r="F78" i="40" s="1"/>
  <c r="D78" i="40" s="1"/>
  <c r="S79" i="40"/>
  <c r="F79" i="40" s="1"/>
  <c r="T81" i="40"/>
  <c r="F81" i="40" s="1"/>
  <c r="A25" i="15" l="1"/>
  <c r="C58" i="30" l="1"/>
  <c r="D58" i="30" s="1"/>
  <c r="E58" i="30" s="1"/>
  <c r="F58" i="30" s="1"/>
  <c r="G58" i="30" s="1"/>
  <c r="H58" i="30" s="1"/>
  <c r="I58" i="30" s="1"/>
  <c r="J58" i="30" s="1"/>
  <c r="K58" i="30" s="1"/>
  <c r="L58" i="30" s="1"/>
  <c r="M58" i="30" s="1"/>
  <c r="N58" i="30" s="1"/>
  <c r="O58" i="30" s="1"/>
  <c r="P58" i="30" s="1"/>
  <c r="Q58" i="30" s="1"/>
  <c r="R58" i="30" s="1"/>
  <c r="S58" i="30" s="1"/>
  <c r="T58" i="30" s="1"/>
  <c r="U58" i="30" s="1"/>
  <c r="V58" i="30" s="1"/>
  <c r="A87" i="30" l="1"/>
  <c r="A64" i="30"/>
  <c r="A40" i="30"/>
  <c r="A17" i="30"/>
  <c r="C17" i="30"/>
  <c r="D17" i="30" s="1"/>
  <c r="E17" i="30" s="1"/>
  <c r="F17" i="30" s="1"/>
  <c r="G17" i="30" s="1"/>
  <c r="H17" i="30" s="1"/>
  <c r="I17" i="30" s="1"/>
  <c r="J17" i="30" s="1"/>
  <c r="K17" i="30" s="1"/>
  <c r="L17" i="30" s="1"/>
  <c r="M17" i="30" s="1"/>
  <c r="N17" i="30" s="1"/>
  <c r="O17" i="30" s="1"/>
  <c r="P17" i="30" s="1"/>
  <c r="Q17" i="30" s="1"/>
  <c r="R17" i="30" s="1"/>
  <c r="S17" i="30" s="1"/>
  <c r="T17" i="30" s="1"/>
  <c r="U17" i="30" s="1"/>
  <c r="V17" i="30" s="1"/>
  <c r="X17" i="30" s="1"/>
  <c r="Y17" i="30" s="1"/>
  <c r="Z17" i="30" s="1"/>
  <c r="J21" i="4" l="1"/>
  <c r="J20" i="4"/>
  <c r="J19" i="4"/>
  <c r="J18" i="4"/>
  <c r="C75" i="30" l="1"/>
  <c r="D75" i="30" s="1"/>
  <c r="E75" i="30" s="1"/>
  <c r="F75" i="30" s="1"/>
  <c r="G75" i="30" s="1"/>
  <c r="H75" i="30" s="1"/>
  <c r="I75" i="30" s="1"/>
  <c r="J75" i="30" s="1"/>
  <c r="K75" i="30" s="1"/>
  <c r="L75" i="30" s="1"/>
  <c r="M75" i="30" s="1"/>
  <c r="N75" i="30" s="1"/>
  <c r="O75" i="30" s="1"/>
  <c r="P75" i="30" s="1"/>
  <c r="Q75" i="30" s="1"/>
  <c r="R75" i="30" s="1"/>
  <c r="S75" i="30" s="1"/>
  <c r="T75" i="30" s="1"/>
  <c r="U75" i="30" s="1"/>
  <c r="V75" i="30" s="1"/>
  <c r="X75" i="30" s="1"/>
  <c r="Y75" i="30" s="1"/>
  <c r="Z75" i="30" s="1"/>
  <c r="C76" i="30"/>
  <c r="D76" i="30" s="1"/>
  <c r="E76" i="30" s="1"/>
  <c r="F76" i="30" s="1"/>
  <c r="G76" i="30" s="1"/>
  <c r="H76" i="30" s="1"/>
  <c r="I76" i="30" s="1"/>
  <c r="J76" i="30" s="1"/>
  <c r="K76" i="30" s="1"/>
  <c r="L76" i="30" s="1"/>
  <c r="M76" i="30" s="1"/>
  <c r="N76" i="30" s="1"/>
  <c r="O76" i="30" s="1"/>
  <c r="P76" i="30" s="1"/>
  <c r="Q76" i="30" s="1"/>
  <c r="R76" i="30" s="1"/>
  <c r="S76" i="30" s="1"/>
  <c r="T76" i="30" s="1"/>
  <c r="U76" i="30" s="1"/>
  <c r="V76" i="30" s="1"/>
  <c r="X76" i="30" s="1"/>
  <c r="Y76" i="30" s="1"/>
  <c r="Z76" i="30" s="1"/>
  <c r="C77" i="30"/>
  <c r="D77" i="30" s="1"/>
  <c r="E77" i="30" s="1"/>
  <c r="F77" i="30" s="1"/>
  <c r="G77" i="30" s="1"/>
  <c r="H77" i="30" s="1"/>
  <c r="I77" i="30" s="1"/>
  <c r="J77" i="30" s="1"/>
  <c r="K77" i="30" s="1"/>
  <c r="L77" i="30" s="1"/>
  <c r="M77" i="30" s="1"/>
  <c r="N77" i="30" s="1"/>
  <c r="O77" i="30" s="1"/>
  <c r="P77" i="30" s="1"/>
  <c r="Q77" i="30" s="1"/>
  <c r="R77" i="30" s="1"/>
  <c r="S77" i="30" s="1"/>
  <c r="T77" i="30" s="1"/>
  <c r="U77" i="30" s="1"/>
  <c r="V77" i="30" s="1"/>
  <c r="X77" i="30" s="1"/>
  <c r="Y77" i="30" s="1"/>
  <c r="Z77" i="30" s="1"/>
  <c r="C78" i="30"/>
  <c r="D78" i="30" s="1"/>
  <c r="E78" i="30" s="1"/>
  <c r="F78" i="30" s="1"/>
  <c r="G78" i="30" s="1"/>
  <c r="H78" i="30" s="1"/>
  <c r="I78" i="30" s="1"/>
  <c r="J78" i="30" s="1"/>
  <c r="K78" i="30" s="1"/>
  <c r="L78" i="30" s="1"/>
  <c r="M78" i="30" s="1"/>
  <c r="N78" i="30" s="1"/>
  <c r="O78" i="30" s="1"/>
  <c r="P78" i="30" s="1"/>
  <c r="Q78" i="30" s="1"/>
  <c r="R78" i="30" s="1"/>
  <c r="S78" i="30" s="1"/>
  <c r="T78" i="30" s="1"/>
  <c r="U78" i="30" s="1"/>
  <c r="V78" i="30" s="1"/>
  <c r="X78" i="30" s="1"/>
  <c r="Y78" i="30" s="1"/>
  <c r="Z78" i="30" s="1"/>
  <c r="C74" i="30"/>
  <c r="D74" i="30" s="1"/>
  <c r="E74" i="30" s="1"/>
  <c r="F74" i="30" s="1"/>
  <c r="G74" i="30" s="1"/>
  <c r="H74" i="30" s="1"/>
  <c r="I74" i="30" s="1"/>
  <c r="J74" i="30" s="1"/>
  <c r="K74" i="30" s="1"/>
  <c r="L74" i="30" s="1"/>
  <c r="M74" i="30" s="1"/>
  <c r="N74" i="30" s="1"/>
  <c r="O74" i="30" s="1"/>
  <c r="P74" i="30" s="1"/>
  <c r="Q74" i="30" s="1"/>
  <c r="R74" i="30" s="1"/>
  <c r="S74" i="30" s="1"/>
  <c r="T74" i="30" s="1"/>
  <c r="U74" i="30" s="1"/>
  <c r="V74" i="30" s="1"/>
  <c r="X74" i="30" s="1"/>
  <c r="Y74" i="30" s="1"/>
  <c r="Z74" i="30" s="1"/>
  <c r="B56" i="30"/>
  <c r="B57" i="30"/>
  <c r="A51" i="30"/>
  <c r="A28" i="30"/>
  <c r="A29" i="30"/>
  <c r="A30" i="30"/>
  <c r="A31" i="30"/>
  <c r="A32" i="30"/>
  <c r="A33" i="30"/>
  <c r="A34" i="30"/>
  <c r="A35" i="30"/>
  <c r="A36" i="30"/>
  <c r="A38" i="30"/>
  <c r="A39" i="30"/>
  <c r="A41" i="30"/>
  <c r="A42" i="30"/>
  <c r="A43" i="30"/>
  <c r="A44" i="30"/>
  <c r="A45" i="30"/>
  <c r="A46" i="30"/>
  <c r="A47" i="30"/>
  <c r="A12" i="30"/>
  <c r="A13" i="30"/>
  <c r="A15" i="30"/>
  <c r="A16" i="30"/>
  <c r="A18" i="30"/>
  <c r="A19" i="30"/>
  <c r="A20" i="30"/>
  <c r="A21" i="30"/>
  <c r="A22" i="30"/>
  <c r="A23" i="30"/>
  <c r="A24" i="30"/>
  <c r="A52" i="30"/>
  <c r="A53" i="30"/>
  <c r="A54" i="30"/>
  <c r="A55" i="30"/>
  <c r="A56" i="30"/>
  <c r="A57" i="30"/>
  <c r="A58" i="30"/>
  <c r="A59" i="30"/>
  <c r="A60" i="30"/>
  <c r="A62" i="30"/>
  <c r="A63" i="30"/>
  <c r="A65" i="30"/>
  <c r="A66" i="30"/>
  <c r="A67" i="30"/>
  <c r="A68" i="30"/>
  <c r="A69" i="30"/>
  <c r="A70" i="30"/>
  <c r="A71" i="30"/>
  <c r="A90" i="30"/>
  <c r="A91" i="30"/>
  <c r="A92" i="30"/>
  <c r="A93" i="30"/>
  <c r="A94" i="30"/>
  <c r="A75" i="30"/>
  <c r="A76" i="30"/>
  <c r="A77" i="30"/>
  <c r="A78" i="30"/>
  <c r="A79" i="30"/>
  <c r="A80" i="30"/>
  <c r="A81" i="30"/>
  <c r="A82" i="30"/>
  <c r="A83" i="30"/>
  <c r="A85" i="30"/>
  <c r="A86" i="30"/>
  <c r="A88" i="30"/>
  <c r="A89" i="30"/>
  <c r="A74" i="30"/>
  <c r="C28" i="30" l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X28" i="30" s="1"/>
  <c r="Y28" i="30" s="1"/>
  <c r="Z28" i="30" s="1"/>
  <c r="C29" i="30"/>
  <c r="D29" i="30" s="1"/>
  <c r="E29" i="30" s="1"/>
  <c r="F29" i="30" s="1"/>
  <c r="G29" i="30" s="1"/>
  <c r="H29" i="30" s="1"/>
  <c r="I29" i="30" s="1"/>
  <c r="J29" i="30" s="1"/>
  <c r="K29" i="30" s="1"/>
  <c r="L29" i="30" s="1"/>
  <c r="M29" i="30" s="1"/>
  <c r="N29" i="30" s="1"/>
  <c r="O29" i="30" s="1"/>
  <c r="P29" i="30" s="1"/>
  <c r="Q29" i="30" s="1"/>
  <c r="R29" i="30" s="1"/>
  <c r="S29" i="30" s="1"/>
  <c r="T29" i="30" s="1"/>
  <c r="U29" i="30" s="1"/>
  <c r="V29" i="30" s="1"/>
  <c r="X29" i="30" s="1"/>
  <c r="Y29" i="30" s="1"/>
  <c r="Z29" i="30" s="1"/>
  <c r="C30" i="30"/>
  <c r="D30" i="30" s="1"/>
  <c r="E30" i="30" s="1"/>
  <c r="F30" i="30" s="1"/>
  <c r="G30" i="30" s="1"/>
  <c r="H30" i="30" s="1"/>
  <c r="I30" i="30" s="1"/>
  <c r="J30" i="30" s="1"/>
  <c r="K30" i="30" s="1"/>
  <c r="L30" i="30" s="1"/>
  <c r="M30" i="30" s="1"/>
  <c r="N30" i="30" s="1"/>
  <c r="O30" i="30" s="1"/>
  <c r="P30" i="30" s="1"/>
  <c r="Q30" i="30" s="1"/>
  <c r="R30" i="30" s="1"/>
  <c r="S30" i="30" s="1"/>
  <c r="T30" i="30" s="1"/>
  <c r="U30" i="30" s="1"/>
  <c r="V30" i="30" s="1"/>
  <c r="X30" i="30" s="1"/>
  <c r="Y30" i="30" s="1"/>
  <c r="Z30" i="30" s="1"/>
  <c r="C31" i="30"/>
  <c r="D31" i="30" s="1"/>
  <c r="E31" i="30" s="1"/>
  <c r="F31" i="30" s="1"/>
  <c r="G31" i="30" s="1"/>
  <c r="H31" i="30" s="1"/>
  <c r="I31" i="30" s="1"/>
  <c r="J31" i="30" s="1"/>
  <c r="K31" i="30" s="1"/>
  <c r="L31" i="30" s="1"/>
  <c r="M31" i="30" s="1"/>
  <c r="N31" i="30" s="1"/>
  <c r="O31" i="30" s="1"/>
  <c r="P31" i="30" s="1"/>
  <c r="Q31" i="30" s="1"/>
  <c r="R31" i="30" s="1"/>
  <c r="S31" i="30" s="1"/>
  <c r="T31" i="30" s="1"/>
  <c r="U31" i="30" s="1"/>
  <c r="V31" i="30" s="1"/>
  <c r="X31" i="30" s="1"/>
  <c r="Y31" i="30" s="1"/>
  <c r="Z31" i="30" s="1"/>
  <c r="C32" i="30"/>
  <c r="D32" i="30" s="1"/>
  <c r="E32" i="30" s="1"/>
  <c r="F32" i="30" s="1"/>
  <c r="G32" i="30" s="1"/>
  <c r="H32" i="30" s="1"/>
  <c r="I32" i="30" s="1"/>
  <c r="J32" i="30" s="1"/>
  <c r="K32" i="30" s="1"/>
  <c r="L32" i="30" s="1"/>
  <c r="M32" i="30" s="1"/>
  <c r="N32" i="30" s="1"/>
  <c r="O32" i="30" s="1"/>
  <c r="P32" i="30" s="1"/>
  <c r="Q32" i="30" s="1"/>
  <c r="R32" i="30" s="1"/>
  <c r="S32" i="30" s="1"/>
  <c r="T32" i="30" s="1"/>
  <c r="U32" i="30" s="1"/>
  <c r="V32" i="30" s="1"/>
  <c r="X32" i="30" s="1"/>
  <c r="Y32" i="30" s="1"/>
  <c r="Z32" i="30" s="1"/>
  <c r="C33" i="30"/>
  <c r="D33" i="30" s="1"/>
  <c r="E33" i="30" s="1"/>
  <c r="F33" i="30" s="1"/>
  <c r="G33" i="30" s="1"/>
  <c r="H33" i="30" s="1"/>
  <c r="I33" i="30" s="1"/>
  <c r="J33" i="30" s="1"/>
  <c r="K33" i="30" s="1"/>
  <c r="L33" i="30" s="1"/>
  <c r="M33" i="30" s="1"/>
  <c r="N33" i="30" s="1"/>
  <c r="O33" i="30" s="1"/>
  <c r="P33" i="30" s="1"/>
  <c r="Q33" i="30" s="1"/>
  <c r="R33" i="30" s="1"/>
  <c r="S33" i="30" s="1"/>
  <c r="T33" i="30" s="1"/>
  <c r="U33" i="30" s="1"/>
  <c r="V33" i="30" s="1"/>
  <c r="X33" i="30" s="1"/>
  <c r="Y33" i="30" s="1"/>
  <c r="Z33" i="30" s="1"/>
  <c r="C27" i="30"/>
  <c r="D27" i="30" s="1"/>
  <c r="E27" i="30" s="1"/>
  <c r="F27" i="30" s="1"/>
  <c r="G27" i="30" s="1"/>
  <c r="H27" i="30" s="1"/>
  <c r="I27" i="30" s="1"/>
  <c r="J27" i="30" s="1"/>
  <c r="K27" i="30" s="1"/>
  <c r="L27" i="30" s="1"/>
  <c r="M27" i="30" s="1"/>
  <c r="N27" i="30" s="1"/>
  <c r="O27" i="30" s="1"/>
  <c r="P27" i="30" s="1"/>
  <c r="Q27" i="30" s="1"/>
  <c r="R27" i="30" s="1"/>
  <c r="S27" i="30" s="1"/>
  <c r="T27" i="30" s="1"/>
  <c r="U27" i="30" s="1"/>
  <c r="V27" i="30" s="1"/>
  <c r="X27" i="30" s="1"/>
  <c r="Y27" i="30" s="1"/>
  <c r="Z27" i="30" s="1"/>
  <c r="C5" i="30"/>
  <c r="C6" i="30"/>
  <c r="C7" i="30"/>
  <c r="C8" i="30"/>
  <c r="C9" i="30"/>
  <c r="C56" i="30" s="1"/>
  <c r="C10" i="30"/>
  <c r="C15" i="30"/>
  <c r="C16" i="30"/>
  <c r="C4" i="30"/>
  <c r="D4" i="30" s="1"/>
  <c r="D10" i="30" l="1"/>
  <c r="C57" i="30"/>
  <c r="D15" i="30"/>
  <c r="D8" i="30"/>
  <c r="D7" i="30"/>
  <c r="E4" i="30"/>
  <c r="D6" i="30"/>
  <c r="D16" i="30"/>
  <c r="D9" i="30"/>
  <c r="D56" i="30" s="1"/>
  <c r="D5" i="30"/>
  <c r="E10" i="30" l="1"/>
  <c r="D57" i="30"/>
  <c r="E5" i="30"/>
  <c r="E16" i="30"/>
  <c r="F4" i="30"/>
  <c r="E8" i="30"/>
  <c r="E9" i="30"/>
  <c r="E56" i="30" s="1"/>
  <c r="E6" i="30"/>
  <c r="E7" i="30"/>
  <c r="E15" i="30"/>
  <c r="F10" i="30" l="1"/>
  <c r="E57" i="30"/>
  <c r="F7" i="30"/>
  <c r="F9" i="30"/>
  <c r="F56" i="30" s="1"/>
  <c r="F8" i="30"/>
  <c r="F16" i="30"/>
  <c r="F15" i="30"/>
  <c r="F6" i="30"/>
  <c r="G4" i="30"/>
  <c r="F5" i="30"/>
  <c r="C24" i="30"/>
  <c r="C23" i="30"/>
  <c r="C13" i="30"/>
  <c r="C22" i="30"/>
  <c r="C21" i="30"/>
  <c r="G10" i="30" l="1"/>
  <c r="F57" i="30"/>
  <c r="D22" i="30"/>
  <c r="D24" i="30"/>
  <c r="G5" i="30"/>
  <c r="D13" i="30"/>
  <c r="G15" i="30"/>
  <c r="G16" i="30"/>
  <c r="G9" i="30"/>
  <c r="G56" i="30" s="1"/>
  <c r="D21" i="30"/>
  <c r="H4" i="30"/>
  <c r="G6" i="30"/>
  <c r="D23" i="30"/>
  <c r="G8" i="30"/>
  <c r="G7" i="30"/>
  <c r="C20" i="30"/>
  <c r="C18" i="30"/>
  <c r="C19" i="30"/>
  <c r="A27" i="30"/>
  <c r="A5" i="30"/>
  <c r="A6" i="30"/>
  <c r="A7" i="30"/>
  <c r="A8" i="30"/>
  <c r="A9" i="30"/>
  <c r="A10" i="30"/>
  <c r="A11" i="30"/>
  <c r="A4" i="30"/>
  <c r="H10" i="30" l="1"/>
  <c r="G57" i="30"/>
  <c r="D18" i="30"/>
  <c r="H7" i="30"/>
  <c r="E23" i="30"/>
  <c r="I4" i="30"/>
  <c r="H9" i="30"/>
  <c r="H56" i="30" s="1"/>
  <c r="H15" i="30"/>
  <c r="E24" i="30"/>
  <c r="D19" i="30"/>
  <c r="D20" i="30"/>
  <c r="H8" i="30"/>
  <c r="H6" i="30"/>
  <c r="E21" i="30"/>
  <c r="H16" i="30"/>
  <c r="E13" i="30"/>
  <c r="H5" i="30"/>
  <c r="E22" i="30"/>
  <c r="I10" i="30" l="1"/>
  <c r="H57" i="30"/>
  <c r="F22" i="30"/>
  <c r="F13" i="30"/>
  <c r="F21" i="30"/>
  <c r="I8" i="30"/>
  <c r="E19" i="30"/>
  <c r="I15" i="30"/>
  <c r="J4" i="30"/>
  <c r="I7" i="30"/>
  <c r="I5" i="30"/>
  <c r="I16" i="30"/>
  <c r="I6" i="30"/>
  <c r="E20" i="30"/>
  <c r="F24" i="30"/>
  <c r="I9" i="30"/>
  <c r="I56" i="30" s="1"/>
  <c r="F23" i="30"/>
  <c r="E18" i="30"/>
  <c r="A3" i="15"/>
  <c r="J14" i="4" l="1"/>
  <c r="J13" i="4"/>
  <c r="J10" i="30"/>
  <c r="I57" i="30"/>
  <c r="F18" i="30"/>
  <c r="J9" i="30"/>
  <c r="J56" i="30" s="1"/>
  <c r="F20" i="30"/>
  <c r="J16" i="30"/>
  <c r="J7" i="30"/>
  <c r="J15" i="30"/>
  <c r="J8" i="30"/>
  <c r="G13" i="30"/>
  <c r="G23" i="30"/>
  <c r="G24" i="30"/>
  <c r="J6" i="30"/>
  <c r="J5" i="30"/>
  <c r="K4" i="30"/>
  <c r="F19" i="30"/>
  <c r="G21" i="30"/>
  <c r="G22" i="30"/>
  <c r="F6" i="17"/>
  <c r="F2" i="17"/>
  <c r="K10" i="30" l="1"/>
  <c r="J57" i="30"/>
  <c r="H22" i="30"/>
  <c r="G19" i="30"/>
  <c r="K5" i="30"/>
  <c r="H24" i="30"/>
  <c r="H13" i="30"/>
  <c r="K15" i="30"/>
  <c r="K16" i="30"/>
  <c r="K9" i="30"/>
  <c r="K56" i="30" s="1"/>
  <c r="H21" i="30"/>
  <c r="L4" i="30"/>
  <c r="K6" i="30"/>
  <c r="H23" i="30"/>
  <c r="K8" i="30"/>
  <c r="K7" i="30"/>
  <c r="G20" i="30"/>
  <c r="G18" i="30"/>
  <c r="L10" i="30" l="1"/>
  <c r="K57" i="30"/>
  <c r="H18" i="30"/>
  <c r="L7" i="30"/>
  <c r="I23" i="30"/>
  <c r="M4" i="30"/>
  <c r="L9" i="30"/>
  <c r="L56" i="30" s="1"/>
  <c r="L15" i="30"/>
  <c r="I24" i="30"/>
  <c r="H19" i="30"/>
  <c r="H20" i="30"/>
  <c r="L8" i="30"/>
  <c r="L6" i="30"/>
  <c r="I21" i="30"/>
  <c r="L16" i="30"/>
  <c r="I13" i="30"/>
  <c r="L5" i="30"/>
  <c r="I22" i="30"/>
  <c r="M10" i="30" l="1"/>
  <c r="L57" i="30"/>
  <c r="J22" i="30"/>
  <c r="J13" i="30"/>
  <c r="J21" i="30"/>
  <c r="M8" i="30"/>
  <c r="I19" i="30"/>
  <c r="M15" i="30"/>
  <c r="N4" i="30"/>
  <c r="M7" i="30"/>
  <c r="M5" i="30"/>
  <c r="M16" i="30"/>
  <c r="M6" i="30"/>
  <c r="I20" i="30"/>
  <c r="J24" i="30"/>
  <c r="M9" i="30"/>
  <c r="M56" i="30" s="1"/>
  <c r="J23" i="30"/>
  <c r="I18" i="30"/>
  <c r="N10" i="30" l="1"/>
  <c r="M57" i="30"/>
  <c r="J18" i="30"/>
  <c r="N9" i="30"/>
  <c r="N56" i="30" s="1"/>
  <c r="J20" i="30"/>
  <c r="N16" i="30"/>
  <c r="N7" i="30"/>
  <c r="N15" i="30"/>
  <c r="N8" i="30"/>
  <c r="K13" i="30"/>
  <c r="K23" i="30"/>
  <c r="K24" i="30"/>
  <c r="N6" i="30"/>
  <c r="N5" i="30"/>
  <c r="O4" i="30"/>
  <c r="J19" i="30"/>
  <c r="K21" i="30"/>
  <c r="K22" i="30"/>
  <c r="O10" i="30" l="1"/>
  <c r="N57" i="30"/>
  <c r="L22" i="30"/>
  <c r="K19" i="30"/>
  <c r="O5" i="30"/>
  <c r="L24" i="30"/>
  <c r="L13" i="30"/>
  <c r="O15" i="30"/>
  <c r="O16" i="30"/>
  <c r="O9" i="30"/>
  <c r="O56" i="30" s="1"/>
  <c r="L21" i="30"/>
  <c r="P4" i="30"/>
  <c r="O6" i="30"/>
  <c r="L23" i="30"/>
  <c r="O8" i="30"/>
  <c r="O7" i="30"/>
  <c r="K20" i="30"/>
  <c r="K18" i="30"/>
  <c r="P10" i="30" l="1"/>
  <c r="O57" i="30"/>
  <c r="L18" i="30"/>
  <c r="P7" i="30"/>
  <c r="M23" i="30"/>
  <c r="Q4" i="30"/>
  <c r="P9" i="30"/>
  <c r="P56" i="30" s="1"/>
  <c r="P15" i="30"/>
  <c r="M24" i="30"/>
  <c r="L19" i="30"/>
  <c r="L20" i="30"/>
  <c r="P8" i="30"/>
  <c r="P6" i="30"/>
  <c r="M21" i="30"/>
  <c r="P16" i="30"/>
  <c r="M13" i="30"/>
  <c r="P5" i="30"/>
  <c r="M22" i="30"/>
  <c r="Q10" i="30" l="1"/>
  <c r="P57" i="30"/>
  <c r="N22" i="30"/>
  <c r="N13" i="30"/>
  <c r="N21" i="30"/>
  <c r="Q8" i="30"/>
  <c r="M19" i="30"/>
  <c r="Q15" i="30"/>
  <c r="R4" i="30"/>
  <c r="Q7" i="30"/>
  <c r="Q5" i="30"/>
  <c r="Q16" i="30"/>
  <c r="Q6" i="30"/>
  <c r="M20" i="30"/>
  <c r="N24" i="30"/>
  <c r="Q9" i="30"/>
  <c r="Q56" i="30" s="1"/>
  <c r="N23" i="30"/>
  <c r="M18" i="30"/>
  <c r="R10" i="30" l="1"/>
  <c r="Q57" i="30"/>
  <c r="N18" i="30"/>
  <c r="R9" i="30"/>
  <c r="R56" i="30" s="1"/>
  <c r="N20" i="30"/>
  <c r="R16" i="30"/>
  <c r="R7" i="30"/>
  <c r="R15" i="30"/>
  <c r="R8" i="30"/>
  <c r="O13" i="30"/>
  <c r="O23" i="30"/>
  <c r="O24" i="30"/>
  <c r="R6" i="30"/>
  <c r="R5" i="30"/>
  <c r="S4" i="30"/>
  <c r="N19" i="30"/>
  <c r="O21" i="30"/>
  <c r="O22" i="30"/>
  <c r="S10" i="30" l="1"/>
  <c r="R57" i="30"/>
  <c r="P22" i="30"/>
  <c r="O19" i="30"/>
  <c r="S5" i="30"/>
  <c r="P24" i="30"/>
  <c r="P13" i="30"/>
  <c r="S15" i="30"/>
  <c r="S16" i="30"/>
  <c r="S9" i="30"/>
  <c r="S56" i="30" s="1"/>
  <c r="P21" i="30"/>
  <c r="T4" i="30"/>
  <c r="S6" i="30"/>
  <c r="P23" i="30"/>
  <c r="S8" i="30"/>
  <c r="S7" i="30"/>
  <c r="O20" i="30"/>
  <c r="O18" i="30"/>
  <c r="T10" i="30" l="1"/>
  <c r="S57" i="30"/>
  <c r="P18" i="30"/>
  <c r="T7" i="30"/>
  <c r="Q23" i="30"/>
  <c r="U4" i="30"/>
  <c r="V4" i="30" s="1"/>
  <c r="X4" i="30" s="1"/>
  <c r="Y4" i="30" s="1"/>
  <c r="Z4" i="30" s="1"/>
  <c r="T9" i="30"/>
  <c r="T56" i="30" s="1"/>
  <c r="T15" i="30"/>
  <c r="Q24" i="30"/>
  <c r="P19" i="30"/>
  <c r="P20" i="30"/>
  <c r="T8" i="30"/>
  <c r="T6" i="30"/>
  <c r="Q21" i="30"/>
  <c r="T16" i="30"/>
  <c r="Q13" i="30"/>
  <c r="T5" i="30"/>
  <c r="Q22" i="30"/>
  <c r="U10" i="30" l="1"/>
  <c r="T57" i="30"/>
  <c r="R22" i="30"/>
  <c r="R13" i="30"/>
  <c r="R21" i="30"/>
  <c r="U8" i="30"/>
  <c r="V8" i="30" s="1"/>
  <c r="X8" i="30" s="1"/>
  <c r="Y8" i="30" s="1"/>
  <c r="Z8" i="30" s="1"/>
  <c r="Q19" i="30"/>
  <c r="U15" i="30"/>
  <c r="U7" i="30"/>
  <c r="V7" i="30" s="1"/>
  <c r="X7" i="30" s="1"/>
  <c r="Y7" i="30" s="1"/>
  <c r="Z7" i="30" s="1"/>
  <c r="U5" i="30"/>
  <c r="V5" i="30" s="1"/>
  <c r="X5" i="30" s="1"/>
  <c r="Y5" i="30" s="1"/>
  <c r="Z5" i="30" s="1"/>
  <c r="U16" i="30"/>
  <c r="V16" i="30" s="1"/>
  <c r="X16" i="30" s="1"/>
  <c r="Y16" i="30" s="1"/>
  <c r="Z16" i="30" s="1"/>
  <c r="U6" i="30"/>
  <c r="V6" i="30" s="1"/>
  <c r="X6" i="30" s="1"/>
  <c r="Y6" i="30" s="1"/>
  <c r="Z6" i="30" s="1"/>
  <c r="Q20" i="30"/>
  <c r="R24" i="30"/>
  <c r="U9" i="30"/>
  <c r="R23" i="30"/>
  <c r="Q18" i="30"/>
  <c r="V15" i="30" l="1"/>
  <c r="U56" i="30"/>
  <c r="V9" i="30"/>
  <c r="U57" i="30"/>
  <c r="V10" i="30"/>
  <c r="S23" i="30"/>
  <c r="S24" i="30"/>
  <c r="S13" i="30"/>
  <c r="R18" i="30"/>
  <c r="R20" i="30"/>
  <c r="R19" i="30"/>
  <c r="S21" i="30"/>
  <c r="S22" i="30"/>
  <c r="X9" i="30" l="1"/>
  <c r="V56" i="30"/>
  <c r="X10" i="30"/>
  <c r="V57" i="30"/>
  <c r="X15" i="30"/>
  <c r="T21" i="30"/>
  <c r="S20" i="30"/>
  <c r="T13" i="30"/>
  <c r="T24" i="30"/>
  <c r="T22" i="30"/>
  <c r="S19" i="30"/>
  <c r="S18" i="30"/>
  <c r="T23" i="30"/>
  <c r="Y10" i="30" l="1"/>
  <c r="X57" i="30"/>
  <c r="Y15" i="30"/>
  <c r="X58" i="30"/>
  <c r="Y9" i="30"/>
  <c r="X56" i="30"/>
  <c r="U23" i="30"/>
  <c r="V23" i="30" s="1"/>
  <c r="X23" i="30" s="1"/>
  <c r="Y23" i="30" s="1"/>
  <c r="Z23" i="30" s="1"/>
  <c r="T19" i="30"/>
  <c r="U24" i="30"/>
  <c r="V24" i="30" s="1"/>
  <c r="X24" i="30" s="1"/>
  <c r="Y24" i="30" s="1"/>
  <c r="Z24" i="30" s="1"/>
  <c r="T20" i="30"/>
  <c r="T18" i="30"/>
  <c r="U22" i="30"/>
  <c r="V22" i="30" s="1"/>
  <c r="X22" i="30" s="1"/>
  <c r="Y22" i="30" s="1"/>
  <c r="Z22" i="30" s="1"/>
  <c r="U13" i="30"/>
  <c r="V13" i="30" s="1"/>
  <c r="X13" i="30" s="1"/>
  <c r="Y13" i="30" s="1"/>
  <c r="Z13" i="30" s="1"/>
  <c r="U21" i="30"/>
  <c r="V21" i="30" s="1"/>
  <c r="X21" i="30" s="1"/>
  <c r="Y21" i="30" s="1"/>
  <c r="Z21" i="30" s="1"/>
  <c r="Z15" i="30" l="1"/>
  <c r="Z58" i="30" s="1"/>
  <c r="Y58" i="30"/>
  <c r="Z9" i="30"/>
  <c r="Z56" i="30" s="1"/>
  <c r="Y56" i="30"/>
  <c r="Y57" i="30"/>
  <c r="Z10" i="30"/>
  <c r="Z57" i="30" s="1"/>
  <c r="U20" i="30"/>
  <c r="V20" i="30" s="1"/>
  <c r="X20" i="30" s="1"/>
  <c r="Y20" i="30" s="1"/>
  <c r="Z20" i="30" s="1"/>
  <c r="U19" i="30"/>
  <c r="V19" i="30" s="1"/>
  <c r="X19" i="30" s="1"/>
  <c r="Y19" i="30" s="1"/>
  <c r="Z19" i="30" s="1"/>
  <c r="U18" i="30"/>
  <c r="V18" i="30" s="1"/>
  <c r="X18" i="30" s="1"/>
  <c r="Y18" i="30" s="1"/>
  <c r="Z18" i="30" s="1"/>
  <c r="N24" i="40" l="1"/>
  <c r="F24" i="40" s="1"/>
  <c r="N15" i="40"/>
  <c r="F15" i="40" s="1"/>
  <c r="N9" i="40"/>
  <c r="F9" i="40" s="1"/>
  <c r="N12" i="40"/>
  <c r="F12" i="40" s="1"/>
  <c r="N6" i="40"/>
  <c r="F6" i="40" s="1"/>
  <c r="M23" i="40"/>
  <c r="F23" i="40" s="1"/>
  <c r="D23" i="40" s="1"/>
  <c r="M8" i="40"/>
  <c r="F8" i="40" s="1"/>
  <c r="D8" i="40" s="1"/>
  <c r="M11" i="40"/>
  <c r="F11" i="40" s="1"/>
  <c r="D11" i="40" s="1"/>
  <c r="M5" i="40"/>
  <c r="F5" i="40" s="1"/>
  <c r="D5" i="40" s="1"/>
  <c r="M14" i="40"/>
  <c r="F14" i="40" s="1"/>
  <c r="D14" i="40" s="1"/>
  <c r="L22" i="40"/>
  <c r="F22" i="40" s="1"/>
  <c r="D22" i="40" s="1"/>
  <c r="L13" i="40"/>
  <c r="F13" i="40" s="1"/>
  <c r="D13" i="40" s="1"/>
  <c r="L10" i="40"/>
  <c r="F10" i="40" s="1"/>
  <c r="D10" i="40" s="1"/>
  <c r="L4" i="40"/>
  <c r="F4" i="40" s="1"/>
  <c r="D4" i="40" s="1"/>
  <c r="L7" i="40"/>
  <c r="F7" i="40" s="1"/>
  <c r="D7" i="40" s="1"/>
  <c r="C15" i="17" l="1"/>
  <c r="D82" i="40" s="1"/>
  <c r="D11" i="17" l="1"/>
  <c r="B9" i="17"/>
  <c r="E9" i="17"/>
  <c r="C22" i="17"/>
  <c r="B12" i="17"/>
  <c r="C2" i="17"/>
  <c r="D6" i="40" s="1"/>
  <c r="D7" i="17"/>
  <c r="D2" i="17"/>
  <c r="D19" i="17"/>
  <c r="E7" i="17"/>
  <c r="B6" i="17"/>
  <c r="E6" i="17"/>
  <c r="B3" i="17"/>
  <c r="E3" i="17"/>
  <c r="D5" i="17"/>
  <c r="D9" i="17"/>
  <c r="C9" i="17"/>
  <c r="C3" i="17"/>
  <c r="D12" i="40" s="1"/>
  <c r="E4" i="17"/>
  <c r="B10" i="17"/>
  <c r="E21" i="17"/>
  <c r="E12" i="17"/>
  <c r="C10" i="17"/>
  <c r="B17" i="17"/>
  <c r="E10" i="17"/>
  <c r="C21" i="17"/>
  <c r="B7" i="17"/>
  <c r="E8" i="17"/>
  <c r="C5" i="17"/>
  <c r="D15" i="40" s="1"/>
  <c r="D10" i="17"/>
  <c r="B2" i="17"/>
  <c r="B5" i="17"/>
  <c r="D6" i="17"/>
  <c r="B8" i="17"/>
  <c r="E5" i="17"/>
  <c r="C8" i="17"/>
  <c r="B25" i="17"/>
  <c r="C7" i="17"/>
  <c r="C6" i="17"/>
  <c r="D35" i="40" s="1"/>
  <c r="D4" i="17"/>
  <c r="B11" i="17"/>
  <c r="D3" i="17"/>
  <c r="D8" i="17"/>
  <c r="B15" i="17"/>
  <c r="C12" i="17"/>
  <c r="E2" i="17"/>
  <c r="E22" i="17"/>
  <c r="B4" i="17"/>
  <c r="E11" i="17"/>
  <c r="D12" i="17"/>
  <c r="B13" i="17"/>
  <c r="C19" i="17"/>
  <c r="B20" i="17"/>
  <c r="D18" i="17"/>
  <c r="B23" i="17"/>
  <c r="D14" i="17"/>
  <c r="E14" i="17"/>
  <c r="E24" i="17"/>
  <c r="D15" i="17"/>
  <c r="B16" i="17"/>
  <c r="C17" i="17"/>
  <c r="C16" i="17"/>
  <c r="D83" i="40" s="1"/>
  <c r="E25" i="17"/>
  <c r="C13" i="17"/>
  <c r="D79" i="40" s="1"/>
  <c r="D13" i="17"/>
  <c r="E13" i="17"/>
  <c r="C20" i="17"/>
  <c r="D17" i="17"/>
  <c r="D21" i="17"/>
  <c r="B22" i="17"/>
  <c r="E23" i="17"/>
  <c r="C24" i="17"/>
  <c r="C14" i="17"/>
  <c r="D81" i="40" s="1"/>
  <c r="D25" i="17"/>
  <c r="E17" i="17"/>
  <c r="B19" i="17"/>
  <c r="C18" i="17"/>
  <c r="C4" i="17"/>
  <c r="C25" i="17"/>
  <c r="D34" i="40" s="1"/>
  <c r="D22" i="17"/>
  <c r="D16" i="17"/>
  <c r="B24" i="17"/>
  <c r="B21" i="17"/>
  <c r="E16" i="17"/>
  <c r="C23" i="17"/>
  <c r="D20" i="17"/>
  <c r="D24" i="17"/>
  <c r="E18" i="17"/>
  <c r="C11" i="17"/>
  <c r="B18" i="17"/>
  <c r="E19" i="17"/>
  <c r="B14" i="17"/>
  <c r="D23" i="17"/>
  <c r="E20" i="17"/>
  <c r="E15" i="17"/>
  <c r="D24" i="40" l="1"/>
  <c r="D21" i="40"/>
  <c r="D18" i="40"/>
  <c r="D55" i="40"/>
  <c r="D52" i="40"/>
  <c r="D53" i="40"/>
  <c r="D75" i="40"/>
  <c r="D74" i="40"/>
  <c r="D40" i="40"/>
  <c r="D44" i="40"/>
  <c r="D43" i="40"/>
  <c r="D47" i="40"/>
  <c r="D54" i="40"/>
  <c r="D51" i="40"/>
  <c r="D9" i="40"/>
  <c r="D50" i="40"/>
  <c r="D49" i="40"/>
  <c r="D48" i="40"/>
  <c r="D46" i="40"/>
  <c r="D41" i="40"/>
  <c r="D39" i="40"/>
  <c r="D38" i="40"/>
  <c r="D42" i="40"/>
  <c r="D45" i="40"/>
  <c r="D37" i="40"/>
  <c r="D36" i="40"/>
  <c r="D33" i="40"/>
  <c r="K121" i="43" l="1"/>
  <c r="J43" i="43" s="1"/>
  <c r="D121" i="43"/>
  <c r="C43" i="43" s="1"/>
  <c r="L121" i="43"/>
  <c r="K43" i="43" s="1"/>
  <c r="V121" i="43"/>
  <c r="R121" i="43"/>
  <c r="Q43" i="43" s="1"/>
  <c r="C121" i="43"/>
  <c r="B43" i="43" s="1"/>
  <c r="G121" i="43"/>
  <c r="F43" i="43" s="1"/>
  <c r="G123" i="43"/>
  <c r="F45" i="43" s="1"/>
  <c r="I123" i="43"/>
  <c r="H45" i="43" s="1"/>
  <c r="K123" i="43"/>
  <c r="J45" i="43" s="1"/>
  <c r="M123" i="43"/>
  <c r="L45" i="43" s="1"/>
  <c r="O123" i="43"/>
  <c r="N45" i="43" s="1"/>
  <c r="C123" i="43"/>
  <c r="B45" i="43" s="1"/>
  <c r="T123" i="43"/>
  <c r="Q123" i="43"/>
  <c r="P45" i="43" s="1"/>
  <c r="I125" i="43"/>
  <c r="H47" i="43" s="1"/>
  <c r="K125" i="43"/>
  <c r="J47" i="43" s="1"/>
  <c r="M125" i="43"/>
  <c r="L47" i="43" s="1"/>
  <c r="O125" i="43"/>
  <c r="N47" i="43" s="1"/>
  <c r="C125" i="43"/>
  <c r="B47" i="43" s="1"/>
  <c r="V125" i="43"/>
  <c r="Q125" i="43"/>
  <c r="P47" i="43" s="1"/>
  <c r="J49" i="43"/>
  <c r="L49" i="43"/>
  <c r="N49" i="43"/>
  <c r="B49" i="43"/>
  <c r="P49" i="43"/>
  <c r="U128" i="43"/>
  <c r="T122" i="43"/>
  <c r="C122" i="43"/>
  <c r="B44" i="43" s="1"/>
  <c r="W122" i="43"/>
  <c r="D124" i="43" l="1"/>
  <c r="C46" i="43" s="1"/>
  <c r="F124" i="43"/>
  <c r="E46" i="43" s="1"/>
  <c r="H124" i="43"/>
  <c r="G46" i="43" s="1"/>
  <c r="J124" i="43"/>
  <c r="I46" i="43" s="1"/>
  <c r="L124" i="43"/>
  <c r="K46" i="43" s="1"/>
  <c r="N124" i="43"/>
  <c r="M46" i="43" s="1"/>
  <c r="P124" i="43"/>
  <c r="O46" i="43" s="1"/>
  <c r="R124" i="43"/>
  <c r="Q46" i="43" s="1"/>
  <c r="S124" i="43"/>
  <c r="R46" i="43" s="1"/>
  <c r="S46" i="43" s="1"/>
  <c r="T46" i="43" s="1"/>
  <c r="U46" i="43" s="1"/>
  <c r="V46" i="43" s="1"/>
  <c r="W46" i="43" s="1"/>
  <c r="E124" i="43"/>
  <c r="D46" i="43" s="1"/>
  <c r="G124" i="43"/>
  <c r="F46" i="43" s="1"/>
  <c r="I124" i="43"/>
  <c r="H46" i="43" s="1"/>
  <c r="K124" i="43"/>
  <c r="J46" i="43" s="1"/>
  <c r="M124" i="43"/>
  <c r="L46" i="43" s="1"/>
  <c r="O124" i="43"/>
  <c r="N46" i="43" s="1"/>
  <c r="Q124" i="43"/>
  <c r="P46" i="43" s="1"/>
  <c r="U124" i="43"/>
  <c r="V124" i="43"/>
  <c r="D122" i="43"/>
  <c r="C44" i="43" s="1"/>
  <c r="F122" i="43"/>
  <c r="E44" i="43" s="1"/>
  <c r="H122" i="43"/>
  <c r="G44" i="43" s="1"/>
  <c r="J122" i="43"/>
  <c r="I44" i="43" s="1"/>
  <c r="L122" i="43"/>
  <c r="K44" i="43" s="1"/>
  <c r="N122" i="43"/>
  <c r="M44" i="43" s="1"/>
  <c r="P122" i="43"/>
  <c r="O44" i="43" s="1"/>
  <c r="R122" i="43"/>
  <c r="Q44" i="43" s="1"/>
  <c r="S122" i="43"/>
  <c r="R44" i="43" s="1"/>
  <c r="S44" i="43" s="1"/>
  <c r="T44" i="43" s="1"/>
  <c r="U44" i="43" s="1"/>
  <c r="V44" i="43" s="1"/>
  <c r="W44" i="43" s="1"/>
  <c r="E122" i="43"/>
  <c r="D44" i="43" s="1"/>
  <c r="G122" i="43"/>
  <c r="F44" i="43" s="1"/>
  <c r="I122" i="43"/>
  <c r="H44" i="43" s="1"/>
  <c r="K122" i="43"/>
  <c r="J44" i="43" s="1"/>
  <c r="M122" i="43"/>
  <c r="L44" i="43" s="1"/>
  <c r="O122" i="43"/>
  <c r="N44" i="43" s="1"/>
  <c r="Q122" i="43"/>
  <c r="P44" i="43" s="1"/>
  <c r="U122" i="43"/>
  <c r="V122" i="43"/>
  <c r="W124" i="43"/>
  <c r="C124" i="43"/>
  <c r="B46" i="43" s="1"/>
  <c r="T124" i="43"/>
  <c r="D126" i="43"/>
  <c r="C48" i="43" s="1"/>
  <c r="F126" i="43"/>
  <c r="E48" i="43" s="1"/>
  <c r="H126" i="43"/>
  <c r="G48" i="43" s="1"/>
  <c r="J126" i="43"/>
  <c r="I48" i="43" s="1"/>
  <c r="L126" i="43"/>
  <c r="K48" i="43" s="1"/>
  <c r="N126" i="43"/>
  <c r="M48" i="43" s="1"/>
  <c r="P126" i="43"/>
  <c r="O48" i="43" s="1"/>
  <c r="R126" i="43"/>
  <c r="Q48" i="43" s="1"/>
  <c r="S126" i="43"/>
  <c r="R48" i="43" s="1"/>
  <c r="S48" i="43" s="1"/>
  <c r="T48" i="43" s="1"/>
  <c r="U48" i="43" s="1"/>
  <c r="V48" i="43" s="1"/>
  <c r="W48" i="43" s="1"/>
  <c r="W126" i="43"/>
  <c r="V126" i="43"/>
  <c r="C128" i="43"/>
  <c r="B50" i="43" s="1"/>
  <c r="T128" i="43"/>
  <c r="H49" i="43"/>
  <c r="F49" i="43"/>
  <c r="D49" i="43"/>
  <c r="G125" i="43"/>
  <c r="F47" i="43" s="1"/>
  <c r="E125" i="43"/>
  <c r="D47" i="43" s="1"/>
  <c r="E123" i="43"/>
  <c r="D45" i="43" s="1"/>
  <c r="W123" i="43"/>
  <c r="U125" i="43"/>
  <c r="J121" i="43"/>
  <c r="I43" i="43" s="1"/>
  <c r="Q121" i="43"/>
  <c r="P43" i="43" s="1"/>
  <c r="I121" i="43"/>
  <c r="H43" i="43" s="1"/>
  <c r="H121" i="43"/>
  <c r="G43" i="43" s="1"/>
  <c r="O121" i="43"/>
  <c r="N43" i="43" s="1"/>
  <c r="F121" i="43"/>
  <c r="E43" i="43" s="1"/>
  <c r="M121" i="43"/>
  <c r="L43" i="43" s="1"/>
  <c r="N121" i="43"/>
  <c r="M43" i="43" s="1"/>
  <c r="U121" i="43"/>
  <c r="E121" i="43"/>
  <c r="D43" i="43" s="1"/>
  <c r="C126" i="43"/>
  <c r="B48" i="43" s="1"/>
  <c r="U126" i="43"/>
  <c r="T126" i="43"/>
  <c r="S128" i="43"/>
  <c r="R50" i="43" s="1"/>
  <c r="S50" i="43" s="1"/>
  <c r="T50" i="43" s="1"/>
  <c r="U50" i="43" s="1"/>
  <c r="V50" i="43" s="1"/>
  <c r="W50" i="43" s="1"/>
  <c r="D128" i="43"/>
  <c r="C50" i="43" s="1"/>
  <c r="F128" i="43"/>
  <c r="E50" i="43" s="1"/>
  <c r="H128" i="43"/>
  <c r="G50" i="43" s="1"/>
  <c r="J128" i="43"/>
  <c r="I50" i="43" s="1"/>
  <c r="L128" i="43"/>
  <c r="K50" i="43" s="1"/>
  <c r="N128" i="43"/>
  <c r="M50" i="43" s="1"/>
  <c r="P128" i="43"/>
  <c r="O50" i="43" s="1"/>
  <c r="V128" i="43"/>
  <c r="W128" i="43"/>
  <c r="Q128" i="43"/>
  <c r="P50" i="43" s="1"/>
  <c r="O128" i="43"/>
  <c r="N50" i="43" s="1"/>
  <c r="M128" i="43"/>
  <c r="L50" i="43" s="1"/>
  <c r="K128" i="43"/>
  <c r="J50" i="43" s="1"/>
  <c r="I128" i="43"/>
  <c r="H50" i="43" s="1"/>
  <c r="G128" i="43"/>
  <c r="F50" i="43" s="1"/>
  <c r="E128" i="43"/>
  <c r="D50" i="43" s="1"/>
  <c r="C49" i="43"/>
  <c r="E49" i="43"/>
  <c r="G49" i="43"/>
  <c r="I49" i="43"/>
  <c r="K49" i="43"/>
  <c r="M49" i="43"/>
  <c r="O49" i="43"/>
  <c r="Q49" i="43"/>
  <c r="R49" i="43"/>
  <c r="S49" i="43" s="1"/>
  <c r="T49" i="43" s="1"/>
  <c r="U49" i="43" s="1"/>
  <c r="V49" i="43" s="1"/>
  <c r="W49" i="43" s="1"/>
  <c r="Q126" i="43"/>
  <c r="P48" i="43" s="1"/>
  <c r="O126" i="43"/>
  <c r="N48" i="43" s="1"/>
  <c r="M126" i="43"/>
  <c r="L48" i="43" s="1"/>
  <c r="K126" i="43"/>
  <c r="J48" i="43" s="1"/>
  <c r="I126" i="43"/>
  <c r="H48" i="43" s="1"/>
  <c r="G126" i="43"/>
  <c r="F48" i="43" s="1"/>
  <c r="E126" i="43"/>
  <c r="D48" i="43" s="1"/>
  <c r="D125" i="43"/>
  <c r="C47" i="43" s="1"/>
  <c r="F125" i="43"/>
  <c r="E47" i="43" s="1"/>
  <c r="H125" i="43"/>
  <c r="G47" i="43" s="1"/>
  <c r="J125" i="43"/>
  <c r="I47" i="43" s="1"/>
  <c r="L125" i="43"/>
  <c r="K47" i="43" s="1"/>
  <c r="N125" i="43"/>
  <c r="M47" i="43" s="1"/>
  <c r="P125" i="43"/>
  <c r="O47" i="43" s="1"/>
  <c r="R125" i="43"/>
  <c r="Q47" i="43" s="1"/>
  <c r="S125" i="43"/>
  <c r="R47" i="43" s="1"/>
  <c r="S47" i="43" s="1"/>
  <c r="T47" i="43" s="1"/>
  <c r="U47" i="43" s="1"/>
  <c r="V47" i="43" s="1"/>
  <c r="W47" i="43" s="1"/>
  <c r="D123" i="43"/>
  <c r="C45" i="43" s="1"/>
  <c r="F123" i="43"/>
  <c r="E45" i="43" s="1"/>
  <c r="H123" i="43"/>
  <c r="G45" i="43" s="1"/>
  <c r="J123" i="43"/>
  <c r="I45" i="43" s="1"/>
  <c r="L123" i="43"/>
  <c r="K45" i="43" s="1"/>
  <c r="N123" i="43"/>
  <c r="M45" i="43" s="1"/>
  <c r="P123" i="43"/>
  <c r="O45" i="43" s="1"/>
  <c r="R123" i="43"/>
  <c r="Q45" i="43" s="1"/>
  <c r="S123" i="43"/>
  <c r="R45" i="43" s="1"/>
  <c r="S45" i="43" s="1"/>
  <c r="T45" i="43" s="1"/>
  <c r="U45" i="43" s="1"/>
  <c r="V45" i="43" s="1"/>
  <c r="W45" i="43" s="1"/>
  <c r="U123" i="43"/>
  <c r="V123" i="43"/>
  <c r="W125" i="43"/>
  <c r="T125" i="43"/>
  <c r="T121" i="43"/>
  <c r="W121" i="43"/>
  <c r="S121" i="43"/>
  <c r="R43" i="43" s="1"/>
  <c r="S43" i="43" s="1"/>
  <c r="T43" i="43" s="1"/>
  <c r="U43" i="43" s="1"/>
  <c r="V43" i="43" s="1"/>
  <c r="W43" i="43" s="1"/>
  <c r="P121" i="43"/>
  <c r="O43" i="43" s="1"/>
  <c r="R128" i="43"/>
  <c r="Q50" i="4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Ola Eriksson</author>
    <author>Ljusk Ola Eriksson</author>
  </authors>
  <commentList>
    <comment ref="D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If e &gt; 0 then there is a fixed constraint on the output volume of the factor</t>
        </r>
      </text>
    </comment>
    <comment ref="F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How much of factor available on NFI plot that is available at road side and can be used (timber incl. Other uses; residues what can be landed max.)
0 = factor not available at plot which prohibits transport from plot.</t>
        </r>
      </text>
    </comment>
    <comment ref="I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C = coarse if left on site
F = fine 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Ljusk Ola Eriksson</author>
  </authors>
  <commentList>
    <comment ref="R39" authorId="0" shapeId="0" xr:uid="{177E68E8-BCFE-4B58-AE72-76C824DCA47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39" authorId="0" shapeId="0" xr:uid="{670B3230-4040-4706-855F-B0FD0B2F61A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39" authorId="0" shapeId="0" xr:uid="{30716A41-4BF6-4349-96DE-63E98FCAC0E7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39" authorId="0" shapeId="0" xr:uid="{33C85B40-63B4-4E7A-A4C6-9C3C8906ED1D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39" authorId="0" shapeId="0" xr:uid="{C068319F-64DC-41CC-97AE-50C9000029F9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R43" authorId="0" shapeId="0" xr:uid="{34064326-D01F-4185-A739-285078CAABFE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3" authorId="0" shapeId="0" xr:uid="{83EF0DE6-E21B-49F8-8D48-5D9EA51F4042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3" authorId="0" shapeId="0" xr:uid="{69B04AD2-0334-49A9-A379-DECB3432B71C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3" authorId="0" shapeId="0" xr:uid="{FF4CB270-1002-47C8-965A-8585BB77A7E5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3" authorId="0" shapeId="0" xr:uid="{1B20842E-EBEA-4E62-AA4C-082BCDB83782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R44" authorId="0" shapeId="0" xr:uid="{5B073DCC-E6F2-4EDF-A9BA-2791B461B921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4" authorId="0" shapeId="0" xr:uid="{95C6C57F-9B7A-466B-A94E-BC797685D82C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4" authorId="0" shapeId="0" xr:uid="{BD419877-9E64-434C-80E7-B934979115EA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4" authorId="0" shapeId="0" xr:uid="{6BDDBB79-0A62-46F7-8E73-CFCD64F305DA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4" authorId="0" shapeId="0" xr:uid="{8401C164-1836-4DBA-8501-C89B0664A4E5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R45" authorId="0" shapeId="0" xr:uid="{2FDA4A24-63BD-4F96-B9BB-510BD7777527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5" authorId="0" shapeId="0" xr:uid="{FD30C575-E3D2-401D-BC1A-4F81DFAD1673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5" authorId="0" shapeId="0" xr:uid="{3F9C27DB-2EC2-4DB1-8AA7-96D2826F32B4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5" authorId="0" shapeId="0" xr:uid="{7FA83989-D823-4FE7-A2C8-544D9C5C0FB4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5" authorId="0" shapeId="0" xr:uid="{A8290E68-B640-4994-8BA5-11AD78175153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R46" authorId="0" shapeId="0" xr:uid="{AC6F1A5D-C9DF-4BD5-99B1-D027609DCA51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6" authorId="0" shapeId="0" xr:uid="{C5A98C6F-5158-496C-8E01-6B22122C35D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6" authorId="0" shapeId="0" xr:uid="{BD9A719D-631B-437B-9CB6-6B3462A4472E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6" authorId="0" shapeId="0" xr:uid="{CD254907-F1C8-4EED-9EF9-DCA0FD8BE4C5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6" authorId="0" shapeId="0" xr:uid="{B7A3DEF0-B493-49D4-B1BD-EFE92E5CA1CD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R47" authorId="0" shapeId="0" xr:uid="{C65CB9CD-0426-4E73-8A35-18BEEC9BB417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7" authorId="0" shapeId="0" xr:uid="{A5C6F6F0-9088-40A9-B042-201E768B3006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7" authorId="0" shapeId="0" xr:uid="{6D7B44CC-12C2-4474-A1CD-9ED1D0928812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7" authorId="0" shapeId="0" xr:uid="{2CB26B19-1D86-4B8E-A422-8AD79988EB75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7" authorId="0" shapeId="0" xr:uid="{6EB9A0E3-12D8-4DB8-AF0F-02A2E2CBED99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R48" authorId="0" shapeId="0" xr:uid="{5F9976E8-26BB-4BF1-B8AD-D931B13CEF28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8" authorId="0" shapeId="0" xr:uid="{C3F9A1F5-7062-4BB0-AC3A-90404BB1E12B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8" authorId="0" shapeId="0" xr:uid="{7FC5A5FE-9B76-45EB-9F11-839A5A413374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8" authorId="0" shapeId="0" xr:uid="{1C09BD4F-A3FA-4DA3-82CF-C708138096A4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8" authorId="0" shapeId="0" xr:uid="{75E3C83D-E9BF-4154-BCC2-4C9205F5B843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R49" authorId="0" shapeId="0" xr:uid="{922A4DB5-44DD-4569-BC26-5EDD8C316948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9" authorId="0" shapeId="0" xr:uid="{49587793-074E-45C6-B0AE-B22980BF7855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9" authorId="0" shapeId="0" xr:uid="{F7A5039E-23AC-4D5F-9B77-92C2DA920858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9" authorId="0" shapeId="0" xr:uid="{4AB0FB30-CC6D-489D-BE7B-6D51FF52951A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9" authorId="0" shapeId="0" xr:uid="{90E6B942-F270-4475-B7CB-B621378D0D8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R50" authorId="0" shapeId="0" xr:uid="{D8F15742-A8FE-4CC7-8B7B-864CD8A5D3BA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50" authorId="0" shapeId="0" xr:uid="{6FA03E3E-C7CF-4B32-93B6-C1359F006D3F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50" authorId="0" shapeId="0" xr:uid="{581F826E-488D-46FD-BEE4-156C54FCAAA8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50" authorId="0" shapeId="0" xr:uid="{538FE437-A28F-4F8F-A510-40623DEA7D6C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50" authorId="0" shapeId="0" xr:uid="{33BE165D-50E8-40F8-B2A2-855651BFE7CB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tc={C903AB1A-1EF9-41C2-BEB0-5DF0309E361F}</author>
    <author>Ljusk Ola Eriksson</author>
  </authors>
  <commentList>
    <comment ref="A1" authorId="0" shapeId="0" xr:uid="{C903AB1A-1EF9-41C2-BEB0-5DF0309E361F}">
      <text>
        <r>
          <rPr>
            <sz val="11"/>
            <color theme="1"/>
            <rFont val="Trebuchet MS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Analyses with forest data 2017-18 and studies completed during 2025, or at least material are essentially produced during this year, could use column B as starting period, i.e. 2020. Later studies are recommended to use column C as starting period, i.e. 2025</t>
        </r>
      </text>
    </comment>
    <comment ref="S39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39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39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39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39" authorId="1" shapeId="0" xr:uid="{00000000-0006-0000-0500-000005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3" authorId="1" shapeId="0" xr:uid="{00000000-0006-0000-0500-00000B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3" authorId="1" shapeId="0" xr:uid="{00000000-0006-0000-0500-00000C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3" authorId="1" shapeId="0" xr:uid="{00000000-0006-0000-0500-00000D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3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3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4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4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4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4" authorId="1" shapeId="0" xr:uid="{00000000-0006-0000-0500-000013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4" authorId="1" shapeId="0" xr:uid="{00000000-0006-0000-0500-000014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5" authorId="1" shapeId="0" xr:uid="{00000000-0006-0000-0500-000015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5" authorId="1" shapeId="0" xr:uid="{00000000-0006-0000-0500-000016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5" authorId="1" shapeId="0" xr:uid="{00000000-0006-0000-0500-000017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5" authorId="1" shapeId="0" xr:uid="{00000000-0006-0000-0500-000018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5" authorId="1" shapeId="0" xr:uid="{00000000-0006-0000-0500-000019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6" authorId="1" shapeId="0" xr:uid="{00000000-0006-0000-0500-00001A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6" authorId="1" shapeId="0" xr:uid="{00000000-0006-0000-0500-00001B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6" authorId="1" shapeId="0" xr:uid="{00000000-0006-0000-0500-00001C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6" authorId="1" shapeId="0" xr:uid="{00000000-0006-0000-0500-00001D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6" authorId="1" shapeId="0" xr:uid="{00000000-0006-0000-0500-00001E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7" authorId="1" shapeId="0" xr:uid="{00000000-0006-0000-0500-00001F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7" authorId="1" shapeId="0" xr:uid="{00000000-0006-0000-0500-000020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7" authorId="1" shapeId="0" xr:uid="{00000000-0006-0000-0500-000021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7" authorId="1" shapeId="0" xr:uid="{00000000-0006-0000-0500-000022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7" authorId="1" shapeId="0" xr:uid="{00000000-0006-0000-0500-000023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8" authorId="1" shapeId="0" xr:uid="{00000000-0006-0000-0500-000024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8" authorId="1" shapeId="0" xr:uid="{00000000-0006-0000-0500-000025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8" authorId="1" shapeId="0" xr:uid="{00000000-0006-0000-0500-000026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8" authorId="1" shapeId="0" xr:uid="{00000000-0006-0000-0500-000027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8" authorId="1" shapeId="0" xr:uid="{00000000-0006-0000-0500-000028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9" authorId="1" shapeId="0" xr:uid="{00000000-0006-0000-0500-000029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9" authorId="1" shapeId="0" xr:uid="{00000000-0006-0000-0500-00002A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9" authorId="1" shapeId="0" xr:uid="{00000000-0006-0000-0500-00002B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9" authorId="1" shapeId="0" xr:uid="{00000000-0006-0000-0500-00002C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9" authorId="1" shapeId="0" xr:uid="{00000000-0006-0000-0500-00002D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50" authorId="1" shapeId="0" xr:uid="{00000000-0006-0000-0500-00002E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50" authorId="1" shapeId="0" xr:uid="{00000000-0006-0000-0500-00002F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50" authorId="1" shapeId="0" xr:uid="{00000000-0006-0000-0500-000030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50" authorId="1" shapeId="0" xr:uid="{00000000-0006-0000-0500-000031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50" authorId="1" shapeId="0" xr:uid="{00000000-0006-0000-0500-000032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Ola Eriksson</author>
  </authors>
  <commentList>
    <comment ref="B59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C59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D59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E59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F59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G59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H59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I59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J59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K59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L59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M59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N59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O59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P59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Q59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R59" authorId="0" shapeId="0" xr:uid="{00000000-0006-0000-0700-000011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S59" authorId="0" shapeId="0" xr:uid="{00000000-0006-0000-0700-000012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T59" authorId="0" shapeId="0" xr:uid="{00000000-0006-0000-0700-000013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U59" authorId="0" shapeId="0" xr:uid="{00000000-0006-0000-0700-000014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V59" authorId="0" shapeId="0" xr:uid="{00000000-0006-0000-0700-000015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</commentList>
</comments>
</file>

<file path=xl/sharedStrings.xml><?xml version="1.0" encoding="utf-8"?>
<sst xmlns="http://schemas.openxmlformats.org/spreadsheetml/2006/main" count="17026" uniqueCount="16561">
  <si>
    <t>MWh</t>
  </si>
  <si>
    <t>ton</t>
  </si>
  <si>
    <t>MWhperTonTS</t>
  </si>
  <si>
    <t>TonTSperM3fub</t>
  </si>
  <si>
    <t>tonTS</t>
  </si>
  <si>
    <t>Decids</t>
  </si>
  <si>
    <t>Sawdst</t>
  </si>
  <si>
    <t>Chips_</t>
  </si>
  <si>
    <t>Heat__</t>
  </si>
  <si>
    <t>Electr</t>
  </si>
  <si>
    <t>PuDiss</t>
  </si>
  <si>
    <t>Sawmpi</t>
  </si>
  <si>
    <t>Sawmsp</t>
  </si>
  <si>
    <t>Sawmal</t>
  </si>
  <si>
    <t>Heatpl</t>
  </si>
  <si>
    <t>MWhperM3fub</t>
  </si>
  <si>
    <t>TonMechanicalPulpPerM3fub</t>
  </si>
  <si>
    <t>TonHalfChemicalPulpPerM3fub</t>
  </si>
  <si>
    <t>CHPpl_</t>
  </si>
  <si>
    <t>PinTim</t>
  </si>
  <si>
    <t>PinPuw</t>
  </si>
  <si>
    <t>SprTim</t>
  </si>
  <si>
    <t>SprPuw</t>
  </si>
  <si>
    <t>Period</t>
  </si>
  <si>
    <t>ResStm</t>
  </si>
  <si>
    <t>ResRot</t>
  </si>
  <si>
    <t>PuMech</t>
  </si>
  <si>
    <t>PuChem</t>
  </si>
  <si>
    <t>NwMech</t>
  </si>
  <si>
    <t>PaChem</t>
  </si>
  <si>
    <t>OtMech</t>
  </si>
  <si>
    <t>OtChem</t>
  </si>
  <si>
    <t>M3fubSawdustPerM3fub</t>
  </si>
  <si>
    <t>M3fubChipsM3fub</t>
  </si>
  <si>
    <t>M3svPerM3fub</t>
  </si>
  <si>
    <t>Length (y)</t>
  </si>
  <si>
    <t>MaxImports</t>
  </si>
  <si>
    <t>ImportPrices</t>
  </si>
  <si>
    <t>PuBCCS</t>
  </si>
  <si>
    <t>TonPaChemPerTonPu</t>
  </si>
  <si>
    <t>TonOtChemPerTonPu</t>
  </si>
  <si>
    <t>TonOtMechPerTonPu</t>
  </si>
  <si>
    <t>TonNwMechPerTonPu</t>
  </si>
  <si>
    <t>PuCTMP</t>
  </si>
  <si>
    <t>MWhPerTonPuChem</t>
  </si>
  <si>
    <t>MWhPerTonPpChem</t>
  </si>
  <si>
    <t>MWhPerTonPuBCCS</t>
  </si>
  <si>
    <t>MWhPerTonPpBCCS</t>
  </si>
  <si>
    <t>MWhPerTonPuMech</t>
  </si>
  <si>
    <t>PaBCCS</t>
  </si>
  <si>
    <t>OtBCCS</t>
  </si>
  <si>
    <t>HeatPlantEfficiency</t>
  </si>
  <si>
    <t>BioFue</t>
  </si>
  <si>
    <t>Electricity output</t>
  </si>
  <si>
    <t>MWhPerMWhBiofuel</t>
  </si>
  <si>
    <t>TonSulphateSulphitePulpPerM3fub</t>
  </si>
  <si>
    <t>TonDissolvingPulpPerM3fub</t>
  </si>
  <si>
    <t>HTLPlantEfficiency</t>
  </si>
  <si>
    <t>Fixed cost</t>
  </si>
  <si>
    <t>CHPPlantEfficiency</t>
  </si>
  <si>
    <t>Process</t>
  </si>
  <si>
    <t>Output</t>
  </si>
  <si>
    <t>Input</t>
  </si>
  <si>
    <t>DefaultCF</t>
  </si>
  <si>
    <t>MWhPerTonPuCTMP</t>
  </si>
  <si>
    <t>MWhPerTonPuDiss</t>
  </si>
  <si>
    <t>Quantity for demand function (elasticity &lt; 0)</t>
  </si>
  <si>
    <t>Price - SEK</t>
  </si>
  <si>
    <t>CperTS</t>
  </si>
  <si>
    <t>CperCO2</t>
  </si>
  <si>
    <t>Unit</t>
  </si>
  <si>
    <t>Column1</t>
  </si>
  <si>
    <t>Column2</t>
  </si>
  <si>
    <t>Column3</t>
  </si>
  <si>
    <t>Column4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</si>
  <si>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</si>
  <si>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</si>
  <si>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</si>
  <si>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</si>
  <si>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</si>
  <si>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</si>
  <si>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</si>
  <si>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</si>
  <si>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</si>
  <si>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</si>
  <si>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</si>
  <si>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</si>
  <si>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</si>
  <si>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</si>
  <si>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</si>
  <si>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</si>
  <si>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</si>
  <si>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</si>
  <si>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</si>
  <si>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</si>
  <si>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</si>
  <si>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</si>
  <si>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</si>
  <si>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</si>
  <si>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</si>
  <si>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MWhperTonDM</t>
  </si>
  <si>
    <t>TonDMperM3fub</t>
  </si>
  <si>
    <t xml:space="preserve">Output factor for costs </t>
  </si>
  <si>
    <t>DF product</t>
  </si>
  <si>
    <t>DF finish</t>
  </si>
  <si>
    <t>C per Unit</t>
  </si>
  <si>
    <t>IO</t>
  </si>
  <si>
    <t>Factor</t>
  </si>
  <si>
    <t>SweFor name</t>
  </si>
  <si>
    <t>Ela-sticity</t>
  </si>
  <si>
    <t>Extrac-tion Rate</t>
  </si>
  <si>
    <t>Pine saw timber</t>
  </si>
  <si>
    <t>Pine pulpwood</t>
  </si>
  <si>
    <t>Spruce saw timber</t>
  </si>
  <si>
    <t>Spruce pulpwood</t>
  </si>
  <si>
    <t>Sawdust</t>
  </si>
  <si>
    <t>Chips</t>
  </si>
  <si>
    <t>Residues above gr.</t>
  </si>
  <si>
    <t>Stump and roots</t>
  </si>
  <si>
    <t>Heat</t>
  </si>
  <si>
    <t>Electricity</t>
  </si>
  <si>
    <t>Biofuel</t>
  </si>
  <si>
    <t>Pulp chem. process</t>
  </si>
  <si>
    <t>Pulp mech. process</t>
  </si>
  <si>
    <t>Dissolving pulp</t>
  </si>
  <si>
    <t>Packaging</t>
  </si>
  <si>
    <t>Other paper chem.</t>
  </si>
  <si>
    <t>Other paper mech.</t>
  </si>
  <si>
    <t>Newsprint</t>
  </si>
  <si>
    <t>m3sw</t>
  </si>
  <si>
    <t/>
  </si>
  <si>
    <t>DF half-life</t>
  </si>
  <si>
    <t>Initial (tC)</t>
  </si>
  <si>
    <t>Sensitivity analysis coeff.</t>
  </si>
  <si>
    <t>E</t>
  </si>
  <si>
    <t>P</t>
  </si>
  <si>
    <t>F</t>
  </si>
  <si>
    <t>Dermined by elasticity</t>
  </si>
  <si>
    <t>Perfect elasticity</t>
  </si>
  <si>
    <t>D</t>
  </si>
  <si>
    <t xml:space="preserve">The demanded quantity should be met exactly </t>
  </si>
  <si>
    <t>The demanded quantititity should be met exactly and in propotion to initial capacity of each facility</t>
  </si>
  <si>
    <t>FTDpl_</t>
  </si>
  <si>
    <t>FTDPlantEfficiency</t>
  </si>
  <si>
    <t>SoilCtype</t>
  </si>
  <si>
    <t>C</t>
  </si>
  <si>
    <t>ForFue</t>
  </si>
  <si>
    <t>TerTsp</t>
  </si>
  <si>
    <t>AllTim</t>
  </si>
  <si>
    <t>AllPuw</t>
  </si>
  <si>
    <t>m3fub</t>
  </si>
  <si>
    <t>TerTal</t>
  </si>
  <si>
    <t>TerPsp</t>
  </si>
  <si>
    <t>TerPal</t>
  </si>
  <si>
    <t>TerHea</t>
  </si>
  <si>
    <t>Factor --&gt; Process</t>
  </si>
  <si>
    <t>TerFTD</t>
  </si>
  <si>
    <t>Column32</t>
  </si>
  <si>
    <t>ProcessCostPerInputUnit</t>
  </si>
  <si>
    <t>SEK</t>
  </si>
  <si>
    <t>Transports</t>
  </si>
  <si>
    <t>Fixed</t>
  </si>
  <si>
    <t>Variable</t>
  </si>
  <si>
    <t>Options</t>
  </si>
  <si>
    <t>TrpFactors</t>
  </si>
  <si>
    <t>Y</t>
  </si>
  <si>
    <t>Max trp</t>
  </si>
  <si>
    <t>Fixed trp cost</t>
  </si>
  <si>
    <t>Variable trp cost</t>
  </si>
  <si>
    <t>Commodity type</t>
  </si>
  <si>
    <t>L</t>
  </si>
  <si>
    <t>Logs</t>
  </si>
  <si>
    <t>R</t>
  </si>
  <si>
    <t>B</t>
  </si>
  <si>
    <t>Byproducts</t>
  </si>
  <si>
    <t>Residues and input to energy production</t>
  </si>
  <si>
    <t>BerTim</t>
  </si>
  <si>
    <t>Sawmbe</t>
  </si>
  <si>
    <t>Sawnco</t>
  </si>
  <si>
    <t>Sawnbe</t>
  </si>
  <si>
    <t>MinTrpVol</t>
  </si>
  <si>
    <t>Deciduous pulpwood</t>
  </si>
  <si>
    <t>Particle board</t>
  </si>
  <si>
    <t>ParBoa</t>
  </si>
  <si>
    <t>252</t>
  </si>
  <si>
    <t>M3fubPaBoaPerM3fubSawdust</t>
  </si>
  <si>
    <t>253</t>
  </si>
  <si>
    <t>254</t>
  </si>
  <si>
    <t>255</t>
  </si>
  <si>
    <t>256</t>
  </si>
  <si>
    <t>M3fubPaBoaPerM3fubSprPuw</t>
  </si>
  <si>
    <t>M3fubPaBoaPerM3fubDecids</t>
  </si>
  <si>
    <t>M3fubPaBoaPerM3fubPinPuw</t>
  </si>
  <si>
    <t>257</t>
  </si>
  <si>
    <t>M3fubParBoaPerM3fub</t>
  </si>
  <si>
    <t>MWhperM3fubParBoa</t>
  </si>
  <si>
    <t>Column33</t>
  </si>
  <si>
    <t>FixedMix</t>
  </si>
  <si>
    <t>share</t>
  </si>
  <si>
    <t>€ --&gt; SEK</t>
  </si>
  <si>
    <t>Variable cost</t>
  </si>
  <si>
    <t>Invest-ment</t>
  </si>
  <si>
    <t>Deprecia-tion period</t>
  </si>
  <si>
    <t>PopTim</t>
  </si>
  <si>
    <t>MinCapacity</t>
  </si>
  <si>
    <t>TerSee</t>
  </si>
  <si>
    <t>OakTim</t>
  </si>
  <si>
    <t>Quantity correction factor</t>
  </si>
  <si>
    <t>Original quantities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</si>
  <si>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</si>
  <si>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</si>
  <si>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</si>
  <si>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</si>
  <si>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</si>
  <si>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</si>
  <si>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</si>
  <si>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</si>
  <si>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</si>
  <si>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</si>
  <si>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</si>
  <si>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</si>
  <si>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</si>
  <si>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</si>
  <si>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</si>
  <si>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</si>
  <si>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</si>
  <si>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</si>
  <si>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</si>
  <si>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</si>
  <si>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</si>
  <si>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</si>
  <si>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</si>
  <si>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</si>
  <si>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</si>
  <si>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</si>
  <si>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</si>
  <si>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</si>
  <si>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</si>
  <si>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</si>
  <si>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</si>
  <si>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</si>
  <si>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</si>
  <si>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</si>
  <si>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</si>
  <si>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</si>
  <si>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</si>
  <si>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</si>
  <si>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</si>
  <si>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</si>
  <si>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</si>
  <si>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</si>
  <si>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</si>
  <si>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</si>
  <si>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</si>
  <si>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</si>
  <si>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</si>
  <si>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</si>
  <si>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</si>
  <si>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</si>
  <si>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</si>
  <si>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</si>
  <si>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</si>
  <si>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</si>
  <si>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</si>
  <si>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</si>
  <si>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</si>
  <si>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</si>
  <si>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</si>
  <si>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</si>
  <si>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</si>
  <si>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</si>
  <si>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</si>
  <si>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</si>
  <si>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</si>
  <si>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</si>
  <si>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</si>
  <si>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</si>
  <si>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</si>
  <si>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</si>
  <si>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</si>
  <si>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</si>
  <si>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</si>
  <si>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</si>
  <si>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</si>
  <si>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</si>
  <si>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</si>
  <si>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</si>
  <si>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</si>
  <si>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</si>
  <si>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</si>
  <si>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</si>
  <si>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</si>
  <si>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</si>
  <si>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</si>
  <si>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</si>
  <si>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</si>
  <si>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</si>
  <si>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</si>
  <si>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</si>
  <si>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</si>
  <si>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</si>
  <si>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</si>
  <si>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</si>
  <si>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</si>
  <si>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</si>
  <si>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</si>
  <si>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</si>
  <si>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</si>
  <si>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</si>
  <si>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</si>
  <si>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</si>
  <si>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</si>
  <si>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</si>
  <si>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</si>
  <si>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</si>
  <si>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</si>
  <si>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</si>
  <si>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</si>
  <si>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</si>
  <si>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</si>
  <si>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</si>
  <si>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</si>
  <si>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</si>
  <si>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</si>
  <si>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</si>
  <si>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</si>
  <si>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</si>
  <si>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</si>
  <si>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</si>
  <si>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</si>
  <si>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</si>
  <si>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</si>
  <si>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</si>
  <si>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</si>
  <si>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</si>
  <si>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</si>
  <si>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</si>
  <si>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</si>
  <si>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</si>
  <si>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</si>
  <si>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</si>
  <si>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</si>
  <si>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</si>
  <si>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</si>
  <si>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</si>
  <si>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</si>
  <si>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</si>
  <si>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</si>
  <si>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</si>
  <si>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</si>
  <si>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</si>
  <si>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</si>
  <si>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</si>
  <si>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</si>
  <si>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</si>
  <si>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</si>
  <si>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</si>
  <si>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</si>
  <si>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</si>
  <si>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</si>
  <si>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</si>
  <si>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</si>
  <si>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</si>
  <si>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</si>
  <si>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</si>
  <si>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</si>
  <si>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</si>
  <si>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</si>
  <si>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</si>
  <si>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</si>
  <si>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</si>
  <si>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</si>
  <si>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</si>
  <si>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</si>
  <si>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</si>
  <si>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</si>
  <si>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</si>
  <si>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</si>
  <si>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</si>
  <si>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</si>
  <si>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</si>
  <si>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</si>
  <si>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</si>
  <si>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</si>
  <si>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</si>
  <si>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</si>
  <si>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</si>
  <si>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</si>
  <si>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</si>
  <si>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</si>
  <si>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</si>
  <si>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</si>
  <si>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</si>
  <si>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</si>
  <si>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</si>
  <si>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</si>
  <si>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</si>
  <si>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</si>
  <si>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</si>
  <si>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</si>
  <si>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</si>
  <si>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</si>
  <si>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</si>
  <si>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</si>
  <si>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</si>
  <si>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</si>
  <si>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</si>
  <si>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</si>
  <si>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</si>
  <si>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</si>
  <si>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</si>
  <si>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</si>
  <si>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</si>
  <si>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</si>
  <si>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</si>
  <si>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</si>
  <si>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</si>
  <si>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</si>
  <si>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</si>
  <si>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</si>
  <si>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</si>
  <si>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</si>
  <si>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</si>
  <si>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</si>
  <si>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</si>
  <si>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</si>
  <si>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</si>
  <si>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</si>
  <si>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</si>
  <si>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</si>
  <si>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</si>
  <si>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</si>
  <si>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</si>
  <si>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</si>
  <si>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</si>
  <si>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</si>
  <si>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</si>
  <si>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</si>
  <si>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</si>
  <si>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</si>
  <si>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</si>
  <si>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</si>
  <si>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</si>
  <si>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</si>
  <si>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</si>
  <si>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</si>
  <si>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</si>
  <si>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</si>
  <si>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</si>
  <si>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</si>
  <si>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</si>
  <si>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</si>
  <si>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</si>
  <si>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</si>
  <si>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</si>
  <si>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</si>
  <si>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</si>
  <si>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</si>
  <si>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</si>
  <si>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</si>
  <si>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</si>
  <si>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</si>
  <si>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</si>
  <si>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</si>
  <si>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</si>
  <si>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</si>
  <si>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</si>
  <si>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</si>
  <si>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</si>
  <si>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</si>
  <si>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</si>
  <si>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</si>
  <si>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</si>
  <si>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</si>
  <si>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</si>
  <si>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</si>
  <si>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</si>
  <si>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</si>
  <si>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</si>
  <si>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</si>
  <si>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</si>
  <si>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</si>
  <si>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</si>
  <si>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</si>
  <si>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</si>
  <si>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</si>
  <si>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</si>
  <si>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</si>
  <si>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</si>
  <si>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</si>
  <si>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</si>
  <si>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</si>
  <si>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</si>
  <si>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</si>
  <si>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</si>
  <si>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</si>
  <si>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</si>
  <si>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</si>
  <si>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</si>
  <si>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</si>
  <si>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</si>
  <si>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</si>
  <si>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</si>
  <si>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</si>
  <si>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</si>
  <si>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</si>
  <si>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</si>
  <si>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</si>
  <si>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</si>
  <si>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</si>
  <si>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</si>
  <si>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</si>
  <si>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</si>
  <si>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</si>
  <si>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</si>
  <si>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</si>
  <si>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</si>
  <si>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</si>
  <si>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</si>
  <si>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</si>
  <si>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</si>
  <si>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</si>
  <si>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</si>
  <si>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</si>
  <si>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</si>
  <si>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</si>
  <si>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</si>
  <si>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</si>
  <si>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</si>
  <si>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</si>
  <si>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</si>
  <si>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</si>
  <si>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</si>
  <si>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</si>
  <si>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</si>
  <si>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</si>
  <si>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</si>
  <si>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</si>
  <si>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</si>
  <si>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</si>
  <si>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</si>
  <si>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</si>
  <si>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</si>
  <si>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</si>
  <si>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</si>
  <si>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</si>
  <si>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</si>
  <si>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</si>
  <si>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</si>
  <si>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</si>
  <si>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</si>
  <si>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</si>
  <si>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</si>
  <si>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</si>
  <si>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</si>
  <si>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</si>
  <si>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</si>
  <si>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</si>
  <si>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</si>
  <si>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</si>
  <si>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</si>
  <si>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</si>
  <si>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</si>
  <si>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</si>
  <si>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</si>
  <si>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</si>
  <si>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</si>
  <si>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</si>
  <si>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</si>
  <si>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</si>
  <si>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</si>
  <si>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</si>
  <si>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</si>
  <si>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</si>
  <si>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</si>
  <si>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</si>
  <si>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</si>
  <si>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</si>
  <si>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</si>
  <si>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</si>
  <si>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</si>
  <si>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</si>
  <si>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</si>
  <si>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</si>
  <si>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</si>
  <si>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</si>
  <si>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</si>
  <si>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</si>
  <si>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</si>
  <si>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</si>
  <si>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</si>
  <si>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</si>
  <si>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</si>
  <si>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</si>
  <si>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</si>
  <si>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</si>
  <si>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</si>
  <si>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</si>
  <si>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</si>
  <si>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</si>
  <si>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</si>
  <si>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</si>
  <si>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</si>
  <si>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</si>
  <si>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</si>
  <si>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</si>
  <si>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</si>
  <si>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</si>
  <si>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</si>
  <si>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</si>
  <si>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</si>
  <si>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</si>
  <si>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</si>
  <si>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</si>
  <si>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</si>
  <si>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</si>
  <si>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</si>
  <si>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</si>
  <si>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</si>
  <si>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</si>
  <si>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</si>
  <si>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</si>
  <si>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</si>
  <si>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</si>
  <si>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</si>
  <si>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</si>
  <si>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</si>
  <si>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</si>
  <si>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</si>
  <si>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</si>
  <si>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</si>
  <si>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</si>
  <si>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</si>
  <si>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</si>
  <si>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</si>
  <si>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</si>
  <si>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</si>
  <si>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</si>
  <si>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</si>
  <si>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</si>
  <si>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</si>
  <si>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</si>
  <si>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</si>
  <si>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</si>
  <si>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</si>
  <si>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</si>
  <si>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</si>
  <si>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</si>
  <si>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</si>
  <si>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</si>
  <si>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</si>
  <si>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</si>
  <si>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</si>
  <si>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</si>
  <si>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</si>
  <si>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</si>
  <si>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</si>
  <si>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</si>
  <si>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</si>
  <si>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</si>
  <si>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</si>
  <si>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</si>
  <si>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</si>
  <si>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</si>
  <si>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</si>
  <si>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</si>
  <si>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</si>
  <si>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</si>
  <si>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</si>
  <si>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</si>
  <si>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</si>
  <si>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</si>
  <si>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</si>
  <si>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</si>
  <si>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</si>
  <si>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</si>
  <si>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</si>
  <si>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</si>
  <si>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</si>
  <si>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</si>
  <si>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</si>
  <si>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</si>
  <si>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</si>
  <si>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</si>
  <si>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</si>
  <si>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</si>
  <si>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</si>
  <si>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</si>
  <si>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</si>
  <si>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</si>
  <si>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</si>
  <si>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</si>
  <si>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</si>
  <si>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</si>
  <si>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</si>
  <si>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</si>
  <si>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</si>
  <si>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</si>
  <si>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</si>
  <si>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</si>
  <si>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</si>
  <si>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</si>
  <si>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</si>
  <si>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</si>
  <si>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</si>
  <si>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</si>
  <si>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</si>
  <si>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</si>
  <si>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</si>
  <si>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</si>
  <si>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</si>
  <si>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</si>
  <si>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</si>
  <si>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</si>
  <si>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</si>
  <si>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</si>
  <si>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</si>
  <si>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</si>
  <si>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</si>
  <si>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</si>
  <si>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</si>
  <si>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</si>
  <si>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</si>
  <si>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</si>
  <si>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</si>
  <si>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</si>
  <si>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</si>
  <si>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</si>
  <si>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</si>
  <si>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</si>
  <si>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</si>
  <si>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</si>
  <si>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</si>
  <si>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</si>
  <si>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</si>
  <si>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</si>
  <si>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</si>
  <si>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</si>
  <si>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</si>
  <si>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</si>
  <si>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</si>
  <si>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</si>
  <si>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</si>
  <si>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</si>
  <si>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</si>
  <si>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</si>
  <si>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</si>
  <si>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</si>
  <si>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</si>
  <si>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</si>
  <si>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</si>
  <si>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</si>
  <si>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</si>
  <si>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</si>
  <si>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</si>
  <si>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</si>
  <si>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</si>
  <si>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</si>
  <si>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</si>
  <si>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</si>
  <si>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</si>
  <si>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</si>
  <si>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</si>
  <si>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</si>
  <si>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</si>
  <si>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</si>
  <si>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</si>
  <si>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</si>
  <si>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</si>
  <si>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</si>
  <si>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</si>
  <si>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</si>
  <si>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</si>
  <si>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</si>
  <si>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</si>
  <si>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</si>
  <si>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</si>
  <si>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</si>
  <si>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</si>
  <si>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</si>
  <si>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</si>
  <si>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</si>
  <si>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</si>
  <si>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</si>
  <si>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</si>
  <si>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</si>
  <si>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</si>
  <si>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</si>
  <si>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</si>
  <si>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</si>
  <si>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</si>
  <si>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</si>
  <si>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</si>
  <si>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</si>
  <si>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</si>
  <si>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</si>
  <si>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</si>
  <si>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</si>
  <si>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</si>
  <si>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</si>
  <si>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</si>
  <si>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</si>
  <si>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</si>
  <si>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</si>
  <si>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</si>
  <si>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</si>
  <si>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</si>
  <si>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</si>
  <si>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</si>
  <si>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</si>
  <si>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</si>
  <si>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</si>
  <si>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</si>
  <si>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</si>
  <si>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</si>
  <si>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</si>
  <si>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</si>
  <si>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</si>
  <si>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</si>
  <si>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</si>
  <si>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</si>
  <si>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</si>
  <si>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</si>
  <si>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</si>
  <si>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</si>
  <si>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</si>
  <si>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</si>
  <si>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</si>
  <si>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</si>
  <si>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</si>
  <si>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</si>
  <si>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</si>
  <si>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</si>
  <si>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</si>
  <si>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</si>
  <si>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</si>
  <si>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</si>
  <si>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</si>
  <si>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</si>
  <si>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</si>
  <si>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</si>
  <si>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</si>
  <si>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</si>
  <si>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</si>
  <si>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</si>
  <si>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</si>
  <si>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</si>
  <si>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</si>
  <si>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</si>
  <si>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</si>
  <si>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</si>
  <si>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</si>
  <si>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</si>
  <si>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</si>
  <si>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</si>
  <si>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</si>
  <si>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</si>
  <si>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</si>
  <si>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</si>
  <si>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</si>
  <si>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</si>
  <si>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</si>
  <si>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</si>
  <si>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</si>
  <si>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</si>
  <si>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</si>
  <si>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</si>
  <si>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</si>
  <si>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</si>
  <si>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</si>
  <si>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</si>
  <si>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</si>
  <si>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</si>
  <si>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</si>
  <si>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</si>
  <si>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</si>
  <si>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</si>
  <si>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</si>
  <si>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</si>
  <si>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</si>
  <si>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</si>
  <si>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</si>
  <si>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</si>
  <si>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</si>
  <si>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</si>
  <si>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</si>
  <si>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</si>
  <si>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</si>
  <si>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</si>
  <si>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</si>
  <si>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</si>
  <si>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</si>
  <si>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</si>
  <si>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</si>
  <si>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</si>
  <si>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</si>
  <si>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</si>
  <si>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</si>
  <si>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</si>
  <si>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</si>
  <si>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</si>
  <si>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</si>
  <si>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</si>
  <si>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</si>
  <si>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</si>
  <si>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</si>
  <si>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</si>
  <si>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</si>
  <si>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</si>
  <si>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</si>
  <si>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</si>
  <si>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</si>
  <si>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</si>
  <si>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</si>
  <si>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</si>
  <si>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</si>
  <si>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</si>
  <si>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</si>
  <si>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</si>
  <si>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</si>
  <si>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</si>
  <si>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</si>
  <si>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</si>
  <si>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</si>
  <si>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</si>
  <si>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</si>
  <si>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</si>
  <si>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</si>
  <si>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</si>
  <si>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</si>
  <si>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</si>
  <si>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</si>
  <si>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</si>
  <si>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</si>
  <si>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</si>
  <si>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</si>
  <si>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</si>
  <si>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</si>
  <si>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</si>
  <si>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</si>
  <si>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</si>
  <si>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</si>
  <si>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</si>
  <si>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</si>
  <si>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</si>
  <si>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</si>
  <si>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</si>
  <si>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</si>
  <si>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</si>
  <si>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</si>
  <si>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</si>
  <si>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</si>
  <si>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</si>
  <si>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</si>
  <si>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</si>
  <si>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</si>
  <si>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</si>
  <si>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</si>
  <si>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</si>
  <si>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</si>
  <si>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</si>
  <si>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</si>
  <si>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</si>
  <si>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</si>
  <si>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</si>
  <si>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</si>
  <si>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</si>
  <si>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</si>
  <si>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</si>
  <si>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</si>
  <si>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</si>
  <si>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</si>
  <si>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</si>
  <si>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</si>
  <si>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</si>
  <si>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</si>
  <si>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</si>
  <si>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</si>
  <si>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</si>
  <si>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</si>
  <si>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</si>
  <si>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</si>
  <si>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</si>
  <si>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</si>
  <si>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</si>
  <si>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</si>
  <si>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</si>
  <si>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</si>
  <si>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</si>
  <si>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</si>
  <si>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</si>
  <si>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</si>
  <si>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</si>
  <si>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</si>
  <si>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</si>
  <si>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</si>
  <si>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</si>
  <si>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</si>
  <si>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</si>
  <si>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</si>
  <si>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</si>
  <si>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</si>
  <si>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</si>
  <si>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</si>
  <si>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</si>
  <si>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</si>
  <si>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</si>
  <si>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</si>
  <si>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</si>
  <si>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</si>
  <si>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</si>
  <si>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</si>
  <si>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</si>
  <si>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</si>
  <si>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</si>
  <si>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</si>
  <si>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</si>
  <si>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</si>
  <si>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</si>
  <si>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</si>
  <si>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</si>
  <si>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</si>
  <si>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</si>
  <si>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</si>
  <si>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</si>
  <si>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</si>
  <si>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</si>
  <si>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</si>
  <si>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</si>
  <si>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</si>
  <si>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</si>
  <si>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</si>
  <si>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</si>
  <si>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</si>
  <si>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</si>
  <si>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</si>
  <si>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</si>
  <si>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</si>
  <si>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</si>
  <si>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</si>
  <si>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</si>
  <si>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</si>
  <si>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</si>
  <si>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</si>
  <si>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</si>
  <si>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</si>
  <si>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</si>
  <si>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</si>
  <si>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</si>
  <si>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</si>
  <si>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</si>
  <si>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</si>
  <si>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</si>
  <si>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</si>
  <si>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</si>
  <si>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</si>
  <si>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</si>
  <si>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</si>
  <si>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</si>
  <si>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</si>
  <si>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</si>
  <si>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</si>
  <si>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</si>
  <si>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</si>
  <si>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</si>
  <si>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</si>
  <si>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</si>
  <si>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</si>
  <si>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</si>
  <si>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</si>
  <si>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</si>
  <si>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</si>
  <si>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</si>
  <si>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</si>
  <si>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</si>
  <si>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</si>
  <si>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</si>
  <si>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</si>
  <si>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</si>
  <si>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</si>
  <si>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</si>
  <si>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</si>
  <si>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</si>
  <si>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</si>
  <si>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</si>
  <si>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</si>
  <si>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</si>
  <si>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</si>
  <si>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</si>
  <si>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</si>
  <si>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</si>
  <si>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</si>
  <si>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</si>
  <si>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</si>
  <si>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</si>
  <si>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</si>
  <si>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</si>
  <si>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</si>
  <si>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</si>
  <si>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</si>
  <si>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</si>
  <si>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</si>
  <si>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</si>
  <si>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</si>
  <si>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</si>
  <si>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</si>
  <si>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</si>
  <si>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</si>
  <si>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</si>
  <si>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</si>
  <si>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</si>
  <si>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</si>
  <si>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</si>
  <si>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</si>
  <si>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</si>
  <si>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</si>
  <si>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</si>
  <si>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</si>
  <si>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</si>
  <si>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</si>
  <si>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</si>
  <si>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</si>
  <si>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</si>
  <si>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</si>
  <si>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</si>
  <si>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</si>
  <si>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</si>
  <si>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</si>
  <si>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</si>
  <si>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</si>
  <si>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</si>
  <si>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</si>
  <si>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</si>
  <si>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</si>
  <si>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</si>
  <si>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</si>
  <si>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</si>
  <si>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</si>
  <si>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</si>
  <si>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</si>
  <si>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</si>
  <si>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</si>
  <si>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</si>
  <si>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</si>
  <si>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</si>
  <si>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</si>
  <si>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</si>
  <si>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</si>
  <si>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</si>
  <si>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</si>
  <si>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</si>
  <si>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</si>
  <si>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</si>
  <si>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</si>
  <si>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</si>
  <si>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</si>
  <si>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</si>
  <si>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</si>
  <si>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</si>
  <si>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</si>
  <si>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</si>
  <si>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</si>
  <si>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</si>
  <si>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</si>
  <si>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</si>
  <si>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</si>
  <si>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</si>
  <si>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</si>
  <si>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</si>
  <si>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</si>
  <si>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</si>
  <si>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</si>
  <si>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</si>
  <si>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</si>
  <si>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</si>
  <si>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</si>
  <si>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</si>
  <si>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</si>
  <si>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</si>
  <si>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</si>
  <si>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</si>
  <si>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</si>
  <si>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</si>
  <si>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</si>
  <si>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</si>
  <si>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</si>
  <si>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</si>
  <si>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</si>
  <si>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</si>
  <si>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</si>
  <si>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</si>
  <si>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</si>
  <si>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</si>
  <si>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</si>
  <si>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</si>
  <si>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</si>
  <si>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</si>
  <si>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</si>
  <si>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</si>
  <si>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</si>
  <si>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</si>
  <si>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</si>
  <si>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</si>
  <si>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</si>
  <si>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</si>
  <si>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</si>
  <si>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</si>
  <si>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</si>
  <si>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</si>
  <si>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</si>
  <si>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</si>
  <si>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</si>
  <si>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</si>
  <si>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</si>
  <si>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</si>
  <si>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</si>
  <si>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</si>
  <si>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</si>
  <si>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</si>
  <si>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</si>
  <si>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</si>
  <si>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</si>
  <si>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</si>
  <si>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</si>
  <si>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</si>
  <si>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</si>
  <si>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</si>
  <si>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</si>
  <si>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</si>
  <si>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</si>
  <si>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</si>
  <si>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</si>
  <si>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</si>
  <si>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</si>
  <si>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</si>
  <si>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</si>
  <si>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</si>
  <si>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</si>
  <si>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</si>
  <si>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</si>
  <si>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</si>
  <si>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</si>
  <si>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</si>
  <si>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</si>
  <si>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</si>
  <si>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</si>
  <si>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</si>
  <si>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</si>
  <si>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</si>
  <si>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</si>
  <si>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</si>
  <si>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</si>
  <si>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</si>
  <si>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</si>
  <si>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</si>
  <si>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</si>
  <si>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</si>
  <si>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</si>
  <si>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</si>
  <si>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</si>
  <si>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</si>
  <si>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</si>
  <si>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</si>
  <si>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</si>
  <si>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</si>
  <si>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</si>
  <si>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</si>
  <si>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</si>
  <si>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</si>
  <si>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</si>
  <si>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</si>
  <si>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</si>
  <si>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</si>
  <si>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</si>
  <si>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</si>
  <si>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</si>
  <si>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</si>
  <si>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</si>
  <si>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</si>
  <si>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</si>
  <si>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</si>
  <si>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</si>
  <si>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</si>
  <si>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</si>
  <si>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</si>
  <si>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</si>
  <si>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</si>
  <si>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</si>
  <si>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</si>
  <si>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</si>
  <si>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</si>
  <si>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</si>
  <si>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</si>
  <si>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</si>
  <si>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</si>
  <si>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</si>
  <si>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</si>
  <si>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</si>
  <si>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</si>
  <si>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</si>
  <si>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</si>
  <si>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</si>
  <si>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</si>
  <si>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</si>
  <si>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</si>
  <si>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</si>
  <si>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</si>
  <si>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</si>
  <si>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</si>
  <si>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</si>
  <si>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</si>
  <si>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</si>
  <si>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</si>
  <si>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</si>
  <si>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</si>
  <si>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</si>
  <si>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</si>
  <si>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</si>
  <si>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</si>
  <si>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</si>
  <si>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</si>
  <si>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</si>
  <si>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</si>
  <si>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</si>
  <si>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</si>
  <si>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</si>
  <si>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</si>
  <si>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</si>
  <si>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</si>
  <si>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</si>
  <si>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</si>
  <si>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</si>
  <si>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</si>
  <si>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</si>
  <si>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</si>
  <si>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</si>
  <si>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</si>
  <si>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</si>
  <si>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</si>
  <si>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</si>
  <si>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</si>
  <si>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</si>
  <si>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</si>
  <si>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</si>
  <si>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</si>
  <si>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</si>
  <si>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</si>
  <si>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</si>
  <si>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</si>
  <si>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</si>
  <si>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</si>
  <si>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</si>
  <si>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</si>
  <si>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</si>
  <si>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</si>
  <si>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</si>
  <si>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</si>
  <si>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</si>
  <si>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</si>
  <si>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</si>
  <si>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</si>
  <si>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</si>
  <si>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</si>
  <si>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</si>
  <si>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</si>
  <si>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</si>
  <si>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</si>
  <si>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</si>
  <si>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</si>
  <si>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</si>
  <si>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</si>
  <si>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</si>
  <si>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</si>
  <si>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</si>
  <si>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</si>
  <si>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</si>
  <si>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</si>
  <si>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</si>
  <si>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</si>
  <si>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</si>
  <si>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</si>
  <si>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</si>
  <si>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</si>
  <si>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</si>
  <si>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</si>
  <si>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</si>
  <si>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</si>
  <si>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</si>
  <si>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</si>
  <si>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</si>
  <si>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</si>
  <si>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</si>
  <si>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</si>
  <si>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</si>
  <si>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</si>
  <si>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</si>
  <si>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</si>
  <si>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</si>
  <si>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</si>
  <si>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</si>
  <si>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</si>
  <si>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</si>
  <si>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</si>
  <si>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</si>
  <si>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</si>
  <si>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</si>
  <si>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</si>
  <si>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</si>
  <si>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</si>
  <si>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</si>
  <si>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</si>
  <si>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</si>
  <si>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</si>
  <si>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</si>
  <si>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</si>
  <si>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</si>
  <si>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</si>
  <si>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</si>
  <si>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</si>
  <si>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</si>
  <si>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</si>
  <si>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</si>
  <si>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</si>
  <si>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</si>
  <si>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</si>
  <si>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</si>
  <si>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</si>
  <si>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</si>
  <si>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</si>
  <si>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</si>
  <si>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</si>
  <si>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</si>
  <si>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</si>
  <si>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</si>
  <si>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</si>
  <si>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</si>
  <si>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</si>
  <si>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</si>
  <si>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</si>
  <si>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</si>
  <si>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</si>
  <si>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</si>
  <si>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</si>
  <si>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</si>
  <si>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</si>
  <si>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</si>
  <si>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</si>
  <si>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</si>
  <si>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</si>
  <si>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</si>
  <si>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</si>
  <si>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</si>
  <si>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</si>
  <si>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</si>
  <si>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</si>
  <si>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</si>
  <si>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</si>
  <si>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</si>
  <si>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</si>
  <si>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</si>
  <si>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</si>
  <si>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</si>
  <si>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</si>
  <si>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</si>
  <si>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</si>
  <si>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</si>
  <si>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</si>
  <si>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</si>
  <si>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</si>
  <si>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</si>
  <si>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</si>
  <si>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</si>
  <si>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</si>
  <si>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</si>
  <si>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</si>
  <si>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</si>
  <si>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</si>
  <si>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</si>
  <si>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</si>
  <si>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</si>
  <si>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</si>
  <si>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</si>
  <si>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</si>
  <si>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</si>
  <si>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</si>
  <si>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</si>
  <si>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</si>
  <si>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</si>
  <si>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</si>
  <si>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</si>
  <si>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</si>
  <si>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</si>
  <si>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</si>
  <si>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</si>
  <si>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</si>
  <si>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</si>
  <si>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</si>
  <si>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</si>
  <si>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</si>
  <si>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</si>
  <si>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</si>
  <si>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</si>
  <si>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</si>
  <si>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</si>
  <si>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</si>
  <si>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</si>
  <si>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</si>
  <si>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</si>
  <si>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</si>
  <si>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</si>
  <si>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</si>
  <si>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</si>
  <si>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</si>
  <si>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</si>
  <si>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</si>
  <si>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</si>
  <si>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</si>
  <si>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</si>
  <si>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</si>
  <si>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</si>
  <si>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</si>
  <si>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</si>
  <si>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</si>
  <si>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</si>
  <si>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</si>
  <si>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</si>
  <si>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</si>
  <si>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</si>
  <si>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</si>
  <si>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</si>
  <si>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</si>
  <si>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</si>
  <si>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</si>
  <si>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</si>
  <si>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</si>
  <si>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</si>
  <si>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</si>
  <si>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</si>
  <si>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</si>
  <si>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</si>
  <si>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</si>
  <si>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</si>
  <si>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</si>
  <si>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</si>
  <si>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</si>
  <si>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</si>
  <si>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</si>
  <si>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</si>
  <si>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</si>
  <si>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</si>
  <si>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</si>
  <si>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</si>
  <si>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</si>
  <si>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</si>
  <si>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</si>
  <si>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</si>
  <si>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</si>
  <si>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</si>
  <si>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</si>
  <si>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</si>
  <si>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</si>
  <si>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</si>
  <si>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</si>
  <si>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</si>
  <si>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</si>
  <si>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</si>
  <si>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</si>
  <si>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</si>
  <si>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</si>
  <si>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</si>
  <si>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</si>
  <si>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</si>
  <si>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</si>
  <si>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</si>
  <si>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</si>
  <si>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</si>
  <si>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</si>
  <si>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</si>
  <si>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</si>
  <si>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</si>
  <si>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</si>
  <si>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</si>
  <si>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</si>
  <si>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</si>
  <si>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</si>
  <si>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</si>
  <si>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</si>
  <si>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</si>
  <si>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</si>
  <si>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</si>
  <si>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</si>
  <si>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</si>
  <si>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</si>
  <si>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</si>
  <si>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</si>
  <si>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</si>
  <si>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</si>
  <si>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</si>
  <si>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</si>
  <si>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</si>
  <si>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</si>
  <si>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</si>
  <si>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</si>
  <si>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</si>
  <si>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</si>
  <si>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</si>
  <si>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</si>
  <si>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</si>
  <si>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</si>
  <si>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</si>
  <si>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</si>
  <si>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</si>
  <si>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</si>
  <si>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</si>
  <si>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</si>
  <si>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</si>
  <si>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</si>
  <si>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</si>
  <si>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</si>
  <si>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</si>
  <si>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</si>
  <si>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</si>
  <si>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</si>
  <si>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</si>
  <si>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</si>
  <si>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</si>
  <si>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</si>
  <si>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</si>
  <si>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</si>
  <si>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</si>
  <si>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</si>
  <si>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</si>
  <si>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</si>
  <si>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</si>
  <si>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</si>
  <si>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</si>
  <si>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</si>
  <si>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</si>
  <si>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</si>
  <si>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</si>
  <si>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</si>
  <si>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</si>
  <si>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</si>
  <si>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</si>
  <si>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</si>
  <si>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</si>
  <si>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</si>
  <si>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</si>
  <si>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</si>
  <si>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</si>
  <si>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</si>
  <si>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</si>
  <si>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</si>
  <si>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</si>
  <si>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</si>
  <si>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</si>
  <si>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</si>
  <si>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</si>
  <si>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</si>
  <si>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</si>
  <si>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</si>
  <si>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</si>
  <si>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</si>
  <si>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</si>
  <si>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</si>
  <si>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</si>
  <si>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</si>
  <si>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</si>
  <si>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</si>
  <si>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</si>
  <si>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</si>
  <si>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</si>
  <si>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</si>
  <si>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</si>
  <si>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</si>
  <si>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</si>
  <si>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</si>
  <si>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</si>
  <si>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</si>
  <si>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</si>
  <si>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</si>
  <si>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</si>
  <si>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</si>
  <si>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</si>
  <si>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</si>
  <si>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</si>
  <si>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</si>
  <si>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</si>
  <si>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</si>
  <si>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</si>
  <si>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</si>
  <si>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</si>
  <si>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</si>
  <si>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</si>
  <si>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</si>
  <si>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</si>
  <si>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</si>
  <si>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</si>
  <si>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</si>
  <si>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</si>
  <si>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</si>
  <si>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</si>
  <si>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</si>
  <si>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</si>
  <si>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</si>
  <si>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</si>
  <si>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</si>
  <si>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</si>
  <si>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</si>
  <si>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</si>
  <si>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</si>
  <si>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</si>
  <si>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</si>
  <si>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</si>
  <si>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</si>
  <si>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</si>
  <si>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</si>
  <si>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</si>
  <si>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</si>
  <si>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</si>
  <si>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</si>
  <si>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</si>
  <si>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</si>
  <si>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</si>
  <si>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</si>
  <si>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</si>
  <si>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</si>
  <si>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</si>
  <si>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</si>
  <si>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</si>
  <si>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</si>
  <si>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</si>
  <si>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</si>
  <si>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</si>
  <si>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</si>
  <si>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</si>
  <si>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</si>
  <si>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</si>
  <si>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</si>
  <si>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</si>
  <si>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</si>
  <si>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</si>
  <si>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</si>
  <si>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</si>
  <si>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</si>
  <si>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</si>
  <si>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</si>
  <si>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</si>
  <si>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</si>
  <si>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</si>
  <si>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</si>
  <si>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</si>
  <si>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</si>
  <si>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</si>
  <si>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</si>
  <si>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</si>
  <si>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</si>
  <si>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</si>
  <si>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</si>
  <si>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</si>
  <si>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</si>
  <si>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</si>
  <si>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</si>
  <si>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</si>
  <si>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</si>
  <si>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</si>
  <si>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</si>
  <si>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</si>
  <si>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</si>
  <si>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</si>
  <si>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</si>
  <si>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</si>
  <si>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</si>
  <si>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</si>
  <si>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</si>
  <si>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</si>
  <si>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</si>
  <si>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</si>
  <si>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</si>
  <si>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</si>
  <si>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</si>
  <si>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</si>
  <si>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</si>
  <si>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</si>
  <si>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</si>
  <si>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</si>
  <si>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</si>
  <si>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</si>
  <si>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</si>
  <si>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</si>
  <si>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</si>
  <si>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</si>
  <si>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</si>
  <si>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</si>
  <si>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</si>
  <si>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</si>
  <si>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</si>
  <si>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</si>
  <si>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</si>
  <si>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</si>
  <si>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</si>
  <si>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</si>
  <si>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</si>
  <si>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</si>
  <si>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</si>
  <si>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</si>
  <si>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</si>
  <si>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</si>
  <si>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</si>
  <si>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</si>
  <si>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</si>
  <si>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</si>
  <si>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</si>
  <si>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</si>
  <si>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</si>
  <si>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</si>
  <si>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</si>
  <si>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</si>
  <si>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</si>
  <si>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</si>
  <si>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</si>
  <si>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</si>
  <si>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</si>
  <si>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</si>
  <si>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</si>
  <si>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</si>
  <si>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</si>
  <si>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</si>
  <si>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</si>
  <si>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</si>
  <si>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</si>
  <si>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</si>
  <si>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</si>
  <si>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</si>
  <si>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</si>
  <si>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</si>
  <si>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</si>
  <si>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</si>
  <si>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</si>
  <si>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</si>
  <si>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</si>
  <si>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</si>
  <si>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</si>
  <si>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</si>
  <si>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</si>
  <si>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</si>
  <si>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</si>
  <si>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</si>
  <si>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</si>
  <si>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</si>
  <si>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</si>
  <si>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</si>
  <si>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</si>
  <si>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</si>
  <si>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</si>
  <si>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</si>
  <si>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</si>
  <si>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</si>
  <si>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</si>
  <si>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</si>
  <si>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</si>
  <si>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</si>
  <si>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</si>
  <si>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</si>
  <si>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</si>
  <si>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</si>
  <si>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</si>
  <si>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</si>
  <si>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</si>
  <si>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</si>
  <si>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</si>
  <si>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</si>
  <si>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</si>
  <si>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</si>
  <si>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</si>
  <si>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</si>
  <si>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</si>
  <si>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</si>
  <si>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</si>
  <si>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</si>
  <si>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</si>
  <si>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</si>
  <si>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</si>
  <si>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</si>
  <si>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</si>
  <si>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</si>
  <si>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</si>
  <si>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</si>
  <si>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</si>
  <si>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</si>
  <si>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</si>
  <si>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</si>
  <si>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</si>
  <si>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</si>
  <si>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</si>
  <si>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</si>
  <si>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</si>
  <si>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</si>
  <si>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</si>
  <si>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</si>
  <si>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</si>
  <si>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</si>
  <si>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</si>
  <si>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</si>
  <si>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</si>
  <si>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</si>
  <si>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</si>
  <si>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</si>
  <si>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</si>
  <si>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</si>
  <si>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</si>
  <si>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</si>
  <si>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</si>
  <si>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</si>
  <si>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</si>
  <si>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</si>
  <si>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</si>
  <si>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</si>
  <si>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</si>
  <si>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</si>
  <si>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</si>
  <si>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</si>
  <si>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</si>
  <si>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</si>
  <si>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</si>
  <si>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</si>
  <si>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</si>
  <si>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</si>
  <si>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</si>
  <si>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</si>
  <si>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</si>
  <si>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</si>
  <si>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</si>
  <si>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</si>
  <si>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</si>
  <si>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</si>
  <si>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</si>
  <si>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</si>
  <si>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</si>
  <si>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</si>
  <si>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</si>
  <si>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</si>
  <si>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</si>
  <si>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</si>
  <si>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</si>
  <si>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</si>
  <si>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</si>
  <si>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</si>
  <si>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</si>
  <si>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</si>
  <si>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</si>
  <si>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</si>
  <si>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</si>
  <si>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</si>
  <si>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</si>
  <si>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</si>
  <si>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</si>
  <si>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</si>
  <si>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</si>
  <si>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</si>
  <si>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</si>
  <si>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</si>
  <si>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</si>
  <si>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</si>
  <si>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</si>
  <si>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</si>
  <si>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</si>
  <si>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</si>
  <si>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</si>
  <si>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</si>
  <si>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</si>
  <si>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</si>
  <si>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</si>
  <si>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</si>
  <si>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</si>
  <si>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</si>
  <si>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</si>
  <si>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</si>
  <si>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</si>
  <si>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</si>
  <si>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</si>
  <si>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</si>
  <si>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</si>
  <si>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</si>
  <si>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</si>
  <si>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</si>
  <si>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</si>
  <si>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</si>
  <si>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</si>
  <si>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</si>
  <si>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</si>
  <si>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</si>
  <si>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</si>
  <si>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</si>
  <si>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</si>
  <si>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</si>
  <si>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</si>
  <si>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</si>
  <si>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</si>
  <si>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</si>
  <si>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</si>
  <si>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</si>
  <si>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</si>
  <si>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</si>
  <si>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</si>
  <si>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</si>
  <si>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</si>
  <si>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</si>
  <si>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</si>
  <si>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</si>
  <si>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</si>
  <si>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</si>
  <si>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</si>
  <si>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</si>
  <si>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</si>
  <si>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</si>
  <si>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</si>
  <si>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</si>
  <si>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</si>
  <si>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</si>
  <si>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</si>
  <si>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</si>
  <si>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</si>
  <si>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</si>
  <si>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</si>
  <si>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</si>
  <si>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</si>
  <si>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</si>
  <si>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</si>
  <si>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</si>
  <si>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</si>
  <si>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</si>
  <si>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</si>
  <si>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</si>
  <si>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</si>
  <si>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</si>
  <si>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</si>
  <si>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</si>
  <si>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</si>
  <si>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</si>
  <si>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</si>
  <si>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</si>
  <si>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</si>
  <si>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</si>
  <si>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</si>
  <si>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</si>
  <si>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</si>
  <si>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</si>
  <si>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</si>
  <si>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</si>
  <si>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</si>
  <si>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</si>
  <si>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</si>
  <si>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</si>
  <si>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</si>
  <si>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</si>
  <si>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</si>
  <si>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</si>
  <si>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</si>
  <si>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</si>
  <si>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</si>
  <si>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</si>
  <si>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</si>
  <si>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</si>
  <si>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</si>
  <si>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</si>
  <si>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</si>
  <si>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</si>
  <si>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</si>
  <si>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</si>
  <si>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</si>
  <si>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</si>
  <si>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</si>
  <si>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</si>
  <si>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</si>
  <si>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</si>
  <si>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</si>
  <si>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</si>
  <si>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</si>
  <si>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</si>
  <si>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</si>
  <si>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</si>
  <si>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</si>
  <si>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</si>
  <si>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</si>
  <si>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</si>
  <si>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</si>
  <si>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</si>
  <si>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</si>
  <si>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</si>
  <si>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</si>
  <si>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</si>
  <si>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</si>
  <si>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</si>
  <si>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</si>
  <si>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</si>
  <si>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</si>
  <si>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</si>
  <si>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</si>
  <si>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</si>
  <si>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</si>
  <si>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</si>
  <si>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</si>
  <si>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</si>
  <si>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</si>
  <si>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</si>
  <si>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</si>
  <si>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</si>
  <si>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</si>
  <si>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</si>
  <si>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</si>
  <si>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</si>
  <si>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</si>
  <si>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</si>
  <si>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</si>
  <si>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</si>
  <si>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</si>
  <si>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</si>
  <si>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</si>
  <si>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</si>
  <si>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</si>
  <si>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</si>
  <si>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</si>
  <si>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</si>
  <si>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</si>
  <si>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</si>
  <si>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</si>
  <si>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</si>
  <si>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</si>
  <si>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</si>
  <si>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</si>
  <si>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</si>
  <si>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</si>
  <si>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</si>
  <si>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</si>
  <si>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</si>
  <si>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</si>
  <si>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</si>
  <si>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</si>
  <si>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</si>
  <si>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</si>
  <si>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</si>
  <si>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</si>
  <si>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</si>
  <si>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</si>
  <si>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</si>
  <si>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</si>
  <si>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</si>
  <si>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</si>
  <si>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</si>
  <si>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</si>
  <si>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</si>
  <si>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</si>
  <si>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</si>
  <si>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</si>
  <si>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</si>
  <si>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</si>
  <si>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</si>
  <si>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</si>
  <si>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</si>
  <si>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</si>
  <si>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</si>
  <si>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</si>
  <si>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</si>
  <si>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</si>
  <si>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</si>
  <si>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</si>
  <si>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</si>
  <si>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</si>
  <si>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</si>
  <si>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</si>
  <si>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</si>
  <si>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</si>
  <si>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</si>
  <si>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</si>
  <si>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</si>
  <si>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</si>
  <si>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</si>
  <si>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</si>
  <si>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</si>
  <si>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</si>
  <si>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</si>
  <si>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</si>
  <si>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</si>
  <si>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</si>
  <si>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</si>
  <si>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</si>
  <si>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</si>
  <si>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</si>
  <si>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</si>
  <si>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</si>
  <si>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</si>
  <si>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</si>
  <si>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</si>
  <si>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</si>
  <si>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</si>
  <si>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</si>
  <si>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</si>
  <si>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</si>
  <si>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</si>
  <si>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</si>
  <si>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</si>
  <si>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</si>
  <si>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</si>
  <si>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</si>
  <si>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</si>
  <si>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</si>
  <si>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</si>
  <si>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</si>
  <si>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</si>
  <si>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</si>
  <si>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</si>
  <si>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</si>
  <si>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</si>
  <si>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</si>
  <si>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</si>
  <si>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</si>
  <si>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</si>
  <si>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</si>
  <si>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</si>
  <si>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</si>
  <si>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</si>
  <si>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</si>
  <si>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</si>
  <si>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</si>
  <si>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</si>
  <si>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</si>
  <si>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</si>
  <si>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</si>
  <si>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</si>
  <si>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</si>
  <si>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</si>
  <si>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</si>
  <si>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</si>
  <si>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</si>
  <si>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</si>
  <si>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</si>
  <si>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</si>
  <si>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</si>
  <si>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</si>
  <si>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</si>
  <si>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</si>
  <si>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</si>
  <si>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</si>
  <si>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</si>
  <si>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</si>
  <si>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</si>
  <si>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</si>
  <si>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</si>
  <si>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</si>
  <si>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</si>
  <si>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</si>
  <si>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</si>
  <si>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</si>
  <si>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</si>
  <si>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</si>
  <si>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</si>
  <si>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</si>
  <si>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</si>
  <si>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</si>
  <si>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</si>
  <si>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</si>
  <si>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</si>
  <si>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</si>
  <si>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</si>
  <si>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</si>
  <si>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</si>
  <si>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</si>
  <si>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</si>
  <si>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</si>
  <si>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</si>
  <si>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</si>
  <si>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</si>
  <si>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</si>
  <si>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</si>
  <si>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</si>
  <si>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</si>
  <si>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</si>
  <si>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</si>
  <si>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</si>
  <si>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</si>
  <si>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</si>
  <si>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</si>
  <si>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</si>
  <si>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</si>
  <si>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</si>
  <si>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</si>
  <si>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</si>
  <si>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</si>
  <si>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</si>
  <si>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</si>
  <si>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</si>
  <si>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</si>
  <si>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</si>
  <si>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</si>
  <si>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</si>
  <si>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</si>
  <si>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</si>
  <si>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</si>
  <si>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</si>
  <si>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</si>
  <si>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</si>
  <si>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</si>
  <si>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</si>
  <si>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</si>
  <si>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</si>
  <si>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</si>
  <si>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</si>
  <si>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</si>
  <si>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</si>
  <si>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</si>
  <si>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</si>
  <si>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</si>
  <si>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</si>
  <si>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</si>
  <si>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</si>
  <si>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</si>
  <si>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</si>
  <si>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</si>
  <si>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</si>
  <si>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</si>
  <si>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</si>
  <si>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</si>
  <si>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</si>
  <si>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</si>
  <si>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</si>
  <si>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</si>
  <si>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</si>
  <si>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</si>
  <si>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</si>
  <si>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</si>
  <si>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</si>
  <si>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</si>
  <si>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</si>
  <si>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</si>
  <si>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</si>
  <si>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</si>
  <si>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</si>
  <si>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</si>
  <si>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</si>
  <si>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</si>
  <si>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</si>
  <si>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</si>
  <si>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</si>
  <si>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</si>
  <si>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</si>
  <si>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</si>
  <si>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</si>
  <si>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</si>
  <si>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</si>
  <si>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</si>
  <si>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</si>
  <si>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</si>
  <si>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</si>
  <si>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</si>
  <si>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</si>
  <si>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</si>
  <si>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</si>
  <si>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</si>
  <si>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</si>
  <si>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</si>
  <si>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</si>
  <si>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</si>
  <si>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</si>
  <si>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</si>
  <si>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</si>
  <si>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</si>
  <si>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</si>
  <si>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</si>
  <si>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</si>
  <si>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</si>
  <si>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</si>
  <si>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</si>
  <si>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</si>
  <si>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</si>
  <si>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</si>
  <si>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</si>
  <si>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</si>
  <si>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</si>
  <si>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</si>
  <si>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</si>
  <si>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</si>
  <si>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</si>
  <si>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</si>
  <si>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</si>
  <si>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</si>
  <si>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</si>
  <si>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</si>
  <si>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</si>
  <si>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</si>
  <si>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</si>
  <si>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</si>
  <si>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</si>
  <si>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</si>
  <si>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</si>
  <si>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</si>
  <si>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</si>
  <si>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</si>
  <si>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</si>
  <si>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</si>
  <si>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</si>
  <si>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</si>
  <si>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</si>
  <si>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</si>
  <si>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</si>
  <si>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</si>
  <si>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</si>
  <si>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</si>
  <si>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</si>
  <si>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</si>
  <si>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</si>
  <si>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</si>
  <si>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</si>
  <si>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</si>
  <si>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</si>
  <si>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</si>
  <si>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</si>
  <si>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</si>
  <si>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</si>
  <si>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</si>
  <si>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</si>
  <si>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</si>
  <si>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</si>
  <si>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</si>
  <si>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</si>
  <si>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</si>
  <si>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</si>
  <si>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</si>
  <si>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</si>
  <si>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</si>
  <si>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</si>
  <si>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</si>
  <si>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</si>
  <si>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</si>
  <si>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</si>
  <si>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</si>
  <si>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</si>
  <si>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</si>
  <si>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</si>
  <si>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</si>
  <si>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</si>
  <si>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</si>
  <si>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</si>
  <si>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</si>
  <si>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</si>
  <si>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</si>
  <si>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</si>
  <si>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</si>
  <si>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</si>
  <si>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</si>
  <si>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</si>
  <si>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</si>
  <si>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</si>
  <si>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</si>
  <si>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</si>
  <si>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</si>
  <si>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</si>
  <si>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</si>
  <si>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</si>
  <si>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</si>
  <si>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</si>
  <si>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</si>
  <si>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</si>
  <si>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</si>
  <si>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</si>
  <si>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</si>
  <si>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</si>
  <si>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</si>
  <si>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</si>
  <si>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</si>
  <si>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</si>
  <si>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</si>
  <si>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</si>
  <si>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</si>
  <si>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</si>
  <si>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</si>
  <si>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</si>
  <si>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</si>
  <si>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</si>
  <si>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</si>
  <si>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</si>
  <si>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</si>
  <si>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</si>
  <si>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</si>
  <si>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</si>
  <si>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</si>
  <si>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</si>
  <si>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</si>
  <si>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</si>
  <si>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</si>
  <si>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</si>
  <si>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</si>
  <si>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</si>
  <si>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</si>
  <si>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</si>
  <si>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</si>
  <si>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</si>
  <si>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</si>
  <si>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</si>
  <si>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</si>
  <si>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</si>
  <si>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</si>
  <si>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</si>
  <si>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</si>
  <si>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</si>
  <si>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</si>
  <si>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</si>
  <si>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</si>
  <si>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</si>
  <si>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</si>
  <si>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</si>
  <si>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</si>
  <si>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</si>
  <si>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</si>
  <si>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</si>
  <si>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</si>
  <si>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</si>
  <si>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</si>
  <si>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</si>
  <si>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</si>
  <si>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</si>
  <si>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</si>
  <si>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</si>
  <si>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</si>
  <si>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</si>
  <si>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</si>
  <si>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</si>
  <si>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</si>
  <si>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</si>
  <si>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</si>
  <si>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</si>
  <si>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</si>
  <si>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</si>
  <si>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</si>
  <si>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</si>
  <si>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</si>
  <si>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</si>
  <si>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</si>
  <si>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</si>
  <si>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</si>
  <si>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</si>
  <si>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</si>
  <si>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</si>
  <si>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</si>
  <si>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</si>
  <si>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</si>
  <si>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</si>
  <si>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</si>
  <si>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</si>
  <si>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</si>
  <si>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</si>
  <si>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</si>
  <si>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</si>
  <si>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</si>
  <si>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</si>
  <si>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</si>
  <si>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</si>
  <si>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</si>
  <si>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</si>
  <si>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</si>
  <si>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</si>
  <si>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</si>
  <si>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</si>
  <si>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</si>
  <si>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</si>
  <si>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</si>
  <si>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</si>
  <si>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</si>
  <si>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</si>
  <si>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</si>
  <si>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</si>
  <si>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</si>
  <si>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</si>
  <si>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</si>
  <si>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</si>
  <si>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</si>
  <si>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</si>
  <si>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</si>
  <si>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</si>
  <si>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</si>
  <si>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</si>
  <si>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</si>
  <si>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</si>
  <si>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</si>
  <si>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</si>
  <si>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</si>
  <si>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</si>
  <si>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</si>
  <si>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</si>
  <si>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</si>
  <si>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</si>
  <si>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</si>
  <si>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</si>
  <si>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</si>
  <si>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</si>
  <si>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</si>
  <si>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</si>
  <si>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</si>
  <si>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</si>
  <si>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</si>
  <si>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</si>
  <si>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</si>
  <si>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</si>
  <si>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</si>
  <si>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</si>
  <si>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</si>
  <si>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</si>
  <si>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</si>
  <si>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</si>
  <si>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</si>
  <si>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</si>
  <si>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</si>
  <si>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</si>
  <si>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</si>
  <si>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</si>
  <si>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</si>
  <si>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</si>
  <si>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</si>
  <si>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</si>
  <si>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</si>
  <si>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</si>
  <si>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</si>
  <si>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</si>
  <si>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</si>
  <si>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</si>
  <si>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</si>
  <si>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</si>
  <si>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</si>
  <si>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</si>
  <si>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</si>
  <si>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</si>
  <si>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</si>
  <si>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</si>
  <si>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</si>
  <si>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</si>
  <si>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</si>
  <si>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</si>
  <si>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</si>
  <si>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</si>
  <si>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</si>
  <si>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</si>
  <si>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</si>
  <si>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</si>
  <si>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</si>
  <si>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</si>
  <si>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</si>
  <si>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</si>
  <si>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</si>
  <si>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</si>
  <si>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</si>
  <si>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</si>
  <si>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</si>
  <si>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</si>
  <si>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</si>
  <si>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</si>
  <si>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</si>
  <si>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</si>
  <si>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</si>
  <si>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</si>
  <si>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</si>
  <si>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</si>
  <si>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</si>
  <si>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</si>
  <si>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</si>
  <si>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</si>
  <si>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</si>
  <si>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</si>
  <si>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</si>
  <si>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</si>
  <si>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</si>
  <si>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</si>
  <si>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</si>
  <si>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</si>
  <si>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</si>
  <si>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</si>
  <si>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</si>
  <si>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</si>
  <si>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</si>
  <si>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</si>
  <si>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</si>
  <si>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</si>
  <si>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</si>
  <si>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</si>
  <si>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</si>
  <si>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</si>
  <si>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</si>
  <si>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</si>
  <si>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</si>
  <si>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</si>
  <si>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</si>
  <si>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</si>
  <si>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</si>
  <si>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</si>
  <si>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</si>
  <si>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</si>
  <si>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</si>
  <si>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</si>
  <si>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</si>
  <si>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</si>
  <si>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</si>
  <si>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</si>
  <si>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</si>
  <si>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</si>
  <si>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</si>
  <si>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</si>
  <si>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</si>
  <si>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</si>
  <si>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</si>
  <si>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</si>
  <si>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</si>
  <si>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</si>
  <si>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</si>
  <si>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</si>
  <si>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</si>
  <si>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</si>
  <si>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</si>
  <si>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</si>
  <si>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</si>
  <si>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</si>
  <si>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</si>
  <si>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</si>
  <si>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</si>
  <si>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</si>
  <si>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</si>
  <si>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</si>
  <si>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</si>
  <si>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</si>
  <si>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</si>
  <si>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</si>
  <si>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</si>
  <si>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</si>
  <si>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</si>
  <si>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</si>
  <si>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</si>
  <si>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</si>
  <si>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</si>
  <si>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</si>
  <si>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</si>
  <si>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</si>
  <si>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</si>
  <si>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</si>
  <si>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</si>
  <si>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</si>
  <si>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</si>
  <si>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</si>
  <si>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</si>
  <si>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</si>
  <si>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</si>
  <si>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</si>
  <si>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</si>
  <si>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</si>
  <si>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</si>
  <si>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</si>
  <si>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</si>
  <si>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</si>
  <si>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</si>
  <si>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</si>
  <si>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</si>
  <si>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</si>
  <si>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</si>
  <si>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</si>
  <si>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</si>
  <si>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</si>
  <si>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</si>
  <si>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</si>
  <si>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</si>
  <si>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</si>
  <si>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</si>
  <si>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</si>
  <si>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</si>
  <si>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</si>
  <si>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</si>
  <si>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</si>
  <si>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</si>
  <si>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</si>
  <si>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</si>
  <si>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</si>
  <si>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</si>
  <si>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</si>
  <si>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</si>
  <si>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</si>
  <si>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</si>
  <si>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</si>
  <si>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</si>
  <si>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</si>
  <si>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</si>
  <si>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</si>
  <si>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</si>
  <si>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</si>
  <si>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</si>
  <si>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</si>
  <si>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</si>
  <si>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</si>
  <si>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</si>
  <si>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</si>
  <si>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</si>
  <si>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</si>
  <si>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</si>
  <si>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</si>
  <si>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</si>
  <si>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</si>
  <si>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</si>
  <si>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</si>
  <si>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</si>
  <si>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</si>
  <si>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</si>
  <si>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</si>
  <si>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</si>
  <si>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</si>
  <si>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</si>
  <si>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</si>
  <si>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</si>
  <si>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</si>
  <si>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</si>
  <si>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</si>
  <si>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</si>
  <si>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</si>
  <si>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</si>
  <si>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</si>
  <si>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</si>
  <si>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</si>
  <si>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</si>
  <si>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</si>
  <si>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</si>
  <si>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</si>
  <si>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</si>
  <si>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</si>
  <si>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</si>
  <si>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</si>
  <si>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</si>
  <si>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</si>
  <si>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</si>
  <si>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</si>
  <si>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</si>
  <si>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</si>
  <si>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</si>
  <si>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</si>
  <si>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</si>
  <si>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</si>
  <si>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</si>
  <si>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</si>
  <si>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</si>
  <si>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</si>
  <si>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</si>
  <si>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</si>
  <si>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</si>
  <si>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</si>
  <si>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</si>
  <si>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</si>
  <si>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</si>
  <si>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</si>
  <si>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</si>
  <si>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</si>
  <si>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</si>
  <si>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</si>
  <si>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</si>
  <si>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</si>
  <si>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</si>
  <si>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</si>
  <si>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</si>
  <si>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</si>
  <si>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</si>
  <si>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</si>
  <si>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</si>
  <si>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</si>
  <si>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</si>
  <si>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</si>
  <si>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</si>
  <si>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</si>
  <si>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</si>
  <si>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</si>
  <si>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</si>
  <si>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</si>
  <si>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</si>
  <si>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</si>
  <si>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</si>
  <si>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</si>
  <si>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</si>
  <si>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</si>
  <si>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</si>
  <si>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</si>
  <si>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</si>
  <si>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</si>
  <si>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</si>
  <si>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</si>
  <si>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</si>
  <si>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</si>
  <si>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</si>
  <si>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</si>
  <si>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</si>
  <si>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</si>
  <si>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</si>
  <si>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</si>
  <si>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</si>
  <si>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</si>
  <si>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</si>
  <si>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</si>
  <si>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</si>
  <si>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</si>
  <si>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</si>
  <si>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</si>
  <si>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</si>
  <si>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</si>
  <si>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</si>
  <si>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</si>
  <si>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</si>
  <si>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</si>
  <si>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</si>
  <si>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</si>
  <si>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</si>
  <si>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</si>
  <si>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</si>
  <si>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</si>
  <si>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</si>
  <si>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</si>
  <si>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</si>
  <si>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</si>
  <si>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</si>
  <si>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</si>
  <si>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</si>
  <si>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</si>
  <si>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</si>
  <si>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</si>
  <si>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</si>
  <si>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</si>
  <si>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</si>
  <si>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</si>
  <si>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</si>
  <si>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</si>
  <si>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</si>
  <si>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</si>
  <si>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</si>
  <si>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</si>
  <si>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</si>
  <si>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</si>
  <si>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</si>
  <si>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</si>
  <si>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</si>
  <si>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</si>
  <si>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</si>
  <si>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</si>
  <si>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</si>
  <si>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</si>
  <si>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</si>
  <si>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</si>
  <si>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</si>
  <si>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</si>
  <si>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</si>
  <si>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</si>
  <si>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</si>
  <si>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</si>
  <si>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</si>
  <si>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</si>
  <si>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</si>
  <si>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</si>
  <si>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</si>
  <si>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</si>
  <si>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</si>
  <si>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</si>
  <si>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</si>
  <si>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</si>
  <si>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</si>
  <si>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</si>
  <si>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</si>
  <si>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</si>
  <si>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</si>
  <si>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</si>
  <si>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</si>
  <si>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</si>
  <si>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</si>
  <si>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</si>
  <si>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</si>
  <si>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</si>
  <si>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</si>
  <si>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</si>
  <si>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</si>
  <si>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</si>
  <si>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</si>
  <si>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</si>
  <si>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</si>
  <si>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</si>
  <si>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</si>
  <si>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</si>
  <si>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</si>
  <si>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</si>
  <si>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</si>
  <si>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</si>
  <si>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</si>
  <si>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</si>
  <si>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</si>
  <si>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</si>
  <si>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</si>
  <si>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</si>
  <si>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</si>
  <si>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</si>
  <si>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</si>
  <si>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</si>
  <si>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</si>
  <si>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</si>
  <si>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</si>
  <si>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</si>
  <si>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</si>
  <si>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</si>
  <si>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</si>
  <si>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</si>
  <si>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</si>
  <si>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</si>
  <si>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</si>
  <si>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</si>
  <si>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</si>
  <si>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</si>
  <si>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</si>
  <si>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</si>
  <si>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</si>
  <si>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</si>
  <si>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</si>
  <si>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</si>
  <si>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</si>
  <si>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</si>
  <si>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</si>
  <si>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</si>
  <si>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</si>
  <si>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</si>
  <si>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</si>
  <si>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</si>
  <si>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</si>
  <si>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</si>
  <si>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</si>
  <si>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</si>
  <si>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</si>
  <si>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</si>
  <si>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</si>
  <si>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</si>
  <si>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</si>
  <si>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</si>
  <si>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</si>
  <si>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</si>
  <si>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</si>
  <si>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</si>
  <si>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</si>
  <si>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</si>
  <si>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</si>
  <si>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</si>
  <si>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</si>
  <si>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</si>
  <si>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</si>
  <si>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</si>
  <si>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</si>
  <si>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</si>
  <si>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</si>
  <si>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</si>
  <si>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</si>
  <si>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</si>
  <si>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</si>
  <si>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</si>
  <si>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</si>
  <si>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</si>
  <si>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</si>
  <si>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</si>
  <si>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</si>
  <si>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</si>
  <si>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</si>
  <si>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</si>
  <si>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</si>
  <si>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</si>
  <si>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</si>
  <si>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</si>
  <si>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</si>
  <si>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</si>
  <si>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</si>
  <si>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</si>
  <si>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</si>
  <si>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</si>
  <si>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</si>
  <si>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</si>
  <si>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</si>
  <si>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</si>
  <si>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</si>
  <si>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</si>
  <si>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</si>
  <si>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</si>
  <si>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</si>
  <si>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</si>
  <si>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</si>
  <si>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</si>
  <si>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</si>
  <si>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</si>
  <si>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</si>
  <si>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</si>
  <si>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</si>
  <si>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</si>
  <si>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</si>
  <si>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</si>
  <si>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</si>
  <si>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</si>
  <si>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</si>
  <si>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</si>
  <si>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</si>
  <si>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</si>
  <si>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</si>
  <si>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</si>
  <si>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</si>
  <si>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</si>
  <si>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</si>
  <si>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</si>
  <si>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</si>
  <si>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</si>
  <si>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</si>
  <si>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</si>
  <si>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</si>
  <si>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</si>
  <si>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</si>
  <si>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</si>
  <si>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</si>
  <si>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</si>
  <si>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</si>
  <si>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</si>
  <si>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</si>
  <si>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</si>
  <si>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</si>
  <si>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</si>
  <si>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</si>
  <si>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</si>
  <si>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</si>
  <si>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</si>
  <si>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</si>
  <si>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</si>
  <si>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</si>
  <si>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</si>
  <si>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</si>
  <si>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</si>
  <si>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</si>
  <si>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</si>
  <si>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</si>
  <si>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</si>
  <si>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</si>
  <si>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</si>
  <si>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</si>
  <si>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</si>
  <si>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</si>
  <si>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</si>
  <si>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</si>
  <si>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</si>
  <si>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</si>
  <si>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</si>
  <si>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</si>
  <si>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</si>
  <si>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</si>
  <si>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</si>
  <si>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</si>
  <si>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</si>
  <si>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</si>
  <si>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</si>
  <si>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</si>
  <si>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</si>
  <si>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</si>
  <si>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</si>
  <si>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</si>
  <si>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</si>
  <si>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</si>
  <si>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</si>
  <si>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</si>
  <si>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</si>
  <si>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</si>
  <si>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</si>
  <si>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</si>
  <si>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</si>
  <si>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</si>
  <si>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</si>
  <si>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</si>
  <si>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</si>
  <si>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</si>
  <si>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</si>
  <si>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</si>
  <si>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</si>
  <si>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</si>
  <si>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</si>
  <si>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</si>
  <si>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</si>
  <si>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</si>
  <si>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</si>
  <si>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</si>
  <si>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</si>
  <si>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</si>
  <si>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</si>
  <si>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</si>
  <si>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</si>
  <si>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</si>
  <si>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</si>
  <si>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</si>
  <si>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</si>
  <si>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</si>
  <si>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</si>
  <si>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</si>
  <si>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</si>
  <si>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</si>
  <si>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</si>
  <si>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</si>
  <si>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</si>
  <si>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</si>
  <si>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</si>
  <si>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</si>
  <si>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</si>
  <si>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</si>
  <si>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</si>
  <si>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</si>
  <si>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</si>
  <si>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</si>
  <si>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</si>
  <si>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</si>
  <si>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</si>
  <si>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</si>
  <si>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</si>
  <si>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</si>
  <si>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</si>
  <si>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</si>
  <si>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</si>
  <si>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</si>
  <si>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</si>
  <si>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</si>
  <si>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</si>
  <si>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</si>
  <si>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</si>
  <si>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</si>
  <si>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</si>
  <si>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</si>
  <si>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</si>
  <si>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</si>
  <si>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</si>
  <si>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</si>
  <si>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</si>
  <si>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</si>
  <si>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</si>
  <si>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</si>
  <si>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</si>
  <si>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</si>
  <si>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</si>
  <si>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</si>
  <si>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</si>
  <si>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</si>
  <si>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</si>
  <si>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</si>
  <si>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</si>
  <si>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</si>
  <si>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</si>
  <si>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</si>
  <si>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</si>
  <si>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</si>
  <si>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</si>
  <si>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</si>
  <si>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</si>
  <si>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</si>
  <si>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</si>
  <si>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</si>
  <si>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</si>
  <si>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</si>
  <si>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</si>
  <si>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</si>
  <si>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</si>
  <si>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</si>
  <si>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</si>
  <si>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</si>
  <si>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</si>
  <si>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</si>
  <si>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</si>
  <si>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</si>
  <si>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</si>
  <si>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</si>
  <si>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</si>
  <si>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</si>
  <si>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</si>
  <si>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</si>
  <si>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</si>
  <si>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</si>
  <si>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</si>
  <si>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</si>
  <si>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</si>
  <si>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</si>
  <si>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</si>
  <si>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</si>
  <si>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</si>
  <si>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</si>
  <si>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</si>
  <si>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</si>
  <si>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</si>
  <si>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</si>
  <si>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</si>
  <si>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</si>
  <si>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</si>
  <si>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</si>
  <si>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</si>
  <si>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</si>
  <si>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</si>
  <si>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</si>
  <si>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</si>
  <si>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</si>
  <si>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</si>
  <si>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</si>
  <si>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</si>
  <si>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</si>
  <si>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</si>
  <si>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</si>
  <si>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</si>
  <si>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</si>
  <si>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</si>
  <si>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</si>
  <si>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</si>
  <si>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</si>
  <si>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</si>
  <si>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</si>
  <si>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</si>
  <si>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</si>
  <si>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</si>
  <si>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</si>
  <si>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</si>
  <si>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</si>
  <si>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</si>
  <si>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</si>
  <si>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</si>
  <si>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</si>
  <si>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</si>
  <si>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</si>
  <si>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</si>
  <si>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</si>
  <si>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</si>
  <si>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</si>
  <si>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</si>
  <si>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</si>
  <si>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</si>
  <si>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</si>
  <si>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</si>
  <si>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</si>
  <si>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</si>
  <si>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</si>
  <si>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</si>
  <si>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</si>
  <si>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</si>
  <si>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</si>
  <si>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</si>
  <si>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</si>
  <si>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</si>
  <si>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</si>
  <si>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</si>
  <si>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</si>
  <si>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</si>
  <si>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</si>
  <si>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</si>
  <si>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</si>
  <si>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</si>
  <si>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</si>
  <si>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</si>
  <si>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</si>
  <si>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</si>
  <si>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</si>
  <si>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</si>
  <si>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</si>
  <si>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</si>
  <si>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</si>
  <si>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</si>
  <si>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</si>
  <si>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</si>
  <si>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</si>
  <si>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</si>
  <si>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</si>
  <si>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</si>
  <si>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</si>
  <si>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</si>
  <si>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</si>
  <si>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</si>
  <si>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</si>
  <si>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</si>
  <si>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</si>
  <si>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</si>
  <si>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</si>
  <si>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</si>
  <si>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</si>
  <si>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</si>
  <si>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</si>
  <si>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</si>
  <si>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</si>
  <si>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</si>
  <si>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</si>
  <si>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</si>
  <si>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</si>
  <si>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</si>
  <si>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</si>
  <si>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</si>
  <si>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</si>
  <si>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</si>
  <si>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</si>
  <si>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</si>
  <si>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</si>
  <si>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</si>
  <si>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</si>
  <si>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</si>
  <si>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</si>
  <si>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</si>
  <si>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</si>
  <si>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</si>
  <si>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</si>
  <si>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</si>
  <si>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</si>
  <si>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</si>
  <si>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</si>
  <si>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</si>
  <si>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</si>
  <si>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</si>
  <si>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</si>
  <si>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</si>
  <si>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</si>
  <si>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</si>
  <si>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</si>
  <si>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</si>
  <si>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</si>
  <si>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</si>
  <si>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</si>
  <si>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</si>
  <si>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</si>
  <si>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</si>
  <si>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</si>
  <si>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</si>
  <si>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</si>
  <si>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</si>
  <si>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</si>
  <si>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</si>
  <si>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</si>
  <si>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</si>
  <si>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</si>
  <si>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</si>
  <si>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</si>
  <si>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</si>
  <si>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</si>
  <si>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</si>
  <si>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</si>
  <si>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</si>
  <si>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</si>
  <si>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</si>
  <si>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</si>
  <si>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</si>
  <si>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</si>
  <si>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</si>
  <si>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</si>
  <si>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</si>
  <si>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</si>
  <si>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</si>
  <si>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</si>
  <si>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</si>
  <si>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</si>
  <si>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</si>
  <si>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</si>
  <si>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</si>
  <si>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</si>
  <si>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</si>
  <si>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</si>
  <si>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</si>
  <si>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</si>
  <si>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</si>
  <si>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</si>
  <si>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</si>
  <si>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</si>
  <si>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</si>
  <si>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</si>
  <si>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</si>
  <si>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</si>
  <si>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</si>
  <si>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</si>
  <si>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</si>
  <si>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</si>
  <si>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</si>
  <si>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</si>
  <si>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</si>
  <si>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</si>
  <si>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</si>
  <si>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</si>
  <si>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</si>
  <si>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</si>
  <si>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</si>
  <si>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</si>
  <si>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</si>
  <si>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</si>
  <si>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</si>
  <si>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</si>
  <si>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</si>
  <si>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</si>
  <si>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</si>
  <si>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</si>
  <si>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</si>
  <si>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</si>
  <si>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</si>
  <si>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</si>
  <si>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</si>
  <si>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</si>
  <si>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</si>
  <si>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</si>
  <si>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</si>
  <si>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</si>
  <si>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</si>
  <si>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</si>
  <si>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</si>
  <si>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</si>
  <si>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</si>
  <si>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</si>
  <si>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</si>
  <si>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</si>
  <si>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</si>
  <si>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</si>
  <si>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</si>
  <si>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</si>
  <si>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</si>
  <si>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</si>
  <si>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</si>
  <si>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</si>
  <si>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</si>
  <si>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</si>
  <si>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</si>
  <si>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</si>
  <si>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</si>
  <si>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</si>
  <si>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</si>
  <si>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</si>
  <si>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</si>
  <si>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</si>
  <si>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</si>
  <si>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</si>
  <si>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</si>
  <si>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</si>
  <si>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</si>
  <si>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</si>
  <si>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</si>
  <si>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</si>
  <si>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</si>
  <si>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</si>
  <si>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</si>
  <si>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</si>
  <si>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</si>
  <si>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</si>
  <si>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</si>
  <si>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</si>
  <si>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</si>
  <si>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</si>
  <si>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</si>
  <si>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</si>
  <si>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</si>
  <si>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</si>
  <si>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</si>
  <si>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</si>
  <si>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</si>
  <si>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</si>
  <si>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</si>
  <si>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</si>
  <si>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</si>
  <si>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</si>
  <si>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</si>
  <si>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</si>
  <si>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</si>
  <si>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</si>
  <si>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</si>
  <si>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</si>
  <si>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</si>
  <si>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</si>
  <si>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</si>
  <si>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</si>
  <si>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</si>
  <si>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</si>
  <si>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</si>
  <si>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</si>
  <si>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</si>
  <si>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</si>
  <si>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</si>
  <si>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</si>
  <si>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</si>
  <si>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</si>
  <si>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</si>
  <si>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</si>
  <si>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</si>
  <si>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</si>
  <si>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</si>
  <si>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</si>
  <si>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</si>
  <si>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</si>
  <si>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</si>
  <si>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</si>
  <si>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</si>
  <si>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</si>
  <si>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</si>
  <si>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</si>
  <si>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</si>
  <si>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</si>
  <si>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</si>
  <si>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</si>
  <si>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</si>
  <si>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</si>
  <si>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</si>
  <si>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</si>
  <si>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</si>
  <si>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</si>
  <si>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</si>
  <si>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</si>
  <si>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</si>
  <si>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</si>
  <si>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</si>
  <si>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</si>
  <si>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</si>
  <si>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</si>
  <si>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</si>
  <si>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</si>
  <si>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</si>
  <si>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</si>
  <si>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</si>
  <si>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</si>
  <si>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</si>
  <si>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</si>
  <si>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</si>
  <si>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</si>
  <si>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</si>
  <si>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</si>
  <si>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</si>
  <si>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</si>
  <si>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</si>
  <si>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</si>
  <si>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</si>
  <si>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</si>
  <si>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</si>
  <si>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</si>
  <si>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</si>
  <si>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</si>
  <si>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</si>
  <si>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</si>
  <si>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</si>
  <si>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</si>
  <si>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</si>
  <si>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</si>
  <si>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</si>
  <si>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</si>
  <si>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</si>
  <si>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</si>
  <si>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</si>
  <si>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</si>
  <si>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</si>
  <si>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</si>
  <si>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</si>
  <si>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</si>
  <si>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</si>
  <si>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</si>
  <si>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</si>
  <si>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</si>
  <si>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</si>
  <si>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</si>
  <si>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</si>
  <si>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</si>
  <si>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</si>
  <si>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</si>
  <si>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</si>
  <si>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</si>
  <si>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</si>
  <si>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</si>
  <si>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</si>
  <si>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</si>
  <si>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</si>
  <si>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</si>
  <si>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</si>
  <si>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</si>
  <si>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</si>
  <si>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</si>
  <si>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</si>
  <si>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</si>
  <si>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</si>
  <si>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</si>
  <si>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</si>
  <si>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</si>
  <si>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</si>
  <si>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</si>
  <si>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</si>
  <si>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</si>
  <si>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</si>
  <si>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</si>
  <si>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</si>
  <si>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</si>
  <si>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</si>
  <si>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</si>
  <si>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</si>
  <si>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</si>
  <si>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</si>
  <si>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</si>
  <si>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</si>
  <si>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</si>
  <si>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</si>
  <si>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</si>
  <si>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</si>
  <si>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</si>
  <si>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</si>
  <si>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</si>
  <si>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</si>
  <si>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</si>
  <si>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</si>
  <si>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</si>
  <si>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</si>
  <si>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</si>
  <si>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</si>
  <si>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</si>
  <si>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</si>
  <si>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</si>
  <si>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</si>
  <si>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</si>
  <si>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</si>
  <si>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</si>
  <si>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</si>
  <si>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</si>
  <si>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</si>
  <si>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</si>
  <si>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</si>
  <si>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</si>
  <si>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</si>
  <si>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</si>
  <si>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</si>
  <si>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</si>
  <si>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</si>
  <si>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</si>
  <si>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</si>
  <si>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</si>
  <si>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</si>
  <si>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</si>
  <si>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</si>
  <si>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</si>
  <si>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</si>
  <si>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</si>
  <si>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</si>
  <si>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</si>
  <si>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</si>
  <si>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</si>
  <si>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</si>
  <si>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</si>
  <si>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</si>
  <si>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</si>
  <si>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</si>
  <si>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</si>
  <si>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</si>
  <si>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</si>
  <si>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</si>
  <si>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</si>
  <si>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</si>
  <si>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</si>
  <si>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</si>
  <si>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</si>
  <si>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</si>
  <si>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</si>
  <si>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</si>
  <si>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</si>
  <si>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</si>
  <si>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</si>
  <si>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</si>
  <si>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</si>
  <si>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</si>
  <si>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</si>
  <si>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</si>
  <si>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</si>
  <si>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</si>
  <si>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</si>
  <si>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</si>
  <si>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</si>
  <si>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</si>
  <si>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</si>
  <si>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</si>
  <si>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</si>
  <si>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</si>
  <si>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</si>
  <si>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</si>
  <si>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</si>
  <si>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</si>
  <si>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</si>
  <si>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</si>
  <si>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</si>
  <si>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</si>
  <si>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</si>
  <si>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</si>
  <si>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</si>
  <si>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</si>
  <si>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</si>
  <si>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</si>
  <si>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</si>
  <si>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</si>
  <si>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</si>
  <si>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</si>
  <si>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</si>
  <si>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</si>
  <si>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</si>
  <si>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</si>
  <si>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</si>
  <si>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</si>
  <si>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</si>
  <si>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</si>
  <si>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</si>
  <si>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</si>
  <si>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</si>
  <si>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</si>
  <si>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</si>
  <si>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</si>
  <si>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</si>
  <si>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</si>
  <si>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</si>
  <si>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</si>
  <si>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</si>
  <si>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</si>
  <si>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</si>
  <si>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</si>
  <si>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</si>
  <si>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</si>
  <si>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</si>
  <si>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</si>
  <si>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</si>
  <si>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</si>
  <si>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</si>
  <si>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</si>
  <si>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</si>
  <si>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</si>
  <si>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</si>
  <si>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</si>
  <si>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</si>
  <si>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</si>
  <si>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</si>
  <si>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</si>
  <si>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</si>
  <si>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</si>
  <si>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</si>
  <si>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</si>
  <si>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</si>
  <si>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</si>
  <si>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</si>
  <si>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</si>
  <si>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</si>
  <si>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</si>
  <si>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</si>
  <si>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</si>
  <si>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</si>
  <si>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</si>
  <si>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</si>
  <si>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</si>
  <si>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</si>
  <si>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</si>
  <si>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</si>
  <si>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</si>
  <si>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</si>
  <si>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</si>
  <si>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</si>
  <si>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</si>
  <si>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</si>
  <si>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</si>
  <si>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</si>
  <si>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</si>
  <si>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</si>
  <si>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</si>
  <si>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</si>
  <si>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</si>
  <si>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</si>
  <si>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</si>
  <si>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</si>
  <si>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</si>
  <si>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</si>
  <si>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</si>
  <si>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</si>
  <si>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</si>
  <si>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</si>
  <si>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</si>
  <si>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</si>
  <si>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</si>
  <si>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</si>
  <si>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</si>
  <si>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</si>
  <si>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</si>
  <si>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</si>
  <si>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</si>
  <si>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</si>
  <si>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</si>
  <si>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</si>
  <si>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</si>
  <si>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</si>
  <si>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</si>
  <si>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</si>
  <si>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</si>
  <si>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</si>
  <si>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</si>
  <si>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</si>
  <si>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</si>
  <si>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</si>
  <si>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</si>
  <si>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</si>
  <si>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</si>
  <si>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</si>
  <si>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</si>
  <si>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</si>
  <si>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</si>
  <si>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</si>
  <si>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</si>
  <si>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</si>
  <si>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</si>
  <si>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</si>
  <si>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</si>
  <si>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</si>
  <si>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</si>
  <si>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</si>
  <si>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</si>
  <si>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</si>
  <si>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</si>
  <si>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</si>
  <si>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</si>
  <si>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</si>
  <si>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</si>
  <si>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</si>
  <si>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</si>
  <si>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</si>
  <si>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</si>
  <si>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</si>
  <si>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</si>
  <si>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</si>
  <si>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</si>
  <si>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</si>
  <si>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</si>
  <si>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</si>
  <si>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</si>
  <si>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</si>
  <si>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</si>
  <si>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</si>
  <si>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</si>
  <si>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</si>
  <si>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</si>
  <si>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</si>
  <si>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</si>
  <si>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</si>
  <si>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</si>
  <si>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</si>
  <si>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</si>
  <si>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</si>
  <si>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</si>
  <si>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</si>
  <si>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</si>
  <si>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</si>
  <si>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</si>
  <si>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</si>
  <si>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</si>
  <si>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</si>
  <si>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</si>
  <si>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</si>
  <si>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</si>
  <si>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</si>
  <si>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</si>
  <si>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</si>
  <si>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</si>
  <si>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</si>
  <si>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</si>
  <si>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</si>
  <si>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</si>
  <si>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</si>
  <si>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</si>
  <si>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</si>
  <si>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</si>
  <si>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</si>
  <si>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</si>
  <si>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</si>
  <si>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</si>
  <si>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</si>
  <si>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</si>
  <si>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</si>
  <si>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</si>
  <si>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</si>
  <si>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</si>
  <si>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</si>
  <si>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</si>
  <si>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</si>
  <si>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</si>
  <si>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</si>
  <si>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</si>
  <si>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</si>
  <si>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</si>
  <si>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</si>
  <si>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</si>
  <si>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</si>
  <si>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</si>
  <si>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</si>
  <si>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</si>
  <si>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</si>
  <si>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</si>
  <si>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</si>
  <si>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</si>
  <si>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</si>
  <si>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</si>
  <si>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</si>
  <si>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</si>
  <si>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</si>
  <si>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</si>
  <si>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</si>
  <si>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</si>
  <si>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</si>
  <si>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</si>
  <si>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</si>
  <si>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</si>
  <si>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</si>
  <si>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</si>
  <si>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</si>
  <si>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</si>
  <si>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</si>
  <si>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</si>
  <si>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</si>
  <si>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</si>
  <si>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</si>
  <si>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</si>
  <si>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</si>
  <si>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</si>
  <si>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</si>
  <si>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</si>
  <si>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</si>
  <si>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</si>
  <si>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</si>
  <si>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</si>
  <si>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</si>
  <si>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</si>
  <si>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</si>
  <si>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</si>
  <si>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</si>
  <si>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</si>
  <si>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</si>
  <si>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</si>
  <si>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</si>
  <si>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</si>
  <si>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</si>
  <si>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</si>
  <si>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</si>
  <si>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</si>
  <si>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</si>
  <si>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</si>
  <si>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</si>
  <si>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</si>
  <si>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</si>
  <si>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</si>
  <si>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</si>
  <si>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</si>
  <si>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</si>
  <si>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</si>
  <si>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</si>
  <si>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</si>
  <si>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</si>
  <si>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</si>
  <si>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</si>
  <si>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</si>
  <si>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</si>
  <si>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</si>
  <si>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</si>
  <si>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</si>
  <si>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</si>
  <si>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</si>
  <si>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</si>
  <si>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</si>
  <si>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</si>
  <si>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</si>
  <si>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</si>
  <si>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</si>
  <si>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</si>
  <si>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</si>
  <si>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</si>
  <si>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</si>
  <si>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</si>
  <si>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</si>
  <si>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</si>
  <si>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</si>
  <si>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</si>
  <si>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</si>
  <si>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</si>
  <si>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</si>
  <si>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</si>
  <si>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</si>
  <si>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</si>
  <si>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</si>
  <si>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</si>
  <si>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</si>
  <si>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</si>
  <si>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</si>
  <si>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</si>
  <si>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</si>
  <si>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</si>
  <si>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</si>
  <si>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</si>
  <si>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</si>
  <si>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</si>
  <si>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</si>
  <si>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</si>
  <si>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</si>
  <si>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</si>
  <si>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</si>
  <si>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</si>
  <si>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</si>
  <si>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</si>
  <si>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</si>
  <si>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</si>
  <si>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</si>
  <si>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</si>
  <si>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</si>
  <si>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</si>
  <si>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</si>
  <si>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</si>
  <si>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</si>
  <si>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</si>
  <si>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</si>
  <si>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</si>
  <si>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</si>
  <si>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</si>
  <si>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</si>
  <si>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</si>
  <si>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</si>
  <si>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</si>
  <si>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</si>
  <si>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</si>
  <si>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</si>
  <si>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</si>
  <si>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</si>
  <si>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</si>
  <si>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</si>
  <si>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</si>
  <si>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</si>
  <si>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</si>
  <si>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</si>
  <si>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</si>
  <si>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</si>
  <si>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</si>
  <si>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</si>
  <si>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</si>
  <si>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</si>
  <si>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</si>
  <si>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</si>
  <si>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</si>
  <si>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</si>
  <si>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</si>
  <si>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</si>
  <si>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</si>
  <si>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</si>
  <si>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</si>
  <si>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</si>
  <si>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</si>
  <si>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</si>
  <si>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</si>
  <si>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</si>
  <si>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</si>
  <si>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</si>
  <si>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</si>
  <si>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</si>
  <si>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</si>
  <si>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</si>
  <si>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</si>
  <si>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</si>
  <si>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</si>
  <si>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</si>
  <si>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</si>
  <si>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</si>
  <si>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</si>
  <si>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</si>
  <si>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</si>
  <si>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</si>
  <si>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</si>
  <si>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</si>
  <si>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</si>
  <si>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</si>
  <si>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</si>
  <si>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</si>
  <si>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</si>
  <si>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</si>
  <si>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</si>
  <si>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</si>
  <si>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</si>
  <si>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</si>
  <si>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</si>
  <si>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</si>
  <si>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</si>
  <si>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</si>
  <si>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</si>
  <si>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</si>
  <si>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</si>
  <si>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</si>
  <si>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</si>
  <si>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</si>
  <si>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</si>
  <si>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</si>
  <si>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</si>
  <si>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</si>
  <si>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</si>
  <si>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</si>
  <si>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</si>
  <si>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</si>
  <si>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</si>
  <si>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</si>
  <si>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</si>
  <si>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</si>
  <si>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</si>
  <si>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</si>
  <si>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</si>
  <si>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</si>
  <si>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</si>
  <si>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</si>
  <si>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</si>
  <si>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</si>
  <si>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</si>
  <si>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</si>
  <si>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</si>
  <si>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</si>
  <si>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</si>
  <si>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</si>
  <si>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</si>
  <si>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</si>
  <si>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</si>
  <si>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</si>
  <si>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</si>
  <si>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</si>
  <si>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</si>
  <si>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</si>
  <si>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</si>
  <si>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</si>
  <si>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</si>
  <si>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</si>
  <si>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</si>
  <si>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</si>
  <si>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</si>
  <si>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</si>
  <si>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</si>
  <si>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</si>
  <si>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</si>
  <si>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</si>
  <si>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</si>
  <si>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</si>
  <si>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</si>
  <si>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</si>
  <si>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</si>
  <si>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</si>
  <si>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</si>
  <si>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</si>
  <si>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</si>
  <si>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</si>
  <si>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</si>
  <si>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</si>
  <si>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</si>
  <si>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</si>
  <si>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</si>
  <si>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</si>
  <si>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</si>
  <si>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</si>
  <si>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</si>
  <si>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</si>
  <si>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</si>
  <si>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</si>
  <si>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</si>
  <si>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</si>
  <si>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</si>
  <si>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</si>
  <si>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</si>
  <si>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</si>
  <si>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</si>
  <si>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</si>
  <si>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</si>
  <si>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</si>
  <si>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</si>
  <si>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</si>
  <si>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</si>
  <si>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</si>
  <si>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</si>
  <si>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</si>
  <si>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</si>
  <si>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</si>
  <si>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</si>
  <si>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</si>
  <si>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</si>
  <si>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</si>
  <si>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</si>
  <si>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</si>
  <si>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</si>
  <si>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</si>
  <si>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</si>
  <si>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</si>
  <si>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</si>
  <si>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</si>
  <si>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</si>
  <si>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</si>
  <si>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</si>
  <si>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</si>
  <si>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</si>
  <si>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</si>
  <si>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</si>
  <si>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</si>
  <si>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</si>
  <si>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</si>
  <si>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</si>
  <si>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</si>
  <si>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</si>
  <si>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</si>
  <si>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</si>
  <si>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</si>
  <si>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</si>
  <si>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</si>
  <si>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</si>
  <si>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</si>
  <si>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</si>
  <si>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</si>
  <si>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</si>
  <si>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</si>
  <si>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</si>
  <si>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</si>
  <si>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</si>
  <si>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</si>
  <si>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</si>
  <si>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</si>
  <si>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</si>
  <si>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</si>
  <si>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</si>
  <si>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</si>
  <si>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</si>
  <si>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</si>
  <si>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</si>
  <si>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</si>
  <si>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</si>
  <si>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</si>
  <si>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</si>
  <si>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</si>
  <si>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</si>
  <si>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</si>
  <si>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</si>
  <si>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</si>
  <si>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</si>
  <si>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</si>
  <si>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</si>
  <si>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</si>
  <si>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</si>
  <si>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</si>
  <si>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</si>
  <si>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</si>
  <si>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</si>
  <si>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</si>
  <si>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</si>
  <si>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</si>
  <si>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</si>
  <si>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</si>
  <si>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</si>
  <si>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</si>
  <si>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</si>
  <si>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</si>
  <si>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</si>
  <si>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</si>
  <si>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</si>
  <si>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</si>
  <si>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</si>
  <si>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</si>
  <si>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</si>
  <si>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</si>
  <si>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</si>
  <si>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</si>
  <si>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</si>
  <si>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</si>
  <si>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</si>
  <si>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</si>
  <si>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</si>
  <si>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</si>
  <si>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</si>
  <si>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</si>
  <si>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</si>
  <si>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</si>
  <si>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</si>
  <si>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</si>
  <si>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</si>
  <si>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</si>
  <si>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</si>
  <si>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</si>
  <si>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</si>
  <si>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</si>
  <si>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</si>
  <si>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</si>
  <si>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</si>
  <si>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</si>
  <si>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</si>
  <si>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</si>
  <si>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</si>
  <si>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</si>
  <si>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</si>
  <si>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</si>
  <si>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</si>
  <si>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</si>
  <si>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</si>
  <si>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</si>
  <si>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</si>
  <si>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</si>
  <si>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</si>
  <si>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</si>
  <si>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</si>
  <si>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</si>
  <si>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</si>
  <si>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</si>
  <si>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</si>
  <si>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</si>
  <si>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</si>
  <si>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</si>
  <si>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</si>
  <si>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</si>
  <si>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</si>
  <si>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</si>
  <si>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</si>
  <si>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</si>
  <si>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</si>
  <si>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</si>
  <si>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</si>
  <si>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</si>
  <si>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</si>
  <si>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</si>
  <si>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</si>
  <si>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</si>
  <si>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</si>
  <si>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</si>
  <si>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</si>
  <si>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</si>
  <si>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</si>
  <si>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</si>
  <si>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</si>
  <si>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</si>
  <si>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</si>
  <si>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</si>
  <si>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</si>
  <si>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</si>
  <si>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</si>
  <si>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</si>
  <si>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</si>
  <si>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</si>
  <si>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</si>
  <si>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</si>
  <si>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</si>
  <si>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</si>
  <si>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</si>
  <si>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</si>
  <si>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</si>
  <si>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</si>
  <si>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</si>
  <si>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</si>
  <si>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</si>
  <si>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</si>
  <si>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</si>
  <si>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</si>
  <si>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</si>
  <si>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</si>
  <si>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</si>
  <si>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</si>
  <si>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</si>
  <si>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</si>
  <si>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</si>
  <si>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</si>
  <si>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</si>
  <si>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</si>
  <si>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</si>
  <si>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</si>
  <si>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</si>
  <si>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</si>
  <si>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</si>
  <si>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</si>
  <si>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</si>
  <si>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</si>
  <si>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</si>
  <si>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</si>
  <si>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</si>
  <si>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</si>
  <si>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</si>
  <si>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</si>
  <si>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</si>
  <si>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</si>
  <si>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</si>
  <si>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</si>
  <si>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</si>
  <si>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</si>
  <si>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</si>
  <si>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</si>
  <si>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</si>
  <si>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</si>
  <si>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</si>
  <si>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</si>
  <si>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</si>
  <si>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</si>
  <si>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</si>
  <si>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</si>
  <si>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</si>
  <si>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</si>
  <si>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</si>
  <si>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</si>
  <si>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</si>
  <si>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</si>
  <si>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</si>
  <si>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</si>
  <si>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</si>
  <si>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</si>
  <si>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</si>
  <si>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</si>
  <si>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</si>
  <si>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</si>
  <si>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</si>
  <si>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</si>
  <si>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</si>
  <si>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</si>
  <si>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</si>
  <si>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</si>
  <si>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</si>
  <si>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</si>
  <si>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</si>
  <si>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</si>
  <si>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</si>
  <si>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</si>
  <si>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</si>
  <si>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</si>
  <si>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</si>
  <si>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</si>
  <si>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</si>
  <si>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</si>
  <si>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</si>
  <si>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</si>
  <si>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</si>
  <si>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</si>
  <si>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</si>
  <si>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</si>
  <si>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</si>
  <si>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</si>
  <si>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</si>
  <si>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</si>
  <si>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</si>
  <si>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</si>
  <si>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</si>
  <si>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</si>
  <si>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</si>
  <si>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</si>
  <si>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</si>
  <si>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</si>
  <si>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</si>
  <si>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</si>
  <si>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</si>
  <si>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</si>
  <si>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</si>
  <si>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</si>
  <si>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</si>
  <si>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</si>
  <si>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</si>
  <si>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</si>
  <si>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</si>
  <si>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</si>
  <si>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</si>
  <si>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</si>
  <si>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</si>
  <si>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</si>
  <si>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</si>
  <si>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</si>
  <si>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</si>
  <si>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</si>
  <si>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</si>
  <si>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</si>
  <si>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</si>
  <si>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</si>
  <si>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</si>
  <si>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</si>
  <si>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</si>
  <si>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</si>
  <si>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</si>
  <si>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</si>
  <si>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</si>
  <si>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</si>
  <si>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</si>
  <si>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</si>
  <si>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</si>
  <si>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</si>
  <si>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</si>
  <si>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</si>
  <si>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</si>
  <si>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</si>
  <si>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</si>
  <si>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</si>
  <si>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</si>
  <si>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</si>
  <si>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</si>
  <si>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</si>
  <si>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</si>
  <si>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</si>
  <si>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</si>
  <si>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</si>
  <si>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</si>
  <si>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</si>
  <si>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</si>
  <si>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</si>
  <si>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</si>
  <si>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</si>
  <si>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</si>
  <si>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</si>
  <si>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</si>
  <si>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</si>
  <si>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</si>
  <si>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</si>
  <si>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</si>
  <si>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</si>
  <si>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</si>
  <si>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</si>
  <si>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</si>
  <si>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</si>
  <si>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</si>
  <si>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</si>
  <si>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</si>
  <si>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</si>
  <si>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</si>
  <si>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</si>
  <si>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</si>
  <si>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</si>
  <si>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</si>
  <si>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</si>
  <si>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</si>
  <si>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</si>
  <si>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</si>
  <si>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</si>
  <si>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</si>
  <si>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</si>
  <si>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</si>
  <si>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</si>
  <si>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</si>
  <si>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</si>
  <si>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</si>
  <si>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</si>
  <si>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</si>
  <si>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</si>
  <si>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</si>
  <si>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</si>
  <si>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</si>
  <si>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</si>
  <si>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</si>
  <si>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</si>
  <si>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</si>
  <si>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</si>
  <si>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</si>
  <si>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</si>
  <si>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</si>
  <si>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</si>
  <si>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</si>
  <si>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</si>
  <si>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</si>
  <si>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</si>
  <si>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</si>
  <si>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</si>
  <si>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</si>
  <si>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</si>
  <si>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</si>
  <si>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</si>
  <si>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</si>
  <si>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</si>
  <si>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</si>
  <si>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</si>
  <si>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</si>
  <si>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</si>
  <si>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</si>
  <si>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</si>
  <si>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</si>
  <si>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</si>
  <si>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</si>
  <si>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</si>
  <si>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</si>
  <si>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</si>
  <si>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</si>
  <si>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</si>
  <si>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</si>
  <si>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</si>
  <si>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</si>
  <si>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</si>
  <si>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</si>
  <si>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</si>
  <si>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</si>
  <si>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</si>
  <si>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</si>
  <si>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</si>
  <si>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</si>
  <si>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</si>
  <si>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</si>
  <si>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</si>
  <si>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</si>
  <si>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</si>
  <si>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</si>
  <si>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</si>
  <si>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</si>
  <si>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</si>
  <si>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</si>
  <si>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</si>
  <si>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</si>
  <si>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</si>
  <si>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</si>
  <si>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</si>
  <si>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</si>
  <si>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</si>
  <si>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</si>
  <si>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</si>
  <si>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</si>
  <si>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</si>
  <si>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</si>
  <si>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</si>
  <si>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</si>
  <si>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</si>
  <si>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</si>
  <si>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</si>
  <si>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</si>
  <si>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</si>
  <si>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</si>
  <si>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</si>
  <si>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</si>
  <si>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</si>
  <si>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</si>
  <si>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</si>
  <si>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</si>
  <si>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</si>
  <si>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</si>
  <si>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</si>
  <si>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</si>
  <si>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</si>
  <si>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</si>
  <si>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</si>
  <si>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</si>
  <si>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</si>
  <si>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</si>
  <si>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</si>
  <si>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</si>
  <si>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</si>
  <si>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</si>
  <si>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</si>
  <si>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</si>
  <si>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</si>
  <si>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</si>
  <si>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</si>
  <si>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</si>
  <si>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</si>
  <si>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</si>
  <si>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</si>
  <si>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</si>
  <si>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</si>
  <si>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</si>
  <si>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</si>
  <si>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</si>
  <si>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</si>
  <si>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</si>
  <si>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</si>
  <si>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</si>
  <si>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</si>
  <si>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</si>
  <si>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</si>
  <si>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</si>
  <si>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</si>
  <si>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</si>
  <si>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</si>
  <si>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</si>
  <si>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</si>
  <si>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</si>
  <si>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</si>
  <si>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</si>
  <si>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</si>
  <si>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</si>
  <si>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</si>
  <si>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</si>
  <si>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</si>
  <si>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</si>
  <si>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</si>
  <si>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</si>
  <si>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</si>
  <si>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</si>
  <si>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</si>
  <si>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</si>
  <si>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</si>
  <si>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</si>
  <si>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</si>
  <si>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</si>
  <si>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</si>
  <si>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</si>
  <si>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</si>
  <si>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</si>
  <si>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</si>
  <si>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</si>
  <si>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</si>
  <si>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</si>
  <si>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</si>
  <si>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</si>
  <si>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</si>
  <si>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</si>
  <si>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</si>
  <si>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</si>
  <si>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</si>
  <si>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</si>
  <si>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</si>
  <si>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</si>
  <si>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</si>
  <si>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</si>
  <si>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</si>
  <si>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</si>
  <si>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</si>
  <si>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</si>
  <si>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</si>
  <si>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</si>
  <si>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</si>
  <si>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</si>
  <si>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</si>
  <si>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</si>
  <si>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</si>
  <si>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</si>
  <si>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</si>
  <si>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</si>
  <si>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</si>
  <si>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</si>
  <si>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</si>
  <si>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</si>
  <si>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</si>
  <si>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</si>
  <si>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</si>
  <si>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</si>
  <si>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</si>
  <si>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</si>
  <si>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</si>
  <si>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</si>
  <si>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</si>
  <si>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</si>
  <si>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</si>
  <si>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</si>
  <si>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</si>
  <si>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</si>
  <si>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</si>
  <si>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</si>
  <si>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</si>
  <si>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</si>
  <si>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</si>
  <si>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</si>
  <si>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</si>
  <si>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</si>
  <si>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</si>
  <si>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</si>
  <si>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</si>
  <si>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</si>
  <si>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</si>
  <si>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</si>
  <si>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</si>
  <si>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</si>
  <si>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</si>
  <si>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</si>
  <si>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</si>
  <si>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</si>
  <si>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</si>
  <si>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</si>
  <si>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</si>
  <si>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</si>
  <si>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</si>
  <si>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</si>
  <si>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</si>
  <si>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</si>
  <si>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</si>
  <si>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</si>
  <si>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</si>
  <si>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</si>
  <si>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</si>
  <si>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</si>
  <si>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</si>
  <si>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</si>
  <si>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</si>
  <si>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</si>
  <si>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</si>
  <si>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</si>
  <si>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</si>
  <si>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</si>
  <si>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</si>
  <si>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</si>
  <si>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</si>
  <si>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</si>
  <si>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</si>
  <si>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</si>
  <si>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</si>
  <si>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</si>
  <si>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</si>
  <si>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</si>
  <si>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</si>
  <si>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</si>
  <si>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</si>
  <si>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</si>
  <si>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</si>
  <si>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</si>
  <si>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</si>
  <si>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</si>
  <si>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</si>
  <si>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</si>
  <si>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</si>
  <si>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</si>
  <si>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</si>
  <si>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</si>
  <si>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</si>
  <si>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</si>
  <si>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</si>
  <si>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</si>
  <si>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</si>
  <si>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</si>
  <si>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</si>
  <si>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</si>
  <si>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</si>
  <si>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</si>
  <si>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</si>
  <si>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</si>
  <si>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</si>
  <si>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</si>
  <si>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</si>
  <si>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</si>
  <si>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</si>
  <si>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</si>
  <si>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</si>
  <si>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</si>
  <si>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</si>
  <si>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</si>
  <si>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</si>
  <si>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</si>
  <si>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</si>
  <si>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</si>
  <si>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</si>
  <si>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</si>
  <si>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</si>
  <si>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</si>
  <si>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</si>
  <si>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</si>
  <si>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</si>
  <si>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</si>
  <si>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</si>
  <si>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</si>
  <si>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</si>
  <si>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</si>
  <si>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</si>
  <si>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</si>
  <si>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</si>
  <si>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</si>
  <si>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</si>
  <si>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</si>
  <si>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</si>
  <si>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</si>
  <si>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</si>
  <si>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</si>
  <si>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</si>
  <si>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</si>
  <si>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</si>
  <si>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</si>
  <si>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</si>
  <si>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</si>
  <si>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</si>
  <si>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</si>
  <si>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</si>
  <si>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</si>
  <si>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</si>
  <si>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</si>
  <si>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</si>
  <si>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</si>
  <si>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</si>
  <si>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</si>
  <si>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</si>
  <si>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</si>
  <si>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</si>
  <si>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</si>
  <si>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</si>
  <si>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</si>
  <si>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</si>
  <si>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</si>
  <si>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</si>
  <si>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</si>
  <si>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</si>
  <si>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</si>
  <si>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</si>
  <si>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</si>
  <si>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</si>
  <si>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</si>
  <si>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</si>
  <si>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</si>
  <si>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</si>
  <si>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</si>
  <si>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</si>
  <si>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</si>
  <si>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</si>
  <si>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</si>
  <si>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</si>
  <si>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</si>
  <si>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</si>
  <si>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</si>
  <si>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</si>
  <si>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</si>
  <si>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</si>
  <si>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</si>
  <si>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</si>
  <si>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</si>
  <si>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</si>
  <si>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</si>
  <si>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</si>
  <si>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</si>
  <si>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</si>
  <si>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</si>
  <si>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</si>
  <si>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</si>
  <si>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</si>
  <si>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</si>
  <si>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</si>
  <si>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</si>
  <si>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</si>
  <si>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</si>
  <si>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</si>
  <si>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</si>
  <si>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</si>
  <si>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</si>
  <si>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</si>
  <si>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</si>
  <si>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</si>
  <si>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</si>
  <si>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</si>
  <si>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</si>
  <si>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</si>
  <si>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</si>
  <si>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</si>
  <si>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</si>
  <si>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</si>
  <si>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</si>
  <si>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</si>
  <si>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</si>
  <si>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</si>
  <si>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</si>
  <si>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</si>
  <si>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</si>
  <si>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</si>
  <si>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</si>
  <si>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</si>
  <si>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</si>
  <si>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</si>
  <si>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</si>
  <si>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</si>
  <si>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</si>
  <si>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</si>
  <si>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</si>
  <si>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</si>
  <si>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</si>
  <si>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</si>
  <si>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</si>
  <si>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</si>
  <si>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</si>
  <si>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</si>
  <si>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</si>
  <si>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</si>
  <si>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</si>
  <si>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</si>
  <si>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</si>
  <si>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</si>
  <si>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</si>
  <si>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</si>
  <si>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</si>
  <si>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</si>
  <si>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</si>
  <si>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</si>
  <si>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</si>
  <si>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</si>
  <si>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</si>
  <si>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</si>
  <si>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</si>
  <si>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</si>
  <si>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</si>
  <si>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</si>
  <si>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</si>
  <si>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</si>
  <si>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</si>
  <si>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</si>
  <si>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</si>
  <si>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</si>
  <si>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</si>
  <si>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</si>
  <si>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</si>
  <si>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</si>
  <si>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</si>
  <si>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</si>
  <si>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</si>
  <si>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</si>
  <si>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</si>
  <si>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</si>
  <si>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</si>
  <si>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</si>
  <si>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</si>
  <si>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</si>
  <si>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</si>
  <si>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</si>
  <si>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</si>
  <si>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</si>
  <si>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</si>
  <si>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</si>
  <si>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</si>
  <si>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</si>
  <si>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</si>
  <si>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</si>
  <si>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</si>
  <si>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</si>
  <si>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</si>
  <si>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</si>
  <si>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</si>
  <si>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</si>
  <si>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</si>
  <si>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</si>
  <si>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</si>
  <si>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</si>
  <si>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</si>
  <si>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</si>
  <si>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</si>
  <si>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</si>
  <si>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</si>
  <si>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</si>
  <si>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</si>
  <si>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</si>
  <si>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</si>
  <si>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</si>
  <si>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</si>
  <si>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</si>
  <si>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</si>
  <si>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</si>
  <si>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</si>
  <si>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</si>
  <si>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</si>
  <si>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</si>
  <si>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</si>
  <si>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</si>
  <si>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</si>
  <si>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</si>
  <si>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</si>
  <si>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</si>
  <si>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</si>
  <si>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</si>
  <si>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</si>
  <si>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</si>
  <si>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</si>
  <si>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</si>
  <si>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</si>
  <si>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</si>
  <si>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</si>
  <si>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</si>
  <si>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</si>
  <si>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</si>
  <si>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</si>
  <si>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</si>
  <si>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</si>
  <si>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</si>
  <si>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</si>
  <si>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</si>
  <si>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</si>
  <si>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</si>
  <si>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</si>
  <si>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</si>
  <si>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</si>
  <si>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</si>
  <si>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</si>
  <si>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</si>
  <si>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</si>
  <si>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</si>
  <si>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</si>
  <si>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</si>
  <si>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</si>
  <si>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</si>
  <si>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</si>
  <si>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</si>
  <si>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</si>
  <si>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</si>
  <si>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</si>
  <si>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</si>
  <si>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</si>
  <si>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</si>
  <si>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</si>
  <si>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</si>
  <si>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</si>
  <si>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</si>
  <si>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</si>
  <si>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</si>
  <si>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</si>
  <si>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</si>
  <si>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</si>
  <si>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</si>
  <si>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</si>
  <si>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</si>
  <si>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</si>
  <si>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</si>
  <si>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</si>
  <si>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</si>
  <si>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</si>
  <si>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</si>
  <si>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</si>
  <si>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</si>
  <si>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</si>
  <si>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</si>
  <si>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</si>
  <si>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</si>
  <si>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</si>
  <si>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</si>
  <si>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</si>
  <si>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</si>
  <si>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</si>
  <si>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</si>
  <si>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</si>
  <si>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</si>
  <si>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</si>
  <si>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</si>
  <si>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</si>
  <si>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</si>
  <si>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</si>
  <si>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</si>
  <si>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</si>
  <si>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</si>
  <si>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</si>
  <si>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</si>
  <si>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</si>
  <si>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</si>
  <si>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</si>
  <si>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</si>
  <si>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</si>
  <si>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</si>
  <si>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</si>
  <si>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</si>
  <si>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</si>
  <si>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</si>
  <si>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</si>
  <si>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</si>
  <si>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</si>
  <si>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</si>
  <si>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</si>
  <si>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</si>
  <si>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</si>
  <si>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</si>
  <si>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</si>
  <si>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</si>
  <si>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</si>
  <si>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</si>
  <si>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</si>
  <si>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</si>
  <si>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</si>
  <si>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</si>
  <si>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</si>
  <si>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</si>
  <si>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</si>
  <si>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</si>
  <si>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</si>
  <si>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</si>
  <si>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</si>
  <si>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</si>
  <si>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</si>
  <si>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</si>
  <si>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</si>
  <si>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</si>
  <si>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</si>
  <si>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</si>
  <si>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</si>
  <si>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</si>
  <si>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</si>
  <si>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</si>
  <si>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</si>
  <si>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</si>
  <si>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</si>
  <si>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</si>
  <si>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</si>
  <si>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</si>
  <si>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</si>
  <si>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</si>
  <si>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</si>
  <si>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</si>
  <si>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</si>
  <si>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</si>
  <si>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</si>
  <si>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</si>
  <si>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</si>
  <si>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</si>
  <si>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</si>
  <si>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</si>
  <si>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</si>
  <si>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</si>
  <si>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</si>
  <si>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</si>
  <si>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</si>
  <si>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</si>
  <si>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</si>
  <si>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</si>
  <si>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</si>
  <si>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</si>
  <si>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</si>
  <si>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</si>
  <si>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</si>
  <si>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</si>
  <si>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</si>
  <si>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</si>
  <si>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</si>
  <si>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</si>
  <si>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</si>
  <si>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</si>
  <si>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</si>
  <si>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</si>
  <si>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</si>
  <si>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</si>
  <si>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</si>
  <si>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</si>
  <si>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</si>
  <si>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</si>
  <si>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</si>
  <si>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</si>
  <si>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</si>
  <si>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</si>
  <si>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</si>
  <si>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</si>
  <si>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</si>
  <si>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</si>
  <si>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</si>
  <si>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</si>
  <si>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</si>
  <si>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</si>
  <si>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</si>
  <si>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</si>
  <si>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</si>
  <si>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</si>
  <si>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</si>
  <si>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</si>
  <si>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</si>
  <si>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</si>
  <si>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</si>
  <si>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</si>
  <si>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</si>
  <si>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</si>
  <si>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</si>
  <si>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</si>
  <si>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</si>
  <si>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</si>
  <si>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</si>
  <si>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</si>
  <si>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</si>
  <si>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</si>
  <si>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</si>
  <si>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</si>
  <si>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</si>
  <si>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</si>
  <si>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</si>
  <si>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</si>
  <si>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</si>
  <si>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</si>
  <si>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</si>
  <si>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</si>
  <si>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</si>
  <si>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</si>
  <si>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</si>
  <si>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</si>
  <si>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</si>
  <si>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</si>
  <si>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</si>
  <si>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</si>
  <si>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</si>
  <si>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</si>
  <si>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</si>
  <si>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</si>
  <si>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</si>
  <si>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</si>
  <si>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</si>
  <si>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</si>
  <si>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</si>
  <si>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</si>
  <si>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</si>
  <si>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</si>
  <si>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</si>
  <si>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</si>
  <si>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</si>
  <si>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</si>
  <si>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</si>
  <si>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</si>
  <si>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</si>
  <si>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</si>
  <si>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</si>
  <si>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</si>
  <si>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</si>
  <si>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</si>
  <si>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</si>
  <si>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</si>
  <si>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</si>
  <si>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</si>
  <si>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</si>
  <si>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</si>
  <si>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</si>
  <si>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</si>
  <si>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</si>
  <si>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</si>
  <si>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</si>
  <si>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</si>
  <si>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</si>
  <si>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</si>
  <si>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</si>
  <si>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</si>
  <si>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</si>
  <si>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</si>
  <si>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</si>
  <si>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</si>
  <si>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</si>
  <si>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</si>
  <si>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</si>
  <si>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</si>
  <si>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</si>
  <si>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</si>
  <si>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</si>
  <si>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</si>
  <si>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</si>
  <si>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</si>
  <si>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</si>
  <si>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</si>
  <si>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</si>
  <si>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</si>
  <si>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</si>
  <si>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</si>
  <si>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</si>
  <si>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</si>
  <si>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</si>
  <si>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</si>
  <si>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</si>
  <si>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</si>
  <si>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</si>
  <si>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</si>
  <si>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</si>
  <si>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</si>
  <si>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</si>
  <si>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</si>
  <si>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</si>
  <si>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</si>
  <si>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</si>
  <si>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</si>
  <si>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</si>
  <si>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</si>
  <si>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</si>
  <si>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</si>
  <si>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</si>
  <si>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</si>
  <si>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</si>
  <si>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</si>
  <si>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</si>
  <si>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</si>
  <si>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</si>
  <si>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</si>
  <si>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</si>
  <si>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</si>
  <si>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</si>
  <si>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</si>
  <si>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</si>
  <si>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</si>
  <si>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</si>
  <si>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</si>
  <si>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</si>
  <si>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</si>
  <si>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</si>
  <si>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</si>
  <si>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</si>
  <si>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</si>
  <si>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</si>
  <si>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</si>
  <si>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</si>
  <si>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</si>
  <si>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</si>
  <si>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</si>
  <si>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</si>
  <si>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</si>
  <si>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</si>
  <si>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</si>
  <si>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</si>
  <si>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</si>
  <si>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</si>
  <si>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</si>
  <si>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</si>
  <si>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</si>
  <si>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</si>
  <si>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</si>
  <si>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</si>
  <si>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</si>
  <si>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</si>
  <si>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</si>
  <si>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</si>
  <si>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</si>
  <si>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</si>
  <si>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</si>
  <si>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</si>
  <si>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</si>
  <si>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</si>
  <si>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</si>
  <si>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</si>
  <si>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</si>
  <si>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</si>
  <si>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</si>
  <si>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</si>
  <si>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</si>
  <si>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</si>
  <si>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</si>
  <si>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</si>
  <si>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</si>
  <si>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</si>
  <si>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</si>
  <si>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</si>
  <si>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</si>
  <si>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</si>
  <si>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</si>
  <si>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</si>
  <si>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</si>
  <si>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</si>
  <si>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</si>
  <si>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</si>
  <si>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</si>
  <si>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</si>
  <si>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</si>
  <si>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</si>
  <si>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</si>
  <si>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</si>
  <si>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</si>
  <si>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</si>
  <si>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</si>
  <si>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</si>
  <si>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</si>
  <si>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</si>
  <si>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</si>
  <si>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</si>
  <si>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</si>
  <si>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</si>
  <si>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</si>
  <si>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</si>
  <si>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</si>
  <si>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</si>
  <si>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</si>
  <si>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</si>
  <si>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</si>
  <si>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</si>
  <si>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</si>
  <si>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</si>
  <si>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</si>
  <si>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</si>
  <si>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</si>
  <si>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</si>
  <si>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</si>
  <si>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</si>
  <si>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</si>
  <si>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</si>
  <si>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</si>
  <si>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</si>
  <si>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</si>
  <si>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</si>
  <si>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</si>
  <si>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</si>
  <si>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</si>
  <si>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</si>
  <si>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</si>
  <si>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</si>
  <si>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</si>
  <si>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</si>
  <si>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</si>
  <si>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</si>
  <si>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</si>
  <si>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</si>
  <si>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</si>
  <si>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</si>
  <si>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</si>
  <si>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</si>
  <si>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</si>
  <si>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</si>
  <si>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</si>
  <si>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</si>
  <si>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</si>
  <si>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</si>
  <si>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</si>
  <si>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</si>
  <si>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</si>
  <si>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</si>
  <si>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</si>
  <si>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</si>
  <si>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</si>
  <si>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</si>
  <si>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</si>
  <si>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</si>
  <si>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</si>
  <si>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</si>
  <si>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</si>
  <si>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</si>
  <si>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</si>
  <si>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</si>
  <si>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</si>
  <si>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</si>
  <si>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</si>
  <si>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</si>
  <si>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</si>
  <si>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</si>
  <si>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</si>
  <si>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</si>
  <si>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</si>
  <si>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</si>
  <si>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</si>
  <si>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</si>
  <si>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</si>
  <si>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</si>
  <si>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</si>
  <si>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</si>
  <si>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</si>
  <si>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</si>
  <si>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</si>
  <si>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</si>
  <si>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</si>
  <si>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</si>
  <si>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</si>
  <si>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</si>
  <si>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</si>
  <si>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</si>
  <si>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</si>
  <si>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</si>
  <si>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</si>
  <si>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</si>
  <si>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</si>
  <si>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</si>
  <si>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</si>
  <si>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</si>
  <si>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</si>
  <si>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</si>
  <si>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</si>
  <si>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</si>
  <si>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</si>
  <si>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</si>
  <si>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</si>
  <si>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</si>
  <si>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</si>
  <si>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</si>
  <si>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</si>
  <si>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</si>
  <si>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</si>
  <si>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</si>
  <si>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</si>
  <si>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</si>
  <si>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</si>
  <si>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</si>
  <si>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</si>
  <si>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</si>
  <si>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</si>
  <si>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</si>
  <si>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</si>
  <si>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</si>
  <si>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</si>
  <si>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</si>
  <si>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</si>
  <si>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</si>
  <si>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</si>
  <si>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</si>
  <si>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</si>
  <si>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</si>
  <si>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</si>
  <si>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</si>
  <si>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</si>
  <si>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</si>
  <si>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</si>
  <si>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</si>
  <si>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</si>
  <si>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</si>
  <si>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</si>
  <si>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</si>
  <si>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</si>
  <si>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</si>
  <si>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</si>
  <si>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</si>
  <si>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</si>
  <si>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</si>
  <si>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</si>
  <si>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</si>
  <si>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</si>
  <si>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</si>
  <si>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</si>
  <si>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</si>
  <si>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</si>
  <si>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</si>
  <si>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</si>
  <si>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</si>
  <si>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</si>
  <si>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</si>
  <si>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</si>
  <si>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</si>
  <si>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</si>
  <si>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</si>
  <si>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</si>
  <si>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</si>
  <si>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</si>
  <si>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</si>
  <si>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</si>
  <si>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</si>
  <si>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</si>
  <si>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</si>
  <si>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</si>
  <si>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</si>
  <si>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</si>
  <si>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</si>
  <si>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</si>
  <si>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</si>
  <si>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</si>
  <si>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</si>
  <si>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</si>
  <si>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</si>
  <si>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</si>
  <si>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</si>
  <si>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</si>
  <si>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</si>
  <si>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</si>
  <si>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</si>
  <si>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</si>
  <si>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</si>
  <si>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</si>
  <si>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</si>
  <si>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</si>
  <si>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</si>
  <si>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</si>
  <si>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</si>
  <si>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</si>
  <si>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</si>
  <si>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</si>
  <si>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</si>
  <si>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</si>
  <si>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</si>
  <si>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</si>
  <si>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</si>
  <si>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</si>
  <si>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</si>
  <si>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</si>
  <si>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</si>
  <si>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</si>
  <si>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</si>
  <si>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</si>
  <si>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</si>
  <si>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</si>
  <si>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</si>
  <si>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</si>
  <si>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</si>
  <si>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</si>
  <si>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</si>
  <si>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</si>
  <si>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</si>
  <si>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</si>
  <si>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</si>
  <si>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</si>
  <si>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</si>
  <si>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</si>
  <si>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</si>
  <si>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</si>
  <si>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</si>
  <si>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</si>
  <si>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</si>
  <si>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</si>
  <si>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</si>
  <si>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</si>
  <si>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</si>
  <si>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</si>
  <si>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</si>
  <si>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</si>
  <si>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</si>
  <si>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</si>
  <si>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</si>
  <si>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</si>
  <si>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</si>
  <si>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</si>
  <si>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</si>
  <si>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</si>
  <si>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</si>
  <si>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</si>
  <si>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</si>
  <si>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</si>
  <si>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</si>
  <si>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</si>
  <si>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</si>
  <si>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</si>
  <si>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</si>
  <si>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</si>
  <si>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</si>
  <si>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</si>
  <si>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</si>
  <si>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</si>
  <si>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</si>
  <si>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</si>
  <si>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</si>
  <si>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</si>
  <si>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</si>
  <si>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</si>
  <si>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</si>
  <si>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</si>
  <si>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</si>
  <si>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</si>
  <si>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</si>
  <si>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</si>
  <si>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</si>
  <si>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</si>
  <si>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</si>
  <si>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</si>
  <si>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</si>
  <si>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</si>
  <si>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</si>
  <si>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</si>
  <si>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</si>
  <si>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</si>
  <si>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</si>
  <si>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</si>
  <si>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</si>
  <si>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</si>
  <si>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</si>
  <si>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</si>
  <si>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</si>
  <si>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</si>
  <si>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</si>
  <si>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</si>
  <si>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</si>
  <si>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</si>
  <si>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</si>
  <si>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</si>
  <si>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</si>
  <si>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</si>
  <si>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</si>
  <si>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</si>
  <si>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</si>
  <si>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</si>
  <si>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</si>
  <si>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</si>
  <si>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</si>
  <si>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</si>
  <si>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</si>
  <si>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</si>
  <si>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</si>
  <si>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</si>
  <si>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</si>
  <si>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</si>
  <si>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</si>
  <si>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</si>
  <si>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</si>
  <si>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</si>
  <si>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</si>
  <si>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</si>
  <si>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</si>
  <si>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</si>
  <si>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</si>
  <si>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</si>
  <si>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</si>
  <si>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</si>
  <si>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</si>
  <si>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</si>
  <si>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</si>
  <si>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</si>
  <si>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</si>
  <si>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</si>
  <si>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</si>
  <si>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</si>
  <si>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</si>
  <si>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</si>
  <si>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</si>
  <si>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</si>
  <si>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</si>
  <si>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</si>
  <si>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</si>
  <si>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</si>
  <si>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</si>
  <si>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</si>
  <si>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</si>
  <si>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</si>
  <si>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</si>
  <si>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</si>
  <si>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</si>
  <si>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</si>
  <si>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</si>
  <si>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</si>
  <si>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</si>
  <si>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</si>
  <si>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</si>
  <si>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</si>
  <si>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</si>
  <si>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</si>
  <si>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</si>
  <si>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</si>
  <si>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</si>
  <si>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</si>
  <si>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</si>
  <si>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</si>
  <si>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</si>
  <si>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</si>
  <si>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</si>
  <si>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</si>
  <si>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</si>
  <si>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</si>
  <si>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</si>
  <si>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</si>
  <si>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</si>
  <si>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</si>
  <si>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</si>
  <si>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</si>
  <si>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</si>
  <si>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</si>
  <si>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</si>
  <si>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</si>
  <si>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</si>
  <si>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</si>
  <si>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</si>
  <si>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</si>
  <si>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</si>
  <si>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</si>
  <si>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</si>
  <si>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</si>
  <si>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</si>
  <si>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</si>
  <si>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</si>
  <si>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</si>
  <si>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</si>
  <si>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</si>
  <si>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</si>
  <si>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</si>
  <si>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</si>
  <si>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</si>
  <si>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</si>
  <si>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</si>
  <si>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</si>
  <si>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</si>
  <si>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</si>
  <si>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</si>
  <si>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</si>
  <si>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</si>
  <si>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</si>
  <si>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</si>
  <si>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</si>
  <si>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</si>
  <si>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</si>
  <si>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</si>
  <si>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</si>
  <si>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</si>
  <si>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</si>
  <si>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</si>
  <si>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</si>
  <si>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</si>
  <si>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</si>
  <si>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</si>
  <si>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</si>
  <si>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</si>
  <si>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</si>
  <si>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</si>
  <si>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</si>
  <si>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</si>
  <si>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</si>
  <si>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</si>
  <si>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</si>
  <si>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</si>
  <si>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</si>
  <si>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</si>
  <si>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</si>
  <si>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</si>
  <si>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</si>
  <si>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</si>
  <si>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</si>
  <si>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</si>
  <si>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</si>
  <si>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</si>
  <si>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</si>
  <si>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</si>
  <si>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</si>
  <si>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</si>
  <si>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</si>
  <si>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</si>
  <si>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</si>
  <si>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</si>
  <si>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</si>
  <si>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</si>
  <si>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</si>
  <si>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</si>
  <si>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</si>
  <si>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</si>
  <si>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</si>
  <si>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</si>
  <si>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</si>
  <si>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</si>
  <si>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</si>
  <si>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</si>
  <si>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</si>
  <si>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</si>
  <si>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</si>
  <si>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</si>
  <si>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</si>
  <si>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</si>
  <si>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</si>
  <si>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</si>
  <si>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</si>
  <si>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</si>
  <si>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</si>
  <si>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</si>
  <si>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</si>
  <si>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</si>
  <si>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</si>
  <si>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</si>
  <si>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</si>
  <si>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</si>
  <si>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</si>
  <si>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</si>
  <si>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</si>
  <si>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</si>
  <si>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</si>
  <si>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</si>
  <si>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</si>
  <si>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</si>
  <si>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</si>
  <si>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</si>
  <si>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</si>
  <si>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</si>
  <si>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</si>
  <si>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</si>
  <si>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</si>
  <si>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</si>
  <si>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</si>
  <si>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</si>
  <si>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</si>
  <si>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</si>
  <si>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</si>
  <si>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</si>
  <si>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</si>
  <si>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</si>
  <si>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</si>
  <si>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</si>
  <si>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</si>
  <si>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</si>
  <si>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</si>
  <si>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</si>
  <si>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</si>
  <si>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</si>
  <si>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</si>
  <si>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</si>
  <si>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</si>
  <si>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</si>
  <si>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</si>
  <si>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</si>
  <si>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</si>
  <si>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</si>
  <si>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</si>
  <si>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</si>
  <si>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</si>
  <si>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</si>
  <si>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</si>
  <si>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</si>
  <si>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</si>
  <si>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</si>
  <si>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</si>
  <si>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</si>
  <si>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</si>
  <si>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</si>
  <si>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</si>
  <si>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</si>
  <si>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</si>
  <si>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</si>
  <si>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</si>
  <si>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</si>
  <si>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</si>
  <si>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</si>
  <si>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</si>
  <si>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</si>
  <si>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</si>
  <si>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</si>
  <si>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</si>
  <si>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</si>
  <si>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</si>
  <si>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</si>
  <si>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</si>
  <si>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</si>
  <si>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</si>
  <si>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</si>
  <si>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</si>
  <si>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</si>
  <si>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</si>
  <si>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</si>
  <si>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</si>
  <si>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</si>
  <si>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</si>
  <si>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</si>
  <si>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</si>
  <si>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</si>
  <si>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</si>
  <si>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</si>
  <si>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</si>
  <si>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</si>
  <si>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</si>
  <si>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</si>
  <si>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</si>
  <si>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</si>
  <si>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</si>
  <si>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</si>
  <si>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</si>
  <si>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</si>
  <si>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</si>
  <si>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</si>
  <si>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</si>
  <si>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</si>
  <si>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</si>
  <si>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</si>
  <si>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</si>
  <si>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</si>
  <si>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</si>
  <si>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</si>
  <si>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</si>
  <si>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</si>
  <si>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</si>
  <si>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</si>
  <si>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</si>
  <si>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</si>
  <si>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</si>
  <si>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</si>
  <si>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</si>
  <si>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</si>
  <si>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</si>
  <si>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</si>
  <si>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</si>
  <si>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</si>
  <si>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</si>
  <si>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</si>
  <si>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</si>
  <si>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</si>
  <si>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</si>
  <si>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</si>
  <si>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</si>
  <si>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</si>
  <si>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</si>
  <si>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</si>
  <si>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</si>
  <si>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</si>
  <si>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</si>
  <si>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</si>
  <si>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</si>
  <si>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</si>
  <si>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</si>
  <si>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</si>
  <si>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</si>
  <si>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</si>
  <si>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</si>
  <si>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</si>
  <si>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</si>
  <si>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</si>
  <si>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</si>
  <si>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</si>
  <si>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</si>
  <si>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</si>
  <si>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</si>
  <si>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</si>
  <si>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</si>
  <si>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</si>
  <si>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</si>
  <si>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</si>
  <si>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</si>
  <si>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</si>
  <si>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</si>
  <si>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</si>
  <si>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</si>
  <si>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</si>
  <si>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</si>
  <si>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</si>
  <si>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</si>
  <si>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</si>
  <si>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</si>
  <si>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</si>
  <si>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</si>
  <si>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</si>
  <si>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</si>
  <si>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</si>
  <si>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</si>
  <si>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</si>
  <si>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</si>
  <si>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</si>
  <si>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</si>
  <si>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</si>
  <si>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</si>
  <si>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</si>
  <si>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</si>
  <si>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</si>
  <si>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</si>
  <si>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</si>
  <si>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</si>
  <si>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</si>
  <si>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</si>
  <si>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</si>
  <si>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</si>
  <si>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</si>
  <si>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</si>
  <si>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</si>
  <si>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</si>
  <si>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</si>
  <si>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</si>
  <si>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</si>
  <si>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</si>
  <si>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</si>
  <si>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</si>
  <si>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</si>
  <si>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</si>
  <si>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</si>
  <si>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</si>
  <si>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</si>
  <si>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</si>
  <si>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</si>
  <si>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</si>
  <si>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</si>
  <si>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</si>
  <si>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</si>
  <si>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</si>
  <si>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</si>
  <si>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</si>
  <si>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</si>
  <si>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</si>
  <si>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</si>
  <si>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</si>
  <si>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</si>
  <si>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</si>
  <si>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</si>
  <si>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</si>
  <si>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</si>
  <si>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</si>
  <si>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</si>
  <si>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</si>
  <si>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</si>
  <si>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</si>
  <si>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</si>
  <si>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</si>
  <si>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</si>
  <si>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</si>
  <si>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</si>
  <si>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</si>
  <si>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</si>
  <si>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</si>
  <si>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</si>
  <si>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</si>
  <si>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</si>
  <si>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</si>
  <si>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</si>
  <si>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</si>
  <si>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</si>
  <si>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</si>
  <si>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</si>
  <si>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</si>
  <si>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</si>
  <si>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</si>
  <si>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</si>
  <si>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</si>
  <si>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</si>
  <si>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</si>
  <si>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</si>
  <si>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</si>
  <si>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</si>
  <si>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</si>
  <si>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</si>
  <si>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</si>
  <si>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</si>
  <si>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</si>
  <si>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</si>
  <si>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</si>
  <si>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</si>
  <si>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</si>
  <si>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</si>
  <si>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</si>
  <si>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</si>
  <si>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</si>
  <si>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</si>
  <si>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</si>
  <si>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</si>
  <si>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</si>
  <si>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</si>
  <si>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</si>
  <si>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</si>
  <si>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</si>
  <si>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</si>
  <si>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</si>
  <si>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</si>
  <si>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</si>
  <si>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</si>
  <si>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</si>
  <si>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</si>
  <si>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</si>
  <si>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</si>
  <si>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</si>
  <si>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</si>
  <si>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</si>
  <si>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</si>
  <si>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</si>
  <si>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</si>
  <si>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</si>
  <si>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</si>
  <si>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</si>
  <si>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</si>
  <si>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</si>
  <si>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</si>
  <si>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</si>
  <si>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</si>
  <si>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</si>
  <si>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</si>
  <si>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</si>
  <si>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</si>
  <si>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</si>
  <si>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</si>
  <si>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</si>
  <si>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</si>
  <si>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</si>
  <si>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</si>
  <si>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</si>
  <si>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</si>
  <si>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</si>
  <si>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</si>
  <si>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</si>
  <si>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</si>
  <si>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</si>
  <si>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</si>
  <si>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</si>
  <si>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</si>
  <si>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</si>
  <si>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</si>
  <si>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</si>
  <si>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</si>
  <si>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</si>
  <si>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</si>
  <si>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</si>
  <si>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</si>
  <si>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</si>
  <si>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</si>
  <si>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</si>
  <si>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</si>
  <si>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</si>
  <si>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</si>
  <si>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</si>
  <si>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</si>
  <si>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</si>
  <si>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</si>
  <si>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</si>
  <si>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</si>
  <si>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</si>
  <si>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</si>
  <si>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</si>
  <si>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</si>
  <si>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</si>
  <si>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</si>
  <si>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</si>
  <si>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</si>
  <si>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</si>
  <si>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</si>
  <si>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</si>
  <si>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</si>
  <si>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</si>
  <si>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</si>
  <si>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</si>
  <si>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</si>
  <si>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</si>
  <si>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</si>
  <si>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</si>
  <si>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</si>
  <si>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</si>
  <si>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</si>
  <si>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</si>
  <si>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</si>
  <si>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</si>
  <si>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</si>
  <si>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</si>
  <si>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</si>
  <si>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</si>
  <si>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</si>
  <si>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</si>
  <si>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</si>
  <si>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</si>
  <si>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</si>
  <si>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</si>
  <si>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</si>
  <si>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</si>
  <si>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</si>
  <si>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</si>
  <si>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</si>
  <si>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</si>
  <si>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</si>
  <si>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</si>
  <si>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</si>
  <si>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</si>
  <si>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</si>
  <si>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</si>
  <si>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</si>
  <si>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</si>
  <si>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</si>
  <si>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</si>
  <si>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</si>
  <si>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</si>
  <si>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</si>
  <si>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</si>
  <si>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</si>
  <si>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</si>
  <si>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</si>
  <si>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</si>
  <si>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</si>
  <si>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</si>
  <si>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</si>
  <si>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</si>
  <si>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</si>
  <si>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</si>
  <si>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</si>
  <si>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</si>
  <si>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</si>
  <si>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</si>
  <si>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</si>
  <si>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</si>
  <si>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</si>
  <si>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</si>
  <si>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</si>
  <si>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</si>
  <si>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</si>
  <si>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</si>
  <si>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</si>
  <si>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</si>
  <si>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</si>
  <si>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</si>
  <si>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</si>
  <si>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</si>
  <si>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</si>
  <si>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</si>
  <si>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</si>
  <si>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</si>
  <si>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</si>
  <si>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</si>
  <si>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</si>
  <si>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</si>
  <si>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</si>
  <si>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</si>
  <si>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</si>
  <si>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</si>
  <si>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</si>
  <si>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</si>
  <si>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</si>
  <si>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</si>
  <si>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</si>
  <si>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</si>
  <si>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</si>
  <si>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</si>
  <si>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</si>
  <si>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</si>
  <si>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</si>
  <si>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</si>
  <si>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</si>
  <si>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</si>
  <si>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</si>
  <si>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</si>
  <si>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</si>
  <si>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</si>
  <si>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</si>
  <si>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</si>
  <si>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</si>
  <si>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</si>
  <si>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</si>
  <si>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</si>
  <si>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</si>
  <si>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</si>
  <si>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</si>
  <si>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</si>
  <si>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</si>
  <si>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</si>
  <si>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</si>
  <si>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</si>
  <si>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</si>
  <si>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</si>
  <si>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</si>
  <si>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</si>
  <si>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</si>
  <si>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</si>
  <si>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</si>
  <si>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</si>
  <si>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</si>
  <si>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</si>
  <si>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</si>
  <si>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</si>
  <si>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</si>
  <si>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</si>
  <si>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</si>
  <si>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</si>
  <si>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</si>
  <si>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</si>
  <si>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</si>
  <si>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</si>
  <si>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</si>
  <si>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</si>
  <si>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</si>
  <si>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</si>
  <si>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</si>
  <si>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</si>
  <si>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</si>
  <si>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</si>
  <si>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</si>
  <si>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</si>
  <si>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</si>
  <si>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</si>
  <si>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</si>
  <si>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</si>
  <si>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</si>
  <si>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</si>
  <si>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</si>
  <si>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</si>
  <si>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</si>
  <si>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</si>
  <si>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</si>
  <si>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</si>
  <si>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</si>
  <si>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</si>
  <si>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</si>
  <si>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</si>
  <si>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</si>
  <si>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</si>
  <si>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</si>
  <si>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</si>
  <si>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</si>
  <si>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</si>
  <si>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</si>
  <si>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</si>
  <si>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</si>
  <si>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</si>
  <si>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</si>
  <si>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</si>
  <si>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</si>
  <si>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</si>
  <si>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</si>
  <si>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</si>
  <si>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</si>
  <si>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</si>
  <si>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</si>
  <si>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</si>
  <si>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</si>
  <si>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</si>
  <si>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</si>
  <si>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</si>
  <si>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</si>
  <si>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</si>
  <si>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</si>
  <si>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</si>
  <si>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</si>
  <si>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</si>
  <si>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</si>
  <si>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</si>
  <si>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</si>
  <si>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</si>
  <si>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</si>
  <si>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</si>
  <si>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</si>
  <si>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</si>
  <si>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</si>
  <si>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</si>
  <si>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</si>
  <si>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</si>
  <si>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</si>
  <si>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</si>
  <si>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</si>
  <si>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</si>
  <si>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</si>
  <si>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</si>
  <si>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</si>
  <si>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</si>
  <si>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</si>
  <si>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</si>
  <si>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</si>
  <si>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</si>
  <si>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</si>
  <si>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</si>
  <si>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</si>
  <si>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</si>
  <si>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</si>
  <si>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</si>
  <si>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</si>
  <si>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</si>
  <si>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</si>
  <si>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</si>
  <si>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</si>
  <si>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</si>
  <si>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</si>
  <si>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</si>
  <si>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</si>
  <si>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</si>
  <si>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</si>
  <si>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</si>
  <si>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</si>
  <si>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</si>
  <si>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</si>
  <si>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</si>
  <si>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</si>
  <si>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</si>
  <si>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</si>
  <si>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</si>
  <si>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</si>
  <si>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</si>
  <si>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</si>
  <si>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</si>
  <si>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</si>
  <si>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</si>
  <si>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</si>
  <si>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</si>
  <si>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</si>
  <si>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</si>
  <si>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</si>
  <si>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</si>
  <si>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</si>
  <si>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</si>
  <si>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</si>
  <si>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</si>
  <si>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</si>
  <si>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</si>
  <si>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</si>
  <si>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</si>
  <si>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</si>
  <si>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</si>
  <si>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</si>
  <si>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</si>
  <si>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</si>
  <si>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</si>
  <si>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</si>
  <si>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</si>
  <si>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</si>
  <si>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</si>
  <si>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</si>
  <si>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</si>
  <si>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</si>
  <si>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</si>
  <si>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</si>
  <si>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</si>
  <si>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</si>
  <si>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</si>
  <si>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</si>
  <si>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</si>
  <si>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</si>
  <si>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</si>
  <si>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</si>
  <si>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</si>
  <si>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</si>
  <si>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</si>
  <si>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</si>
  <si>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</si>
  <si>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</si>
  <si>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</si>
  <si>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</si>
  <si>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</si>
  <si>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</si>
  <si>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</si>
  <si>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</si>
  <si>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</si>
  <si>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</si>
  <si>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</si>
  <si>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</si>
  <si>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</si>
  <si>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</si>
  <si>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</si>
  <si>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</si>
  <si>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</si>
  <si>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</si>
  <si>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</si>
  <si>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</si>
  <si>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</si>
  <si>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</si>
  <si>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</si>
  <si>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</si>
  <si>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</si>
  <si>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</si>
  <si>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</si>
  <si>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</si>
  <si>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</si>
  <si>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</si>
  <si>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</si>
  <si>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</si>
  <si>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</si>
  <si>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</si>
  <si>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</si>
  <si>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</si>
  <si>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</si>
  <si>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</si>
  <si>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</si>
  <si>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</si>
  <si>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</si>
  <si>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</si>
  <si>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</si>
  <si>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</si>
  <si>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</si>
  <si>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</si>
  <si>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</si>
  <si>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</si>
  <si>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</si>
  <si>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</si>
  <si>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</si>
  <si>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</si>
  <si>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</si>
  <si>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</si>
  <si>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</si>
  <si>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</si>
  <si>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</si>
  <si>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</si>
  <si>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</si>
  <si>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</si>
  <si>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</si>
  <si>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</si>
  <si>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</si>
  <si>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</si>
  <si>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</si>
  <si>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</si>
  <si>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</si>
  <si>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</si>
  <si>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</si>
  <si>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</si>
  <si>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</si>
  <si>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</si>
  <si>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</si>
  <si>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</si>
  <si>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</si>
  <si>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</si>
  <si>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</si>
  <si>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</si>
  <si>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</si>
  <si>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</si>
  <si>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</si>
  <si>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</si>
  <si>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</si>
  <si>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</si>
  <si>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</si>
  <si>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</si>
  <si>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</si>
  <si>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</si>
  <si>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</si>
  <si>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</si>
  <si>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</si>
  <si>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</si>
  <si>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</si>
  <si>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</si>
  <si>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</si>
  <si>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</si>
  <si>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</si>
  <si>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</si>
  <si>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</si>
  <si>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</si>
  <si>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</si>
  <si>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</si>
  <si>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</si>
  <si>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</si>
  <si>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</si>
  <si>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</si>
  <si>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</si>
  <si>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</si>
  <si>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</si>
  <si>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</si>
  <si>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</si>
  <si>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</si>
  <si>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</si>
  <si>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</si>
  <si>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</si>
  <si>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</si>
  <si>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</si>
  <si>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</si>
  <si>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</si>
  <si>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</si>
  <si>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</si>
  <si>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</si>
  <si>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</si>
  <si>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</si>
  <si>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</si>
  <si>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</si>
  <si>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</si>
  <si>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</si>
  <si>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</si>
  <si>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</si>
  <si>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</si>
  <si>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</si>
  <si>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</si>
  <si>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</si>
  <si>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</si>
  <si>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</si>
  <si>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</si>
  <si>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</si>
  <si>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</si>
  <si>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</si>
  <si>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</si>
  <si>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</si>
  <si>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</si>
  <si>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</si>
  <si>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</si>
  <si>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</si>
  <si>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</si>
  <si>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</si>
  <si>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</si>
  <si>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</si>
  <si>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</si>
  <si>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</si>
  <si>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</si>
  <si>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</si>
  <si>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</si>
  <si>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</si>
  <si>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</si>
  <si>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</si>
  <si>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</si>
  <si>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</si>
  <si>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</si>
  <si>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</si>
  <si>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</si>
  <si>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</si>
  <si>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</si>
  <si>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</si>
  <si>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</si>
  <si>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</si>
  <si>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</si>
  <si>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</si>
  <si>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</si>
  <si>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</si>
  <si>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</si>
  <si>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</si>
  <si>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</si>
  <si>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</si>
  <si>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</si>
  <si>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</si>
  <si>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</si>
  <si>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</si>
  <si>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</si>
  <si>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</si>
  <si>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</si>
  <si>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</si>
  <si>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</si>
  <si>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</si>
  <si>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</si>
  <si>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</si>
  <si>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</si>
  <si>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</si>
  <si>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</si>
  <si>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</si>
  <si>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</si>
  <si>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</si>
  <si>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</si>
  <si>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</si>
  <si>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</si>
  <si>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</si>
  <si>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</si>
  <si>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</si>
  <si>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</si>
  <si>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</si>
  <si>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</si>
  <si>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</si>
  <si>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</si>
  <si>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</si>
  <si>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</si>
  <si>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</si>
  <si>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</si>
  <si>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</si>
  <si>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</si>
  <si>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</si>
  <si>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</si>
  <si>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</si>
  <si>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</si>
  <si>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</si>
  <si>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</si>
  <si>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</si>
  <si>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</si>
  <si>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</si>
  <si>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</si>
  <si>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</si>
  <si>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</si>
  <si>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</si>
  <si>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</si>
  <si>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</si>
  <si>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</si>
  <si>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</si>
  <si>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</si>
  <si>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</si>
  <si>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</si>
  <si>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</si>
  <si>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</si>
  <si>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</si>
  <si>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</si>
  <si>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</si>
  <si>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</si>
  <si>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</si>
  <si>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</si>
  <si>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</si>
  <si>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</si>
  <si>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</si>
  <si>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</si>
  <si>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</si>
  <si>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</si>
  <si>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</si>
  <si>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</si>
  <si>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</si>
  <si>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</si>
  <si>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</si>
  <si>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</si>
  <si>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</si>
  <si>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</si>
  <si>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</si>
  <si>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</si>
  <si>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</si>
  <si>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</si>
  <si>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</si>
  <si>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</si>
  <si>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</si>
  <si>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</si>
  <si>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</si>
  <si>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</si>
  <si>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</si>
  <si>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</si>
  <si>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</si>
  <si>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</si>
  <si>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</si>
  <si>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</si>
  <si>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</si>
  <si>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</si>
  <si>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</si>
  <si>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</si>
  <si>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</si>
  <si>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</si>
  <si>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</si>
  <si>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</si>
  <si>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</si>
  <si>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</si>
  <si>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</si>
  <si>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</si>
  <si>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</si>
  <si>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</si>
  <si>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</si>
  <si>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</si>
  <si>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</si>
  <si>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</si>
  <si>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</si>
  <si>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</si>
  <si>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</si>
  <si>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</si>
  <si>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</si>
  <si>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</si>
  <si>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</si>
  <si>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</si>
  <si>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</si>
  <si>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</si>
  <si>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</si>
  <si>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</si>
  <si>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</si>
  <si>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</si>
  <si>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</si>
  <si>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</si>
  <si>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</si>
  <si>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</si>
  <si>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</si>
  <si>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</si>
  <si>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</si>
  <si>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</si>
  <si>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</si>
  <si>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</si>
  <si>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</si>
  <si>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</si>
  <si>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</si>
  <si>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</si>
  <si>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</si>
  <si>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</si>
  <si>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</si>
  <si>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</si>
  <si>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</si>
  <si>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</si>
  <si>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</si>
  <si>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</si>
  <si>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</si>
  <si>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</si>
  <si>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</si>
  <si>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</si>
  <si>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</si>
  <si>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</si>
  <si>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</si>
  <si>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</si>
  <si>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</si>
  <si>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</si>
  <si>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</si>
  <si>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</si>
  <si>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</si>
  <si>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</si>
  <si>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</si>
  <si>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</si>
  <si>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</si>
  <si>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</si>
  <si>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</si>
  <si>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</si>
  <si>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</si>
  <si>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</si>
  <si>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</si>
  <si>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</si>
  <si>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</si>
  <si>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</si>
  <si>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</si>
  <si>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</si>
  <si>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</si>
  <si>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</si>
  <si>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</si>
  <si>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</si>
  <si>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</si>
  <si>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</si>
  <si>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</si>
  <si>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</si>
  <si>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</si>
  <si>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</si>
  <si>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</si>
  <si>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</si>
  <si>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</si>
  <si>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</si>
  <si>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</si>
  <si>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</si>
  <si>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</si>
  <si>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</si>
  <si>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</si>
  <si>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</si>
  <si>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</si>
  <si>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</si>
  <si>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</si>
  <si>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</si>
  <si>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</si>
  <si>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</si>
  <si>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</si>
  <si>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</si>
  <si>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</si>
  <si>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</si>
  <si>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</si>
  <si>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</si>
  <si>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</si>
  <si>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</si>
  <si>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</si>
  <si>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</si>
  <si>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</si>
  <si>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</si>
  <si>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</si>
  <si>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</si>
  <si>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</si>
  <si>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</si>
  <si>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</si>
  <si>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</si>
  <si>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</si>
  <si>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</si>
  <si>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</si>
  <si>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</si>
  <si>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</si>
  <si>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</si>
  <si>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</si>
  <si>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</si>
  <si>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</si>
  <si>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</si>
  <si>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</si>
  <si>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</si>
  <si>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</si>
  <si>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</si>
  <si>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</si>
  <si>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</si>
  <si>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</si>
  <si>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</si>
  <si>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</si>
  <si>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</si>
  <si>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</si>
  <si>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</si>
  <si>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</si>
  <si>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</si>
  <si>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</si>
  <si>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</si>
  <si>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</si>
  <si>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</si>
  <si>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</si>
  <si>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</si>
  <si>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</si>
  <si>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</si>
  <si>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</si>
  <si>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</si>
  <si>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</si>
  <si>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</si>
  <si>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</si>
  <si>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</si>
  <si>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</si>
  <si>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</si>
  <si>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</si>
  <si>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</si>
  <si>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</si>
  <si>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</si>
  <si>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</si>
  <si>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</si>
  <si>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</si>
  <si>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</si>
  <si>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</si>
  <si>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</si>
  <si>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</si>
  <si>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</si>
  <si>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</si>
  <si>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</si>
  <si>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</si>
  <si>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</si>
  <si>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</si>
  <si>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</si>
  <si>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</si>
  <si>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</si>
  <si>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</si>
  <si>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</si>
  <si>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</si>
  <si>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</si>
  <si>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</si>
  <si>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</si>
  <si>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</si>
  <si>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</si>
  <si>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</si>
  <si>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</si>
  <si>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</si>
  <si>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</si>
  <si>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</si>
  <si>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</si>
  <si>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</si>
  <si>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</si>
  <si>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</si>
  <si>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</si>
  <si>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</si>
  <si>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</si>
  <si>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</si>
  <si>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</si>
  <si>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</si>
  <si>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</si>
  <si>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</si>
  <si>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</si>
  <si>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</si>
  <si>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</si>
  <si>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</si>
  <si>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</si>
  <si>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</si>
  <si>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</si>
  <si>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</si>
  <si>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</si>
  <si>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</si>
  <si>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</si>
  <si>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</si>
  <si>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</si>
  <si>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</si>
  <si>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</si>
  <si>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</si>
  <si>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</si>
  <si>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</si>
  <si>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</si>
  <si>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</si>
  <si>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</si>
  <si>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</si>
  <si>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</si>
  <si>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</si>
  <si>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</si>
  <si>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</si>
  <si>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</si>
  <si>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</si>
  <si>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</si>
  <si>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</si>
  <si>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</si>
  <si>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</si>
  <si>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</si>
  <si>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</si>
  <si>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</si>
  <si>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</si>
  <si>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</si>
  <si>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</si>
  <si>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</si>
  <si>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</si>
  <si>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</si>
  <si>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</si>
  <si>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</si>
  <si>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</si>
  <si>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</si>
  <si>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</si>
  <si>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</si>
  <si>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</si>
  <si>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</si>
  <si>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</si>
  <si>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</si>
  <si>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</si>
  <si>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</si>
  <si>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</si>
  <si>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</si>
  <si>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</si>
  <si>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</si>
  <si>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</si>
  <si>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</si>
  <si>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</si>
  <si>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</si>
  <si>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</si>
  <si>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</si>
  <si>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</si>
  <si>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</si>
  <si>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</si>
  <si>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</si>
  <si>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</si>
  <si>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</si>
  <si>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</si>
  <si>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</si>
  <si>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</si>
  <si>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</si>
  <si>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</si>
  <si>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</si>
  <si>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</si>
  <si>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</si>
  <si>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</si>
  <si>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</si>
  <si>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</si>
  <si>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</si>
  <si>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</si>
  <si>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</si>
  <si>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</si>
  <si>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</si>
  <si>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</si>
  <si>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</si>
  <si>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</si>
  <si>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</si>
  <si>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</si>
  <si>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</si>
  <si>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</si>
  <si>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</si>
  <si>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</si>
  <si>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</si>
  <si>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</si>
  <si>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</si>
  <si>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</si>
  <si>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</si>
  <si>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</si>
  <si>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</si>
  <si>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</si>
  <si>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</si>
  <si>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</si>
  <si>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</si>
  <si>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</si>
  <si>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</si>
  <si>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</si>
  <si>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</si>
  <si>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</si>
  <si>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</si>
  <si>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</si>
  <si>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</si>
  <si>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</si>
  <si>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</si>
  <si>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</si>
  <si>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</si>
  <si>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</si>
  <si>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</si>
  <si>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</si>
  <si>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</si>
  <si>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</si>
  <si>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</si>
  <si>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</si>
  <si>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</si>
  <si>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</si>
  <si>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</si>
  <si>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</si>
  <si>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</si>
  <si>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</si>
  <si>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</si>
  <si>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</si>
  <si>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</si>
  <si>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</si>
  <si>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</si>
  <si>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</si>
  <si>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</si>
  <si>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</si>
  <si>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</si>
  <si>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</si>
  <si>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</si>
  <si>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</si>
  <si>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</si>
  <si>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</si>
  <si>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</si>
  <si>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</si>
  <si>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</si>
  <si>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</si>
  <si>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</si>
  <si>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</si>
  <si>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</si>
  <si>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</si>
  <si>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</si>
  <si>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</si>
  <si>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</si>
  <si>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</si>
  <si>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</si>
  <si>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</si>
  <si>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</si>
  <si>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</si>
  <si>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</si>
  <si>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</si>
  <si>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</si>
  <si>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</si>
  <si>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</si>
  <si>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</si>
  <si>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</si>
  <si>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</si>
  <si>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</si>
  <si>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</si>
  <si>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</si>
  <si>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</si>
  <si>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</si>
  <si>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</si>
  <si>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</si>
  <si>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</si>
  <si>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</si>
  <si>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</si>
  <si>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</si>
  <si>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</si>
  <si>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</si>
  <si>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</si>
  <si>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</si>
  <si>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</si>
  <si>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</si>
  <si>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</si>
  <si>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</si>
  <si>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</si>
  <si>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</si>
  <si>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</si>
  <si>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</si>
  <si>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</si>
  <si>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</si>
  <si>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</si>
  <si>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</si>
  <si>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</si>
  <si>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</si>
  <si>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</si>
  <si>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</si>
  <si>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</si>
  <si>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</si>
  <si>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</si>
  <si>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</si>
  <si>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</si>
  <si>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</si>
  <si>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</si>
  <si>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</si>
  <si>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</si>
  <si>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</si>
  <si>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</si>
  <si>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</si>
  <si>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</si>
  <si>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</si>
  <si>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</si>
  <si>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</si>
  <si>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</si>
  <si>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</si>
  <si>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</si>
  <si>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</si>
  <si>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</si>
  <si>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</si>
  <si>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</si>
  <si>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</si>
  <si>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</si>
  <si>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</si>
  <si>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</si>
  <si>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</si>
  <si>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</si>
  <si>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</si>
  <si>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</si>
  <si>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</si>
  <si>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</si>
  <si>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</si>
  <si>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</si>
  <si>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</si>
  <si>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</si>
  <si>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</si>
  <si>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</si>
  <si>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</si>
  <si>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</si>
  <si>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</si>
  <si>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</si>
  <si>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</si>
  <si>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</si>
  <si>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</si>
  <si>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</si>
  <si>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</si>
  <si>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</si>
  <si>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</si>
  <si>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</si>
  <si>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</si>
  <si>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</si>
  <si>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</si>
  <si>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</si>
  <si>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</si>
  <si>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</si>
  <si>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</si>
  <si>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</si>
  <si>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</si>
  <si>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</si>
  <si>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</si>
  <si>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</si>
  <si>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</si>
  <si>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</si>
  <si>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</si>
  <si>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</si>
  <si>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</si>
  <si>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</si>
  <si>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</si>
  <si>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</si>
  <si>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</si>
  <si>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</si>
  <si>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</si>
  <si>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</si>
  <si>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</si>
  <si>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</si>
  <si>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</si>
  <si>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</si>
  <si>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</si>
  <si>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</si>
  <si>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</si>
  <si>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</si>
  <si>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</si>
  <si>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</si>
  <si>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</si>
  <si>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</si>
  <si>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</si>
  <si>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</si>
  <si>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</si>
  <si>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</si>
  <si>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</si>
  <si>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</si>
  <si>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</si>
  <si>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</si>
  <si>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</si>
  <si>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</si>
  <si>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</si>
  <si>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</si>
  <si>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</si>
  <si>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</si>
  <si>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</si>
  <si>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</si>
  <si>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</si>
  <si>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</si>
  <si>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</si>
  <si>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</si>
  <si>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</si>
  <si>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</si>
  <si>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</si>
  <si>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</si>
  <si>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</si>
  <si>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</si>
  <si>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</si>
  <si>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</si>
  <si>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</si>
  <si>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</si>
  <si>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</si>
  <si>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</si>
  <si>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</si>
  <si>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</si>
  <si>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</si>
  <si>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</si>
  <si>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</si>
  <si>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</si>
  <si>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</si>
  <si>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</si>
  <si>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</si>
  <si>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</si>
  <si>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</si>
  <si>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</si>
  <si>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</si>
  <si>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</si>
  <si>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</si>
  <si>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</si>
  <si>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</si>
  <si>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</si>
  <si>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</si>
  <si>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</si>
  <si>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</si>
  <si>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</si>
  <si>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</si>
  <si>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</si>
  <si>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</si>
  <si>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</si>
  <si>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</si>
  <si>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</si>
  <si>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</si>
  <si>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</si>
  <si>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</si>
  <si>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</si>
  <si>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</si>
  <si>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</si>
  <si>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</si>
  <si>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</si>
  <si>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</si>
  <si>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</si>
  <si>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</si>
  <si>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</si>
  <si>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</si>
  <si>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</si>
  <si>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</si>
  <si>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</si>
  <si>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</si>
  <si>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</si>
  <si>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</si>
  <si>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</si>
  <si>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</si>
  <si>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</si>
  <si>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</si>
  <si>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</si>
  <si>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</si>
  <si>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</si>
  <si>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</si>
  <si>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</si>
  <si>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</si>
  <si>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</si>
  <si>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</si>
  <si>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</si>
  <si>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</si>
  <si>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</si>
  <si>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</si>
  <si>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</si>
  <si>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</si>
  <si>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</si>
  <si>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</si>
  <si>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</si>
  <si>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</si>
  <si>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</si>
  <si>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</si>
  <si>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</si>
  <si>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</si>
  <si>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</si>
  <si>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</si>
  <si>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</si>
  <si>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</si>
  <si>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</si>
  <si>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</si>
  <si>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</si>
  <si>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</si>
  <si>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</si>
  <si>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</si>
  <si>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</si>
  <si>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</si>
  <si>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</si>
  <si>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</si>
  <si>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</si>
  <si>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</si>
  <si>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</si>
  <si>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</si>
  <si>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</si>
  <si>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</si>
  <si>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</si>
  <si>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</si>
  <si>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</si>
  <si>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</si>
  <si>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</si>
  <si>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</si>
  <si>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</si>
  <si>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</si>
  <si>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</si>
  <si>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</si>
  <si>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</si>
  <si>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</si>
  <si>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</si>
  <si>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</si>
  <si>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</si>
  <si>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</si>
  <si>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</si>
  <si>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</si>
  <si>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</si>
  <si>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</si>
  <si>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</si>
  <si>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</si>
  <si>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</si>
  <si>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</si>
  <si>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</si>
  <si>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</si>
  <si>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</si>
  <si>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</si>
  <si>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</si>
  <si>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</si>
  <si>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</si>
  <si>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</si>
  <si>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</si>
  <si>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</si>
  <si>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</si>
  <si>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</si>
  <si>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</si>
  <si>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</si>
  <si>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</si>
  <si>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</si>
  <si>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</si>
  <si>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</si>
  <si>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</si>
  <si>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</si>
  <si>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</si>
  <si>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</si>
  <si>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</si>
  <si>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</si>
  <si>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</si>
  <si>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</si>
  <si>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</si>
  <si>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</si>
  <si>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</si>
  <si>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</si>
  <si>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</si>
  <si>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</si>
  <si>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</si>
  <si>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</si>
  <si>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</si>
  <si>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</si>
  <si>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</si>
  <si>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</si>
  <si>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</si>
  <si>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</si>
  <si>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</si>
  <si>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</si>
  <si>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</si>
  <si>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</si>
  <si>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</si>
  <si>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</si>
  <si>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</si>
  <si>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</si>
  <si>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</si>
  <si>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</si>
  <si>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</si>
  <si>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</si>
  <si>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</si>
  <si>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</si>
  <si>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</si>
  <si>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</si>
  <si>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</si>
  <si>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</si>
  <si>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</si>
  <si>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</si>
  <si>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</si>
  <si>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</si>
  <si>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</si>
  <si>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</si>
  <si>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</si>
  <si>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</si>
  <si>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</si>
  <si>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</si>
  <si>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</si>
  <si>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</si>
  <si>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</si>
  <si>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</si>
  <si>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</si>
  <si>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</si>
  <si>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</si>
  <si>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</si>
  <si>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</si>
  <si>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</si>
  <si>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</si>
  <si>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</si>
  <si>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</si>
  <si>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</si>
  <si>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</si>
  <si>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</si>
  <si>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</si>
  <si>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</si>
  <si>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</si>
  <si>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</si>
  <si>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</si>
  <si>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</si>
  <si>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</si>
  <si>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</si>
  <si>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</si>
  <si>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</si>
  <si>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</si>
  <si>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</si>
  <si>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</si>
  <si>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</si>
  <si>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</si>
  <si>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</si>
  <si>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</si>
  <si>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</si>
  <si>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</si>
  <si>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</si>
  <si>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</si>
  <si>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</si>
  <si>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</si>
  <si>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</si>
  <si>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</si>
  <si>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</si>
  <si>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</si>
  <si>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</si>
  <si>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</si>
  <si>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</si>
  <si>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</si>
  <si>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</si>
  <si>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</si>
  <si>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</si>
  <si>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</si>
  <si>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</si>
  <si>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</si>
  <si>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</si>
  <si>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</si>
  <si>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</si>
  <si>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</si>
  <si>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</si>
  <si>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</si>
  <si>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</si>
  <si>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</si>
  <si>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</si>
  <si>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</si>
  <si>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</si>
  <si>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</si>
  <si>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</si>
  <si>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</si>
  <si>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</si>
  <si>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</si>
  <si>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</si>
  <si>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</si>
  <si>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</si>
  <si>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</si>
  <si>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</si>
  <si>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</si>
  <si>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</si>
  <si>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</si>
  <si>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</si>
  <si>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</si>
  <si>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</si>
  <si>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</si>
  <si>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</si>
  <si>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</si>
  <si>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</si>
  <si>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</si>
  <si>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</si>
  <si>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</si>
  <si>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</si>
  <si>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</si>
  <si>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</si>
  <si>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</si>
  <si>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</si>
  <si>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</si>
  <si>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</si>
  <si>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</si>
  <si>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</si>
  <si>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</si>
  <si>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</si>
  <si>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</si>
  <si>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</si>
  <si>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</si>
  <si>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</si>
  <si>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</si>
  <si>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</si>
  <si>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</si>
  <si>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</si>
  <si>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</si>
  <si>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</si>
  <si>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</si>
  <si>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</si>
  <si>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</si>
  <si>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</si>
  <si>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</si>
  <si>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</si>
  <si>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</si>
  <si>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</si>
  <si>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</si>
  <si>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</si>
  <si>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</si>
  <si>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</si>
  <si>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</si>
  <si>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</si>
  <si>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</si>
  <si>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</si>
  <si>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</si>
  <si>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</si>
  <si>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</si>
  <si>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</si>
  <si>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</si>
  <si>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</si>
  <si>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</si>
  <si>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</si>
  <si>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</si>
  <si>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</si>
  <si>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</si>
  <si>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</si>
  <si>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</si>
  <si>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</si>
  <si>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</si>
  <si>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</si>
  <si>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</si>
  <si>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</si>
  <si>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</si>
  <si>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</si>
  <si>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</si>
  <si>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</si>
  <si>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</si>
  <si>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</si>
  <si>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</si>
  <si>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</si>
  <si>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</si>
  <si>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</si>
  <si>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</si>
  <si>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</si>
  <si>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</si>
  <si>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</si>
  <si>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</si>
  <si>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</si>
  <si>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</si>
  <si>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</si>
  <si>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</si>
  <si>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</si>
  <si>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</si>
  <si>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</si>
  <si>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</si>
  <si>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</si>
  <si>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</si>
  <si>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</si>
  <si>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</si>
  <si>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</si>
  <si>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</si>
  <si>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</si>
  <si>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</si>
  <si>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</si>
  <si>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</si>
  <si>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</si>
  <si>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</si>
  <si>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</si>
  <si>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</si>
  <si>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</si>
  <si>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</si>
  <si>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</si>
  <si>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</si>
  <si>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</si>
  <si>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</si>
  <si>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</si>
  <si>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</si>
  <si>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</si>
  <si>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</si>
  <si>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</si>
  <si>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</si>
  <si>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</si>
  <si>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</si>
  <si>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</si>
  <si>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</si>
  <si>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</si>
  <si>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</si>
  <si>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</si>
  <si>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</si>
  <si>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</si>
  <si>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</si>
  <si>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</si>
  <si>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</si>
  <si>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</si>
  <si>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</si>
  <si>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</si>
  <si>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</si>
  <si>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</si>
  <si>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</si>
  <si>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</si>
  <si>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</si>
  <si>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</si>
  <si>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</si>
  <si>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</si>
  <si>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</si>
  <si>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</si>
  <si>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</si>
  <si>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</si>
  <si>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</si>
  <si>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</si>
  <si>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</si>
  <si>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</si>
  <si>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</si>
  <si>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</si>
  <si>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</si>
  <si>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</si>
  <si>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</si>
  <si>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</si>
  <si>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</si>
  <si>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</si>
  <si>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</si>
  <si>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</si>
  <si>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</si>
  <si>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</si>
  <si>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</si>
  <si>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</si>
  <si>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</si>
  <si>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</si>
  <si>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</si>
  <si>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</si>
  <si>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</si>
  <si>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</si>
  <si>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</si>
  <si>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</si>
  <si>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</si>
  <si>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</si>
  <si>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</si>
  <si>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</si>
  <si>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</si>
  <si>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</si>
  <si>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</si>
  <si>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</si>
  <si>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</si>
  <si>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</si>
  <si>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</si>
  <si>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</si>
  <si>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</si>
  <si>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</si>
  <si>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</si>
  <si>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</si>
  <si>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</si>
  <si>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</si>
  <si>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</si>
  <si>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</si>
  <si>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</si>
  <si>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</si>
  <si>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</si>
  <si>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</si>
  <si>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</si>
  <si>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</si>
  <si>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</si>
  <si>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</si>
  <si>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</si>
  <si>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</si>
  <si>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</si>
  <si>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</si>
  <si>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</si>
  <si>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</si>
  <si>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</si>
  <si>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</si>
  <si>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</si>
  <si>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</si>
  <si>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</si>
  <si>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</si>
  <si>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</si>
  <si>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</si>
  <si>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</si>
  <si>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</si>
  <si>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</si>
  <si>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</si>
  <si>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</si>
  <si>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</si>
  <si>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</si>
  <si>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</si>
  <si>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</si>
  <si>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</si>
  <si>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</si>
  <si>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</si>
  <si>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</si>
  <si>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</si>
  <si>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</si>
  <si>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</si>
  <si>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</si>
  <si>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</si>
  <si>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</si>
  <si>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</si>
  <si>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</si>
  <si>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</si>
  <si>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</si>
  <si>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</si>
  <si>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</si>
  <si>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</si>
  <si>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</si>
  <si>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</si>
  <si>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</si>
  <si>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</si>
  <si>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</si>
  <si>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</si>
  <si>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</si>
  <si>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</si>
  <si>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</si>
  <si>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</si>
  <si>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</si>
  <si>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</si>
  <si>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</si>
  <si>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</si>
  <si>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</si>
  <si>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</si>
  <si>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</si>
  <si>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</si>
  <si>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</si>
  <si>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</si>
  <si>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</si>
  <si>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</si>
  <si>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</si>
  <si>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</si>
  <si>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</si>
  <si>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</si>
  <si>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</si>
  <si>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</si>
  <si>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</si>
  <si>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</si>
  <si>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</si>
  <si>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</si>
  <si>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</si>
  <si>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</si>
  <si>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</si>
  <si>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</si>
  <si>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</si>
  <si>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</si>
  <si>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</si>
  <si>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</si>
  <si>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</si>
  <si>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</si>
  <si>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</si>
  <si>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</si>
  <si>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</si>
  <si>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</si>
  <si>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</si>
  <si>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</si>
  <si>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</si>
  <si>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</si>
  <si>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</si>
  <si>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</si>
  <si>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</si>
  <si>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</si>
  <si>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</si>
  <si>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</si>
  <si>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</si>
  <si>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</si>
  <si>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</si>
  <si>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</si>
  <si>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</si>
  <si>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</si>
  <si>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</si>
  <si>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</si>
  <si>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</si>
  <si>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</si>
  <si>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</si>
  <si>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</si>
  <si>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</si>
  <si>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</si>
  <si>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</si>
  <si>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</si>
  <si>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</si>
  <si>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</si>
  <si>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</si>
  <si>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</si>
  <si>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</si>
  <si>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</si>
  <si>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</si>
  <si>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</si>
  <si>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</si>
  <si>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</si>
  <si>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</si>
  <si>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</si>
  <si>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</si>
  <si>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</si>
  <si>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</si>
  <si>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</si>
  <si>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</si>
  <si>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</si>
  <si>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</si>
  <si>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</si>
  <si>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</si>
  <si>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</si>
  <si>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</si>
  <si>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</si>
  <si>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</si>
  <si>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</si>
  <si>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</si>
  <si>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</si>
  <si>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</si>
  <si>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</si>
  <si>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</si>
  <si>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</si>
  <si>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</si>
  <si>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</si>
  <si>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</si>
  <si>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</si>
  <si>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</si>
  <si>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</si>
  <si>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</si>
  <si>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</si>
  <si>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</si>
  <si>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</si>
  <si>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</si>
  <si>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</si>
  <si>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</si>
  <si>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</si>
  <si>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</si>
  <si>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</si>
  <si>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</si>
  <si>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</si>
  <si>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</si>
  <si>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</si>
  <si>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</si>
  <si>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</si>
  <si>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</si>
  <si>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</si>
  <si>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</si>
  <si>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</si>
  <si>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</si>
  <si>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</si>
  <si>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</si>
  <si>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</si>
  <si>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</si>
  <si>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</si>
  <si>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</si>
  <si>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</si>
  <si>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</si>
  <si>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</si>
  <si>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</si>
  <si>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</si>
  <si>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</si>
  <si>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</si>
  <si>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</si>
  <si>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</si>
  <si>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</si>
  <si>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</si>
  <si>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</si>
  <si>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</si>
  <si>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</si>
  <si>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</si>
  <si>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</si>
  <si>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</si>
  <si>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</si>
  <si>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</si>
  <si>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</si>
  <si>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</si>
  <si>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</si>
  <si>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</si>
  <si>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</si>
  <si>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</si>
  <si>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</si>
  <si>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</si>
  <si>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</si>
  <si>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</si>
  <si>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</si>
  <si>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</si>
  <si>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</si>
  <si>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</si>
  <si>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</si>
  <si>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</si>
  <si>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</si>
  <si>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</si>
  <si>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</si>
  <si>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</si>
  <si>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</si>
  <si>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</si>
  <si>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</si>
  <si>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</si>
  <si>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</si>
  <si>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</si>
  <si>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</si>
  <si>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</si>
  <si>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</si>
  <si>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</si>
  <si>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</si>
  <si>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</si>
  <si>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</si>
  <si>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</si>
  <si>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</si>
  <si>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</si>
  <si>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</si>
  <si>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</si>
  <si>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</si>
  <si>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</si>
  <si>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</si>
  <si>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</si>
  <si>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</si>
  <si>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</si>
  <si>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</si>
  <si>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</si>
  <si>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</si>
  <si>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</si>
  <si>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</si>
  <si>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</si>
  <si>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</si>
  <si>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</si>
  <si>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</si>
  <si>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</si>
  <si>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</si>
  <si>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</si>
  <si>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</si>
  <si>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</si>
  <si>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</si>
  <si>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</si>
  <si>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</si>
  <si>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</si>
  <si>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</si>
  <si>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</si>
  <si>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</si>
  <si>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</si>
  <si>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</si>
  <si>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</si>
  <si>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</si>
  <si>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</si>
  <si>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</si>
  <si>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</si>
  <si>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</si>
  <si>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</si>
  <si>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</si>
  <si>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</si>
  <si>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</si>
  <si>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</si>
  <si>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</si>
  <si>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</si>
  <si>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</si>
  <si>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</si>
  <si>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</si>
  <si>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</si>
  <si>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</si>
  <si>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</si>
  <si>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</si>
  <si>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</si>
  <si>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</si>
  <si>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</si>
  <si>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</si>
  <si>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</si>
  <si>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</si>
  <si>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</si>
  <si>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</si>
  <si>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</si>
  <si>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</si>
  <si>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</si>
  <si>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</si>
  <si>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</si>
  <si>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</si>
  <si>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</si>
  <si>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</si>
  <si>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</si>
  <si>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</si>
  <si>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</si>
  <si>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</si>
  <si>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</si>
  <si>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</si>
  <si>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</si>
  <si>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</si>
  <si>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</si>
  <si>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</si>
  <si>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</si>
  <si>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</si>
  <si>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</si>
  <si>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</si>
  <si>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</si>
  <si>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</si>
  <si>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</si>
  <si>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</si>
  <si>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</si>
  <si>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</si>
  <si>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</si>
  <si>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</si>
  <si>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</si>
  <si>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</si>
  <si>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</si>
  <si>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</si>
  <si>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</si>
  <si>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</si>
  <si>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</si>
  <si>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</si>
  <si>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</si>
  <si>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</si>
  <si>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</si>
  <si>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</si>
  <si>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</si>
  <si>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</si>
  <si>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</si>
  <si>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</si>
  <si>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</si>
  <si>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</si>
  <si>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</si>
  <si>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</si>
  <si>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</si>
  <si>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</si>
  <si>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</si>
  <si>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</si>
  <si>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</si>
  <si>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</si>
  <si>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</si>
  <si>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</si>
  <si>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</si>
  <si>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</si>
  <si>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</si>
  <si>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</si>
  <si>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</si>
  <si>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</si>
  <si>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</si>
  <si>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</si>
  <si>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</si>
  <si>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</si>
  <si>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</si>
  <si>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</si>
  <si>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</si>
  <si>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</si>
  <si>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</si>
  <si>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</si>
  <si>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</si>
  <si>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</si>
  <si>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</si>
  <si>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</si>
  <si>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</si>
  <si>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</si>
  <si>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</si>
  <si>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</si>
  <si>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</si>
  <si>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</si>
  <si>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</si>
  <si>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</si>
  <si>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</si>
  <si>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</si>
  <si>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</si>
  <si>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</si>
  <si>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</si>
  <si>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</si>
  <si>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</si>
  <si>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</si>
  <si>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</si>
  <si>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</si>
  <si>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</si>
  <si>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</si>
  <si>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</si>
  <si>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</si>
  <si>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</si>
  <si>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</si>
  <si>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</si>
  <si>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</si>
  <si>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</si>
  <si>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</si>
  <si>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</si>
  <si>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</si>
  <si>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</si>
  <si>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</si>
  <si>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</si>
  <si>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</si>
  <si>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</si>
  <si>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</si>
  <si>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</si>
  <si>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</si>
  <si>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</si>
  <si>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</si>
  <si>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</si>
  <si>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</si>
  <si>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</si>
  <si>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</si>
  <si>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</si>
  <si>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</si>
  <si>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</si>
  <si>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</si>
  <si>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</si>
  <si>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</si>
  <si>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</si>
  <si>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</si>
  <si>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</si>
  <si>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</si>
  <si>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</si>
  <si>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</si>
  <si>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</si>
  <si>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</si>
  <si>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</si>
  <si>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</si>
  <si>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</si>
  <si>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</si>
  <si>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</si>
  <si>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</si>
  <si>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</si>
  <si>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</si>
  <si>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</si>
  <si>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</si>
  <si>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</si>
  <si>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</si>
  <si>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</si>
  <si>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</si>
  <si>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</si>
  <si>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</si>
  <si>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</si>
  <si>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</si>
  <si>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</si>
  <si>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</si>
  <si>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</si>
  <si>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</si>
  <si>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</si>
  <si>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</si>
  <si>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</si>
  <si>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</si>
  <si>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</si>
  <si>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</si>
  <si>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</si>
  <si>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</si>
  <si>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</si>
  <si>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</si>
  <si>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</si>
  <si>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</si>
  <si>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</si>
  <si>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</si>
  <si>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</si>
  <si>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</si>
  <si>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</si>
  <si>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</si>
  <si>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</si>
  <si>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</si>
  <si>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</si>
  <si>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</si>
  <si>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</si>
  <si>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</si>
  <si>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</si>
  <si>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</si>
  <si>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</si>
  <si>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</si>
  <si>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</si>
  <si>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</si>
  <si>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</si>
  <si>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</si>
  <si>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</si>
  <si>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</si>
  <si>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</si>
  <si>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</si>
  <si>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</si>
  <si>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</si>
  <si>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</si>
  <si>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</si>
  <si>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</si>
  <si>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</si>
  <si>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</si>
  <si>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</si>
  <si>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</si>
  <si>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</si>
  <si>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</si>
  <si>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</si>
  <si>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</si>
  <si>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</si>
  <si>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</si>
  <si>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</si>
  <si>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</si>
  <si>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</si>
  <si>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</si>
  <si>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</si>
  <si>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</si>
  <si>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</si>
  <si>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</si>
  <si>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</si>
  <si>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</si>
  <si>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</si>
  <si>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</si>
  <si>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</si>
  <si>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</si>
  <si>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</si>
  <si>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</si>
  <si>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</si>
  <si>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</si>
  <si>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</si>
  <si>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</si>
  <si>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</si>
  <si>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</si>
  <si>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</si>
  <si>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</si>
  <si>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</si>
  <si>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</si>
  <si>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</si>
  <si>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</si>
  <si>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</si>
  <si>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</si>
  <si>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</si>
  <si>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</si>
  <si>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</si>
  <si>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</si>
  <si>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</si>
  <si>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</si>
  <si>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</si>
  <si>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</si>
  <si>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</si>
  <si>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</si>
  <si>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</si>
  <si>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</si>
  <si>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</si>
  <si>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</si>
  <si>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</si>
  <si>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</si>
  <si>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</si>
  <si>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</si>
  <si>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</si>
  <si>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</si>
  <si>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</si>
  <si>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</si>
  <si>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</si>
  <si>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</si>
  <si>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</si>
  <si>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</si>
  <si>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</si>
  <si>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</si>
  <si>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</si>
  <si>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</si>
  <si>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</si>
  <si>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</si>
  <si>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</si>
  <si>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</si>
  <si>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</si>
  <si>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</si>
  <si>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</si>
  <si>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</si>
  <si>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</si>
  <si>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</si>
  <si>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</si>
  <si>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</si>
  <si>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</si>
  <si>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</si>
  <si>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</si>
  <si>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</si>
  <si>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</si>
  <si>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</si>
  <si>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</si>
  <si>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</si>
  <si>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</si>
  <si>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</si>
  <si>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</si>
  <si>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</si>
  <si>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</si>
  <si>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</si>
  <si>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</si>
  <si>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</si>
  <si>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</si>
  <si>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</si>
  <si>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</si>
  <si>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</si>
  <si>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</si>
  <si>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</si>
  <si>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</si>
  <si>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</si>
  <si>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</si>
  <si>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</si>
  <si>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</si>
  <si>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</si>
  <si>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</si>
  <si>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</si>
  <si>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</si>
  <si>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</si>
  <si>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</si>
  <si>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</si>
  <si>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</si>
  <si>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</si>
  <si>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</si>
  <si>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</si>
  <si>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</si>
  <si>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</si>
  <si>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</si>
  <si>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</si>
  <si>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</si>
  <si>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</si>
  <si>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</si>
  <si>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</si>
  <si>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</si>
  <si>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</si>
  <si>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</si>
  <si>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</si>
  <si>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</si>
  <si>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</si>
  <si>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</si>
  <si>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</si>
  <si>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</si>
  <si>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</si>
  <si>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</si>
  <si>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</si>
  <si>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</si>
  <si>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</si>
  <si>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</si>
  <si>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</si>
  <si>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</si>
  <si>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</si>
  <si>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</si>
  <si>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</si>
  <si>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</si>
  <si>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</si>
  <si>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</si>
  <si>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</si>
  <si>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</si>
  <si>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</si>
  <si>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</si>
  <si>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</si>
  <si>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</si>
  <si>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</si>
  <si>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</si>
  <si>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</si>
  <si>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</si>
  <si>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</si>
  <si>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</si>
  <si>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</si>
  <si>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</si>
  <si>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</si>
  <si>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</si>
  <si>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</si>
  <si>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</si>
  <si>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</si>
  <si>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</si>
  <si>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</si>
  <si>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</si>
  <si>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</si>
  <si>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</si>
  <si>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</si>
  <si>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</si>
  <si>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</si>
  <si>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</si>
  <si>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</si>
  <si>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</si>
  <si>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</si>
  <si>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</si>
  <si>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</si>
  <si>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</si>
  <si>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</si>
  <si>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</si>
  <si>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</si>
  <si>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</si>
  <si>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</si>
  <si>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</si>
  <si>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</si>
  <si>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</si>
  <si>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</si>
  <si>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</si>
  <si>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</si>
  <si>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</si>
  <si>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</si>
  <si>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</si>
  <si>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</si>
  <si>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</si>
  <si>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</si>
  <si>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</si>
  <si>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</si>
  <si>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</si>
  <si>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</si>
  <si>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</si>
  <si>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</si>
  <si>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</si>
  <si>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</si>
  <si>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</si>
  <si>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</si>
  <si>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</si>
  <si>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</si>
  <si>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</si>
  <si>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</si>
  <si>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</si>
  <si>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</si>
  <si>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</si>
  <si>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</si>
  <si>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</si>
  <si>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</si>
  <si>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</si>
  <si>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</si>
  <si>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</si>
  <si>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</si>
  <si>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</si>
  <si>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</si>
  <si>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</si>
  <si>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</si>
  <si>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</si>
  <si>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</si>
  <si>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</si>
  <si>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</si>
  <si>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</si>
  <si>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</si>
  <si>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</si>
  <si>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</si>
  <si>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</si>
  <si>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</si>
  <si>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</si>
  <si>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</si>
  <si>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</si>
  <si>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</si>
  <si>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</si>
  <si>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</si>
  <si>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</si>
  <si>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</si>
  <si>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</si>
  <si>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</si>
  <si>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</si>
  <si>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</si>
  <si>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</si>
  <si>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</si>
  <si>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</si>
  <si>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</si>
  <si>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</si>
  <si>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</si>
  <si>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</si>
  <si>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</si>
  <si>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</si>
  <si>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</si>
  <si>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</si>
  <si>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</si>
  <si>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</si>
  <si>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</si>
  <si>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</si>
  <si>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</si>
  <si>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</si>
  <si>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</si>
  <si>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</si>
  <si>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</si>
  <si>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</si>
  <si>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</si>
  <si>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</si>
  <si>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</si>
  <si>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</si>
  <si>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</si>
  <si>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</si>
  <si>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</si>
  <si>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</si>
  <si>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</si>
  <si>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</si>
  <si>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</si>
  <si>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</si>
  <si>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</si>
  <si>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</si>
  <si>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</si>
  <si>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</si>
  <si>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</si>
  <si>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</si>
  <si>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</si>
  <si>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</si>
  <si>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</si>
  <si>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</si>
  <si>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</si>
  <si>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</si>
  <si>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</si>
  <si>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</si>
  <si>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</si>
  <si>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</si>
  <si>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</si>
  <si>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</si>
  <si>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</si>
  <si>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</si>
  <si>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</si>
  <si>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</si>
  <si>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</si>
  <si>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</si>
  <si>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</si>
  <si>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</si>
  <si>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</si>
  <si>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</si>
  <si>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</si>
  <si>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</si>
  <si>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</si>
  <si>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</si>
  <si>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</si>
  <si>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</si>
  <si>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</si>
  <si>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</si>
  <si>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</si>
  <si>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</si>
  <si>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</si>
  <si>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</si>
  <si>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</si>
  <si>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</si>
  <si>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</si>
  <si>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</si>
  <si>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</si>
  <si>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</si>
  <si>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</si>
  <si>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</si>
  <si>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</si>
  <si>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</si>
  <si>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</si>
  <si>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</si>
  <si>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</si>
  <si>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</si>
  <si>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</si>
  <si>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</si>
  <si>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</si>
  <si>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</si>
  <si>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</si>
  <si>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</si>
  <si>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</si>
  <si>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</si>
  <si>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</si>
  <si>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</si>
  <si>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</si>
  <si>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</si>
  <si>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</si>
  <si>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</si>
  <si>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</si>
  <si>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</si>
  <si>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</si>
  <si>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</si>
  <si>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</si>
  <si>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</si>
  <si>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</si>
  <si>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</si>
  <si>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</si>
  <si>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</si>
  <si>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</si>
  <si>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</si>
  <si>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</si>
  <si>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</si>
  <si>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</si>
  <si>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</si>
  <si>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</si>
  <si>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</si>
  <si>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</si>
  <si>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</si>
  <si>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</si>
  <si>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</si>
  <si>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</si>
  <si>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</si>
  <si>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</si>
  <si>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</si>
  <si>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</si>
  <si>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</si>
  <si>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</si>
  <si>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</si>
  <si>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</si>
  <si>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</si>
  <si>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</si>
  <si>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</si>
  <si>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</si>
  <si>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</si>
  <si>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</si>
  <si>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</si>
  <si>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</si>
  <si>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</si>
  <si>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</si>
  <si>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</si>
  <si>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</si>
  <si>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</si>
  <si>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</si>
  <si>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</si>
  <si>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</si>
  <si>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</si>
  <si>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</si>
  <si>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</si>
  <si>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</si>
  <si>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</si>
  <si>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</si>
  <si>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</si>
  <si>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</si>
  <si>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</si>
  <si>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</si>
  <si>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</si>
  <si>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</si>
  <si>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</si>
  <si>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</si>
  <si>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</si>
  <si>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</si>
  <si>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</si>
  <si>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</si>
  <si>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</si>
  <si>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</si>
  <si>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</si>
  <si>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</si>
  <si>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</si>
  <si>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</si>
  <si>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</si>
  <si>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</si>
  <si>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</si>
  <si>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</si>
  <si>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</si>
  <si>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</si>
  <si>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</si>
  <si>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</si>
  <si>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</si>
  <si>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</si>
  <si>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</si>
  <si>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</si>
  <si>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</si>
  <si>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</si>
  <si>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</si>
  <si>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</si>
  <si>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</si>
  <si>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</si>
  <si>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</si>
  <si>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</si>
  <si>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</si>
  <si>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</si>
  <si>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</si>
  <si>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</si>
  <si>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</si>
  <si>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</si>
  <si>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</si>
  <si>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</si>
  <si>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</si>
  <si>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</si>
  <si>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</si>
  <si>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</si>
  <si>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</si>
  <si>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</si>
  <si>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</si>
  <si>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</si>
  <si>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</si>
  <si>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</si>
  <si>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</si>
  <si>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</si>
  <si>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</si>
  <si>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</si>
  <si>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</si>
  <si>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</si>
  <si>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</si>
  <si>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</si>
  <si>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</si>
  <si>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</si>
  <si>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</si>
  <si>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</si>
  <si>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</si>
  <si>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</si>
  <si>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</si>
  <si>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</si>
  <si>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</si>
  <si>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</si>
  <si>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</si>
  <si>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</si>
  <si>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</si>
  <si>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</si>
  <si>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</si>
  <si>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</si>
  <si>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</si>
  <si>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</si>
  <si>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</si>
  <si>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</si>
  <si>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</si>
  <si>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</si>
  <si>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</si>
  <si>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</si>
  <si>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</si>
  <si>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</si>
  <si>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</si>
  <si>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</si>
  <si>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</si>
  <si>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</si>
  <si>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</si>
  <si>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</si>
  <si>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</si>
  <si>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</si>
  <si>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</si>
  <si>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</si>
  <si>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</si>
  <si>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</si>
  <si>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</si>
  <si>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</si>
  <si>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</si>
  <si>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</si>
  <si>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</si>
  <si>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</si>
  <si>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</si>
  <si>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</si>
  <si>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</si>
  <si>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</si>
  <si>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</si>
  <si>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</si>
  <si>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</si>
  <si>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</si>
  <si>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</si>
  <si>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</si>
  <si>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</si>
  <si>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</si>
  <si>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</si>
  <si>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</si>
  <si>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</si>
  <si>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</si>
  <si>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</si>
  <si>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</si>
  <si>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</si>
  <si>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</si>
  <si>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</si>
  <si>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</si>
  <si>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</si>
  <si>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</si>
  <si>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</si>
  <si>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</si>
  <si>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</si>
  <si>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</si>
  <si>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</si>
  <si>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</si>
  <si>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</si>
  <si>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</si>
  <si>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</si>
  <si>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</si>
  <si>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</si>
  <si>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</si>
  <si>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</si>
  <si>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</si>
  <si>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</si>
  <si>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</si>
  <si>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</si>
  <si>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</si>
  <si>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</si>
  <si>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</si>
  <si>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</si>
  <si>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</si>
  <si>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</si>
  <si>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</si>
  <si>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</si>
  <si>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</si>
  <si>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</si>
  <si>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</si>
  <si>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</si>
  <si>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</si>
  <si>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</si>
  <si>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</si>
  <si>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</si>
  <si>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</si>
  <si>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</si>
  <si>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</si>
  <si>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</si>
  <si>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</si>
  <si>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</si>
  <si>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</si>
  <si>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</si>
  <si>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</si>
  <si>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</si>
  <si>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</si>
  <si>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</si>
  <si>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</si>
  <si>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</si>
  <si>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</si>
  <si>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</si>
  <si>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</si>
  <si>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</si>
  <si>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</si>
  <si>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</si>
  <si>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</si>
  <si>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</si>
  <si>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</si>
  <si>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</si>
  <si>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</si>
  <si>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</si>
  <si>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</si>
  <si>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</si>
  <si>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</si>
  <si>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</si>
  <si>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</si>
  <si>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</si>
  <si>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</si>
  <si>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</si>
  <si>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</si>
  <si>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</si>
  <si>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</si>
  <si>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</si>
  <si>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</si>
  <si>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</si>
  <si>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</si>
  <si>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</si>
  <si>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</si>
  <si>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</si>
  <si>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</si>
  <si>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</si>
  <si>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</si>
  <si>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</si>
  <si>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</si>
  <si>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</si>
  <si>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</si>
  <si>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</si>
  <si>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</si>
  <si>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</si>
  <si>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</si>
  <si>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</si>
  <si>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</si>
  <si>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</si>
  <si>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</si>
  <si>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</si>
  <si>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</si>
  <si>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</si>
  <si>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</si>
  <si>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</si>
  <si>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</si>
  <si>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</si>
  <si>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</si>
  <si>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</si>
  <si>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</si>
  <si>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</si>
  <si>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</si>
  <si>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</si>
  <si>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</si>
  <si>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</si>
  <si>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</si>
  <si>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</si>
  <si>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</si>
  <si>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</si>
  <si>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</si>
  <si>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</si>
  <si>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</si>
  <si>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</si>
  <si>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</si>
  <si>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</si>
  <si>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</si>
  <si>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</si>
  <si>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</si>
  <si>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</si>
  <si>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</si>
  <si>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</si>
  <si>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</si>
  <si>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</si>
  <si>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</si>
  <si>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</si>
  <si>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</si>
  <si>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</si>
  <si>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</si>
  <si>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</si>
  <si>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</si>
  <si>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</si>
  <si>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</si>
  <si>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</si>
  <si>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</si>
  <si>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</si>
  <si>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</si>
  <si>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</si>
  <si>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</si>
  <si>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</si>
  <si>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</si>
  <si>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</si>
  <si>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</si>
  <si>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</si>
  <si>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</si>
  <si>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</si>
  <si>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</si>
  <si>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</si>
  <si>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</si>
  <si>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</si>
  <si>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</si>
  <si>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</si>
  <si>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</si>
  <si>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</si>
  <si>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</si>
  <si>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</si>
  <si>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</si>
  <si>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</si>
  <si>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</si>
  <si>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</si>
  <si>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</si>
  <si>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</si>
  <si>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</si>
  <si>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</si>
  <si>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</si>
  <si>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</si>
  <si>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</si>
  <si>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</si>
  <si>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</si>
  <si>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</si>
  <si>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</si>
  <si>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</si>
  <si>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</si>
  <si>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</si>
  <si>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</si>
  <si>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</si>
  <si>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</si>
  <si>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</si>
  <si>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</si>
  <si>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</si>
  <si>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</si>
  <si>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</si>
  <si>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</si>
  <si>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</si>
  <si>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</si>
  <si>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</si>
  <si>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</si>
  <si>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</si>
  <si>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</si>
  <si>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</si>
  <si>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</si>
  <si>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</si>
  <si>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</si>
  <si>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</si>
  <si>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</si>
  <si>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</si>
  <si>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</si>
  <si>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</si>
  <si>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</si>
  <si>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</si>
  <si>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</si>
  <si>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</si>
  <si>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</si>
  <si>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</si>
  <si>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</si>
  <si>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</si>
  <si>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</si>
  <si>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</si>
  <si>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</si>
  <si>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</si>
  <si>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</si>
  <si>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</si>
  <si>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</si>
  <si>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</si>
  <si>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</si>
  <si>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</si>
  <si>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</si>
  <si>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</si>
  <si>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</si>
  <si>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</si>
  <si>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</si>
  <si>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</si>
  <si>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</si>
  <si>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</si>
  <si>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</si>
  <si>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</si>
  <si>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</si>
  <si>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</si>
  <si>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</si>
  <si>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</si>
  <si>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</si>
  <si>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</si>
  <si>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</si>
  <si>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</si>
  <si>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</si>
  <si>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</si>
  <si>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</si>
  <si>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</si>
  <si>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</si>
  <si>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</si>
  <si>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</si>
  <si>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</si>
  <si>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</si>
  <si>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</si>
  <si>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</si>
  <si>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</si>
  <si>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</si>
  <si>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</si>
  <si>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</si>
  <si>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</si>
  <si>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</si>
  <si>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</si>
  <si>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</si>
  <si>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</si>
  <si>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</si>
  <si>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</si>
  <si>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</si>
  <si>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</si>
  <si>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</si>
  <si>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</si>
  <si>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</si>
  <si>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</si>
  <si>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</si>
  <si>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</si>
  <si>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</si>
  <si>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</si>
  <si>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</si>
  <si>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</si>
  <si>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</si>
  <si>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</si>
  <si>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</si>
  <si>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</si>
  <si>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</si>
  <si>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</si>
  <si>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</si>
  <si>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</si>
  <si>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</si>
  <si>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</si>
  <si>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</si>
  <si>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</si>
  <si>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</si>
  <si>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</si>
  <si>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</si>
  <si>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</si>
  <si>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</si>
  <si>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</si>
  <si>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</si>
  <si>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</si>
  <si>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</si>
  <si>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</si>
  <si>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</si>
  <si>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</si>
  <si>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</si>
  <si>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</si>
  <si>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</si>
  <si>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</si>
  <si>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</si>
  <si>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</si>
  <si>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</si>
  <si>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</si>
  <si>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</si>
  <si>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</si>
  <si>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</si>
  <si>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</si>
  <si>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</si>
  <si>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</si>
  <si>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</si>
  <si>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</si>
  <si>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</si>
  <si>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</si>
  <si>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</si>
  <si>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</si>
  <si>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</si>
  <si>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</si>
  <si>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</si>
  <si>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</si>
  <si>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</si>
  <si>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</si>
  <si>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</si>
  <si>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</si>
  <si>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</si>
  <si>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</si>
  <si>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</si>
  <si>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</si>
  <si>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</si>
  <si>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</si>
  <si>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</si>
  <si>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</si>
  <si>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</si>
  <si>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</si>
  <si>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</si>
  <si>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</si>
  <si>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</si>
  <si>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</si>
  <si>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</si>
  <si>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</si>
  <si>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</si>
  <si>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</si>
  <si>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</si>
  <si>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</si>
  <si>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</si>
  <si>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</si>
  <si>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</si>
  <si>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</si>
  <si>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</si>
  <si>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</si>
  <si>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</si>
  <si>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</si>
  <si>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</si>
  <si>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</si>
  <si>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</si>
  <si>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</si>
  <si>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</si>
  <si>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</si>
  <si>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</si>
  <si>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</si>
  <si>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</si>
  <si>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</si>
  <si>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</si>
  <si>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</si>
  <si>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</si>
  <si>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</si>
  <si>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</si>
  <si>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</si>
  <si>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</si>
  <si>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</si>
  <si>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</si>
  <si>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</si>
  <si>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</si>
  <si>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</si>
  <si>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</si>
  <si>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</si>
  <si>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</si>
  <si>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</si>
  <si>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</si>
  <si>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</si>
  <si>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</si>
  <si>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</si>
  <si>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</si>
  <si>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</si>
  <si>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</si>
  <si>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</si>
  <si>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</si>
  <si>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</si>
  <si>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</si>
  <si>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</si>
  <si>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</si>
  <si>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</si>
  <si>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</si>
  <si>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</si>
  <si>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</si>
  <si>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</si>
  <si>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</si>
  <si>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</si>
  <si>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</si>
  <si>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</si>
  <si>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</si>
  <si>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</si>
  <si>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</si>
  <si>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</si>
  <si>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</si>
  <si>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</si>
  <si>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</si>
  <si>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</si>
  <si>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</si>
  <si>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</si>
  <si>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</si>
  <si>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</si>
  <si>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</si>
  <si>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</si>
  <si>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</si>
  <si>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</si>
  <si>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</si>
  <si>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</si>
  <si>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</si>
  <si>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</si>
  <si>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</si>
  <si>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</si>
  <si>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</si>
  <si>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</si>
  <si>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</si>
  <si>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</si>
  <si>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</si>
  <si>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</si>
  <si>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</si>
  <si>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</si>
  <si>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</si>
  <si>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</si>
  <si>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</si>
  <si>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</si>
  <si>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</si>
  <si>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</si>
  <si>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</si>
  <si>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</si>
  <si>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</si>
  <si>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</si>
  <si>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</si>
  <si>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</si>
  <si>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</si>
  <si>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</si>
  <si>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</si>
  <si>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</si>
  <si>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</si>
  <si>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</si>
  <si>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</si>
  <si>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</si>
  <si>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</si>
  <si>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</si>
  <si>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</si>
  <si>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</si>
  <si>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</si>
  <si>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</si>
  <si>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</si>
  <si>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</si>
  <si>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</si>
  <si>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</si>
  <si>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</si>
  <si>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</si>
  <si>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</si>
  <si>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</si>
  <si>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</si>
  <si>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</si>
  <si>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</si>
  <si>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</si>
  <si>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</si>
  <si>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</si>
  <si>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</si>
  <si>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</si>
  <si>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</si>
  <si>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</si>
  <si>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</si>
  <si>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</si>
  <si>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</si>
  <si>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</si>
  <si>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</si>
  <si>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</si>
  <si>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</si>
  <si>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</si>
  <si>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</si>
  <si>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</si>
  <si>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</si>
  <si>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</si>
  <si>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</si>
  <si>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</si>
  <si>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</si>
  <si>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</si>
  <si>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</si>
  <si>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</si>
  <si>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</si>
  <si>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</si>
  <si>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</si>
  <si>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</si>
  <si>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</si>
  <si>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</si>
  <si>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</si>
  <si>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</si>
  <si>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</si>
  <si>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</si>
  <si>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</si>
  <si>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</si>
  <si>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</si>
  <si>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</si>
  <si>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</si>
  <si>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</si>
  <si>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</si>
  <si>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</si>
  <si>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</si>
  <si>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</si>
  <si>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</si>
  <si>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</si>
  <si>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</si>
  <si>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</si>
  <si>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</si>
  <si>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</si>
  <si>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</si>
  <si>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</si>
  <si>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</si>
  <si>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</si>
  <si>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</si>
  <si>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</si>
  <si>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</si>
  <si>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</si>
  <si>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</si>
  <si>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</si>
  <si>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</si>
  <si>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</si>
  <si>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</si>
  <si>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</si>
  <si>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</si>
  <si>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</si>
  <si>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</si>
  <si>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</si>
  <si>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</si>
  <si>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</si>
  <si>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</si>
  <si>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</si>
  <si>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</si>
  <si>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</si>
  <si>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</si>
  <si>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</si>
  <si>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</si>
  <si>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</si>
  <si>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</si>
  <si>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</si>
  <si>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</si>
  <si>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</si>
  <si>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</si>
  <si>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</si>
  <si>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</si>
  <si>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</si>
  <si>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</si>
  <si>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</si>
  <si>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</si>
  <si>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</si>
  <si>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</si>
  <si>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</si>
  <si>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</si>
  <si>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</si>
  <si>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</si>
  <si>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</si>
  <si>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</si>
  <si>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</si>
  <si>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</si>
  <si>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</si>
  <si>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</si>
  <si>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</si>
  <si>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</si>
  <si>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</si>
  <si>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</si>
  <si>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</si>
  <si>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</si>
  <si>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</si>
  <si>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</si>
  <si>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</si>
  <si>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</si>
  <si>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</si>
  <si>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</si>
  <si>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</si>
  <si>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</si>
  <si>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</si>
  <si>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</si>
  <si>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</si>
  <si>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</si>
  <si>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</si>
  <si>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</si>
  <si>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</si>
  <si>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</si>
  <si>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</si>
  <si>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</si>
  <si>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</si>
  <si>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</si>
  <si>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</si>
  <si>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</si>
  <si>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</si>
  <si>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</si>
  <si>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</si>
  <si>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</si>
  <si>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</si>
  <si>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</si>
  <si>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</si>
  <si>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</si>
  <si>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</si>
  <si>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</si>
  <si>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</si>
  <si>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</si>
  <si>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</si>
  <si>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</si>
  <si>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</si>
  <si>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</si>
  <si>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</si>
  <si>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</si>
  <si>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</si>
  <si>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</si>
  <si>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</si>
  <si>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</si>
  <si>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</si>
  <si>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</si>
  <si>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</si>
  <si>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</si>
  <si>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</si>
  <si>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</si>
  <si>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</si>
  <si>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</si>
  <si>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</si>
  <si>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</si>
  <si>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</si>
  <si>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</si>
  <si>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</si>
  <si>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</si>
  <si>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</si>
  <si>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</si>
  <si>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</si>
  <si>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</si>
  <si>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</si>
  <si>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</si>
  <si>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</si>
  <si>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</si>
  <si>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</si>
  <si>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</si>
  <si>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</si>
  <si>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</si>
  <si>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</si>
  <si>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</si>
  <si>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</si>
  <si>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</si>
  <si>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</si>
  <si>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</si>
  <si>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</si>
  <si>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</si>
  <si>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</si>
  <si>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</si>
  <si>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</si>
  <si>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</si>
  <si>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</si>
  <si>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</si>
  <si>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</si>
  <si>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</si>
  <si>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</si>
  <si>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</si>
  <si>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</si>
  <si>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</si>
  <si>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</si>
  <si>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</si>
  <si>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</si>
  <si>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</si>
  <si>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</si>
  <si>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</si>
  <si>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</si>
  <si>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</si>
  <si>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</si>
  <si>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</si>
  <si>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</si>
  <si>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</si>
  <si>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</si>
  <si>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</si>
  <si>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</si>
  <si>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</si>
  <si>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</si>
  <si>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</si>
  <si>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</si>
  <si>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</si>
  <si>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</si>
  <si>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</si>
  <si>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</si>
  <si>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</si>
  <si>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</si>
  <si>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</si>
  <si>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</si>
  <si>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</si>
  <si>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</si>
  <si>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</si>
  <si>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</si>
  <si>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</si>
  <si>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</si>
  <si>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</si>
  <si>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</si>
  <si>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</si>
  <si>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</si>
  <si>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</si>
  <si>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</si>
  <si>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</si>
  <si>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</si>
  <si>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</si>
  <si>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</si>
  <si>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</si>
  <si>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</si>
  <si>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</si>
  <si>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</si>
  <si>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</si>
  <si>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</si>
  <si>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</si>
  <si>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</si>
  <si>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</si>
  <si>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</si>
  <si>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</si>
  <si>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</si>
  <si>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</si>
  <si>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</si>
  <si>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</si>
  <si>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</si>
  <si>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</si>
  <si>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</si>
  <si>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</si>
  <si>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</si>
  <si>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</si>
  <si>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</si>
  <si>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</si>
  <si>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</si>
  <si>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</si>
  <si>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</si>
  <si>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</si>
  <si>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</si>
  <si>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</si>
  <si>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</si>
  <si>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</si>
  <si>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</si>
  <si>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</si>
  <si>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</si>
  <si>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</si>
  <si>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</si>
  <si>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</si>
  <si>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</si>
  <si>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</si>
  <si>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</si>
  <si>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</si>
  <si>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</si>
  <si>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</si>
  <si>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</si>
  <si>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</si>
  <si>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</si>
  <si>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</si>
  <si>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</si>
  <si>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</si>
  <si>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</si>
  <si>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</si>
  <si>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</si>
  <si>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</si>
  <si>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</si>
  <si>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</si>
  <si>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</si>
  <si>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</si>
  <si>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</si>
  <si>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</si>
  <si>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</si>
  <si>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</si>
  <si>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</si>
  <si>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</si>
  <si>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</si>
  <si>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</si>
  <si>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</si>
  <si>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</si>
  <si>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</si>
  <si>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</si>
  <si>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</si>
  <si>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</si>
  <si>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</si>
  <si>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</si>
  <si>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</si>
  <si>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</si>
  <si>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</si>
  <si>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</si>
  <si>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</si>
  <si>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</si>
  <si>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</si>
  <si>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</si>
  <si>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</si>
  <si>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</si>
  <si>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</si>
  <si>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</si>
  <si>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</si>
  <si>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</si>
  <si>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</si>
  <si>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</si>
  <si>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</si>
  <si>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</si>
  <si>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</si>
  <si>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</si>
  <si>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</si>
  <si>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</si>
  <si>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</si>
  <si>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</si>
  <si>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</si>
  <si>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</si>
  <si>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</si>
  <si>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</si>
  <si>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</si>
  <si>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</si>
  <si>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</si>
  <si>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</si>
  <si>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</si>
  <si>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</si>
  <si>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</si>
  <si>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</si>
  <si>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</si>
  <si>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</si>
  <si>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</si>
  <si>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</si>
  <si>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</si>
  <si>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</si>
  <si>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</si>
  <si>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</si>
  <si>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</si>
  <si>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</si>
  <si>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</si>
  <si>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</si>
  <si>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</si>
  <si>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</si>
  <si>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</si>
  <si>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</si>
  <si>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</si>
  <si>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</si>
  <si>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</si>
  <si>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</si>
  <si>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</si>
  <si>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</si>
  <si>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</si>
  <si>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</si>
  <si>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</si>
  <si>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</si>
  <si>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</si>
  <si>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</si>
  <si>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</si>
  <si>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</si>
  <si>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</si>
  <si>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</si>
  <si>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</si>
  <si>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</si>
  <si>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</si>
  <si>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</si>
  <si>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</si>
  <si>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</si>
  <si>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</si>
  <si>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</si>
  <si>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</si>
  <si>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</si>
  <si>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</si>
  <si>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</si>
  <si>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</si>
  <si>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</si>
  <si>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</si>
  <si>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</si>
  <si>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</si>
  <si>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</si>
  <si>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</si>
  <si>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</si>
  <si>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</si>
  <si>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</si>
  <si>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</si>
  <si>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</si>
  <si>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</si>
  <si>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</si>
  <si>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</si>
  <si>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</si>
  <si>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</si>
  <si>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</si>
  <si>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</si>
  <si>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</si>
  <si>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</si>
  <si>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</si>
  <si>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</si>
  <si>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</si>
  <si>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</si>
  <si>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</si>
  <si>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</si>
  <si>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</si>
  <si>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</si>
  <si>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</si>
  <si>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</si>
  <si>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</si>
  <si>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</si>
  <si>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</si>
  <si>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</si>
  <si>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</si>
  <si>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</si>
  <si>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</si>
  <si>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</si>
  <si>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</si>
  <si>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</si>
  <si>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</si>
  <si>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</si>
  <si>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</si>
  <si>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</si>
  <si>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</si>
  <si>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</si>
  <si>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</si>
  <si>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</si>
  <si>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</si>
  <si>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</si>
  <si>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</si>
  <si>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</si>
  <si>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</si>
  <si>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</si>
  <si>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</si>
  <si>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</si>
  <si>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</si>
  <si>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</si>
  <si>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</si>
  <si>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</si>
  <si>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</si>
  <si>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</si>
  <si>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</si>
  <si>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</si>
  <si>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</si>
  <si>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</si>
  <si>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</si>
  <si>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</si>
  <si>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</si>
  <si>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</si>
  <si>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</si>
  <si>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</si>
  <si>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</si>
  <si>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</si>
  <si>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</si>
  <si>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</si>
  <si>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</si>
  <si>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</si>
  <si>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</si>
  <si>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</si>
  <si>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</si>
  <si>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</si>
  <si>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</si>
  <si>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</si>
  <si>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</si>
  <si>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</si>
  <si>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</si>
  <si>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</si>
  <si>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</si>
  <si>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</si>
  <si>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</si>
  <si>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</si>
  <si>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</si>
  <si>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</si>
  <si>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</si>
  <si>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</si>
  <si>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</si>
  <si>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</si>
  <si>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</si>
  <si>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</si>
  <si>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</si>
  <si>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</si>
  <si>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</si>
  <si>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</si>
  <si>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</si>
  <si>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</si>
  <si>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</si>
  <si>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</si>
  <si>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</si>
  <si>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</si>
  <si>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</si>
  <si>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</si>
  <si>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</si>
  <si>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</si>
  <si>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</si>
  <si>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</si>
  <si>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</si>
  <si>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</si>
  <si>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</si>
  <si>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</si>
  <si>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</si>
  <si>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</si>
  <si>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</si>
  <si>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</si>
  <si>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</si>
  <si>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</si>
  <si>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</si>
  <si>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</si>
  <si>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</si>
  <si>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</si>
  <si>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</si>
  <si>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</si>
  <si>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</si>
  <si>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</si>
  <si>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</si>
  <si>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</si>
  <si>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</si>
  <si>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</si>
  <si>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</si>
  <si>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</si>
  <si>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</si>
  <si>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</si>
  <si>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</si>
  <si>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</si>
  <si>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</si>
  <si>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</si>
  <si>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</si>
  <si>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</si>
  <si>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</si>
  <si>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</si>
  <si>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</si>
  <si>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</si>
  <si>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</si>
  <si>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</si>
  <si>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</si>
  <si>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</si>
  <si>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</si>
  <si>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</si>
  <si>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</si>
  <si>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</si>
  <si>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</si>
  <si>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</si>
  <si>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</si>
  <si>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</si>
  <si>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</si>
  <si>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</si>
  <si>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</si>
  <si>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</si>
  <si>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</si>
  <si>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</si>
  <si>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</si>
  <si>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</si>
  <si>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</si>
  <si>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</si>
  <si>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</si>
  <si>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</si>
  <si>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</si>
  <si>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</si>
  <si>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</si>
  <si>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</si>
  <si>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</si>
  <si>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</si>
  <si>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</si>
  <si>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</si>
  <si>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</si>
  <si>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</si>
  <si>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</si>
  <si>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</si>
  <si>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</si>
  <si>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</si>
  <si>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</si>
  <si>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</si>
  <si>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</si>
  <si>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</si>
  <si>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</si>
  <si>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</si>
  <si>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</si>
  <si>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</si>
  <si>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</si>
  <si>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</si>
  <si>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</si>
  <si>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</si>
  <si>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</si>
  <si>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</si>
  <si>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</si>
  <si>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</si>
  <si>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</si>
  <si>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</si>
  <si>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</si>
  <si>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</si>
  <si>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</si>
  <si>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</si>
  <si>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</si>
  <si>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</si>
  <si>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</si>
  <si>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</si>
  <si>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</si>
  <si>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</si>
  <si>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</si>
  <si>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</si>
  <si>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</si>
  <si>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</si>
  <si>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</si>
  <si>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</si>
  <si>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</si>
  <si>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</si>
  <si>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</si>
  <si>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</si>
  <si>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</si>
  <si>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</si>
  <si>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</si>
  <si>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</si>
  <si>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</si>
  <si>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</si>
  <si>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</si>
  <si>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</si>
  <si>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</si>
  <si>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</si>
  <si>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</si>
  <si>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</si>
  <si>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</si>
  <si>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</si>
  <si>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</si>
  <si>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</si>
  <si>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</si>
  <si>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</si>
  <si>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</si>
  <si>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</si>
  <si>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</si>
  <si>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</si>
  <si>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</si>
  <si>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</si>
  <si>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</si>
  <si>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</si>
  <si>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</si>
  <si>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</si>
  <si>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</si>
  <si>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</si>
  <si>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</si>
  <si>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</si>
  <si>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</si>
  <si>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</si>
  <si>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</si>
  <si>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</si>
  <si>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</si>
  <si>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</si>
  <si>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</si>
  <si>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</si>
  <si>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</si>
  <si>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</si>
  <si>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</si>
  <si>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</si>
  <si>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</si>
  <si>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</si>
  <si>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</si>
  <si>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</si>
  <si>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</si>
  <si>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</si>
  <si>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</si>
  <si>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</si>
  <si>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</si>
  <si>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</si>
  <si>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</si>
  <si>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</si>
  <si>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</si>
  <si>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</si>
  <si>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</si>
  <si>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</si>
  <si>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</si>
  <si>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</si>
  <si>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</si>
  <si>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</si>
  <si>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</si>
  <si>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</si>
  <si>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</si>
  <si>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</si>
  <si>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</si>
  <si>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</si>
  <si>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</si>
  <si>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</si>
  <si>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</si>
  <si>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</si>
  <si>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</si>
  <si>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</si>
  <si>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</si>
  <si>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</si>
  <si>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</si>
  <si>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</si>
  <si>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</si>
  <si>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</si>
  <si>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</si>
  <si>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</si>
  <si>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</si>
  <si>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</si>
  <si>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</si>
  <si>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</si>
  <si>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</si>
  <si>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</si>
  <si>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</si>
  <si>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</si>
  <si>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</si>
  <si>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</si>
  <si>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</si>
  <si>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</si>
  <si>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</si>
  <si>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</si>
  <si>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</si>
  <si>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</si>
  <si>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</si>
  <si>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</si>
  <si>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</si>
  <si>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</si>
  <si>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</si>
  <si>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</si>
  <si>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</si>
  <si>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</si>
  <si>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</si>
  <si>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</si>
  <si>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</si>
  <si>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</si>
  <si>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</si>
  <si>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</si>
  <si>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</si>
  <si>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</si>
  <si>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</si>
  <si>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</si>
  <si>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</si>
  <si>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</si>
  <si>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</si>
  <si>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</si>
  <si>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</si>
  <si>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</si>
  <si>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</si>
  <si>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</si>
  <si>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</si>
  <si>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</si>
  <si>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</si>
  <si>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</si>
  <si>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</si>
  <si>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</si>
  <si>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</si>
  <si>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</si>
  <si>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</si>
  <si>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</si>
  <si>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</si>
  <si>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</si>
  <si>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</si>
  <si>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</si>
  <si>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</si>
  <si>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</si>
  <si>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</si>
  <si>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</si>
  <si>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</si>
  <si>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</si>
  <si>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</si>
  <si>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</si>
  <si>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</si>
  <si>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</si>
  <si>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</si>
  <si>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</si>
  <si>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</si>
  <si>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</si>
  <si>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</si>
  <si>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</si>
  <si>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</si>
  <si>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</si>
  <si>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</si>
  <si>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</si>
  <si>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</si>
  <si>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</si>
  <si>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</si>
  <si>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</si>
  <si>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</si>
  <si>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</si>
  <si>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</si>
  <si>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</si>
  <si>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</si>
  <si>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</si>
  <si>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</si>
  <si>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</si>
  <si>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</si>
  <si>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</si>
  <si>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</si>
  <si>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</si>
  <si>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</si>
  <si>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</si>
  <si>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</si>
  <si>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</si>
  <si>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</si>
  <si>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</si>
  <si>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</si>
  <si>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</si>
  <si>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</si>
  <si>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</si>
  <si>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</si>
  <si>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</si>
  <si>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</si>
  <si>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</si>
  <si>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</si>
  <si>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</si>
  <si>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</si>
  <si>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</si>
  <si>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</si>
  <si>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</si>
  <si>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</si>
  <si>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</si>
  <si>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</si>
  <si>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</si>
  <si>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</si>
  <si>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</si>
  <si>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</si>
  <si>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</si>
  <si>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</si>
  <si>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</si>
  <si>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</si>
  <si>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</si>
  <si>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</si>
  <si>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</si>
  <si>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</si>
  <si>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</si>
  <si>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</si>
  <si>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</si>
  <si>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</si>
  <si>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</si>
  <si>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</si>
  <si>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</si>
  <si>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</si>
  <si>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</si>
  <si>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</si>
  <si>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</si>
  <si>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</si>
  <si>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</si>
  <si>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</si>
  <si>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</si>
  <si>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</si>
  <si>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</si>
  <si>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</si>
  <si>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</si>
  <si>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</si>
  <si>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</si>
  <si>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</si>
  <si>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</si>
  <si>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</si>
  <si>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</si>
  <si>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</si>
  <si>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</si>
  <si>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</si>
  <si>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</si>
  <si>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</si>
  <si>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</si>
  <si>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</si>
  <si>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</si>
  <si>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</si>
  <si>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</si>
  <si>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</si>
  <si>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</si>
  <si>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</si>
  <si>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</si>
  <si>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</si>
  <si>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</si>
  <si>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</si>
  <si>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</si>
  <si>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</si>
  <si>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</si>
  <si>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</si>
  <si>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</si>
  <si>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</si>
  <si>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</si>
  <si>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</si>
  <si>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</si>
  <si>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</si>
  <si>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</si>
  <si>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</si>
  <si>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</si>
  <si>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</si>
  <si>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</si>
  <si>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</si>
  <si>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</si>
  <si>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</si>
  <si>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</si>
  <si>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</si>
  <si>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</si>
  <si>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</si>
  <si>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</si>
  <si>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</si>
  <si>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</si>
  <si>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</si>
  <si>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</si>
  <si>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</si>
  <si>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</si>
  <si>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</si>
  <si>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</si>
  <si>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</si>
  <si>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</si>
  <si>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</si>
  <si>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</si>
  <si>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</si>
  <si>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</si>
  <si>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</si>
  <si>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</si>
  <si>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</si>
  <si>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</si>
  <si>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</si>
  <si>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</si>
  <si>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</si>
  <si>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</si>
  <si>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</si>
  <si>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</si>
  <si>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</si>
  <si>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</si>
  <si>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</si>
  <si>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</si>
  <si>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</si>
  <si>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</si>
  <si>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</si>
  <si>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</si>
  <si>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</si>
  <si>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</si>
  <si>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</si>
  <si>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</si>
  <si>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</si>
  <si>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</si>
  <si>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</si>
  <si>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</si>
  <si>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</si>
  <si>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</si>
  <si>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</si>
  <si>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</si>
  <si>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</si>
  <si>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</si>
  <si>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</si>
  <si>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</si>
  <si>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</si>
  <si>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</si>
  <si>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</si>
  <si>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</si>
  <si>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</si>
  <si>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</si>
  <si>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</si>
  <si>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</si>
  <si>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</si>
  <si>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</si>
  <si>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</si>
  <si>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</si>
  <si>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</si>
  <si>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</si>
  <si>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</si>
  <si>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</si>
  <si>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</si>
  <si>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</si>
  <si>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</si>
  <si>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</si>
  <si>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</si>
  <si>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</si>
  <si>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</si>
  <si>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</si>
  <si>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</si>
  <si>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</si>
  <si>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</si>
  <si>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</si>
  <si>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</si>
  <si>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</si>
  <si>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</si>
  <si>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</si>
  <si>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</si>
  <si>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</si>
  <si>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</si>
  <si>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</si>
  <si>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</si>
  <si>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</si>
  <si>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</si>
  <si>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</si>
  <si>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</si>
  <si>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</si>
  <si>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</si>
  <si>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</si>
  <si>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</si>
  <si>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</si>
  <si>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</si>
  <si>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</si>
  <si>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</si>
  <si>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</si>
  <si>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</si>
  <si>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</si>
  <si>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</si>
  <si>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</si>
  <si>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</si>
  <si>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</si>
  <si>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</si>
  <si>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</si>
  <si>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</si>
  <si>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</si>
  <si>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</si>
  <si>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</si>
  <si>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</si>
  <si>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</si>
  <si>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</si>
  <si>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</si>
  <si>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</si>
  <si>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</si>
  <si>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</si>
  <si>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</si>
  <si>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</si>
  <si>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</si>
  <si>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</si>
  <si>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</si>
  <si>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</si>
  <si>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</si>
  <si>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</si>
  <si>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</si>
  <si>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</si>
  <si>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</si>
  <si>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</si>
  <si>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</si>
  <si>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</si>
  <si>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</si>
  <si>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</si>
  <si>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</si>
  <si>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</si>
  <si>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</si>
  <si>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</si>
  <si>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</si>
  <si>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</si>
  <si>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</si>
  <si>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</si>
  <si>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</si>
  <si>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</si>
  <si>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</si>
  <si>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</si>
  <si>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</si>
  <si>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</si>
  <si>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</si>
  <si>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</si>
  <si>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</si>
  <si>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</si>
  <si>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</si>
  <si>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</si>
  <si>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</si>
  <si>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</si>
  <si>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</si>
  <si>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</si>
  <si>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</si>
  <si>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</si>
  <si>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</si>
  <si>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</si>
  <si>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</si>
  <si>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</si>
  <si>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</si>
  <si>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</si>
  <si>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</si>
  <si>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</si>
  <si>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</si>
  <si>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</si>
  <si>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</si>
  <si>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</si>
  <si>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</si>
  <si>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</si>
  <si>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</si>
  <si>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</si>
  <si>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</si>
  <si>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</si>
  <si>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</si>
  <si>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</si>
  <si>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</si>
  <si>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</si>
  <si>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</si>
  <si>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</si>
  <si>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</si>
  <si>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</si>
  <si>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</si>
  <si>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</si>
  <si>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</si>
  <si>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</si>
  <si>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</si>
  <si>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</si>
  <si>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</si>
  <si>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</si>
  <si>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</si>
  <si>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</si>
  <si>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</si>
  <si>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</si>
  <si>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</si>
  <si>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</si>
  <si>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</si>
  <si>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</si>
  <si>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</si>
  <si>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</si>
  <si>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</si>
  <si>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</si>
  <si>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</si>
  <si>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</si>
  <si>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</si>
  <si>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</si>
  <si>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</si>
  <si>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</si>
  <si>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</si>
  <si>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</si>
  <si>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</si>
  <si>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</si>
  <si>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</si>
  <si>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</si>
  <si>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</si>
  <si>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</si>
  <si>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</si>
  <si>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</si>
  <si>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</si>
  <si>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</si>
  <si>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</si>
  <si>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</si>
  <si>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</si>
  <si>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</si>
  <si>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</si>
  <si>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</si>
  <si>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</si>
  <si>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</si>
  <si>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</si>
  <si>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</si>
  <si>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</si>
  <si>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</si>
  <si>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</si>
  <si>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</si>
  <si>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</si>
  <si>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</si>
  <si>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</si>
  <si>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</si>
  <si>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</si>
  <si>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</si>
  <si>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</si>
  <si>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</si>
  <si>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</si>
  <si>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</si>
  <si>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</si>
  <si>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</si>
  <si>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</si>
  <si>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</si>
  <si>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</si>
  <si>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</si>
  <si>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</si>
  <si>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</si>
  <si>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</si>
  <si>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</si>
  <si>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</si>
  <si>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</si>
  <si>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</si>
  <si>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</si>
  <si>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</si>
  <si>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</si>
  <si>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</si>
  <si>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</si>
  <si>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</si>
  <si>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</si>
  <si>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</si>
  <si>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</si>
  <si>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</si>
  <si>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</si>
  <si>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</si>
  <si>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</si>
  <si>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</si>
  <si>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</si>
  <si>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</si>
  <si>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</si>
  <si>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</si>
  <si>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</si>
  <si>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</si>
  <si>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</si>
  <si>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</si>
  <si>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</si>
  <si>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</si>
  <si>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</si>
  <si>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</si>
  <si>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</si>
  <si>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</si>
  <si>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</si>
  <si>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</si>
  <si>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</si>
  <si>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</si>
  <si>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</si>
  <si>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</si>
  <si>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</si>
  <si>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</si>
  <si>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</si>
  <si>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</si>
  <si>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</si>
  <si>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</si>
  <si>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</si>
  <si>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</si>
  <si>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</si>
  <si>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</si>
  <si>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</si>
  <si>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</si>
  <si>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</si>
  <si>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</si>
  <si>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</si>
  <si>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</si>
  <si>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</si>
  <si>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</si>
  <si>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</si>
  <si>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</si>
  <si>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</si>
  <si>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</si>
  <si>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</si>
  <si>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</si>
  <si>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</si>
  <si>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</si>
  <si>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</si>
  <si>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</si>
  <si>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</si>
  <si>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</si>
  <si>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</si>
  <si>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</si>
  <si>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</si>
  <si>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</si>
  <si>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</si>
  <si>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</si>
  <si>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</si>
  <si>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</si>
  <si>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</si>
  <si>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</si>
  <si>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</si>
  <si>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</si>
  <si>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</si>
  <si>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</si>
  <si>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</si>
  <si>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</si>
  <si>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</si>
  <si>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</si>
  <si>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</si>
  <si>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</si>
  <si>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</si>
  <si>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</si>
  <si>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</si>
  <si>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</si>
  <si>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</si>
  <si>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</si>
  <si>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</si>
  <si>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</si>
  <si>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</si>
  <si>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</si>
  <si>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</si>
  <si>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</si>
  <si>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</si>
  <si>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</si>
  <si>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</si>
  <si>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</si>
  <si>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</si>
  <si>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</si>
  <si>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</si>
  <si>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</si>
  <si>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</si>
  <si>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</si>
  <si>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</si>
  <si>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</si>
  <si>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</si>
  <si>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</si>
  <si>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</si>
  <si>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</si>
  <si>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</si>
  <si>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</si>
  <si>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</si>
  <si>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</si>
  <si>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</si>
  <si>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</si>
  <si>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</si>
  <si>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</si>
  <si>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</si>
  <si>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</si>
  <si>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</si>
  <si>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</si>
  <si>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</si>
  <si>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</si>
  <si>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</si>
  <si>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</si>
  <si>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</si>
  <si>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</si>
  <si>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</si>
  <si>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</si>
  <si>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</si>
  <si>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</si>
  <si>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</si>
  <si>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</si>
  <si>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</si>
  <si>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</si>
  <si>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</si>
  <si>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</si>
  <si>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</si>
  <si>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</si>
  <si>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</si>
  <si>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</si>
  <si>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</si>
  <si>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</si>
  <si>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</si>
  <si>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</si>
  <si>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</si>
  <si>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</si>
  <si>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</si>
  <si>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</si>
  <si>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</si>
  <si>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</si>
  <si>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</si>
  <si>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</si>
  <si>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</si>
  <si>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</si>
  <si>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</si>
  <si>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</si>
  <si>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</si>
  <si>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</si>
  <si>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</si>
  <si>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</si>
  <si>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</si>
  <si>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</si>
  <si>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</si>
  <si>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</si>
  <si>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</si>
  <si>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</si>
  <si>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</si>
  <si>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</si>
  <si>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</si>
  <si>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</si>
  <si>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</si>
  <si>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</si>
  <si>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</si>
  <si>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</si>
  <si>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</si>
  <si>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</si>
  <si>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</si>
  <si>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</si>
  <si>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</si>
  <si>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</si>
  <si>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</si>
  <si>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</si>
  <si>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</si>
  <si>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</si>
  <si>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</si>
  <si>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</si>
  <si>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</si>
  <si>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</si>
  <si>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</si>
  <si>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</si>
  <si>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</si>
  <si>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</si>
  <si>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</si>
  <si>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</si>
  <si>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</si>
  <si>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</si>
  <si>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</si>
  <si>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</si>
  <si>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</si>
  <si>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</si>
  <si>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</si>
  <si>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</si>
  <si>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</si>
  <si>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</si>
  <si>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</si>
  <si>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</si>
  <si>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</si>
  <si>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</si>
  <si>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</si>
  <si>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</si>
  <si>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</si>
  <si>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</si>
  <si>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</si>
  <si>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</si>
  <si>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</si>
  <si>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</si>
  <si>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</si>
  <si>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</si>
  <si>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</si>
  <si>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</si>
  <si>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</si>
  <si>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</si>
  <si>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</si>
  <si>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</si>
  <si>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</si>
  <si>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</si>
  <si>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</si>
  <si>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</si>
  <si>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</si>
  <si>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</si>
  <si>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</si>
  <si>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</si>
  <si>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</si>
  <si>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</si>
  <si>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</si>
  <si>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</si>
  <si>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</si>
  <si>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</si>
  <si>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</si>
  <si>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</si>
  <si>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</si>
  <si>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</si>
  <si>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</si>
  <si>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</si>
  <si>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</si>
  <si>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</si>
  <si>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</si>
  <si>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</si>
  <si>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</si>
  <si>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</si>
  <si>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</si>
  <si>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</si>
  <si>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</si>
  <si>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</si>
  <si>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</si>
  <si>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</si>
  <si>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</si>
  <si>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</si>
  <si>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</si>
  <si>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</si>
  <si>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</si>
  <si>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</si>
  <si>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</si>
  <si>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</si>
  <si>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</si>
  <si>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</si>
  <si>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</si>
  <si>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</si>
  <si>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</si>
  <si>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</si>
  <si>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</si>
  <si>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</si>
  <si>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</si>
  <si>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</si>
  <si>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</si>
  <si>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</si>
  <si>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</si>
  <si>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</si>
  <si>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</si>
  <si>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</si>
  <si>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</si>
  <si>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</si>
  <si>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</si>
  <si>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</si>
  <si>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</si>
  <si>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</si>
  <si>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</si>
  <si>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</si>
  <si>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</si>
  <si>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</si>
  <si>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</si>
  <si>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</si>
  <si>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</si>
  <si>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</si>
  <si>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</si>
  <si>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</si>
  <si>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</si>
  <si>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</si>
  <si>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</si>
  <si>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</si>
  <si>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</si>
  <si>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</si>
  <si>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</si>
  <si>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</si>
  <si>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</si>
  <si>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</si>
  <si>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</si>
  <si>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</si>
  <si>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</si>
  <si>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</si>
  <si>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</si>
  <si>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</si>
  <si>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</si>
  <si>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</si>
  <si>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</si>
  <si>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</si>
  <si>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</si>
  <si>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</si>
  <si>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</si>
  <si>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</si>
  <si>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</si>
  <si>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</si>
  <si>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</si>
  <si>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</si>
  <si>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</si>
  <si>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</si>
  <si>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</si>
  <si>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</si>
  <si>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</si>
  <si>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</si>
  <si>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</si>
  <si>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</si>
  <si>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</si>
  <si>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</si>
  <si>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</si>
  <si>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</si>
  <si>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</si>
  <si>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</si>
  <si>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</si>
  <si>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</si>
  <si>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</si>
  <si>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</si>
  <si>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</si>
  <si>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</si>
  <si>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</si>
  <si>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</si>
  <si>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</si>
  <si>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</si>
  <si>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</si>
  <si>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</si>
  <si>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</si>
  <si>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</si>
  <si>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</si>
  <si>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</si>
  <si>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</si>
  <si>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</si>
  <si>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</si>
  <si>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</si>
  <si>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</si>
  <si>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</si>
  <si>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</si>
  <si>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</si>
  <si>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</si>
  <si>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</si>
  <si>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</si>
  <si>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</si>
  <si>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</si>
  <si>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</si>
  <si>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</si>
  <si>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</si>
  <si>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</si>
  <si>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</si>
  <si>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</si>
  <si>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</si>
  <si>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</si>
  <si>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</si>
  <si>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</si>
  <si>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</si>
  <si>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</si>
  <si>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</si>
  <si>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</si>
  <si>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</si>
  <si>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</si>
  <si>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</si>
  <si>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</si>
  <si>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</si>
  <si>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</si>
  <si>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</si>
  <si>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</si>
  <si>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</si>
  <si>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</si>
  <si>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</si>
  <si>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</si>
  <si>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</si>
  <si>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</si>
  <si>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</si>
  <si>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</si>
  <si>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</si>
  <si>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</si>
  <si>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</si>
  <si>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</si>
  <si>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</si>
  <si>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</si>
  <si>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</si>
  <si>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</si>
  <si>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</si>
  <si>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</si>
  <si>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</si>
  <si>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</si>
  <si>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</si>
  <si>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</si>
  <si>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</si>
  <si>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</si>
  <si>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</si>
  <si>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</si>
  <si>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</si>
  <si>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</si>
  <si>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</si>
  <si>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</si>
  <si>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</si>
  <si>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</si>
  <si>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</si>
  <si>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</si>
  <si>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</si>
  <si>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</si>
  <si>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</si>
  <si>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</si>
  <si>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</si>
  <si>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</si>
  <si>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</si>
  <si>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</si>
  <si>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</si>
  <si>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</si>
  <si>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</si>
  <si>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</si>
  <si>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</si>
  <si>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</si>
  <si>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</si>
  <si>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</si>
  <si>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</si>
  <si>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</si>
  <si>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</si>
  <si>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</si>
  <si>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</si>
  <si>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</si>
  <si>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</si>
  <si>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</si>
  <si>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</si>
  <si>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</si>
  <si>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</si>
  <si>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</si>
  <si>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</si>
  <si>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</si>
  <si>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</si>
  <si>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</si>
  <si>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</si>
  <si>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</si>
  <si>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</si>
  <si>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</si>
  <si>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</si>
  <si>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</si>
  <si>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</si>
  <si>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</si>
  <si>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</si>
  <si>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</si>
  <si>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</si>
  <si>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</si>
  <si>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</si>
  <si>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</si>
  <si>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</si>
  <si>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</si>
  <si>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</si>
  <si>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</si>
  <si>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</si>
  <si>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</si>
  <si>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</si>
  <si>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</si>
  <si>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</si>
  <si>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</si>
  <si>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</si>
  <si>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</si>
  <si>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</si>
  <si>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</si>
  <si>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</si>
  <si>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</si>
  <si>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</si>
  <si>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</si>
  <si>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</si>
  <si>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</si>
  <si>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</si>
  <si>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</si>
  <si>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</si>
  <si>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</si>
  <si>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</si>
  <si>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</si>
  <si>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</si>
  <si>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</si>
  <si>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</si>
  <si>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</si>
  <si>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</si>
  <si>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</si>
  <si>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</si>
  <si>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</si>
  <si>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</si>
  <si>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</si>
  <si>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</si>
  <si>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</si>
  <si>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</si>
  <si>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</si>
  <si>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</si>
  <si>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</si>
  <si>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</si>
  <si>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</si>
  <si>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</si>
  <si>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</si>
  <si>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</si>
  <si>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</si>
  <si>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</si>
  <si>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</si>
  <si>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</si>
  <si>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</si>
  <si>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</si>
  <si>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</si>
  <si>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</si>
  <si>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</si>
  <si>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</si>
  <si>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</si>
  <si>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</si>
  <si>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</si>
  <si>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</si>
  <si>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</si>
  <si>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</si>
  <si>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</si>
  <si>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</si>
  <si>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</si>
  <si>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</si>
  <si>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</si>
  <si>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</si>
  <si>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</si>
  <si>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</si>
  <si>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</si>
  <si>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</si>
  <si>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</si>
  <si>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</si>
  <si>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</si>
  <si>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</si>
  <si>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</si>
  <si>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</si>
  <si>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</si>
  <si>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</si>
  <si>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</si>
  <si>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</si>
  <si>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</si>
  <si>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</si>
  <si>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</si>
  <si>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</si>
  <si>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</si>
  <si>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</si>
  <si>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</si>
  <si>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</si>
  <si>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</si>
  <si>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</si>
  <si>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</si>
  <si>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</si>
  <si>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</si>
  <si>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</si>
  <si>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</si>
  <si>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</si>
  <si>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</si>
  <si>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</si>
  <si>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</si>
  <si>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</si>
  <si>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</si>
  <si>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</si>
  <si>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</si>
  <si>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</si>
  <si>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</si>
  <si>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</si>
  <si>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</si>
  <si>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</si>
  <si>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</si>
  <si>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</si>
  <si>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</si>
  <si>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</si>
  <si>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</si>
  <si>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</si>
  <si>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</si>
  <si>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</si>
  <si>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</si>
  <si>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</si>
  <si>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</si>
  <si>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</si>
  <si>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</si>
  <si>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</si>
  <si>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</si>
  <si>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</si>
  <si>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</si>
  <si>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</si>
  <si>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</si>
  <si>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</si>
  <si>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</si>
  <si>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</si>
  <si>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</si>
  <si>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</si>
  <si>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</si>
  <si>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</si>
  <si>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</si>
  <si>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</si>
  <si>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</si>
  <si>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</si>
  <si>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</si>
  <si>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</si>
  <si>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</si>
  <si>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</si>
  <si>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</si>
  <si>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</si>
  <si>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</si>
  <si>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</si>
  <si>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</si>
  <si>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</si>
  <si>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</si>
  <si>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</si>
  <si>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</si>
  <si>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</si>
  <si>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</si>
  <si>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</si>
  <si>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</si>
  <si>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</si>
  <si>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</si>
  <si>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</si>
  <si>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</si>
  <si>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</si>
  <si>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</si>
  <si>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</si>
  <si>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</si>
  <si>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</si>
  <si>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</si>
  <si>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</si>
  <si>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</si>
  <si>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</si>
  <si>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</si>
  <si>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</si>
  <si>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</si>
  <si>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</si>
  <si>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</si>
  <si>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</si>
  <si>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</si>
  <si>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</si>
  <si>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</si>
  <si>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</si>
  <si>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</si>
  <si>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</si>
  <si>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</si>
  <si>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</si>
  <si>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</si>
  <si>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</si>
  <si>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</si>
  <si>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</si>
  <si>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</si>
  <si>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</si>
  <si>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</si>
  <si>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</si>
  <si>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</si>
  <si>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</si>
  <si>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</si>
  <si>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</si>
  <si>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</si>
  <si>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</si>
  <si>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</si>
  <si>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</si>
  <si>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</si>
  <si>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</si>
  <si>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</si>
  <si>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</si>
  <si>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</si>
  <si>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</si>
  <si>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</si>
  <si>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</si>
  <si>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</si>
  <si>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</si>
  <si>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</si>
  <si>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</si>
  <si>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</si>
  <si>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</si>
  <si>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</si>
  <si>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</si>
  <si>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</si>
  <si>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</si>
  <si>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</si>
  <si>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</si>
  <si>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</si>
  <si>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</si>
  <si>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</si>
  <si>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</si>
  <si>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</si>
  <si>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</si>
  <si>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</si>
  <si>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</si>
  <si>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</si>
  <si>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</si>
  <si>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</si>
  <si>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</si>
  <si>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</si>
  <si>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</si>
  <si>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</si>
  <si>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</si>
  <si>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</si>
  <si>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</si>
  <si>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</si>
  <si>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</si>
  <si>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</si>
  <si>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</si>
  <si>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</si>
  <si>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</si>
  <si>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</si>
  <si>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</si>
  <si>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</si>
  <si>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</si>
  <si>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</si>
  <si>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</si>
  <si>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</si>
  <si>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</si>
  <si>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</si>
  <si>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</si>
  <si>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</si>
  <si>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</si>
  <si>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</si>
  <si>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</si>
  <si>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</si>
  <si>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</si>
  <si>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</si>
  <si>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</si>
  <si>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</si>
  <si>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</si>
  <si>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</si>
  <si>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</si>
  <si>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</si>
  <si>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</si>
  <si>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</si>
  <si>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</si>
  <si>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</si>
  <si>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</si>
  <si>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</si>
  <si>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</si>
  <si>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</si>
  <si>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</si>
  <si>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</si>
  <si>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</si>
  <si>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</si>
  <si>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</si>
  <si>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</si>
  <si>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</si>
  <si>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</si>
  <si>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</si>
  <si>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</si>
  <si>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</si>
  <si>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</si>
  <si>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</si>
  <si>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</si>
  <si>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</si>
  <si>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</si>
  <si>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</si>
  <si>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</si>
  <si>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</si>
  <si>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</si>
  <si>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</si>
  <si>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</si>
  <si>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</si>
  <si>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</si>
  <si>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</si>
  <si>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</si>
  <si>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</si>
  <si>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</si>
  <si>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</si>
  <si>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</si>
  <si>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</si>
  <si>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</si>
  <si>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</si>
  <si>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</si>
  <si>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</si>
  <si>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</si>
  <si>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</si>
  <si>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</si>
  <si>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</si>
  <si>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</si>
  <si>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</si>
  <si>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</si>
  <si>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</si>
  <si>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</si>
  <si>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</si>
  <si>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</si>
  <si>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</si>
  <si>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</si>
  <si>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</si>
  <si>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</si>
  <si>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</si>
  <si>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</si>
  <si>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</si>
  <si>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</si>
  <si>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</si>
  <si>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</si>
  <si>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</si>
  <si>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</si>
  <si>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</si>
  <si>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</si>
  <si>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</si>
  <si>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</si>
  <si>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</si>
  <si>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</si>
  <si>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</si>
  <si>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</si>
  <si>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</si>
  <si>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</si>
  <si>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</si>
  <si>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</si>
  <si>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</si>
  <si>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</si>
  <si>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</si>
  <si>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</si>
  <si>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</si>
  <si>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</si>
  <si>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</si>
  <si>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</si>
  <si>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</si>
  <si>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</si>
  <si>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</si>
  <si>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</si>
  <si>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</si>
  <si>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</si>
  <si>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</si>
  <si>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</si>
  <si>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</si>
  <si>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</si>
  <si>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</si>
  <si>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</si>
  <si>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</si>
  <si>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</si>
  <si>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</si>
  <si>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</si>
  <si>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</si>
  <si>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</si>
  <si>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</si>
  <si>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</si>
  <si>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</si>
  <si>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</si>
  <si>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</si>
  <si>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</si>
  <si>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</si>
  <si>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</si>
  <si>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</si>
  <si>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</si>
  <si>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</si>
  <si>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</si>
  <si>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</si>
  <si>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</si>
  <si>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</si>
  <si>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</si>
  <si>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</si>
  <si>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</si>
  <si>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</si>
  <si>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</si>
  <si>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</si>
  <si>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</si>
  <si>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</si>
  <si>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</si>
  <si>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</si>
  <si>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</si>
  <si>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</si>
  <si>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</si>
  <si>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</si>
  <si>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</si>
  <si>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</si>
  <si>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</si>
  <si>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</si>
  <si>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</si>
  <si>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</si>
  <si>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</si>
  <si>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</si>
  <si>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</si>
  <si>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</si>
  <si>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</si>
  <si>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</si>
  <si>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</si>
  <si>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</si>
  <si>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</si>
  <si>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</si>
  <si>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</si>
  <si>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</si>
  <si>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</si>
  <si>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</si>
  <si>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</si>
  <si>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</si>
  <si>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</si>
  <si>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</si>
  <si>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</si>
  <si>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</si>
  <si>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</si>
  <si>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</si>
  <si>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</si>
  <si>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</si>
  <si>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</si>
  <si>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</si>
  <si>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</si>
  <si>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</si>
  <si>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</si>
  <si>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</si>
  <si>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</si>
  <si>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</si>
  <si>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</si>
  <si>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</si>
  <si>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</si>
  <si>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</si>
  <si>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</si>
  <si>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</si>
  <si>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</si>
  <si>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</si>
  <si>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</si>
  <si>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</si>
  <si>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</si>
  <si>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</si>
  <si>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</si>
  <si>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</si>
  <si>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</si>
  <si>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</si>
  <si>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</si>
  <si>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</si>
  <si>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</si>
  <si>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</si>
  <si>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</si>
  <si>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</si>
  <si>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</si>
  <si>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</si>
  <si>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</si>
  <si>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</si>
  <si>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</si>
  <si>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</si>
  <si>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</si>
  <si>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</si>
  <si>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</si>
  <si>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</si>
  <si>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</si>
  <si>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</si>
  <si>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</si>
  <si>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</si>
  <si>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</si>
  <si>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</si>
  <si>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</si>
  <si>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</si>
  <si>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</si>
  <si>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</si>
  <si>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</si>
  <si>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</si>
  <si>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</si>
  <si>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</si>
  <si>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</si>
  <si>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</si>
  <si>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</si>
  <si>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</si>
  <si>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</si>
  <si>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</si>
  <si>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</si>
  <si>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</si>
  <si>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</si>
  <si>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</si>
  <si>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</si>
  <si>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</si>
  <si>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</si>
  <si>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</si>
  <si>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</si>
  <si>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</si>
  <si>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</si>
  <si>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</si>
  <si>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</si>
  <si>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</si>
  <si>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</si>
  <si>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</si>
  <si>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</si>
  <si>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</si>
  <si>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</si>
  <si>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</si>
  <si>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</si>
  <si>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</si>
  <si>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</si>
  <si>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</si>
  <si>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</si>
  <si>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</si>
  <si>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</si>
  <si>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</si>
  <si>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</si>
  <si>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</si>
  <si>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</si>
  <si>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</si>
  <si>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</si>
  <si>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</si>
  <si>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</si>
  <si>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</si>
  <si>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</si>
  <si>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</si>
  <si>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</si>
  <si>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</si>
  <si>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</si>
  <si>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</si>
  <si>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</si>
  <si>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</si>
  <si>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</si>
  <si>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</si>
  <si>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</si>
  <si>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</si>
  <si>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</si>
  <si>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</si>
  <si>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</si>
  <si>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</si>
  <si>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</si>
  <si>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</si>
  <si>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</si>
  <si>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</si>
  <si>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</si>
  <si>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</si>
  <si>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</si>
  <si>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</si>
  <si>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</si>
  <si>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</si>
  <si>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</si>
  <si>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</si>
  <si>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</si>
  <si>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</si>
  <si>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</si>
  <si>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</si>
  <si>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</si>
  <si>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</si>
  <si>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</si>
  <si>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</si>
  <si>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</si>
  <si>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</si>
  <si>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</si>
  <si>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</si>
  <si>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</si>
  <si>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</si>
  <si>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</si>
  <si>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</si>
  <si>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</si>
  <si>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</si>
  <si>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</si>
  <si>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</si>
  <si>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</si>
  <si>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</si>
  <si>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</si>
  <si>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</si>
  <si>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</si>
  <si>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</si>
  <si>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</si>
  <si>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</si>
  <si>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</si>
  <si>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</si>
  <si>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</si>
  <si>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</si>
  <si>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</si>
  <si>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</si>
  <si>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</si>
  <si>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</si>
  <si>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</si>
  <si>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</si>
  <si>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</si>
  <si>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</si>
  <si>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</si>
  <si>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</si>
  <si>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</si>
  <si>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</si>
  <si>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</si>
  <si>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</si>
  <si>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</si>
  <si>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</si>
  <si>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</si>
  <si>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</si>
  <si>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</si>
  <si>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</si>
  <si>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</si>
  <si>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</si>
  <si>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</si>
  <si>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</si>
  <si>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</si>
  <si>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</si>
  <si>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</si>
  <si>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</si>
  <si>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</si>
  <si>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</si>
  <si>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</si>
  <si>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</si>
  <si>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</si>
  <si>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</si>
  <si>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</si>
  <si>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</si>
  <si>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</si>
  <si>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</si>
  <si>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</si>
  <si>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</si>
  <si>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</si>
  <si>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</si>
  <si>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</si>
  <si>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</si>
  <si>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</si>
  <si>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</si>
  <si>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</si>
  <si>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</si>
  <si>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</si>
  <si>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</si>
  <si>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</si>
  <si>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</si>
  <si>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</si>
  <si>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</si>
  <si>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</si>
  <si>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</si>
  <si>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</si>
  <si>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</si>
  <si>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</si>
  <si>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</si>
  <si>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</si>
  <si>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</si>
  <si>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</si>
  <si>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</si>
  <si>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</si>
  <si>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</si>
  <si>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</si>
  <si>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</si>
  <si>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</si>
  <si>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</si>
  <si>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</si>
  <si>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</si>
  <si>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</si>
  <si>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</si>
  <si>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</si>
  <si>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</si>
  <si>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</si>
  <si>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</si>
  <si>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</si>
  <si>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</si>
  <si>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</si>
  <si>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</si>
  <si>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</si>
  <si>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</si>
  <si>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</si>
  <si>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</si>
  <si>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</si>
  <si>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</si>
  <si>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</si>
  <si>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</si>
  <si>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</si>
  <si>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</si>
  <si>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</si>
  <si>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</si>
  <si>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</si>
  <si>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</si>
  <si>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</si>
  <si>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</si>
  <si>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</si>
  <si>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</si>
  <si>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</si>
  <si>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</si>
  <si>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</si>
  <si>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</si>
  <si>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</si>
  <si>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</si>
  <si>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</si>
  <si>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</si>
  <si>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</si>
  <si>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</si>
  <si>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</si>
  <si>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</si>
  <si>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</si>
  <si>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</si>
  <si>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</si>
  <si>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</si>
  <si>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</si>
  <si>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</si>
  <si>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</si>
  <si>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</si>
  <si>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</si>
  <si>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</si>
  <si>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</si>
  <si>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</si>
  <si>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</si>
  <si>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</si>
  <si>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</si>
  <si>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</si>
  <si>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</si>
  <si>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</si>
  <si>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</si>
  <si>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</si>
  <si>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</si>
  <si>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</si>
  <si>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</si>
  <si>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</si>
  <si>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</si>
  <si>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</si>
  <si>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</si>
  <si>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</si>
  <si>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</si>
  <si>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</si>
  <si>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</si>
  <si>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</si>
  <si>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</si>
  <si>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</si>
  <si>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</si>
  <si>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</si>
  <si>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</si>
  <si>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</si>
  <si>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</si>
  <si>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</si>
  <si>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</si>
  <si>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</si>
  <si>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</si>
  <si>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</si>
  <si>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</si>
  <si>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</si>
  <si>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</si>
  <si>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</si>
  <si>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</si>
  <si>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</si>
  <si>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</si>
  <si>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</si>
  <si>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</si>
  <si>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</si>
  <si>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</si>
  <si>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</si>
  <si>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</si>
  <si>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</si>
  <si>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</si>
  <si>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</si>
  <si>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</si>
  <si>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</si>
  <si>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</si>
  <si>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</si>
  <si>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</si>
  <si>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</si>
  <si>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</si>
  <si>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</si>
  <si>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</si>
  <si>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</si>
  <si>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</si>
  <si>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</si>
  <si>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</si>
  <si>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</si>
  <si>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</si>
  <si>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</si>
  <si>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</si>
  <si>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</si>
  <si>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</si>
  <si>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</si>
  <si>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</si>
  <si>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</si>
  <si>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</si>
  <si>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</si>
  <si>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</si>
  <si>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</si>
  <si>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</si>
  <si>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</si>
  <si>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</si>
  <si>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</si>
  <si>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</si>
  <si>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</si>
  <si>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</si>
  <si>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</si>
  <si>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</si>
  <si>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</si>
  <si>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</si>
  <si>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</si>
  <si>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</si>
  <si>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</si>
  <si>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</si>
  <si>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</si>
  <si>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</si>
  <si>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</si>
  <si>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</si>
  <si>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</si>
  <si>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</si>
  <si>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</si>
  <si>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</si>
  <si>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</si>
  <si>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</si>
  <si>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</si>
  <si>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</si>
  <si>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</si>
  <si>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</si>
  <si>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</si>
  <si>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</si>
  <si>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</si>
  <si>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</si>
  <si>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</si>
  <si>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</si>
  <si>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</si>
  <si>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</si>
  <si>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</si>
  <si>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</si>
  <si>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</si>
  <si>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</si>
  <si>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</si>
  <si>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</si>
  <si>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</si>
  <si>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</si>
  <si>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</si>
  <si>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</si>
  <si>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</si>
  <si>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</si>
  <si>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</si>
  <si>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</si>
  <si>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</si>
  <si>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</si>
  <si>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</si>
  <si>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</si>
  <si>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</si>
  <si>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</si>
  <si>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</si>
  <si>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</si>
  <si>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</si>
  <si>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</si>
  <si>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</si>
  <si>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</si>
  <si>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</si>
  <si>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</si>
  <si>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</si>
  <si>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</si>
  <si>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</si>
  <si>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</si>
  <si>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</si>
  <si>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</si>
  <si>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</si>
  <si>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</si>
  <si>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</si>
  <si>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</si>
  <si>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</si>
  <si>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</si>
  <si>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</si>
  <si>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</si>
  <si>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</si>
  <si>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</si>
  <si>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</si>
  <si>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</si>
  <si>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</si>
  <si>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</si>
  <si>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</si>
  <si>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</si>
  <si>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</si>
  <si>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</si>
  <si>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</si>
  <si>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</si>
  <si>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</si>
  <si>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</si>
  <si>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</si>
  <si>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</si>
  <si>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</si>
  <si>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</si>
  <si>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</si>
  <si>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</si>
  <si>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</si>
  <si>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</si>
  <si>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</si>
  <si>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</si>
  <si>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</si>
  <si>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</si>
  <si>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</si>
  <si>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</si>
  <si>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</si>
  <si>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</si>
  <si>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</si>
  <si>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</si>
  <si>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</si>
  <si>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</si>
  <si>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</si>
  <si>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</si>
  <si>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</si>
  <si>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</si>
  <si>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</si>
  <si>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</si>
  <si>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</si>
  <si>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</si>
  <si>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</si>
  <si>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</si>
  <si>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</si>
  <si>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</si>
  <si>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</si>
  <si>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</si>
  <si>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</si>
  <si>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</si>
  <si>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</si>
  <si>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</si>
  <si>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</si>
  <si>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</si>
  <si>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</si>
  <si>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</si>
  <si>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</si>
  <si>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</si>
  <si>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</si>
  <si>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</si>
  <si>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</si>
  <si>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</si>
  <si>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</si>
  <si>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</si>
  <si>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</si>
  <si>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</si>
  <si>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</si>
  <si>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</si>
  <si>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</si>
  <si>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</si>
  <si>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</si>
  <si>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</si>
  <si>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</si>
  <si>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</si>
  <si>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</si>
  <si>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</si>
  <si>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</si>
  <si>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</si>
  <si>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</si>
  <si>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</si>
  <si>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</si>
  <si>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</si>
  <si>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</si>
  <si>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</si>
  <si>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</si>
  <si>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</si>
  <si>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</si>
  <si>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</si>
  <si>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</si>
  <si>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</si>
  <si>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</si>
  <si>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</si>
  <si>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</si>
  <si>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</si>
  <si>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</si>
  <si>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</si>
  <si>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</si>
  <si>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</si>
  <si>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</si>
  <si>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</si>
  <si>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</si>
  <si>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</si>
  <si>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</si>
  <si>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</si>
  <si>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</si>
  <si>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</si>
  <si>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</si>
  <si>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</si>
  <si>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</si>
  <si>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</si>
  <si>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</si>
  <si>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</si>
  <si>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</si>
  <si>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</si>
  <si>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</si>
  <si>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</si>
  <si>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</si>
  <si>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</si>
  <si>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</si>
  <si>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</si>
  <si>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</si>
  <si>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</si>
  <si>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</si>
  <si>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</si>
  <si>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</si>
  <si>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</si>
  <si>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</si>
  <si>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</si>
  <si>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</si>
  <si>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</si>
  <si>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</si>
  <si>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</si>
  <si>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</si>
  <si>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</si>
  <si>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</si>
  <si>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</si>
  <si>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</si>
  <si>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</si>
  <si>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</si>
  <si>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</si>
  <si>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</si>
  <si>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</si>
  <si>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</si>
  <si>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</si>
  <si>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</si>
  <si>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</si>
  <si>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</si>
  <si>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</si>
  <si>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</si>
  <si>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</si>
  <si>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</si>
  <si>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</si>
  <si>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</si>
  <si>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</si>
  <si>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</si>
  <si>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</si>
  <si>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</si>
  <si>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</si>
  <si>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</si>
  <si>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</si>
  <si>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</si>
  <si>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</si>
  <si>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</si>
  <si>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</si>
  <si>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</si>
  <si>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</si>
  <si>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</si>
  <si>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</si>
  <si>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</si>
  <si>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</si>
  <si>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</si>
  <si>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</si>
  <si>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</si>
  <si>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</si>
  <si>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</si>
  <si>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</si>
  <si>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</si>
  <si>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</si>
  <si>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</si>
  <si>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</si>
  <si>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</si>
  <si>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</si>
  <si>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</si>
  <si>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</si>
  <si>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</si>
  <si>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</si>
  <si>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</si>
  <si>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</si>
  <si>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</si>
  <si>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</si>
  <si>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</si>
  <si>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</si>
  <si>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</si>
  <si>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</si>
  <si>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</si>
  <si>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</si>
  <si>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</si>
  <si>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</si>
  <si>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</si>
  <si>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</si>
  <si>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</si>
  <si>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</si>
  <si>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</si>
  <si>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</si>
  <si>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</si>
  <si>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</si>
  <si>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</si>
  <si>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</si>
  <si>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</si>
  <si>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</si>
  <si>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</si>
  <si>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</si>
  <si>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</si>
  <si>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</si>
  <si>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</si>
  <si>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</si>
  <si>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</si>
  <si>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</si>
  <si>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</si>
  <si>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</si>
  <si>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</si>
  <si>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</si>
  <si>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</si>
  <si>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</si>
  <si>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</si>
  <si>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</si>
  <si>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</si>
  <si>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</si>
  <si>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</si>
  <si>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</si>
  <si>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</si>
  <si>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</si>
  <si>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</si>
  <si>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</si>
  <si>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</si>
  <si>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</si>
  <si>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</si>
  <si>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</si>
  <si>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</si>
  <si>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</si>
  <si>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</si>
  <si>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</si>
  <si>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</si>
  <si>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</si>
  <si>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</si>
  <si>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</si>
  <si>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</si>
  <si>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</si>
  <si>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</si>
  <si>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</si>
  <si>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</si>
  <si>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</si>
  <si>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</si>
  <si>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</si>
  <si>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</si>
  <si>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</si>
  <si>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</si>
  <si>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</si>
  <si>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</si>
  <si>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</si>
  <si>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</si>
  <si>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</si>
  <si>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</si>
  <si>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</si>
  <si>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</si>
  <si>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</si>
  <si>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</si>
  <si>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</si>
  <si>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</si>
  <si>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</si>
  <si>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</si>
  <si>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</si>
  <si>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</si>
  <si>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</si>
  <si>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</si>
  <si>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</si>
  <si>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</si>
  <si>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</si>
  <si>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</si>
  <si>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</si>
  <si>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</si>
  <si>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</si>
  <si>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</si>
  <si>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</si>
  <si>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</si>
  <si>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</si>
  <si>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</si>
  <si>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</si>
  <si>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</si>
  <si>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</si>
  <si>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</si>
  <si>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</si>
  <si>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</si>
  <si>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</si>
  <si>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</si>
  <si>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</si>
  <si>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</si>
  <si>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</si>
  <si>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</si>
  <si>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</si>
  <si>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</si>
  <si>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</si>
  <si>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</si>
  <si>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</si>
  <si>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</si>
  <si>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</si>
  <si>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</si>
  <si>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</si>
  <si>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</si>
  <si>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</si>
  <si>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</si>
  <si>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</si>
  <si>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</si>
  <si>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</si>
  <si>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</si>
  <si>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</si>
  <si>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</si>
  <si>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</si>
  <si>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</si>
  <si>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</si>
  <si>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</si>
  <si>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</si>
  <si>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</si>
  <si>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</si>
  <si>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</si>
  <si>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</si>
  <si>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</si>
  <si>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</si>
  <si>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</si>
  <si>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</si>
  <si>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</si>
  <si>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</si>
  <si>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</si>
  <si>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</si>
  <si>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</si>
  <si>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</si>
  <si>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</si>
  <si>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</si>
  <si>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</si>
  <si>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</si>
  <si>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</si>
  <si>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</si>
  <si>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</si>
  <si>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</si>
  <si>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</si>
  <si>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</si>
  <si>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</si>
  <si>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</si>
  <si>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</si>
  <si>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</si>
  <si>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</si>
  <si>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</si>
  <si>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</si>
  <si>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</si>
  <si>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</si>
  <si>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</si>
  <si>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</si>
  <si>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</si>
  <si>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</si>
  <si>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</si>
  <si>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</si>
  <si>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</si>
  <si>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</si>
  <si>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</si>
  <si>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</si>
  <si>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</si>
  <si>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</si>
  <si>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</si>
  <si>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</si>
  <si>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</si>
  <si>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</si>
  <si>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</si>
  <si>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</si>
  <si>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</si>
  <si>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</si>
  <si>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</si>
  <si>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</si>
  <si>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</si>
  <si>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</si>
  <si>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</si>
  <si>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</si>
  <si>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</si>
  <si>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</si>
  <si>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</si>
  <si>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</si>
  <si>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</si>
  <si>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</si>
  <si>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</si>
  <si>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</si>
  <si>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</si>
  <si>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</si>
  <si>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</si>
  <si>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</si>
  <si>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</si>
  <si>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</si>
  <si>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</si>
  <si>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</si>
  <si>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</si>
  <si>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</si>
  <si>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</si>
  <si>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</si>
  <si>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</si>
  <si>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</si>
  <si>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</si>
  <si>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</si>
  <si>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</si>
  <si>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</si>
  <si>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</si>
  <si>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</si>
  <si>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</si>
  <si>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</si>
  <si>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</si>
  <si>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</si>
  <si>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</si>
  <si>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</si>
  <si>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</si>
  <si>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</si>
  <si>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</si>
  <si>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</si>
  <si>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</si>
  <si>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</si>
  <si>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</si>
  <si>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</si>
  <si>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</si>
  <si>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</si>
  <si>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</si>
  <si>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</si>
  <si>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</si>
  <si>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</si>
  <si>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</si>
  <si>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</si>
  <si>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</si>
  <si>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</si>
  <si>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</si>
  <si>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</si>
  <si>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</si>
  <si>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</si>
  <si>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</si>
  <si>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</si>
  <si>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</si>
  <si>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</si>
  <si>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</si>
  <si>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</si>
  <si>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</si>
  <si>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</si>
  <si>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</si>
  <si>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</si>
  <si>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</si>
  <si>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</si>
  <si>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</si>
  <si>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</si>
  <si>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</si>
  <si>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</si>
  <si>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</si>
  <si>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</si>
  <si>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</si>
  <si>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</si>
  <si>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</si>
  <si>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</si>
  <si>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</si>
  <si>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</si>
  <si>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</si>
  <si>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</si>
  <si>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</si>
  <si>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</si>
  <si>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</si>
  <si>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</si>
  <si>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</si>
  <si>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</si>
  <si>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</si>
  <si>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</si>
  <si>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</si>
  <si>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</si>
  <si>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</si>
  <si>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</si>
  <si>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</si>
  <si>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</si>
  <si>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</si>
  <si>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</si>
  <si>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</si>
  <si>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</si>
  <si>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</si>
  <si>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</si>
  <si>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</si>
  <si>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</si>
  <si>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</si>
  <si>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</si>
  <si>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</si>
  <si>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</si>
  <si>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</si>
  <si>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</si>
  <si>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</si>
  <si>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</si>
  <si>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</si>
  <si>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</si>
  <si>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</si>
  <si>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</si>
  <si>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</si>
  <si>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</si>
  <si>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</si>
  <si>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</si>
  <si>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</si>
  <si>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</si>
  <si>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</si>
  <si>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</si>
  <si>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</si>
  <si>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</si>
  <si>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</si>
  <si>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</si>
  <si>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</si>
  <si>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</si>
  <si>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</si>
  <si>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</si>
  <si>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</si>
  <si>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</si>
  <si>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</si>
  <si>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</si>
  <si>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</si>
  <si>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</si>
  <si>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</si>
  <si>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</si>
  <si>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</si>
  <si>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</si>
  <si>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</si>
  <si>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</si>
  <si>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</si>
  <si>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</si>
  <si>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</si>
  <si>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</si>
  <si>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</si>
  <si>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</si>
  <si>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</si>
  <si>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</si>
  <si>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</si>
  <si>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</si>
  <si>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</si>
  <si>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</si>
  <si>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</si>
  <si>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</si>
  <si>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</si>
  <si>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</si>
  <si>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</si>
  <si>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</si>
  <si>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</si>
  <si>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</si>
  <si>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</si>
  <si>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</si>
  <si>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</si>
  <si>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</si>
  <si>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</si>
  <si>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</si>
  <si>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</si>
  <si>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</si>
  <si>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</si>
  <si>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</si>
  <si>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</si>
  <si>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</si>
  <si>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</si>
  <si>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</si>
  <si>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</si>
  <si>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</si>
  <si>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</si>
  <si>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</si>
  <si>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</si>
  <si>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</si>
  <si>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</si>
  <si>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</si>
  <si>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</si>
  <si>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</si>
  <si>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</si>
  <si>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</si>
  <si>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</si>
  <si>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</si>
  <si>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</si>
  <si>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</si>
  <si>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</si>
  <si>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</si>
  <si>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</si>
  <si>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</si>
  <si>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</si>
  <si>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</si>
  <si>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</si>
  <si>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</si>
  <si>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</si>
  <si>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</si>
  <si>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</si>
  <si>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</si>
  <si>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</si>
  <si>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</si>
  <si>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</si>
  <si>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</si>
  <si>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</si>
  <si>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</si>
  <si>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</si>
  <si>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</si>
  <si>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</si>
  <si>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</si>
  <si>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</si>
  <si>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</si>
  <si>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</si>
  <si>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</si>
  <si>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</si>
  <si>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</si>
  <si>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</si>
  <si>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</si>
  <si>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</si>
  <si>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</si>
  <si>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</si>
  <si>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</si>
  <si>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</si>
  <si>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</si>
  <si>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</si>
  <si>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</si>
  <si>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</si>
  <si>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</si>
  <si>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</si>
  <si>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</si>
  <si>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</si>
  <si>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</si>
  <si>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</si>
  <si>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</si>
  <si>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</si>
  <si>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</si>
  <si>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</si>
  <si>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</si>
  <si>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</si>
  <si>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</si>
  <si>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</si>
  <si>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</si>
  <si>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</si>
  <si>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</si>
  <si>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</si>
  <si>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</si>
  <si>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</si>
  <si>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</si>
  <si>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</si>
  <si>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</si>
  <si>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</si>
  <si>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</si>
  <si>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</si>
  <si>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</si>
  <si>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</si>
  <si>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</si>
  <si>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</si>
  <si>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</si>
  <si>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</si>
  <si>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</si>
  <si>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</si>
  <si>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</si>
  <si>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</si>
  <si>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</si>
  <si>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</si>
  <si>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</si>
  <si>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</si>
  <si>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</si>
  <si>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</si>
  <si>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</si>
  <si>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</si>
  <si>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</si>
  <si>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</si>
  <si>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</si>
  <si>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</si>
  <si>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</si>
  <si>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</si>
  <si>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</si>
  <si>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</si>
  <si>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</si>
  <si>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</si>
  <si>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</si>
  <si>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</si>
  <si>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</si>
  <si>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</si>
  <si>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</si>
  <si>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</si>
  <si>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</si>
  <si>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</si>
  <si>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</si>
  <si>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</si>
  <si>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</si>
  <si>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</si>
  <si>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</si>
  <si>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</si>
  <si>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</si>
  <si>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</si>
  <si>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</si>
  <si>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</si>
  <si>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</si>
  <si>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</si>
  <si>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</si>
  <si>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</si>
  <si>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</si>
  <si>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</si>
  <si>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</si>
  <si>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</si>
  <si>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</si>
  <si>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</si>
  <si>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</si>
  <si>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</si>
  <si>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</si>
  <si>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</si>
  <si>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</si>
  <si>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</si>
  <si>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</si>
  <si>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</si>
  <si>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</si>
  <si>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</si>
  <si>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</si>
  <si>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</si>
  <si>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</si>
  <si>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</si>
  <si>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</si>
  <si>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</si>
  <si>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</si>
  <si>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</si>
  <si>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</si>
  <si>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</si>
  <si>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</si>
  <si>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</si>
  <si>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</si>
  <si>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</si>
  <si>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</si>
  <si>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</si>
  <si>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</si>
  <si>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</si>
  <si>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</si>
  <si>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</si>
  <si>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</si>
  <si>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</si>
  <si>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</si>
  <si>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</si>
  <si>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</si>
  <si>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</si>
  <si>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</si>
  <si>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</si>
  <si>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</si>
  <si>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</si>
  <si>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</si>
  <si>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</si>
  <si>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</si>
  <si>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</si>
  <si>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</si>
  <si>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</si>
  <si>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</si>
  <si>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</si>
  <si>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</si>
  <si>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</si>
  <si>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</si>
  <si>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</si>
  <si>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</si>
  <si>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</si>
  <si>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</si>
  <si>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</si>
  <si>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</si>
  <si>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</si>
  <si>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</si>
  <si>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</si>
  <si>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</si>
  <si>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</si>
  <si>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</si>
  <si>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</si>
  <si>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</si>
  <si>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</si>
  <si>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</si>
  <si>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</si>
  <si>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</si>
  <si>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</si>
  <si>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</si>
  <si>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</si>
  <si>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</si>
  <si>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</si>
  <si>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</si>
  <si>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</si>
  <si>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</si>
  <si>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</si>
  <si>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</si>
  <si>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</si>
  <si>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</si>
  <si>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</si>
  <si>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</si>
  <si>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</si>
  <si>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</si>
  <si>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</si>
  <si>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</si>
  <si>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</si>
  <si>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</si>
  <si>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</si>
  <si>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</si>
  <si>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</si>
  <si>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</si>
  <si>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</si>
  <si>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</si>
  <si>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</si>
  <si>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</si>
  <si>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</si>
  <si>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</si>
  <si>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</si>
  <si>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</si>
  <si>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</si>
  <si>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</si>
  <si>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</si>
  <si>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</si>
  <si>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</si>
  <si>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</si>
  <si>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</si>
  <si>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</si>
  <si>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</si>
  <si>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</si>
  <si>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</si>
  <si>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</si>
  <si>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</si>
  <si>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</si>
  <si>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</si>
  <si>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</si>
  <si>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</si>
  <si>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</si>
  <si>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</si>
  <si>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</si>
  <si>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</si>
  <si>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</si>
  <si>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</si>
  <si>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</si>
  <si>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</si>
  <si>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</si>
  <si>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</si>
  <si>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</si>
  <si>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</si>
  <si>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</si>
  <si>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</si>
  <si>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</si>
  <si>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</si>
  <si>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</si>
  <si>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</si>
  <si>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</si>
  <si>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</si>
  <si>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</si>
  <si>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</si>
  <si>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</si>
  <si>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</si>
  <si>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</si>
  <si>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</si>
  <si>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</si>
  <si>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</si>
  <si>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</si>
  <si>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</si>
  <si>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</si>
  <si>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</si>
  <si>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</si>
  <si>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</si>
  <si>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</si>
  <si>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</si>
  <si>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</si>
  <si>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</si>
  <si>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</si>
  <si>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</si>
  <si>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</si>
  <si>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</si>
  <si>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</si>
  <si>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</si>
  <si>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</si>
  <si>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</si>
  <si>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</si>
  <si>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</si>
  <si>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</si>
  <si>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</si>
  <si>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</si>
  <si>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</si>
  <si>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</si>
  <si>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</si>
  <si>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</si>
  <si>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</si>
  <si>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</si>
  <si>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</si>
  <si>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</si>
  <si>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</si>
  <si>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</si>
  <si>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</si>
  <si>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</si>
  <si>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</si>
  <si>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</si>
  <si>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</si>
  <si>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</si>
  <si>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</si>
  <si>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</si>
  <si>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</si>
  <si>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</si>
  <si>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</si>
  <si>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</si>
  <si>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</si>
  <si>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</si>
  <si>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</si>
  <si>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</si>
  <si>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</si>
  <si>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</si>
  <si>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</si>
  <si>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</si>
  <si>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</si>
  <si>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</si>
  <si>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</si>
  <si>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</si>
  <si>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</si>
  <si>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</si>
  <si>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</si>
  <si>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</si>
  <si>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</si>
  <si>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</si>
  <si>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</si>
  <si>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</si>
  <si>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</si>
  <si>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</si>
  <si>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</si>
  <si>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</si>
  <si>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</si>
  <si>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</si>
  <si>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</si>
  <si>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</si>
  <si>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</si>
  <si>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</si>
  <si>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</si>
  <si>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</si>
  <si>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</si>
  <si>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</si>
  <si>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</si>
  <si>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</si>
  <si>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</si>
  <si>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</si>
  <si>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</si>
  <si>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</si>
  <si>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</si>
  <si>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</si>
  <si>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</si>
  <si>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</si>
  <si>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</si>
  <si>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</si>
  <si>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</si>
  <si>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</si>
  <si>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</si>
  <si>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</si>
  <si>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</si>
  <si>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</si>
  <si>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</si>
  <si>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</si>
  <si>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</si>
  <si>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</si>
  <si>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</si>
  <si>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</si>
  <si>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</si>
  <si>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</si>
  <si>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</si>
  <si>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</si>
  <si>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</si>
  <si>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</si>
  <si>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</si>
  <si>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</si>
  <si>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</si>
  <si>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</si>
  <si>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</si>
  <si>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</si>
  <si>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</si>
  <si>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</si>
  <si>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</si>
  <si>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</si>
  <si>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</si>
  <si>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</si>
  <si>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</si>
  <si>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</si>
  <si>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</si>
  <si>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</si>
  <si>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</si>
  <si>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</si>
  <si>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</si>
  <si>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</si>
  <si>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</si>
  <si>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</si>
  <si>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</si>
  <si>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</si>
  <si>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</si>
  <si>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</si>
  <si>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</si>
  <si>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</si>
  <si>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</si>
  <si>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</si>
  <si>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</si>
  <si>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</si>
  <si>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</si>
  <si>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</si>
  <si>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</si>
  <si>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</si>
  <si>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</si>
  <si>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</si>
  <si>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</si>
  <si>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</si>
  <si>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</si>
  <si>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</si>
  <si>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</si>
  <si>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</si>
  <si>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</si>
  <si>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</si>
  <si>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</si>
  <si>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</si>
  <si>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</si>
  <si>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</si>
  <si>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</si>
  <si>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</si>
  <si>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</si>
  <si>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</si>
  <si>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</si>
  <si>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</si>
  <si>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</si>
  <si>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</si>
  <si>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</si>
  <si>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</si>
  <si>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</si>
  <si>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</si>
  <si>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</si>
  <si>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</si>
  <si>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</si>
  <si>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</si>
  <si>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</si>
  <si>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</si>
  <si>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</si>
  <si>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</si>
  <si>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</si>
  <si>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</si>
  <si>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</si>
  <si>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</si>
  <si>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</si>
  <si>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</si>
  <si>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</si>
  <si>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</si>
  <si>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</si>
  <si>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</si>
  <si>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</si>
  <si>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</si>
  <si>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</si>
  <si>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</si>
  <si>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</si>
  <si>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</si>
  <si>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</si>
  <si>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</si>
  <si>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</si>
  <si>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</si>
  <si>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</si>
  <si>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</si>
  <si>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</si>
  <si>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</si>
  <si>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</si>
  <si>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</si>
  <si>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</si>
  <si>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</si>
  <si>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</si>
  <si>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</si>
  <si>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</si>
  <si>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</si>
  <si>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</si>
  <si>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</si>
  <si>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</si>
  <si>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</si>
  <si>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</si>
  <si>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</si>
  <si>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</si>
  <si>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</si>
  <si>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</si>
  <si>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</si>
  <si>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</si>
  <si>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</si>
  <si>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</si>
  <si>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</si>
  <si>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</si>
  <si>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</si>
  <si>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</si>
  <si>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</si>
  <si>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</si>
  <si>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</si>
  <si>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</si>
  <si>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</si>
  <si>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</si>
  <si>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</si>
  <si>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</si>
  <si>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</si>
  <si>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</si>
  <si>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</si>
  <si>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</si>
  <si>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</si>
  <si>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</si>
  <si>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</si>
  <si>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</si>
  <si>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</si>
  <si>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</si>
  <si>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</si>
  <si>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</si>
  <si>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</si>
  <si>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</si>
  <si>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</si>
  <si>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</si>
  <si>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</si>
  <si>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</si>
  <si>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</si>
  <si>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</si>
  <si>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</si>
  <si>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</si>
  <si>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</si>
  <si>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</si>
  <si>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</si>
  <si>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</si>
  <si>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</si>
  <si>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</si>
  <si>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</si>
  <si>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</si>
  <si>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</si>
  <si>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</si>
  <si>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</si>
  <si>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</si>
  <si>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</si>
  <si>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</si>
  <si>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</si>
  <si>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</si>
  <si>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</si>
  <si>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</si>
  <si>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</si>
  <si>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</si>
  <si>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</si>
  <si>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</si>
  <si>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</si>
  <si>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</si>
  <si>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</si>
  <si>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</si>
  <si>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</si>
  <si>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</si>
  <si>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</si>
  <si>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</si>
  <si>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</si>
  <si>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</si>
  <si>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</si>
  <si>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</si>
  <si>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</si>
  <si>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</si>
  <si>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</si>
  <si>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</si>
  <si>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</si>
  <si>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</si>
  <si>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</si>
  <si>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</si>
  <si>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</si>
  <si>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</si>
  <si>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</si>
  <si>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</si>
  <si>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</si>
  <si>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</si>
  <si>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</si>
  <si>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</si>
  <si>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</si>
  <si>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</si>
  <si>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</si>
  <si>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</si>
  <si>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</si>
  <si>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</si>
  <si>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</si>
  <si>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</si>
  <si>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</si>
  <si>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</si>
  <si>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</si>
  <si>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</si>
  <si>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</si>
  <si>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</si>
  <si>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</si>
  <si>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</si>
  <si>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</si>
  <si>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</si>
  <si>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</si>
  <si>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</si>
  <si>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</si>
  <si>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</si>
  <si>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</si>
  <si>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</si>
  <si>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</si>
  <si>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</si>
  <si>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</si>
  <si>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</si>
  <si>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</si>
  <si>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</si>
  <si>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</si>
  <si>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</si>
  <si>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</si>
  <si>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</si>
  <si>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</si>
  <si>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</si>
  <si>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</si>
  <si>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</si>
  <si>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</si>
  <si>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</si>
  <si>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</si>
  <si>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</si>
  <si>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</si>
  <si>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</si>
  <si>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</si>
  <si>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</si>
  <si>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</si>
  <si>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</si>
  <si>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</si>
  <si>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</si>
  <si>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</si>
  <si>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</si>
  <si>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</si>
  <si>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</si>
  <si>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</si>
  <si>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</si>
  <si>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</si>
  <si>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</si>
  <si>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</si>
  <si>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</si>
  <si>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</si>
  <si>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</si>
  <si>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</si>
  <si>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</si>
  <si>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</si>
  <si>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</si>
  <si>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</si>
  <si>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</si>
  <si>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</si>
  <si>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</si>
  <si>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</si>
  <si>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</si>
  <si>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</si>
  <si>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</si>
  <si>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</si>
  <si>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</si>
  <si>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</si>
  <si>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</si>
  <si>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</si>
  <si>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</si>
  <si>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</si>
  <si>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</si>
  <si>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</si>
  <si>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</si>
  <si>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</si>
  <si>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</si>
  <si>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</si>
  <si>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</si>
  <si>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</si>
  <si>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</si>
  <si>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</si>
  <si>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</si>
  <si>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</si>
  <si>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</si>
  <si>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</si>
  <si>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</si>
  <si>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</si>
  <si>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</si>
  <si>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</si>
  <si>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</si>
  <si>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</si>
  <si>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</si>
  <si>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</si>
  <si>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</si>
  <si>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</si>
  <si>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</si>
  <si>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</si>
  <si>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</si>
  <si>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</si>
  <si>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</si>
  <si>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</si>
  <si>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</si>
  <si>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</si>
  <si>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</si>
  <si>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</si>
  <si>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</si>
  <si>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</si>
  <si>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</si>
  <si>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</si>
  <si>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</si>
  <si>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</si>
  <si>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</si>
  <si>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</si>
  <si>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</si>
  <si>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</si>
  <si>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</si>
  <si>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</si>
  <si>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</si>
  <si>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</si>
  <si>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</si>
  <si>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</si>
  <si>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</si>
  <si>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</si>
  <si>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</si>
  <si>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</si>
  <si>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</si>
  <si>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</si>
  <si>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</si>
  <si>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</si>
  <si>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</si>
  <si>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</si>
  <si>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</si>
  <si>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</si>
  <si>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</si>
  <si>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</si>
  <si>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</si>
  <si>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</si>
  <si>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</si>
  <si>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</si>
  <si>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</si>
  <si>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</si>
  <si>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</si>
  <si>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</si>
  <si>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</si>
  <si>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</si>
  <si>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</si>
  <si>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</si>
  <si>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</si>
  <si>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</si>
  <si>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</si>
  <si>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</si>
  <si>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</si>
  <si>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</si>
  <si>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</si>
  <si>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</si>
  <si>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</si>
  <si>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</si>
  <si>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</si>
  <si>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</si>
  <si>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</si>
  <si>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</si>
  <si>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</si>
  <si>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</si>
  <si>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</si>
  <si>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</si>
  <si>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</si>
  <si>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</si>
  <si>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</si>
  <si>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</si>
  <si>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</si>
  <si>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</si>
  <si>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</si>
  <si>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</si>
  <si>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</si>
  <si>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</si>
  <si>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</si>
  <si>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</si>
  <si>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</si>
  <si>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</si>
  <si>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</si>
  <si>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</si>
  <si>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</si>
  <si>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</si>
  <si>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</si>
  <si>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</si>
  <si>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</si>
  <si>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</si>
  <si>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</si>
  <si>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</si>
  <si>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</si>
  <si>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</si>
  <si>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</si>
  <si>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</si>
  <si>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</si>
  <si>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</si>
  <si>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</si>
  <si>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</si>
  <si>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</si>
  <si>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</si>
  <si>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</si>
  <si>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</si>
  <si>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</si>
  <si>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</si>
  <si>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</si>
  <si>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</si>
  <si>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</si>
  <si>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</si>
  <si>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</si>
  <si>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</si>
  <si>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</si>
  <si>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</si>
  <si>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</si>
  <si>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</si>
  <si>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</si>
  <si>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</si>
  <si>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</si>
  <si>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</si>
  <si>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</si>
  <si>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</si>
  <si>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</si>
  <si>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</si>
  <si>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</si>
  <si>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</si>
  <si>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</si>
  <si>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</si>
  <si>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</si>
  <si>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</si>
  <si>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</si>
  <si>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</si>
  <si>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</si>
  <si>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</si>
  <si>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</si>
  <si>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</si>
  <si>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</si>
  <si>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</si>
  <si>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</si>
  <si>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</si>
  <si>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</si>
  <si>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</si>
  <si>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</si>
  <si>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</si>
  <si>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</si>
  <si>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</si>
  <si>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</si>
  <si>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</si>
  <si>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</si>
  <si>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</si>
  <si>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</si>
  <si>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</si>
  <si>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</si>
  <si>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</si>
  <si>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</si>
  <si>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</si>
  <si>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</si>
  <si>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</si>
  <si>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</si>
  <si>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</si>
  <si>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</si>
  <si>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</si>
  <si>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</si>
  <si>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</si>
  <si>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</si>
  <si>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</si>
  <si>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</si>
  <si>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</si>
  <si>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</si>
  <si>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</si>
  <si>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</si>
  <si>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</si>
  <si>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</si>
  <si>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</si>
  <si>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</si>
  <si>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</si>
  <si>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</si>
  <si>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</si>
  <si>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</si>
  <si>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</si>
  <si>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</si>
  <si>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</si>
  <si>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</si>
  <si>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</si>
  <si>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</si>
  <si>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</si>
  <si>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</si>
  <si>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</si>
  <si>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</si>
  <si>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</si>
  <si>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</si>
  <si>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</si>
  <si>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</si>
  <si>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</si>
  <si>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</si>
  <si>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</si>
  <si>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</si>
  <si>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</si>
  <si>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</si>
  <si>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</si>
  <si>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</si>
  <si>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</si>
  <si>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</si>
  <si>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</si>
  <si>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</si>
  <si>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</si>
  <si>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</si>
  <si>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</si>
  <si>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</si>
  <si>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</si>
  <si>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</si>
  <si>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</si>
  <si>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</si>
  <si>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</si>
  <si>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</si>
  <si>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</si>
  <si>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</si>
  <si>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</si>
  <si>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</si>
  <si>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</si>
  <si>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</si>
  <si>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</si>
  <si>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</si>
  <si>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</si>
  <si>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</si>
  <si>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</si>
  <si>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</si>
  <si>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</si>
  <si>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</si>
  <si>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</si>
  <si>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</si>
  <si>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</si>
  <si>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</si>
  <si>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</si>
  <si>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</si>
  <si>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</si>
  <si>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</si>
  <si>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</si>
  <si>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</si>
  <si>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</si>
  <si>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</si>
  <si>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</si>
  <si>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</si>
  <si>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</si>
  <si>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</si>
  <si>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</si>
  <si>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</si>
  <si>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</si>
  <si>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</si>
  <si>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</si>
  <si>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</si>
  <si>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</si>
  <si>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</si>
  <si>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</si>
  <si>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</si>
  <si>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</si>
  <si>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</si>
  <si>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</si>
  <si>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</si>
  <si>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</si>
  <si>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</si>
  <si>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</si>
  <si>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</si>
  <si>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</si>
  <si>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</si>
  <si>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</si>
  <si>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</si>
  <si>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</si>
  <si>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</si>
  <si>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</si>
  <si>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</si>
  <si>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</si>
  <si>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</si>
  <si>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</si>
  <si>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</si>
  <si>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</si>
  <si>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</si>
  <si>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</si>
  <si>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</si>
  <si>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</si>
  <si>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</si>
  <si>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</si>
  <si>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</si>
  <si>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</si>
  <si>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</si>
  <si>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</si>
  <si>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</si>
  <si>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</si>
  <si>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</si>
  <si>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</si>
  <si>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</si>
  <si>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</si>
  <si>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</si>
  <si>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</si>
  <si>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</si>
  <si>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</si>
  <si>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</si>
  <si>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</si>
  <si>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</si>
  <si>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</si>
  <si>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</si>
  <si>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</si>
  <si>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</si>
  <si>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</si>
  <si>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</si>
  <si>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</si>
  <si>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</si>
  <si>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</si>
  <si>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</si>
  <si>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</si>
  <si>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</si>
  <si>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</si>
  <si>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</si>
  <si>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</si>
  <si>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</si>
  <si>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</si>
  <si>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</si>
  <si>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</si>
  <si>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</si>
  <si>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</si>
  <si>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</si>
  <si>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</si>
  <si>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</si>
  <si>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</si>
  <si>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</si>
  <si>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</si>
  <si>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</si>
  <si>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</si>
  <si>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</si>
  <si>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</si>
  <si>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</si>
  <si>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</si>
  <si>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</si>
  <si>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</si>
  <si>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</si>
  <si>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</si>
  <si>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</si>
  <si>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</si>
  <si>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</si>
  <si>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</si>
  <si>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</si>
  <si>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</si>
  <si>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</si>
  <si>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</si>
  <si>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</si>
  <si>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</si>
  <si>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</si>
  <si>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</si>
  <si>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</si>
  <si>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</si>
  <si>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</si>
  <si>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</si>
  <si>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</si>
  <si>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</si>
  <si>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</si>
  <si>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</si>
  <si>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</si>
  <si>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</si>
  <si>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</si>
  <si>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</si>
  <si>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</si>
  <si>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</si>
  <si>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</si>
  <si>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</si>
  <si>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</si>
  <si>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</si>
  <si>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</si>
  <si>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</si>
  <si>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</si>
  <si>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</si>
  <si>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</si>
  <si>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</si>
  <si>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</si>
  <si>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</si>
  <si>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</si>
  <si>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</si>
  <si>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</si>
  <si>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</si>
  <si>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</si>
  <si>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</si>
  <si>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</si>
  <si>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</si>
  <si>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</si>
  <si>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</si>
  <si>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</si>
  <si>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</si>
  <si>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</si>
  <si>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</si>
  <si>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</si>
  <si>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</si>
  <si>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</si>
  <si>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</si>
  <si>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</si>
  <si>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</si>
  <si>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</si>
  <si>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</si>
  <si>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</si>
  <si>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</si>
  <si>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</si>
  <si>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</si>
  <si>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</si>
  <si>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</si>
  <si>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</si>
  <si>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</si>
  <si>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</si>
  <si>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</si>
  <si>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</si>
  <si>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</si>
  <si>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</si>
  <si>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</si>
  <si>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</si>
  <si>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</si>
  <si>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</si>
  <si>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</si>
  <si>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</si>
  <si>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</si>
  <si>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</si>
  <si>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</si>
  <si>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</si>
  <si>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</si>
  <si>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</si>
  <si>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</si>
  <si>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</si>
  <si>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</si>
  <si>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</si>
  <si>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</si>
  <si>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</si>
  <si>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</si>
  <si>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</si>
  <si>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</si>
  <si>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</si>
  <si>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</si>
  <si>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</si>
  <si>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</si>
  <si>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</si>
  <si>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</si>
  <si>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</si>
  <si>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</si>
  <si>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</si>
  <si>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</si>
  <si>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</si>
  <si>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</si>
  <si>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</si>
  <si>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</si>
  <si>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</si>
  <si>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</si>
  <si>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</si>
  <si>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</si>
  <si>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</si>
  <si>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</si>
  <si>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</si>
  <si>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</si>
  <si>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</si>
  <si>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</si>
  <si>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</si>
  <si>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</si>
  <si>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</si>
  <si>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</si>
  <si>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</si>
  <si>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</si>
  <si>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</si>
  <si>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</si>
  <si>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</si>
  <si>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</si>
  <si>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</si>
  <si>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</si>
  <si>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</si>
  <si>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</si>
  <si>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</si>
  <si>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</si>
  <si>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</si>
  <si>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</si>
  <si>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</si>
  <si>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</si>
  <si>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</si>
  <si>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</si>
  <si>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</si>
  <si>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</si>
  <si>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</si>
  <si>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</si>
  <si>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</si>
  <si>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</si>
  <si>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</si>
  <si>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</si>
  <si>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</si>
  <si>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</si>
  <si>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</si>
  <si>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</si>
  <si>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</si>
  <si>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</si>
  <si>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</si>
  <si>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</si>
  <si>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</si>
  <si>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</si>
  <si>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</si>
  <si>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</si>
  <si>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</si>
  <si>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</si>
  <si>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</si>
  <si>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</si>
  <si>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</si>
  <si>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</si>
  <si>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</si>
  <si>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</si>
  <si>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</si>
  <si>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</si>
  <si>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</si>
  <si>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</si>
  <si>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</si>
  <si>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</si>
  <si>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</si>
  <si>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</si>
  <si>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</si>
  <si>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</si>
  <si>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</si>
  <si>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</si>
  <si>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</si>
  <si>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</si>
  <si>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</si>
  <si>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</si>
  <si>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</si>
  <si>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</si>
  <si>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</si>
  <si>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</si>
  <si>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</si>
  <si>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</si>
  <si>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</si>
  <si>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</si>
  <si>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</si>
  <si>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</si>
  <si>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</si>
  <si>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</si>
  <si>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</si>
  <si>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</si>
  <si>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</si>
  <si>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</si>
  <si>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</si>
  <si>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</si>
  <si>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</si>
  <si>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</si>
  <si>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</si>
  <si>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</si>
  <si>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</si>
  <si>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</si>
  <si>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</si>
  <si>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</si>
  <si>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</si>
  <si>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</si>
  <si>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</si>
  <si>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</si>
  <si>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</si>
  <si>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</si>
  <si>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</si>
  <si>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</si>
  <si>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</si>
  <si>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</si>
  <si>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</si>
  <si>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</si>
  <si>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</si>
  <si>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</si>
  <si>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</si>
  <si>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</si>
  <si>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</si>
  <si>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</si>
  <si>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</si>
  <si>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</si>
  <si>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</si>
  <si>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</si>
  <si>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</si>
  <si>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</si>
  <si>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</si>
  <si>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</si>
  <si>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</si>
  <si>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</si>
  <si>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</si>
  <si>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</si>
  <si>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</si>
  <si>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</si>
  <si>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</si>
  <si>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</si>
  <si>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</si>
  <si>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</si>
  <si>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</si>
  <si>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</si>
  <si>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</si>
  <si>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</si>
  <si>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</si>
  <si>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</si>
  <si>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</si>
  <si>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</si>
  <si>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</si>
  <si>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</si>
  <si>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</si>
  <si>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</si>
  <si>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</si>
  <si>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</si>
  <si>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</si>
  <si>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</si>
  <si>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</si>
  <si>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</si>
  <si>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</si>
  <si>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</si>
  <si>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</si>
  <si>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</si>
  <si>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</si>
  <si>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</si>
  <si>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</si>
  <si>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</si>
  <si>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</si>
  <si>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</si>
  <si>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</si>
  <si>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</si>
  <si>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</si>
  <si>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</si>
  <si>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</si>
  <si>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</si>
  <si>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</si>
  <si>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</si>
  <si>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</si>
  <si>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</si>
  <si>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</si>
  <si>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</si>
  <si>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</si>
  <si>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</si>
  <si>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</si>
  <si>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</si>
  <si>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</si>
  <si>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</si>
  <si>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</si>
  <si>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</si>
  <si>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</si>
  <si>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</si>
  <si>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</si>
  <si>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</si>
  <si>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</si>
  <si>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</si>
  <si>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</si>
  <si>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</si>
  <si>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</si>
  <si>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</si>
  <si>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</si>
  <si>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</si>
  <si>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</si>
  <si>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</si>
  <si>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</si>
  <si>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</si>
  <si>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</si>
  <si>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</si>
  <si>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</si>
  <si>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</si>
  <si>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</si>
  <si>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</si>
  <si>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</si>
  <si>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</si>
  <si>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</si>
  <si>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</si>
  <si>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</si>
  <si>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</si>
  <si>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</si>
  <si>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</si>
  <si>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</si>
  <si>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</si>
  <si>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</si>
  <si>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</si>
  <si>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</si>
  <si>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</si>
  <si>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</si>
  <si>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</si>
  <si>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</si>
  <si>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</si>
  <si>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</si>
  <si>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</si>
  <si>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</si>
  <si>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</si>
  <si>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</si>
  <si>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</si>
  <si>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</si>
  <si>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</si>
  <si>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</si>
  <si>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</si>
  <si>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</si>
  <si>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</si>
  <si>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</si>
  <si>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</si>
  <si>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</si>
  <si>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</si>
  <si>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</si>
  <si>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</si>
  <si>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</si>
  <si>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</si>
  <si>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</si>
  <si>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</si>
  <si>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</si>
  <si>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</si>
  <si>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</si>
  <si>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</si>
  <si>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</si>
  <si>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</si>
  <si>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</si>
  <si>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</si>
  <si>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</si>
  <si>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</si>
  <si>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</si>
  <si>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</si>
  <si>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</si>
  <si>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</si>
  <si>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</si>
  <si>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</si>
  <si>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</si>
  <si>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</si>
  <si>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</si>
  <si>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</si>
  <si>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</si>
  <si>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</si>
  <si>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</si>
  <si>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</si>
  <si>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</si>
  <si>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</si>
  <si>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</si>
  <si>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</si>
  <si>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</si>
  <si>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</si>
  <si>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</si>
  <si>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</si>
  <si>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</si>
  <si>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</si>
  <si>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</si>
  <si>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</si>
  <si>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</si>
  <si>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</si>
  <si>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</si>
  <si>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</si>
  <si>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</si>
  <si>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</si>
  <si>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</si>
  <si>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</si>
  <si>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</si>
  <si>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</si>
  <si>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</si>
  <si>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</si>
  <si>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</si>
  <si>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</si>
  <si>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</si>
  <si>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</si>
  <si>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</si>
  <si>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</si>
  <si>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</si>
  <si>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</si>
  <si>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</si>
  <si>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</si>
  <si>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</si>
  <si>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</si>
  <si>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</si>
  <si>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</si>
  <si>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</si>
  <si>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</si>
  <si>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</si>
  <si>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</si>
  <si>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</si>
  <si>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</si>
  <si>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</si>
  <si>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</si>
  <si>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</si>
  <si>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</si>
  <si>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</si>
  <si>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</si>
  <si>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</si>
  <si>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</si>
  <si>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</si>
  <si>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</si>
  <si>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</si>
  <si>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</si>
  <si>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</si>
  <si>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</si>
  <si>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</si>
  <si>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</si>
  <si>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</si>
  <si>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</si>
  <si>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</si>
  <si>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</si>
  <si>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</si>
  <si>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</si>
  <si>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</si>
  <si>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</si>
  <si>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</si>
  <si>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</si>
  <si>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</si>
  <si>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</si>
  <si>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</si>
  <si>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</si>
  <si>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</si>
  <si>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</si>
  <si>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</si>
  <si>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</si>
  <si>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</si>
  <si>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</si>
  <si>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</si>
  <si>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</si>
  <si>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</si>
  <si>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</si>
  <si>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</si>
  <si>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</si>
  <si>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</si>
  <si>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</si>
  <si>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</si>
  <si>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</si>
  <si>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</si>
  <si>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</si>
  <si>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</si>
  <si>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</si>
  <si>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</si>
  <si>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</si>
  <si>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</si>
  <si>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</si>
  <si>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</si>
  <si>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</si>
  <si>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</si>
  <si>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</si>
  <si>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</si>
  <si>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</si>
  <si>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</si>
  <si>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</si>
  <si>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</si>
  <si>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</si>
  <si>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</si>
  <si>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</si>
  <si>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</si>
  <si>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</si>
  <si>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</si>
  <si>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</si>
  <si>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</si>
  <si>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</si>
  <si>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</si>
  <si>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</si>
  <si>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</si>
  <si>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</si>
  <si>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</si>
  <si>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</si>
  <si>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</si>
  <si>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</si>
  <si>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</si>
  <si>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</si>
  <si>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</si>
  <si>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</si>
  <si>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</si>
  <si>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</si>
  <si>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</si>
  <si>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</si>
  <si>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</si>
  <si>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</si>
  <si>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</si>
  <si>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</si>
  <si>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</si>
  <si>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</si>
  <si>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</si>
  <si>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</si>
  <si>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</si>
  <si>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</si>
  <si>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</si>
  <si>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</si>
  <si>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</si>
  <si>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</si>
  <si>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</si>
  <si>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</si>
  <si>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</si>
  <si>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</si>
  <si>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</si>
  <si>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</si>
  <si>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</si>
  <si>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</si>
  <si>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</si>
  <si>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</si>
  <si>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</si>
  <si>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</si>
  <si>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</si>
  <si>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</si>
  <si>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</si>
  <si>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</si>
  <si>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</si>
  <si>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</si>
  <si>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</si>
  <si>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</si>
  <si>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</si>
  <si>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</si>
  <si>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</si>
  <si>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</si>
  <si>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</si>
  <si>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</si>
  <si>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</si>
  <si>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</si>
  <si>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</si>
  <si>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</si>
  <si>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</si>
  <si>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</si>
  <si>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</si>
  <si>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</si>
  <si>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</si>
  <si>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</si>
  <si>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</si>
  <si>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</si>
  <si>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</si>
  <si>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</si>
  <si>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</si>
  <si>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</si>
  <si>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</si>
  <si>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</si>
  <si>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</si>
  <si>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</si>
  <si>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</si>
  <si>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</si>
  <si>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</si>
  <si>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</si>
  <si>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</si>
  <si>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</si>
  <si>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</si>
  <si>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</si>
  <si>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</si>
  <si>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</si>
  <si>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</si>
  <si>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</si>
  <si>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</si>
  <si>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</si>
  <si>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</si>
  <si>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</si>
  <si>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</si>
  <si>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</si>
  <si>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</si>
  <si>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</si>
  <si>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</si>
  <si>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</si>
  <si>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</si>
  <si>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</si>
  <si>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</si>
  <si>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</si>
  <si>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</si>
  <si>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</si>
  <si>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</si>
  <si>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</si>
  <si>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</si>
  <si>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</si>
  <si>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</si>
  <si>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</si>
  <si>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</si>
  <si>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</si>
  <si>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</si>
  <si>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</si>
  <si>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</si>
  <si>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</si>
  <si>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</si>
  <si>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</si>
  <si>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</si>
  <si>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</si>
  <si>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</si>
  <si>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</si>
  <si>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</si>
  <si>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</si>
  <si>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</si>
  <si>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</si>
  <si>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</si>
  <si>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</si>
  <si>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</si>
  <si>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</si>
  <si>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</si>
  <si>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</si>
  <si>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</si>
  <si>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</si>
  <si>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</si>
  <si>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</si>
  <si>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</si>
  <si>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</si>
  <si>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</si>
  <si>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</si>
  <si>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</si>
  <si>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</si>
  <si>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</si>
  <si>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</si>
  <si>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</si>
  <si>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</si>
  <si>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</si>
  <si>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</si>
  <si>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</si>
  <si>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</si>
  <si>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</si>
  <si>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</si>
  <si>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</si>
  <si>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</si>
  <si>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</si>
  <si>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</si>
  <si>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</si>
  <si>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</si>
  <si>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</si>
  <si>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</si>
  <si>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</si>
  <si>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</si>
  <si>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</si>
  <si>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</si>
  <si>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</si>
  <si>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</si>
  <si>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</si>
  <si>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</si>
  <si>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</si>
  <si>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</si>
  <si>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</si>
  <si>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</si>
  <si>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</si>
  <si>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</si>
  <si>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</si>
  <si>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</si>
  <si>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</si>
  <si>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</si>
  <si>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</si>
  <si>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</si>
  <si>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</si>
  <si>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</si>
  <si>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</si>
  <si>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</si>
  <si>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</si>
  <si>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</si>
  <si>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</si>
  <si>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</si>
  <si>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</si>
  <si>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</si>
  <si>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</si>
  <si>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</si>
  <si>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</si>
  <si>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</si>
  <si>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</si>
  <si>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</si>
  <si>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</si>
  <si>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</si>
  <si>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</si>
  <si>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</si>
  <si>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</si>
  <si>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</si>
  <si>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</si>
  <si>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</si>
  <si>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</si>
  <si>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</si>
  <si>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</si>
  <si>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</si>
  <si>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</si>
  <si>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</si>
  <si>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</si>
  <si>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</si>
  <si>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</si>
  <si>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</si>
  <si>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</si>
  <si>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</si>
  <si>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</si>
  <si>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</si>
  <si>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</si>
  <si>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</si>
  <si>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</si>
  <si>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</si>
  <si>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</si>
  <si>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</si>
  <si>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</si>
  <si>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</si>
  <si>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</si>
  <si>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</si>
  <si>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</si>
  <si>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</si>
  <si>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</si>
  <si>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</si>
  <si>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</si>
  <si>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</si>
  <si>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</si>
  <si>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</si>
  <si>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</si>
  <si>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</si>
  <si>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</si>
  <si>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</si>
  <si>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</si>
  <si>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</si>
  <si>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</si>
  <si>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</si>
  <si>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</si>
  <si>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</si>
  <si>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</si>
  <si>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</si>
  <si>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</si>
  <si>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</si>
  <si>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</si>
  <si>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</si>
  <si>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</si>
  <si>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</si>
  <si>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</si>
  <si>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</si>
  <si>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</si>
  <si>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</si>
  <si>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</si>
  <si>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</si>
  <si>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</si>
  <si>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</si>
  <si>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</si>
  <si>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</si>
  <si>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</si>
  <si>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</si>
  <si>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</si>
  <si>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</si>
  <si>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</si>
  <si>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</si>
  <si>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</si>
  <si>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</si>
  <si>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</si>
  <si>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</si>
  <si>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</si>
  <si>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</si>
  <si>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</si>
  <si>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</si>
  <si>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</si>
  <si>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</si>
  <si>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</si>
  <si>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</si>
  <si>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</si>
  <si>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</si>
  <si>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</si>
  <si>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</si>
  <si>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</si>
  <si>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</si>
  <si>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</si>
  <si>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</si>
  <si>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</si>
  <si>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</si>
  <si>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</si>
  <si>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</si>
  <si>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</si>
  <si>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</si>
  <si>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</si>
  <si>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</si>
  <si>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</si>
  <si>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</si>
  <si>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</si>
  <si>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</si>
  <si>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</si>
  <si>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</si>
  <si>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</si>
  <si>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</si>
  <si>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</si>
  <si>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</si>
  <si>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</si>
  <si>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</si>
  <si>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</si>
  <si>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</si>
  <si>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</si>
  <si>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</si>
  <si>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</si>
  <si>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</si>
  <si>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</si>
  <si>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</si>
  <si>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</si>
  <si>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</si>
  <si>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</si>
  <si>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</si>
  <si>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</si>
  <si>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</si>
  <si>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</si>
  <si>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</si>
  <si>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</si>
  <si>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</si>
  <si>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</si>
  <si>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</si>
  <si>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</si>
  <si>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</si>
  <si>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</si>
  <si>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</si>
  <si>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</si>
  <si>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</si>
  <si>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</si>
  <si>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</si>
  <si>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</si>
  <si>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</si>
  <si>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</si>
  <si>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</si>
  <si>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</si>
  <si>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</si>
  <si>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</si>
  <si>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</si>
  <si>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</si>
  <si>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</si>
  <si>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</si>
  <si>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</si>
  <si>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</si>
  <si>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</si>
  <si>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</si>
  <si>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</si>
  <si>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</si>
  <si>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</si>
  <si>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</si>
  <si>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</si>
  <si>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</si>
  <si>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</si>
  <si>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</si>
  <si>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</si>
  <si>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</si>
  <si>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</si>
  <si>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</si>
  <si>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</si>
  <si>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</si>
  <si>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</si>
  <si>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</si>
  <si>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</si>
  <si>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</si>
  <si>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</si>
  <si>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</si>
  <si>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</si>
  <si>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</si>
  <si>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</si>
  <si>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</si>
  <si>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</si>
  <si>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</si>
  <si>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</si>
  <si>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</si>
  <si>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</si>
  <si>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</si>
  <si>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</si>
  <si>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</si>
  <si>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</si>
  <si>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</si>
  <si>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</si>
  <si>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</si>
  <si>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</si>
  <si>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</si>
  <si>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</si>
  <si>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</si>
  <si>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</si>
  <si>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</si>
  <si>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</si>
  <si>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</si>
  <si>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</si>
  <si>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</si>
  <si>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</si>
  <si>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</si>
  <si>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</si>
  <si>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</si>
  <si>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</si>
  <si>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</si>
  <si>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</si>
  <si>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</si>
  <si>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</si>
  <si>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</si>
  <si>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</si>
  <si>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</si>
  <si>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</si>
  <si>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</si>
  <si>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</si>
  <si>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</si>
  <si>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</si>
  <si>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</si>
  <si>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</si>
  <si>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</si>
  <si>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</si>
  <si>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</si>
  <si>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</si>
  <si>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</si>
  <si>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</si>
  <si>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</si>
  <si>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</si>
  <si>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</si>
  <si>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</si>
  <si>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</si>
  <si>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</si>
  <si>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</si>
  <si>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</si>
  <si>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</si>
  <si>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</si>
  <si>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</si>
  <si>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</si>
  <si>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</si>
  <si>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</si>
  <si>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</si>
  <si>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</si>
  <si>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</si>
  <si>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</si>
  <si>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</si>
  <si>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</si>
  <si>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</si>
  <si>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</si>
  <si>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</si>
  <si>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</si>
  <si>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</si>
  <si>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</si>
  <si>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</si>
  <si>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</si>
  <si>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</si>
  <si>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</si>
  <si>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</si>
  <si>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</si>
  <si>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</si>
  <si>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</si>
  <si>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</si>
  <si>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</si>
  <si>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</si>
  <si>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</si>
  <si>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</si>
  <si>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</si>
  <si>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</si>
  <si>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</si>
  <si>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</si>
  <si>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</si>
  <si>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</si>
  <si>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</si>
  <si>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</si>
  <si>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</si>
  <si>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</si>
  <si>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</si>
  <si>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</si>
  <si>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</si>
  <si>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</si>
  <si>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</si>
  <si>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</si>
  <si>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</si>
  <si>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</si>
  <si>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</si>
  <si>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</si>
  <si>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</si>
  <si>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</si>
  <si>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</si>
  <si>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</si>
  <si>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</si>
  <si>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</si>
  <si>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</si>
  <si>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</si>
  <si>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</si>
  <si>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</si>
  <si>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</si>
  <si>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</si>
  <si>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</si>
  <si>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</si>
  <si>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</si>
  <si>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</si>
  <si>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</si>
  <si>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</si>
  <si>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</si>
  <si>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</si>
  <si>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</si>
  <si>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</si>
  <si>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</si>
  <si>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</si>
  <si>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</si>
  <si>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</si>
  <si>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</si>
  <si>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</si>
  <si>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</si>
  <si>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</si>
  <si>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</si>
  <si>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</si>
  <si>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</si>
  <si>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</si>
  <si>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</si>
  <si>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</si>
  <si>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</si>
  <si>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</si>
  <si>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</si>
  <si>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</si>
  <si>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</si>
  <si>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</si>
  <si>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</si>
  <si>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</si>
  <si>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</si>
  <si>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</si>
  <si>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</si>
  <si>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</si>
  <si>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</si>
  <si>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</si>
  <si>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</si>
  <si>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</si>
  <si>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</si>
  <si>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</si>
  <si>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</si>
  <si>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</si>
  <si>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</si>
  <si>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</si>
  <si>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</si>
  <si>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</si>
  <si>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</si>
  <si>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</si>
  <si>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</si>
  <si>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</si>
  <si>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</si>
  <si>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</si>
  <si>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</si>
  <si>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</si>
  <si>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</si>
  <si>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</si>
  <si>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</si>
  <si>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</si>
  <si>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</si>
  <si>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</si>
  <si>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</si>
  <si>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</si>
  <si>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</si>
  <si>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</si>
  <si>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</si>
  <si>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</si>
  <si>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</si>
  <si>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</si>
  <si>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</si>
  <si>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</si>
  <si>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</si>
  <si>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</si>
  <si>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</si>
  <si>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</si>
  <si>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</si>
  <si>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</si>
  <si>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</si>
  <si>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</si>
  <si>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</si>
  <si>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</si>
  <si>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</si>
  <si>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</si>
  <si>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</si>
  <si>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</si>
  <si>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</si>
  <si>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</si>
  <si>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</si>
  <si>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</si>
  <si>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</si>
  <si>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</si>
  <si>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</si>
  <si>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</si>
  <si>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</si>
  <si>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</si>
  <si>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</si>
  <si>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</si>
  <si>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</si>
  <si>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</si>
  <si>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</si>
  <si>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</si>
  <si>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</si>
  <si>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</si>
  <si>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</si>
  <si>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</si>
  <si>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</si>
  <si>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</si>
  <si>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</si>
  <si>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</si>
  <si>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</si>
  <si>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</si>
  <si>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</si>
  <si>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</si>
  <si>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</si>
  <si>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</si>
  <si>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</si>
  <si>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</si>
  <si>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</si>
  <si>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</si>
  <si>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</si>
  <si>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</si>
  <si>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</si>
  <si>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</si>
  <si>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</si>
  <si>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</si>
  <si>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</si>
  <si>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</si>
  <si>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</si>
  <si>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</si>
  <si>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</si>
  <si>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</si>
  <si>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</si>
  <si>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</si>
  <si>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</si>
  <si>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</si>
  <si>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</si>
  <si>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</si>
  <si>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</si>
  <si>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</si>
  <si>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</si>
  <si>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</si>
  <si>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</si>
  <si>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</si>
  <si>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</si>
  <si>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</si>
  <si>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</si>
  <si>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</si>
  <si>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</si>
  <si>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</si>
  <si>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</si>
  <si>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</si>
  <si>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</si>
  <si>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</si>
  <si>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</si>
  <si>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</si>
  <si>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</si>
  <si>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</si>
  <si>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</si>
  <si>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</si>
  <si>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</si>
  <si>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</si>
  <si>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</si>
  <si>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</si>
  <si>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</si>
  <si>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</si>
  <si>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</si>
  <si>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</si>
  <si>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</si>
  <si>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</si>
  <si>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</si>
  <si>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</si>
  <si>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</si>
  <si>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</si>
  <si>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</si>
  <si>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</si>
  <si>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</si>
  <si>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</si>
  <si>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</si>
  <si>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</si>
  <si>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</si>
  <si>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</si>
  <si>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</si>
  <si>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</si>
  <si>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</si>
  <si>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</si>
  <si>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</si>
  <si>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</si>
  <si>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</si>
  <si>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</si>
  <si>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</si>
  <si>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</si>
  <si>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</si>
  <si>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</si>
  <si>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</si>
  <si>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</si>
  <si>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</si>
  <si>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</si>
  <si>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</si>
  <si>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</si>
  <si>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</si>
  <si>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</si>
  <si>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</si>
  <si>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</si>
  <si>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</si>
  <si>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</si>
  <si>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</si>
  <si>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</si>
  <si>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</si>
  <si>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</si>
  <si>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</si>
  <si>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</si>
  <si>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</si>
  <si>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</si>
  <si>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</si>
  <si>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</si>
  <si>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</si>
  <si>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</si>
  <si>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</si>
  <si>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</si>
  <si>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</si>
  <si>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</si>
  <si>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</si>
  <si>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</si>
  <si>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</si>
  <si>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</si>
  <si>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</si>
  <si>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</si>
  <si>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</si>
  <si>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</si>
  <si>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</si>
  <si>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</si>
  <si>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</si>
  <si>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</si>
  <si>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</si>
  <si>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</si>
  <si>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</si>
  <si>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</si>
  <si>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</si>
  <si>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</si>
  <si>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</si>
  <si>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</si>
  <si>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</si>
  <si>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</si>
  <si>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</si>
  <si>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</si>
  <si>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</si>
  <si>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</si>
  <si>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</si>
  <si>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</si>
  <si>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</si>
  <si>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</si>
  <si>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</si>
  <si>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</si>
  <si>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</si>
  <si>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</si>
  <si>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</si>
  <si>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</si>
  <si>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</si>
  <si>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</si>
  <si>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</si>
  <si>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</si>
  <si>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</si>
  <si>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</si>
  <si>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</si>
  <si>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</si>
  <si>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</si>
  <si>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</si>
  <si>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</si>
  <si>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</si>
  <si>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</si>
  <si>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</si>
  <si>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</si>
  <si>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</si>
  <si>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</si>
  <si>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</si>
  <si>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</si>
  <si>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</si>
  <si>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</si>
  <si>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</si>
  <si>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</si>
  <si>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</si>
  <si>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</si>
  <si>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</si>
  <si>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</si>
  <si>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</si>
  <si>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</si>
  <si>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</si>
  <si>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</si>
  <si>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</si>
  <si>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</si>
  <si>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</si>
  <si>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</si>
  <si>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</si>
  <si>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</si>
  <si>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</si>
  <si>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</si>
  <si>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</si>
  <si>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</si>
  <si>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</si>
  <si>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</si>
  <si>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</si>
  <si>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</si>
  <si>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</si>
  <si>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</si>
  <si>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</si>
  <si>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</si>
  <si>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</si>
  <si>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</si>
  <si>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</si>
  <si>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</si>
  <si>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</si>
  <si>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</si>
  <si>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</si>
  <si>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</si>
  <si>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</si>
  <si>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</si>
  <si>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</si>
  <si>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</si>
  <si>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</si>
  <si>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</si>
  <si>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</si>
  <si>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</si>
  <si>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</si>
  <si>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</si>
  <si>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</si>
  <si>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</si>
  <si>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</si>
  <si>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</si>
  <si>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</si>
  <si>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</si>
  <si>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</si>
  <si>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</si>
  <si>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</si>
  <si>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</si>
  <si>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</si>
  <si>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</si>
  <si>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</si>
  <si>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</si>
  <si>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</si>
  <si>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</si>
  <si>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</si>
  <si>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</si>
  <si>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</si>
  <si>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</si>
  <si>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</si>
  <si>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</si>
  <si>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</si>
  <si>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</si>
  <si>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</si>
  <si>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</si>
  <si>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</si>
  <si>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</si>
  <si>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</si>
  <si>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</si>
  <si>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</si>
  <si>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</si>
  <si>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</si>
  <si>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</si>
  <si>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</si>
  <si>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</si>
  <si>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</si>
  <si>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</si>
  <si>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</si>
  <si>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</si>
  <si>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</si>
  <si>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</si>
  <si>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</si>
  <si>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</si>
  <si>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</si>
  <si>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</si>
  <si>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</si>
  <si>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</si>
  <si>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</si>
  <si>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</si>
  <si>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</si>
  <si>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</si>
  <si>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</si>
  <si>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</si>
  <si>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</si>
  <si>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</si>
  <si>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</si>
  <si>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</si>
  <si>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</si>
  <si>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</si>
  <si>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</si>
  <si>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</si>
  <si>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</si>
  <si>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</si>
  <si>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</si>
  <si>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</si>
  <si>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</si>
  <si>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</si>
  <si>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</si>
  <si>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</si>
  <si>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</si>
  <si>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</si>
  <si>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</si>
  <si>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</si>
  <si>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</si>
  <si>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</si>
  <si>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</si>
  <si>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</si>
  <si>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</si>
  <si>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</si>
  <si>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</si>
  <si>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</si>
  <si>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</si>
  <si>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</si>
  <si>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</si>
  <si>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</si>
  <si>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</si>
  <si>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</si>
  <si>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</si>
  <si>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</si>
  <si>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</si>
  <si>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</si>
  <si>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</si>
  <si>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</si>
  <si>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</si>
  <si>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</si>
  <si>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</si>
  <si>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</si>
  <si>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</si>
  <si>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</si>
  <si>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</si>
  <si>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</si>
  <si>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</si>
  <si>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</si>
  <si>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</si>
  <si>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</si>
  <si>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</si>
  <si>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</si>
  <si>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</si>
  <si>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</si>
  <si>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</si>
  <si>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</si>
  <si>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</si>
  <si>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</si>
  <si>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</si>
  <si>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</si>
  <si>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</si>
  <si>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</si>
  <si>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</si>
  <si>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</si>
  <si>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</si>
  <si>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</si>
  <si>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</si>
  <si>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</si>
  <si>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</si>
  <si>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</si>
  <si>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</si>
  <si>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</si>
  <si>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</si>
  <si>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</si>
  <si>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</si>
  <si>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</si>
  <si>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</si>
  <si>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</si>
  <si>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</si>
  <si>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</si>
  <si>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</si>
  <si>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</si>
  <si>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</si>
  <si>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</si>
  <si>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</si>
  <si>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</si>
  <si>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</si>
  <si>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</si>
  <si>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</si>
  <si>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</si>
  <si>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</si>
  <si>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</si>
  <si>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</si>
  <si>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</si>
  <si>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</si>
  <si>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</si>
  <si>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</si>
  <si>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</si>
  <si>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</si>
  <si>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</si>
  <si>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</si>
  <si>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</si>
  <si>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</si>
  <si>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</si>
  <si>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</si>
  <si>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</si>
  <si>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</si>
  <si>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</si>
  <si>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</si>
  <si>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</si>
  <si>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</si>
  <si>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</si>
  <si>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</si>
  <si>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</si>
  <si>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</si>
  <si>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</si>
  <si>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</si>
  <si>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</si>
  <si>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</si>
  <si>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</si>
  <si>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</si>
  <si>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</si>
  <si>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</si>
  <si>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</si>
  <si>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</si>
  <si>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</si>
  <si>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</si>
  <si>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</si>
  <si>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</si>
  <si>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</si>
  <si>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</si>
  <si>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</si>
  <si>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</si>
  <si>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</si>
  <si>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</si>
  <si>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</si>
  <si>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</si>
  <si>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</si>
  <si>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</si>
  <si>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</si>
  <si>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</si>
  <si>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</si>
  <si>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</si>
  <si>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</si>
  <si>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</si>
  <si>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</si>
  <si>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</si>
  <si>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</si>
  <si>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</si>
  <si>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</si>
  <si>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</si>
  <si>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</si>
  <si>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</si>
  <si>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</si>
  <si>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</si>
  <si>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</si>
  <si>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</si>
  <si>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</si>
  <si>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</si>
  <si>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</si>
  <si>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</si>
  <si>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</si>
  <si>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</si>
  <si>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</si>
  <si>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</si>
  <si>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</si>
  <si>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</si>
  <si>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</si>
  <si>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</si>
  <si>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</si>
  <si>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</si>
  <si>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</si>
  <si>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</si>
  <si>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</si>
  <si>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</si>
  <si>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</si>
  <si>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</si>
  <si>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</si>
  <si>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</si>
  <si>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</si>
  <si>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</si>
  <si>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</si>
  <si>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</si>
  <si>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</si>
  <si>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</si>
  <si>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</si>
  <si>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</si>
  <si>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</si>
  <si>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</si>
  <si>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</si>
  <si>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</si>
  <si>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</si>
  <si>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</si>
  <si>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</si>
  <si>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</si>
  <si>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</si>
  <si>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</si>
  <si>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</si>
  <si>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</si>
  <si>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</si>
  <si>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</si>
  <si>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</si>
  <si>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</si>
  <si>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</si>
  <si>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</si>
  <si>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</si>
  <si>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</si>
  <si>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</si>
  <si>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</si>
  <si>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</si>
  <si>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</si>
  <si>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</si>
  <si>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</si>
  <si>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</si>
  <si>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</si>
  <si>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</si>
  <si>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</si>
  <si>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</si>
  <si>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</si>
  <si>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</si>
  <si>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</si>
  <si>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</si>
  <si>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</si>
  <si>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</si>
  <si>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</si>
  <si>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</si>
  <si>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</si>
  <si>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</si>
  <si>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</si>
  <si>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</si>
  <si>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</si>
  <si>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</si>
  <si>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</si>
  <si>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</si>
  <si>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</si>
  <si>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</si>
  <si>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</si>
  <si>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</si>
  <si>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</si>
  <si>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</si>
  <si>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</si>
  <si>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</si>
  <si>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</si>
  <si>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</si>
  <si>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</si>
  <si>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</si>
  <si>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</si>
  <si>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</si>
  <si>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</si>
  <si>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</si>
  <si>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</si>
  <si>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</si>
  <si>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</si>
  <si>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</si>
  <si>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</si>
  <si>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</si>
  <si>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</si>
  <si>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</si>
  <si>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</si>
  <si>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</si>
  <si>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</si>
  <si>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</si>
  <si>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</si>
  <si>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</si>
  <si>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</si>
  <si>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</si>
  <si>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</si>
  <si>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</si>
  <si>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</si>
  <si>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</si>
  <si>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</si>
  <si>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</si>
  <si>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</si>
  <si>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</si>
  <si>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</si>
  <si>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</si>
  <si>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</si>
  <si>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</si>
  <si>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</si>
  <si>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</si>
  <si>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</si>
  <si>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</si>
  <si>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</si>
  <si>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</si>
  <si>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</si>
  <si>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</si>
  <si>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</si>
  <si>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</si>
  <si>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</si>
  <si>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</si>
  <si>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</si>
  <si>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</si>
  <si>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</si>
  <si>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</si>
  <si>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</si>
  <si>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</si>
  <si>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</si>
  <si>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</si>
  <si>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</si>
  <si>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</si>
  <si>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</si>
  <si>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</si>
  <si>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</si>
  <si>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</si>
  <si>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</si>
  <si>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</si>
  <si>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</si>
  <si>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</si>
  <si>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</si>
  <si>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</si>
  <si>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</si>
  <si>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</si>
  <si>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</si>
  <si>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</si>
  <si>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</si>
  <si>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</si>
  <si>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</si>
  <si>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</si>
  <si>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</si>
  <si>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</si>
  <si>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</si>
  <si>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</si>
  <si>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</si>
  <si>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</si>
  <si>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</si>
  <si>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</si>
  <si>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</si>
  <si>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</si>
  <si>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</si>
  <si>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</si>
  <si>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</si>
  <si>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</si>
  <si>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</si>
  <si>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</si>
  <si>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</si>
  <si>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</si>
  <si>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</si>
  <si>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</si>
  <si>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</si>
  <si>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</si>
  <si>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</si>
  <si>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</si>
  <si>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</si>
  <si>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</si>
  <si>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</si>
  <si>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</si>
  <si>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</si>
  <si>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</si>
  <si>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</si>
  <si>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</si>
  <si>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</si>
  <si>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</si>
  <si>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</si>
  <si>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</si>
  <si>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</si>
  <si>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</si>
  <si>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</si>
  <si>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</si>
  <si>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</si>
  <si>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</si>
  <si>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</si>
  <si>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</si>
  <si>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</si>
  <si>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</si>
  <si>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</si>
  <si>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</si>
  <si>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</si>
  <si>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</si>
  <si>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</si>
  <si>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</si>
  <si>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</si>
  <si>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</si>
  <si>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</si>
  <si>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</si>
  <si>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</si>
  <si>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</si>
  <si>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</si>
  <si>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</si>
  <si>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</si>
  <si>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</si>
  <si>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</si>
  <si>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</si>
  <si>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</si>
  <si>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</si>
  <si>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</si>
  <si>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</si>
  <si>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</si>
  <si>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</si>
  <si>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</si>
  <si>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</si>
  <si>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</si>
  <si>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</si>
  <si>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</si>
  <si>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</si>
  <si>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</si>
  <si>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</si>
  <si>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</si>
  <si>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</si>
  <si>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</si>
  <si>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</si>
  <si>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</si>
  <si>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</si>
  <si>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</si>
  <si>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</si>
  <si>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</si>
  <si>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</si>
  <si>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</si>
  <si>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</si>
  <si>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</si>
  <si>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</si>
  <si>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</si>
  <si>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</si>
  <si>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</si>
  <si>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</si>
  <si>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</si>
  <si>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</si>
  <si>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</si>
  <si>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</si>
  <si>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</si>
  <si>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</si>
  <si>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</si>
  <si>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</si>
  <si>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</si>
  <si>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</si>
  <si>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</si>
  <si>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</si>
  <si>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</si>
  <si>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</si>
  <si>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</si>
  <si>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</si>
  <si>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</si>
  <si>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</si>
  <si>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</si>
  <si>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</si>
  <si>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</si>
  <si>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</si>
  <si>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</si>
  <si>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</si>
  <si>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</si>
  <si>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</si>
  <si>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</si>
  <si>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</si>
  <si>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</si>
  <si>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</si>
  <si>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</si>
  <si>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</si>
  <si>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</si>
  <si>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</si>
  <si>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</si>
  <si>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</si>
  <si>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</si>
  <si>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</si>
  <si>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</si>
  <si>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</si>
  <si>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</si>
  <si>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</si>
  <si>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</si>
  <si>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</si>
  <si>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</si>
  <si>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</si>
  <si>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</si>
  <si>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</si>
  <si>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</si>
  <si>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</si>
  <si>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</si>
  <si>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</si>
  <si>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</si>
  <si>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</si>
  <si>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</si>
  <si>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</si>
  <si>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</si>
  <si>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</si>
  <si>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</si>
  <si>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</si>
  <si>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</si>
  <si>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</si>
  <si>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</si>
  <si>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</si>
  <si>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</si>
  <si>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</si>
  <si>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</si>
  <si>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</si>
  <si>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</si>
  <si>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</si>
  <si>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</si>
  <si>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</si>
  <si>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</si>
  <si>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</si>
  <si>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</si>
  <si>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</si>
  <si>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</si>
  <si>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</si>
  <si>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</si>
  <si>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</si>
  <si>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</si>
  <si>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</si>
  <si>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</si>
  <si>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</si>
  <si>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</si>
  <si>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</si>
  <si>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</si>
  <si>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</si>
  <si>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</si>
  <si>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</si>
  <si>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</si>
  <si>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</si>
  <si>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</si>
  <si>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</si>
  <si>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</si>
  <si>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</si>
  <si>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</si>
  <si>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</si>
  <si>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</si>
  <si>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</si>
  <si>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</si>
  <si>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</si>
  <si>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</si>
  <si>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</si>
  <si>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</si>
  <si>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</si>
  <si>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</si>
  <si>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</si>
  <si>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</si>
  <si>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</si>
  <si>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</si>
  <si>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</si>
  <si>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</si>
  <si>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</si>
  <si>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</si>
  <si>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</si>
  <si>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</si>
  <si>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</si>
  <si>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</si>
  <si>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</si>
  <si>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</si>
  <si>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</si>
  <si>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</si>
  <si>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</si>
  <si>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</si>
  <si>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</si>
  <si>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</si>
  <si>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</si>
  <si>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</si>
  <si>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</si>
  <si>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</si>
  <si>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</si>
  <si>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</si>
  <si>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</si>
  <si>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</si>
  <si>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</si>
  <si>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</si>
  <si>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</si>
  <si>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</si>
  <si>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</si>
  <si>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</si>
  <si>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</si>
  <si>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</si>
  <si>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</si>
  <si>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</si>
  <si>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</si>
  <si>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</si>
  <si>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</si>
  <si>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</si>
  <si>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</si>
  <si>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</si>
  <si>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</si>
  <si>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</si>
  <si>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</si>
  <si>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</si>
  <si>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</si>
  <si>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</si>
  <si>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</si>
  <si>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</si>
  <si>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</si>
  <si>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</si>
  <si>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</si>
  <si>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</si>
  <si>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</si>
  <si>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</si>
  <si>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</si>
  <si>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</si>
  <si>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</si>
  <si>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</si>
  <si>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</si>
  <si>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</si>
  <si>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</si>
  <si>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</si>
  <si>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</si>
  <si>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</si>
  <si>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</si>
  <si>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</si>
  <si>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</si>
  <si>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</si>
  <si>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</si>
  <si>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</si>
  <si>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</si>
  <si>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</si>
  <si>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</si>
  <si>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</si>
  <si>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</si>
  <si>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</si>
  <si>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</si>
  <si>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</si>
  <si>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</si>
  <si>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</si>
  <si>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</si>
  <si>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</si>
  <si>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</si>
  <si>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</si>
  <si>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</si>
  <si>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</si>
  <si>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</si>
  <si>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</si>
  <si>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</si>
  <si>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</si>
  <si>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</si>
  <si>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</si>
  <si>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</si>
  <si>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</si>
  <si>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</si>
  <si>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</si>
  <si>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</si>
  <si>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</si>
  <si>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</si>
  <si>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</si>
  <si>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</si>
  <si>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</si>
  <si>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</si>
  <si>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</si>
  <si>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</si>
  <si>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</si>
  <si>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</si>
  <si>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</si>
  <si>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</si>
  <si>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</si>
  <si>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</si>
  <si>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</si>
  <si>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</si>
  <si>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</si>
  <si>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</si>
  <si>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</si>
  <si>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</si>
  <si>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</si>
  <si>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</si>
  <si>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</si>
  <si>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</si>
  <si>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</si>
  <si>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</si>
  <si>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</si>
  <si>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</si>
  <si>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</si>
  <si>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</si>
  <si>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</si>
  <si>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</si>
  <si>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</si>
  <si>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</si>
  <si>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</si>
  <si>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</si>
  <si>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</si>
  <si>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</si>
  <si>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</si>
  <si>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</si>
  <si>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</si>
  <si>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</si>
  <si>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</si>
  <si>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</si>
  <si>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</si>
  <si>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</si>
  <si>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</si>
  <si>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</si>
  <si>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</si>
  <si>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</si>
  <si>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</si>
  <si>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</si>
  <si>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</si>
  <si>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</si>
  <si>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</si>
  <si>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</si>
  <si>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</si>
  <si>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</si>
  <si>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</si>
  <si>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</si>
  <si>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</si>
  <si>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</si>
  <si>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</si>
  <si>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</si>
  <si>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</si>
  <si>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</si>
  <si>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</si>
  <si>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</si>
  <si>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</si>
  <si>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</si>
  <si>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</si>
  <si>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</si>
  <si>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</si>
  <si>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</si>
  <si>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</si>
  <si>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</si>
  <si>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</si>
  <si>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</si>
  <si>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</si>
  <si>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</si>
  <si>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</si>
  <si>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</si>
  <si>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</si>
  <si>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</si>
  <si>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</si>
  <si>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</si>
  <si>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</si>
  <si>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</si>
  <si>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</si>
  <si>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</si>
  <si>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</si>
  <si>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</si>
  <si>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</si>
  <si>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</si>
  <si>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</si>
  <si>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</si>
  <si>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</si>
  <si>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</si>
  <si>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</si>
  <si>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</si>
  <si>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</si>
  <si>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</si>
  <si>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</si>
  <si>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</si>
  <si>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</si>
  <si>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</si>
  <si>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</si>
  <si>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</si>
  <si>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</si>
  <si>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</si>
  <si>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</si>
  <si>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</si>
  <si>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</si>
  <si>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</si>
  <si>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</si>
  <si>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</si>
  <si>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</si>
  <si>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</si>
  <si>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</si>
  <si>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</si>
  <si>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</si>
  <si>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</si>
  <si>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</si>
  <si>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</si>
  <si>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</si>
  <si>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</si>
  <si>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</si>
  <si>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</si>
  <si>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</si>
  <si>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</si>
  <si>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</si>
  <si>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</si>
  <si>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</si>
  <si>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</si>
  <si>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</si>
  <si>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</si>
  <si>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</si>
  <si>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</si>
  <si>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</si>
  <si>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</si>
  <si>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</si>
  <si>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</si>
  <si>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</si>
  <si>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</si>
  <si>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</si>
  <si>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</si>
  <si>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</si>
  <si>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</si>
  <si>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</si>
  <si>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</si>
  <si>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</si>
  <si>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</si>
  <si>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</si>
  <si>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</si>
  <si>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</si>
  <si>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</si>
  <si>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</si>
  <si>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</si>
  <si>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</si>
  <si>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</si>
  <si>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</si>
  <si>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</si>
  <si>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</si>
  <si>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</si>
  <si>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</si>
  <si>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</si>
  <si>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</si>
  <si>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</si>
  <si>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</si>
  <si>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</si>
  <si>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</si>
  <si>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</si>
  <si>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</si>
  <si>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</si>
  <si>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</si>
  <si>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</si>
  <si>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</si>
  <si>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</si>
  <si>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</si>
  <si>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</si>
  <si>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</si>
  <si>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</si>
  <si>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</si>
  <si>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</si>
  <si>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</si>
  <si>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</si>
  <si>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</si>
  <si>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</si>
  <si>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</si>
  <si>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</si>
  <si>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</si>
  <si>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</si>
  <si>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</si>
  <si>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</si>
  <si>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</si>
  <si>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</si>
  <si>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</si>
  <si>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</si>
  <si>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</si>
  <si>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</si>
  <si>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</si>
  <si>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</si>
  <si>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</si>
  <si>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</si>
  <si>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</si>
  <si>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</si>
  <si>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</si>
  <si>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</si>
  <si>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</si>
  <si>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</si>
  <si>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</si>
  <si>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</si>
  <si>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</si>
  <si>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</si>
  <si>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</si>
  <si>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</si>
  <si>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</si>
  <si>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</si>
  <si>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</si>
  <si>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</si>
  <si>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</si>
  <si>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</si>
  <si>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</si>
  <si>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</si>
  <si>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</si>
  <si>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</si>
  <si>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</si>
  <si>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</si>
  <si>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</si>
  <si>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</si>
  <si>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</si>
  <si>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</si>
  <si>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</si>
  <si>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</si>
  <si>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</si>
  <si>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</si>
  <si>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</si>
  <si>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</si>
  <si>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</si>
  <si>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</si>
  <si>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</si>
  <si>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</si>
  <si>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</si>
  <si>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</si>
  <si>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</si>
  <si>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</si>
  <si>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</si>
  <si>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</si>
  <si>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</si>
  <si>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</si>
  <si>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</si>
  <si>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</si>
  <si>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</si>
  <si>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</si>
  <si>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</si>
  <si>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</si>
  <si>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</si>
  <si>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</si>
  <si>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</si>
  <si>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</si>
  <si>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</si>
  <si>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</si>
  <si>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</si>
  <si>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</si>
  <si>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</si>
  <si>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</si>
  <si>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</si>
  <si>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</si>
  <si>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</si>
  <si>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</si>
  <si>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</si>
  <si>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</si>
  <si>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</si>
  <si>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</si>
  <si>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</si>
  <si>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</si>
  <si>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</si>
  <si>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</si>
  <si>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</si>
  <si>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</si>
  <si>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</si>
  <si>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</si>
  <si>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</si>
  <si>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</si>
  <si>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</si>
  <si>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</si>
  <si>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</si>
  <si>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</si>
  <si>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</si>
  <si>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</si>
  <si>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</si>
  <si>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</si>
  <si>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</si>
  <si>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</si>
  <si>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</si>
  <si>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</si>
  <si>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</si>
  <si>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</si>
  <si>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</si>
  <si>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</si>
  <si>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</si>
  <si>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</si>
  <si>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</si>
  <si>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</si>
  <si>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</si>
  <si>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</si>
  <si>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</si>
  <si>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</si>
  <si>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</si>
  <si>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</si>
  <si>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</si>
  <si>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</si>
  <si>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</si>
  <si>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</si>
  <si>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</si>
  <si>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</si>
  <si>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</si>
  <si>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</si>
  <si>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</si>
  <si>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</si>
  <si>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</si>
  <si>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</si>
  <si>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</si>
  <si>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</si>
  <si>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</si>
  <si>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</si>
  <si>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</si>
  <si>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</si>
  <si>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</si>
  <si>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</si>
  <si>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</si>
  <si>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</si>
  <si>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</si>
  <si>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</si>
  <si>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</si>
  <si>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</si>
  <si>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</si>
  <si>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</si>
  <si>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</si>
  <si>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</si>
  <si>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</si>
  <si>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</si>
  <si>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</si>
  <si>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</si>
  <si>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</si>
  <si>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</si>
  <si>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</si>
  <si>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</si>
  <si>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</si>
  <si>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</si>
  <si>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</si>
  <si>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</si>
  <si>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</si>
  <si>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</si>
  <si>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</si>
  <si>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</si>
  <si>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</si>
  <si>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</si>
  <si>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</si>
  <si>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</si>
  <si>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</si>
  <si>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</si>
  <si>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</si>
  <si>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</si>
  <si>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</si>
  <si>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</si>
  <si>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</si>
  <si>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</si>
  <si>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</si>
  <si>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</si>
  <si>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</si>
  <si>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</si>
  <si>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</si>
  <si>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</si>
  <si>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</si>
  <si>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</si>
  <si>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</si>
  <si>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</si>
  <si>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</si>
  <si>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</si>
  <si>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</si>
  <si>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</si>
  <si>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</si>
  <si>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</si>
  <si>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</si>
  <si>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</si>
  <si>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</si>
  <si>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</si>
  <si>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</si>
  <si>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</si>
  <si>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</si>
  <si>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</si>
  <si>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</si>
  <si>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</si>
  <si>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</si>
  <si>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</si>
  <si>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</si>
  <si>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</si>
  <si>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</si>
  <si>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</si>
  <si>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</si>
  <si>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</si>
  <si>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</si>
  <si>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</si>
  <si>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</si>
  <si>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</si>
  <si>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</si>
  <si>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</si>
  <si>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</si>
  <si>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</si>
  <si>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</si>
  <si>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</si>
  <si>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</si>
  <si>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</si>
  <si>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</si>
  <si>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</si>
  <si>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</si>
  <si>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</si>
  <si>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</si>
  <si>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</si>
  <si>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</si>
  <si>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</si>
  <si>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</si>
  <si>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</si>
  <si>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</si>
  <si>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</si>
  <si>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</si>
  <si>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</si>
  <si>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</si>
  <si>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</si>
  <si>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</si>
  <si>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</si>
  <si>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</si>
  <si>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</si>
  <si>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</si>
  <si>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</si>
  <si>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</si>
  <si>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</si>
  <si>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</si>
  <si>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</si>
  <si>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</si>
  <si>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</si>
  <si>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</si>
  <si>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</si>
  <si>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</si>
  <si>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</si>
  <si>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</si>
  <si>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</si>
  <si>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</si>
  <si>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</si>
  <si>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</si>
  <si>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</si>
  <si>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</si>
  <si>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</si>
  <si>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</si>
  <si>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</si>
  <si>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</si>
  <si>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</si>
  <si>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</si>
  <si>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</si>
  <si>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</si>
  <si>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</si>
  <si>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</si>
  <si>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</si>
  <si>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</si>
  <si>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</si>
  <si>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</si>
  <si>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</si>
  <si>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</si>
  <si>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</si>
  <si>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</si>
  <si>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</si>
  <si>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</si>
  <si>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</si>
  <si>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</si>
  <si>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</si>
  <si>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</si>
  <si>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</si>
  <si>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</si>
  <si>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</si>
  <si>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</si>
  <si>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</si>
  <si>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</si>
  <si>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</si>
  <si>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</si>
  <si>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</si>
  <si>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</si>
  <si>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</si>
  <si>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</si>
  <si>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</si>
  <si>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</si>
  <si>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</si>
  <si>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</si>
  <si>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</si>
  <si>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</si>
  <si>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</si>
  <si>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</si>
  <si>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</si>
  <si>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</si>
  <si>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</si>
  <si>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</si>
  <si>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</si>
  <si>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</si>
  <si>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</si>
  <si>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</si>
  <si>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</si>
  <si>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</si>
  <si>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</si>
  <si>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</si>
  <si>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</si>
  <si>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</si>
  <si>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</si>
  <si>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</si>
  <si>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</si>
  <si>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</si>
  <si>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</si>
  <si>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</si>
  <si>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</si>
  <si>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</si>
  <si>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</si>
  <si>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</si>
  <si>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</si>
  <si>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</si>
  <si>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</si>
  <si>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</si>
  <si>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</si>
  <si>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</si>
  <si>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</si>
  <si>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</si>
  <si>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</si>
  <si>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</si>
  <si>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</si>
  <si>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</si>
  <si>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</si>
  <si>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</si>
  <si>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</si>
  <si>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</si>
  <si>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</si>
  <si>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</si>
  <si>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</si>
  <si>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</si>
  <si>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</si>
  <si>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</si>
  <si>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</si>
  <si>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</si>
  <si>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</si>
  <si>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</si>
  <si>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</si>
  <si>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</si>
  <si>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</si>
  <si>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</si>
  <si>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</si>
  <si>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</si>
  <si>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</si>
  <si>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</si>
  <si>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</si>
  <si>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</si>
  <si>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</si>
  <si>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</si>
  <si>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</si>
  <si>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</si>
  <si>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</si>
  <si>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</si>
  <si>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</si>
  <si>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</si>
  <si>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</si>
  <si>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</si>
  <si>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</si>
  <si>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</si>
  <si>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</si>
  <si>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</si>
  <si>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</si>
  <si>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</si>
  <si>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</si>
  <si>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</si>
  <si>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</si>
  <si>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</si>
  <si>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</si>
  <si>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</si>
  <si>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</si>
  <si>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</si>
  <si>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</si>
  <si>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</si>
  <si>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</si>
  <si>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</si>
  <si>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</si>
  <si>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</si>
  <si>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</si>
  <si>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</si>
  <si>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</si>
  <si>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</si>
  <si>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</si>
  <si>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</si>
  <si>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</si>
  <si>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</si>
  <si>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</si>
  <si>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</si>
  <si>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</si>
  <si>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</si>
  <si>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</si>
  <si>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</si>
  <si>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</si>
  <si>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</si>
  <si>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</si>
  <si>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</si>
  <si>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</si>
  <si>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</si>
  <si>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</si>
  <si>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</si>
  <si>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</si>
  <si>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</si>
  <si>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</si>
  <si>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</si>
  <si>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</si>
  <si>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</si>
  <si>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</si>
  <si>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</si>
  <si>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</si>
  <si>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</si>
  <si>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</si>
  <si>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</si>
  <si>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</si>
  <si>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</si>
  <si>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</si>
  <si>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</si>
  <si>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</si>
  <si>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</si>
  <si>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</si>
  <si>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</si>
  <si>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</si>
  <si>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</si>
  <si>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</si>
  <si>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</si>
  <si>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</si>
  <si>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</si>
  <si>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</si>
  <si>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</si>
  <si>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</si>
  <si>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</si>
  <si>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</si>
  <si>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</si>
  <si>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</si>
  <si>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</si>
  <si>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</si>
  <si>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</si>
  <si>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</si>
  <si>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</si>
  <si>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</si>
  <si>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</si>
  <si>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</si>
  <si>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</si>
  <si>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</si>
  <si>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</si>
  <si>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</si>
  <si>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</si>
  <si>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</si>
  <si>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</si>
  <si>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</si>
  <si>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</si>
  <si>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</si>
  <si>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</si>
  <si>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</si>
  <si>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</si>
  <si>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</si>
  <si>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</si>
  <si>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</si>
  <si>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</si>
  <si>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</si>
  <si>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</si>
  <si>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</si>
  <si>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</si>
  <si>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</si>
  <si>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</si>
  <si>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</si>
  <si>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</si>
  <si>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</si>
  <si>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</si>
  <si>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</si>
  <si>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</si>
  <si>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</si>
  <si>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</si>
  <si>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</si>
  <si>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</si>
  <si>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</si>
  <si>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</si>
  <si>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</si>
  <si>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</si>
  <si>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</si>
  <si>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</si>
  <si>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</si>
  <si>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</si>
  <si>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</si>
  <si>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</si>
  <si>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</si>
  <si>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</si>
  <si>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</si>
  <si>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</si>
  <si>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</si>
  <si>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</si>
  <si>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</si>
  <si>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</si>
  <si>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</si>
  <si>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</si>
  <si>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</si>
  <si>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</si>
  <si>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</si>
  <si>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</si>
  <si>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</si>
  <si>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</si>
  <si>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</si>
  <si>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</si>
  <si>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</si>
  <si>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</si>
  <si>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</si>
  <si>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</si>
  <si>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</si>
  <si>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</si>
  <si>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</si>
  <si>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</si>
  <si>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</si>
  <si>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</si>
  <si>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</si>
  <si>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</si>
  <si>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</si>
  <si>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</si>
  <si>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</si>
  <si>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</si>
  <si>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</si>
  <si>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</si>
  <si>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</si>
  <si>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</si>
  <si>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</si>
  <si>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</si>
  <si>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</si>
  <si>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</si>
  <si>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</si>
  <si>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</si>
  <si>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</si>
  <si>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</si>
  <si>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</si>
  <si>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</si>
  <si>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</si>
  <si>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</si>
  <si>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</si>
  <si>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</si>
  <si>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</si>
  <si>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</si>
  <si>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</si>
  <si>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</si>
  <si>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</si>
  <si>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</si>
  <si>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</si>
  <si>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</si>
  <si>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</si>
  <si>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</si>
  <si>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</si>
  <si>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</si>
  <si>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</si>
  <si>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</si>
  <si>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</si>
  <si>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</si>
  <si>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</si>
  <si>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</si>
  <si>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</si>
  <si>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</si>
  <si>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</si>
  <si>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</si>
  <si>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</si>
  <si>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</si>
  <si>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</si>
  <si>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</si>
  <si>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</si>
  <si>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</si>
  <si>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</si>
  <si>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</si>
  <si>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</si>
  <si>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</si>
  <si>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</si>
  <si>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</si>
  <si>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</si>
  <si>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</si>
  <si>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</si>
  <si>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</si>
  <si>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</si>
  <si>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</si>
  <si>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</si>
  <si>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</si>
  <si>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</si>
  <si>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</si>
  <si>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</si>
  <si>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</si>
  <si>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</si>
  <si>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</si>
  <si>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</si>
  <si>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</si>
  <si>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</si>
  <si>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</si>
  <si>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</si>
  <si>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</si>
  <si>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</si>
  <si>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</si>
  <si>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</si>
  <si>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</si>
  <si>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</si>
  <si>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</si>
  <si>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</si>
  <si>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</si>
  <si>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</si>
  <si>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</si>
  <si>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</si>
  <si>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</si>
  <si>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</si>
  <si>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</si>
  <si>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</si>
  <si>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</si>
  <si>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</si>
  <si>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</si>
  <si>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</si>
  <si>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</si>
  <si>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</si>
  <si>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</si>
  <si>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</si>
  <si>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</si>
  <si>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</si>
  <si>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</si>
  <si>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</si>
  <si>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</si>
  <si>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</si>
  <si>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</si>
  <si>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</si>
  <si>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</si>
  <si>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</si>
  <si>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</si>
  <si>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</si>
  <si>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</si>
  <si>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</si>
  <si>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</si>
  <si>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</si>
  <si>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</si>
  <si>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</si>
  <si>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</si>
  <si>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</si>
  <si>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</si>
  <si>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</si>
  <si>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</si>
  <si>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</si>
  <si>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</si>
  <si>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</si>
  <si>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</si>
  <si>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</si>
  <si>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</si>
  <si>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</si>
  <si>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</si>
  <si>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</si>
  <si>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</si>
  <si>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</si>
  <si>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</si>
  <si>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</si>
  <si>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</si>
  <si>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</si>
  <si>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</si>
  <si>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</si>
  <si>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</si>
  <si>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</si>
  <si>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</si>
  <si>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</si>
  <si>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</si>
  <si>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</si>
  <si>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</si>
  <si>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</si>
  <si>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</si>
  <si>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</si>
  <si>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</si>
  <si>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</si>
  <si>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</si>
  <si>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</si>
  <si>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</si>
  <si>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</si>
  <si>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</si>
  <si>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</si>
  <si>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</si>
  <si>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</si>
  <si>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</si>
  <si>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</si>
  <si>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</si>
  <si>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</si>
  <si>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</si>
  <si>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</si>
  <si>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</si>
  <si>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</si>
  <si>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</si>
  <si>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</si>
  <si>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</si>
  <si>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</si>
  <si>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</si>
  <si>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</si>
  <si>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</si>
  <si>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</si>
  <si>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</si>
  <si>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</si>
  <si>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</si>
  <si>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</si>
  <si>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</si>
  <si>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</si>
  <si>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</si>
  <si>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</si>
  <si>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</si>
  <si>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</si>
  <si>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</si>
  <si>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</si>
  <si>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</si>
  <si>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</si>
  <si>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</si>
  <si>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</si>
  <si>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</si>
  <si>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</si>
  <si>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</si>
  <si>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</si>
  <si>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</si>
  <si>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</si>
  <si>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</si>
  <si>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</si>
  <si>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</si>
  <si>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</si>
  <si>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</si>
  <si>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</si>
  <si>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</si>
  <si>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</si>
  <si>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</si>
  <si>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</si>
  <si>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</si>
  <si>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</si>
  <si>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</si>
  <si>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</si>
  <si>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</si>
  <si>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</si>
  <si>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</si>
  <si>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</si>
  <si>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</si>
  <si>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</si>
  <si>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</si>
  <si>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</si>
  <si>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</si>
  <si>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</si>
  <si>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</si>
  <si>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</si>
  <si>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</si>
  <si>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</si>
  <si>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</si>
  <si>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</si>
  <si>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</si>
  <si>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</si>
  <si>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</si>
  <si>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</si>
  <si>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</si>
  <si>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</si>
  <si>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</si>
  <si>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</si>
  <si>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</si>
  <si>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</si>
  <si>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</si>
  <si>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</si>
  <si>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</si>
  <si>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</si>
  <si>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</si>
  <si>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</si>
  <si>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</si>
  <si>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</si>
  <si>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</si>
  <si>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</si>
  <si>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</si>
  <si>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</si>
  <si>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</si>
  <si>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</si>
  <si>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</si>
  <si>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</si>
  <si>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</si>
  <si>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</si>
  <si>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</si>
  <si>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</si>
  <si>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</si>
  <si>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</si>
  <si>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</si>
  <si>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</si>
  <si>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</si>
  <si>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</si>
  <si>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</si>
  <si>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</si>
  <si>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</si>
  <si>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</si>
  <si>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</si>
  <si>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</si>
  <si>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</si>
  <si>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</si>
  <si>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</si>
  <si>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</si>
  <si>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</si>
  <si>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</si>
  <si>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</si>
  <si>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</si>
  <si>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</si>
  <si>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</si>
  <si>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</si>
  <si>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</si>
  <si>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</si>
  <si>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</si>
  <si>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</si>
  <si>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</si>
  <si>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</si>
  <si>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</si>
  <si>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</si>
  <si>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</si>
  <si>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</si>
  <si>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</si>
  <si>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</si>
  <si>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</si>
  <si>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</si>
  <si>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</si>
  <si>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</si>
  <si>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</si>
  <si>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</si>
  <si>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</si>
  <si>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</si>
  <si>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</si>
  <si>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</si>
  <si>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</si>
  <si>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</si>
  <si>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</si>
  <si>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</si>
  <si>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</si>
  <si>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</si>
  <si>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</si>
  <si>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</si>
  <si>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</si>
  <si>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</si>
  <si>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</si>
  <si>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</si>
  <si>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</si>
  <si>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</si>
  <si>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</si>
  <si>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</si>
  <si>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</si>
  <si>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</si>
  <si>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</si>
  <si>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</si>
  <si>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</si>
  <si>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</si>
  <si>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</si>
  <si>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</si>
  <si>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</si>
  <si>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</si>
  <si>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</si>
  <si>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</si>
  <si>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</si>
  <si>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</si>
  <si>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</si>
  <si>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</si>
  <si>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</si>
  <si>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</si>
  <si>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</si>
  <si>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</si>
  <si>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</si>
  <si>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</si>
  <si>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</si>
  <si>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</si>
  <si>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</si>
  <si>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</si>
  <si>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</si>
  <si>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</si>
  <si>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</si>
  <si>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</si>
  <si>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</si>
  <si>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</si>
  <si>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</si>
  <si>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</si>
  <si>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</si>
  <si>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</si>
  <si>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</si>
  <si>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</si>
  <si>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</si>
  <si>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</si>
  <si>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</si>
  <si>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</si>
  <si>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</si>
  <si>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</si>
  <si>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</si>
  <si>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</si>
  <si>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</si>
  <si>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</si>
  <si>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</si>
  <si>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</si>
  <si>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</si>
  <si>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</si>
  <si>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</si>
  <si>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</si>
  <si>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</si>
  <si>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</si>
  <si>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</si>
  <si>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</si>
  <si>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</si>
  <si>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</si>
  <si>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</si>
  <si>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</si>
  <si>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</si>
  <si>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</si>
  <si>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</si>
  <si>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</si>
  <si>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</si>
  <si>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</si>
  <si>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</si>
  <si>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</si>
  <si>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</si>
  <si>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</si>
  <si>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</si>
  <si>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</si>
  <si>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Sawnwd</t>
  </si>
  <si>
    <t>Sawn wood</t>
  </si>
  <si>
    <t>Period starting 2020</t>
  </si>
  <si>
    <t>Period starting 2025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</si>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</sst>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22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i/>
      <sz val="11"/>
      <color theme="1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0"/>
      <name val="Trebuchet MS"/>
      <family val="2"/>
      <scheme val="minor"/>
    </font>
    <font>
      <sz val="10"/>
      <color theme="0"/>
      <name val="Trebuchet MS"/>
      <family val="2"/>
      <scheme val="minor"/>
    </font>
    <font>
      <i/>
      <sz val="10"/>
      <color theme="0"/>
      <name val="Trebuchet MS"/>
      <family val="2"/>
      <scheme val="minor"/>
    </font>
    <font>
      <sz val="10"/>
      <color theme="1"/>
      <name val="Trebuchet MS"/>
      <family val="2"/>
      <scheme val="minor"/>
    </font>
    <font>
      <i/>
      <sz val="10"/>
      <color theme="1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8"/>
      <color theme="1"/>
      <name val="Trebuchet MS"/>
      <family val="2"/>
      <scheme val="minor"/>
    </font>
    <font>
      <i/>
      <sz val="8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scheme val="minor"/>
    </font>
    <font>
      <sz val="10"/>
      <color theme="1"/>
      <name val="Trebuchet MS"/>
      <scheme val="minor"/>
    </font>
    <font>
      <sz val="10"/>
      <name val="Trebuchet MS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8" fillId="0" borderId="0"/>
  </cellStyleXfs>
  <cellXfs count="7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3" fontId="0" fillId="0" borderId="0" xfId="0" applyNumberFormat="1"/>
    <xf numFmtId="3" fontId="0" fillId="2" borderId="0" xfId="0" applyNumberFormat="1" applyFill="1"/>
    <xf numFmtId="2" fontId="0" fillId="0" borderId="0" xfId="0" applyNumberFormat="1"/>
    <xf numFmtId="0" fontId="0" fillId="2" borderId="0" xfId="0" applyFill="1"/>
    <xf numFmtId="0" fontId="5" fillId="0" borderId="0" xfId="0" applyFont="1"/>
    <xf numFmtId="0" fontId="6" fillId="0" borderId="0" xfId="0" applyFont="1"/>
    <xf numFmtId="4" fontId="0" fillId="0" borderId="0" xfId="0" applyNumberFormat="1"/>
    <xf numFmtId="3" fontId="0" fillId="4" borderId="0" xfId="0" applyNumberFormat="1" applyFill="1"/>
    <xf numFmtId="164" fontId="0" fillId="0" borderId="0" xfId="0" applyNumberFormat="1"/>
    <xf numFmtId="0" fontId="7" fillId="0" borderId="0" xfId="0" applyFont="1" applyAlignment="1">
      <alignment wrapText="1"/>
    </xf>
    <xf numFmtId="164" fontId="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164" fontId="0" fillId="0" borderId="0" xfId="0" quotePrefix="1" applyNumberFormat="1"/>
    <xf numFmtId="164" fontId="13" fillId="0" borderId="0" xfId="0" applyNumberFormat="1" applyFont="1" applyAlignment="1">
      <alignment wrapText="1"/>
    </xf>
    <xf numFmtId="164" fontId="0" fillId="0" borderId="0" xfId="0" applyNumberFormat="1" applyAlignment="1">
      <alignment horizontal="right"/>
    </xf>
    <xf numFmtId="164" fontId="0" fillId="0" borderId="0" xfId="0" quotePrefix="1" applyNumberFormat="1" applyAlignment="1">
      <alignment horizontal="right"/>
    </xf>
    <xf numFmtId="165" fontId="0" fillId="0" borderId="0" xfId="0" applyNumberFormat="1"/>
    <xf numFmtId="2" fontId="0" fillId="0" borderId="0" xfId="0" applyNumberFormat="1" applyAlignment="1">
      <alignment horizontal="right"/>
    </xf>
    <xf numFmtId="0" fontId="9" fillId="5" borderId="0" xfId="0" applyFont="1" applyFill="1" applyAlignment="1">
      <alignment textRotation="90"/>
    </xf>
    <xf numFmtId="0" fontId="10" fillId="5" borderId="0" xfId="0" applyFont="1" applyFill="1" applyAlignment="1">
      <alignment textRotation="90"/>
    </xf>
    <xf numFmtId="0" fontId="11" fillId="0" borderId="0" xfId="0" applyFont="1" applyAlignment="1">
      <alignment textRotation="90"/>
    </xf>
    <xf numFmtId="0" fontId="12" fillId="0" borderId="0" xfId="0" applyFont="1" applyAlignment="1">
      <alignment textRotation="90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2" fontId="11" fillId="0" borderId="0" xfId="0" applyNumberFormat="1" applyFont="1"/>
    <xf numFmtId="0" fontId="0" fillId="0" borderId="0" xfId="0" quotePrefix="1" applyAlignment="1">
      <alignment horizontal="right"/>
    </xf>
    <xf numFmtId="2" fontId="14" fillId="0" borderId="0" xfId="0" applyNumberFormat="1" applyFont="1"/>
    <xf numFmtId="2" fontId="15" fillId="0" borderId="0" xfId="0" applyNumberFormat="1" applyFont="1"/>
    <xf numFmtId="0" fontId="0" fillId="3" borderId="0" xfId="0" applyFill="1"/>
    <xf numFmtId="0" fontId="0" fillId="7" borderId="0" xfId="0" applyFill="1"/>
    <xf numFmtId="0" fontId="6" fillId="0" borderId="0" xfId="0" applyFont="1" applyAlignment="1">
      <alignment textRotation="90" wrapText="1"/>
    </xf>
    <xf numFmtId="3" fontId="0" fillId="3" borderId="0" xfId="0" applyNumberFormat="1" applyFill="1"/>
    <xf numFmtId="3" fontId="11" fillId="0" borderId="0" xfId="0" applyNumberFormat="1" applyFont="1"/>
    <xf numFmtId="3" fontId="11" fillId="8" borderId="0" xfId="0" applyNumberFormat="1" applyFont="1" applyFill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2" borderId="0" xfId="0" applyNumberFormat="1" applyFill="1"/>
    <xf numFmtId="0" fontId="6" fillId="0" borderId="0" xfId="0" applyFont="1" applyAlignment="1">
      <alignment wrapText="1"/>
    </xf>
    <xf numFmtId="1" fontId="4" fillId="5" borderId="0" xfId="0" applyNumberFormat="1" applyFont="1" applyFill="1"/>
    <xf numFmtId="1" fontId="0" fillId="0" borderId="0" xfId="0" applyNumberFormat="1"/>
    <xf numFmtId="3" fontId="0" fillId="6" borderId="0" xfId="0" applyNumberFormat="1" applyFill="1"/>
    <xf numFmtId="164" fontId="16" fillId="0" borderId="0" xfId="0" applyNumberFormat="1" applyFont="1"/>
    <xf numFmtId="165" fontId="16" fillId="0" borderId="0" xfId="0" applyNumberFormat="1" applyFont="1"/>
    <xf numFmtId="0" fontId="16" fillId="0" borderId="0" xfId="0" applyFont="1"/>
    <xf numFmtId="0" fontId="18" fillId="0" borderId="0" xfId="1"/>
    <xf numFmtId="3" fontId="18" fillId="0" borderId="0" xfId="1" applyNumberFormat="1"/>
    <xf numFmtId="0" fontId="18" fillId="2" borderId="0" xfId="1" applyFill="1"/>
    <xf numFmtId="0" fontId="5" fillId="0" borderId="0" xfId="1" applyFont="1"/>
    <xf numFmtId="3" fontId="18" fillId="2" borderId="0" xfId="1" applyNumberFormat="1" applyFill="1"/>
    <xf numFmtId="3" fontId="18" fillId="3" borderId="0" xfId="1" applyNumberFormat="1" applyFill="1"/>
    <xf numFmtId="0" fontId="1" fillId="0" borderId="0" xfId="1" applyFont="1"/>
    <xf numFmtId="0" fontId="0" fillId="0" borderId="0" xfId="0" applyAlignment="1">
      <alignment horizontal="right" wrapText="1"/>
    </xf>
    <xf numFmtId="3" fontId="0" fillId="0" borderId="0" xfId="0" applyNumberFormat="1" applyAlignment="1">
      <alignment horizontal="right" wrapText="1"/>
    </xf>
    <xf numFmtId="3" fontId="1" fillId="0" borderId="0" xfId="0" applyNumberFormat="1" applyFont="1"/>
    <xf numFmtId="2" fontId="14" fillId="9" borderId="0" xfId="0" applyNumberFormat="1" applyFont="1" applyFill="1"/>
    <xf numFmtId="0" fontId="0" fillId="0" borderId="0" xfId="1" applyFont="1"/>
    <xf numFmtId="0" fontId="18" fillId="10" borderId="0" xfId="1" applyFill="1"/>
    <xf numFmtId="2" fontId="18" fillId="0" borderId="0" xfId="1" applyNumberFormat="1"/>
    <xf numFmtId="0" fontId="19" fillId="0" borderId="0" xfId="0" applyFont="1"/>
    <xf numFmtId="2" fontId="20" fillId="0" borderId="0" xfId="0" applyNumberFormat="1" applyFont="1"/>
    <xf numFmtId="0" fontId="21" fillId="0" borderId="0" xfId="0" applyFont="1"/>
  </cellXfs>
  <cellStyles count="2">
    <cellStyle name="Normal" xfId="0" builtinId="0"/>
    <cellStyle name="Normal 2" xfId="1" xr:uid="{00000000-0005-0000-0000-000001000000}"/>
  </cellStyles>
  <dxfs count="16412"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alignment horizontal="right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numFmt numFmtId="1" formatCode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</dxfs>
  <tableStyles count="2" defaultTableStyle="TableStyleMedium2" defaultPivotStyle="PivotStyleLight16">
    <tableStyle name="Table Style 1" pivot="0" count="0" xr9:uid="{00000000-0011-0000-FFFF-FFFF00000000}"/>
    <tableStyle name="Table Style 2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IMMSinputData\AnalysisFacilities%23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IMMSinputData\SWE_SKA22_scena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eatingpl"/>
      <sheetName val="P&amp;P"/>
      <sheetName val="CostAnalysis"/>
      <sheetName val="FAOSTAT_data_11-21-2020"/>
      <sheetName val="Scenarios"/>
      <sheetName val="ScenAssump"/>
      <sheetName val="LogFunc"/>
      <sheetName val="Elast"/>
      <sheetName val="BCCS"/>
      <sheetName val="Biofuel"/>
      <sheetName val="ElP&amp;P"/>
      <sheetName val="DF"/>
      <sheetName val="Harvest"/>
      <sheetName val="SetAside"/>
      <sheetName val="SawMill"/>
      <sheetName val="Particle Board"/>
    </sheetNames>
    <sheetDataSet>
      <sheetData sheetId="0"/>
      <sheetData sheetId="1"/>
      <sheetData sheetId="2"/>
      <sheetData sheetId="3">
        <row r="13">
          <cell r="K13">
            <v>1103.6972079610969</v>
          </cell>
          <cell r="L13">
            <v>411.71830985915494</v>
          </cell>
          <cell r="M13">
            <v>403.83098591549293</v>
          </cell>
          <cell r="N13">
            <v>20</v>
          </cell>
        </row>
        <row r="14">
          <cell r="K14">
            <v>1103.6972079610969</v>
          </cell>
          <cell r="L14">
            <v>411.71830985915494</v>
          </cell>
          <cell r="M14">
            <v>403.83098591549293</v>
          </cell>
          <cell r="N14">
            <v>20</v>
          </cell>
        </row>
        <row r="15">
          <cell r="K15">
            <v>1103.6972079610969</v>
          </cell>
          <cell r="L15">
            <v>411.71830985915494</v>
          </cell>
          <cell r="M15">
            <v>403.83098591549293</v>
          </cell>
          <cell r="N15">
            <v>20</v>
          </cell>
        </row>
        <row r="16">
          <cell r="K16">
            <v>1103.6972079610969</v>
          </cell>
          <cell r="L16">
            <v>411.71830985915494</v>
          </cell>
          <cell r="M16">
            <v>403.83098591549293</v>
          </cell>
          <cell r="N16">
            <v>20</v>
          </cell>
        </row>
        <row r="17">
          <cell r="K17">
            <v>1712.8415686390795</v>
          </cell>
          <cell r="L17">
            <v>224.00000000000003</v>
          </cell>
          <cell r="M17">
            <v>0</v>
          </cell>
          <cell r="N17">
            <v>20</v>
          </cell>
        </row>
        <row r="18">
          <cell r="K18">
            <v>171.28415686390781</v>
          </cell>
          <cell r="L18">
            <v>298.66666666666669</v>
          </cell>
          <cell r="M18">
            <v>0</v>
          </cell>
          <cell r="N18">
            <v>20</v>
          </cell>
        </row>
        <row r="19">
          <cell r="K19">
            <v>6782.9208313805875</v>
          </cell>
          <cell r="L19">
            <v>834.23414621983102</v>
          </cell>
          <cell r="M19">
            <v>0</v>
          </cell>
          <cell r="N19">
            <v>20</v>
          </cell>
        </row>
        <row r="20">
          <cell r="K20">
            <v>22350</v>
          </cell>
          <cell r="L20">
            <v>1146.6666666666665</v>
          </cell>
          <cell r="M20">
            <v>866.66666666666652</v>
          </cell>
          <cell r="N20">
            <v>20</v>
          </cell>
        </row>
        <row r="21">
          <cell r="K21">
            <v>19641.379310344826</v>
          </cell>
          <cell r="L21">
            <v>1528.8888888888887</v>
          </cell>
          <cell r="M21">
            <v>1309.4252873563219</v>
          </cell>
          <cell r="N21">
            <v>20</v>
          </cell>
        </row>
        <row r="22">
          <cell r="K22">
            <v>8593.1034482758623</v>
          </cell>
          <cell r="L22">
            <v>1528.8888888888887</v>
          </cell>
          <cell r="M22">
            <v>1309.4252873563219</v>
          </cell>
          <cell r="N22">
            <v>20</v>
          </cell>
        </row>
        <row r="23">
          <cell r="K23">
            <v>22350</v>
          </cell>
          <cell r="L23">
            <v>1146.6666666666665</v>
          </cell>
          <cell r="M23">
            <v>866.66666666666652</v>
          </cell>
          <cell r="N23">
            <v>20</v>
          </cell>
        </row>
        <row r="24">
          <cell r="K24">
            <v>6334.684684684682</v>
          </cell>
          <cell r="L24">
            <v>240</v>
          </cell>
          <cell r="M24">
            <v>333.33333333333348</v>
          </cell>
          <cell r="N24">
            <v>20</v>
          </cell>
        </row>
        <row r="25">
          <cell r="K25">
            <v>8446.2462462462427</v>
          </cell>
          <cell r="L25">
            <v>320</v>
          </cell>
          <cell r="M25">
            <v>444.44444444444463</v>
          </cell>
          <cell r="N25">
            <v>20</v>
          </cell>
        </row>
        <row r="26">
          <cell r="K26">
            <v>5455.9386973180026</v>
          </cell>
          <cell r="L26">
            <v>426.66666666666663</v>
          </cell>
          <cell r="M26">
            <v>363.72924648786682</v>
          </cell>
          <cell r="N26">
            <v>20</v>
          </cell>
        </row>
        <row r="27">
          <cell r="K27">
            <v>4091.9540229885024</v>
          </cell>
          <cell r="L27">
            <v>320</v>
          </cell>
          <cell r="M27">
            <v>272.79693486590014</v>
          </cell>
          <cell r="N27">
            <v>20</v>
          </cell>
        </row>
        <row r="28">
          <cell r="K28">
            <v>1</v>
          </cell>
          <cell r="L28">
            <v>1</v>
          </cell>
          <cell r="M28">
            <v>1</v>
          </cell>
          <cell r="N28">
            <v>20</v>
          </cell>
        </row>
        <row r="29">
          <cell r="K29">
            <v>1</v>
          </cell>
          <cell r="L29">
            <v>1</v>
          </cell>
          <cell r="M29">
            <v>1</v>
          </cell>
          <cell r="N29">
            <v>20</v>
          </cell>
        </row>
        <row r="30">
          <cell r="K30">
            <v>1</v>
          </cell>
          <cell r="L30">
            <v>1</v>
          </cell>
          <cell r="M30">
            <v>1</v>
          </cell>
          <cell r="N30">
            <v>20</v>
          </cell>
        </row>
        <row r="31">
          <cell r="K31">
            <v>1</v>
          </cell>
          <cell r="L31">
            <v>0</v>
          </cell>
          <cell r="M31">
            <v>0</v>
          </cell>
          <cell r="N31">
            <v>999</v>
          </cell>
        </row>
        <row r="32">
          <cell r="K32">
            <v>1</v>
          </cell>
          <cell r="L32">
            <v>0</v>
          </cell>
          <cell r="M32">
            <v>0</v>
          </cell>
          <cell r="N32">
            <v>999</v>
          </cell>
        </row>
        <row r="33">
          <cell r="K33">
            <v>1</v>
          </cell>
          <cell r="L33">
            <v>0</v>
          </cell>
          <cell r="M33">
            <v>0</v>
          </cell>
          <cell r="N33">
            <v>999</v>
          </cell>
        </row>
        <row r="34">
          <cell r="K34">
            <v>1</v>
          </cell>
          <cell r="L34">
            <v>0</v>
          </cell>
          <cell r="M34">
            <v>0</v>
          </cell>
          <cell r="N34">
            <v>999</v>
          </cell>
        </row>
        <row r="35">
          <cell r="K35">
            <v>1</v>
          </cell>
          <cell r="L35">
            <v>0</v>
          </cell>
          <cell r="M35">
            <v>0</v>
          </cell>
          <cell r="N35">
            <v>999</v>
          </cell>
        </row>
        <row r="36">
          <cell r="K36">
            <v>1</v>
          </cell>
          <cell r="L36">
            <v>0</v>
          </cell>
          <cell r="M36">
            <v>0</v>
          </cell>
          <cell r="N36">
            <v>999</v>
          </cell>
        </row>
        <row r="37">
          <cell r="K37">
            <v>791</v>
          </cell>
          <cell r="L37">
            <v>529</v>
          </cell>
          <cell r="M37">
            <v>264</v>
          </cell>
          <cell r="N37">
            <v>20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  <sheetName val="Forest_products"/>
      <sheetName val="Semi_finished_products"/>
      <sheetName val="För SweFor"/>
      <sheetName val="All production"/>
      <sheetName val="All prices"/>
    </sheetNames>
    <sheetDataSet>
      <sheetData sheetId="0"/>
      <sheetData sheetId="1"/>
      <sheetData sheetId="2">
        <row r="9">
          <cell r="F9">
            <v>18.401</v>
          </cell>
          <cell r="G9">
            <v>18.928000000000001</v>
          </cell>
          <cell r="H9">
            <v>18.928000000000001</v>
          </cell>
          <cell r="I9">
            <v>18.928000000000001</v>
          </cell>
          <cell r="J9">
            <v>18.928000000000001</v>
          </cell>
          <cell r="K9">
            <v>18.928000000000001</v>
          </cell>
          <cell r="L9">
            <v>18.928000000000001</v>
          </cell>
          <cell r="M9">
            <v>18.367000000000001</v>
          </cell>
          <cell r="N9">
            <v>18.367000000000001</v>
          </cell>
        </row>
      </sheetData>
      <sheetData sheetId="3"/>
      <sheetData sheetId="4"/>
      <sheetData sheetId="5">
        <row r="20">
          <cell r="F20">
            <v>763</v>
          </cell>
          <cell r="G20">
            <v>542</v>
          </cell>
          <cell r="H20">
            <v>513</v>
          </cell>
          <cell r="I20">
            <v>507</v>
          </cell>
          <cell r="J20">
            <v>511</v>
          </cell>
          <cell r="K20">
            <v>506</v>
          </cell>
          <cell r="L20">
            <v>499</v>
          </cell>
          <cell r="M20">
            <v>480</v>
          </cell>
          <cell r="N20">
            <v>472</v>
          </cell>
        </row>
        <row r="22">
          <cell r="F22">
            <v>451</v>
          </cell>
          <cell r="G22">
            <v>513</v>
          </cell>
          <cell r="H22">
            <v>506</v>
          </cell>
          <cell r="I22">
            <v>496</v>
          </cell>
          <cell r="J22">
            <v>492</v>
          </cell>
          <cell r="K22">
            <v>486</v>
          </cell>
          <cell r="L22">
            <v>482</v>
          </cell>
          <cell r="M22">
            <v>482</v>
          </cell>
          <cell r="N22">
            <v>466</v>
          </cell>
        </row>
        <row r="28">
          <cell r="F28">
            <v>199</v>
          </cell>
          <cell r="G28">
            <v>247</v>
          </cell>
          <cell r="H28">
            <v>196</v>
          </cell>
          <cell r="I28">
            <v>191</v>
          </cell>
          <cell r="J28">
            <v>192</v>
          </cell>
          <cell r="K28">
            <v>198</v>
          </cell>
          <cell r="L28">
            <v>193</v>
          </cell>
          <cell r="M28">
            <v>171</v>
          </cell>
          <cell r="N28">
            <v>168</v>
          </cell>
        </row>
        <row r="30">
          <cell r="F30">
            <v>304</v>
          </cell>
          <cell r="G30">
            <v>275</v>
          </cell>
          <cell r="H30">
            <v>291</v>
          </cell>
          <cell r="I30">
            <v>292</v>
          </cell>
          <cell r="J30">
            <v>279</v>
          </cell>
          <cell r="K30">
            <v>296</v>
          </cell>
          <cell r="L30">
            <v>285</v>
          </cell>
          <cell r="M30">
            <v>281</v>
          </cell>
          <cell r="N30">
            <v>279</v>
          </cell>
        </row>
        <row r="39">
          <cell r="F39">
            <v>654</v>
          </cell>
          <cell r="G39">
            <v>646</v>
          </cell>
          <cell r="H39">
            <v>629</v>
          </cell>
          <cell r="I39">
            <v>653</v>
          </cell>
          <cell r="J39">
            <v>653</v>
          </cell>
          <cell r="K39">
            <v>644</v>
          </cell>
          <cell r="L39">
            <v>644</v>
          </cell>
          <cell r="M39">
            <v>627</v>
          </cell>
          <cell r="N39">
            <v>616</v>
          </cell>
        </row>
        <row r="40">
          <cell r="F40">
            <v>828</v>
          </cell>
          <cell r="G40">
            <v>752</v>
          </cell>
          <cell r="H40">
            <v>737</v>
          </cell>
          <cell r="I40">
            <v>751</v>
          </cell>
          <cell r="J40">
            <v>735</v>
          </cell>
          <cell r="K40">
            <v>719</v>
          </cell>
          <cell r="L40">
            <v>714</v>
          </cell>
          <cell r="M40">
            <v>692</v>
          </cell>
          <cell r="N40">
            <v>680</v>
          </cell>
        </row>
        <row r="41">
          <cell r="F41">
            <v>831</v>
          </cell>
          <cell r="G41">
            <v>845</v>
          </cell>
          <cell r="H41">
            <v>811</v>
          </cell>
          <cell r="I41">
            <v>844</v>
          </cell>
          <cell r="J41">
            <v>846</v>
          </cell>
          <cell r="K41">
            <v>841</v>
          </cell>
          <cell r="L41">
            <v>835</v>
          </cell>
          <cell r="M41">
            <v>816</v>
          </cell>
          <cell r="N41">
            <v>806</v>
          </cell>
        </row>
        <row r="42">
          <cell r="F42">
            <v>871</v>
          </cell>
          <cell r="G42">
            <v>845</v>
          </cell>
          <cell r="H42">
            <v>811</v>
          </cell>
          <cell r="I42">
            <v>803</v>
          </cell>
          <cell r="J42">
            <v>846</v>
          </cell>
          <cell r="K42">
            <v>841</v>
          </cell>
          <cell r="L42">
            <v>835</v>
          </cell>
          <cell r="M42">
            <v>816</v>
          </cell>
          <cell r="N42">
            <v>806</v>
          </cell>
        </row>
        <row r="44">
          <cell r="F44">
            <v>655</v>
          </cell>
          <cell r="G44">
            <v>582</v>
          </cell>
          <cell r="H44">
            <v>601</v>
          </cell>
          <cell r="I44">
            <v>575</v>
          </cell>
          <cell r="J44">
            <v>554</v>
          </cell>
          <cell r="K44">
            <v>552</v>
          </cell>
          <cell r="L44">
            <v>545</v>
          </cell>
          <cell r="M44">
            <v>489</v>
          </cell>
          <cell r="N44">
            <v>473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la Eriksson" id="{B304B007-2523-486C-AD3D-B84324BE713F}" userId="S::ola.eriksson@slu.se::8d893755-c2b6-47a6-8e69-77d6e3d57f5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3" totalsRowShown="0" headerRowDxfId="16411" tableBorderDxfId="16410">
  <tableColumns count="14">
    <tableColumn id="1" xr3:uid="{00000000-0010-0000-0000-000001000000}" name="Factor"/>
    <tableColumn id="2" xr3:uid="{00000000-0010-0000-0000-000002000000}" name="SweFor name"/>
    <tableColumn id="3" xr3:uid="{00000000-0010-0000-0000-000003000000}" name="Unit"/>
    <tableColumn id="4" xr3:uid="{00000000-0010-0000-0000-000004000000}" name="Ela-sticity" dataDxfId="16409"/>
    <tableColumn id="9" xr3:uid="{00000000-0010-0000-0000-000009000000}" name="Commodity type" dataDxfId="16408"/>
    <tableColumn id="6" xr3:uid="{00000000-0010-0000-0000-000006000000}" name="Extrac-tion Rate" dataDxfId="16407"/>
    <tableColumn id="7" xr3:uid="{00000000-0010-0000-0000-000007000000}" name="MinTrpVol" dataDxfId="16406"/>
    <tableColumn id="5" xr3:uid="{00000000-0010-0000-0000-000005000000}" name="TrpFactors" dataDxfId="16405"/>
    <tableColumn id="15" xr3:uid="{00000000-0010-0000-0000-00000F000000}" name="SoilCtype" dataDxfId="16404"/>
    <tableColumn id="10" xr3:uid="{00000000-0010-0000-0000-00000A000000}" name="C per Unit" dataDxfId="16403"/>
    <tableColumn id="11" xr3:uid="{00000000-0010-0000-0000-00000B000000}" name="DF product" dataDxfId="16402"/>
    <tableColumn id="12" xr3:uid="{00000000-0010-0000-0000-00000C000000}" name="DF finish" dataDxfId="16401"/>
    <tableColumn id="13" xr3:uid="{00000000-0010-0000-0000-00000D000000}" name="DF half-life" dataDxfId="16400"/>
    <tableColumn id="14" xr3:uid="{00000000-0010-0000-0000-00000E000000}" name="Initial (tC)" dataDxfId="1639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e8" displayName="Table8" ref="A1:G27" totalsRowShown="0" headerRowDxfId="16398">
  <tableColumns count="7">
    <tableColumn id="1" xr3:uid="{00000000-0010-0000-0100-000001000000}" name="Process"/>
    <tableColumn id="2" xr3:uid="{00000000-0010-0000-0100-000002000000}" name="Invest-ment" dataDxfId="16397">
      <calculatedColumnFormula>[1]CostAnalysis!K13</calculatedColumnFormula>
    </tableColumn>
    <tableColumn id="3" xr3:uid="{00000000-0010-0000-0100-000003000000}" name="Variable cost" dataDxfId="16396">
      <calculatedColumnFormula>[1]CostAnalysis!L13</calculatedColumnFormula>
    </tableColumn>
    <tableColumn id="4" xr3:uid="{00000000-0010-0000-0100-000004000000}" name="Fixed cost" dataDxfId="16395">
      <calculatedColumnFormula>[1]CostAnalysis!M13</calculatedColumnFormula>
    </tableColumn>
    <tableColumn id="5" xr3:uid="{00000000-0010-0000-0100-000005000000}" name="Deprecia-tion period" dataDxfId="16394">
      <calculatedColumnFormula>[1]CostAnalysis!N13</calculatedColumnFormula>
    </tableColumn>
    <tableColumn id="6" xr3:uid="{00000000-0010-0000-0100-000006000000}" name="Output factor for costs " dataDxfId="16393"/>
    <tableColumn id="7" xr3:uid="{817377AA-BEA2-43CE-9594-9921E17C191A}" name="MinCapacity" dataDxfId="1639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73" displayName="Table73" ref="A1:XFD84" totalsRowShown="0" headerRowDxfId="16391" dataDxfId="16390">
  <tableColumns count="16384">
    <tableColumn id="1" xr3:uid="{00000000-0010-0000-0200-000001000000}" name="Column1" dataDxfId="16389"/>
    <tableColumn id="2" xr3:uid="{00000000-0010-0000-0200-000002000000}" name="Column2" dataDxfId="16388"/>
    <tableColumn id="3" xr3:uid="{00000000-0010-0000-0200-000003000000}" name="Column3" dataDxfId="16387"/>
    <tableColumn id="7" xr3:uid="{00000000-0010-0000-0200-000007000000}" name="Column32" dataDxfId="16386"/>
    <tableColumn id="43" xr3:uid="{00000000-0010-0000-0200-00002B000000}" name="Column33" dataDxfId="16385"/>
    <tableColumn id="4" xr3:uid="{00000000-0010-0000-0200-000004000000}" name="Column4" dataDxfId="16384"/>
    <tableColumn id="5" xr3:uid="{00000000-0010-0000-0200-000005000000}" name="1" dataDxfId="16383"/>
    <tableColumn id="6" xr3:uid="{00000000-0010-0000-0200-000006000000}" name="2" dataDxfId="16382"/>
    <tableColumn id="8" xr3:uid="{00000000-0010-0000-0200-000008000000}" name="3" dataDxfId="16381"/>
    <tableColumn id="9" xr3:uid="{00000000-0010-0000-0200-000009000000}" name="4" dataDxfId="16380"/>
    <tableColumn id="10" xr3:uid="{00000000-0010-0000-0200-00000A000000}" name="5" dataDxfId="16379"/>
    <tableColumn id="11" xr3:uid="{00000000-0010-0000-0200-00000B000000}" name="6" dataDxfId="16378"/>
    <tableColumn id="12" xr3:uid="{00000000-0010-0000-0200-00000C000000}" name="7" dataDxfId="16377"/>
    <tableColumn id="13" xr3:uid="{00000000-0010-0000-0200-00000D000000}" name="8" dataDxfId="16376"/>
    <tableColumn id="14" xr3:uid="{00000000-0010-0000-0200-00000E000000}" name="9" dataDxfId="16375"/>
    <tableColumn id="15" xr3:uid="{00000000-0010-0000-0200-00000F000000}" name="10" dataDxfId="16374"/>
    <tableColumn id="16" xr3:uid="{00000000-0010-0000-0200-000010000000}" name="11" dataDxfId="16373"/>
    <tableColumn id="17" xr3:uid="{00000000-0010-0000-0200-000011000000}" name="12" dataDxfId="16372"/>
    <tableColumn id="18" xr3:uid="{00000000-0010-0000-0200-000012000000}" name="13" dataDxfId="16371"/>
    <tableColumn id="19" xr3:uid="{00000000-0010-0000-0200-000013000000}" name="14" dataDxfId="16370"/>
    <tableColumn id="20" xr3:uid="{00000000-0010-0000-0200-000014000000}" name="15" dataDxfId="16369"/>
    <tableColumn id="21" xr3:uid="{00000000-0010-0000-0200-000015000000}" name="16" dataDxfId="16368"/>
    <tableColumn id="22" xr3:uid="{00000000-0010-0000-0200-000016000000}" name="17" dataDxfId="16367"/>
    <tableColumn id="23" xr3:uid="{00000000-0010-0000-0200-000017000000}" name="18" dataDxfId="16366"/>
    <tableColumn id="24" xr3:uid="{00000000-0010-0000-0200-000018000000}" name="19" dataDxfId="16365"/>
    <tableColumn id="25" xr3:uid="{00000000-0010-0000-0200-000019000000}" name="20" dataDxfId="16364"/>
    <tableColumn id="26" xr3:uid="{00000000-0010-0000-0200-00001A000000}" name="21" dataDxfId="16363"/>
    <tableColumn id="27" xr3:uid="{00000000-0010-0000-0200-00001B000000}" name="22" dataDxfId="16362"/>
    <tableColumn id="28" xr3:uid="{00000000-0010-0000-0200-00001C000000}" name="23" dataDxfId="16361"/>
    <tableColumn id="29" xr3:uid="{00000000-0010-0000-0200-00001D000000}" name="24" dataDxfId="16360"/>
    <tableColumn id="30" xr3:uid="{00000000-0010-0000-0200-00001E000000}" name="25" dataDxfId="16359"/>
    <tableColumn id="44" xr3:uid="{00000000-0010-0000-0200-00002C000000}" name="252" dataDxfId="16358"/>
    <tableColumn id="46" xr3:uid="{00000000-0010-0000-0200-00002E000000}" name="253" dataDxfId="16357"/>
    <tableColumn id="47" xr3:uid="{00000000-0010-0000-0200-00002F000000}" name="254" dataDxfId="16356"/>
    <tableColumn id="48" xr3:uid="{00000000-0010-0000-0200-000030000000}" name="255" dataDxfId="16355"/>
    <tableColumn id="49" xr3:uid="{00000000-0010-0000-0200-000031000000}" name="256" dataDxfId="16354"/>
    <tableColumn id="52" xr3:uid="{00000000-0010-0000-0200-000034000000}" name="257" dataDxfId="16353"/>
    <tableColumn id="31" xr3:uid="{A7E6C18C-C3B9-4634-9700-347DE3B2D202}" name="258" dataDxfId="16352"/>
    <tableColumn id="32" xr3:uid="{F1F3C754-9D79-442E-A9B2-84E2F0F40DCF}" name="259" dataDxfId="16351"/>
    <tableColumn id="33" xr3:uid="{EED2B87F-F781-4733-B576-CB24EF73AE93}" name="260" dataDxfId="16350"/>
    <tableColumn id="34" xr3:uid="{D75E96D6-E457-4A04-B91A-346C1CB436EC}" name="261" dataDxfId="16349"/>
    <tableColumn id="35" xr3:uid="{E36B333F-E96A-4137-A20A-E498D9483B83}" name="262" dataDxfId="16348"/>
    <tableColumn id="36" xr3:uid="{8A061ACE-B81A-46EA-9A6D-FD5D3D2E8CDC}" name="263" dataDxfId="16347"/>
    <tableColumn id="37" xr3:uid="{C6DE581A-5D7E-40C2-AC42-E5ACE5648AC0}" name="264" dataDxfId="16346"/>
    <tableColumn id="38" xr3:uid="{533F1F4F-73B9-43C6-B30E-8AC1EB5A5B68}" name="265" dataDxfId="16345"/>
    <tableColumn id="39" xr3:uid="{E62E9323-AA2B-46F2-9C0B-8C1BE47F6C5E}" name="266" dataDxfId="16344"/>
    <tableColumn id="40" xr3:uid="{8166058E-D5CC-42BC-93CA-F448E3C4E18D}" name="267" dataDxfId="16343"/>
    <tableColumn id="41" xr3:uid="{3251A708-521A-4DFF-A854-560F33A72690}" name="268" dataDxfId="16342"/>
    <tableColumn id="42" xr3:uid="{D16339E8-87CF-4C6A-80D2-0E898FCD1C1B}" name="269" dataDxfId="16341"/>
    <tableColumn id="45" xr3:uid="{BEC33DD7-D2BF-40DE-AE5F-598A594507EC}" name="270" dataDxfId="16340"/>
    <tableColumn id="50" xr3:uid="{2109CB15-BF8F-4887-9DB0-66B11061689B}" name="271" dataDxfId="16339"/>
    <tableColumn id="51" xr3:uid="{E52D381D-D56A-42DA-8DD6-DCD3361E0FDA}" name="272" dataDxfId="16338"/>
    <tableColumn id="53" xr3:uid="{71311E68-741C-46F6-9138-EEC68D03D1E7}" name="273" dataDxfId="16337"/>
    <tableColumn id="54" xr3:uid="{1E8128E5-8341-4EC5-9435-09230CB34245}" name="274" dataDxfId="16336"/>
    <tableColumn id="55" xr3:uid="{A04A88EF-3A37-4CFE-A3F2-92B4F1C82B4F}" name="275" dataDxfId="16335"/>
    <tableColumn id="56" xr3:uid="{685E69D8-29F3-4DDE-80E4-24717A35932D}" name="276" dataDxfId="16334"/>
    <tableColumn id="57" xr3:uid="{096251B5-0A57-4A58-82DA-A0CA0FC346E5}" name="277" dataDxfId="16333"/>
    <tableColumn id="58" xr3:uid="{D1651540-A0B4-4D4A-B008-58F949021551}" name="278" dataDxfId="16332"/>
    <tableColumn id="59" xr3:uid="{65876A6C-1BB9-4E43-9868-199095944150}" name="279" dataDxfId="16331"/>
    <tableColumn id="60" xr3:uid="{916F8177-5146-4F2E-A057-BC62819F42EA}" name="280" dataDxfId="16330"/>
    <tableColumn id="61" xr3:uid="{DF0C3D96-9AC4-4565-A335-86E9F8FD77FE}" name="281" dataDxfId="16329"/>
    <tableColumn id="62" xr3:uid="{40D4E58F-E4E9-425E-B1D5-13E26EA7E84B}" name="282" dataDxfId="16328"/>
    <tableColumn id="63" xr3:uid="{3548EC07-47EF-4814-BCD1-CCE3239AADA7}" name="283" dataDxfId="16327"/>
    <tableColumn id="64" xr3:uid="{C863D271-B841-4A33-9D5A-9D5A1D35BFA2}" name="284" dataDxfId="16326"/>
    <tableColumn id="65" xr3:uid="{7FAFD607-A74E-49D3-A928-1970928A3BD2}" name="285" dataDxfId="16325"/>
    <tableColumn id="66" xr3:uid="{5D744267-3516-4A4A-992C-887147E5739A}" name="286" dataDxfId="16324"/>
    <tableColumn id="67" xr3:uid="{DADDA9D9-A1A8-48D5-8E94-7F5CF75943B8}" name="287" dataDxfId="16323"/>
    <tableColumn id="68" xr3:uid="{72455C82-94BB-4C0D-B187-90A47CC06E84}" name="288" dataDxfId="16322"/>
    <tableColumn id="69" xr3:uid="{F3D54DA9-F623-4A5B-82A4-B32882328095}" name="289" dataDxfId="16321"/>
    <tableColumn id="70" xr3:uid="{FC973B25-C785-4A91-B262-02C9B6495847}" name="290" dataDxfId="16320"/>
    <tableColumn id="71" xr3:uid="{93942E97-6F54-478B-B5EB-2947E78569CD}" name="291" dataDxfId="16319"/>
    <tableColumn id="72" xr3:uid="{16A9BBCC-BEEF-46C8-82EB-6FE15328C749}" name="292" dataDxfId="16318"/>
    <tableColumn id="73" xr3:uid="{8FC52DF0-8915-4A8A-8B17-983F2FABB0CF}" name="293" dataDxfId="16317"/>
    <tableColumn id="74" xr3:uid="{1BE28A55-DA13-463B-A69B-61B00E5DA920}" name="294" dataDxfId="16316"/>
    <tableColumn id="75" xr3:uid="{EC5A2A9A-3FA8-47F2-B801-BBD2BD173323}" name="295" dataDxfId="16315"/>
    <tableColumn id="76" xr3:uid="{8FF10828-DC92-4FD7-8BC8-6D4617B37B9C}" name="296" dataDxfId="16314"/>
    <tableColumn id="77" xr3:uid="{88B0F889-6A13-4AE3-AE21-D473E9E3AEE6}" name="297" dataDxfId="16313"/>
    <tableColumn id="78" xr3:uid="{E255C259-EC53-4D31-A75B-4387A393E652}" name="298" dataDxfId="16312"/>
    <tableColumn id="79" xr3:uid="{87D60711-761B-43AC-8888-8CBA59E677CC}" name="299" dataDxfId="16311"/>
    <tableColumn id="80" xr3:uid="{BA5EC918-E4D4-46AE-A452-97F403E75B61}" name="300" dataDxfId="16310"/>
    <tableColumn id="81" xr3:uid="{1D041316-F1C4-45CA-A6F2-20796C609CF0}" name="301" dataDxfId="16309"/>
    <tableColumn id="82" xr3:uid="{A9856F7B-E9B7-408E-BF59-58F2BA89560D}" name="302" dataDxfId="16308"/>
    <tableColumn id="83" xr3:uid="{91A397D5-0E0B-4FA6-BA12-6831A47B7291}" name="303" dataDxfId="16307"/>
    <tableColumn id="84" xr3:uid="{813C04F1-60EB-445D-BDDF-10C464F4295F}" name="304" dataDxfId="16306"/>
    <tableColumn id="85" xr3:uid="{581119C9-D2EB-4108-8D5A-DB68859DF57E}" name="305" dataDxfId="16305"/>
    <tableColumn id="86" xr3:uid="{B4D90FE5-03DF-465E-A3CB-516663CF76F9}" name="306" dataDxfId="16304"/>
    <tableColumn id="87" xr3:uid="{1B1954BB-EF12-4A7F-83B8-3205ED95A86C}" name="307" dataDxfId="16303"/>
    <tableColumn id="88" xr3:uid="{32891FA1-5466-4E21-B2A4-FAFE4E18E372}" name="308" dataDxfId="16302"/>
    <tableColumn id="89" xr3:uid="{A2C91A56-B6AB-4621-86FC-E0629464D3E4}" name="309" dataDxfId="16301"/>
    <tableColumn id="90" xr3:uid="{648443AD-A545-47A7-AE66-0DA11DA654D5}" name="310" dataDxfId="16300"/>
    <tableColumn id="91" xr3:uid="{53DE2227-8663-4A0A-96A5-59AE396E1231}" name="311" dataDxfId="16299"/>
    <tableColumn id="92" xr3:uid="{7F2E3FFB-1C88-4CE1-AF2E-43D731A133E0}" name="312" dataDxfId="16298"/>
    <tableColumn id="93" xr3:uid="{C9140854-E6D9-4D06-A8F1-1310F129712F}" name="313" dataDxfId="16297"/>
    <tableColumn id="94" xr3:uid="{9A38C8F5-1E54-4263-9500-CD8EEB3B6717}" name="314" dataDxfId="16296"/>
    <tableColumn id="95" xr3:uid="{46A5F258-B7B8-4CE4-BE70-2F097BD4FC73}" name="315" dataDxfId="16295"/>
    <tableColumn id="96" xr3:uid="{6957D01C-8765-45C5-9C55-C4C98A288CDB}" name="316" dataDxfId="16294"/>
    <tableColumn id="97" xr3:uid="{E8A137E5-84C2-4F81-9152-CD14EDFBB30A}" name="317" dataDxfId="16293"/>
    <tableColumn id="98" xr3:uid="{D51EB231-574E-4933-9DF9-ACE2563C77D9}" name="318" dataDxfId="16292"/>
    <tableColumn id="99" xr3:uid="{A09432EB-22D7-4B34-BF20-23B27BB4736B}" name="319" dataDxfId="16291"/>
    <tableColumn id="100" xr3:uid="{DA5CF821-C9AB-422C-81A2-F81CD8EEF2EB}" name="320" dataDxfId="16290"/>
    <tableColumn id="101" xr3:uid="{8F128DB0-A37F-4586-BD11-9B20BAF15D1C}" name="321" dataDxfId="16289"/>
    <tableColumn id="102" xr3:uid="{5BB50723-F556-4BA3-BBC8-4718E9C93C62}" name="322" dataDxfId="16288"/>
    <tableColumn id="103" xr3:uid="{E3991545-3251-488F-950B-83192CC1D86F}" name="323" dataDxfId="16287"/>
    <tableColumn id="104" xr3:uid="{EDA3987B-A81C-4658-81E9-3A338F47B27B}" name="324" dataDxfId="16286"/>
    <tableColumn id="105" xr3:uid="{3A62B000-1AF6-43EF-8D2F-117F70E6749D}" name="325" dataDxfId="16285"/>
    <tableColumn id="106" xr3:uid="{0579F08E-C6DC-4A72-B022-118EB4F9F259}" name="326" dataDxfId="16284"/>
    <tableColumn id="107" xr3:uid="{26720F9A-EC00-40BE-8582-904814B30794}" name="327" dataDxfId="16283"/>
    <tableColumn id="108" xr3:uid="{2FBA325B-F76A-44AE-B118-B388B2D1A19C}" name="328" dataDxfId="16282"/>
    <tableColumn id="109" xr3:uid="{35A8746B-2B6A-4B40-A66C-767B93E55589}" name="329" dataDxfId="16281"/>
    <tableColumn id="110" xr3:uid="{9C4A4C17-3784-4D68-A50B-2832DB89334E}" name="330" dataDxfId="16280"/>
    <tableColumn id="111" xr3:uid="{E6A1E7A2-D59D-4106-A70D-12A43EEBFDE8}" name="331" dataDxfId="16279"/>
    <tableColumn id="112" xr3:uid="{25741A11-EEE0-49AD-AE47-F7AFA5E163AA}" name="332" dataDxfId="16278"/>
    <tableColumn id="113" xr3:uid="{63B42A0F-2DA0-45BA-B063-F3BB6DC76EAC}" name="333" dataDxfId="16277"/>
    <tableColumn id="114" xr3:uid="{20CC7753-C3CE-44EA-A77B-2A935818277F}" name="334" dataDxfId="16276"/>
    <tableColumn id="115" xr3:uid="{FC5E6819-FC62-49C3-9B26-979044161DE8}" name="335" dataDxfId="16275"/>
    <tableColumn id="116" xr3:uid="{D45D95AA-C217-4B56-BE03-339649B87121}" name="336" dataDxfId="16274"/>
    <tableColumn id="117" xr3:uid="{6DEC1851-F3A6-4748-AF38-F563793C00A3}" name="337" dataDxfId="16273"/>
    <tableColumn id="118" xr3:uid="{AD79CC6F-6218-4F35-A973-C8F4F0A9C8D4}" name="338" dataDxfId="16272"/>
    <tableColumn id="119" xr3:uid="{4FB7456A-4259-4C18-ADCA-7F1498B46BD7}" name="339" dataDxfId="16271"/>
    <tableColumn id="120" xr3:uid="{2A703DDF-A517-4D0B-882E-2E165C160C9D}" name="340" dataDxfId="16270"/>
    <tableColumn id="121" xr3:uid="{314A872F-F84E-4A6C-A2AA-16B339A553FB}" name="341" dataDxfId="16269"/>
    <tableColumn id="122" xr3:uid="{EAFA44F0-CC4A-49E8-A476-C01B71076C63}" name="342" dataDxfId="16268"/>
    <tableColumn id="123" xr3:uid="{A14946B7-C3BE-409F-8392-EED6B5813EF5}" name="343" dataDxfId="16267"/>
    <tableColumn id="124" xr3:uid="{6D6F43A7-80FA-4C4D-9533-94DF0BE6BEEC}" name="344" dataDxfId="16266"/>
    <tableColumn id="125" xr3:uid="{B17EAA64-CF24-42C2-8247-0DCD28C14252}" name="345" dataDxfId="16265"/>
    <tableColumn id="126" xr3:uid="{22D3ACDE-FF65-40DB-95E0-2B372B18417C}" name="346" dataDxfId="16264"/>
    <tableColumn id="127" xr3:uid="{CBE357D4-C9AD-426A-94E0-F6BD2CE18D38}" name="347" dataDxfId="16263"/>
    <tableColumn id="128" xr3:uid="{3E9D3561-C202-4936-ACEB-080146FED01C}" name="348" dataDxfId="16262"/>
    <tableColumn id="129" xr3:uid="{5E350940-7D0E-4F25-B75A-288483E938C1}" name="349" dataDxfId="16261"/>
    <tableColumn id="130" xr3:uid="{09FB7F99-8AD8-490A-95B7-B12320BDAE43}" name="350" dataDxfId="16260"/>
    <tableColumn id="131" xr3:uid="{9D4C295C-0369-4B1E-A02B-D94B7AD9025A}" name="351" dataDxfId="16259"/>
    <tableColumn id="132" xr3:uid="{EBFAAE0D-0432-4942-9CE1-EE0474F82D1E}" name="352" dataDxfId="16258"/>
    <tableColumn id="133" xr3:uid="{5835F938-6B29-4E20-AE0A-6E6DBC07CDF3}" name="353" dataDxfId="16257"/>
    <tableColumn id="134" xr3:uid="{4F267C67-AF18-4D70-8870-9AE6E768F3F1}" name="354" dataDxfId="16256"/>
    <tableColumn id="135" xr3:uid="{351C1448-626E-44E4-BAD5-1A7E1C690BF2}" name="355" dataDxfId="16255"/>
    <tableColumn id="136" xr3:uid="{AA1D0062-D01C-4F0E-A990-34D26B825D10}" name="356" dataDxfId="16254"/>
    <tableColumn id="137" xr3:uid="{A1EDF488-DB8B-441F-A7FB-7397D9C60C69}" name="357" dataDxfId="16253"/>
    <tableColumn id="138" xr3:uid="{E97562A2-5BB6-4423-B6F4-3F1DC7824539}" name="358" dataDxfId="16252"/>
    <tableColumn id="139" xr3:uid="{2E732E32-E744-405D-8BF4-235119CDE76D}" name="359" dataDxfId="16251"/>
    <tableColumn id="140" xr3:uid="{E1E9D506-23EE-4D9B-8900-B555212763CF}" name="360" dataDxfId="16250"/>
    <tableColumn id="141" xr3:uid="{B1ED28EB-8B68-4DED-B25D-F6DD1C11D6EB}" name="361" dataDxfId="16249"/>
    <tableColumn id="142" xr3:uid="{EAD4AEC6-2522-48A8-B4EB-04F42CABF816}" name="362" dataDxfId="16248"/>
    <tableColumn id="143" xr3:uid="{60156DA3-A4A3-4062-BB47-89BB9C9AEEC2}" name="363" dataDxfId="16247"/>
    <tableColumn id="144" xr3:uid="{53B28330-F0C3-42CE-AC9F-D6D5E14A7B97}" name="364" dataDxfId="16246"/>
    <tableColumn id="145" xr3:uid="{C4D01DA9-F1D3-4FFE-9410-BF90E0B3DBFB}" name="365" dataDxfId="16245"/>
    <tableColumn id="146" xr3:uid="{7A5A5B40-4CF0-46FF-B2BE-0343F01CEA7A}" name="366" dataDxfId="16244"/>
    <tableColumn id="147" xr3:uid="{72DF402E-96FA-424D-BCB2-A683A928864D}" name="367" dataDxfId="16243"/>
    <tableColumn id="148" xr3:uid="{C0A0AE43-14F2-4ED2-B194-AB3C5D7BB253}" name="368" dataDxfId="16242"/>
    <tableColumn id="149" xr3:uid="{58ED4CE1-2ED7-43C5-ADA1-E8BFF7642089}" name="369" dataDxfId="16241"/>
    <tableColumn id="150" xr3:uid="{D974993F-10A9-4407-AD35-17D6209833E4}" name="370" dataDxfId="16240"/>
    <tableColumn id="151" xr3:uid="{D9CE5F16-EC3C-454B-A0E0-2CB094A1F953}" name="371" dataDxfId="16239"/>
    <tableColumn id="152" xr3:uid="{9B242E6A-CFBB-4B71-9790-CFBEFF11FBEE}" name="372" dataDxfId="16238"/>
    <tableColumn id="153" xr3:uid="{99076001-A192-4347-9BEF-801DB8BA3B9E}" name="373" dataDxfId="16237"/>
    <tableColumn id="154" xr3:uid="{C1EFFF72-7352-445D-86FE-D3A8B56C5BD4}" name="374" dataDxfId="16236"/>
    <tableColumn id="155" xr3:uid="{AAEFE131-E5C1-4631-8790-FADCD2CF6EEE}" name="375" dataDxfId="16235"/>
    <tableColumn id="156" xr3:uid="{330A6188-0611-42B8-898D-94D73E74A303}" name="376" dataDxfId="16234"/>
    <tableColumn id="157" xr3:uid="{C43724E9-D0D4-4D55-AC55-0F2751B6AD5A}" name="377" dataDxfId="16233"/>
    <tableColumn id="158" xr3:uid="{D2F72AA2-620F-430A-B5C9-F2E6C525D311}" name="378" dataDxfId="16232"/>
    <tableColumn id="159" xr3:uid="{755531E7-14C5-480C-A214-B210A0769081}" name="379" dataDxfId="16231"/>
    <tableColumn id="160" xr3:uid="{4F3C701B-F6A5-44B2-B7EB-0174AA7A1F41}" name="380" dataDxfId="16230"/>
    <tableColumn id="161" xr3:uid="{29622BE3-5C7A-47FE-A0C2-8F36294D07BA}" name="381" dataDxfId="16229"/>
    <tableColumn id="162" xr3:uid="{5357A39F-E973-4D41-9F39-198B3B04779E}" name="382" dataDxfId="16228"/>
    <tableColumn id="163" xr3:uid="{285E6B4C-E92A-415B-9AEA-528F651E5393}" name="383" dataDxfId="16227"/>
    <tableColumn id="164" xr3:uid="{3CDBDDFC-77DB-4AC7-930F-FC02B878BDC0}" name="384" dataDxfId="16226"/>
    <tableColumn id="165" xr3:uid="{953EB84E-2E99-408B-9AF4-DC1A4CEE5ACD}" name="385" dataDxfId="16225"/>
    <tableColumn id="166" xr3:uid="{5DD4F1B7-1842-4FE1-921B-C2F81E67B64B}" name="386" dataDxfId="16224"/>
    <tableColumn id="167" xr3:uid="{69314C6C-606A-4F0F-8DF1-E6DF5A1076F4}" name="387" dataDxfId="16223"/>
    <tableColumn id="168" xr3:uid="{C23F31B6-E758-4780-AE31-268D4BCDED74}" name="388" dataDxfId="16222"/>
    <tableColumn id="169" xr3:uid="{C1718E8D-4188-4EF5-B710-BFB8D7AC4091}" name="389" dataDxfId="16221"/>
    <tableColumn id="170" xr3:uid="{EDA0677D-5B67-4A82-AD5E-2599760CF5E3}" name="390" dataDxfId="16220"/>
    <tableColumn id="171" xr3:uid="{F4E9BEF3-2972-4988-A4BE-03E180016724}" name="391" dataDxfId="16219"/>
    <tableColumn id="172" xr3:uid="{04AEEFFE-D7BE-47B0-A763-39B395415C7F}" name="392" dataDxfId="16218"/>
    <tableColumn id="173" xr3:uid="{9B8A07D6-086B-4FB2-80FE-A5B6EBB76A66}" name="393" dataDxfId="16217"/>
    <tableColumn id="174" xr3:uid="{AC0CC7FE-7568-47E3-9B79-63D27BE892E0}" name="394" dataDxfId="16216"/>
    <tableColumn id="175" xr3:uid="{430BB815-EE99-43A0-8942-F5AD1C4DEC7A}" name="395" dataDxfId="16215"/>
    <tableColumn id="176" xr3:uid="{4888ACD9-1EB1-4DB0-A014-4416B856752B}" name="396" dataDxfId="16214"/>
    <tableColumn id="177" xr3:uid="{CB1DA6F4-FC29-466A-BDE1-E2E27BD313B8}" name="397" dataDxfId="16213"/>
    <tableColumn id="178" xr3:uid="{2678F51E-A38E-4429-833E-9558D772CADA}" name="398" dataDxfId="16212"/>
    <tableColumn id="179" xr3:uid="{C0FF1E71-E87B-46D5-88CB-ACA29FBEA474}" name="399" dataDxfId="16211"/>
    <tableColumn id="180" xr3:uid="{2DAEA0CA-2BA9-42E3-B978-63B0D7183899}" name="400" dataDxfId="16210"/>
    <tableColumn id="181" xr3:uid="{0C572EF4-35C6-4BC0-928D-80FBEEBC4494}" name="401" dataDxfId="16209"/>
    <tableColumn id="182" xr3:uid="{030EDEB2-3A17-4726-8A83-6056817975A0}" name="402" dataDxfId="16208"/>
    <tableColumn id="183" xr3:uid="{AF0F385A-338A-4B22-996C-37EE0B51934C}" name="403" dataDxfId="16207"/>
    <tableColumn id="184" xr3:uid="{D591D8DC-7FAD-490F-A209-16F8B26467AD}" name="404" dataDxfId="16206"/>
    <tableColumn id="185" xr3:uid="{C0922468-D4C3-4CB7-843E-A9C000E31B6E}" name="405" dataDxfId="16205"/>
    <tableColumn id="186" xr3:uid="{7FF1F5A6-7D46-44E2-95FA-602024EA4B62}" name="406" dataDxfId="16204"/>
    <tableColumn id="187" xr3:uid="{FA2B8FAD-583F-40F7-8957-4B9A32768EC2}" name="407" dataDxfId="16203"/>
    <tableColumn id="188" xr3:uid="{2F0752C4-D8A1-43D7-9029-983A950777F4}" name="408" dataDxfId="16202"/>
    <tableColumn id="189" xr3:uid="{F25B85D6-B3DE-4706-AC47-DE0E2DC8271E}" name="409" dataDxfId="16201"/>
    <tableColumn id="190" xr3:uid="{1923062F-9A61-4DE7-85B2-2518A5C4DDA8}" name="410" dataDxfId="16200"/>
    <tableColumn id="191" xr3:uid="{A2F8EC07-0426-4E9E-85C8-148FED00A986}" name="411" dataDxfId="16199"/>
    <tableColumn id="192" xr3:uid="{4C3A7F22-31EC-4669-B849-D55A819B4DFE}" name="412" dataDxfId="16198"/>
    <tableColumn id="193" xr3:uid="{6FAED993-6F83-462F-8EF6-D0539633FA00}" name="413" dataDxfId="16197"/>
    <tableColumn id="194" xr3:uid="{C3319232-6F37-47E2-9E7F-4AF78C7D5DD2}" name="414" dataDxfId="16196"/>
    <tableColumn id="195" xr3:uid="{3D9BE894-A75F-4631-918E-935B33DA0FF3}" name="415" dataDxfId="16195"/>
    <tableColumn id="196" xr3:uid="{4AF432A1-9467-45B6-BED4-0F5C5FBD3B8C}" name="416" dataDxfId="16194"/>
    <tableColumn id="197" xr3:uid="{352A9650-B9A9-42AC-AD95-DD079CC4023B}" name="417" dataDxfId="16193"/>
    <tableColumn id="198" xr3:uid="{FE9EB99C-F2F4-40F5-ADE1-06085860325B}" name="418" dataDxfId="16192"/>
    <tableColumn id="199" xr3:uid="{DBA93026-D2D0-42CE-86B5-C7E4B795403C}" name="419" dataDxfId="16191"/>
    <tableColumn id="200" xr3:uid="{0C7F6CA3-62FD-41AE-AF14-976B1D332BF9}" name="420" dataDxfId="16190"/>
    <tableColumn id="201" xr3:uid="{48E95307-F8E7-4E3E-A12E-BAD5D28DE81E}" name="421" dataDxfId="16189"/>
    <tableColumn id="202" xr3:uid="{89C45F6E-CC49-4F3C-8BD2-0DDF22FCAC64}" name="422" dataDxfId="16188"/>
    <tableColumn id="203" xr3:uid="{76FD0B4E-4482-4DAB-9B19-948F43CBC1EA}" name="423" dataDxfId="16187"/>
    <tableColumn id="204" xr3:uid="{421FD059-32C7-42B0-9725-89966E3B42CD}" name="424" dataDxfId="16186"/>
    <tableColumn id="205" xr3:uid="{D9EC8FE2-1CE5-476D-8081-0CBC7DC8D4E1}" name="425" dataDxfId="16185"/>
    <tableColumn id="206" xr3:uid="{B5CF406E-FF37-4240-BAAF-64C975DFDC73}" name="426" dataDxfId="16184"/>
    <tableColumn id="207" xr3:uid="{EBB71970-E984-4EAF-A612-5509550E24DA}" name="427" dataDxfId="16183"/>
    <tableColumn id="208" xr3:uid="{2ED3D0F2-863D-4B3C-AF92-D4105611348A}" name="428" dataDxfId="16182"/>
    <tableColumn id="209" xr3:uid="{58E7F7E2-8F8B-488D-B6E2-2A1B88B497F0}" name="429" dataDxfId="16181"/>
    <tableColumn id="210" xr3:uid="{013F1835-4A67-4436-865E-4436B55D9C58}" name="430" dataDxfId="16180"/>
    <tableColumn id="211" xr3:uid="{B0D67471-493A-434C-881B-F857B1192ADE}" name="431" dataDxfId="16179"/>
    <tableColumn id="212" xr3:uid="{FF661205-C37D-4A12-8FCC-089B9DEF6142}" name="432" dataDxfId="16178"/>
    <tableColumn id="213" xr3:uid="{B3CB2871-00E9-4226-8CFE-A8A8826D4950}" name="433" dataDxfId="16177"/>
    <tableColumn id="214" xr3:uid="{4DE3B18D-8A37-44BC-A0A1-76EED44FBC46}" name="434" dataDxfId="16176"/>
    <tableColumn id="215" xr3:uid="{6494A13A-68E8-47B1-9566-F472923D335F}" name="435" dataDxfId="16175"/>
    <tableColumn id="216" xr3:uid="{B03D8316-3C29-4709-A0A1-B99233487FA9}" name="436" dataDxfId="16174"/>
    <tableColumn id="217" xr3:uid="{23B647BE-B652-4ACB-AAAA-0B3619AA7B0F}" name="437" dataDxfId="16173"/>
    <tableColumn id="218" xr3:uid="{ADB82210-FD4F-4A74-A818-76275CCC15CC}" name="438" dataDxfId="16172"/>
    <tableColumn id="219" xr3:uid="{10E59DCA-1360-44E7-B61F-038D94300493}" name="439" dataDxfId="16171"/>
    <tableColumn id="220" xr3:uid="{96DDD910-07FD-4C7E-B4E0-435C7F4E2509}" name="440" dataDxfId="16170"/>
    <tableColumn id="221" xr3:uid="{5F505135-6BD2-49F7-BCD1-632C1461E208}" name="441" dataDxfId="16169"/>
    <tableColumn id="222" xr3:uid="{9B5824D3-075E-49C5-810E-6CCCC1B0B280}" name="442" dataDxfId="16168"/>
    <tableColumn id="223" xr3:uid="{CE8634F6-54E0-4D21-AD65-E053877D7F0E}" name="443" dataDxfId="16167"/>
    <tableColumn id="224" xr3:uid="{D297879A-7EAE-429E-8373-50A683543110}" name="444" dataDxfId="16166"/>
    <tableColumn id="225" xr3:uid="{E6947115-B255-408C-A745-65A2767D4E73}" name="445" dataDxfId="16165"/>
    <tableColumn id="226" xr3:uid="{A0D6C1F8-294D-49AB-87E7-A617AFCADEE6}" name="446" dataDxfId="16164"/>
    <tableColumn id="227" xr3:uid="{064A85A2-CE48-411C-B9BF-3BA9B05ECFD4}" name="447" dataDxfId="16163"/>
    <tableColumn id="228" xr3:uid="{EA1C078C-701A-480D-AF2E-9CE5834C3999}" name="448" dataDxfId="16162"/>
    <tableColumn id="229" xr3:uid="{4D6DE699-E8A3-44B5-9018-428D96566ACD}" name="449" dataDxfId="16161"/>
    <tableColumn id="230" xr3:uid="{49BB0070-AA3D-4159-A9BC-08788BE0CBAA}" name="450" dataDxfId="16160"/>
    <tableColumn id="231" xr3:uid="{3914B56E-7296-45D5-9AE7-0B50887D9A72}" name="451" dataDxfId="16159"/>
    <tableColumn id="232" xr3:uid="{28F40C7B-6E8C-46B2-953A-A573819ED901}" name="452" dataDxfId="16158"/>
    <tableColumn id="233" xr3:uid="{8A947AB1-B8DA-4087-B0B2-39BA6ED38875}" name="453" dataDxfId="16157"/>
    <tableColumn id="234" xr3:uid="{762F3BC1-789D-4BD5-A9B3-A3A263AF6E73}" name="454" dataDxfId="16156"/>
    <tableColumn id="235" xr3:uid="{1488D579-9606-46E1-A020-8150DF04F575}" name="455" dataDxfId="16155"/>
    <tableColumn id="236" xr3:uid="{01B6EA70-C9F7-4DD0-A4BE-47057983B1FA}" name="456" dataDxfId="16154"/>
    <tableColumn id="237" xr3:uid="{7CC1A2B9-945C-452B-A22E-50AC5C99E48D}" name="457" dataDxfId="16153"/>
    <tableColumn id="238" xr3:uid="{3CC196DC-EDD6-41E7-81A1-EF328DF4892B}" name="458" dataDxfId="16152"/>
    <tableColumn id="239" xr3:uid="{41D615D2-3210-4008-AA45-177B32BBD4F4}" name="459" dataDxfId="16151"/>
    <tableColumn id="240" xr3:uid="{B714A4DA-935E-48B7-8E86-B95D94F82676}" name="460" dataDxfId="16150"/>
    <tableColumn id="241" xr3:uid="{80FC8044-8E00-4F8F-AFBF-D7FF837840DE}" name="461" dataDxfId="16149"/>
    <tableColumn id="242" xr3:uid="{2A90DC3E-5823-425C-8FC1-4E77EFF2489E}" name="462" dataDxfId="16148"/>
    <tableColumn id="243" xr3:uid="{688769BD-63D7-4A06-93D8-0BBDACE80408}" name="463" dataDxfId="16147"/>
    <tableColumn id="244" xr3:uid="{36DAD81D-65DD-45CD-B5B9-F25D8F3E6DD3}" name="464" dataDxfId="16146"/>
    <tableColumn id="245" xr3:uid="{A2E69126-7F46-4A2B-AEF9-78A2845EFE01}" name="465" dataDxfId="16145"/>
    <tableColumn id="246" xr3:uid="{AB8B586F-0C23-49D2-90CA-E4265A268587}" name="466" dataDxfId="16144"/>
    <tableColumn id="247" xr3:uid="{99245FFB-E74B-4C3E-9159-E77330D85747}" name="467" dataDxfId="16143"/>
    <tableColumn id="248" xr3:uid="{F32C7F68-7DE3-4AF1-B55F-744DE6677991}" name="468" dataDxfId="16142"/>
    <tableColumn id="249" xr3:uid="{8A955C0E-AADB-41E8-8805-974E3B52156D}" name="469" dataDxfId="16141"/>
    <tableColumn id="250" xr3:uid="{B8EA9973-93A5-41CE-814F-6EFB4E9C364A}" name="470" dataDxfId="16140"/>
    <tableColumn id="251" xr3:uid="{4A801141-3A44-4B1E-850D-18F93C69FC3C}" name="471" dataDxfId="16139"/>
    <tableColumn id="252" xr3:uid="{D1A20686-8241-4639-8028-F4EE625C9485}" name="472" dataDxfId="16138"/>
    <tableColumn id="253" xr3:uid="{F6FFC882-32B6-445E-A685-F6AC4AAE1D0A}" name="473" dataDxfId="16137"/>
    <tableColumn id="254" xr3:uid="{2286F4A9-48B1-4687-974F-3B7F151CCCAD}" name="474" dataDxfId="16136"/>
    <tableColumn id="255" xr3:uid="{7624252B-9C46-4EA8-A29B-80A71037A3D9}" name="475" dataDxfId="16135"/>
    <tableColumn id="256" xr3:uid="{595B3C49-69EB-4B5E-BCC7-90C5F90E5741}" name="476" dataDxfId="16134"/>
    <tableColumn id="257" xr3:uid="{54FD6123-D239-4378-8242-8A9F5A400B7E}" name="477" dataDxfId="16133"/>
    <tableColumn id="258" xr3:uid="{D25C7589-F9D8-43DD-A930-58146497F300}" name="478" dataDxfId="16132"/>
    <tableColumn id="259" xr3:uid="{FB547629-F56D-45FC-964A-77C5FEC76C73}" name="479" dataDxfId="16131"/>
    <tableColumn id="260" xr3:uid="{E01CB9BD-C9E6-4E07-BB2A-2A75489F0211}" name="480" dataDxfId="16130"/>
    <tableColumn id="261" xr3:uid="{60B01003-8888-4FCF-9E3D-BF3EB52864A3}" name="481" dataDxfId="16129"/>
    <tableColumn id="262" xr3:uid="{878D98A1-91E4-4FC4-A622-741875A2F545}" name="482" dataDxfId="16128"/>
    <tableColumn id="263" xr3:uid="{34418C53-FF8D-49BB-99E6-8319671C95D0}" name="483" dataDxfId="16127"/>
    <tableColumn id="264" xr3:uid="{77466AC3-0600-4C17-822C-CBF2DF1833B0}" name="484" dataDxfId="16126"/>
    <tableColumn id="265" xr3:uid="{0CB03E74-0F50-4509-BE72-BE4513BE59B2}" name="485" dataDxfId="16125"/>
    <tableColumn id="266" xr3:uid="{992C7147-816C-4093-8435-836143B64D1C}" name="486" dataDxfId="16124"/>
    <tableColumn id="267" xr3:uid="{1A7C11A4-F39F-44DC-9E71-BDC131D3EFBA}" name="487" dataDxfId="16123"/>
    <tableColumn id="268" xr3:uid="{0529DB43-C1B6-42C7-BE14-54B2CD505DCC}" name="488" dataDxfId="16122"/>
    <tableColumn id="269" xr3:uid="{1F517290-0010-4F7A-9297-88142C629DFE}" name="489" dataDxfId="16121"/>
    <tableColumn id="270" xr3:uid="{9E2CAEA1-2940-47C0-938F-D7EDD87F2C1E}" name="490" dataDxfId="16120"/>
    <tableColumn id="271" xr3:uid="{0CDD7EF2-CAA8-42CC-B50F-CF88AEF045F1}" name="491" dataDxfId="16119"/>
    <tableColumn id="272" xr3:uid="{9D9C0283-841B-491D-993D-059520682559}" name="492" dataDxfId="16118"/>
    <tableColumn id="273" xr3:uid="{9F3A2204-8216-40B2-A3E9-0F2C60757327}" name="493" dataDxfId="16117"/>
    <tableColumn id="274" xr3:uid="{5D7A54EE-F273-43F7-9266-AA9F9ABB02D0}" name="494" dataDxfId="16116"/>
    <tableColumn id="275" xr3:uid="{F3A28A77-B634-4F08-81FD-0CF3F147B7B6}" name="495" dataDxfId="16115"/>
    <tableColumn id="276" xr3:uid="{AF88A1EA-DD12-471A-B771-500EAD365DA4}" name="496" dataDxfId="16114"/>
    <tableColumn id="277" xr3:uid="{2299CA91-61E9-407B-A9F0-974150DD2139}" name="497" dataDxfId="16113"/>
    <tableColumn id="278" xr3:uid="{7E9EB6AE-CA4E-4194-A027-8FF54222BFD4}" name="498" dataDxfId="16112"/>
    <tableColumn id="279" xr3:uid="{AC42FA47-8D42-4CEB-84F6-461E10230225}" name="499" dataDxfId="16111"/>
    <tableColumn id="280" xr3:uid="{7E15EAAE-F74E-4B00-A4BF-7E4F4B342A96}" name="500" dataDxfId="16110"/>
    <tableColumn id="281" xr3:uid="{41EB6F96-9E28-43CE-B645-6ABC7A893694}" name="501" dataDxfId="16109"/>
    <tableColumn id="282" xr3:uid="{14214D03-B31E-42EF-8BC3-8B40F4208A69}" name="502" dataDxfId="16108"/>
    <tableColumn id="283" xr3:uid="{AA96A96E-0C78-416C-A09B-D8F998C755C4}" name="503" dataDxfId="16107"/>
    <tableColumn id="284" xr3:uid="{8E2543B6-BE48-4E4A-B483-7B303460A24C}" name="504" dataDxfId="16106"/>
    <tableColumn id="285" xr3:uid="{9C9DDE34-5798-4980-9215-0C1F964C1A46}" name="505" dataDxfId="16105"/>
    <tableColumn id="286" xr3:uid="{BCA9BA45-B592-43AC-AA76-98C15BCB70C4}" name="506" dataDxfId="16104"/>
    <tableColumn id="287" xr3:uid="{382D3F4C-BAED-49FE-8E69-CAD199EAD355}" name="507" dataDxfId="16103"/>
    <tableColumn id="288" xr3:uid="{56FA4BCD-5C7E-4CEC-8907-695914CC5596}" name="508" dataDxfId="16102"/>
    <tableColumn id="289" xr3:uid="{BB849241-0EE6-428F-BFD8-0921939C2869}" name="509" dataDxfId="16101"/>
    <tableColumn id="290" xr3:uid="{79457261-991A-493E-9F23-94CF7DC47982}" name="510" dataDxfId="16100"/>
    <tableColumn id="291" xr3:uid="{6557506B-B746-45DA-B58B-2DBBCF6451F8}" name="511" dataDxfId="16099"/>
    <tableColumn id="292" xr3:uid="{0745DEF3-60EB-4A5A-906E-1DDFD95D7794}" name="512" dataDxfId="16098"/>
    <tableColumn id="293" xr3:uid="{EB77D129-4C75-4CD7-A7D5-3FF116974F59}" name="513" dataDxfId="16097"/>
    <tableColumn id="294" xr3:uid="{3046256C-8BAA-4774-94E1-C35589A2A979}" name="514" dataDxfId="16096"/>
    <tableColumn id="295" xr3:uid="{B7AA1FF8-7994-4BBF-A6BB-731EEA4F90F9}" name="515" dataDxfId="16095"/>
    <tableColumn id="296" xr3:uid="{6D2DB9C3-0526-4DDC-95A8-FAC84D879CDE}" name="516" dataDxfId="16094"/>
    <tableColumn id="297" xr3:uid="{AD4C41AE-89AC-412A-994F-107B881F1DB2}" name="517" dataDxfId="16093"/>
    <tableColumn id="298" xr3:uid="{DC9E11FC-6B5E-4B7E-91AE-D3EFFE894E1D}" name="518" dataDxfId="16092"/>
    <tableColumn id="299" xr3:uid="{E4A015EA-2EC7-4174-AD06-D19A3718829F}" name="519" dataDxfId="16091"/>
    <tableColumn id="300" xr3:uid="{933CDF19-2BDB-4F45-83B5-AC54850807ED}" name="520" dataDxfId="16090"/>
    <tableColumn id="301" xr3:uid="{83F5BAA0-6E36-426C-8FED-9F7400851678}" name="521" dataDxfId="16089"/>
    <tableColumn id="302" xr3:uid="{5C279B94-7856-422B-8CA4-AFD14F265870}" name="522" dataDxfId="16088"/>
    <tableColumn id="303" xr3:uid="{05A9AC45-711B-4D00-893E-A16D5924FE06}" name="523" dataDxfId="16087"/>
    <tableColumn id="304" xr3:uid="{A29166F7-CEEC-40BF-A654-37D1FA1ADBDF}" name="524" dataDxfId="16086"/>
    <tableColumn id="305" xr3:uid="{56F7B499-3BD4-4E80-AA56-C3A4FD80EF13}" name="525" dataDxfId="16085"/>
    <tableColumn id="306" xr3:uid="{F10BF082-40F8-483D-BCC0-D1CB247D06DD}" name="526" dataDxfId="16084"/>
    <tableColumn id="307" xr3:uid="{ECBC79A5-A49F-4CA0-ADA6-B5EE75C2362A}" name="527" dataDxfId="16083"/>
    <tableColumn id="308" xr3:uid="{291BFAA2-BE81-4A53-A427-A469BEA4BAF4}" name="528" dataDxfId="16082"/>
    <tableColumn id="309" xr3:uid="{5D37CB14-ED88-4563-B88C-8426E95F7D01}" name="529" dataDxfId="16081"/>
    <tableColumn id="310" xr3:uid="{E5AD730D-D715-4BE8-9A6B-9DE059132653}" name="530" dataDxfId="16080"/>
    <tableColumn id="311" xr3:uid="{DF4D7845-7391-4F89-B55B-B0CD66E8EC9B}" name="531" dataDxfId="16079"/>
    <tableColumn id="312" xr3:uid="{A5BE6F2A-0C9D-4468-B855-35A833D24340}" name="532" dataDxfId="16078"/>
    <tableColumn id="313" xr3:uid="{3C069F8D-EC70-4578-9C32-638705563EB2}" name="533" dataDxfId="16077"/>
    <tableColumn id="314" xr3:uid="{7B6A8945-1B34-4492-B2DD-CEC3869A6D9E}" name="534" dataDxfId="16076"/>
    <tableColumn id="315" xr3:uid="{0D3AA5FC-3115-4F9B-BA74-B893C20EFD5D}" name="535" dataDxfId="16075"/>
    <tableColumn id="316" xr3:uid="{9138F70F-FFB1-4E09-9206-867A0F4C8FDD}" name="536" dataDxfId="16074"/>
    <tableColumn id="317" xr3:uid="{2D658248-39F8-4401-8C06-951FE826523C}" name="537" dataDxfId="16073"/>
    <tableColumn id="318" xr3:uid="{6CC1A7A2-22D0-4EAB-933E-ABA2C4C4D805}" name="538" dataDxfId="16072"/>
    <tableColumn id="319" xr3:uid="{6495E9CF-846C-4901-ABE8-7B5E8C0DC96A}" name="539" dataDxfId="16071"/>
    <tableColumn id="320" xr3:uid="{51491709-D6A8-4C0B-AD96-792DCDFA804B}" name="540" dataDxfId="16070"/>
    <tableColumn id="321" xr3:uid="{3BBC713C-2F96-442D-9DB8-6895D6FE9A91}" name="541" dataDxfId="16069"/>
    <tableColumn id="322" xr3:uid="{8B88D646-B232-4960-9A27-36967CF12123}" name="542" dataDxfId="16068"/>
    <tableColumn id="323" xr3:uid="{E76534FD-59B3-4C93-8AD6-04A24E7AE214}" name="543" dataDxfId="16067"/>
    <tableColumn id="324" xr3:uid="{AC210BF0-8760-4BDF-B934-669D95BE79D5}" name="544" dataDxfId="16066"/>
    <tableColumn id="325" xr3:uid="{04509F8E-0CA8-4058-801D-1591A80C1F3C}" name="545" dataDxfId="16065"/>
    <tableColumn id="326" xr3:uid="{1E66D1B4-69CC-4192-A179-32E4B0252747}" name="546" dataDxfId="16064"/>
    <tableColumn id="327" xr3:uid="{96A9C5FA-DE4E-45F3-ADD7-92A4C0526A04}" name="547" dataDxfId="16063"/>
    <tableColumn id="328" xr3:uid="{5E433789-8B50-49FA-809C-FD70C829373D}" name="548" dataDxfId="16062"/>
    <tableColumn id="329" xr3:uid="{99230ECB-3BE0-4069-967C-D91B7C33F8D8}" name="549" dataDxfId="16061"/>
    <tableColumn id="330" xr3:uid="{1F90430B-9C2B-4927-9E1D-899B68962BDC}" name="550" dataDxfId="16060"/>
    <tableColumn id="331" xr3:uid="{B4485BFB-5345-43DB-9F21-F5CCAF64DEA5}" name="551" dataDxfId="16059"/>
    <tableColumn id="332" xr3:uid="{FDB83AC3-66AE-42AE-BE22-C25B2363E253}" name="552" dataDxfId="16058"/>
    <tableColumn id="333" xr3:uid="{E33D9FE9-C799-4657-AAAB-41C0225686EE}" name="553" dataDxfId="16057"/>
    <tableColumn id="334" xr3:uid="{2ABBC9ED-E6D1-4A84-94E3-517F79598E68}" name="554" dataDxfId="16056"/>
    <tableColumn id="335" xr3:uid="{2BA2C097-431D-4BF0-910B-94C59E4CEBC4}" name="555" dataDxfId="16055"/>
    <tableColumn id="336" xr3:uid="{8FA18872-90E3-48B1-BA7A-3D98092AB160}" name="556" dataDxfId="16054"/>
    <tableColumn id="337" xr3:uid="{E724BF11-816A-463E-91B0-21D725230CDC}" name="557" dataDxfId="16053"/>
    <tableColumn id="338" xr3:uid="{8FE21890-C43E-4223-8E20-89039EB56368}" name="558" dataDxfId="16052"/>
    <tableColumn id="339" xr3:uid="{8A365102-DD09-4D4F-A969-2FCCAA9DE946}" name="559" dataDxfId="16051"/>
    <tableColumn id="340" xr3:uid="{B44602D0-A3A4-44DA-8B25-353DFE0EC1EE}" name="560" dataDxfId="16050"/>
    <tableColumn id="341" xr3:uid="{143B9457-EF65-4B63-B7C4-94898C984F35}" name="561" dataDxfId="16049"/>
    <tableColumn id="342" xr3:uid="{6F4397C7-E148-4FB2-B276-90FB48422F9B}" name="562" dataDxfId="16048"/>
    <tableColumn id="343" xr3:uid="{C5629651-E75D-40C7-93B1-D89CBAC1731F}" name="563" dataDxfId="16047"/>
    <tableColumn id="344" xr3:uid="{2DF4A484-8F46-4FD7-A999-9F378F0B2FD0}" name="564" dataDxfId="16046"/>
    <tableColumn id="345" xr3:uid="{A0185A32-5403-4CE9-A91E-36C649DE5BC6}" name="565" dataDxfId="16045"/>
    <tableColumn id="346" xr3:uid="{F2CEF71A-B38C-4D53-B301-54DB2E52FF5B}" name="566" dataDxfId="16044"/>
    <tableColumn id="347" xr3:uid="{1ECDB1CA-971A-40B3-A50D-9155E80A5DDE}" name="567" dataDxfId="16043"/>
    <tableColumn id="348" xr3:uid="{ECF26A8B-CC5C-4DEF-A796-7E6F244F3EE2}" name="568" dataDxfId="16042"/>
    <tableColumn id="349" xr3:uid="{35533408-A669-4009-A901-D3730AA8165E}" name="569" dataDxfId="16041"/>
    <tableColumn id="350" xr3:uid="{0E30D39B-FE14-450A-B266-D006543CA574}" name="570" dataDxfId="16040"/>
    <tableColumn id="351" xr3:uid="{1D843419-AC90-472D-918A-CD94249AD84F}" name="571" dataDxfId="16039"/>
    <tableColumn id="352" xr3:uid="{178546BD-B7E3-4FC1-933C-5ACC14BEE5E7}" name="572" dataDxfId="16038"/>
    <tableColumn id="353" xr3:uid="{2E8829E4-D563-4DAE-A3AE-5AA6AFB7931F}" name="573" dataDxfId="16037"/>
    <tableColumn id="354" xr3:uid="{48BAC8DC-0C23-45A6-A176-E08AE324F9FD}" name="574" dataDxfId="16036"/>
    <tableColumn id="355" xr3:uid="{D6B9ACD4-6A23-41F2-AF6D-43421584D135}" name="575" dataDxfId="16035"/>
    <tableColumn id="356" xr3:uid="{8B6D2285-8C4E-4C29-BC9D-DBDDBB7EBD64}" name="576" dataDxfId="16034"/>
    <tableColumn id="357" xr3:uid="{FFAF811A-D43C-4EF0-93E3-DDEAD80F7D8F}" name="577" dataDxfId="16033"/>
    <tableColumn id="358" xr3:uid="{AD07A11D-E7CA-4C3B-981E-B463CD4C4963}" name="578" dataDxfId="16032"/>
    <tableColumn id="359" xr3:uid="{25622E6B-4B44-4D46-B73E-1918DFBAAB16}" name="579" dataDxfId="16031"/>
    <tableColumn id="360" xr3:uid="{40FAABC6-A829-4C4A-B974-4F8D12B6E5F0}" name="580" dataDxfId="16030"/>
    <tableColumn id="361" xr3:uid="{09FA3B94-7E10-4AE5-AF8A-D5775570E144}" name="581" dataDxfId="16029"/>
    <tableColumn id="362" xr3:uid="{9E4E0434-9B33-407F-AC37-1A79F238C713}" name="582" dataDxfId="16028"/>
    <tableColumn id="363" xr3:uid="{63ADF66B-DFC0-447C-8ED8-687C060E8F0B}" name="583" dataDxfId="16027"/>
    <tableColumn id="364" xr3:uid="{2BE4D8FB-E12F-457C-AC72-B380E978C2F5}" name="584" dataDxfId="16026"/>
    <tableColumn id="365" xr3:uid="{C42B57B4-0005-4BC1-AF97-3D820DC2EDCC}" name="585" dataDxfId="16025"/>
    <tableColumn id="366" xr3:uid="{D903639A-8257-4BEF-BB95-B5623C54C193}" name="586" dataDxfId="16024"/>
    <tableColumn id="367" xr3:uid="{C9EB72E5-A9BF-425F-844B-C54FA2967402}" name="587" dataDxfId="16023"/>
    <tableColumn id="368" xr3:uid="{FD476E17-2A35-456D-A57C-BFB1477565DC}" name="588" dataDxfId="16022"/>
    <tableColumn id="369" xr3:uid="{46A6CEDC-7B4F-44E2-B3FE-5F87FD0AEFE1}" name="589" dataDxfId="16021"/>
    <tableColumn id="370" xr3:uid="{275F4650-4D9F-4FCA-98C1-8FB0BB126ABF}" name="590" dataDxfId="16020"/>
    <tableColumn id="371" xr3:uid="{3547FDFA-661C-4CD6-BD6C-7126BF45346B}" name="591" dataDxfId="16019"/>
    <tableColumn id="372" xr3:uid="{76E4DF6E-F283-4791-8CD1-FC8F7E9B0F1B}" name="592" dataDxfId="16018"/>
    <tableColumn id="373" xr3:uid="{B73A99FE-BD49-435D-837B-431145D77049}" name="593" dataDxfId="16017"/>
    <tableColumn id="374" xr3:uid="{4888BF70-2692-44EC-9FD3-612CECF66322}" name="594" dataDxfId="16016"/>
    <tableColumn id="375" xr3:uid="{223C4691-4040-447C-82A4-CFB2ED2629DB}" name="595" dataDxfId="16015"/>
    <tableColumn id="376" xr3:uid="{61D66302-E9D5-4162-9923-898282283A0D}" name="596" dataDxfId="16014"/>
    <tableColumn id="377" xr3:uid="{D7B60E7D-0DD1-42E2-A17B-F170D7D55AC1}" name="597" dataDxfId="16013"/>
    <tableColumn id="378" xr3:uid="{7B3F2A5D-BFD7-4241-8814-15E4056ED5A4}" name="598" dataDxfId="16012"/>
    <tableColumn id="379" xr3:uid="{4485E113-597D-470E-8B63-3F9B3B458A30}" name="599" dataDxfId="16011"/>
    <tableColumn id="380" xr3:uid="{087712AE-CED0-4B07-89E0-169869AEECBF}" name="600" dataDxfId="16010"/>
    <tableColumn id="381" xr3:uid="{9ED7EFD5-19AB-49BB-A2EF-F03E1D27BEB5}" name="601" dataDxfId="16009"/>
    <tableColumn id="382" xr3:uid="{DD07A2A4-BBEC-4BBA-8EF8-553890C01599}" name="602" dataDxfId="16008"/>
    <tableColumn id="383" xr3:uid="{F054887D-BAA5-47BD-B0D6-61E257DAADBD}" name="603" dataDxfId="16007"/>
    <tableColumn id="384" xr3:uid="{4BD188DF-70DF-4503-8168-17E9B6F18F7C}" name="604" dataDxfId="16006"/>
    <tableColumn id="385" xr3:uid="{03E1C04D-E93B-4B28-AD42-05B4D1E179F9}" name="605" dataDxfId="16005"/>
    <tableColumn id="386" xr3:uid="{3649D55B-EA21-42F2-BFC6-FF00497ED07D}" name="606" dataDxfId="16004"/>
    <tableColumn id="387" xr3:uid="{F8C35993-0A69-4850-B022-9B89DFEBDAE8}" name="607" dataDxfId="16003"/>
    <tableColumn id="388" xr3:uid="{5BAC0B7E-B463-4323-B02A-66C56AFE42DB}" name="608" dataDxfId="16002"/>
    <tableColumn id="389" xr3:uid="{ACF37B0D-CA58-4CCB-980D-94457DCC04F5}" name="609" dataDxfId="16001"/>
    <tableColumn id="390" xr3:uid="{C9999D88-1DF2-4AC0-8239-12F75B41874D}" name="610" dataDxfId="16000"/>
    <tableColumn id="391" xr3:uid="{1A5AF968-1A96-4E5C-A742-EB58C90C638C}" name="611" dataDxfId="15999"/>
    <tableColumn id="392" xr3:uid="{117AC0B7-E7C2-4E49-8283-4F8403BE7582}" name="612" dataDxfId="15998"/>
    <tableColumn id="393" xr3:uid="{8CF1C5D6-20F5-4BFD-8D94-52482AE62EC4}" name="613" dataDxfId="15997"/>
    <tableColumn id="394" xr3:uid="{E707D40A-B630-4126-AA1D-4EB74006A313}" name="614" dataDxfId="15996"/>
    <tableColumn id="395" xr3:uid="{FE51A6BA-3441-4AE2-8032-26AC294833C8}" name="615" dataDxfId="15995"/>
    <tableColumn id="396" xr3:uid="{4C02713A-6244-442D-B6FF-C9B953B60860}" name="616" dataDxfId="15994"/>
    <tableColumn id="397" xr3:uid="{B279EF52-1C98-45B6-96DD-A350D8AA0870}" name="617" dataDxfId="15993"/>
    <tableColumn id="398" xr3:uid="{4C2CAE5A-71B6-4EC7-A429-CDDB5E55F7CB}" name="618" dataDxfId="15992"/>
    <tableColumn id="399" xr3:uid="{DB058EBF-72DF-4A41-BF07-B77A364807B9}" name="619" dataDxfId="15991"/>
    <tableColumn id="400" xr3:uid="{89B5EB50-FBA1-45C2-A2AA-BFE29664E1CB}" name="620" dataDxfId="15990"/>
    <tableColumn id="401" xr3:uid="{D658CE93-6CC9-4564-B8F5-EE36453E602F}" name="621" dataDxfId="15989"/>
    <tableColumn id="402" xr3:uid="{DF4ED6DD-9D92-4680-8E9B-ADEFB6DE2903}" name="622" dataDxfId="15988"/>
    <tableColumn id="403" xr3:uid="{0A32DB35-6C12-478B-8FA6-E32CB9292B0E}" name="623" dataDxfId="15987"/>
    <tableColumn id="404" xr3:uid="{52AC1C0C-7A28-48A5-94FB-1E5881047AB9}" name="624" dataDxfId="15986"/>
    <tableColumn id="405" xr3:uid="{2C689D96-E776-4CBE-92A3-6F01A4A8B115}" name="625" dataDxfId="15985"/>
    <tableColumn id="406" xr3:uid="{CC2D7CCA-899D-48B0-8F05-C37E5B83C15C}" name="626" dataDxfId="15984"/>
    <tableColumn id="407" xr3:uid="{374228CE-BBAF-46B9-A235-80CAD1E2280D}" name="627" dataDxfId="15983"/>
    <tableColumn id="408" xr3:uid="{5159AF76-A28A-4C49-9FCD-006909AD7E68}" name="628" dataDxfId="15982"/>
    <tableColumn id="409" xr3:uid="{52C92A70-5B6C-4B73-9D9C-2FA5749BCC61}" name="629" dataDxfId="15981"/>
    <tableColumn id="410" xr3:uid="{B5F5B5CD-055F-4B9B-B89C-5328D1A6A1E8}" name="630" dataDxfId="15980"/>
    <tableColumn id="411" xr3:uid="{D35E6BB9-7CE2-452D-9861-AE248126DDAF}" name="631" dataDxfId="15979"/>
    <tableColumn id="412" xr3:uid="{3EEAA2D7-E8BE-4204-A231-5437D01D928F}" name="632" dataDxfId="15978"/>
    <tableColumn id="413" xr3:uid="{24FEED37-1080-4F3F-8E72-458A9356F629}" name="633" dataDxfId="15977"/>
    <tableColumn id="414" xr3:uid="{F458B844-6F73-454F-B3F0-E7D93AA32288}" name="634" dataDxfId="15976"/>
    <tableColumn id="415" xr3:uid="{5ED69E91-602B-4D63-A187-028C9C00A0A2}" name="635" dataDxfId="15975"/>
    <tableColumn id="416" xr3:uid="{6E0067A1-514A-44BC-933D-ABCDDF6805B5}" name="636" dataDxfId="15974"/>
    <tableColumn id="417" xr3:uid="{CC015FDF-5E51-4E35-84E8-F74C7D2C7B8E}" name="637" dataDxfId="15973"/>
    <tableColumn id="418" xr3:uid="{D034650C-921D-453D-BA30-D0C4F394E9DA}" name="638" dataDxfId="15972"/>
    <tableColumn id="419" xr3:uid="{BA719127-7BC6-47EB-9136-602A8DD6BC10}" name="639" dataDxfId="15971"/>
    <tableColumn id="420" xr3:uid="{243C87D9-4455-40BB-8247-2283A9059024}" name="640" dataDxfId="15970"/>
    <tableColumn id="421" xr3:uid="{A812B3F5-04BB-4BEC-A5AA-0727B4912D24}" name="641" dataDxfId="15969"/>
    <tableColumn id="422" xr3:uid="{11059E75-F036-409D-890D-2D61A200FFA2}" name="642" dataDxfId="15968"/>
    <tableColumn id="423" xr3:uid="{FEABE434-46D6-451F-AD2A-5CC954890E95}" name="643" dataDxfId="15967"/>
    <tableColumn id="424" xr3:uid="{FF1CC287-B5CC-4D2E-B5F5-9CE417CEA844}" name="644" dataDxfId="15966"/>
    <tableColumn id="425" xr3:uid="{DCB15656-73E0-4C74-BF6E-85E29017FDDC}" name="645" dataDxfId="15965"/>
    <tableColumn id="426" xr3:uid="{E544AD7C-A723-4318-9513-1271397ABB37}" name="646" dataDxfId="15964"/>
    <tableColumn id="427" xr3:uid="{91E29872-BA1F-459F-9F80-A5A48E64050E}" name="647" dataDxfId="15963"/>
    <tableColumn id="428" xr3:uid="{E6EE9920-2DCB-4262-94E7-B7182DBE6D28}" name="648" dataDxfId="15962"/>
    <tableColumn id="429" xr3:uid="{2EE942C1-A7FD-41A3-A8B2-12DAB1FD6D82}" name="649" dataDxfId="15961"/>
    <tableColumn id="430" xr3:uid="{D54ABFB3-7F3F-4D9B-8732-933C7B17F768}" name="650" dataDxfId="15960"/>
    <tableColumn id="431" xr3:uid="{AD01B7EB-14DE-4488-8748-0D971F108BA3}" name="651" dataDxfId="15959"/>
    <tableColumn id="432" xr3:uid="{C4993716-7826-4BE9-97B7-9722DC846295}" name="652" dataDxfId="15958"/>
    <tableColumn id="433" xr3:uid="{7CAD171D-C88D-4670-BEFE-EBCB879049C3}" name="653" dataDxfId="15957"/>
    <tableColumn id="434" xr3:uid="{CAC227E9-719A-49DD-912B-1466008DA0EA}" name="654" dataDxfId="15956"/>
    <tableColumn id="435" xr3:uid="{4370FEAD-D2F7-45B4-8D4D-CC9DBB64775C}" name="655" dataDxfId="15955"/>
    <tableColumn id="436" xr3:uid="{3C4C05D2-CDA7-4EEB-9A3B-DE91A255BB07}" name="656" dataDxfId="15954"/>
    <tableColumn id="437" xr3:uid="{0876B029-55A4-4A46-8988-199292E26A39}" name="657" dataDxfId="15953"/>
    <tableColumn id="438" xr3:uid="{DB720771-7968-4B64-9812-77C7F37400CC}" name="658" dataDxfId="15952"/>
    <tableColumn id="439" xr3:uid="{2C2EFF56-A165-40E3-B37A-8F661FA19CE6}" name="659" dataDxfId="15951"/>
    <tableColumn id="440" xr3:uid="{5895119D-9508-4ECF-9DED-00A2D6C949C7}" name="660" dataDxfId="15950"/>
    <tableColumn id="441" xr3:uid="{DC8CBDED-0FB6-481F-B46E-A0AA3041199D}" name="661" dataDxfId="15949"/>
    <tableColumn id="442" xr3:uid="{9818A90F-1BD9-4048-8FD6-7086130CC3CA}" name="662" dataDxfId="15948"/>
    <tableColumn id="443" xr3:uid="{F2A65310-BC90-4BC1-955A-8BFACE733D6F}" name="663" dataDxfId="15947"/>
    <tableColumn id="444" xr3:uid="{17622A91-880C-426C-A804-4B6EA757CF8E}" name="664" dataDxfId="15946"/>
    <tableColumn id="445" xr3:uid="{3D84117B-B244-4389-ADD9-E50051AD5216}" name="665" dataDxfId="15945"/>
    <tableColumn id="446" xr3:uid="{4B92DADC-162C-4A65-A15C-F4F56A4F91AF}" name="666" dataDxfId="15944"/>
    <tableColumn id="447" xr3:uid="{6DD7BD7D-E4B7-4793-82F1-A87AA1DDF16D}" name="667" dataDxfId="15943"/>
    <tableColumn id="448" xr3:uid="{7F3D0260-B371-40EE-B828-D0F84C43F4CC}" name="668" dataDxfId="15942"/>
    <tableColumn id="449" xr3:uid="{24637C6F-96F3-48A2-93A4-AA9E6E3685E8}" name="669" dataDxfId="15941"/>
    <tableColumn id="450" xr3:uid="{C2DB51CA-E9E6-4225-AC83-4CD49AD336FB}" name="670" dataDxfId="15940"/>
    <tableColumn id="451" xr3:uid="{5778EB4F-C7F4-4F2E-9568-29726831F213}" name="671" dataDxfId="15939"/>
    <tableColumn id="452" xr3:uid="{2FFE13DB-8C8A-49B9-8776-C7DF9967A656}" name="672" dataDxfId="15938"/>
    <tableColumn id="453" xr3:uid="{07BB590B-DAAE-48DC-B40E-BCE98316253B}" name="673" dataDxfId="15937"/>
    <tableColumn id="454" xr3:uid="{ED9A5494-6A88-45EE-B32C-BE736F0726BE}" name="674" dataDxfId="15936"/>
    <tableColumn id="455" xr3:uid="{B0D759FF-2BE0-4871-BEFE-6A15A6124362}" name="675" dataDxfId="15935"/>
    <tableColumn id="456" xr3:uid="{2DF5396E-090E-4AB2-B320-F70ADA8A0819}" name="676" dataDxfId="15934"/>
    <tableColumn id="457" xr3:uid="{18CA6D62-5D5B-4FF9-829C-ADC4BEED34CD}" name="677" dataDxfId="15933"/>
    <tableColumn id="458" xr3:uid="{FF7BAC90-9112-4CFF-922D-64F8861A79A1}" name="678" dataDxfId="15932"/>
    <tableColumn id="459" xr3:uid="{18F658C0-D784-48BE-B95B-242F1F1EBDC6}" name="679" dataDxfId="15931"/>
    <tableColumn id="460" xr3:uid="{0FAE97DE-E2AF-4A0F-B666-192BCE0FBDFE}" name="680" dataDxfId="15930"/>
    <tableColumn id="461" xr3:uid="{D7F2B6A7-D3DF-4AB8-921C-688CBE79B7CE}" name="681" dataDxfId="15929"/>
    <tableColumn id="462" xr3:uid="{9EDE39C4-1610-4D7E-8DD1-0F747BC81AA3}" name="682" dataDxfId="15928"/>
    <tableColumn id="463" xr3:uid="{D62CE4F0-D875-4EF9-AA6F-C7375858D76E}" name="683" dataDxfId="15927"/>
    <tableColumn id="464" xr3:uid="{B086EA26-0F67-4071-B2C5-F9DF2FDD381C}" name="684" dataDxfId="15926"/>
    <tableColumn id="465" xr3:uid="{86212D5C-F1D0-4D41-9338-0D71A05F79D0}" name="685" dataDxfId="15925"/>
    <tableColumn id="466" xr3:uid="{92A3250B-5B7F-472F-A46B-7275FAD65245}" name="686" dataDxfId="15924"/>
    <tableColumn id="467" xr3:uid="{ACE9AA8F-3334-4FDD-A429-C24EB1DC3E4A}" name="687" dataDxfId="15923"/>
    <tableColumn id="468" xr3:uid="{96567DB6-7AAD-4323-93A2-6D0A5191DF00}" name="688" dataDxfId="15922"/>
    <tableColumn id="469" xr3:uid="{9396C610-DA9B-46BF-8790-A8B193BC94EB}" name="689" dataDxfId="15921"/>
    <tableColumn id="470" xr3:uid="{325D7E67-1B1A-412B-9138-5B78CF7BD457}" name="690" dataDxfId="15920"/>
    <tableColumn id="471" xr3:uid="{0D7E7287-EBC5-4637-ADE8-3924110F2E3F}" name="691" dataDxfId="15919"/>
    <tableColumn id="472" xr3:uid="{4DC5C9FF-3E33-47F2-A844-44A9B3D5771F}" name="692" dataDxfId="15918"/>
    <tableColumn id="473" xr3:uid="{EF6FCDFC-636F-4646-8C6B-0A39547B8868}" name="693" dataDxfId="15917"/>
    <tableColumn id="474" xr3:uid="{664222EA-3FBC-4FF0-961D-6B1318DB9FF9}" name="694" dataDxfId="15916"/>
    <tableColumn id="475" xr3:uid="{775F4696-62D9-4100-9CE6-3BFBEB5007F2}" name="695" dataDxfId="15915"/>
    <tableColumn id="476" xr3:uid="{520ABFA4-04EF-4ADE-A114-72740B545FC9}" name="696" dataDxfId="15914"/>
    <tableColumn id="477" xr3:uid="{6398AA68-E771-4475-9BA4-4CE77ACE97AA}" name="697" dataDxfId="15913"/>
    <tableColumn id="478" xr3:uid="{F0345AD4-2AE8-4724-88E8-E1B9BAB7D650}" name="698" dataDxfId="15912"/>
    <tableColumn id="479" xr3:uid="{CD267B11-5CE9-46A7-9D2E-59ECBDF613D1}" name="699" dataDxfId="15911"/>
    <tableColumn id="480" xr3:uid="{D6578309-11FA-4E83-BED0-5623F69ADD48}" name="700" dataDxfId="15910"/>
    <tableColumn id="481" xr3:uid="{06D32EE6-4FD5-4CD7-AA00-1D3CCA8E003D}" name="701" dataDxfId="15909"/>
    <tableColumn id="482" xr3:uid="{4E8A169A-41AD-494E-B22D-FCFE89978223}" name="702" dataDxfId="15908"/>
    <tableColumn id="483" xr3:uid="{66DF0BC2-42A4-419B-B450-B615778D721B}" name="703" dataDxfId="15907"/>
    <tableColumn id="484" xr3:uid="{2079D03D-77AF-4218-B8C4-056494B2D95E}" name="704" dataDxfId="15906"/>
    <tableColumn id="485" xr3:uid="{6083F082-98B3-4C44-9BA1-DCCAE2360B44}" name="705" dataDxfId="15905"/>
    <tableColumn id="486" xr3:uid="{34A4B3AF-6C80-40B0-A7B9-C1EC9AAE5A10}" name="706" dataDxfId="15904"/>
    <tableColumn id="487" xr3:uid="{A9128B57-D9A2-46B3-B741-4307FCD09236}" name="707" dataDxfId="15903"/>
    <tableColumn id="488" xr3:uid="{D55953DB-A966-47A7-AFE7-48E2DA98A0B9}" name="708" dataDxfId="15902"/>
    <tableColumn id="489" xr3:uid="{9B01C745-0290-405E-8CD3-1C88451D4A0E}" name="709" dataDxfId="15901"/>
    <tableColumn id="490" xr3:uid="{C9086F9A-3C46-4A2B-AD7C-2CC171F99770}" name="710" dataDxfId="15900"/>
    <tableColumn id="491" xr3:uid="{D62DBD68-0277-4666-A047-7573F7479299}" name="711" dataDxfId="15899"/>
    <tableColumn id="492" xr3:uid="{84899DE8-7662-4BC2-A2F6-D02AAEEF2C01}" name="712" dataDxfId="15898"/>
    <tableColumn id="493" xr3:uid="{01928826-4AB7-4764-B3D5-477A8804A4E2}" name="713" dataDxfId="15897"/>
    <tableColumn id="494" xr3:uid="{576D76E3-AE6A-4D88-BBF9-B4114F06162A}" name="714" dataDxfId="15896"/>
    <tableColumn id="495" xr3:uid="{698D25B9-AB16-46EA-91A4-2221C3A219EB}" name="715" dataDxfId="15895"/>
    <tableColumn id="496" xr3:uid="{A6D5CA7A-621F-4229-B147-38125A90FF24}" name="716" dataDxfId="15894"/>
    <tableColumn id="497" xr3:uid="{CB4E4DDF-7C3E-45AB-99D8-B30BC79B9BC1}" name="717" dataDxfId="15893"/>
    <tableColumn id="498" xr3:uid="{CD1687C8-17FD-444F-BF5E-D9F54D04973F}" name="718" dataDxfId="15892"/>
    <tableColumn id="499" xr3:uid="{4C888693-9E2D-4644-8CD1-D0CC3BE4B3BE}" name="719" dataDxfId="15891"/>
    <tableColumn id="500" xr3:uid="{26C8DF60-F04F-41CD-9495-8166FFD5A7CC}" name="720" dataDxfId="15890"/>
    <tableColumn id="501" xr3:uid="{AA660CB2-B9DA-47BD-BA5F-0D4242314D4A}" name="721" dataDxfId="15889"/>
    <tableColumn id="502" xr3:uid="{8E2ECBEE-F15D-4E65-9A83-3FC0ABE714C4}" name="722" dataDxfId="15888"/>
    <tableColumn id="503" xr3:uid="{5E811A13-84CB-4F45-AC9F-F4449FF88BF1}" name="723" dataDxfId="15887"/>
    <tableColumn id="504" xr3:uid="{FF3D55A6-5EA3-4037-9245-69EA6F5082D3}" name="724" dataDxfId="15886"/>
    <tableColumn id="505" xr3:uid="{164A256F-1AD1-4CEF-96D4-6504C6BD5292}" name="725" dataDxfId="15885"/>
    <tableColumn id="506" xr3:uid="{625A8E7E-819D-4D43-917D-266F168B0E29}" name="726" dataDxfId="15884"/>
    <tableColumn id="507" xr3:uid="{8CED6B85-EC3A-403D-B0F4-F496C44A44ED}" name="727" dataDxfId="15883"/>
    <tableColumn id="508" xr3:uid="{1CB94F87-72FF-4CAC-B9C1-294B40F9AB97}" name="728" dataDxfId="15882"/>
    <tableColumn id="509" xr3:uid="{7728762C-87A9-44F0-B97B-1EF5A80EB665}" name="729" dataDxfId="15881"/>
    <tableColumn id="510" xr3:uid="{5DF44016-44F2-41A1-B470-ECDCE56EAF92}" name="730" dataDxfId="15880"/>
    <tableColumn id="511" xr3:uid="{20DA3D14-4EA1-4838-BF41-824F9A9915C5}" name="731" dataDxfId="15879"/>
    <tableColumn id="512" xr3:uid="{EBDF6A4D-3D53-4B97-82C2-520DFFC05224}" name="732" dataDxfId="15878"/>
    <tableColumn id="513" xr3:uid="{7E2B2843-C9AC-4E22-A41B-633906EDA944}" name="733" dataDxfId="15877"/>
    <tableColumn id="514" xr3:uid="{C8169080-2A02-439C-81F5-2856694DF468}" name="734" dataDxfId="15876"/>
    <tableColumn id="515" xr3:uid="{E44B5965-4AE0-45E4-8B7F-FEE289434C99}" name="735" dataDxfId="15875"/>
    <tableColumn id="516" xr3:uid="{7C59CF73-E287-47BA-97D0-9E301579C741}" name="736" dataDxfId="15874"/>
    <tableColumn id="517" xr3:uid="{CDA6218B-D47D-4ED4-858A-3E09CBB4CF81}" name="737" dataDxfId="15873"/>
    <tableColumn id="518" xr3:uid="{6C5F2AFF-BAA7-4A35-9EB4-DBDE9A14076F}" name="738" dataDxfId="15872"/>
    <tableColumn id="519" xr3:uid="{07523CE4-00A5-4F8D-94D0-337533ADB55B}" name="739" dataDxfId="15871"/>
    <tableColumn id="520" xr3:uid="{A60168C9-B839-4B1C-83F5-B1F2FB06C167}" name="740" dataDxfId="15870"/>
    <tableColumn id="521" xr3:uid="{EB44548D-207C-4597-BB17-BF48E08943B1}" name="741" dataDxfId="15869"/>
    <tableColumn id="522" xr3:uid="{BC96B287-9F94-4D56-BE2B-B89C2C37C6AF}" name="742" dataDxfId="15868"/>
    <tableColumn id="523" xr3:uid="{34CB6C1A-457C-4045-9C6B-7813038302AA}" name="743" dataDxfId="15867"/>
    <tableColumn id="524" xr3:uid="{6D7C7E8B-F4C4-4B54-845A-498102CEF7FB}" name="744" dataDxfId="15866"/>
    <tableColumn id="525" xr3:uid="{2582F38E-1402-4B07-B661-4485CF0A4CB1}" name="745" dataDxfId="15865"/>
    <tableColumn id="526" xr3:uid="{CF2320C8-C30D-41A2-B829-800B772E2BDC}" name="746" dataDxfId="15864"/>
    <tableColumn id="527" xr3:uid="{D48B27BA-11AB-4EE4-B81F-B9108499372A}" name="747" dataDxfId="15863"/>
    <tableColumn id="528" xr3:uid="{83175B2E-8613-4594-81B1-1E3C9CD6703B}" name="748" dataDxfId="15862"/>
    <tableColumn id="529" xr3:uid="{243F0CCC-CBE0-4E41-9BFF-52C4E1E901C2}" name="749" dataDxfId="15861"/>
    <tableColumn id="530" xr3:uid="{93CFFDF0-F145-46FC-92C4-1867ABFBCCE9}" name="750" dataDxfId="15860"/>
    <tableColumn id="531" xr3:uid="{B67D0F66-67BB-4DD3-B12C-350155665ECC}" name="751" dataDxfId="15859"/>
    <tableColumn id="532" xr3:uid="{4C9EFBB4-71D6-4403-8958-C919281B66E6}" name="752" dataDxfId="15858"/>
    <tableColumn id="533" xr3:uid="{8234B0FE-AD31-48D1-B62B-015AAB04423F}" name="753" dataDxfId="15857"/>
    <tableColumn id="534" xr3:uid="{F045DE13-493F-4151-BA0F-A99FAF27BB5F}" name="754" dataDxfId="15856"/>
    <tableColumn id="535" xr3:uid="{CD08BE71-3A6F-4BBD-B3A1-BD7597B2189E}" name="755" dataDxfId="15855"/>
    <tableColumn id="536" xr3:uid="{2E398733-2B7D-4D51-9645-9757452FC05C}" name="756" dataDxfId="15854"/>
    <tableColumn id="537" xr3:uid="{111570EA-FD08-4ED8-8F91-6608DD6B064E}" name="757" dataDxfId="15853"/>
    <tableColumn id="538" xr3:uid="{9B517198-EA82-47AF-A8AF-590462A2BA46}" name="758" dataDxfId="15852"/>
    <tableColumn id="539" xr3:uid="{6D3B7EB9-AF76-45DE-85D0-825184CC71B1}" name="759" dataDxfId="15851"/>
    <tableColumn id="540" xr3:uid="{7638A22C-11CC-4FE8-9611-4B89CC2F57A1}" name="760" dataDxfId="15850"/>
    <tableColumn id="541" xr3:uid="{E33232CB-67C6-440B-AC20-DE229F698EBB}" name="761" dataDxfId="15849"/>
    <tableColumn id="542" xr3:uid="{6CDC1DD8-B361-4D80-8CE3-6DB72F1E652A}" name="762" dataDxfId="15848"/>
    <tableColumn id="543" xr3:uid="{5EDC8CF3-80BB-462E-B1CD-79D006F4C7B1}" name="763" dataDxfId="15847"/>
    <tableColumn id="544" xr3:uid="{4A941516-0C4C-4346-9679-73F5A3683538}" name="764" dataDxfId="15846"/>
    <tableColumn id="545" xr3:uid="{E2C87EC0-8B79-42E6-A1A5-572C09A67543}" name="765" dataDxfId="15845"/>
    <tableColumn id="546" xr3:uid="{DD279369-9D29-4BBD-A0FF-9A2B445F516F}" name="766" dataDxfId="15844"/>
    <tableColumn id="547" xr3:uid="{60FA843E-944C-4247-A441-B96A52920C57}" name="767" dataDxfId="15843"/>
    <tableColumn id="548" xr3:uid="{8F1734F1-AC0F-4B7E-B105-0AFBE53DA2FB}" name="768" dataDxfId="15842"/>
    <tableColumn id="549" xr3:uid="{EBE95BCC-1435-4FA0-A4A0-3B63BD2EF5C2}" name="769" dataDxfId="15841"/>
    <tableColumn id="550" xr3:uid="{47091241-0372-4CB2-BE5A-1EB6EAE7006E}" name="770" dataDxfId="15840"/>
    <tableColumn id="551" xr3:uid="{3EEB664B-543F-4A84-AA52-A69E44F3EBBD}" name="771" dataDxfId="15839"/>
    <tableColumn id="552" xr3:uid="{158D3B81-2C24-47FC-A12A-B77748E8C88B}" name="772" dataDxfId="15838"/>
    <tableColumn id="553" xr3:uid="{4023F316-4E4D-4CFE-9486-24C42F1D39C7}" name="773" dataDxfId="15837"/>
    <tableColumn id="554" xr3:uid="{99CF0B33-41E8-4C77-855F-57ABD1BDF8A5}" name="774" dataDxfId="15836"/>
    <tableColumn id="555" xr3:uid="{1926409C-2819-49B5-8973-5A7AE0B9DBBE}" name="775" dataDxfId="15835"/>
    <tableColumn id="556" xr3:uid="{AF7753BE-053C-4D4F-BE71-3A02B5056515}" name="776" dataDxfId="15834"/>
    <tableColumn id="557" xr3:uid="{0D1BA3D3-EE9E-469E-A158-DFC19CDBFEC2}" name="777" dataDxfId="15833"/>
    <tableColumn id="558" xr3:uid="{5D87593B-899B-43B1-A7D6-FCCA52EF4473}" name="778" dataDxfId="15832"/>
    <tableColumn id="559" xr3:uid="{9D185C6A-FC1E-473E-A6AE-3A2BE4D8AE38}" name="779" dataDxfId="15831"/>
    <tableColumn id="560" xr3:uid="{E33C81F9-0CFF-420D-8F31-E98A6E4AE94C}" name="780" dataDxfId="15830"/>
    <tableColumn id="561" xr3:uid="{81597923-D04E-49C6-BB84-6096316CD5B9}" name="781" dataDxfId="15829"/>
    <tableColumn id="562" xr3:uid="{6B795ED2-791B-404D-BA5B-9C1ABD898947}" name="782" dataDxfId="15828"/>
    <tableColumn id="563" xr3:uid="{3682B5E4-C7EB-48F0-B05F-8B570F0E0215}" name="783" dataDxfId="15827"/>
    <tableColumn id="564" xr3:uid="{658A4DB3-F662-444F-A470-E0C1C14DB83A}" name="784" dataDxfId="15826"/>
    <tableColumn id="565" xr3:uid="{45A07842-3B8B-4EAB-AFD3-E67D23EDA2B4}" name="785" dataDxfId="15825"/>
    <tableColumn id="566" xr3:uid="{FBAC41BA-63B6-4A3C-8C46-D2F1B347278D}" name="786" dataDxfId="15824"/>
    <tableColumn id="567" xr3:uid="{0A6979B0-EA4E-4668-8676-A7197507B2F7}" name="787" dataDxfId="15823"/>
    <tableColumn id="568" xr3:uid="{C87B52A2-AB62-4AD3-8198-8CDEC5AF8ACB}" name="788" dataDxfId="15822"/>
    <tableColumn id="569" xr3:uid="{225BF7EB-7640-452F-974D-9A5937F8028B}" name="789" dataDxfId="15821"/>
    <tableColumn id="570" xr3:uid="{F6C6372B-F8BF-4FED-8BFB-3ECA3ED326B0}" name="790" dataDxfId="15820"/>
    <tableColumn id="571" xr3:uid="{37AA8255-18F7-4F81-A432-938949DCC545}" name="791" dataDxfId="15819"/>
    <tableColumn id="572" xr3:uid="{00309E28-8B82-4E3F-86C6-916A3B920173}" name="792" dataDxfId="15818"/>
    <tableColumn id="573" xr3:uid="{FA336FCF-DCC6-4AA0-8BCE-FED6CC03D19C}" name="793" dataDxfId="15817"/>
    <tableColumn id="574" xr3:uid="{BFCF483E-4D34-4ECD-8145-8D832191DA17}" name="794" dataDxfId="15816"/>
    <tableColumn id="575" xr3:uid="{FE159139-FEC7-4A46-AA8E-B893C50FCBE6}" name="795" dataDxfId="15815"/>
    <tableColumn id="576" xr3:uid="{42F235B3-396B-4C15-9E63-9BF4D3B28C5C}" name="796" dataDxfId="15814"/>
    <tableColumn id="577" xr3:uid="{DF8B0437-F4E7-4749-B2B4-7A58A1C4C233}" name="797" dataDxfId="15813"/>
    <tableColumn id="578" xr3:uid="{A6DCFFF6-1AE5-454B-BAC6-80A930D0E817}" name="798" dataDxfId="15812"/>
    <tableColumn id="579" xr3:uid="{C38D841B-91F4-4CE0-B8C6-FBF1870A5C81}" name="799" dataDxfId="15811"/>
    <tableColumn id="580" xr3:uid="{EA9181E5-FA2B-47D3-BB86-C800F18D0FE7}" name="800" dataDxfId="15810"/>
    <tableColumn id="581" xr3:uid="{7C88D79D-38E4-4E95-8E03-05ABC48D54C1}" name="801" dataDxfId="15809"/>
    <tableColumn id="582" xr3:uid="{C9D94804-D38A-4E16-B208-0DF1ACCA0B39}" name="802" dataDxfId="15808"/>
    <tableColumn id="583" xr3:uid="{C1261354-DE64-4E71-8A64-96549E3AF90D}" name="803" dataDxfId="15807"/>
    <tableColumn id="584" xr3:uid="{1A4B5C75-93F9-4EB1-9CE8-DF460AB2B375}" name="804" dataDxfId="15806"/>
    <tableColumn id="585" xr3:uid="{2E21F908-64FF-46CA-AE5C-A16645AA621D}" name="805" dataDxfId="15805"/>
    <tableColumn id="586" xr3:uid="{5F8652D3-6C6B-4B15-9A40-085FD43230C4}" name="806" dataDxfId="15804"/>
    <tableColumn id="587" xr3:uid="{2DB30817-B042-4979-BA1B-90AFDBD4A82B}" name="807" dataDxfId="15803"/>
    <tableColumn id="588" xr3:uid="{97736CC4-9127-41E6-B665-00B174DDDCD7}" name="808" dataDxfId="15802"/>
    <tableColumn id="589" xr3:uid="{AAC021DB-0D35-433E-A315-84041F533ADD}" name="809" dataDxfId="15801"/>
    <tableColumn id="590" xr3:uid="{875EA43A-D0BC-4A5C-909D-0AD0E5437257}" name="810" dataDxfId="15800"/>
    <tableColumn id="591" xr3:uid="{D588E657-01D2-4CE4-B653-F94B60414F82}" name="811" dataDxfId="15799"/>
    <tableColumn id="592" xr3:uid="{6F229FB0-E84A-43A9-AB5B-5D51F55DCEDA}" name="812" dataDxfId="15798"/>
    <tableColumn id="593" xr3:uid="{BE159B2A-98C1-406D-895A-9A99417459A5}" name="813" dataDxfId="15797"/>
    <tableColumn id="594" xr3:uid="{9ABB9911-4ED1-4FEA-9972-AD00F83B2371}" name="814" dataDxfId="15796"/>
    <tableColumn id="595" xr3:uid="{6B9E0509-FA30-433A-BA96-DE03C66F0E43}" name="815" dataDxfId="15795"/>
    <tableColumn id="596" xr3:uid="{61D7F0D7-7B52-4A36-B308-5E6AA26327E6}" name="816" dataDxfId="15794"/>
    <tableColumn id="597" xr3:uid="{FE535232-C176-4755-B3C0-466DE135F0FE}" name="817" dataDxfId="15793"/>
    <tableColumn id="598" xr3:uid="{F3C42A86-F46D-417B-B72D-B31D0F592426}" name="818" dataDxfId="15792"/>
    <tableColumn id="599" xr3:uid="{248854FC-B922-4919-AB04-D3EF6FBDA7A7}" name="819" dataDxfId="15791"/>
    <tableColumn id="600" xr3:uid="{15656EF7-6C93-469C-97DD-53FD9229177B}" name="820" dataDxfId="15790"/>
    <tableColumn id="601" xr3:uid="{8477DF1B-92D7-4BCB-997A-E8099F2A11DF}" name="821" dataDxfId="15789"/>
    <tableColumn id="602" xr3:uid="{912A2AB9-4B29-4F6A-9CF1-EE61B86827A5}" name="822" dataDxfId="15788"/>
    <tableColumn id="603" xr3:uid="{9F2070B9-1B64-4432-A07D-C29D9AA437AB}" name="823" dataDxfId="15787"/>
    <tableColumn id="604" xr3:uid="{440E5F26-2B8A-4987-9A40-D6308621DC80}" name="824" dataDxfId="15786"/>
    <tableColumn id="605" xr3:uid="{E799446F-091C-45E0-8D66-5DE14A4C8BF4}" name="825" dataDxfId="15785"/>
    <tableColumn id="606" xr3:uid="{0D2355EF-0744-4E86-9154-9FE9B3B4A917}" name="826" dataDxfId="15784"/>
    <tableColumn id="607" xr3:uid="{5F4BD6A9-B7E9-4A85-AEB6-2760A04A6129}" name="827" dataDxfId="15783"/>
    <tableColumn id="608" xr3:uid="{823AC676-0FB5-4295-97B4-022EA7B34A81}" name="828" dataDxfId="15782"/>
    <tableColumn id="609" xr3:uid="{A84AE675-E7FC-4EC9-BBA6-7EBB12978A14}" name="829" dataDxfId="15781"/>
    <tableColumn id="610" xr3:uid="{742839C7-499C-447B-B8DE-6B74A74DC256}" name="830" dataDxfId="15780"/>
    <tableColumn id="611" xr3:uid="{9273CBAD-373C-44E3-AB3E-FDD18104C54E}" name="831" dataDxfId="15779"/>
    <tableColumn id="612" xr3:uid="{03AC5C9D-C495-4D49-A765-3632258E9ACC}" name="832" dataDxfId="15778"/>
    <tableColumn id="613" xr3:uid="{6CDC3A7D-90EF-4D95-9E8D-C2B99D880B66}" name="833" dataDxfId="15777"/>
    <tableColumn id="614" xr3:uid="{59105558-3B07-476D-A8F8-9676D64066DC}" name="834" dataDxfId="15776"/>
    <tableColumn id="615" xr3:uid="{481164E7-5A6A-496D-AD56-BA233477BC8E}" name="835" dataDxfId="15775"/>
    <tableColumn id="616" xr3:uid="{611E403B-67E1-4504-B679-B64F5D4C53E0}" name="836" dataDxfId="15774"/>
    <tableColumn id="617" xr3:uid="{370A8C22-EAA7-4E15-97CF-3399ABB7BBF8}" name="837" dataDxfId="15773"/>
    <tableColumn id="618" xr3:uid="{1CEC6AF8-14BF-498E-91E1-1A00E0F4CC43}" name="838" dataDxfId="15772"/>
    <tableColumn id="619" xr3:uid="{5B38BD55-C4A0-4180-A01D-1BAFB0D681F7}" name="839" dataDxfId="15771"/>
    <tableColumn id="620" xr3:uid="{08DC2FD1-207D-4BDF-AF66-95945C49F05B}" name="840" dataDxfId="15770"/>
    <tableColumn id="621" xr3:uid="{5B7CE4AC-28AF-4B25-8AED-5CC74BCF797D}" name="841" dataDxfId="15769"/>
    <tableColumn id="622" xr3:uid="{2146E97A-B4A4-41B5-B01D-9B5F85DBDD4A}" name="842" dataDxfId="15768"/>
    <tableColumn id="623" xr3:uid="{94421AFB-2DF1-40DF-B7DC-8CC794F6D7F5}" name="843" dataDxfId="15767"/>
    <tableColumn id="624" xr3:uid="{1179C204-1687-422B-B11A-25423AC22931}" name="844" dataDxfId="15766"/>
    <tableColumn id="625" xr3:uid="{8808556D-7D9E-4C45-B551-47314C16DE6B}" name="845" dataDxfId="15765"/>
    <tableColumn id="626" xr3:uid="{6F15434F-58F7-4481-A146-45BB0A76327F}" name="846" dataDxfId="15764"/>
    <tableColumn id="627" xr3:uid="{7A3BCD9A-0F11-4DD6-84A6-A3420964FE9D}" name="847" dataDxfId="15763"/>
    <tableColumn id="628" xr3:uid="{D0FB41D7-B791-4641-9669-595583C01A0E}" name="848" dataDxfId="15762"/>
    <tableColumn id="629" xr3:uid="{EC72C457-0F92-4A05-864A-EDAA8D1CB6E8}" name="849" dataDxfId="15761"/>
    <tableColumn id="630" xr3:uid="{4962ADBB-C51F-4866-A607-9022AA102F0F}" name="850" dataDxfId="15760"/>
    <tableColumn id="631" xr3:uid="{A4D343A6-FE82-4E65-9119-AF4788994981}" name="851" dataDxfId="15759"/>
    <tableColumn id="632" xr3:uid="{9F7DF606-4B2E-454D-9144-BA36C93C1B99}" name="852" dataDxfId="15758"/>
    <tableColumn id="633" xr3:uid="{B3AD9726-593F-47DB-ACDE-7F36A8DAF903}" name="853" dataDxfId="15757"/>
    <tableColumn id="634" xr3:uid="{CE8D7B72-7872-4885-A335-4EA6536D97EF}" name="854" dataDxfId="15756"/>
    <tableColumn id="635" xr3:uid="{A47B08E3-19E8-42CA-8C3A-BF16D8D25F3A}" name="855" dataDxfId="15755"/>
    <tableColumn id="636" xr3:uid="{59686AA8-D90C-4342-96C5-4137EDF64DE6}" name="856" dataDxfId="15754"/>
    <tableColumn id="637" xr3:uid="{E055561B-F240-4CEA-A7F0-E8AD9B1350E0}" name="857" dataDxfId="15753"/>
    <tableColumn id="638" xr3:uid="{CEC5F1B5-9622-4B0C-AEA7-447592420B89}" name="858" dataDxfId="15752"/>
    <tableColumn id="639" xr3:uid="{B85851AD-470B-41F4-BF3C-1247127E38D9}" name="859" dataDxfId="15751"/>
    <tableColumn id="640" xr3:uid="{F2C71B53-CD77-475D-8927-AD14DE5D5814}" name="860" dataDxfId="15750"/>
    <tableColumn id="641" xr3:uid="{4A91D170-65B3-465B-B0A5-67B268249185}" name="861" dataDxfId="15749"/>
    <tableColumn id="642" xr3:uid="{B9EC8D47-DFA7-4B45-A27B-B18E50E006CC}" name="862" dataDxfId="15748"/>
    <tableColumn id="643" xr3:uid="{A3E6F162-0BCA-4DF3-8385-ABA9E2BC1134}" name="863" dataDxfId="15747"/>
    <tableColumn id="644" xr3:uid="{0CA3FAAE-D370-41BE-ADA1-64AEB5E55A5A}" name="864" dataDxfId="15746"/>
    <tableColumn id="645" xr3:uid="{A04B66BA-78FD-4DA2-8CA5-6453774FD42B}" name="865" dataDxfId="15745"/>
    <tableColumn id="646" xr3:uid="{D4F88CC2-C802-4437-A7BA-51B0FCA7EFB4}" name="866" dataDxfId="15744"/>
    <tableColumn id="647" xr3:uid="{A303284D-9359-4528-94A7-BB337BCCA424}" name="867" dataDxfId="15743"/>
    <tableColumn id="648" xr3:uid="{9EBFD938-BEF1-4E7E-A8B7-A7821FCCC2C5}" name="868" dataDxfId="15742"/>
    <tableColumn id="649" xr3:uid="{F73DC9FC-A45D-4A4B-B1AE-7FB2DCEC8EF9}" name="869" dataDxfId="15741"/>
    <tableColumn id="650" xr3:uid="{B00B6FE7-A57D-4B9B-A241-76546A9AD088}" name="870" dataDxfId="15740"/>
    <tableColumn id="651" xr3:uid="{37E0B2D0-1304-4A98-B795-731C2D4D887E}" name="871" dataDxfId="15739"/>
    <tableColumn id="652" xr3:uid="{AC166037-3F76-4AC1-B6D3-F7C17B56492E}" name="872" dataDxfId="15738"/>
    <tableColumn id="653" xr3:uid="{FAC60F3D-43D1-4C3C-A943-7CDBAB97702B}" name="873" dataDxfId="15737"/>
    <tableColumn id="654" xr3:uid="{62284FD0-BA6C-455D-8D3C-1292311DA2F9}" name="874" dataDxfId="15736"/>
    <tableColumn id="655" xr3:uid="{B8892BDF-6D72-41D3-B424-43DD9DB71BB7}" name="875" dataDxfId="15735"/>
    <tableColumn id="656" xr3:uid="{3AA11F15-B98E-4EDC-A693-84A42679D86E}" name="876" dataDxfId="15734"/>
    <tableColumn id="657" xr3:uid="{3555F22A-D369-45D6-BE25-7CE64289D576}" name="877" dataDxfId="15733"/>
    <tableColumn id="658" xr3:uid="{EC51A875-42FF-4756-81FF-BEF7A4D1F90C}" name="878" dataDxfId="15732"/>
    <tableColumn id="659" xr3:uid="{96EF7ECC-B07F-476D-BB3C-586782FD71C1}" name="879" dataDxfId="15731"/>
    <tableColumn id="660" xr3:uid="{511CDA8E-0EA8-4109-97E5-043164FA13C6}" name="880" dataDxfId="15730"/>
    <tableColumn id="661" xr3:uid="{4BC012FE-F9CB-4414-8D35-45D6CAA67B2A}" name="881" dataDxfId="15729"/>
    <tableColumn id="662" xr3:uid="{4D8F2A1A-D0FF-4891-82CA-A7AA0FA8D8BF}" name="882" dataDxfId="15728"/>
    <tableColumn id="663" xr3:uid="{83809A74-6057-4A4C-949D-01D3FE9B62D9}" name="883" dataDxfId="15727"/>
    <tableColumn id="664" xr3:uid="{76854D21-3776-49A1-B638-B919ECC03E4B}" name="884" dataDxfId="15726"/>
    <tableColumn id="665" xr3:uid="{F7C6A89F-4419-48C6-A779-07D3E8B1DF64}" name="885" dataDxfId="15725"/>
    <tableColumn id="666" xr3:uid="{8CDFD9CC-302E-4E00-878B-A0EACDA74E8C}" name="886" dataDxfId="15724"/>
    <tableColumn id="667" xr3:uid="{17E04E37-1FF0-4455-864A-807F0F72CF73}" name="887" dataDxfId="15723"/>
    <tableColumn id="668" xr3:uid="{FA48254E-6604-4956-A66A-4862E6C172CA}" name="888" dataDxfId="15722"/>
    <tableColumn id="669" xr3:uid="{495969A9-4126-46DF-B70D-C702AB196F7D}" name="889" dataDxfId="15721"/>
    <tableColumn id="670" xr3:uid="{5A0F8F3D-D387-4343-A3AC-05DAACF4B93F}" name="890" dataDxfId="15720"/>
    <tableColumn id="671" xr3:uid="{7B13CBC9-09F5-41ED-A528-FA2585EEADAA}" name="891" dataDxfId="15719"/>
    <tableColumn id="672" xr3:uid="{AD8C16D9-9B91-4588-BE67-52FD6D5F2948}" name="892" dataDxfId="15718"/>
    <tableColumn id="673" xr3:uid="{3F3D4324-92EC-4002-8CAC-C0E7E5AA5174}" name="893" dataDxfId="15717"/>
    <tableColumn id="674" xr3:uid="{5E0101EF-0C2D-4EE1-B2DA-B92B9194941A}" name="894" dataDxfId="15716"/>
    <tableColumn id="675" xr3:uid="{8A41DD78-5206-482D-94B0-22DB40E32038}" name="895" dataDxfId="15715"/>
    <tableColumn id="676" xr3:uid="{0CB7EDC7-D78E-4B14-A181-BCBCDCC94CE5}" name="896" dataDxfId="15714"/>
    <tableColumn id="677" xr3:uid="{636BFF5D-7D4B-417D-A8DA-71A06A6F8D7F}" name="897" dataDxfId="15713"/>
    <tableColumn id="678" xr3:uid="{9600E4A9-B21E-4275-A8D3-50E7A981DC9C}" name="898" dataDxfId="15712"/>
    <tableColumn id="679" xr3:uid="{C3272582-BD33-4557-8A84-50447E40B4D3}" name="899" dataDxfId="15711"/>
    <tableColumn id="680" xr3:uid="{2F171A5F-22F3-456E-82D6-B443BB9194C2}" name="900" dataDxfId="15710"/>
    <tableColumn id="681" xr3:uid="{89335071-E50F-49D4-AF86-2CC94CF9203C}" name="901" dataDxfId="15709"/>
    <tableColumn id="682" xr3:uid="{D8B97F68-7929-4582-927A-FDAB0B750541}" name="902" dataDxfId="15708"/>
    <tableColumn id="683" xr3:uid="{A8799AD0-B7AD-479D-8BC6-7B2BC10EF77D}" name="903" dataDxfId="15707"/>
    <tableColumn id="684" xr3:uid="{3A49297D-B61E-4888-9EC2-8AB8BDFA884B}" name="904" dataDxfId="15706"/>
    <tableColumn id="685" xr3:uid="{B5CB1D8C-FE32-440A-B6D7-4D5514D9C36F}" name="905" dataDxfId="15705"/>
    <tableColumn id="686" xr3:uid="{6C41B936-2638-4CFC-AC4B-01FE35DB6387}" name="906" dataDxfId="15704"/>
    <tableColumn id="687" xr3:uid="{F667B8BB-3E69-4308-8E74-6717733204E1}" name="907" dataDxfId="15703"/>
    <tableColumn id="688" xr3:uid="{1DBEA96A-4BFA-40BE-A544-6CD5B5ACB23F}" name="908" dataDxfId="15702"/>
    <tableColumn id="689" xr3:uid="{C8714B84-3ED9-49DC-B7C8-23A681F26A28}" name="909" dataDxfId="15701"/>
    <tableColumn id="690" xr3:uid="{1085641A-AE98-4911-8FBE-E3C4CA32DD71}" name="910" dataDxfId="15700"/>
    <tableColumn id="691" xr3:uid="{19D9C519-2E72-4B90-AB00-BD3640F5E906}" name="911" dataDxfId="15699"/>
    <tableColumn id="692" xr3:uid="{A172E1E9-D168-4031-9257-396FC92C8459}" name="912" dataDxfId="15698"/>
    <tableColumn id="693" xr3:uid="{33693A45-D5FC-46D9-857A-770A8995703A}" name="913" dataDxfId="15697"/>
    <tableColumn id="694" xr3:uid="{3185E865-0577-453B-98B4-ACA8A6776D23}" name="914" dataDxfId="15696"/>
    <tableColumn id="695" xr3:uid="{338CF945-BB2C-480F-9E46-05024B455C5B}" name="915" dataDxfId="15695"/>
    <tableColumn id="696" xr3:uid="{A3542110-ABC6-4769-B9F4-7D40AB52DCD5}" name="916" dataDxfId="15694"/>
    <tableColumn id="697" xr3:uid="{3AF370DC-FB9A-4FE1-8065-03AEECDA2EAD}" name="917" dataDxfId="15693"/>
    <tableColumn id="698" xr3:uid="{2A594463-20FA-42A6-86D5-642DCE47E037}" name="918" dataDxfId="15692"/>
    <tableColumn id="699" xr3:uid="{5DB84275-E12E-4BA8-B9C8-2F70F4D5A4B6}" name="919" dataDxfId="15691"/>
    <tableColumn id="700" xr3:uid="{86F77216-BFD4-40DC-A0F3-27AA571167C0}" name="920" dataDxfId="15690"/>
    <tableColumn id="701" xr3:uid="{1C142BCD-55E4-4963-B7D3-4E146881CA0C}" name="921" dataDxfId="15689"/>
    <tableColumn id="702" xr3:uid="{ECF53B9A-5832-4373-A973-4D258D975025}" name="922" dataDxfId="15688"/>
    <tableColumn id="703" xr3:uid="{A1D94123-EA04-4F3B-9F16-7E6B6125DD7D}" name="923" dataDxfId="15687"/>
    <tableColumn id="704" xr3:uid="{20620E08-025F-440D-AA2C-1225E66588AF}" name="924" dataDxfId="15686"/>
    <tableColumn id="705" xr3:uid="{8FADBE39-AF0E-4EB2-8393-2E6019CE5AAF}" name="925" dataDxfId="15685"/>
    <tableColumn id="706" xr3:uid="{ED75A385-946B-44AE-8112-8C37B77A76E3}" name="926" dataDxfId="15684"/>
    <tableColumn id="707" xr3:uid="{7A07B2E5-419E-438E-96EB-ECAADF17F026}" name="927" dataDxfId="15683"/>
    <tableColumn id="708" xr3:uid="{09394598-A8F3-44A0-A942-A1CF3DD59311}" name="928" dataDxfId="15682"/>
    <tableColumn id="709" xr3:uid="{E89064A8-85B6-4E5B-A1DC-B22F5CAB2CB3}" name="929" dataDxfId="15681"/>
    <tableColumn id="710" xr3:uid="{2C1A7AED-C795-4BF2-932F-13CBE66D6745}" name="930" dataDxfId="15680"/>
    <tableColumn id="711" xr3:uid="{6FB32DA6-9892-4FCB-9F65-52BDF27F15BC}" name="931" dataDxfId="15679"/>
    <tableColumn id="712" xr3:uid="{4A3B0505-3FBA-42A8-A41E-38EE4AE2E792}" name="932" dataDxfId="15678"/>
    <tableColumn id="713" xr3:uid="{1F875D9F-4506-4CE3-83C9-E346E2B40691}" name="933" dataDxfId="15677"/>
    <tableColumn id="714" xr3:uid="{A858FA1B-01BF-46C1-94E3-F8C3D22E2240}" name="934" dataDxfId="15676"/>
    <tableColumn id="715" xr3:uid="{A9F9CC7F-FC5B-435C-9779-56FEAF14B657}" name="935" dataDxfId="15675"/>
    <tableColumn id="716" xr3:uid="{3148131F-4A87-4CC4-B857-030CDD794B87}" name="936" dataDxfId="15674"/>
    <tableColumn id="717" xr3:uid="{D3A935D1-EC46-4B5A-A7F6-39011CC7082C}" name="937" dataDxfId="15673"/>
    <tableColumn id="718" xr3:uid="{D472E2A1-2D65-44F9-BFD5-D47BFDEB9617}" name="938" dataDxfId="15672"/>
    <tableColumn id="719" xr3:uid="{E19E0B46-5864-4C9A-AFAC-61136A18FF1D}" name="939" dataDxfId="15671"/>
    <tableColumn id="720" xr3:uid="{DCF03E34-A078-4801-86F4-C6D696C8A2F6}" name="940" dataDxfId="15670"/>
    <tableColumn id="721" xr3:uid="{CEB8DCE6-06BF-417F-8E9B-FC3EB8B9EF5A}" name="941" dataDxfId="15669"/>
    <tableColumn id="722" xr3:uid="{8E6BD6E7-0C74-4749-9F47-889063FABF73}" name="942" dataDxfId="15668"/>
    <tableColumn id="723" xr3:uid="{252785DF-0104-4615-B01B-C78AECB4DDA7}" name="943" dataDxfId="15667"/>
    <tableColumn id="724" xr3:uid="{33B90ABE-E591-4767-8796-25693A8C51A3}" name="944" dataDxfId="15666"/>
    <tableColumn id="725" xr3:uid="{7E43A0EF-434C-49B6-B114-1C9DFD16BC8E}" name="945" dataDxfId="15665"/>
    <tableColumn id="726" xr3:uid="{762A932D-495B-452D-BFBE-F0AF3D939AC7}" name="946" dataDxfId="15664"/>
    <tableColumn id="727" xr3:uid="{A4675775-1396-4430-930C-52AE3E0C9723}" name="947" dataDxfId="15663"/>
    <tableColumn id="728" xr3:uid="{A9246B8E-3AD4-41B7-A02D-4739D2A43184}" name="948" dataDxfId="15662"/>
    <tableColumn id="729" xr3:uid="{A2BB7620-5DFF-42E1-8657-B30D75F5205A}" name="949" dataDxfId="15661"/>
    <tableColumn id="730" xr3:uid="{2CB9A3C2-8662-4B4C-B0DC-3F522DCA5B7A}" name="950" dataDxfId="15660"/>
    <tableColumn id="731" xr3:uid="{06D08E4D-F6AD-40F6-A348-CF9F481E34F8}" name="951" dataDxfId="15659"/>
    <tableColumn id="732" xr3:uid="{FBFA8538-A995-4954-BDB6-B8F43788B42E}" name="952" dataDxfId="15658"/>
    <tableColumn id="733" xr3:uid="{E11DAACE-BBF0-4EB2-A494-5F13D53EC4F4}" name="953" dataDxfId="15657"/>
    <tableColumn id="734" xr3:uid="{5BA91592-3DBF-4C75-A5CB-5FFDD4C7445D}" name="954" dataDxfId="15656"/>
    <tableColumn id="735" xr3:uid="{C321BB28-0B42-4D40-9FC0-3D783647C762}" name="955" dataDxfId="15655"/>
    <tableColumn id="736" xr3:uid="{C1216AB6-E9CC-4ACC-90B0-3CA9A4433B57}" name="956" dataDxfId="15654"/>
    <tableColumn id="737" xr3:uid="{28E762BD-C71A-4A1F-B313-CCB6E9E411C0}" name="957" dataDxfId="15653"/>
    <tableColumn id="738" xr3:uid="{EFE0CDDB-FB4F-4EC5-A42C-1B66C175FBEB}" name="958" dataDxfId="15652"/>
    <tableColumn id="739" xr3:uid="{4601DC72-5703-446A-92FB-EE0307DA3917}" name="959" dataDxfId="15651"/>
    <tableColumn id="740" xr3:uid="{1EEDD477-62CE-4346-A55E-AEDFE70FF92B}" name="960" dataDxfId="15650"/>
    <tableColumn id="741" xr3:uid="{7135746F-605D-49E0-A454-A1A5E64FDFB3}" name="961" dataDxfId="15649"/>
    <tableColumn id="742" xr3:uid="{9688EF80-F3D6-4024-835F-C6104DFE10A4}" name="962" dataDxfId="15648"/>
    <tableColumn id="743" xr3:uid="{451D9219-0802-438C-8DF6-3F63A1E6A706}" name="963" dataDxfId="15647"/>
    <tableColumn id="744" xr3:uid="{9FE63FCC-67CE-469D-87A5-CE9A560712C1}" name="964" dataDxfId="15646"/>
    <tableColumn id="745" xr3:uid="{6E3367AF-7644-4771-8F49-EFB655FFA32D}" name="965" dataDxfId="15645"/>
    <tableColumn id="746" xr3:uid="{E6EE2197-D469-4CFB-AF33-A63E1042CD8D}" name="966" dataDxfId="15644"/>
    <tableColumn id="747" xr3:uid="{89B53F50-81F1-4E1A-B965-E39170E140FB}" name="967" dataDxfId="15643"/>
    <tableColumn id="748" xr3:uid="{90A4663D-D430-4483-9142-88618CB65BB0}" name="968" dataDxfId="15642"/>
    <tableColumn id="749" xr3:uid="{4FAD4528-F656-410B-9294-988B560B8F51}" name="969" dataDxfId="15641"/>
    <tableColumn id="750" xr3:uid="{DBA13838-456E-4A43-816C-2762AF452794}" name="970" dataDxfId="15640"/>
    <tableColumn id="751" xr3:uid="{65252F82-8E49-46C4-BA59-B6E5046B45D7}" name="971" dataDxfId="15639"/>
    <tableColumn id="752" xr3:uid="{3118124A-7F32-48DF-BF3F-410F24519D11}" name="972" dataDxfId="15638"/>
    <tableColumn id="753" xr3:uid="{47D33AB2-EA11-4F72-8923-DC482EDE7D4A}" name="973" dataDxfId="15637"/>
    <tableColumn id="754" xr3:uid="{6ECB5E16-ED23-4666-B2B0-5A30BD3BD890}" name="974" dataDxfId="15636"/>
    <tableColumn id="755" xr3:uid="{20291E04-52D1-44FB-B50B-0F3FC3D1C0FB}" name="975" dataDxfId="15635"/>
    <tableColumn id="756" xr3:uid="{CCEBFC16-80A9-468E-BEE0-5BB77510D6CD}" name="976" dataDxfId="15634"/>
    <tableColumn id="757" xr3:uid="{E8A8D259-4E98-429F-81E8-71CA95F16612}" name="977" dataDxfId="15633"/>
    <tableColumn id="758" xr3:uid="{A20D18FD-5A88-4212-B6C9-4F6CC3E0195F}" name="978" dataDxfId="15632"/>
    <tableColumn id="759" xr3:uid="{5DEC38BF-AAAB-4D31-AD7F-AB845F721C4B}" name="979" dataDxfId="15631"/>
    <tableColumn id="760" xr3:uid="{C51D05ED-DAB3-466C-98B2-4DF66C7A781D}" name="980" dataDxfId="15630"/>
    <tableColumn id="761" xr3:uid="{92AFD3E3-E943-4938-BDE9-4118D2991120}" name="981" dataDxfId="15629"/>
    <tableColumn id="762" xr3:uid="{E6EE1256-F384-485A-A5F1-DFC3267CBE3A}" name="982" dataDxfId="15628"/>
    <tableColumn id="763" xr3:uid="{CBDF030B-6E35-4686-A7DA-F32E36161C78}" name="983" dataDxfId="15627"/>
    <tableColumn id="764" xr3:uid="{73214B37-78D5-4B5B-AD25-FA4EAB72E8FE}" name="984" dataDxfId="15626"/>
    <tableColumn id="765" xr3:uid="{9EE4A806-D842-4B94-9194-5FE36406E357}" name="985" dataDxfId="15625"/>
    <tableColumn id="766" xr3:uid="{59005E2B-E49F-42C2-B664-14091405BBF5}" name="986" dataDxfId="15624"/>
    <tableColumn id="767" xr3:uid="{FE578DB5-C8F0-4A09-80EB-DE8749A4482C}" name="987" dataDxfId="15623"/>
    <tableColumn id="768" xr3:uid="{276EEA85-9407-42D8-B4AD-413D00BF9385}" name="988" dataDxfId="15622"/>
    <tableColumn id="769" xr3:uid="{5C6A89C4-FA41-4535-B3E5-9DAEBBFDEAEB}" name="989" dataDxfId="15621"/>
    <tableColumn id="770" xr3:uid="{94D3C3A4-E4AA-432A-858B-E5CE262185A2}" name="990" dataDxfId="15620"/>
    <tableColumn id="771" xr3:uid="{9DCBA975-0594-43F7-9BFD-53A15B21ED73}" name="991" dataDxfId="15619"/>
    <tableColumn id="772" xr3:uid="{68162EFB-F88F-41DA-8724-EF59B4DC87B0}" name="992" dataDxfId="15618"/>
    <tableColumn id="773" xr3:uid="{0FB0BB44-12B6-428A-8713-881E2C545FD3}" name="993" dataDxfId="15617"/>
    <tableColumn id="774" xr3:uid="{9ED9586C-0F1F-445E-9B9F-70D3415AF929}" name="994" dataDxfId="15616"/>
    <tableColumn id="775" xr3:uid="{F7DE8D70-D948-4160-996B-DC74E35EE054}" name="995" dataDxfId="15615"/>
    <tableColumn id="776" xr3:uid="{52B166BB-C6C9-4036-9A59-3829FDA90656}" name="996" dataDxfId="15614"/>
    <tableColumn id="777" xr3:uid="{A8A0460B-AC8F-44A3-A44A-277D5D884C5B}" name="997" dataDxfId="15613"/>
    <tableColumn id="778" xr3:uid="{5D65309F-EE30-44AD-8143-5DFA026D7575}" name="998" dataDxfId="15612"/>
    <tableColumn id="779" xr3:uid="{E0343097-FE0C-411D-B569-CF747CF97D64}" name="999" dataDxfId="15611"/>
    <tableColumn id="780" xr3:uid="{C1F9CF34-FB28-49F4-BB96-E482CA9E28B4}" name="1000" dataDxfId="15610"/>
    <tableColumn id="781" xr3:uid="{7374D2C0-B39D-4139-B5F5-E00A31719C29}" name="1001" dataDxfId="15609"/>
    <tableColumn id="782" xr3:uid="{54853B94-92EF-4CBC-85B8-B07AA45CC160}" name="1002" dataDxfId="15608"/>
    <tableColumn id="783" xr3:uid="{60DAA00B-5778-4C1C-B61D-489852FEC004}" name="1003" dataDxfId="15607"/>
    <tableColumn id="784" xr3:uid="{D1BA62AC-A7A6-4ED8-8EEE-C24A2719A594}" name="1004" dataDxfId="15606"/>
    <tableColumn id="785" xr3:uid="{09B63AED-6842-41AD-AC67-23D1515993FB}" name="1005" dataDxfId="15605"/>
    <tableColumn id="786" xr3:uid="{B3C36785-B988-40E8-B6CA-55680ABB06FF}" name="1006" dataDxfId="15604"/>
    <tableColumn id="787" xr3:uid="{8E7A59D3-5590-45DB-9126-ECA2D8924318}" name="1007" dataDxfId="15603"/>
    <tableColumn id="788" xr3:uid="{52E07F29-BE6F-4BF9-BE0F-DF6E9F53249B}" name="1008" dataDxfId="15602"/>
    <tableColumn id="789" xr3:uid="{31654EA0-7E87-499E-96B2-82F96D608279}" name="1009" dataDxfId="15601"/>
    <tableColumn id="790" xr3:uid="{143F4AD5-AF04-4850-9FAB-EFCB01924261}" name="1010" dataDxfId="15600"/>
    <tableColumn id="791" xr3:uid="{C82DD5DA-B39C-4467-988D-DFBF215F3076}" name="1011" dataDxfId="15599"/>
    <tableColumn id="792" xr3:uid="{504ACF94-7636-4A4D-BD74-235CE0101CF7}" name="1012" dataDxfId="15598"/>
    <tableColumn id="793" xr3:uid="{E161AB05-B6EF-47A1-B80B-C3B40878EB27}" name="1013" dataDxfId="15597"/>
    <tableColumn id="794" xr3:uid="{C1F45F41-8DE5-477B-BE36-937B9BB6A7BD}" name="1014" dataDxfId="15596"/>
    <tableColumn id="795" xr3:uid="{45330D13-894B-4804-98E3-221F4B846B91}" name="1015" dataDxfId="15595"/>
    <tableColumn id="796" xr3:uid="{2D644D60-A3E2-4D71-A16B-4C847F389E54}" name="1016" dataDxfId="15594"/>
    <tableColumn id="797" xr3:uid="{3BB076B2-A8F7-4EAF-84FD-0613AE29CDB9}" name="1017" dataDxfId="15593"/>
    <tableColumn id="798" xr3:uid="{F2AC4481-56E6-4FEE-AB46-5A8475A6396F}" name="1018" dataDxfId="15592"/>
    <tableColumn id="799" xr3:uid="{76F950A8-F4EF-40A8-8B4C-B4B9A4977084}" name="1019" dataDxfId="15591"/>
    <tableColumn id="800" xr3:uid="{9ECCBE81-461A-461C-ADC1-4AA9AB40F94A}" name="1020" dataDxfId="15590"/>
    <tableColumn id="801" xr3:uid="{52CD549E-2452-4DBD-A807-20899B790B8C}" name="1021" dataDxfId="15589"/>
    <tableColumn id="802" xr3:uid="{034CC068-B415-4FFE-8AEF-8E707335588C}" name="1022" dataDxfId="15588"/>
    <tableColumn id="803" xr3:uid="{D728361C-0E47-4F4D-A40E-3F27D6F7A7A7}" name="1023" dataDxfId="15587"/>
    <tableColumn id="804" xr3:uid="{98347246-31B5-4210-B451-B5BD990F9D99}" name="1024" dataDxfId="15586"/>
    <tableColumn id="805" xr3:uid="{4A933580-9D2B-4089-A329-195B523B6877}" name="1025" dataDxfId="15585"/>
    <tableColumn id="806" xr3:uid="{66271A6F-68EF-4497-A0A0-B45788ABA88A}" name="1026" dataDxfId="15584"/>
    <tableColumn id="807" xr3:uid="{973FAF4A-9DFD-459D-948D-EB9406E8341F}" name="1027" dataDxfId="15583"/>
    <tableColumn id="808" xr3:uid="{E6B0167B-E90D-4AB6-B489-3E9BA65C0D99}" name="1028" dataDxfId="15582"/>
    <tableColumn id="809" xr3:uid="{1278B4DE-644D-42C1-8F05-B2C665A10430}" name="1029" dataDxfId="15581"/>
    <tableColumn id="810" xr3:uid="{9C6B3C62-6761-442D-9A90-A40CC7D60B70}" name="1030" dataDxfId="15580"/>
    <tableColumn id="811" xr3:uid="{EC2E20DB-96B4-4969-BBAF-02FE68C76056}" name="1031" dataDxfId="15579"/>
    <tableColumn id="812" xr3:uid="{2D6A15EA-A1E3-49E1-BEA7-F9A1C648250B}" name="1032" dataDxfId="15578"/>
    <tableColumn id="813" xr3:uid="{10392207-A850-4BDA-A044-8CDE65E5E98C}" name="1033" dataDxfId="15577"/>
    <tableColumn id="814" xr3:uid="{62EC295F-913E-4F99-A2A9-CE6CDB12211F}" name="1034" dataDxfId="15576"/>
    <tableColumn id="815" xr3:uid="{3AB4F040-B4AB-4D9F-AE7C-37F0C9F2DB53}" name="1035" dataDxfId="15575"/>
    <tableColumn id="816" xr3:uid="{65FD5FD4-4634-4AFE-B483-8D8B4CDAA064}" name="1036" dataDxfId="15574"/>
    <tableColumn id="817" xr3:uid="{410CA748-DFD1-4C2F-8A36-5409939A98E8}" name="1037" dataDxfId="15573"/>
    <tableColumn id="818" xr3:uid="{A9B19CB5-CD80-468E-AF9B-73AF608098D1}" name="1038" dataDxfId="15572"/>
    <tableColumn id="819" xr3:uid="{BD11F2CB-354D-4988-BFAC-DD8FCD8713CB}" name="1039" dataDxfId="15571"/>
    <tableColumn id="820" xr3:uid="{13061EBB-4A1C-4B1F-8221-BEA566123950}" name="1040" dataDxfId="15570"/>
    <tableColumn id="821" xr3:uid="{AA1F5CD1-B0D9-449A-8B43-A3B39BA8BC44}" name="1041" dataDxfId="15569"/>
    <tableColumn id="822" xr3:uid="{E0BF65D5-D053-4104-93CE-A921304E731A}" name="1042" dataDxfId="15568"/>
    <tableColumn id="823" xr3:uid="{CDACF5EB-7237-45B9-A99D-825BC2B568A0}" name="1043" dataDxfId="15567"/>
    <tableColumn id="824" xr3:uid="{CDC76846-D459-4D46-B743-A76DDD42ABCA}" name="1044" dataDxfId="15566"/>
    <tableColumn id="825" xr3:uid="{D2A23357-E20D-47ED-9C11-6A23EDE293A7}" name="1045" dataDxfId="15565"/>
    <tableColumn id="826" xr3:uid="{DA179454-0D35-4010-A20D-8F243E0CFCEB}" name="1046" dataDxfId="15564"/>
    <tableColumn id="827" xr3:uid="{00DF6207-596C-4083-A4F1-960C54A421B4}" name="1047" dataDxfId="15563"/>
    <tableColumn id="828" xr3:uid="{C1AB242B-718C-4AE2-802E-C1BC9BD6BCEB}" name="1048" dataDxfId="15562"/>
    <tableColumn id="829" xr3:uid="{260E82AA-790A-4093-B80D-8759A4440D9E}" name="1049" dataDxfId="15561"/>
    <tableColumn id="830" xr3:uid="{20144B05-ADEE-4694-BD67-7819ED9C42C5}" name="1050" dataDxfId="15560"/>
    <tableColumn id="831" xr3:uid="{210C3A90-87CA-4FC0-81C2-79F2708F3993}" name="1051" dataDxfId="15559"/>
    <tableColumn id="832" xr3:uid="{0B06528C-C87D-49C2-95BF-6DC0C13638A4}" name="1052" dataDxfId="15558"/>
    <tableColumn id="833" xr3:uid="{6DD75885-8281-411F-B410-E694C3A402C1}" name="1053" dataDxfId="15557"/>
    <tableColumn id="834" xr3:uid="{9BE9A473-4B8F-468A-93A0-343EBF71F089}" name="1054" dataDxfId="15556"/>
    <tableColumn id="835" xr3:uid="{3ED91D83-AD17-4789-9958-D71F681FDC10}" name="1055" dataDxfId="15555"/>
    <tableColumn id="836" xr3:uid="{70A259BB-2BC6-437F-A1E3-F2111FC1E4A1}" name="1056" dataDxfId="15554"/>
    <tableColumn id="837" xr3:uid="{1C62BAC0-5839-4021-81B5-9844BB40708D}" name="1057" dataDxfId="15553"/>
    <tableColumn id="838" xr3:uid="{B3ACECF8-56A9-4161-8649-9B6581535443}" name="1058" dataDxfId="15552"/>
    <tableColumn id="839" xr3:uid="{C422FFB1-1FF2-48C3-A9CD-22443E1F999D}" name="1059" dataDxfId="15551"/>
    <tableColumn id="840" xr3:uid="{2CD46AAE-E0ED-4BEA-9B45-1139197D23C2}" name="1060" dataDxfId="15550"/>
    <tableColumn id="841" xr3:uid="{D56EB28E-FEEF-4C94-821D-7AF7F6AEB431}" name="1061" dataDxfId="15549"/>
    <tableColumn id="842" xr3:uid="{E92037AE-90C6-4B3A-8C75-99A90AEA0664}" name="1062" dataDxfId="15548"/>
    <tableColumn id="843" xr3:uid="{3CB9D41C-6E72-4496-9691-8C5079B858E6}" name="1063" dataDxfId="15547"/>
    <tableColumn id="844" xr3:uid="{1B16520F-4544-4154-B080-75ED2AB0AA74}" name="1064" dataDxfId="15546"/>
    <tableColumn id="845" xr3:uid="{F0B36E0B-8552-4696-B728-147C050A0561}" name="1065" dataDxfId="15545"/>
    <tableColumn id="846" xr3:uid="{0F40E035-5B83-481C-94F2-EBC467B3AB11}" name="1066" dataDxfId="15544"/>
    <tableColumn id="847" xr3:uid="{EFC7AF9B-71E1-4687-8305-1191DD00C411}" name="1067" dataDxfId="15543"/>
    <tableColumn id="848" xr3:uid="{4C342B68-4668-45CE-B932-556243787E30}" name="1068" dataDxfId="15542"/>
    <tableColumn id="849" xr3:uid="{BC327A4A-C0E1-4CF1-8773-0C432D0D9A77}" name="1069" dataDxfId="15541"/>
    <tableColumn id="850" xr3:uid="{DF93E325-C711-4EF9-995C-525007B990C2}" name="1070" dataDxfId="15540"/>
    <tableColumn id="851" xr3:uid="{15B01A8C-62AA-4C80-A130-A16BCCCC5F2E}" name="1071" dataDxfId="15539"/>
    <tableColumn id="852" xr3:uid="{CD3E02DE-59EF-495C-B0BA-C04DE813B815}" name="1072" dataDxfId="15538"/>
    <tableColumn id="853" xr3:uid="{69F89ADA-EA14-44B7-A705-8C61849C842D}" name="1073" dataDxfId="15537"/>
    <tableColumn id="854" xr3:uid="{F01E8510-0AED-48A5-81E1-28375FF2F8B3}" name="1074" dataDxfId="15536"/>
    <tableColumn id="855" xr3:uid="{7871CC05-64F3-4C1A-8A85-4FAFE2CA722E}" name="1075" dataDxfId="15535"/>
    <tableColumn id="856" xr3:uid="{4444EAB1-15C6-4364-83EF-67137DE0FADD}" name="1076" dataDxfId="15534"/>
    <tableColumn id="857" xr3:uid="{8070F2A5-D314-4FF7-834E-612A2683AE9F}" name="1077" dataDxfId="15533"/>
    <tableColumn id="858" xr3:uid="{1C8220E6-F7AD-4C70-9C5F-DBCD77D1963D}" name="1078" dataDxfId="15532"/>
    <tableColumn id="859" xr3:uid="{BD6B750E-20DF-46E1-AE48-FA10A85AC009}" name="1079" dataDxfId="15531"/>
    <tableColumn id="860" xr3:uid="{69D9EA44-3007-499F-A892-2EB1FD6F050D}" name="1080" dataDxfId="15530"/>
    <tableColumn id="861" xr3:uid="{7E9655D2-71D5-40A1-A964-7219C8124B64}" name="1081" dataDxfId="15529"/>
    <tableColumn id="862" xr3:uid="{06600DDE-CE20-4985-93B1-4209E3B023CD}" name="1082" dataDxfId="15528"/>
    <tableColumn id="863" xr3:uid="{7AD87EB9-86EB-4E9B-B4CB-4B0D49F95539}" name="1083" dataDxfId="15527"/>
    <tableColumn id="864" xr3:uid="{35D66E4B-0CF1-40A9-AADF-AA373118B0E9}" name="1084" dataDxfId="15526"/>
    <tableColumn id="865" xr3:uid="{62B19F45-AA42-473D-BB70-0E05710F807C}" name="1085" dataDxfId="15525"/>
    <tableColumn id="866" xr3:uid="{E3300CEA-49D4-40E9-A7CF-1086E6816337}" name="1086" dataDxfId="15524"/>
    <tableColumn id="867" xr3:uid="{875DAE20-8D08-4DCB-B041-0E5719299211}" name="1087" dataDxfId="15523"/>
    <tableColumn id="868" xr3:uid="{69E240D7-8212-4051-B9F2-20C92405215D}" name="1088" dataDxfId="15522"/>
    <tableColumn id="869" xr3:uid="{7320ED8C-0646-4E8B-9AF6-5081E8B6373C}" name="1089" dataDxfId="15521"/>
    <tableColumn id="870" xr3:uid="{A9671A35-4FE1-4690-B504-6CBF03A20DF1}" name="1090" dataDxfId="15520"/>
    <tableColumn id="871" xr3:uid="{44083D9E-8F2A-4936-BD10-CB7A25E16DD9}" name="1091" dataDxfId="15519"/>
    <tableColumn id="872" xr3:uid="{17CC45AE-BD14-42CD-8962-4AA8E532A946}" name="1092" dataDxfId="15518"/>
    <tableColumn id="873" xr3:uid="{48B0A41E-6C5F-44C0-8F19-1A5CD2727DCD}" name="1093" dataDxfId="15517"/>
    <tableColumn id="874" xr3:uid="{11BF7001-BDF0-43E2-A933-C07626DC7522}" name="1094" dataDxfId="15516"/>
    <tableColumn id="875" xr3:uid="{201BEB5B-F2C8-4FDB-A28F-BD7C6FFF92B8}" name="1095" dataDxfId="15515"/>
    <tableColumn id="876" xr3:uid="{DA7E3152-174A-47F8-B0EC-529AE680F11E}" name="1096" dataDxfId="15514"/>
    <tableColumn id="877" xr3:uid="{1E8D9470-4723-43FD-943F-4B875B41613C}" name="1097" dataDxfId="15513"/>
    <tableColumn id="878" xr3:uid="{51366BF3-C9E4-4BB2-98AA-4E1FA43A9BED}" name="1098" dataDxfId="15512"/>
    <tableColumn id="879" xr3:uid="{016D09BE-9652-4D17-BDB5-13B92D362515}" name="1099" dataDxfId="15511"/>
    <tableColumn id="880" xr3:uid="{C9294DA2-502F-43C8-831F-8E50C7F4B4E1}" name="1100" dataDxfId="15510"/>
    <tableColumn id="881" xr3:uid="{AF9BF5CB-FD03-402F-B0FF-2E6901C93049}" name="1101" dataDxfId="15509"/>
    <tableColumn id="882" xr3:uid="{2938ED24-9D51-4B9C-ADD4-8662317DA78D}" name="1102" dataDxfId="15508"/>
    <tableColumn id="883" xr3:uid="{C2802B81-6423-4570-B733-B760765A22DD}" name="1103" dataDxfId="15507"/>
    <tableColumn id="884" xr3:uid="{E578642C-4224-4788-91BF-793D653AF52F}" name="1104" dataDxfId="15506"/>
    <tableColumn id="885" xr3:uid="{9C23FC07-CD2E-4F4C-A858-2B4D3CD2B236}" name="1105" dataDxfId="15505"/>
    <tableColumn id="886" xr3:uid="{C567A8A7-5999-4B9F-B0E5-4CD422607A5B}" name="1106" dataDxfId="15504"/>
    <tableColumn id="887" xr3:uid="{F573C729-447D-4D47-8686-CDD6253E9835}" name="1107" dataDxfId="15503"/>
    <tableColumn id="888" xr3:uid="{30853D4E-7DA9-497C-A5B8-9475F1BE9172}" name="1108" dataDxfId="15502"/>
    <tableColumn id="889" xr3:uid="{50DF1899-A002-4FAA-8112-64FDA822489C}" name="1109" dataDxfId="15501"/>
    <tableColumn id="890" xr3:uid="{CBC69500-0532-4942-A896-6A1E620710FF}" name="1110" dataDxfId="15500"/>
    <tableColumn id="891" xr3:uid="{973B58A9-88C9-4E48-B8C3-4739B4219D69}" name="1111" dataDxfId="15499"/>
    <tableColumn id="892" xr3:uid="{090A31ED-D731-46EF-A64C-DC887F07EB83}" name="1112" dataDxfId="15498"/>
    <tableColumn id="893" xr3:uid="{A141FD50-4303-4FA2-9063-E2EEFEC8DBC6}" name="1113" dataDxfId="15497"/>
    <tableColumn id="894" xr3:uid="{889FA78F-41F2-4EAC-B0D2-3BD74C3C1759}" name="1114" dataDxfId="15496"/>
    <tableColumn id="895" xr3:uid="{30AF4232-BE7B-4D8F-AFF6-537E42912F71}" name="1115" dataDxfId="15495"/>
    <tableColumn id="896" xr3:uid="{792979D3-37C0-4AB0-8E53-B0564DE169A1}" name="1116" dataDxfId="15494"/>
    <tableColumn id="897" xr3:uid="{58FF6FE9-E3E1-4D87-8480-1552EF209512}" name="1117" dataDxfId="15493"/>
    <tableColumn id="898" xr3:uid="{5A71D55E-FBA1-486F-8320-80E4B54FF138}" name="1118" dataDxfId="15492"/>
    <tableColumn id="899" xr3:uid="{F8943336-49E1-468D-8A6F-1A300D63BC00}" name="1119" dataDxfId="15491"/>
    <tableColumn id="900" xr3:uid="{106A5221-B598-4B86-97DA-B1FAFEFB847B}" name="1120" dataDxfId="15490"/>
    <tableColumn id="901" xr3:uid="{4A5FA5CF-F415-462B-906C-8AA32A15B575}" name="1121" dataDxfId="15489"/>
    <tableColumn id="902" xr3:uid="{154569A4-8CCA-428C-84A8-32C1EA981A67}" name="1122" dataDxfId="15488"/>
    <tableColumn id="903" xr3:uid="{2F9F5AE5-F0A5-4450-89E9-862CC4180999}" name="1123" dataDxfId="15487"/>
    <tableColumn id="904" xr3:uid="{1A796EC6-ADA3-4822-A3DD-CB1289CE23C8}" name="1124" dataDxfId="15486"/>
    <tableColumn id="905" xr3:uid="{0F247F60-2B39-40D6-8218-64D32A992C58}" name="1125" dataDxfId="15485"/>
    <tableColumn id="906" xr3:uid="{952E8BB8-82BB-4186-BE89-3919C6D610B0}" name="1126" dataDxfId="15484"/>
    <tableColumn id="907" xr3:uid="{31216704-7A84-47F4-A09C-6B010662630A}" name="1127" dataDxfId="15483"/>
    <tableColumn id="908" xr3:uid="{0A864ACA-64CB-4E9D-8272-2A0B1BC62886}" name="1128" dataDxfId="15482"/>
    <tableColumn id="909" xr3:uid="{45E077E6-68C0-45F7-8970-CC1CF23F05A5}" name="1129" dataDxfId="15481"/>
    <tableColumn id="910" xr3:uid="{10420BC1-C0AD-4756-8094-390C17359E45}" name="1130" dataDxfId="15480"/>
    <tableColumn id="911" xr3:uid="{45AD5487-22DB-4A22-8900-6307F288734D}" name="1131" dataDxfId="15479"/>
    <tableColumn id="912" xr3:uid="{6BF43047-5504-454E-814D-B75322370DE1}" name="1132" dataDxfId="15478"/>
    <tableColumn id="913" xr3:uid="{2F5D3808-ABE6-4576-9B86-2DE4D8B83F6B}" name="1133" dataDxfId="15477"/>
    <tableColumn id="914" xr3:uid="{055C6307-62BB-4D5D-B79F-6232CF853258}" name="1134" dataDxfId="15476"/>
    <tableColumn id="915" xr3:uid="{60B7D94A-AE37-48B6-863E-971B3427EBAB}" name="1135" dataDxfId="15475"/>
    <tableColumn id="916" xr3:uid="{9CD59EB0-29F5-43B0-B2C1-7E0604A1BF74}" name="1136" dataDxfId="15474"/>
    <tableColumn id="917" xr3:uid="{23963D7C-4F91-4513-8163-3BED1C058BC4}" name="1137" dataDxfId="15473"/>
    <tableColumn id="918" xr3:uid="{0F25A616-8198-459E-813D-9C3F3F2425D7}" name="1138" dataDxfId="15472"/>
    <tableColumn id="919" xr3:uid="{E5CC9953-1D73-4B1E-B7B4-6D0E0CAB3D60}" name="1139" dataDxfId="15471"/>
    <tableColumn id="920" xr3:uid="{376E92C1-18D2-4E4E-904B-727A94EEA3C2}" name="1140" dataDxfId="15470"/>
    <tableColumn id="921" xr3:uid="{57673157-93F9-4FFF-83E3-F34AF51745E9}" name="1141" dataDxfId="15469"/>
    <tableColumn id="922" xr3:uid="{A0AACE04-9132-481D-8977-12103F7F0C5D}" name="1142" dataDxfId="15468"/>
    <tableColumn id="923" xr3:uid="{202FAE20-E893-4B59-B958-EA99D216E051}" name="1143" dataDxfId="15467"/>
    <tableColumn id="924" xr3:uid="{EA0D92A9-5093-4F73-9EB5-895C3B6DDE6C}" name="1144" dataDxfId="15466"/>
    <tableColumn id="925" xr3:uid="{31DD4D5D-9C15-4579-B771-FF5B2AACC393}" name="1145" dataDxfId="15465"/>
    <tableColumn id="926" xr3:uid="{95663A57-4D71-4DB3-A5D2-CB7733A3C788}" name="1146" dataDxfId="15464"/>
    <tableColumn id="927" xr3:uid="{BB022608-CC9F-4EE8-B633-79F28FF6D946}" name="1147" dataDxfId="15463"/>
    <tableColumn id="928" xr3:uid="{B6C5696E-B763-42D3-8B95-ACB5753E8BE9}" name="1148" dataDxfId="15462"/>
    <tableColumn id="929" xr3:uid="{AA55BBFE-7340-4DCB-AAAA-4F9D965DD855}" name="1149" dataDxfId="15461"/>
    <tableColumn id="930" xr3:uid="{B351D350-174B-4042-9F97-92E5CA43CC89}" name="1150" dataDxfId="15460"/>
    <tableColumn id="931" xr3:uid="{68138500-EC30-4B89-A2B9-0F45F7AC6A19}" name="1151" dataDxfId="15459"/>
    <tableColumn id="932" xr3:uid="{8DF5AF6C-1EDD-4B39-BCAA-F39A1E33B20C}" name="1152" dataDxfId="15458"/>
    <tableColumn id="933" xr3:uid="{D4C95FCB-7E80-4AE7-9109-9B5E69927E12}" name="1153" dataDxfId="15457"/>
    <tableColumn id="934" xr3:uid="{CEBA3716-FFFD-4D7C-942C-1BF07F6595C6}" name="1154" dataDxfId="15456"/>
    <tableColumn id="935" xr3:uid="{69797975-5BBF-4C47-A81F-92CE6DF25A66}" name="1155" dataDxfId="15455"/>
    <tableColumn id="936" xr3:uid="{A634B991-E347-4779-A2F0-1B20FD1284B3}" name="1156" dataDxfId="15454"/>
    <tableColumn id="937" xr3:uid="{96F84DC7-4178-4403-9B72-2ACD29B8694D}" name="1157" dataDxfId="15453"/>
    <tableColumn id="938" xr3:uid="{C5093BA7-83EF-43DC-BA38-F86E4A7E761A}" name="1158" dataDxfId="15452"/>
    <tableColumn id="939" xr3:uid="{7EFF21AD-DEEE-409E-BABE-613F36C89325}" name="1159" dataDxfId="15451"/>
    <tableColumn id="940" xr3:uid="{19ECEFC6-F285-4ED5-847D-31981316A913}" name="1160" dataDxfId="15450"/>
    <tableColumn id="941" xr3:uid="{2C3C54C1-90F7-4880-A1CB-97C93BB22AC6}" name="1161" dataDxfId="15449"/>
    <tableColumn id="942" xr3:uid="{E8242841-E6E8-4393-89C8-9A64530E717F}" name="1162" dataDxfId="15448"/>
    <tableColumn id="943" xr3:uid="{7F1835AE-4CE8-4D93-9B73-6CB6F5D5F4D5}" name="1163" dataDxfId="15447"/>
    <tableColumn id="944" xr3:uid="{ED3E7226-34EC-4B4A-8340-71551B223949}" name="1164" dataDxfId="15446"/>
    <tableColumn id="945" xr3:uid="{4F07473B-32A5-4305-8804-61958DA7BFF0}" name="1165" dataDxfId="15445"/>
    <tableColumn id="946" xr3:uid="{CE724099-2195-4C43-9854-4221D5E635D5}" name="1166" dataDxfId="15444"/>
    <tableColumn id="947" xr3:uid="{AE6D3D94-DCD5-4B82-A285-9ECBEA9FD7F1}" name="1167" dataDxfId="15443"/>
    <tableColumn id="948" xr3:uid="{EAD33205-C93F-4682-83C7-68BBFDDE4293}" name="1168" dataDxfId="15442"/>
    <tableColumn id="949" xr3:uid="{A40A8962-5888-4A18-9B83-51349370E37A}" name="1169" dataDxfId="15441"/>
    <tableColumn id="950" xr3:uid="{ECE69229-C8E4-45A8-98E5-4B728B47C8D5}" name="1170" dataDxfId="15440"/>
    <tableColumn id="951" xr3:uid="{BC382F07-0DE2-4B88-8130-A9E57403E153}" name="1171" dataDxfId="15439"/>
    <tableColumn id="952" xr3:uid="{A9D8C356-4A58-49DC-B214-8A83492D6433}" name="1172" dataDxfId="15438"/>
    <tableColumn id="953" xr3:uid="{9F497BA4-96F9-4EDE-B829-22CA2CF4919C}" name="1173" dataDxfId="15437"/>
    <tableColumn id="954" xr3:uid="{0A081D08-1785-464B-954F-E3BEEC567601}" name="1174" dataDxfId="15436"/>
    <tableColumn id="955" xr3:uid="{5C75BF2D-0BAF-4A28-8B0C-46DA4759A481}" name="1175" dataDxfId="15435"/>
    <tableColumn id="956" xr3:uid="{0C06116F-7B1E-459E-89DA-39094A483075}" name="1176" dataDxfId="15434"/>
    <tableColumn id="957" xr3:uid="{54BD2CFC-4D7F-4C62-927F-B1412E1B51D4}" name="1177" dataDxfId="15433"/>
    <tableColumn id="958" xr3:uid="{CC4B926E-0545-4A02-8BED-44E6F91A7052}" name="1178" dataDxfId="15432"/>
    <tableColumn id="959" xr3:uid="{5D1D31DE-E8D0-4BCF-81D8-486C20469F33}" name="1179" dataDxfId="15431"/>
    <tableColumn id="960" xr3:uid="{29F810C0-62F0-4E37-92F4-25796BF2F72B}" name="1180" dataDxfId="15430"/>
    <tableColumn id="961" xr3:uid="{8329F3C8-0E4D-4EB8-8D7C-9EF66DD41A0E}" name="1181" dataDxfId="15429"/>
    <tableColumn id="962" xr3:uid="{B5914F03-A4B1-4E0E-9E60-88FD59F058C9}" name="1182" dataDxfId="15428"/>
    <tableColumn id="963" xr3:uid="{06F804C8-1F7A-4DD6-B5A6-874C624C75BE}" name="1183" dataDxfId="15427"/>
    <tableColumn id="964" xr3:uid="{1F213105-1F59-42C0-B9C1-D2743CB9212D}" name="1184" dataDxfId="15426"/>
    <tableColumn id="965" xr3:uid="{832CA424-3C9A-4403-B5C8-58A06B9E9DB5}" name="1185" dataDxfId="15425"/>
    <tableColumn id="966" xr3:uid="{75E05605-BB05-4C6F-9DF5-DBC0A8DC0236}" name="1186" dataDxfId="15424"/>
    <tableColumn id="967" xr3:uid="{BC369C91-F671-4B62-8661-D5D3AE0D63A7}" name="1187" dataDxfId="15423"/>
    <tableColumn id="968" xr3:uid="{C0AC1307-E642-4DBC-9978-D22C7535FD06}" name="1188" dataDxfId="15422"/>
    <tableColumn id="969" xr3:uid="{844B3FD6-0166-4E5D-802C-F2FD0FFCCA41}" name="1189" dataDxfId="15421"/>
    <tableColumn id="970" xr3:uid="{8C7FA7F5-7CAC-4E55-8015-172BDB7A5713}" name="1190" dataDxfId="15420"/>
    <tableColumn id="971" xr3:uid="{25A6F990-651C-400C-8ADC-FA5E974DF3C6}" name="1191" dataDxfId="15419"/>
    <tableColumn id="972" xr3:uid="{4424A3A6-FE86-4F8F-9F36-AA1A4F2F5A2F}" name="1192" dataDxfId="15418"/>
    <tableColumn id="973" xr3:uid="{EE7EC5DB-6356-48C9-A864-A12F808E88B9}" name="1193" dataDxfId="15417"/>
    <tableColumn id="974" xr3:uid="{DABD890B-BBC4-4106-B4C6-541505DE93F7}" name="1194" dataDxfId="15416"/>
    <tableColumn id="975" xr3:uid="{E0B9B66C-6D37-41A1-9872-59E9DCBF6623}" name="1195" dataDxfId="15415"/>
    <tableColumn id="976" xr3:uid="{1E568605-0959-446F-8B97-98636261C984}" name="1196" dataDxfId="15414"/>
    <tableColumn id="977" xr3:uid="{D4178034-1C3E-463A-A246-2E6AD25BAC8C}" name="1197" dataDxfId="15413"/>
    <tableColumn id="978" xr3:uid="{9EBCF199-EAEB-4DF8-B6E5-845187F5B49B}" name="1198" dataDxfId="15412"/>
    <tableColumn id="979" xr3:uid="{362E406C-E437-46FD-A25C-2D48FA37A1E8}" name="1199" dataDxfId="15411"/>
    <tableColumn id="980" xr3:uid="{9544C1AA-0D17-4F7D-B674-1F0AA6184470}" name="1200" dataDxfId="15410"/>
    <tableColumn id="981" xr3:uid="{ED7AB9DB-5174-413E-B3F7-FA1BE7061B30}" name="1201" dataDxfId="15409"/>
    <tableColumn id="982" xr3:uid="{67F996DB-BAFA-44EB-9E5B-DDAD57B22F8B}" name="1202" dataDxfId="15408"/>
    <tableColumn id="983" xr3:uid="{DE0DE3A6-A76B-4D23-8BD1-E4F6FBAC378D}" name="1203" dataDxfId="15407"/>
    <tableColumn id="984" xr3:uid="{6B471F9E-88A6-40CA-BAB3-4F6560DB1C4A}" name="1204" dataDxfId="15406"/>
    <tableColumn id="985" xr3:uid="{87C0FD12-D097-49CD-8306-FC72E40853BB}" name="1205" dataDxfId="15405"/>
    <tableColumn id="986" xr3:uid="{9FB5D749-F3C9-4B4E-9A6D-8A180BEF9526}" name="1206" dataDxfId="15404"/>
    <tableColumn id="987" xr3:uid="{D0ED83B3-496D-41ED-BD82-3A90957F9745}" name="1207" dataDxfId="15403"/>
    <tableColumn id="988" xr3:uid="{5B26F6C1-BDCB-48AB-9225-89FF4431FB6E}" name="1208" dataDxfId="15402"/>
    <tableColumn id="989" xr3:uid="{25CECC80-7542-4107-BB57-F77FAE560E8F}" name="1209" dataDxfId="15401"/>
    <tableColumn id="990" xr3:uid="{01E9E96F-67C5-4C14-BA78-A08FD2A2D37B}" name="1210" dataDxfId="15400"/>
    <tableColumn id="991" xr3:uid="{8E4414EA-0FEC-49EC-94E8-D69B73303B21}" name="1211" dataDxfId="15399"/>
    <tableColumn id="992" xr3:uid="{C2F891C1-05B8-4F43-98D2-4C43F11AB44C}" name="1212" dataDxfId="15398"/>
    <tableColumn id="993" xr3:uid="{3D794DD9-15B4-4186-BF5C-62AE29B05B9B}" name="1213" dataDxfId="15397"/>
    <tableColumn id="994" xr3:uid="{C16E45CC-4145-44F8-9306-36B23C1EBCBD}" name="1214" dataDxfId="15396"/>
    <tableColumn id="995" xr3:uid="{42AF4A84-BB96-415F-AF93-EE9818688C9E}" name="1215" dataDxfId="15395"/>
    <tableColumn id="996" xr3:uid="{71C9BBA4-2336-457B-8ED9-92BDA16D99E8}" name="1216" dataDxfId="15394"/>
    <tableColumn id="997" xr3:uid="{48483213-75B6-4862-98D7-0BA5206E8C97}" name="1217" dataDxfId="15393"/>
    <tableColumn id="998" xr3:uid="{FEC59288-EBE7-451B-8FFA-88017C9E7A8D}" name="1218" dataDxfId="15392"/>
    <tableColumn id="999" xr3:uid="{66B0677D-369D-40AF-A7BA-06C15EE673FB}" name="1219" dataDxfId="15391"/>
    <tableColumn id="1000" xr3:uid="{22B0D18B-1DC8-4F75-81A3-5735B2D533C6}" name="1220" dataDxfId="15390"/>
    <tableColumn id="1001" xr3:uid="{6CB20B4E-2C06-4665-A865-117831307C8B}" name="1221" dataDxfId="15389"/>
    <tableColumn id="1002" xr3:uid="{8D5662A6-9FA1-42FD-B168-DF940FB95E0A}" name="1222" dataDxfId="15388"/>
    <tableColumn id="1003" xr3:uid="{F2D229BE-9D08-46B6-9142-D890437CCE6E}" name="1223" dataDxfId="15387"/>
    <tableColumn id="1004" xr3:uid="{C0C22077-4C7E-4764-A016-26F74A81F014}" name="1224" dataDxfId="15386"/>
    <tableColumn id="1005" xr3:uid="{3743E35D-DEC7-4C83-B0FD-A32B27B46CF1}" name="1225" dataDxfId="15385"/>
    <tableColumn id="1006" xr3:uid="{ECE5CC62-6DA9-489D-8E43-4B40540FE9A7}" name="1226" dataDxfId="15384"/>
    <tableColumn id="1007" xr3:uid="{BEAB8A66-6D75-439F-ABE6-BC2282A36EBA}" name="1227" dataDxfId="15383"/>
    <tableColumn id="1008" xr3:uid="{61239FC2-2B19-4BC5-9835-FE568BE109E8}" name="1228" dataDxfId="15382"/>
    <tableColumn id="1009" xr3:uid="{F6992422-9F82-4716-B667-E5E35F99DD60}" name="1229" dataDxfId="15381"/>
    <tableColumn id="1010" xr3:uid="{37C6B6BD-4E97-4C3A-9AD8-9BCC9B7ADDDE}" name="1230" dataDxfId="15380"/>
    <tableColumn id="1011" xr3:uid="{E4781F7A-D179-493B-A930-520066276215}" name="1231" dataDxfId="15379"/>
    <tableColumn id="1012" xr3:uid="{CB44EC9E-3816-4C17-A68E-FB636C4E04C4}" name="1232" dataDxfId="15378"/>
    <tableColumn id="1013" xr3:uid="{B8D12B12-580D-42DD-A84C-A84BE3B7FEEE}" name="1233" dataDxfId="15377"/>
    <tableColumn id="1014" xr3:uid="{FEB5934F-1C6A-4030-B0C0-C768E6885B90}" name="1234" dataDxfId="15376"/>
    <tableColumn id="1015" xr3:uid="{E413B7C2-D41B-45CF-BC7E-20A59B15000B}" name="1235" dataDxfId="15375"/>
    <tableColumn id="1016" xr3:uid="{A31D8A64-3BD5-4DAF-A787-08A0239B1F12}" name="1236" dataDxfId="15374"/>
    <tableColumn id="1017" xr3:uid="{36AFF9E9-0FB3-4407-9B32-75D7CE1A1D9D}" name="1237" dataDxfId="15373"/>
    <tableColumn id="1018" xr3:uid="{B984830B-08A7-44AE-BE8D-D75636413371}" name="1238" dataDxfId="15372"/>
    <tableColumn id="1019" xr3:uid="{BF2A84C1-38E4-4D16-BF0C-58A59C161900}" name="1239" dataDxfId="15371"/>
    <tableColumn id="1020" xr3:uid="{EDE53B85-9993-4A4B-ADF6-DB2203055482}" name="1240" dataDxfId="15370"/>
    <tableColumn id="1021" xr3:uid="{A8AC4F66-4D53-463A-8056-F2A98D0A2EF2}" name="1241" dataDxfId="15369"/>
    <tableColumn id="1022" xr3:uid="{B25712D8-8F7F-4A76-B746-EE038731462F}" name="1242" dataDxfId="15368"/>
    <tableColumn id="1023" xr3:uid="{F2CFB7FF-B4DB-49A5-ADD0-39464DB961A3}" name="1243" dataDxfId="15367"/>
    <tableColumn id="1024" xr3:uid="{D66819EA-8B68-42A7-BD2D-CFB176FE6375}" name="1244" dataDxfId="15366"/>
    <tableColumn id="1025" xr3:uid="{09B8201B-8217-4931-8248-738A27FA98EE}" name="1245" dataDxfId="15365"/>
    <tableColumn id="1026" xr3:uid="{F7B02E2E-9493-4591-ACE8-B87959B91A08}" name="1246" dataDxfId="15364"/>
    <tableColumn id="1027" xr3:uid="{9327D4E1-0207-414D-B6B6-94AD73756B64}" name="1247" dataDxfId="15363"/>
    <tableColumn id="1028" xr3:uid="{73FC85DA-1D4D-4CA1-A2BD-FC73682AEB19}" name="1248" dataDxfId="15362"/>
    <tableColumn id="1029" xr3:uid="{1F0E12D4-5C27-4A3C-B305-0C34DB5AAD85}" name="1249" dataDxfId="15361"/>
    <tableColumn id="1030" xr3:uid="{279539F6-F474-4F23-9918-8A009E847595}" name="1250" dataDxfId="15360"/>
    <tableColumn id="1031" xr3:uid="{088CAB43-684E-45F0-96FB-857086F33394}" name="1251" dataDxfId="15359"/>
    <tableColumn id="1032" xr3:uid="{9E0BB8B3-FE87-44F5-82CB-595BB8092AF1}" name="1252" dataDxfId="15358"/>
    <tableColumn id="1033" xr3:uid="{51DB9739-AB7B-414C-86B2-2E1048613EBD}" name="1253" dataDxfId="15357"/>
    <tableColumn id="1034" xr3:uid="{88C1126C-97F3-47D2-B609-38308E2AD1CE}" name="1254" dataDxfId="15356"/>
    <tableColumn id="1035" xr3:uid="{8ADA09EE-525A-481C-87F4-0D612A11E23E}" name="1255" dataDxfId="15355"/>
    <tableColumn id="1036" xr3:uid="{5B404BE6-A241-4BFB-9A2A-866F9D9376E5}" name="1256" dataDxfId="15354"/>
    <tableColumn id="1037" xr3:uid="{437B9DA9-BA54-4AB2-8458-B825C2EA9527}" name="1257" dataDxfId="15353"/>
    <tableColumn id="1038" xr3:uid="{D0C09EF3-0847-4F28-B4C4-980322A5DE96}" name="1258" dataDxfId="15352"/>
    <tableColumn id="1039" xr3:uid="{14F8F936-4267-410A-9CFC-E68D27E6308A}" name="1259" dataDxfId="15351"/>
    <tableColumn id="1040" xr3:uid="{00E357BE-E5C0-4337-ADF4-E9E0B132C341}" name="1260" dataDxfId="15350"/>
    <tableColumn id="1041" xr3:uid="{8DAF84C5-FE2B-4856-A271-DE439248A9E3}" name="1261" dataDxfId="15349"/>
    <tableColumn id="1042" xr3:uid="{FAC5BB6C-239D-4B09-A1C2-AE5F14155807}" name="1262" dataDxfId="15348"/>
    <tableColumn id="1043" xr3:uid="{54CCA960-5B51-477F-BC41-E88ECC123FC3}" name="1263" dataDxfId="15347"/>
    <tableColumn id="1044" xr3:uid="{8A2A1983-50E3-48F3-B58B-1135288E1D30}" name="1264" dataDxfId="15346"/>
    <tableColumn id="1045" xr3:uid="{C0E48161-1556-40A2-A89A-4E5455BEE961}" name="1265" dataDxfId="15345"/>
    <tableColumn id="1046" xr3:uid="{2CE3A27C-923C-4C5C-8875-156494843D59}" name="1266" dataDxfId="15344"/>
    <tableColumn id="1047" xr3:uid="{31B6B3F3-B915-4E75-B225-79C964DEEEBB}" name="1267" dataDxfId="15343"/>
    <tableColumn id="1048" xr3:uid="{61472971-C1CE-4EE0-ACD2-C8F45AFA5678}" name="1268" dataDxfId="15342"/>
    <tableColumn id="1049" xr3:uid="{7B445FA8-9399-4F22-AD85-6D8F1D147117}" name="1269" dataDxfId="15341"/>
    <tableColumn id="1050" xr3:uid="{52991D78-3F1D-4C8B-8D69-389B72FDD1E0}" name="1270" dataDxfId="15340"/>
    <tableColumn id="1051" xr3:uid="{D69DBB14-0043-4204-90A2-A119E79571F2}" name="1271" dataDxfId="15339"/>
    <tableColumn id="1052" xr3:uid="{F5369B4A-DED5-48F6-BC24-92D55906625C}" name="1272" dataDxfId="15338"/>
    <tableColumn id="1053" xr3:uid="{0B1FD899-C0E6-4629-ADF6-E0D1A98B75A3}" name="1273" dataDxfId="15337"/>
    <tableColumn id="1054" xr3:uid="{D9AE59A6-9868-4375-971C-EA3C2AAB3AAF}" name="1274" dataDxfId="15336"/>
    <tableColumn id="1055" xr3:uid="{0A9FD270-60CB-46D5-972C-01B6E5C0E206}" name="1275" dataDxfId="15335"/>
    <tableColumn id="1056" xr3:uid="{5B48F017-0291-4E4D-987F-3072C00DB669}" name="1276" dataDxfId="15334"/>
    <tableColumn id="1057" xr3:uid="{ADF14EE2-E9C8-44CB-8928-67C9837F57C8}" name="1277" dataDxfId="15333"/>
    <tableColumn id="1058" xr3:uid="{3C28221E-84B6-409C-95A5-ED48CF9F147C}" name="1278" dataDxfId="15332"/>
    <tableColumn id="1059" xr3:uid="{762D7334-B0B0-45F4-904A-433AE77FC2F9}" name="1279" dataDxfId="15331"/>
    <tableColumn id="1060" xr3:uid="{9CCF0F78-3B6A-4362-A16C-CBAB0715B45B}" name="1280" dataDxfId="15330"/>
    <tableColumn id="1061" xr3:uid="{AE067DF5-C7E9-440F-8DAF-307A4AAE71EF}" name="1281" dataDxfId="15329"/>
    <tableColumn id="1062" xr3:uid="{3BF148B6-A299-434F-BD00-259ADBD3A04F}" name="1282" dataDxfId="15328"/>
    <tableColumn id="1063" xr3:uid="{8D5DA2B1-861F-4AAD-89E7-20E671EEC654}" name="1283" dataDxfId="15327"/>
    <tableColumn id="1064" xr3:uid="{EEF3A24D-69D6-43A1-916F-BA48D5A19549}" name="1284" dataDxfId="15326"/>
    <tableColumn id="1065" xr3:uid="{2E1AE54F-C1DB-42FE-AD09-8B800291F0BE}" name="1285" dataDxfId="15325"/>
    <tableColumn id="1066" xr3:uid="{7249AA28-25A2-45F0-85EF-AF61048E98B3}" name="1286" dataDxfId="15324"/>
    <tableColumn id="1067" xr3:uid="{CAA71C70-B51B-4A4F-A56B-B7489D96E593}" name="1287" dataDxfId="15323"/>
    <tableColumn id="1068" xr3:uid="{85F06A20-2ACC-48F5-A4A1-66A65521162D}" name="1288" dataDxfId="15322"/>
    <tableColumn id="1069" xr3:uid="{EB34E4E5-EE6D-41C2-BCA7-C93478E6B51E}" name="1289" dataDxfId="15321"/>
    <tableColumn id="1070" xr3:uid="{BEBD6A4D-340F-49BE-9F8A-03640263932C}" name="1290" dataDxfId="15320"/>
    <tableColumn id="1071" xr3:uid="{D8D04164-84FD-43C4-8880-4C695F2B9E23}" name="1291" dataDxfId="15319"/>
    <tableColumn id="1072" xr3:uid="{090D48A2-A6DE-492A-8668-5FE6B7F0F6B2}" name="1292" dataDxfId="15318"/>
    <tableColumn id="1073" xr3:uid="{70E73B37-A384-470A-AE41-7E1F2CFB937B}" name="1293" dataDxfId="15317"/>
    <tableColumn id="1074" xr3:uid="{54AA37D1-13BA-4D57-A2CE-9CBC54C3E982}" name="1294" dataDxfId="15316"/>
    <tableColumn id="1075" xr3:uid="{B4352F90-1DCD-415F-AE8F-7A1BD760F115}" name="1295" dataDxfId="15315"/>
    <tableColumn id="1076" xr3:uid="{C18A0223-9657-4E06-84D3-2FB4FA848204}" name="1296" dataDxfId="15314"/>
    <tableColumn id="1077" xr3:uid="{593E2B1B-8BA7-4C6C-911D-9E1687AB4338}" name="1297" dataDxfId="15313"/>
    <tableColumn id="1078" xr3:uid="{C1EE0FEE-BF46-4CEA-A3AD-DAEEA28689D2}" name="1298" dataDxfId="15312"/>
    <tableColumn id="1079" xr3:uid="{AC6E94FD-860A-4E99-985C-FC12D03E5AC4}" name="1299" dataDxfId="15311"/>
    <tableColumn id="1080" xr3:uid="{390F812D-E017-429F-AA87-1F284843AA75}" name="1300" dataDxfId="15310"/>
    <tableColumn id="1081" xr3:uid="{639CC78E-DE54-4454-8C4E-813629FFC646}" name="1301" dataDxfId="15309"/>
    <tableColumn id="1082" xr3:uid="{A7DACB5A-BC40-4640-ABC4-BA315FA782BF}" name="1302" dataDxfId="15308"/>
    <tableColumn id="1083" xr3:uid="{87FB0BAD-0C33-4D99-B539-BA56056FBB4F}" name="1303" dataDxfId="15307"/>
    <tableColumn id="1084" xr3:uid="{545E7C2C-1D67-400D-8BF3-8A611D09897A}" name="1304" dataDxfId="15306"/>
    <tableColumn id="1085" xr3:uid="{E548C57E-9194-4FC6-807A-E876F0B3F84D}" name="1305" dataDxfId="15305"/>
    <tableColumn id="1086" xr3:uid="{CCC02465-0C8F-46A8-98D2-9A6814C0C67C}" name="1306" dataDxfId="15304"/>
    <tableColumn id="1087" xr3:uid="{7D745E6F-293C-4FD5-84CF-1CE805E10A67}" name="1307" dataDxfId="15303"/>
    <tableColumn id="1088" xr3:uid="{5BD1A7BA-B58A-448C-AFF9-6F857921947B}" name="1308" dataDxfId="15302"/>
    <tableColumn id="1089" xr3:uid="{FCA060F3-E55D-4FC8-8F4E-3AE5F98D1AE6}" name="1309" dataDxfId="15301"/>
    <tableColumn id="1090" xr3:uid="{5E6A7624-E0A3-4AAD-A5DD-F253ED667D68}" name="1310" dataDxfId="15300"/>
    <tableColumn id="1091" xr3:uid="{C764B797-F655-4210-8A71-6B3695EFD592}" name="1311" dataDxfId="15299"/>
    <tableColumn id="1092" xr3:uid="{D50463ED-9B08-4A48-862A-4D9F7B22160A}" name="1312" dataDxfId="15298"/>
    <tableColumn id="1093" xr3:uid="{F01AFEDE-47F4-4D2A-A7A0-EFFE0E44314A}" name="1313" dataDxfId="15297"/>
    <tableColumn id="1094" xr3:uid="{ACDD44CE-0225-4F62-B91D-46F46388A52B}" name="1314" dataDxfId="15296"/>
    <tableColumn id="1095" xr3:uid="{DFA4DBB1-AAAA-4064-B231-1786F51CC2B6}" name="1315" dataDxfId="15295"/>
    <tableColumn id="1096" xr3:uid="{C34EF7D5-DD1D-466C-BDBA-A043EB74597C}" name="1316" dataDxfId="15294"/>
    <tableColumn id="1097" xr3:uid="{61E1C29B-2608-46CD-AF64-15A80AE67263}" name="1317" dataDxfId="15293"/>
    <tableColumn id="1098" xr3:uid="{F24DBBA5-63CC-43F2-B3D6-6FB3EC6C839A}" name="1318" dataDxfId="15292"/>
    <tableColumn id="1099" xr3:uid="{34AEF9CD-590B-47EF-A7C5-EBAE9F9B2D8E}" name="1319" dataDxfId="15291"/>
    <tableColumn id="1100" xr3:uid="{07008882-AFF1-4069-93F4-546A9745F4A9}" name="1320" dataDxfId="15290"/>
    <tableColumn id="1101" xr3:uid="{70498CA3-32D0-469B-B599-DFD964A5B8CA}" name="1321" dataDxfId="15289"/>
    <tableColumn id="1102" xr3:uid="{AE973380-88D8-4DED-BA7E-30E6686ABC6D}" name="1322" dataDxfId="15288"/>
    <tableColumn id="1103" xr3:uid="{EFAF4C54-A65C-4156-ADF8-917A2BCD47E0}" name="1323" dataDxfId="15287"/>
    <tableColumn id="1104" xr3:uid="{4D8F324F-26F5-4FB3-BDAE-7F859D210C19}" name="1324" dataDxfId="15286"/>
    <tableColumn id="1105" xr3:uid="{D05F55F7-76A6-4CE0-9B9F-2F7ACE489700}" name="1325" dataDxfId="15285"/>
    <tableColumn id="1106" xr3:uid="{C6EE4A50-1446-4805-9674-66412663219B}" name="1326" dataDxfId="15284"/>
    <tableColumn id="1107" xr3:uid="{2312B151-3153-45B8-A4A7-02EF21CD9DBA}" name="1327" dataDxfId="15283"/>
    <tableColumn id="1108" xr3:uid="{717F5383-474B-4EF7-BB0D-53DD53102F90}" name="1328" dataDxfId="15282"/>
    <tableColumn id="1109" xr3:uid="{CCBCBD01-45D5-4C0C-97D9-D14A5EA1C62F}" name="1329" dataDxfId="15281"/>
    <tableColumn id="1110" xr3:uid="{499F640B-5D48-422A-933E-224745D41AC6}" name="1330" dataDxfId="15280"/>
    <tableColumn id="1111" xr3:uid="{8B86AE96-211E-4FD8-9862-D906118F9EB6}" name="1331" dataDxfId="15279"/>
    <tableColumn id="1112" xr3:uid="{C96E6124-8A67-48DC-A8EE-E722E91A3DBC}" name="1332" dataDxfId="15278"/>
    <tableColumn id="1113" xr3:uid="{39C3DDAC-0AD3-4D3D-9B80-C54CDF13B5AA}" name="1333" dataDxfId="15277"/>
    <tableColumn id="1114" xr3:uid="{7AA7F636-9BE9-4DC0-BDA6-C1BAFF640CD3}" name="1334" dataDxfId="15276"/>
    <tableColumn id="1115" xr3:uid="{8454491F-C02B-465F-88CD-01B2288BDD0B}" name="1335" dataDxfId="15275"/>
    <tableColumn id="1116" xr3:uid="{18A34B42-3C40-4DAF-9DFD-6E46B879900A}" name="1336" dataDxfId="15274"/>
    <tableColumn id="1117" xr3:uid="{A7D66FFA-3B62-4081-8CBB-04E956CFE230}" name="1337" dataDxfId="15273"/>
    <tableColumn id="1118" xr3:uid="{C839440B-A16E-47D3-8BE8-77D45F499983}" name="1338" dataDxfId="15272"/>
    <tableColumn id="1119" xr3:uid="{73493893-58E5-4377-9D48-AD1854A09213}" name="1339" dataDxfId="15271"/>
    <tableColumn id="1120" xr3:uid="{B38292FB-F6CE-4ABD-825A-12641B6505AE}" name="1340" dataDxfId="15270"/>
    <tableColumn id="1121" xr3:uid="{52A276EB-D800-4366-82CA-6460CE6E1EE7}" name="1341" dataDxfId="15269"/>
    <tableColumn id="1122" xr3:uid="{4F2B2EF1-1421-44C7-ACB7-6038B7C7BBAA}" name="1342" dataDxfId="15268"/>
    <tableColumn id="1123" xr3:uid="{EF399485-1537-48A8-84C2-522835C19041}" name="1343" dataDxfId="15267"/>
    <tableColumn id="1124" xr3:uid="{22D2B457-615F-4CE5-B971-33E593331C7F}" name="1344" dataDxfId="15266"/>
    <tableColumn id="1125" xr3:uid="{18EF773A-0E84-4A9C-97BA-8EDEB2352713}" name="1345" dataDxfId="15265"/>
    <tableColumn id="1126" xr3:uid="{F9F4C233-1707-425F-BFBD-B3973C67418D}" name="1346" dataDxfId="15264"/>
    <tableColumn id="1127" xr3:uid="{2F0E3323-F4A2-41B4-9E5E-FE583D795743}" name="1347" dataDxfId="15263"/>
    <tableColumn id="1128" xr3:uid="{3E61211E-6952-4D04-A6F9-9BD07F8511C5}" name="1348" dataDxfId="15262"/>
    <tableColumn id="1129" xr3:uid="{8FD4C824-6EDF-4F46-BC08-998C272E8FEB}" name="1349" dataDxfId="15261"/>
    <tableColumn id="1130" xr3:uid="{BE9FACC4-1567-489E-8EE0-829BD60760F2}" name="1350" dataDxfId="15260"/>
    <tableColumn id="1131" xr3:uid="{069DF2FF-6ABA-4624-ABA1-67371A9209EA}" name="1351" dataDxfId="15259"/>
    <tableColumn id="1132" xr3:uid="{818B7136-EBC7-4FCC-AB49-9A1CEB4384C4}" name="1352" dataDxfId="15258"/>
    <tableColumn id="1133" xr3:uid="{D97170D2-FBEC-4221-8DB2-52E95EE21B3D}" name="1353" dataDxfId="15257"/>
    <tableColumn id="1134" xr3:uid="{32D86079-C004-4720-B395-BC30DE256F47}" name="1354" dataDxfId="15256"/>
    <tableColumn id="1135" xr3:uid="{2A557C8C-25B9-4706-85A1-0404DC810E08}" name="1355" dataDxfId="15255"/>
    <tableColumn id="1136" xr3:uid="{F9949E12-14B3-4A0E-88AD-BAF6AC68055A}" name="1356" dataDxfId="15254"/>
    <tableColumn id="1137" xr3:uid="{95FC2B0C-0230-4766-A7AD-82C5AAB4C167}" name="1357" dataDxfId="15253"/>
    <tableColumn id="1138" xr3:uid="{A9CDCA9B-A3EF-4150-91A0-1FCD15492C53}" name="1358" dataDxfId="15252"/>
    <tableColumn id="1139" xr3:uid="{C865EA78-B891-4569-9DD7-2F95CC0A6C13}" name="1359" dataDxfId="15251"/>
    <tableColumn id="1140" xr3:uid="{2B430CAC-1493-4D70-80BE-410D2A3B4247}" name="1360" dataDxfId="15250"/>
    <tableColumn id="1141" xr3:uid="{45EF42D9-A05B-46CF-A063-B50185ED787C}" name="1361" dataDxfId="15249"/>
    <tableColumn id="1142" xr3:uid="{A54FE53F-61D1-4F54-AD3E-6DE81B721921}" name="1362" dataDxfId="15248"/>
    <tableColumn id="1143" xr3:uid="{D2633E8E-EA5A-4C21-96C3-958BB99CE793}" name="1363" dataDxfId="15247"/>
    <tableColumn id="1144" xr3:uid="{03D8BCED-2BE8-413C-9A3F-EE328996F820}" name="1364" dataDxfId="15246"/>
    <tableColumn id="1145" xr3:uid="{9430DCD5-F52A-49D4-96BF-F0A4725B73ED}" name="1365" dataDxfId="15245"/>
    <tableColumn id="1146" xr3:uid="{23B01A7D-3BE4-4159-8818-AD6FFB4A563D}" name="1366" dataDxfId="15244"/>
    <tableColumn id="1147" xr3:uid="{81160057-1A02-456B-9F9A-65420F4B5667}" name="1367" dataDxfId="15243"/>
    <tableColumn id="1148" xr3:uid="{19916DAD-7D87-4ADA-A405-2D5F8D536444}" name="1368" dataDxfId="15242"/>
    <tableColumn id="1149" xr3:uid="{E2871A9A-B3CC-46CC-BFCD-BE59E4DD5BAD}" name="1369" dataDxfId="15241"/>
    <tableColumn id="1150" xr3:uid="{2F2E037F-78FE-4C15-AF02-B183C00CDDFB}" name="1370" dataDxfId="15240"/>
    <tableColumn id="1151" xr3:uid="{3820E1D9-99AC-4F33-9982-F2A472EF3428}" name="1371" dataDxfId="15239"/>
    <tableColumn id="1152" xr3:uid="{60F13B2A-09F0-474E-8AF0-44C246369C54}" name="1372" dataDxfId="15238"/>
    <tableColumn id="1153" xr3:uid="{097B0A38-3631-4A5B-99E8-C11B37FF3518}" name="1373" dataDxfId="15237"/>
    <tableColumn id="1154" xr3:uid="{4AA5BEA4-0A75-47A1-A8A2-A6DC712E8400}" name="1374" dataDxfId="15236"/>
    <tableColumn id="1155" xr3:uid="{A2A73D18-54B3-4A8D-9EF8-6BFD800ED60F}" name="1375" dataDxfId="15235"/>
    <tableColumn id="1156" xr3:uid="{1558784C-E7FD-4385-9E9C-484389711EC0}" name="1376" dataDxfId="15234"/>
    <tableColumn id="1157" xr3:uid="{B694DDCC-02E9-4B37-8168-C5A1EACA5E89}" name="1377" dataDxfId="15233"/>
    <tableColumn id="1158" xr3:uid="{6EA759B1-CDF0-4361-A3E4-DDE04A639963}" name="1378" dataDxfId="15232"/>
    <tableColumn id="1159" xr3:uid="{60385ECD-715C-4D11-82E3-A1776C0AA302}" name="1379" dataDxfId="15231"/>
    <tableColumn id="1160" xr3:uid="{1D103193-9A45-444C-B907-B6A7C4399CDA}" name="1380" dataDxfId="15230"/>
    <tableColumn id="1161" xr3:uid="{29BF911D-8FC8-45B6-AEAB-034FA5287C9B}" name="1381" dataDxfId="15229"/>
    <tableColumn id="1162" xr3:uid="{49D22782-C8B8-4C20-BC54-348A5FBF8229}" name="1382" dataDxfId="15228"/>
    <tableColumn id="1163" xr3:uid="{976EFA59-F14A-4F3D-BBD7-3BDCB2CA963B}" name="1383" dataDxfId="15227"/>
    <tableColumn id="1164" xr3:uid="{B5614EA6-9A2F-4D7E-9B31-9872407BA640}" name="1384" dataDxfId="15226"/>
    <tableColumn id="1165" xr3:uid="{5BFE79D9-A1F5-47C1-B7F5-DE7B106ABE4F}" name="1385" dataDxfId="15225"/>
    <tableColumn id="1166" xr3:uid="{7F0444AB-46F6-4C95-9DF8-34ED845C4E7E}" name="1386" dataDxfId="15224"/>
    <tableColumn id="1167" xr3:uid="{8BB73CC1-3559-46F3-A99E-24CCB317753B}" name="1387" dataDxfId="15223"/>
    <tableColumn id="1168" xr3:uid="{38BEE831-8C7C-48A5-BA86-64E7DF3F911C}" name="1388" dataDxfId="15222"/>
    <tableColumn id="1169" xr3:uid="{40A1BD56-A06A-4F78-B07E-1E34BED6A54E}" name="1389" dataDxfId="15221"/>
    <tableColumn id="1170" xr3:uid="{98EA5E81-31BE-424B-8BE7-80EA8534BF18}" name="1390" dataDxfId="15220"/>
    <tableColumn id="1171" xr3:uid="{4E91DAB8-A331-42FD-972F-F942CE03E6EC}" name="1391" dataDxfId="15219"/>
    <tableColumn id="1172" xr3:uid="{66B4E593-F6E5-4E4C-A856-330806FE51E4}" name="1392" dataDxfId="15218"/>
    <tableColumn id="1173" xr3:uid="{AE161CE7-F791-44C4-988D-8DFF5CE702E1}" name="1393" dataDxfId="15217"/>
    <tableColumn id="1174" xr3:uid="{CAACA7C9-79A1-41EF-BA06-A52BC15F7A6B}" name="1394" dataDxfId="15216"/>
    <tableColumn id="1175" xr3:uid="{8674A7B4-37B1-4F79-AC10-8389C126BD12}" name="1395" dataDxfId="15215"/>
    <tableColumn id="1176" xr3:uid="{3021B508-920F-45D5-B67A-A9704C776DDB}" name="1396" dataDxfId="15214"/>
    <tableColumn id="1177" xr3:uid="{5D9222E7-F1C4-4883-90EA-61D7A93D01E6}" name="1397" dataDxfId="15213"/>
    <tableColumn id="1178" xr3:uid="{9FE6DF98-1438-4F9A-9452-705580B58C10}" name="1398" dataDxfId="15212"/>
    <tableColumn id="1179" xr3:uid="{AE8B0C1D-7BD1-4C49-B687-B22CFE03256B}" name="1399" dataDxfId="15211"/>
    <tableColumn id="1180" xr3:uid="{C763DEFD-FA02-4191-BB65-24A65D56D4C3}" name="1400" dataDxfId="15210"/>
    <tableColumn id="1181" xr3:uid="{2FC3D72F-3809-4851-BB97-7E9B24FC498D}" name="1401" dataDxfId="15209"/>
    <tableColumn id="1182" xr3:uid="{FC7CE739-DEB3-49DF-8EA1-BF0CAECEFBCD}" name="1402" dataDxfId="15208"/>
    <tableColumn id="1183" xr3:uid="{DFF03262-D0EA-4B7A-95BC-D475C3BBA2FE}" name="1403" dataDxfId="15207"/>
    <tableColumn id="1184" xr3:uid="{E0361048-F644-40F3-82A1-297AF9036131}" name="1404" dataDxfId="15206"/>
    <tableColumn id="1185" xr3:uid="{D9392342-6B53-4B9C-AF69-4378ECA6464F}" name="1405" dataDxfId="15205"/>
    <tableColumn id="1186" xr3:uid="{E0EE5389-93DE-4C68-B964-ECFFED6937FD}" name="1406" dataDxfId="15204"/>
    <tableColumn id="1187" xr3:uid="{1816B809-A073-4465-80CF-49612FF268C8}" name="1407" dataDxfId="15203"/>
    <tableColumn id="1188" xr3:uid="{BB619562-B4D0-4FAF-93BC-837944AE6624}" name="1408" dataDxfId="15202"/>
    <tableColumn id="1189" xr3:uid="{BC72FF9C-B9AF-4176-9F1A-7B2C1B7F7B9F}" name="1409" dataDxfId="15201"/>
    <tableColumn id="1190" xr3:uid="{EC473B1E-ADCA-4110-A972-E581C27CE14C}" name="1410" dataDxfId="15200"/>
    <tableColumn id="1191" xr3:uid="{00E57FAB-D59E-4918-8AB2-2C9102F12C9C}" name="1411" dataDxfId="15199"/>
    <tableColumn id="1192" xr3:uid="{DD97D666-26A3-4E3E-AEB4-B6CA062CD04D}" name="1412" dataDxfId="15198"/>
    <tableColumn id="1193" xr3:uid="{D03D6DCF-C9DE-4B1E-911E-A8F2AF0E7638}" name="1413" dataDxfId="15197"/>
    <tableColumn id="1194" xr3:uid="{FE60D6A4-A8CF-4B2A-A136-856A0F2BDF0A}" name="1414" dataDxfId="15196"/>
    <tableColumn id="1195" xr3:uid="{76D8943A-F4DB-4542-91B5-1B34EAECF599}" name="1415" dataDxfId="15195"/>
    <tableColumn id="1196" xr3:uid="{B61898A4-C932-4580-B5D3-AF23B84F9B41}" name="1416" dataDxfId="15194"/>
    <tableColumn id="1197" xr3:uid="{720C96FD-3E62-44CD-9A2D-1B02E8C96759}" name="1417" dataDxfId="15193"/>
    <tableColumn id="1198" xr3:uid="{C29CC5EF-3D32-41D0-9314-6DECD7CD0F5A}" name="1418" dataDxfId="15192"/>
    <tableColumn id="1199" xr3:uid="{8920F62B-D9F8-4CA0-B86B-19D9F1536AC4}" name="1419" dataDxfId="15191"/>
    <tableColumn id="1200" xr3:uid="{01A4326B-9654-47A7-8C5F-E33DC966E2EA}" name="1420" dataDxfId="15190"/>
    <tableColumn id="1201" xr3:uid="{78B09469-3BB9-4950-90F8-E14BD1233443}" name="1421" dataDxfId="15189"/>
    <tableColumn id="1202" xr3:uid="{167E4FBA-B58A-4272-A5FE-90F8F08DA652}" name="1422" dataDxfId="15188"/>
    <tableColumn id="1203" xr3:uid="{82707D18-8302-4676-8F7A-BAFA7980E6D8}" name="1423" dataDxfId="15187"/>
    <tableColumn id="1204" xr3:uid="{D83008D2-7AA5-41E5-B6FC-106C33A3B9FA}" name="1424" dataDxfId="15186"/>
    <tableColumn id="1205" xr3:uid="{B82F36F0-A5CB-4862-B72C-EEA0132C1E84}" name="1425" dataDxfId="15185"/>
    <tableColumn id="1206" xr3:uid="{2B5D6907-B461-48EF-80CB-2873F3527B96}" name="1426" dataDxfId="15184"/>
    <tableColumn id="1207" xr3:uid="{4B0BBD07-5E48-42B7-BAA0-9C234E697283}" name="1427" dataDxfId="15183"/>
    <tableColumn id="1208" xr3:uid="{6F6E4F23-1C4B-47D6-B293-B40364616D3B}" name="1428" dataDxfId="15182"/>
    <tableColumn id="1209" xr3:uid="{A3D5AF66-A3E1-4463-9B00-38E3F0E5704C}" name="1429" dataDxfId="15181"/>
    <tableColumn id="1210" xr3:uid="{126CB7DF-2149-44F1-90BD-469640B54C6E}" name="1430" dataDxfId="15180"/>
    <tableColumn id="1211" xr3:uid="{CB08E59E-4A6C-4672-977B-F70E796414C1}" name="1431" dataDxfId="15179"/>
    <tableColumn id="1212" xr3:uid="{7EC90B35-A8AD-41D7-9ED4-63208C99C7EB}" name="1432" dataDxfId="15178"/>
    <tableColumn id="1213" xr3:uid="{A7D57BAB-92D9-49F4-B1D1-37492D1D4661}" name="1433" dataDxfId="15177"/>
    <tableColumn id="1214" xr3:uid="{DDA2E1D6-A2E2-42B3-B4DE-2ACCE51BB3FE}" name="1434" dataDxfId="15176"/>
    <tableColumn id="1215" xr3:uid="{D2F115F1-A549-4AF6-ACF8-DA8BD838FA39}" name="1435" dataDxfId="15175"/>
    <tableColumn id="1216" xr3:uid="{D63ACB04-53AC-4FE1-AF5E-6543771C90D6}" name="1436" dataDxfId="15174"/>
    <tableColumn id="1217" xr3:uid="{D88DCF0A-70FE-4415-88DE-40C6060ED69A}" name="1437" dataDxfId="15173"/>
    <tableColumn id="1218" xr3:uid="{A17A8DEB-02AD-439C-9EF1-2124430F1D58}" name="1438" dataDxfId="15172"/>
    <tableColumn id="1219" xr3:uid="{4E681795-09DE-4EC6-9B51-072F653B9222}" name="1439" dataDxfId="15171"/>
    <tableColumn id="1220" xr3:uid="{0206FBD9-9C7F-4669-A396-B365058A765B}" name="1440" dataDxfId="15170"/>
    <tableColumn id="1221" xr3:uid="{9C6C5869-FDDD-4EDC-BA29-8EC3C7750E41}" name="1441" dataDxfId="15169"/>
    <tableColumn id="1222" xr3:uid="{3FF4D1F2-791D-484F-BAFE-5AF56F7E9FF1}" name="1442" dataDxfId="15168"/>
    <tableColumn id="1223" xr3:uid="{7E4CA743-4C46-4432-8865-2E33564AAB84}" name="1443" dataDxfId="15167"/>
    <tableColumn id="1224" xr3:uid="{BEBDBF4B-757B-4958-B5E6-E388B2868028}" name="1444" dataDxfId="15166"/>
    <tableColumn id="1225" xr3:uid="{9BAA4F24-C2ED-419C-B7D1-EE2C46D4DA8A}" name="1445" dataDxfId="15165"/>
    <tableColumn id="1226" xr3:uid="{C5DBD33D-379A-4EC5-838F-47CF77A1CCA3}" name="1446" dataDxfId="15164"/>
    <tableColumn id="1227" xr3:uid="{4891C496-DD3E-4AE5-989E-1426C0AC2BCD}" name="1447" dataDxfId="15163"/>
    <tableColumn id="1228" xr3:uid="{8A6CDAE5-3EB8-4679-9F78-541F91A08E36}" name="1448" dataDxfId="15162"/>
    <tableColumn id="1229" xr3:uid="{11C8E5B2-816E-4D4A-95FE-57A8B05FEE5C}" name="1449" dataDxfId="15161"/>
    <tableColumn id="1230" xr3:uid="{7F00529D-555E-4A46-BCA5-71F24A6559F0}" name="1450" dataDxfId="15160"/>
    <tableColumn id="1231" xr3:uid="{BDD920A8-6EB0-4D99-9C64-AB399CC99D76}" name="1451" dataDxfId="15159"/>
    <tableColumn id="1232" xr3:uid="{19921BFD-9A8D-4E36-909D-5E344D028027}" name="1452" dataDxfId="15158"/>
    <tableColumn id="1233" xr3:uid="{83066DBE-92D0-47E9-9650-BEAB70A53498}" name="1453" dataDxfId="15157"/>
    <tableColumn id="1234" xr3:uid="{4355640F-69C0-4AF5-AB9A-CCC17F70D9C6}" name="1454" dataDxfId="15156"/>
    <tableColumn id="1235" xr3:uid="{4F39E2AD-D523-45D6-8E50-ADFF73D5DF69}" name="1455" dataDxfId="15155"/>
    <tableColumn id="1236" xr3:uid="{28446D3E-B100-4316-918C-50F4A7FD8A63}" name="1456" dataDxfId="15154"/>
    <tableColumn id="1237" xr3:uid="{0480AD65-27AA-4EC0-A06C-F78C16E9A218}" name="1457" dataDxfId="15153"/>
    <tableColumn id="1238" xr3:uid="{D8066CE2-8E4E-4E34-9DB9-EACF538206B7}" name="1458" dataDxfId="15152"/>
    <tableColumn id="1239" xr3:uid="{EEE164AB-EEE5-4B24-8066-5CE8C1E9DC92}" name="1459" dataDxfId="15151"/>
    <tableColumn id="1240" xr3:uid="{AA268ED4-7C8E-41E0-A601-6CFEFC34A099}" name="1460" dataDxfId="15150"/>
    <tableColumn id="1241" xr3:uid="{E48FC97B-42E6-4D50-A02B-0C5C0FBF668C}" name="1461" dataDxfId="15149"/>
    <tableColumn id="1242" xr3:uid="{E82DF642-F4F6-443C-8E3D-D0C8ECE9CCE0}" name="1462" dataDxfId="15148"/>
    <tableColumn id="1243" xr3:uid="{A946DF3F-34C0-4434-86E4-29D650B8BFE6}" name="1463" dataDxfId="15147"/>
    <tableColumn id="1244" xr3:uid="{1825AA88-D56E-4F4D-BB8F-13417B361824}" name="1464" dataDxfId="15146"/>
    <tableColumn id="1245" xr3:uid="{AA137540-E58F-452B-BE5B-4465F1AD7498}" name="1465" dataDxfId="15145"/>
    <tableColumn id="1246" xr3:uid="{4BD65CD7-A876-4709-9FEE-B918C3D89BED}" name="1466" dataDxfId="15144"/>
    <tableColumn id="1247" xr3:uid="{9564B62F-8A8E-48E5-8091-EF1BC8EDCAC2}" name="1467" dataDxfId="15143"/>
    <tableColumn id="1248" xr3:uid="{36B2809E-01F0-4DD8-929E-C2818E61AC67}" name="1468" dataDxfId="15142"/>
    <tableColumn id="1249" xr3:uid="{421870DE-D685-4CF3-97DB-D1F52614FF07}" name="1469" dataDxfId="15141"/>
    <tableColumn id="1250" xr3:uid="{52D77B7A-0A5A-4D8D-BD27-7B11329B9F34}" name="1470" dataDxfId="15140"/>
    <tableColumn id="1251" xr3:uid="{52EB3475-0494-4811-9369-1D2A7327ED85}" name="1471" dataDxfId="15139"/>
    <tableColumn id="1252" xr3:uid="{F4FE7A5A-CF57-4385-8B48-DB81950643AA}" name="1472" dataDxfId="15138"/>
    <tableColumn id="1253" xr3:uid="{1F8457C6-14A3-4C80-8A79-5A794DD4C7BE}" name="1473" dataDxfId="15137"/>
    <tableColumn id="1254" xr3:uid="{E6EA4772-4DBA-43FE-AA46-733272AC28EA}" name="1474" dataDxfId="15136"/>
    <tableColumn id="1255" xr3:uid="{C85F1682-9356-436B-BBEB-96A9582285AF}" name="1475" dataDxfId="15135"/>
    <tableColumn id="1256" xr3:uid="{2B8E345E-5B4A-48C3-8AD2-68FA0592184E}" name="1476" dataDxfId="15134"/>
    <tableColumn id="1257" xr3:uid="{C71E65CB-F928-4D69-9A98-A7608657CD7B}" name="1477" dataDxfId="15133"/>
    <tableColumn id="1258" xr3:uid="{D9AA89E7-0739-444F-857B-76C0E94E817B}" name="1478" dataDxfId="15132"/>
    <tableColumn id="1259" xr3:uid="{672706CD-2584-4356-B1E4-46904C4293C7}" name="1479" dataDxfId="15131"/>
    <tableColumn id="1260" xr3:uid="{01EC46A2-E756-4CDE-A2FF-2382777C82C1}" name="1480" dataDxfId="15130"/>
    <tableColumn id="1261" xr3:uid="{4C9EFD63-05BF-466C-B503-5789EBDC2FE9}" name="1481" dataDxfId="15129"/>
    <tableColumn id="1262" xr3:uid="{C1E62484-FFE1-4A31-B1AF-A20DCAB9B506}" name="1482" dataDxfId="15128"/>
    <tableColumn id="1263" xr3:uid="{83DD40E6-F7A9-4588-A9FC-FD3AF755680D}" name="1483" dataDxfId="15127"/>
    <tableColumn id="1264" xr3:uid="{0D28D551-171E-411A-AE04-E0E72F94AF8F}" name="1484" dataDxfId="15126"/>
    <tableColumn id="1265" xr3:uid="{99395276-F062-495B-9B51-CF21C217F9DD}" name="1485" dataDxfId="15125"/>
    <tableColumn id="1266" xr3:uid="{D3934EB8-0FFB-40C0-88B0-57FC36D4CB92}" name="1486" dataDxfId="15124"/>
    <tableColumn id="1267" xr3:uid="{56642AE1-E447-455A-917F-34DB48926B20}" name="1487" dataDxfId="15123"/>
    <tableColumn id="1268" xr3:uid="{E278FA41-B883-4065-8BE5-BDC50B927D3B}" name="1488" dataDxfId="15122"/>
    <tableColumn id="1269" xr3:uid="{E09172CE-47B6-4AD5-8E9C-9ADC1497E5C8}" name="1489" dataDxfId="15121"/>
    <tableColumn id="1270" xr3:uid="{719D24EC-807E-42E0-89A5-7675AA36E0B1}" name="1490" dataDxfId="15120"/>
    <tableColumn id="1271" xr3:uid="{A3392E92-717F-4A02-A5BF-21ED9E89C98A}" name="1491" dataDxfId="15119"/>
    <tableColumn id="1272" xr3:uid="{24D28F35-7507-461D-B68D-4BF8B20C6EB2}" name="1492" dataDxfId="15118"/>
    <tableColumn id="1273" xr3:uid="{4DE974CF-EF57-46BA-82E0-A9FE159F7501}" name="1493" dataDxfId="15117"/>
    <tableColumn id="1274" xr3:uid="{92912B8B-A393-4187-A2E3-B5975A34AC25}" name="1494" dataDxfId="15116"/>
    <tableColumn id="1275" xr3:uid="{696ECDB5-E2EE-42E4-90CE-4E2CBCB3A005}" name="1495" dataDxfId="15115"/>
    <tableColumn id="1276" xr3:uid="{91BDC7C4-8A1F-48F2-BA65-D1AF849AE487}" name="1496" dataDxfId="15114"/>
    <tableColumn id="1277" xr3:uid="{3FED51A3-BBE5-4A4C-B334-DF81A2ADDB3E}" name="1497" dataDxfId="15113"/>
    <tableColumn id="1278" xr3:uid="{8D11B47F-03C8-4A6B-8F62-5455C5176E94}" name="1498" dataDxfId="15112"/>
    <tableColumn id="1279" xr3:uid="{91F3EF32-EAC0-415F-87E3-9A164EB12F79}" name="1499" dataDxfId="15111"/>
    <tableColumn id="1280" xr3:uid="{B4D19DD8-BC7D-4AF9-ACBF-32AF8DC4C0A1}" name="1500" dataDxfId="15110"/>
    <tableColumn id="1281" xr3:uid="{EB8CCE84-2238-493A-A64B-D562D614E22A}" name="1501" dataDxfId="15109"/>
    <tableColumn id="1282" xr3:uid="{E3FE0C48-1A79-4862-B86F-B46A376A273E}" name="1502" dataDxfId="15108"/>
    <tableColumn id="1283" xr3:uid="{CFFB2FC6-96CB-4184-B8BD-2C9E2A2C7DD7}" name="1503" dataDxfId="15107"/>
    <tableColumn id="1284" xr3:uid="{3ABD9748-E56E-4267-9A74-129DC6E46EBE}" name="1504" dataDxfId="15106"/>
    <tableColumn id="1285" xr3:uid="{59FA0726-BEFB-4865-8668-550B2D93F41D}" name="1505" dataDxfId="15105"/>
    <tableColumn id="1286" xr3:uid="{98BB6395-744B-485A-B814-20F0C2AB5DE9}" name="1506" dataDxfId="15104"/>
    <tableColumn id="1287" xr3:uid="{F537CE84-29F2-4BDE-87C7-CC4B351CE7D8}" name="1507" dataDxfId="15103"/>
    <tableColumn id="1288" xr3:uid="{36D3622A-A7A0-4D71-A3BB-EDA19B62E8F1}" name="1508" dataDxfId="15102"/>
    <tableColumn id="1289" xr3:uid="{B8E72190-A834-4B26-9A23-30930BB09075}" name="1509" dataDxfId="15101"/>
    <tableColumn id="1290" xr3:uid="{8203A6B2-B634-43E4-BF65-16CD65189DED}" name="1510" dataDxfId="15100"/>
    <tableColumn id="1291" xr3:uid="{34E972D8-2BA1-4AC5-975B-375C9499C6C4}" name="1511" dataDxfId="15099"/>
    <tableColumn id="1292" xr3:uid="{33FB663C-3689-46A5-A821-E2A685F3E93F}" name="1512" dataDxfId="15098"/>
    <tableColumn id="1293" xr3:uid="{183642AC-7A20-4B60-8F9B-D61568C2336D}" name="1513" dataDxfId="15097"/>
    <tableColumn id="1294" xr3:uid="{9C40D905-4109-4571-85DD-1E044A4FC623}" name="1514" dataDxfId="15096"/>
    <tableColumn id="1295" xr3:uid="{9639F464-0792-4C21-B9EC-6B007C9FDF59}" name="1515" dataDxfId="15095"/>
    <tableColumn id="1296" xr3:uid="{08C21CFF-2310-4EE9-87BE-C8FC99025A1B}" name="1516" dataDxfId="15094"/>
    <tableColumn id="1297" xr3:uid="{2F2C1DDA-7174-4664-AEB4-CE72C8536493}" name="1517" dataDxfId="15093"/>
    <tableColumn id="1298" xr3:uid="{27A4DF2A-7201-4C04-9BA0-D46018F2BB4B}" name="1518" dataDxfId="15092"/>
    <tableColumn id="1299" xr3:uid="{E7A4FB12-DD8F-4174-9BA4-C1375C69190D}" name="1519" dataDxfId="15091"/>
    <tableColumn id="1300" xr3:uid="{D22AED77-EC99-4AA2-8A5E-9BC90AF18F1A}" name="1520" dataDxfId="15090"/>
    <tableColumn id="1301" xr3:uid="{0E213536-63DD-4627-AC82-D1ADB2A5B0BF}" name="1521" dataDxfId="15089"/>
    <tableColumn id="1302" xr3:uid="{D7BADE26-622F-46B5-9F22-61D016AC538F}" name="1522" dataDxfId="15088"/>
    <tableColumn id="1303" xr3:uid="{4F1B2DC1-C841-49FE-93C2-21883F586272}" name="1523" dataDxfId="15087"/>
    <tableColumn id="1304" xr3:uid="{37C751BE-E228-423F-8468-40B40821FAC2}" name="1524" dataDxfId="15086"/>
    <tableColumn id="1305" xr3:uid="{B4CC70DF-9282-4339-B206-742EFD553690}" name="1525" dataDxfId="15085"/>
    <tableColumn id="1306" xr3:uid="{56184839-E101-4F24-A805-8AA3120E96E0}" name="1526" dataDxfId="15084"/>
    <tableColumn id="1307" xr3:uid="{56766FEC-147E-4F9B-B211-2A762738C0C7}" name="1527" dataDxfId="15083"/>
    <tableColumn id="1308" xr3:uid="{602EAEE6-67B1-4095-BB41-EDCC8BB8D0D4}" name="1528" dataDxfId="15082"/>
    <tableColumn id="1309" xr3:uid="{02C3CF11-5C9B-4633-A9E3-CB821F771CC1}" name="1529" dataDxfId="15081"/>
    <tableColumn id="1310" xr3:uid="{2FA84775-967F-4B49-9036-52D3A082EF3A}" name="1530" dataDxfId="15080"/>
    <tableColumn id="1311" xr3:uid="{1094088D-442B-43F3-84CB-740FCED74C44}" name="1531" dataDxfId="15079"/>
    <tableColumn id="1312" xr3:uid="{CC643A2B-2524-4607-AEA7-91F90EC2FA94}" name="1532" dataDxfId="15078"/>
    <tableColumn id="1313" xr3:uid="{A206D766-32F4-48A6-B68C-67BE7C14B80B}" name="1533" dataDxfId="15077"/>
    <tableColumn id="1314" xr3:uid="{AEAA0803-DFE6-4BDA-9E24-BE675B37DF77}" name="1534" dataDxfId="15076"/>
    <tableColumn id="1315" xr3:uid="{FBD5EFC8-32E8-49E5-8B9B-76B25BF62DD1}" name="1535" dataDxfId="15075"/>
    <tableColumn id="1316" xr3:uid="{8A3B96EC-96DF-4C45-9DC9-76881690321F}" name="1536" dataDxfId="15074"/>
    <tableColumn id="1317" xr3:uid="{E75A09D7-3D6F-4945-A4B2-55CC9FF7EB5B}" name="1537" dataDxfId="15073"/>
    <tableColumn id="1318" xr3:uid="{6BF7F799-66E9-4F93-B3A2-6E972B57F574}" name="1538" dataDxfId="15072"/>
    <tableColumn id="1319" xr3:uid="{79682259-029C-403B-8104-D66F036F2F98}" name="1539" dataDxfId="15071"/>
    <tableColumn id="1320" xr3:uid="{EB54E9F2-0EA0-407B-B090-1E13D650DB1E}" name="1540" dataDxfId="15070"/>
    <tableColumn id="1321" xr3:uid="{9994B2BC-A7C4-4435-BEA9-F840158D2CAE}" name="1541" dataDxfId="15069"/>
    <tableColumn id="1322" xr3:uid="{A0E37811-0420-4ADA-83B7-D76D2E9A2E81}" name="1542" dataDxfId="15068"/>
    <tableColumn id="1323" xr3:uid="{C8E474D2-63E6-4B6C-B9CE-EA8894890368}" name="1543" dataDxfId="15067"/>
    <tableColumn id="1324" xr3:uid="{F9BE87B2-C265-489E-B27B-9F4487D100CB}" name="1544" dataDxfId="15066"/>
    <tableColumn id="1325" xr3:uid="{2AC314D1-F968-436A-B558-16AEDFF1D97D}" name="1545" dataDxfId="15065"/>
    <tableColumn id="1326" xr3:uid="{318C9D7F-75DE-4951-B1DD-F7027796B9A5}" name="1546" dataDxfId="15064"/>
    <tableColumn id="1327" xr3:uid="{1EC8A6FC-891C-409C-8FB4-C43FF73B9676}" name="1547" dataDxfId="15063"/>
    <tableColumn id="1328" xr3:uid="{65C447D9-E1D0-4B25-93D6-67360B3E17A2}" name="1548" dataDxfId="15062"/>
    <tableColumn id="1329" xr3:uid="{23B8B96F-D4D8-4F7B-B7FD-5DAD7CCDEA36}" name="1549" dataDxfId="15061"/>
    <tableColumn id="1330" xr3:uid="{C9FEE6E4-B0A1-4D75-B5BF-D0F714C8C674}" name="1550" dataDxfId="15060"/>
    <tableColumn id="1331" xr3:uid="{766C5CC8-49A1-45F2-B7F5-0005D301A1B3}" name="1551" dataDxfId="15059"/>
    <tableColumn id="1332" xr3:uid="{8BD5AE2E-2470-49A2-B810-0472727E20BC}" name="1552" dataDxfId="15058"/>
    <tableColumn id="1333" xr3:uid="{5FF92FDC-1318-48EC-B07D-E909A0C9E96E}" name="1553" dataDxfId="15057"/>
    <tableColumn id="1334" xr3:uid="{CD09D754-D22C-44EC-BC24-4E8BFB429C40}" name="1554" dataDxfId="15056"/>
    <tableColumn id="1335" xr3:uid="{C8E0F1F6-A016-475C-8EA1-0E08B91496C7}" name="1555" dataDxfId="15055"/>
    <tableColumn id="1336" xr3:uid="{7C2D0D90-B71D-443F-95A0-5C5AF4EC874E}" name="1556" dataDxfId="15054"/>
    <tableColumn id="1337" xr3:uid="{277C159C-F20C-4B12-A6D0-B4226BE0959A}" name="1557" dataDxfId="15053"/>
    <tableColumn id="1338" xr3:uid="{C28B7E81-5A5A-4BD5-855C-75DEF8C27D82}" name="1558" dataDxfId="15052"/>
    <tableColumn id="1339" xr3:uid="{800F8185-8BF9-4624-A667-A6792AF7E634}" name="1559" dataDxfId="15051"/>
    <tableColumn id="1340" xr3:uid="{547CF4AA-2F86-438B-9604-F6500D88D90B}" name="1560" dataDxfId="15050"/>
    <tableColumn id="1341" xr3:uid="{2F7771A8-5441-429A-AF75-73067B931C03}" name="1561" dataDxfId="15049"/>
    <tableColumn id="1342" xr3:uid="{2DA602BC-B9D7-4BA2-8655-EBEA6B256C29}" name="1562" dataDxfId="15048"/>
    <tableColumn id="1343" xr3:uid="{FFD7F7F4-AAAB-432B-B436-D9FB9B46C3AC}" name="1563" dataDxfId="15047"/>
    <tableColumn id="1344" xr3:uid="{3B12728F-8A00-4933-930B-CC1579B3BFED}" name="1564" dataDxfId="15046"/>
    <tableColumn id="1345" xr3:uid="{A78DE698-F38D-4AA8-8DF5-F95BD81648FE}" name="1565" dataDxfId="15045"/>
    <tableColumn id="1346" xr3:uid="{08CBA39A-8710-477C-B01A-3A73424C1D90}" name="1566" dataDxfId="15044"/>
    <tableColumn id="1347" xr3:uid="{E7CB351D-92E6-42D2-9D8C-325562FCFCCF}" name="1567" dataDxfId="15043"/>
    <tableColumn id="1348" xr3:uid="{1BD0EF27-2783-4D73-A63E-C08B14C644D5}" name="1568" dataDxfId="15042"/>
    <tableColumn id="1349" xr3:uid="{F0F90B20-4C12-4F35-9B27-A1D7099C2990}" name="1569" dataDxfId="15041"/>
    <tableColumn id="1350" xr3:uid="{05605B66-82D5-4CE2-BDBA-AB1FF967EC20}" name="1570" dataDxfId="15040"/>
    <tableColumn id="1351" xr3:uid="{2B308698-7782-41DB-9232-434D6201152B}" name="1571" dataDxfId="15039"/>
    <tableColumn id="1352" xr3:uid="{9FD457F2-753F-49D3-9AC1-66334E4EA647}" name="1572" dataDxfId="15038"/>
    <tableColumn id="1353" xr3:uid="{141E102D-1B04-4A1B-B2D3-10D0A7236977}" name="1573" dataDxfId="15037"/>
    <tableColumn id="1354" xr3:uid="{F2668642-F88E-49F9-AEED-2695687B7D7A}" name="1574" dataDxfId="15036"/>
    <tableColumn id="1355" xr3:uid="{5F7F47FE-7ECF-43AA-A16C-6B286895F4A9}" name="1575" dataDxfId="15035"/>
    <tableColumn id="1356" xr3:uid="{BBEC3B07-2502-4561-BADD-3AE463E41767}" name="1576" dataDxfId="15034"/>
    <tableColumn id="1357" xr3:uid="{842EF538-4207-4CF7-82F8-6A1BB64AF987}" name="1577" dataDxfId="15033"/>
    <tableColumn id="1358" xr3:uid="{55E0F4B3-6FE4-4770-BB90-B996FF5B712F}" name="1578" dataDxfId="15032"/>
    <tableColumn id="1359" xr3:uid="{797B6849-016A-44FF-BD85-45804C545D66}" name="1579" dataDxfId="15031"/>
    <tableColumn id="1360" xr3:uid="{56F38783-160F-49C5-BB8D-2B4ADFD3ED8F}" name="1580" dataDxfId="15030"/>
    <tableColumn id="1361" xr3:uid="{FE728F17-181D-43AF-9072-D32DEBB32AA8}" name="1581" dataDxfId="15029"/>
    <tableColumn id="1362" xr3:uid="{83A09285-C87E-478B-B50D-17809829E75F}" name="1582" dataDxfId="15028"/>
    <tableColumn id="1363" xr3:uid="{174FED08-214A-4C27-A2CF-2A5B4B0679EF}" name="1583" dataDxfId="15027"/>
    <tableColumn id="1364" xr3:uid="{87762149-8AC9-402A-8300-1DC50BCB8689}" name="1584" dataDxfId="15026"/>
    <tableColumn id="1365" xr3:uid="{12E82FD5-D9A6-4D1D-BCD1-872E0DDD868B}" name="1585" dataDxfId="15025"/>
    <tableColumn id="1366" xr3:uid="{B51CE452-01E7-428A-B328-00210F404923}" name="1586" dataDxfId="15024"/>
    <tableColumn id="1367" xr3:uid="{ACE19561-A582-49E3-B3F5-136A4B0EBA1D}" name="1587" dataDxfId="15023"/>
    <tableColumn id="1368" xr3:uid="{AE61E184-6CBC-49E6-9CE6-1972BFDC7053}" name="1588" dataDxfId="15022"/>
    <tableColumn id="1369" xr3:uid="{577B5107-AB5A-4123-AE7E-DACEDAE319E5}" name="1589" dataDxfId="15021"/>
    <tableColumn id="1370" xr3:uid="{855092AE-41B6-4D90-A936-DDBBC2E8624F}" name="1590" dataDxfId="15020"/>
    <tableColumn id="1371" xr3:uid="{1F9E59DC-1352-48AD-9AD7-09C9E32896D0}" name="1591" dataDxfId="15019"/>
    <tableColumn id="1372" xr3:uid="{4B640AB3-1639-4F41-BE57-BFE09935911D}" name="1592" dataDxfId="15018"/>
    <tableColumn id="1373" xr3:uid="{14EFCDF3-6CE8-4CC8-94AF-EB8C6FEBCF4B}" name="1593" dataDxfId="15017"/>
    <tableColumn id="1374" xr3:uid="{6E0002F8-16C9-48F1-9671-36A3E545E9BA}" name="1594" dataDxfId="15016"/>
    <tableColumn id="1375" xr3:uid="{82493820-3FBD-47EC-93D3-A3EFD31D9133}" name="1595" dataDxfId="15015"/>
    <tableColumn id="1376" xr3:uid="{4148CA87-C6B3-4453-9281-FAE5734F81B1}" name="1596" dataDxfId="15014"/>
    <tableColumn id="1377" xr3:uid="{4525E4B5-A411-40A2-8146-F0A002B1D407}" name="1597" dataDxfId="15013"/>
    <tableColumn id="1378" xr3:uid="{794462CB-DD1F-483A-BCD8-4F7E8DF5CFC5}" name="1598" dataDxfId="15012"/>
    <tableColumn id="1379" xr3:uid="{7CC1F3C0-7349-418D-8B46-DFA53434F3ED}" name="1599" dataDxfId="15011"/>
    <tableColumn id="1380" xr3:uid="{2BC5E6E2-B7E9-4CD5-BE6F-3FC67E1EC29E}" name="1600" dataDxfId="15010"/>
    <tableColumn id="1381" xr3:uid="{085BF43A-0535-44A0-86DD-584074C9DA9A}" name="1601" dataDxfId="15009"/>
    <tableColumn id="1382" xr3:uid="{D14A8716-7D31-43B4-8219-9A6094EAFA55}" name="1602" dataDxfId="15008"/>
    <tableColumn id="1383" xr3:uid="{D8F54DE6-6571-491F-A0EB-6CEA356F7039}" name="1603" dataDxfId="15007"/>
    <tableColumn id="1384" xr3:uid="{408112CC-1F0B-4A1C-A63D-F498CBCD83A8}" name="1604" dataDxfId="15006"/>
    <tableColumn id="1385" xr3:uid="{7707F718-80FA-4242-B9B9-2ECAC5EC37C7}" name="1605" dataDxfId="15005"/>
    <tableColumn id="1386" xr3:uid="{7780D598-D3DD-4F4C-96AF-799FE0CD9A20}" name="1606" dataDxfId="15004"/>
    <tableColumn id="1387" xr3:uid="{2CA742DB-A2CF-4A27-A190-461AAFB3E0F2}" name="1607" dataDxfId="15003"/>
    <tableColumn id="1388" xr3:uid="{8AE5514A-DC7E-4394-A761-EE8C0F42EB34}" name="1608" dataDxfId="15002"/>
    <tableColumn id="1389" xr3:uid="{B75E4F2D-58D3-4869-BD1A-617293A41042}" name="1609" dataDxfId="15001"/>
    <tableColumn id="1390" xr3:uid="{C33E8898-B09A-4940-A111-F0CF4EC564D3}" name="1610" dataDxfId="15000"/>
    <tableColumn id="1391" xr3:uid="{B3F3BEF2-01AE-45AE-8C8C-B87CAA0A6707}" name="1611" dataDxfId="14999"/>
    <tableColumn id="1392" xr3:uid="{1EEDD268-DA86-4235-BBF4-96ECB0A6573E}" name="1612" dataDxfId="14998"/>
    <tableColumn id="1393" xr3:uid="{8615A372-3AD8-4359-88D3-9872A1FBAAB8}" name="1613" dataDxfId="14997"/>
    <tableColumn id="1394" xr3:uid="{14CC6F7F-6026-4047-9550-547F26828FD8}" name="1614" dataDxfId="14996"/>
    <tableColumn id="1395" xr3:uid="{B5774F67-8226-4D78-8B7F-0D929BD96D39}" name="1615" dataDxfId="14995"/>
    <tableColumn id="1396" xr3:uid="{6B27D6FC-CD64-43CB-9365-CA70DCC8CE7D}" name="1616" dataDxfId="14994"/>
    <tableColumn id="1397" xr3:uid="{636FD2CC-EBA6-482D-BE47-BCA74002EE09}" name="1617" dataDxfId="14993"/>
    <tableColumn id="1398" xr3:uid="{90470AAF-163F-476C-9C42-0663F7613DDF}" name="1618" dataDxfId="14992"/>
    <tableColumn id="1399" xr3:uid="{373F2A58-7C7F-4983-ACC4-3AAA6D0617C0}" name="1619" dataDxfId="14991"/>
    <tableColumn id="1400" xr3:uid="{44F4B7DD-2DA6-4E80-980E-A538D810F81A}" name="1620" dataDxfId="14990"/>
    <tableColumn id="1401" xr3:uid="{EFB8835B-3D5F-457B-840F-BBCFDAC92844}" name="1621" dataDxfId="14989"/>
    <tableColumn id="1402" xr3:uid="{D929E3FF-1777-4016-BA06-607122FA548E}" name="1622" dataDxfId="14988"/>
    <tableColumn id="1403" xr3:uid="{C3FEB9CF-285A-45A8-A495-5CA70B7DF713}" name="1623" dataDxfId="14987"/>
    <tableColumn id="1404" xr3:uid="{6C4EA57F-A716-462B-B71D-9F63B659C803}" name="1624" dataDxfId="14986"/>
    <tableColumn id="1405" xr3:uid="{6D1AAA08-F98A-4C44-ABE0-B84E3D774D0B}" name="1625" dataDxfId="14985"/>
    <tableColumn id="1406" xr3:uid="{A0E2E228-4DD2-460F-B092-55B8E42EC027}" name="1626" dataDxfId="14984"/>
    <tableColumn id="1407" xr3:uid="{9A716617-CF93-4862-9578-4FB1A9F102D0}" name="1627" dataDxfId="14983"/>
    <tableColumn id="1408" xr3:uid="{94DEABC5-98DC-43D2-9068-49BC21394270}" name="1628" dataDxfId="14982"/>
    <tableColumn id="1409" xr3:uid="{2014F26F-5308-4DD5-88A9-210A40C3621D}" name="1629" dataDxfId="14981"/>
    <tableColumn id="1410" xr3:uid="{E6213F8D-D921-46A0-A448-12BE2EC03BF0}" name="1630" dataDxfId="14980"/>
    <tableColumn id="1411" xr3:uid="{10A2F18C-62BA-45BC-B033-68BA05F0C97B}" name="1631" dataDxfId="14979"/>
    <tableColumn id="1412" xr3:uid="{87A81D60-3E01-4CA6-950A-D834D6B66149}" name="1632" dataDxfId="14978"/>
    <tableColumn id="1413" xr3:uid="{44F54345-A740-42D8-8AE5-14BF60FA0DA0}" name="1633" dataDxfId="14977"/>
    <tableColumn id="1414" xr3:uid="{E5C304B7-50C5-49E0-8346-AAF77F6E4E22}" name="1634" dataDxfId="14976"/>
    <tableColumn id="1415" xr3:uid="{6FACD2D4-BA2D-4105-A392-5EB136C1314B}" name="1635" dataDxfId="14975"/>
    <tableColumn id="1416" xr3:uid="{BD27352D-CCC7-40C4-B15C-3D6AD9EB37D5}" name="1636" dataDxfId="14974"/>
    <tableColumn id="1417" xr3:uid="{88C9DEAA-CF66-42FB-8AAC-6AF2A2420A5A}" name="1637" dataDxfId="14973"/>
    <tableColumn id="1418" xr3:uid="{7B4878CE-F45F-489E-8B8B-322A52AA7631}" name="1638" dataDxfId="14972"/>
    <tableColumn id="1419" xr3:uid="{1F0CAABB-782D-4359-9110-EFD37533A8A6}" name="1639" dataDxfId="14971"/>
    <tableColumn id="1420" xr3:uid="{8CD2A339-A52D-4F85-B564-341C8E288E6D}" name="1640" dataDxfId="14970"/>
    <tableColumn id="1421" xr3:uid="{B15151D8-5B17-4FF6-9CF5-AD6DBA237797}" name="1641" dataDxfId="14969"/>
    <tableColumn id="1422" xr3:uid="{D5DB42F5-A396-43FD-8A84-9E944132A5B7}" name="1642" dataDxfId="14968"/>
    <tableColumn id="1423" xr3:uid="{23B32C37-949A-4BD7-9E21-3E8FB8E9004B}" name="1643" dataDxfId="14967"/>
    <tableColumn id="1424" xr3:uid="{E92B58C4-4AD6-4528-ACD2-D31C48E4573A}" name="1644" dataDxfId="14966"/>
    <tableColumn id="1425" xr3:uid="{278CD495-EECE-4AC8-A751-B8E5D52B3F0E}" name="1645" dataDxfId="14965"/>
    <tableColumn id="1426" xr3:uid="{21EB2136-6E86-4652-BB73-3302B31AF3E0}" name="1646" dataDxfId="14964"/>
    <tableColumn id="1427" xr3:uid="{E28A78B3-FDAB-441A-B5C2-6E04A1AD1165}" name="1647" dataDxfId="14963"/>
    <tableColumn id="1428" xr3:uid="{6B1C1AE3-57D7-41DD-8157-7B693542A063}" name="1648" dataDxfId="14962"/>
    <tableColumn id="1429" xr3:uid="{D6BF5E03-7CD4-4C02-801F-BC865D1F5CBC}" name="1649" dataDxfId="14961"/>
    <tableColumn id="1430" xr3:uid="{4BE3D539-F9F6-4E46-8206-39AD5FBA94AC}" name="1650" dataDxfId="14960"/>
    <tableColumn id="1431" xr3:uid="{0DC78258-E1BB-4EB1-9AF1-CE3ED8CC4FEB}" name="1651" dataDxfId="14959"/>
    <tableColumn id="1432" xr3:uid="{079F29D4-C4E3-4714-BF0B-957C49F401FA}" name="1652" dataDxfId="14958"/>
    <tableColumn id="1433" xr3:uid="{C344D03E-6A1F-4347-ACA9-CF237166140E}" name="1653" dataDxfId="14957"/>
    <tableColumn id="1434" xr3:uid="{7520246D-5B40-4866-9043-58F597609B4C}" name="1654" dataDxfId="14956"/>
    <tableColumn id="1435" xr3:uid="{3FDC08FF-F4A2-4F23-932D-25C70A871D11}" name="1655" dataDxfId="14955"/>
    <tableColumn id="1436" xr3:uid="{CED69ECF-3034-46BF-8126-CB65737908EB}" name="1656" dataDxfId="14954"/>
    <tableColumn id="1437" xr3:uid="{028E349F-D650-4C6A-8C3C-032A60BC9AF7}" name="1657" dataDxfId="14953"/>
    <tableColumn id="1438" xr3:uid="{D69E2E3B-8A82-4B63-BE0D-484911654208}" name="1658" dataDxfId="14952"/>
    <tableColumn id="1439" xr3:uid="{6C59FA8F-A6A1-4298-B2DD-D514E2EEB016}" name="1659" dataDxfId="14951"/>
    <tableColumn id="1440" xr3:uid="{8813F93D-74D1-4DC1-93CE-63545723782D}" name="1660" dataDxfId="14950"/>
    <tableColumn id="1441" xr3:uid="{90FAAF5F-6861-4A36-8646-8F0527CCEC99}" name="1661" dataDxfId="14949"/>
    <tableColumn id="1442" xr3:uid="{63196C2A-9F6F-46AC-829E-74C3902F407C}" name="1662" dataDxfId="14948"/>
    <tableColumn id="1443" xr3:uid="{F3AA1026-3B43-444A-9343-62DA47B2C1AD}" name="1663" dataDxfId="14947"/>
    <tableColumn id="1444" xr3:uid="{93139BCF-F8BD-4D1B-97B2-76980CA67831}" name="1664" dataDxfId="14946"/>
    <tableColumn id="1445" xr3:uid="{39B2FF29-4B4E-4A07-92A2-EA239B6F2941}" name="1665" dataDxfId="14945"/>
    <tableColumn id="1446" xr3:uid="{C4F928F0-1199-4EF5-BFEA-2883A6B37164}" name="1666" dataDxfId="14944"/>
    <tableColumn id="1447" xr3:uid="{01913CCD-B98D-45BA-95AF-CEFB5499730B}" name="1667" dataDxfId="14943"/>
    <tableColumn id="1448" xr3:uid="{94541702-8219-47ED-942B-0E41E64FEEC3}" name="1668" dataDxfId="14942"/>
    <tableColumn id="1449" xr3:uid="{1C16C6B0-573C-4AD8-A984-72206BA184EC}" name="1669" dataDxfId="14941"/>
    <tableColumn id="1450" xr3:uid="{D9EE98F6-5430-418E-803A-B12249710D06}" name="1670" dataDxfId="14940"/>
    <tableColumn id="1451" xr3:uid="{B25F2014-741D-4735-AB41-DB7E61AFC14B}" name="1671" dataDxfId="14939"/>
    <tableColumn id="1452" xr3:uid="{716E7239-2D54-4EA1-9475-E10E744B6B98}" name="1672" dataDxfId="14938"/>
    <tableColumn id="1453" xr3:uid="{E0892AD5-1A71-4295-B36C-8AF9CD3D07FF}" name="1673" dataDxfId="14937"/>
    <tableColumn id="1454" xr3:uid="{8EB390AF-FC58-4052-8324-0AFA22BB1D05}" name="1674" dataDxfId="14936"/>
    <tableColumn id="1455" xr3:uid="{3E26269F-B1B1-43E8-943A-5FF7578BC2FF}" name="1675" dataDxfId="14935"/>
    <tableColumn id="1456" xr3:uid="{98420C4C-BF92-490F-8C89-6AF5512083A0}" name="1676" dataDxfId="14934"/>
    <tableColumn id="1457" xr3:uid="{BA22508C-2D8F-4595-B56D-F554798B4AB0}" name="1677" dataDxfId="14933"/>
    <tableColumn id="1458" xr3:uid="{1D1AF7BC-2581-472C-A6A3-A1B90E24F0B6}" name="1678" dataDxfId="14932"/>
    <tableColumn id="1459" xr3:uid="{8B50B057-4FD5-4F60-89BE-26A95A84BA96}" name="1679" dataDxfId="14931"/>
    <tableColumn id="1460" xr3:uid="{9F87F48F-5C63-43AC-B937-7FF0E1F06795}" name="1680" dataDxfId="14930"/>
    <tableColumn id="1461" xr3:uid="{5A58848B-9F58-4E39-AC4B-42F25E9B6957}" name="1681" dataDxfId="14929"/>
    <tableColumn id="1462" xr3:uid="{770FF825-1783-4BF5-A4EC-3BF9636CDF8F}" name="1682" dataDxfId="14928"/>
    <tableColumn id="1463" xr3:uid="{C8795B5E-5514-41CA-8E53-469B9AAE97E5}" name="1683" dataDxfId="14927"/>
    <tableColumn id="1464" xr3:uid="{9D4ABE0A-B9BF-4C0A-AA20-32222F0E659F}" name="1684" dataDxfId="14926"/>
    <tableColumn id="1465" xr3:uid="{27F52DA4-B3B2-430F-AA12-E010B3444834}" name="1685" dataDxfId="14925"/>
    <tableColumn id="1466" xr3:uid="{35E82BF0-187E-43C5-8109-9A894DCF07CB}" name="1686" dataDxfId="14924"/>
    <tableColumn id="1467" xr3:uid="{963F30E2-962F-4DE2-BBD0-DCE451D3F476}" name="1687" dataDxfId="14923"/>
    <tableColumn id="1468" xr3:uid="{5F6364E1-8AC1-4DC5-8AEC-10C317E540A5}" name="1688" dataDxfId="14922"/>
    <tableColumn id="1469" xr3:uid="{5E2ED211-87DB-45A7-BBC1-63638CBAC88B}" name="1689" dataDxfId="14921"/>
    <tableColumn id="1470" xr3:uid="{3B7D4D4E-F83E-4905-AEBA-E5C4E8E27DB6}" name="1690" dataDxfId="14920"/>
    <tableColumn id="1471" xr3:uid="{B1DD5CEC-77DA-4C79-8FBE-D036410EFC9E}" name="1691" dataDxfId="14919"/>
    <tableColumn id="1472" xr3:uid="{EBFBB6B8-63A6-4032-AED3-83BA539010C5}" name="1692" dataDxfId="14918"/>
    <tableColumn id="1473" xr3:uid="{218FE088-EA91-4848-B3D2-FE9667671829}" name="1693" dataDxfId="14917"/>
    <tableColumn id="1474" xr3:uid="{5942381F-3564-4793-AE59-F31BE454235B}" name="1694" dataDxfId="14916"/>
    <tableColumn id="1475" xr3:uid="{D1BF7568-047B-437F-AA19-46BB52C3A537}" name="1695" dataDxfId="14915"/>
    <tableColumn id="1476" xr3:uid="{5384AB25-3080-404B-A4A2-3929B0D91E06}" name="1696" dataDxfId="14914"/>
    <tableColumn id="1477" xr3:uid="{80499593-1C60-4287-9A59-2E9A13B6B998}" name="1697" dataDxfId="14913"/>
    <tableColumn id="1478" xr3:uid="{CC7D4929-0DAA-4E23-B032-6145B47405AE}" name="1698" dataDxfId="14912"/>
    <tableColumn id="1479" xr3:uid="{FF43477F-234D-49F4-800F-267DFDE27AFF}" name="1699" dataDxfId="14911"/>
    <tableColumn id="1480" xr3:uid="{37363AF6-F9D5-491E-B5B6-52D1D2E9F3ED}" name="1700" dataDxfId="14910"/>
    <tableColumn id="1481" xr3:uid="{D1255A54-24E5-4AAF-A73D-22B96C90A0D3}" name="1701" dataDxfId="14909"/>
    <tableColumn id="1482" xr3:uid="{00B62585-FCC1-43D1-B09B-1EFF992F87FB}" name="1702" dataDxfId="14908"/>
    <tableColumn id="1483" xr3:uid="{E42CA538-31FE-4EF8-8766-F02B3825D621}" name="1703" dataDxfId="14907"/>
    <tableColumn id="1484" xr3:uid="{A42BDA51-DEF3-4CC5-A4B2-4CA6F90A73C0}" name="1704" dataDxfId="14906"/>
    <tableColumn id="1485" xr3:uid="{B0A957D7-ABF1-4D4E-B993-FF8B1B237A38}" name="1705" dataDxfId="14905"/>
    <tableColumn id="1486" xr3:uid="{773A0F02-07D9-4C45-BBAC-3BA6EF1FB515}" name="1706" dataDxfId="14904"/>
    <tableColumn id="1487" xr3:uid="{7F1A4593-48D4-46D2-B118-A22FE9742DC6}" name="1707" dataDxfId="14903"/>
    <tableColumn id="1488" xr3:uid="{3971286C-4B77-47C7-A3E4-538F3A7B8299}" name="1708" dataDxfId="14902"/>
    <tableColumn id="1489" xr3:uid="{2F2B709C-A2FE-4F4F-8955-3DD82A1C3784}" name="1709" dataDxfId="14901"/>
    <tableColumn id="1490" xr3:uid="{17B4E30D-35E1-470C-85C0-624856A1373A}" name="1710" dataDxfId="14900"/>
    <tableColumn id="1491" xr3:uid="{DA92870E-9168-41AD-AAFC-C4704A93C722}" name="1711" dataDxfId="14899"/>
    <tableColumn id="1492" xr3:uid="{934BBF98-010B-4403-917B-4741F4CC36BB}" name="1712" dataDxfId="14898"/>
    <tableColumn id="1493" xr3:uid="{151822FD-32D3-4340-9360-CDE394733734}" name="1713" dataDxfId="14897"/>
    <tableColumn id="1494" xr3:uid="{27FA88E7-7EC4-4C20-AD9F-54975BD1AC6A}" name="1714" dataDxfId="14896"/>
    <tableColumn id="1495" xr3:uid="{7292900C-322A-4131-A4CA-BB01FD13F314}" name="1715" dataDxfId="14895"/>
    <tableColumn id="1496" xr3:uid="{F902BB3D-332E-4ED1-ADDC-5DF772D3D368}" name="1716" dataDxfId="14894"/>
    <tableColumn id="1497" xr3:uid="{264A31A2-9438-4D62-A934-456E4EDD9751}" name="1717" dataDxfId="14893"/>
    <tableColumn id="1498" xr3:uid="{8F6DE27B-B3BE-44D6-8EF9-CFD00473683B}" name="1718" dataDxfId="14892"/>
    <tableColumn id="1499" xr3:uid="{B5B48586-9C54-473B-8F6D-2FB754E6D277}" name="1719" dataDxfId="14891"/>
    <tableColumn id="1500" xr3:uid="{0523D7EB-C2C4-4003-9C5E-ED62D5C00A9B}" name="1720" dataDxfId="14890"/>
    <tableColumn id="1501" xr3:uid="{00244199-B7D1-4E66-8699-72FA807E3BBC}" name="1721" dataDxfId="14889"/>
    <tableColumn id="1502" xr3:uid="{53E6DC31-E5D0-4A39-A0A7-9EDDF7E9A938}" name="1722" dataDxfId="14888"/>
    <tableColumn id="1503" xr3:uid="{6BD37F0D-35C9-40B2-B744-52EDAAB947ED}" name="1723" dataDxfId="14887"/>
    <tableColumn id="1504" xr3:uid="{67CD3D18-859C-4058-A792-BCA94F1D1306}" name="1724" dataDxfId="14886"/>
    <tableColumn id="1505" xr3:uid="{4E07AE95-F2A9-485A-B025-8E718FA28AE5}" name="1725" dataDxfId="14885"/>
    <tableColumn id="1506" xr3:uid="{55F5F042-0985-427C-AE88-6AF8352D97C1}" name="1726" dataDxfId="14884"/>
    <tableColumn id="1507" xr3:uid="{C57B90D3-DE1B-4BF7-8659-72A25F30C9F3}" name="1727" dataDxfId="14883"/>
    <tableColumn id="1508" xr3:uid="{23E4D1F1-1A83-43BF-A37A-363A1EB167BD}" name="1728" dataDxfId="14882"/>
    <tableColumn id="1509" xr3:uid="{9A5A44F4-ECEB-4617-8F2C-27D351F8891A}" name="1729" dataDxfId="14881"/>
    <tableColumn id="1510" xr3:uid="{0BC40B37-4780-4424-AB1C-749DEE6926B3}" name="1730" dataDxfId="14880"/>
    <tableColumn id="1511" xr3:uid="{8E897BDD-1042-4AD0-9290-11CBC69888E3}" name="1731" dataDxfId="14879"/>
    <tableColumn id="1512" xr3:uid="{99E77282-F337-4B10-8B81-004FA3E91A43}" name="1732" dataDxfId="14878"/>
    <tableColumn id="1513" xr3:uid="{5D097D2E-52B0-476C-9239-0065FB5E62E3}" name="1733" dataDxfId="14877"/>
    <tableColumn id="1514" xr3:uid="{27A2C60C-F99D-40F3-B7F3-DD80458482CE}" name="1734" dataDxfId="14876"/>
    <tableColumn id="1515" xr3:uid="{88D52177-ABAF-43B0-909E-873802050F4D}" name="1735" dataDxfId="14875"/>
    <tableColumn id="1516" xr3:uid="{D839C6F2-1648-4F1A-A7A1-9EB4B36D6098}" name="1736" dataDxfId="14874"/>
    <tableColumn id="1517" xr3:uid="{51DC8D25-3698-400B-8350-8E8B80050B26}" name="1737" dataDxfId="14873"/>
    <tableColumn id="1518" xr3:uid="{17C3D189-CFE9-47E0-9278-56AD91EF04D5}" name="1738" dataDxfId="14872"/>
    <tableColumn id="1519" xr3:uid="{C1B7FFD6-8516-4F46-83A1-F38AEEB864AD}" name="1739" dataDxfId="14871"/>
    <tableColumn id="1520" xr3:uid="{65A320EF-0884-4FA7-AB20-C1B33A0C2C77}" name="1740" dataDxfId="14870"/>
    <tableColumn id="1521" xr3:uid="{8A86E1BB-130A-437E-9B8D-93420AC41E28}" name="1741" dataDxfId="14869"/>
    <tableColumn id="1522" xr3:uid="{4C6AA95E-B11B-493F-B477-2D53B40B773F}" name="1742" dataDxfId="14868"/>
    <tableColumn id="1523" xr3:uid="{28522498-0220-4DC5-8744-90CE274D6384}" name="1743" dataDxfId="14867"/>
    <tableColumn id="1524" xr3:uid="{A06EF0B5-3BB1-4F22-8236-00991DFE5EE7}" name="1744" dataDxfId="14866"/>
    <tableColumn id="1525" xr3:uid="{0B285602-A195-4D5B-B265-C4CADCFC85F9}" name="1745" dataDxfId="14865"/>
    <tableColumn id="1526" xr3:uid="{E16507AE-DF1B-427A-B8DA-F0F12ACC8DE8}" name="1746" dataDxfId="14864"/>
    <tableColumn id="1527" xr3:uid="{57570499-22C6-4BF7-B065-A42FF92CFFF5}" name="1747" dataDxfId="14863"/>
    <tableColumn id="1528" xr3:uid="{4F4C4066-7D23-4733-979D-F2E8C36CB09B}" name="1748" dataDxfId="14862"/>
    <tableColumn id="1529" xr3:uid="{2506CF2F-3ED2-4A92-B3A7-FAD5B5AC4B97}" name="1749" dataDxfId="14861"/>
    <tableColumn id="1530" xr3:uid="{09B7FBB7-94B5-4785-B40C-E177E6CA5FF1}" name="1750" dataDxfId="14860"/>
    <tableColumn id="1531" xr3:uid="{549FA9AF-D5E7-4D6E-BF61-ED862A83CF4E}" name="1751" dataDxfId="14859"/>
    <tableColumn id="1532" xr3:uid="{EA8F494A-CC3B-4F69-987E-220FE7994434}" name="1752" dataDxfId="14858"/>
    <tableColumn id="1533" xr3:uid="{CC4DBE6D-91FE-4602-A783-93DC41451648}" name="1753" dataDxfId="14857"/>
    <tableColumn id="1534" xr3:uid="{499B8B17-3675-4B9C-B0B0-46C34590F8F2}" name="1754" dataDxfId="14856"/>
    <tableColumn id="1535" xr3:uid="{AF0A8836-288D-41D5-BA47-00697F2BAD2D}" name="1755" dataDxfId="14855"/>
    <tableColumn id="1536" xr3:uid="{ADD432D0-6539-4E76-8608-D0B4DA230B9F}" name="1756" dataDxfId="14854"/>
    <tableColumn id="1537" xr3:uid="{64D7F508-B498-4C17-8215-11319FA069DC}" name="1757" dataDxfId="14853"/>
    <tableColumn id="1538" xr3:uid="{3D9963A5-1BAF-45FF-989B-125A5B951C78}" name="1758" dataDxfId="14852"/>
    <tableColumn id="1539" xr3:uid="{C441CEFF-AC0F-4B89-AF8A-25BBD7444C80}" name="1759" dataDxfId="14851"/>
    <tableColumn id="1540" xr3:uid="{A89BFEB4-D7E8-44E8-873D-66FE1FD24271}" name="1760" dataDxfId="14850"/>
    <tableColumn id="1541" xr3:uid="{BF02F77C-EBDA-4552-B45F-24AC14F06488}" name="1761" dataDxfId="14849"/>
    <tableColumn id="1542" xr3:uid="{F398F882-63D8-4A0E-9652-6B32274DE343}" name="1762" dataDxfId="14848"/>
    <tableColumn id="1543" xr3:uid="{45F7FE35-0D47-4BAB-A38B-5C6F25E23E24}" name="1763" dataDxfId="14847"/>
    <tableColumn id="1544" xr3:uid="{929596C3-7931-4074-80F2-D369DE799BE9}" name="1764" dataDxfId="14846"/>
    <tableColumn id="1545" xr3:uid="{89D05DC9-7AD6-4240-8CFF-F98361D1E097}" name="1765" dataDxfId="14845"/>
    <tableColumn id="1546" xr3:uid="{52E9A7AB-3461-458E-83E3-3811F00E0195}" name="1766" dataDxfId="14844"/>
    <tableColumn id="1547" xr3:uid="{CFFA998C-F505-4815-ADA2-81C2D4A45794}" name="1767" dataDxfId="14843"/>
    <tableColumn id="1548" xr3:uid="{CDD1F728-910B-41B9-9ECE-79C972CC77C3}" name="1768" dataDxfId="14842"/>
    <tableColumn id="1549" xr3:uid="{CB026154-DF04-44AB-A180-795C6D700BA6}" name="1769" dataDxfId="14841"/>
    <tableColumn id="1550" xr3:uid="{424DA453-4D41-4FD8-8196-22A1538D6717}" name="1770" dataDxfId="14840"/>
    <tableColumn id="1551" xr3:uid="{41894BCF-D8B6-42F2-8EBF-AE655DEB12C1}" name="1771" dataDxfId="14839"/>
    <tableColumn id="1552" xr3:uid="{2912761F-963B-477D-AFCE-CF51982F1E33}" name="1772" dataDxfId="14838"/>
    <tableColumn id="1553" xr3:uid="{3F0DE3B6-53A5-46F1-9480-1EBB852D8604}" name="1773" dataDxfId="14837"/>
    <tableColumn id="1554" xr3:uid="{22A61AAB-7E47-4C17-9415-F92EF927C7CE}" name="1774" dataDxfId="14836"/>
    <tableColumn id="1555" xr3:uid="{CFD101EA-04A1-4663-BD7D-A730D08EDBF8}" name="1775" dataDxfId="14835"/>
    <tableColumn id="1556" xr3:uid="{60821835-B1CF-4BB5-8515-04DDFEF2B64B}" name="1776" dataDxfId="14834"/>
    <tableColumn id="1557" xr3:uid="{22798592-966F-4BB8-B4BE-7246B8D6157D}" name="1777" dataDxfId="14833"/>
    <tableColumn id="1558" xr3:uid="{4BB07AF8-F6FE-41C0-9A01-147094BCA6C4}" name="1778" dataDxfId="14832"/>
    <tableColumn id="1559" xr3:uid="{7745B1F6-94EB-4C9A-81F0-723850823367}" name="1779" dataDxfId="14831"/>
    <tableColumn id="1560" xr3:uid="{6B536D2B-084C-48EB-8CAD-86598185B36C}" name="1780" dataDxfId="14830"/>
    <tableColumn id="1561" xr3:uid="{218182B3-351D-465C-A6A5-B4B6CBA1B9E9}" name="1781" dataDxfId="14829"/>
    <tableColumn id="1562" xr3:uid="{D0A00FAF-09E4-4068-BCF3-737D9F322480}" name="1782" dataDxfId="14828"/>
    <tableColumn id="1563" xr3:uid="{4E408E51-6462-45DF-B18F-FD5BB5802A41}" name="1783" dataDxfId="14827"/>
    <tableColumn id="1564" xr3:uid="{753A53BC-4FF9-4B64-A7F1-455F64129464}" name="1784" dataDxfId="14826"/>
    <tableColumn id="1565" xr3:uid="{63AE782D-B3B5-4AA0-B891-04E255CFC0AB}" name="1785" dataDxfId="14825"/>
    <tableColumn id="1566" xr3:uid="{CC7C3CCB-8829-49C1-AA34-629290CDA961}" name="1786" dataDxfId="14824"/>
    <tableColumn id="1567" xr3:uid="{4F595988-E2BF-4AB8-B4E0-DCBA5FFE8C60}" name="1787" dataDxfId="14823"/>
    <tableColumn id="1568" xr3:uid="{B32DECCC-B614-42CF-B675-E4948E32AC99}" name="1788" dataDxfId="14822"/>
    <tableColumn id="1569" xr3:uid="{3587710C-3340-4113-BE0D-CA94538AAFFB}" name="1789" dataDxfId="14821"/>
    <tableColumn id="1570" xr3:uid="{74344C68-11CF-40D3-97DC-1D05EA7F7E01}" name="1790" dataDxfId="14820"/>
    <tableColumn id="1571" xr3:uid="{753598B2-C4B5-44DA-AB38-BF6C502AF3E0}" name="1791" dataDxfId="14819"/>
    <tableColumn id="1572" xr3:uid="{46DDF360-74D9-4F42-AD90-25F6777DEC2B}" name="1792" dataDxfId="14818"/>
    <tableColumn id="1573" xr3:uid="{8C47151E-0151-4BA1-AE3B-A73976612BAD}" name="1793" dataDxfId="14817"/>
    <tableColumn id="1574" xr3:uid="{43644093-8F61-49EC-BDA0-16566E2F18E5}" name="1794" dataDxfId="14816"/>
    <tableColumn id="1575" xr3:uid="{F55365A7-9110-4B50-9251-4D10269AE748}" name="1795" dataDxfId="14815"/>
    <tableColumn id="1576" xr3:uid="{8068F77C-3EFF-48CA-BB97-BEEB349E0AD6}" name="1796" dataDxfId="14814"/>
    <tableColumn id="1577" xr3:uid="{448F2B06-2C26-4762-986D-ECA6FFBC6BA2}" name="1797" dataDxfId="14813"/>
    <tableColumn id="1578" xr3:uid="{8B6209B0-4A1D-47E7-BF0A-E79049C00A44}" name="1798" dataDxfId="14812"/>
    <tableColumn id="1579" xr3:uid="{D2F7CDCE-5D1A-4AE7-8F14-FC9D03375F3A}" name="1799" dataDxfId="14811"/>
    <tableColumn id="1580" xr3:uid="{E7E38303-B3CC-4230-9214-A81AB13C23FF}" name="1800" dataDxfId="14810"/>
    <tableColumn id="1581" xr3:uid="{7F6D1666-EE0D-44E9-A04C-167966E2FAC6}" name="1801" dataDxfId="14809"/>
    <tableColumn id="1582" xr3:uid="{9DAF6327-FC35-4BAA-BF9B-7380B696A6AD}" name="1802" dataDxfId="14808"/>
    <tableColumn id="1583" xr3:uid="{B78526F4-9443-475F-B72E-A5BA6A5C8C4F}" name="1803" dataDxfId="14807"/>
    <tableColumn id="1584" xr3:uid="{7FC5A2A8-0D4B-4DAB-B7FB-73921B481346}" name="1804" dataDxfId="14806"/>
    <tableColumn id="1585" xr3:uid="{65CFD600-0C15-4271-91A5-5BAC43DA9F76}" name="1805" dataDxfId="14805"/>
    <tableColumn id="1586" xr3:uid="{4ECF2936-5ACD-4FCF-98E2-09C7F5A0FF85}" name="1806" dataDxfId="14804"/>
    <tableColumn id="1587" xr3:uid="{4CC66A5B-1751-4A14-A4EE-38C1EE516D8A}" name="1807" dataDxfId="14803"/>
    <tableColumn id="1588" xr3:uid="{D32A59B0-904E-4693-9DF0-66DFA7302B8B}" name="1808" dataDxfId="14802"/>
    <tableColumn id="1589" xr3:uid="{8E7EADE8-4BC1-4BDA-93C3-67AC42A4DDA1}" name="1809" dataDxfId="14801"/>
    <tableColumn id="1590" xr3:uid="{A32E25AA-036F-492A-8E65-ABFAF21417CB}" name="1810" dataDxfId="14800"/>
    <tableColumn id="1591" xr3:uid="{06EB6518-372D-41BA-A0F1-38A82ED083FD}" name="1811" dataDxfId="14799"/>
    <tableColumn id="1592" xr3:uid="{90360786-ADBB-4790-A445-EC225791BD80}" name="1812" dataDxfId="14798"/>
    <tableColumn id="1593" xr3:uid="{4421EF94-905C-432E-9625-2057FBA458D8}" name="1813" dataDxfId="14797"/>
    <tableColumn id="1594" xr3:uid="{24E6E3E6-D000-416A-927D-5087F383CD88}" name="1814" dataDxfId="14796"/>
    <tableColumn id="1595" xr3:uid="{BA0985E1-88F2-406C-B8BE-D052D0127896}" name="1815" dataDxfId="14795"/>
    <tableColumn id="1596" xr3:uid="{9D357068-3448-4EDB-A00C-CA8C9178906E}" name="1816" dataDxfId="14794"/>
    <tableColumn id="1597" xr3:uid="{C9D44094-2454-46A7-9F65-4A9B2BB9E8EA}" name="1817" dataDxfId="14793"/>
    <tableColumn id="1598" xr3:uid="{F2099738-4F3E-4894-BBDD-7C328FAB0A4D}" name="1818" dataDxfId="14792"/>
    <tableColumn id="1599" xr3:uid="{1FA60C03-487D-4BBF-AEA8-BB32321A96AE}" name="1819" dataDxfId="14791"/>
    <tableColumn id="1600" xr3:uid="{7E9F0054-16E2-4917-B7A3-333F1D98B6E3}" name="1820" dataDxfId="14790"/>
    <tableColumn id="1601" xr3:uid="{E77909F1-47F0-4DEF-AAAB-5E3A30E4DBAE}" name="1821" dataDxfId="14789"/>
    <tableColumn id="1602" xr3:uid="{73ABA16F-6189-47F7-AB97-2D9331790D0E}" name="1822" dataDxfId="14788"/>
    <tableColumn id="1603" xr3:uid="{9A2A65F3-A3F8-406E-A2F2-0317C807BDF1}" name="1823" dataDxfId="14787"/>
    <tableColumn id="1604" xr3:uid="{17707972-111D-4804-A503-A595E9379EFB}" name="1824" dataDxfId="14786"/>
    <tableColumn id="1605" xr3:uid="{A91C5D06-E2EA-4C15-A8B1-969C974439E1}" name="1825" dataDxfId="14785"/>
    <tableColumn id="1606" xr3:uid="{1E971170-FF26-4C28-96D7-3D486759681D}" name="1826" dataDxfId="14784"/>
    <tableColumn id="1607" xr3:uid="{2FDF3506-084E-4CEB-9891-CF78555504E8}" name="1827" dataDxfId="14783"/>
    <tableColumn id="1608" xr3:uid="{958DAC2C-E127-4E88-87CE-C1DCF3B17559}" name="1828" dataDxfId="14782"/>
    <tableColumn id="1609" xr3:uid="{7740D25C-B770-469A-9792-D3271C447A7D}" name="1829" dataDxfId="14781"/>
    <tableColumn id="1610" xr3:uid="{C8390305-59AD-4200-85D4-C3F911A2A52D}" name="1830" dataDxfId="14780"/>
    <tableColumn id="1611" xr3:uid="{C8DF0F65-B40E-4B79-89B4-58795B85C709}" name="1831" dataDxfId="14779"/>
    <tableColumn id="1612" xr3:uid="{8D9DA8CB-A529-4E04-AE77-A7BDEE76AD2C}" name="1832" dataDxfId="14778"/>
    <tableColumn id="1613" xr3:uid="{C61E525E-0BA9-46BC-8013-960FB3298326}" name="1833" dataDxfId="14777"/>
    <tableColumn id="1614" xr3:uid="{E38472E4-18DB-401B-A960-7F85B83D1A93}" name="1834" dataDxfId="14776"/>
    <tableColumn id="1615" xr3:uid="{1BC2D48E-65C2-4A0F-9372-D9FCCE2BF590}" name="1835" dataDxfId="14775"/>
    <tableColumn id="1616" xr3:uid="{9526D0BA-079B-4E2E-ABD2-917085739BD9}" name="1836" dataDxfId="14774"/>
    <tableColumn id="1617" xr3:uid="{C0A46248-625A-4DBF-8C1A-EAD4DF82931A}" name="1837" dataDxfId="14773"/>
    <tableColumn id="1618" xr3:uid="{7687CD07-1ED1-4F1F-B8D0-5E47AA0B7F06}" name="1838" dataDxfId="14772"/>
    <tableColumn id="1619" xr3:uid="{7249C58D-4903-4BBC-BA1E-2A5EB78912E1}" name="1839" dataDxfId="14771"/>
    <tableColumn id="1620" xr3:uid="{77ADC600-E470-4F05-927E-183D8E7AD6D5}" name="1840" dataDxfId="14770"/>
    <tableColumn id="1621" xr3:uid="{A8CBD633-6C96-4C83-B496-AA6C2E454D8B}" name="1841" dataDxfId="14769"/>
    <tableColumn id="1622" xr3:uid="{1613BF56-6906-4398-A5BF-897052E51C81}" name="1842" dataDxfId="14768"/>
    <tableColumn id="1623" xr3:uid="{070F0C49-6AFE-458B-9156-E514835F8DF9}" name="1843" dataDxfId="14767"/>
    <tableColumn id="1624" xr3:uid="{3E86D95B-7282-4AFD-9B77-000935297737}" name="1844" dataDxfId="14766"/>
    <tableColumn id="1625" xr3:uid="{7163A3B1-5C5D-4386-A870-E078146DE767}" name="1845" dataDxfId="14765"/>
    <tableColumn id="1626" xr3:uid="{0CE2843C-E456-4164-B468-7539C16E8F94}" name="1846" dataDxfId="14764"/>
    <tableColumn id="1627" xr3:uid="{AF71CB6B-D6CD-4345-83C1-1D04275750ED}" name="1847" dataDxfId="14763"/>
    <tableColumn id="1628" xr3:uid="{C2FE2B20-0CAE-4238-9488-32E508FA07D7}" name="1848" dataDxfId="14762"/>
    <tableColumn id="1629" xr3:uid="{083FED83-1827-4731-9752-6CE0E9679D87}" name="1849" dataDxfId="14761"/>
    <tableColumn id="1630" xr3:uid="{88B504F7-57CC-4DCC-9832-8C58C46DA525}" name="1850" dataDxfId="14760"/>
    <tableColumn id="1631" xr3:uid="{2D0E69B2-5985-4170-B068-943634C87E90}" name="1851" dataDxfId="14759"/>
    <tableColumn id="1632" xr3:uid="{B0DEC6AB-574F-497C-9982-EBE751FBD4F5}" name="1852" dataDxfId="14758"/>
    <tableColumn id="1633" xr3:uid="{8A2A06D9-C88A-4947-8E5E-9C1183A7A1F4}" name="1853" dataDxfId="14757"/>
    <tableColumn id="1634" xr3:uid="{3818ABC8-FC70-4E4A-A4B0-724E89602882}" name="1854" dataDxfId="14756"/>
    <tableColumn id="1635" xr3:uid="{6BC8AFC0-2D4D-4DCC-82C8-0E4A41D23E4F}" name="1855" dataDxfId="14755"/>
    <tableColumn id="1636" xr3:uid="{97D9993B-7C0B-4310-B498-D03E1B23EE87}" name="1856" dataDxfId="14754"/>
    <tableColumn id="1637" xr3:uid="{2FC97AB9-3591-42A1-86FD-5A72893822EB}" name="1857" dataDxfId="14753"/>
    <tableColumn id="1638" xr3:uid="{5FD9405B-38F9-4AC9-8D9C-8F188F9EDA93}" name="1858" dataDxfId="14752"/>
    <tableColumn id="1639" xr3:uid="{6298CAD1-6B07-4769-A4AA-8447F760C991}" name="1859" dataDxfId="14751"/>
    <tableColumn id="1640" xr3:uid="{62718B72-2660-4920-B404-13D4AD5D3119}" name="1860" dataDxfId="14750"/>
    <tableColumn id="1641" xr3:uid="{337C9DD7-9DF2-40D9-9740-52FFB5A5BE05}" name="1861" dataDxfId="14749"/>
    <tableColumn id="1642" xr3:uid="{9657FD65-177B-40E3-94FF-D96F180A87A3}" name="1862" dataDxfId="14748"/>
    <tableColumn id="1643" xr3:uid="{D88E6AB0-B352-4A7B-8C67-D02A8191B804}" name="1863" dataDxfId="14747"/>
    <tableColumn id="1644" xr3:uid="{2F87CFF4-EEAA-42FF-81D9-6D85BD5CD12A}" name="1864" dataDxfId="14746"/>
    <tableColumn id="1645" xr3:uid="{AFC00033-83C0-4034-BA98-4DECBC955593}" name="1865" dataDxfId="14745"/>
    <tableColumn id="1646" xr3:uid="{390540B4-FF84-48A7-B5AC-8DDC452C8897}" name="1866" dataDxfId="14744"/>
    <tableColumn id="1647" xr3:uid="{9FBEA3AD-1C48-40A2-A57B-F7C9F4D02D53}" name="1867" dataDxfId="14743"/>
    <tableColumn id="1648" xr3:uid="{1AAC6AC1-73BB-4BC3-B1F3-367BEB934590}" name="1868" dataDxfId="14742"/>
    <tableColumn id="1649" xr3:uid="{5E289525-2153-4FC4-8451-1BBD544A3AD4}" name="1869" dataDxfId="14741"/>
    <tableColumn id="1650" xr3:uid="{C86957F0-989C-433D-BA10-28E9201161DD}" name="1870" dataDxfId="14740"/>
    <tableColumn id="1651" xr3:uid="{BBEBD928-848C-4825-B17E-EB50B42C2CA4}" name="1871" dataDxfId="14739"/>
    <tableColumn id="1652" xr3:uid="{B49CFAB2-2328-4BCE-913C-43E8681D03E3}" name="1872" dataDxfId="14738"/>
    <tableColumn id="1653" xr3:uid="{6BA36919-9A2A-4C6B-AC82-2DF9BFE99F4A}" name="1873" dataDxfId="14737"/>
    <tableColumn id="1654" xr3:uid="{1A6D0DFD-0610-4F69-A782-3B950074C199}" name="1874" dataDxfId="14736"/>
    <tableColumn id="1655" xr3:uid="{4CB283AE-E4F8-499A-8542-14F280894D55}" name="1875" dataDxfId="14735"/>
    <tableColumn id="1656" xr3:uid="{6365D580-17A7-44E7-8B5A-DD85605C3EDD}" name="1876" dataDxfId="14734"/>
    <tableColumn id="1657" xr3:uid="{C6884339-1729-429D-AA72-BEA38A460FA2}" name="1877" dataDxfId="14733"/>
    <tableColumn id="1658" xr3:uid="{3DEE0561-870F-4C69-B11C-85E59E9E9579}" name="1878" dataDxfId="14732"/>
    <tableColumn id="1659" xr3:uid="{59C7A165-8F4A-4076-94DE-213B762C270A}" name="1879" dataDxfId="14731"/>
    <tableColumn id="1660" xr3:uid="{97D61EF1-ECC7-412E-A565-47515BC51CC5}" name="1880" dataDxfId="14730"/>
    <tableColumn id="1661" xr3:uid="{DE68FBE4-1F4C-4AFF-931D-4B0575ABFC05}" name="1881" dataDxfId="14729"/>
    <tableColumn id="1662" xr3:uid="{D5E0B6E5-1E1C-4341-8EBE-B45835DF604A}" name="1882" dataDxfId="14728"/>
    <tableColumn id="1663" xr3:uid="{8BA911BC-FAE8-4B22-96B8-C911DCAFD253}" name="1883" dataDxfId="14727"/>
    <tableColumn id="1664" xr3:uid="{C198BC85-B5C1-40CA-AEFD-C24FE2E93E80}" name="1884" dataDxfId="14726"/>
    <tableColumn id="1665" xr3:uid="{26668AEA-58C5-412C-8E48-26393919FA32}" name="1885" dataDxfId="14725"/>
    <tableColumn id="1666" xr3:uid="{9658A465-5E85-474A-AB8C-693C9EE3EDF0}" name="1886" dataDxfId="14724"/>
    <tableColumn id="1667" xr3:uid="{4F2A0190-6A76-413A-B934-9E94F64D1CA8}" name="1887" dataDxfId="14723"/>
    <tableColumn id="1668" xr3:uid="{5BB5F56C-3E3C-4DB3-8D34-71B0989604B3}" name="1888" dataDxfId="14722"/>
    <tableColumn id="1669" xr3:uid="{4212BC17-1C75-494E-98EB-23FBB836054F}" name="1889" dataDxfId="14721"/>
    <tableColumn id="1670" xr3:uid="{7A578546-A852-4246-937D-890370D4ABAA}" name="1890" dataDxfId="14720"/>
    <tableColumn id="1671" xr3:uid="{0173E807-FE28-4F4D-85A6-3F0E6BE52C99}" name="1891" dataDxfId="14719"/>
    <tableColumn id="1672" xr3:uid="{438E3CF2-E6EE-4C80-9F85-565FB36C4F2B}" name="1892" dataDxfId="14718"/>
    <tableColumn id="1673" xr3:uid="{28F1B412-D1CC-4189-9526-45828FFB25BF}" name="1893" dataDxfId="14717"/>
    <tableColumn id="1674" xr3:uid="{64FF14FF-2ACC-4343-B1A2-A8C51E306C01}" name="1894" dataDxfId="14716"/>
    <tableColumn id="1675" xr3:uid="{D2A9B678-F4CD-469B-8E6F-18BDF4909682}" name="1895" dataDxfId="14715"/>
    <tableColumn id="1676" xr3:uid="{E16F9968-8CEC-406E-BF44-539CC7CCE3B6}" name="1896" dataDxfId="14714"/>
    <tableColumn id="1677" xr3:uid="{B56415F6-097C-4888-AAC2-FAC75C419575}" name="1897" dataDxfId="14713"/>
    <tableColumn id="1678" xr3:uid="{29205187-DAF5-4C1D-A23B-9CF08353F8F1}" name="1898" dataDxfId="14712"/>
    <tableColumn id="1679" xr3:uid="{8B545C53-10B1-4CC2-999B-D70F15A462EB}" name="1899" dataDxfId="14711"/>
    <tableColumn id="1680" xr3:uid="{B50D7C19-4BF5-4335-98ED-6B05FF1676F3}" name="1900" dataDxfId="14710"/>
    <tableColumn id="1681" xr3:uid="{5A80AB57-22A0-477D-8BFD-78AD059C9A6D}" name="1901" dataDxfId="14709"/>
    <tableColumn id="1682" xr3:uid="{40CD02AA-D836-41C6-A6E9-86DABD991D54}" name="1902" dataDxfId="14708"/>
    <tableColumn id="1683" xr3:uid="{FB43BA95-41ED-4A00-A1ED-842ACE36DFC3}" name="1903" dataDxfId="14707"/>
    <tableColumn id="1684" xr3:uid="{7F656F14-DFF2-4C30-97BE-52F8B3902357}" name="1904" dataDxfId="14706"/>
    <tableColumn id="1685" xr3:uid="{CBB126B5-53C3-4277-B767-184B695F1286}" name="1905" dataDxfId="14705"/>
    <tableColumn id="1686" xr3:uid="{4C7501F6-F1D9-4DB4-98E3-D6C0D8D92761}" name="1906" dataDxfId="14704"/>
    <tableColumn id="1687" xr3:uid="{84B2E3F6-53F4-4570-80F1-8FCC647709CB}" name="1907" dataDxfId="14703"/>
    <tableColumn id="1688" xr3:uid="{301FA295-77E5-4479-A25B-F469FD8C06FF}" name="1908" dataDxfId="14702"/>
    <tableColumn id="1689" xr3:uid="{6DF47A89-80D7-408E-A816-36016A04DEFB}" name="1909" dataDxfId="14701"/>
    <tableColumn id="1690" xr3:uid="{8E251CBE-A99D-4AD6-98BA-B846446C7F0B}" name="1910" dataDxfId="14700"/>
    <tableColumn id="1691" xr3:uid="{67BC4073-21CB-421B-A12A-E4987D94B071}" name="1911" dataDxfId="14699"/>
    <tableColumn id="1692" xr3:uid="{5750A515-3504-4BF2-8702-31EDE3384C3A}" name="1912" dataDxfId="14698"/>
    <tableColumn id="1693" xr3:uid="{F75A62F0-A206-4798-ABA5-FB14E27F61EF}" name="1913" dataDxfId="14697"/>
    <tableColumn id="1694" xr3:uid="{51358988-6917-4D17-9978-3CC02C1EB024}" name="1914" dataDxfId="14696"/>
    <tableColumn id="1695" xr3:uid="{45700A81-94A9-487E-A7F7-3FF8D044DD1B}" name="1915" dataDxfId="14695"/>
    <tableColumn id="1696" xr3:uid="{ABC4ED32-B359-4790-BA82-31D42BF5BDBA}" name="1916" dataDxfId="14694"/>
    <tableColumn id="1697" xr3:uid="{3CFC94CA-213E-412C-8D51-E93057E80D40}" name="1917" dataDxfId="14693"/>
    <tableColumn id="1698" xr3:uid="{A32F9964-4049-477E-92E2-E22E9C2D5634}" name="1918" dataDxfId="14692"/>
    <tableColumn id="1699" xr3:uid="{52598825-D46B-43AD-AB8B-5DB659A51EE7}" name="1919" dataDxfId="14691"/>
    <tableColumn id="1700" xr3:uid="{A10CE01A-DC77-4566-8F92-10C868D7378E}" name="1920" dataDxfId="14690"/>
    <tableColumn id="1701" xr3:uid="{BA410A5A-282E-4F90-8E54-48B7E666A4F8}" name="1921" dataDxfId="14689"/>
    <tableColumn id="1702" xr3:uid="{397868AA-E592-418E-8710-B22E4A470AE7}" name="1922" dataDxfId="14688"/>
    <tableColumn id="1703" xr3:uid="{AFDCA07D-60F6-4F68-A799-77F4E6C99695}" name="1923" dataDxfId="14687"/>
    <tableColumn id="1704" xr3:uid="{88691AB2-62C5-4E7C-BEA8-1E64148BF248}" name="1924" dataDxfId="14686"/>
    <tableColumn id="1705" xr3:uid="{866C4BB2-4363-4B5A-A1BE-1DC101B2C07D}" name="1925" dataDxfId="14685"/>
    <tableColumn id="1706" xr3:uid="{4F4E7344-6CD2-43FA-91A8-EF74E468356C}" name="1926" dataDxfId="14684"/>
    <tableColumn id="1707" xr3:uid="{D61B4EB5-43E3-4E59-8677-D3BB99FBFE21}" name="1927" dataDxfId="14683"/>
    <tableColumn id="1708" xr3:uid="{5C3D66FD-10DC-42B9-9EEF-460DC0621E90}" name="1928" dataDxfId="14682"/>
    <tableColumn id="1709" xr3:uid="{747497BA-B256-44A0-95DA-7BDBFF4AA1D5}" name="1929" dataDxfId="14681"/>
    <tableColumn id="1710" xr3:uid="{8577E320-964E-4203-930E-FBDB0A31BE83}" name="1930" dataDxfId="14680"/>
    <tableColumn id="1711" xr3:uid="{6BC4288F-8D41-45EE-A078-B2851242376A}" name="1931" dataDxfId="14679"/>
    <tableColumn id="1712" xr3:uid="{02682689-CFCA-4E13-86DC-CFCE6A5ABC22}" name="1932" dataDxfId="14678"/>
    <tableColumn id="1713" xr3:uid="{9582DB8B-26EC-4C03-B676-9BA9DB91C84B}" name="1933" dataDxfId="14677"/>
    <tableColumn id="1714" xr3:uid="{20050FE1-23FD-4CC9-AA09-78854F1D6033}" name="1934" dataDxfId="14676"/>
    <tableColumn id="1715" xr3:uid="{82EF45DA-2CC0-41B9-B9A2-DBAC39058E7B}" name="1935" dataDxfId="14675"/>
    <tableColumn id="1716" xr3:uid="{2236821D-D489-4F40-85DA-9F859D2C0693}" name="1936" dataDxfId="14674"/>
    <tableColumn id="1717" xr3:uid="{224CAA09-1E2D-4958-908F-8DEB6C905524}" name="1937" dataDxfId="14673"/>
    <tableColumn id="1718" xr3:uid="{733288F8-B148-41AD-9446-A530756DE601}" name="1938" dataDxfId="14672"/>
    <tableColumn id="1719" xr3:uid="{AC2291F6-513B-4BD0-821B-B9E3B63EDD4B}" name="1939" dataDxfId="14671"/>
    <tableColumn id="1720" xr3:uid="{CBA61895-814F-4082-BF97-E934BFC00AE2}" name="1940" dataDxfId="14670"/>
    <tableColumn id="1721" xr3:uid="{1E34D7F4-6BEB-484E-87C4-69425080D508}" name="1941" dataDxfId="14669"/>
    <tableColumn id="1722" xr3:uid="{DFD481B8-F9F7-4613-8EB6-9A77A26A6801}" name="1942" dataDxfId="14668"/>
    <tableColumn id="1723" xr3:uid="{94329440-2607-4B25-96CA-F633E59A4FE2}" name="1943" dataDxfId="14667"/>
    <tableColumn id="1724" xr3:uid="{875EBB3F-E7A2-434A-88A4-56C74D899EAF}" name="1944" dataDxfId="14666"/>
    <tableColumn id="1725" xr3:uid="{E975634D-2C5B-46CB-9440-92A012433192}" name="1945" dataDxfId="14665"/>
    <tableColumn id="1726" xr3:uid="{12E3764B-176E-482D-9788-B7AA4ADE86B1}" name="1946" dataDxfId="14664"/>
    <tableColumn id="1727" xr3:uid="{AA7A2DC9-97CF-4505-B330-4737B55EDBFC}" name="1947" dataDxfId="14663"/>
    <tableColumn id="1728" xr3:uid="{9FF1560D-6F27-408C-806A-F7B745996493}" name="1948" dataDxfId="14662"/>
    <tableColumn id="1729" xr3:uid="{5C90CE5B-8396-4496-AB0E-65D2616043F3}" name="1949" dataDxfId="14661"/>
    <tableColumn id="1730" xr3:uid="{AF9EB356-96DA-415B-AC44-01EA29FC7273}" name="1950" dataDxfId="14660"/>
    <tableColumn id="1731" xr3:uid="{624958B2-557F-4CBC-9C28-6E32A3EFCC91}" name="1951" dataDxfId="14659"/>
    <tableColumn id="1732" xr3:uid="{719355CA-9B70-449A-8059-53027DC2553D}" name="1952" dataDxfId="14658"/>
    <tableColumn id="1733" xr3:uid="{1CC1EE9A-DCE1-402E-9F91-CA70AE027D91}" name="1953" dataDxfId="14657"/>
    <tableColumn id="1734" xr3:uid="{F957AE0F-D80D-4D0C-97B4-8202974397E8}" name="1954" dataDxfId="14656"/>
    <tableColumn id="1735" xr3:uid="{ADDA3DE3-612B-4467-BCB0-6AC03C8E71CF}" name="1955" dataDxfId="14655"/>
    <tableColumn id="1736" xr3:uid="{8452B330-74F3-4FE6-B098-67C2E357E14A}" name="1956" dataDxfId="14654"/>
    <tableColumn id="1737" xr3:uid="{00286175-EFA0-4C52-8F34-5773CEB57537}" name="1957" dataDxfId="14653"/>
    <tableColumn id="1738" xr3:uid="{2CC193FB-FD62-457A-992F-67B1F005601C}" name="1958" dataDxfId="14652"/>
    <tableColumn id="1739" xr3:uid="{461ABCF5-E15F-41E9-B87C-5EA018CFB250}" name="1959" dataDxfId="14651"/>
    <tableColumn id="1740" xr3:uid="{0206F87A-EB3B-441A-BEC4-A3E4C95650D5}" name="1960" dataDxfId="14650"/>
    <tableColumn id="1741" xr3:uid="{C85CE903-374C-4A4E-8AC6-13DD901E439E}" name="1961" dataDxfId="14649"/>
    <tableColumn id="1742" xr3:uid="{8C3271C7-5195-4335-9CC7-6376BFF7B7AC}" name="1962" dataDxfId="14648"/>
    <tableColumn id="1743" xr3:uid="{3326C30E-A2F0-4A41-BFA9-58156ED57866}" name="1963" dataDxfId="14647"/>
    <tableColumn id="1744" xr3:uid="{F26C43B5-6579-4CDE-8223-FEB4EB313A11}" name="1964" dataDxfId="14646"/>
    <tableColumn id="1745" xr3:uid="{1879818E-E261-4C86-AF77-0CE7E43D9F70}" name="1965" dataDxfId="14645"/>
    <tableColumn id="1746" xr3:uid="{84F15B30-C424-4600-BD09-E28E4425BF76}" name="1966" dataDxfId="14644"/>
    <tableColumn id="1747" xr3:uid="{E1B5D076-B493-475F-9654-89DE68B5B858}" name="1967" dataDxfId="14643"/>
    <tableColumn id="1748" xr3:uid="{62067202-D5D3-4258-97A1-051BE51A9212}" name="1968" dataDxfId="14642"/>
    <tableColumn id="1749" xr3:uid="{6B1B302B-32D8-4C0E-B595-F064582A14B7}" name="1969" dataDxfId="14641"/>
    <tableColumn id="1750" xr3:uid="{30BFAD40-AF4A-4B6D-B11B-9A2EEDE22FC4}" name="1970" dataDxfId="14640"/>
    <tableColumn id="1751" xr3:uid="{AC9FB7F5-5009-4DFC-B827-C9A7A5FEB321}" name="1971" dataDxfId="14639"/>
    <tableColumn id="1752" xr3:uid="{FC95166C-5C83-45A4-9BC7-6476B2CA3176}" name="1972" dataDxfId="14638"/>
    <tableColumn id="1753" xr3:uid="{655F57FF-2FA5-45B9-8142-12F3EDA0ADC6}" name="1973" dataDxfId="14637"/>
    <tableColumn id="1754" xr3:uid="{F6EBFFE1-11A0-4DBC-9BC3-D4060CDFC53D}" name="1974" dataDxfId="14636"/>
    <tableColumn id="1755" xr3:uid="{B1008349-9B0E-406F-8C27-4961FCDB8BD1}" name="1975" dataDxfId="14635"/>
    <tableColumn id="1756" xr3:uid="{A4CFC8E7-5CE0-4BAD-96F6-EA84CD9E37F9}" name="1976" dataDxfId="14634"/>
    <tableColumn id="1757" xr3:uid="{726F6FD4-4283-409D-9DA9-749C59996C70}" name="1977" dataDxfId="14633"/>
    <tableColumn id="1758" xr3:uid="{89943EE9-E898-4C66-A4E4-03080814CB23}" name="1978" dataDxfId="14632"/>
    <tableColumn id="1759" xr3:uid="{656F81CD-F0A8-4F4E-8C60-B3FFF88E1DEF}" name="1979" dataDxfId="14631"/>
    <tableColumn id="1760" xr3:uid="{06D337EA-A3B9-47BA-A6B0-B4F62E0F921D}" name="1980" dataDxfId="14630"/>
    <tableColumn id="1761" xr3:uid="{670468EA-6778-4E8B-9ACE-4E661F54C109}" name="1981" dataDxfId="14629"/>
    <tableColumn id="1762" xr3:uid="{4C55B006-D3F5-45AC-8DEB-E946AE00059A}" name="1982" dataDxfId="14628"/>
    <tableColumn id="1763" xr3:uid="{B74F9708-850C-4BC7-B962-CC752DAEBDE8}" name="1983" dataDxfId="14627"/>
    <tableColumn id="1764" xr3:uid="{C2A695A6-E548-45AC-AF66-52C6A0C70575}" name="1984" dataDxfId="14626"/>
    <tableColumn id="1765" xr3:uid="{D1EC5D8B-2A11-4176-BB49-BBEC49D33732}" name="1985" dataDxfId="14625"/>
    <tableColumn id="1766" xr3:uid="{BE18DD42-ECD6-4D9D-84A4-9DCC869EDD3D}" name="1986" dataDxfId="14624"/>
    <tableColumn id="1767" xr3:uid="{691F5C1A-4B40-41AC-82C3-FE3DD26DAEEE}" name="1987" dataDxfId="14623"/>
    <tableColumn id="1768" xr3:uid="{46F8855A-75FA-4307-ABAC-87ED9D1FAA23}" name="1988" dataDxfId="14622"/>
    <tableColumn id="1769" xr3:uid="{3FFC4E5C-988B-487E-B6FA-54FD488CE3DE}" name="1989" dataDxfId="14621"/>
    <tableColumn id="1770" xr3:uid="{60DE9FFD-A816-45EA-947D-F9F0CDD27F92}" name="1990" dataDxfId="14620"/>
    <tableColumn id="1771" xr3:uid="{7DD5DDED-B1DC-43F5-A2F8-B6AC5A3BDADC}" name="1991" dataDxfId="14619"/>
    <tableColumn id="1772" xr3:uid="{FCD0EC3E-701D-4618-9E51-DFC8DF77E58E}" name="1992" dataDxfId="14618"/>
    <tableColumn id="1773" xr3:uid="{4A399804-C777-4A13-9796-6EA7A0F091B6}" name="1993" dataDxfId="14617"/>
    <tableColumn id="1774" xr3:uid="{7A315CF3-76C8-45AF-94DD-14E52A3A0DBC}" name="1994" dataDxfId="14616"/>
    <tableColumn id="1775" xr3:uid="{4F2B91A3-DC63-4D93-B285-21E7F5932A37}" name="1995" dataDxfId="14615"/>
    <tableColumn id="1776" xr3:uid="{05A6BC4F-8FB7-4433-B118-7835C1AF8476}" name="1996" dataDxfId="14614"/>
    <tableColumn id="1777" xr3:uid="{F3BE56B1-DAA4-4FFC-83FB-82A70A2E1CCB}" name="1997" dataDxfId="14613"/>
    <tableColumn id="1778" xr3:uid="{445DBCBB-FC53-4450-879B-3B3987B4A527}" name="1998" dataDxfId="14612"/>
    <tableColumn id="1779" xr3:uid="{402A42E5-5306-4384-BD24-7725172579FD}" name="1999" dataDxfId="14611"/>
    <tableColumn id="1780" xr3:uid="{9CEB199A-98D0-4C4E-9B4C-2951FAA7B886}" name="2000" dataDxfId="14610"/>
    <tableColumn id="1781" xr3:uid="{535A6A12-8A2E-422A-9C06-BFD4B8BFAF47}" name="2001" dataDxfId="14609"/>
    <tableColumn id="1782" xr3:uid="{F0213E34-2C19-4596-B475-92EA86C83A8F}" name="2002" dataDxfId="14608"/>
    <tableColumn id="1783" xr3:uid="{E64A5DFD-C532-49A1-8337-58EA6B820874}" name="2003" dataDxfId="14607"/>
    <tableColumn id="1784" xr3:uid="{5BBDE79E-1A6E-4F5B-BA62-F8E891521D46}" name="2004" dataDxfId="14606"/>
    <tableColumn id="1785" xr3:uid="{6D4ED628-A06A-4FD7-B984-B6627B1F3F17}" name="2005" dataDxfId="14605"/>
    <tableColumn id="1786" xr3:uid="{D4FB16B0-D2E1-4113-A0DC-22B75699BD8E}" name="2006" dataDxfId="14604"/>
    <tableColumn id="1787" xr3:uid="{4AB37C8B-6B5B-4B46-94ED-442B841B7D7B}" name="2007" dataDxfId="14603"/>
    <tableColumn id="1788" xr3:uid="{5E79EA3A-6CE8-4E39-AF0B-D165FC446D07}" name="2008" dataDxfId="14602"/>
    <tableColumn id="1789" xr3:uid="{9E8965AC-1B58-41B9-804B-C848D6798835}" name="2009" dataDxfId="14601"/>
    <tableColumn id="1790" xr3:uid="{34E7593F-C24C-4A4E-B7E5-41B3F02780E8}" name="2010" dataDxfId="14600"/>
    <tableColumn id="1791" xr3:uid="{0D42EF78-39EC-4101-90C5-79F0D14F27AA}" name="2011" dataDxfId="14599"/>
    <tableColumn id="1792" xr3:uid="{B06A4634-0EC2-4C4C-B2EF-02C3ABAD5633}" name="2012" dataDxfId="14598"/>
    <tableColumn id="1793" xr3:uid="{55140D2A-ACAA-46A4-A1CD-5E1CBCCEF5A0}" name="2013" dataDxfId="14597"/>
    <tableColumn id="1794" xr3:uid="{BE5E58E4-F84E-4C15-9573-AD9679D15912}" name="2014" dataDxfId="14596"/>
    <tableColumn id="1795" xr3:uid="{0004994B-3AC8-4604-9E95-5CE78196C2F7}" name="2015" dataDxfId="14595"/>
    <tableColumn id="1796" xr3:uid="{88F29102-427F-4BC3-A375-B64EAC87420A}" name="2016" dataDxfId="14594"/>
    <tableColumn id="1797" xr3:uid="{914EFB2F-AD6B-46A6-9706-F119C876FE2C}" name="2017" dataDxfId="14593"/>
    <tableColumn id="1798" xr3:uid="{60C3FF0A-6927-4E9F-B106-7C14ECF7BC2D}" name="2018" dataDxfId="14592"/>
    <tableColumn id="1799" xr3:uid="{3D0D47A4-4147-4C14-AE9A-5711CDD0AA8E}" name="2019" dataDxfId="14591"/>
    <tableColumn id="1800" xr3:uid="{AB34F935-FD1D-4458-AB63-9AF8CA47094D}" name="2020" dataDxfId="14590"/>
    <tableColumn id="1801" xr3:uid="{1A8ED697-964B-41BD-A185-6CAC676500FE}" name="2021" dataDxfId="14589"/>
    <tableColumn id="1802" xr3:uid="{079B4E7D-E3C6-49E6-9ECD-6F583A3C02D5}" name="2022" dataDxfId="14588"/>
    <tableColumn id="1803" xr3:uid="{2D8626D3-D565-4582-A663-70CE6D4023C5}" name="2023" dataDxfId="14587"/>
    <tableColumn id="1804" xr3:uid="{D128CD7C-7A5B-4FB0-B32A-FAD94728325B}" name="2024" dataDxfId="14586"/>
    <tableColumn id="1805" xr3:uid="{B7030E9F-D9A0-4C1E-ABDA-C0CA1E986F2F}" name="2025" dataDxfId="14585"/>
    <tableColumn id="1806" xr3:uid="{A67DCE47-BD93-438B-B76E-7D96F92C83E2}" name="2026" dataDxfId="14584"/>
    <tableColumn id="1807" xr3:uid="{5A964887-2897-4403-8267-9388387D7BB6}" name="2027" dataDxfId="14583"/>
    <tableColumn id="1808" xr3:uid="{3ED7ABCE-BE77-4CFF-AF2A-8DE890AC3DE2}" name="2028" dataDxfId="14582"/>
    <tableColumn id="1809" xr3:uid="{426A4752-222C-4F12-A49A-D86D3CBDA60B}" name="2029" dataDxfId="14581"/>
    <tableColumn id="1810" xr3:uid="{86C03AE8-2F14-4C95-B0B7-38DB35B2ADBA}" name="2030" dataDxfId="14580"/>
    <tableColumn id="1811" xr3:uid="{85D5DD8F-9481-41D4-B9FE-9A405240018B}" name="2031" dataDxfId="14579"/>
    <tableColumn id="1812" xr3:uid="{324C5F5D-0DE7-417B-9440-FBAAE8688324}" name="2032" dataDxfId="14578"/>
    <tableColumn id="1813" xr3:uid="{53C13F42-60F7-4C78-A1F9-3015EAE0D6E4}" name="2033" dataDxfId="14577"/>
    <tableColumn id="1814" xr3:uid="{810ED04B-1BF9-4E3A-8624-2604BF7DF94D}" name="2034" dataDxfId="14576"/>
    <tableColumn id="1815" xr3:uid="{75E0B55F-B297-4747-9C5E-E90D078D5784}" name="2035" dataDxfId="14575"/>
    <tableColumn id="1816" xr3:uid="{5388B601-8699-4A27-820F-11E09C6FD0C9}" name="2036" dataDxfId="14574"/>
    <tableColumn id="1817" xr3:uid="{D6678B14-B274-44D3-8D98-A84CDDB3243B}" name="2037" dataDxfId="14573"/>
    <tableColumn id="1818" xr3:uid="{0A0D9386-E27C-4530-94E4-3A9A81C7016E}" name="2038" dataDxfId="14572"/>
    <tableColumn id="1819" xr3:uid="{47AD27C2-DB17-4FE5-BE8F-D726F3B94D57}" name="2039" dataDxfId="14571"/>
    <tableColumn id="1820" xr3:uid="{D6E3CB78-7053-4483-A1F8-B76853F44833}" name="2040" dataDxfId="14570"/>
    <tableColumn id="1821" xr3:uid="{716FA5A1-1D88-4F7A-9373-1E0ED6B8EB3B}" name="2041" dataDxfId="14569"/>
    <tableColumn id="1822" xr3:uid="{5850A5A4-979B-403D-8D1A-51669788593C}" name="2042" dataDxfId="14568"/>
    <tableColumn id="1823" xr3:uid="{E5DD9314-81F2-4BB8-B039-217E3F9B310F}" name="2043" dataDxfId="14567"/>
    <tableColumn id="1824" xr3:uid="{66EADEB3-D180-441F-A77E-201113C945DB}" name="2044" dataDxfId="14566"/>
    <tableColumn id="1825" xr3:uid="{5FF3CFD0-E166-4002-8861-E8DBE140B437}" name="2045" dataDxfId="14565"/>
    <tableColumn id="1826" xr3:uid="{D03D91C1-F361-4755-8E11-8B00646F695A}" name="2046" dataDxfId="14564"/>
    <tableColumn id="1827" xr3:uid="{78D5040C-72B0-4BF5-A173-E1760AF5F63E}" name="2047" dataDxfId="14563"/>
    <tableColumn id="1828" xr3:uid="{6126FECA-0F15-4491-9AAE-B89C121D1510}" name="2048" dataDxfId="14562"/>
    <tableColumn id="1829" xr3:uid="{12832911-ADC5-4F8E-8D45-62A555325E35}" name="2049" dataDxfId="14561"/>
    <tableColumn id="1830" xr3:uid="{73FBB074-9A77-43D9-89E0-C3A1F963846A}" name="2050" dataDxfId="14560"/>
    <tableColumn id="1831" xr3:uid="{1A650F26-4BE1-4859-B705-960E0FD7F58A}" name="2051" dataDxfId="14559"/>
    <tableColumn id="1832" xr3:uid="{976A53C2-DD88-4F16-B157-6BD5C0093C87}" name="2052" dataDxfId="14558"/>
    <tableColumn id="1833" xr3:uid="{A9B8AA8E-E0C6-4803-9191-0269088BE141}" name="2053" dataDxfId="14557"/>
    <tableColumn id="1834" xr3:uid="{B75AB195-33F3-4AEA-AAB1-D70136D83A46}" name="2054" dataDxfId="14556"/>
    <tableColumn id="1835" xr3:uid="{A042E0BB-9184-4A81-B54F-0445D7FE474D}" name="2055" dataDxfId="14555"/>
    <tableColumn id="1836" xr3:uid="{6E5BF11D-4CE6-4A7D-BF64-BA00D0C47F96}" name="2056" dataDxfId="14554"/>
    <tableColumn id="1837" xr3:uid="{7AF139A8-57E2-4077-BF7A-03DEDC60F2DE}" name="2057" dataDxfId="14553"/>
    <tableColumn id="1838" xr3:uid="{16D5B717-381C-4516-B87E-90D2CB42F6FF}" name="2058" dataDxfId="14552"/>
    <tableColumn id="1839" xr3:uid="{5D8FF85A-C314-4489-A4E0-0C86FBD5D7A7}" name="2059" dataDxfId="14551"/>
    <tableColumn id="1840" xr3:uid="{CA4F69C2-D419-4868-9BA8-064E9E5511D7}" name="2060" dataDxfId="14550"/>
    <tableColumn id="1841" xr3:uid="{7163DC05-C526-41FB-AC35-138051E780C5}" name="2061" dataDxfId="14549"/>
    <tableColumn id="1842" xr3:uid="{379085A1-A39D-4E47-AEA4-B6049F5EF754}" name="2062" dataDxfId="14548"/>
    <tableColumn id="1843" xr3:uid="{34F3D62F-5282-452F-A3CB-3504B558FD23}" name="2063" dataDxfId="14547"/>
    <tableColumn id="1844" xr3:uid="{07528C52-C940-43AB-AB1D-77D929C3DD05}" name="2064" dataDxfId="14546"/>
    <tableColumn id="1845" xr3:uid="{2B251B26-EDB6-464D-A2AA-2A4B53D04272}" name="2065" dataDxfId="14545"/>
    <tableColumn id="1846" xr3:uid="{3D69DA50-C15E-43F9-BEBB-0FEF64394AA0}" name="2066" dataDxfId="14544"/>
    <tableColumn id="1847" xr3:uid="{14D67B75-9CD9-4296-A867-D73493967332}" name="2067" dataDxfId="14543"/>
    <tableColumn id="1848" xr3:uid="{C6A73B06-EEBD-48DF-A179-057FD59F516F}" name="2068" dataDxfId="14542"/>
    <tableColumn id="1849" xr3:uid="{3732DBA6-C5A3-4536-AA75-871003417160}" name="2069" dataDxfId="14541"/>
    <tableColumn id="1850" xr3:uid="{AA1B2E72-E03B-4A36-BC9E-F423CF1C05FA}" name="2070" dataDxfId="14540"/>
    <tableColumn id="1851" xr3:uid="{1A4EA4C0-EF03-4972-A5C3-50E8609BE728}" name="2071" dataDxfId="14539"/>
    <tableColumn id="1852" xr3:uid="{C20C3B10-6E37-4EDC-A81D-684B1FAB74B2}" name="2072" dataDxfId="14538"/>
    <tableColumn id="1853" xr3:uid="{025FD87F-7C6A-4E51-A103-41FF64769271}" name="2073" dataDxfId="14537"/>
    <tableColumn id="1854" xr3:uid="{83850B0C-EB64-442F-A4FF-F21C30E2C45C}" name="2074" dataDxfId="14536"/>
    <tableColumn id="1855" xr3:uid="{CEF6B23E-ADF0-4F98-8C20-9C357355D5AF}" name="2075" dataDxfId="14535"/>
    <tableColumn id="1856" xr3:uid="{BE1FE90E-8EEE-48E1-9A93-90FBF99BE6AE}" name="2076" dataDxfId="14534"/>
    <tableColumn id="1857" xr3:uid="{3831F069-4705-4CCF-BAF5-E52919F9F43F}" name="2077" dataDxfId="14533"/>
    <tableColumn id="1858" xr3:uid="{11802E23-DE29-49F9-9378-DAC761A55884}" name="2078" dataDxfId="14532"/>
    <tableColumn id="1859" xr3:uid="{B52C5412-5FD9-40E5-AAE8-9FC828DAD89F}" name="2079" dataDxfId="14531"/>
    <tableColumn id="1860" xr3:uid="{B0912128-C6EA-45F2-85DF-711378C42DCD}" name="2080" dataDxfId="14530"/>
    <tableColumn id="1861" xr3:uid="{25D5D331-034A-4168-A266-589501D72641}" name="2081" dataDxfId="14529"/>
    <tableColumn id="1862" xr3:uid="{5AA911F8-4DE8-4DA5-8ABB-3EA751F1DAF0}" name="2082" dataDxfId="14528"/>
    <tableColumn id="1863" xr3:uid="{80F27AF5-B63B-4C5E-B3F5-649EB1E15773}" name="2083" dataDxfId="14527"/>
    <tableColumn id="1864" xr3:uid="{15081BEF-A418-4924-9D6C-528F38624F78}" name="2084" dataDxfId="14526"/>
    <tableColumn id="1865" xr3:uid="{38FCAB36-DA7B-477F-9716-B0BC90BB4E29}" name="2085" dataDxfId="14525"/>
    <tableColumn id="1866" xr3:uid="{FC9E3109-6429-4019-813C-74CEB35FB878}" name="2086" dataDxfId="14524"/>
    <tableColumn id="1867" xr3:uid="{A85635DF-208E-4A04-A89B-A83136A39005}" name="2087" dataDxfId="14523"/>
    <tableColumn id="1868" xr3:uid="{6B50A7D8-6F00-46B9-A1CE-4D6BB34D0250}" name="2088" dataDxfId="14522"/>
    <tableColumn id="1869" xr3:uid="{F8C1C6D7-D3C4-4835-BE02-2758E070D4E5}" name="2089" dataDxfId="14521"/>
    <tableColumn id="1870" xr3:uid="{BF7DAEBD-2278-4539-B4F7-229C801F12BC}" name="2090" dataDxfId="14520"/>
    <tableColumn id="1871" xr3:uid="{6CCD2015-19D1-417B-855A-DDEECF5106CC}" name="2091" dataDxfId="14519"/>
    <tableColumn id="1872" xr3:uid="{FBD93D5A-7C08-47B9-8FF6-F154016A6821}" name="2092" dataDxfId="14518"/>
    <tableColumn id="1873" xr3:uid="{FF8F607C-9919-42A3-9817-755BE305EED9}" name="2093" dataDxfId="14517"/>
    <tableColumn id="1874" xr3:uid="{B394BE66-ED95-43A7-8FAF-288250A06C10}" name="2094" dataDxfId="14516"/>
    <tableColumn id="1875" xr3:uid="{90E71CB8-BCED-4A00-ACF4-45641AD4856E}" name="2095" dataDxfId="14515"/>
    <tableColumn id="1876" xr3:uid="{B0A0F7D2-A956-4AF0-AF41-8BA0773C6FFE}" name="2096" dataDxfId="14514"/>
    <tableColumn id="1877" xr3:uid="{5CB6F492-1ABA-4E6A-A053-3DC0DE9E7E9A}" name="2097" dataDxfId="14513"/>
    <tableColumn id="1878" xr3:uid="{22B6AD18-3EF9-4A6E-A1D8-9556776D3FFD}" name="2098" dataDxfId="14512"/>
    <tableColumn id="1879" xr3:uid="{17751E4C-1C9D-4156-8FE0-856B5C80AC02}" name="2099" dataDxfId="14511"/>
    <tableColumn id="1880" xr3:uid="{66743306-B652-4F4E-ABB0-513196C4B9E9}" name="2100" dataDxfId="14510"/>
    <tableColumn id="1881" xr3:uid="{E06AA941-FFE5-4715-8914-E40951064EE5}" name="2101" dataDxfId="14509"/>
    <tableColumn id="1882" xr3:uid="{D6090375-6A7F-4EB1-B11D-34AFE93ECFC6}" name="2102" dataDxfId="14508"/>
    <tableColumn id="1883" xr3:uid="{67B572EA-9532-4C03-AF1A-F7146C23D148}" name="2103" dataDxfId="14507"/>
    <tableColumn id="1884" xr3:uid="{C915B9EE-3E58-400C-B231-04D9DC7CA3E4}" name="2104" dataDxfId="14506"/>
    <tableColumn id="1885" xr3:uid="{EF83DCB0-E2F6-443C-BA11-97D47450F207}" name="2105" dataDxfId="14505"/>
    <tableColumn id="1886" xr3:uid="{1F227A0F-66D7-405E-8AC2-B47C0E8FCC92}" name="2106" dataDxfId="14504"/>
    <tableColumn id="1887" xr3:uid="{C68CDFAC-7800-4112-887B-AE8C184B9F51}" name="2107" dataDxfId="14503"/>
    <tableColumn id="1888" xr3:uid="{F277855A-CD59-449D-BBCC-4F346911F28F}" name="2108" dataDxfId="14502"/>
    <tableColumn id="1889" xr3:uid="{1662BD2B-DEF9-4BA4-9BF3-F9172A2B397E}" name="2109" dataDxfId="14501"/>
    <tableColumn id="1890" xr3:uid="{54179BF1-96B1-4CF9-ABBA-0ED58ADCD174}" name="2110" dataDxfId="14500"/>
    <tableColumn id="1891" xr3:uid="{E3B6A9C7-F54A-46D5-802E-F21434E6557A}" name="2111" dataDxfId="14499"/>
    <tableColumn id="1892" xr3:uid="{68831066-A966-4FF0-9299-5B3B400C7ECC}" name="2112" dataDxfId="14498"/>
    <tableColumn id="1893" xr3:uid="{61B01A8F-5A84-4057-A4D9-D648A41EB211}" name="2113" dataDxfId="14497"/>
    <tableColumn id="1894" xr3:uid="{68807AFE-9E5F-4082-B2DC-E39ED058F6CE}" name="2114" dataDxfId="14496"/>
    <tableColumn id="1895" xr3:uid="{3341DD52-A531-4240-89B0-831589773CCB}" name="2115" dataDxfId="14495"/>
    <tableColumn id="1896" xr3:uid="{4355F4A9-7E02-449A-BDB9-EF85259B8923}" name="2116" dataDxfId="14494"/>
    <tableColumn id="1897" xr3:uid="{0FEA5C57-FD85-4D67-A401-E87DCB9BA635}" name="2117" dataDxfId="14493"/>
    <tableColumn id="1898" xr3:uid="{F64208A3-0858-42F5-B361-C2FE2E53AD0A}" name="2118" dataDxfId="14492"/>
    <tableColumn id="1899" xr3:uid="{CC218301-A61E-4D29-9700-807FD642AC79}" name="2119" dataDxfId="14491"/>
    <tableColumn id="1900" xr3:uid="{02031E92-14C2-45F0-ABA7-CD228393D4A4}" name="2120" dataDxfId="14490"/>
    <tableColumn id="1901" xr3:uid="{9702BB1C-5617-43EE-A000-695B7F66437B}" name="2121" dataDxfId="14489"/>
    <tableColumn id="1902" xr3:uid="{9485FC06-7809-4F47-AFD1-9B8BDC843760}" name="2122" dataDxfId="14488"/>
    <tableColumn id="1903" xr3:uid="{5465E28F-7263-4B6E-97A0-D17D0A9345F2}" name="2123" dataDxfId="14487"/>
    <tableColumn id="1904" xr3:uid="{EE367A58-D201-42AD-A1A9-F149E63A20FA}" name="2124" dataDxfId="14486"/>
    <tableColumn id="1905" xr3:uid="{1952EE88-41A7-4F69-8206-AFAF7E1C1BEB}" name="2125" dataDxfId="14485"/>
    <tableColumn id="1906" xr3:uid="{79E53996-D637-4C9F-849D-CABF42D4B1DB}" name="2126" dataDxfId="14484"/>
    <tableColumn id="1907" xr3:uid="{562FBF2C-7018-4DA5-AB84-AC8260177638}" name="2127" dataDxfId="14483"/>
    <tableColumn id="1908" xr3:uid="{08E7182D-FD4C-401A-B690-CC20A82C1326}" name="2128" dataDxfId="14482"/>
    <tableColumn id="1909" xr3:uid="{8F9C7642-D3E9-4905-A347-D7736A8B747E}" name="2129" dataDxfId="14481"/>
    <tableColumn id="1910" xr3:uid="{81DE07B4-CFCD-4D59-A344-30C0ACA77243}" name="2130" dataDxfId="14480"/>
    <tableColumn id="1911" xr3:uid="{D846F750-7408-4CD1-91FA-742470D84EBC}" name="2131" dataDxfId="14479"/>
    <tableColumn id="1912" xr3:uid="{598B5992-4F63-4E46-BE85-5A2C06DF2934}" name="2132" dataDxfId="14478"/>
    <tableColumn id="1913" xr3:uid="{6D7BE3D2-949D-4185-A1C9-24705E114357}" name="2133" dataDxfId="14477"/>
    <tableColumn id="1914" xr3:uid="{E43D316E-E8C1-4F7B-A375-AACA1BA7E685}" name="2134" dataDxfId="14476"/>
    <tableColumn id="1915" xr3:uid="{005679A0-2540-4312-893F-71B7A7192AD2}" name="2135" dataDxfId="14475"/>
    <tableColumn id="1916" xr3:uid="{24740362-AF02-4DE1-BA98-8434C92E4C5C}" name="2136" dataDxfId="14474"/>
    <tableColumn id="1917" xr3:uid="{3846C499-B762-4696-B0BB-FB95A6969AE8}" name="2137" dataDxfId="14473"/>
    <tableColumn id="1918" xr3:uid="{9D90B7B6-CB9E-4084-BAC7-B3A01EE675F2}" name="2138" dataDxfId="14472"/>
    <tableColumn id="1919" xr3:uid="{BC432115-881F-4D95-9EC1-3C9BF5E7FD78}" name="2139" dataDxfId="14471"/>
    <tableColumn id="1920" xr3:uid="{6C38AC88-8CBB-46B7-8E76-556E7912E461}" name="2140" dataDxfId="14470"/>
    <tableColumn id="1921" xr3:uid="{AE05E4D3-677A-466F-A3B6-C039BEC78F90}" name="2141" dataDxfId="14469"/>
    <tableColumn id="1922" xr3:uid="{CFBFC423-7F81-480B-B9F2-4F207972DB74}" name="2142" dataDxfId="14468"/>
    <tableColumn id="1923" xr3:uid="{A922121B-0B92-476E-937B-0C83BAB17A39}" name="2143" dataDxfId="14467"/>
    <tableColumn id="1924" xr3:uid="{0D05E4AB-581A-4B41-A34D-024A65FCFD7C}" name="2144" dataDxfId="14466"/>
    <tableColumn id="1925" xr3:uid="{427BD797-CE7F-4C27-B663-E91149E3BA84}" name="2145" dataDxfId="14465"/>
    <tableColumn id="1926" xr3:uid="{E9400223-16BD-4162-8D8B-63C88440F137}" name="2146" dataDxfId="14464"/>
    <tableColumn id="1927" xr3:uid="{D9A163F4-3DAF-4121-AB2E-9A648B2C840B}" name="2147" dataDxfId="14463"/>
    <tableColumn id="1928" xr3:uid="{D6477DC4-EFD3-47FB-B36A-DC5239D5B35C}" name="2148" dataDxfId="14462"/>
    <tableColumn id="1929" xr3:uid="{804DDAD1-361F-4F81-8084-DFE1F76CDB8D}" name="2149" dataDxfId="14461"/>
    <tableColumn id="1930" xr3:uid="{AB1CE309-00BC-468F-875A-1B10641428D1}" name="2150" dataDxfId="14460"/>
    <tableColumn id="1931" xr3:uid="{B21BFCFE-BDCB-479E-849D-7027D1A9C074}" name="2151" dataDxfId="14459"/>
    <tableColumn id="1932" xr3:uid="{F321B2B3-1503-43D8-B072-AEAABBEB6EAF}" name="2152" dataDxfId="14458"/>
    <tableColumn id="1933" xr3:uid="{2DA7FC82-1666-4CC3-A3A5-1F17907DD17A}" name="2153" dataDxfId="14457"/>
    <tableColumn id="1934" xr3:uid="{971DCE16-C059-4525-8FD2-3367731B8E00}" name="2154" dataDxfId="14456"/>
    <tableColumn id="1935" xr3:uid="{C132D441-AA38-40D1-9982-608533E04855}" name="2155" dataDxfId="14455"/>
    <tableColumn id="1936" xr3:uid="{12A61AE0-0057-4972-AB38-410CCA6D073B}" name="2156" dataDxfId="14454"/>
    <tableColumn id="1937" xr3:uid="{7C9278D1-E8C4-4155-83E8-8078D9A8F37C}" name="2157" dataDxfId="14453"/>
    <tableColumn id="1938" xr3:uid="{987EA8D8-71C4-4D4F-AD50-B7863E4B7D91}" name="2158" dataDxfId="14452"/>
    <tableColumn id="1939" xr3:uid="{B81F4DB3-BED3-4720-BAA9-A2814786DDA9}" name="2159" dataDxfId="14451"/>
    <tableColumn id="1940" xr3:uid="{C5A373F2-B910-452E-8811-701DEB341218}" name="2160" dataDxfId="14450"/>
    <tableColumn id="1941" xr3:uid="{5959ECBD-0EC2-48E3-A956-E1406FA0B7D9}" name="2161" dataDxfId="14449"/>
    <tableColumn id="1942" xr3:uid="{C284FE2D-64C1-4520-952F-98A89972C035}" name="2162" dataDxfId="14448"/>
    <tableColumn id="1943" xr3:uid="{669F7E46-E4FF-42D6-80C4-5834D6559EC5}" name="2163" dataDxfId="14447"/>
    <tableColumn id="1944" xr3:uid="{DE9139DD-72FC-4853-B42B-F3A723681F50}" name="2164" dataDxfId="14446"/>
    <tableColumn id="1945" xr3:uid="{F964D662-24C1-45C8-A228-D2061FF7A8B2}" name="2165" dataDxfId="14445"/>
    <tableColumn id="1946" xr3:uid="{A9CE2841-03D5-45D1-A206-F05602D19562}" name="2166" dataDxfId="14444"/>
    <tableColumn id="1947" xr3:uid="{753D76D5-38A7-42CA-A724-35097D0C7B84}" name="2167" dataDxfId="14443"/>
    <tableColumn id="1948" xr3:uid="{97B1BC61-6518-4FB1-94D3-9198E6BBC105}" name="2168" dataDxfId="14442"/>
    <tableColumn id="1949" xr3:uid="{B18FEC95-CAA9-47CC-894C-500740DD992C}" name="2169" dataDxfId="14441"/>
    <tableColumn id="1950" xr3:uid="{84832CBB-4228-4315-92BF-4EC167B3B416}" name="2170" dataDxfId="14440"/>
    <tableColumn id="1951" xr3:uid="{8E51604E-B578-4481-9D83-4B17D857AB67}" name="2171" dataDxfId="14439"/>
    <tableColumn id="1952" xr3:uid="{23A1CECA-9DB1-4155-A530-158F0A378465}" name="2172" dataDxfId="14438"/>
    <tableColumn id="1953" xr3:uid="{086D5913-EF41-4DE5-B243-7A9264F1F404}" name="2173" dataDxfId="14437"/>
    <tableColumn id="1954" xr3:uid="{4212FEE9-ECC2-4826-99AD-3205D455D702}" name="2174" dataDxfId="14436"/>
    <tableColumn id="1955" xr3:uid="{126BFFF2-35C6-4EC6-9D30-3D9F2EBE4D4F}" name="2175" dataDxfId="14435"/>
    <tableColumn id="1956" xr3:uid="{897F07A1-8D34-41C7-ADA7-AC91FE598B2B}" name="2176" dataDxfId="14434"/>
    <tableColumn id="1957" xr3:uid="{637EFDCE-AF07-4AFC-8711-6FBF2BFD9980}" name="2177" dataDxfId="14433"/>
    <tableColumn id="1958" xr3:uid="{75AAEC44-FAB4-4BE9-8AB8-1670F098847F}" name="2178" dataDxfId="14432"/>
    <tableColumn id="1959" xr3:uid="{2FF466BA-E92F-4643-8687-2AE28CF9CE87}" name="2179" dataDxfId="14431"/>
    <tableColumn id="1960" xr3:uid="{11E5A3D7-A793-4CE9-9749-480EFEBDACB2}" name="2180" dataDxfId="14430"/>
    <tableColumn id="1961" xr3:uid="{9847E7AD-E0D0-4A5C-A0EA-84A50A32B58A}" name="2181" dataDxfId="14429"/>
    <tableColumn id="1962" xr3:uid="{6E60FC87-45BA-4767-8BCC-CF683B9AAC5B}" name="2182" dataDxfId="14428"/>
    <tableColumn id="1963" xr3:uid="{AB35DCDF-EE3D-4141-842A-625996489153}" name="2183" dataDxfId="14427"/>
    <tableColumn id="1964" xr3:uid="{5EEAEFEF-CDB6-473B-8F9A-8698951E1DFA}" name="2184" dataDxfId="14426"/>
    <tableColumn id="1965" xr3:uid="{5401ABB9-D79D-4568-8FAA-AF9B2896FF58}" name="2185" dataDxfId="14425"/>
    <tableColumn id="1966" xr3:uid="{55B935AD-E0C1-46E4-9A33-ACDB92A752B0}" name="2186" dataDxfId="14424"/>
    <tableColumn id="1967" xr3:uid="{D99463A1-D65A-4F88-8E7B-2A48EAC7AEED}" name="2187" dataDxfId="14423"/>
    <tableColumn id="1968" xr3:uid="{6388BB9C-2955-4E7F-BC18-82B4B468A9E9}" name="2188" dataDxfId="14422"/>
    <tableColumn id="1969" xr3:uid="{C4716763-9EA1-48B3-9735-48A1C1659E6E}" name="2189" dataDxfId="14421"/>
    <tableColumn id="1970" xr3:uid="{277FFC57-BD3C-48E5-88C7-78FF0F2721F7}" name="2190" dataDxfId="14420"/>
    <tableColumn id="1971" xr3:uid="{2EDA2BEA-0D56-4949-A4CB-3170B842D5BC}" name="2191" dataDxfId="14419"/>
    <tableColumn id="1972" xr3:uid="{0BA09DCA-7848-4E45-B56C-DD37983EFD89}" name="2192" dataDxfId="14418"/>
    <tableColumn id="1973" xr3:uid="{FBA70C41-51CE-4AF4-94BB-CEC1478CFC07}" name="2193" dataDxfId="14417"/>
    <tableColumn id="1974" xr3:uid="{5ABECAAA-4506-4ADB-8C37-D4A454CB996A}" name="2194" dataDxfId="14416"/>
    <tableColumn id="1975" xr3:uid="{C05B7BEB-F786-461A-86D6-EBE2E0CE0CFB}" name="2195" dataDxfId="14415"/>
    <tableColumn id="1976" xr3:uid="{7F9F67C5-3D86-441E-807C-6E48C3236B8E}" name="2196" dataDxfId="14414"/>
    <tableColumn id="1977" xr3:uid="{A7831AF3-90D4-4A82-8F07-294B74F775CA}" name="2197" dataDxfId="14413"/>
    <tableColumn id="1978" xr3:uid="{C65CC5DD-6BC3-4EA7-94E6-C98FE3A1B776}" name="2198" dataDxfId="14412"/>
    <tableColumn id="1979" xr3:uid="{8B2EE658-FC22-43BF-8FEE-B25C85FA20FC}" name="2199" dataDxfId="14411"/>
    <tableColumn id="1980" xr3:uid="{CB4323CD-8BE0-48CB-A8EF-1F1D31A1333B}" name="2200" dataDxfId="14410"/>
    <tableColumn id="1981" xr3:uid="{EEBE32F3-AF26-459C-BC82-FE79941BB8AB}" name="2201" dataDxfId="14409"/>
    <tableColumn id="1982" xr3:uid="{3DBE9151-EF3C-4E22-B5BA-FA65358CBAF4}" name="2202" dataDxfId="14408"/>
    <tableColumn id="1983" xr3:uid="{1D1B8151-642A-47B7-A326-B69D81E03426}" name="2203" dataDxfId="14407"/>
    <tableColumn id="1984" xr3:uid="{AA29B11D-B524-4855-A54C-726A09FAE587}" name="2204" dataDxfId="14406"/>
    <tableColumn id="1985" xr3:uid="{7FD906BD-27E7-449C-99C9-6E62231666B8}" name="2205" dataDxfId="14405"/>
    <tableColumn id="1986" xr3:uid="{15840E5F-3844-4B25-A48F-9B3C36C0E2FF}" name="2206" dataDxfId="14404"/>
    <tableColumn id="1987" xr3:uid="{3130F767-C28A-453E-AC3C-32619CCD4C2C}" name="2207" dataDxfId="14403"/>
    <tableColumn id="1988" xr3:uid="{29442777-0D67-4B5E-82CE-00A565E49F02}" name="2208" dataDxfId="14402"/>
    <tableColumn id="1989" xr3:uid="{B8DD5841-1B74-4A22-ABDB-73D94F2A2EE0}" name="2209" dataDxfId="14401"/>
    <tableColumn id="1990" xr3:uid="{679CB786-5873-41A3-B1A1-AEB6D82213B2}" name="2210" dataDxfId="14400"/>
    <tableColumn id="1991" xr3:uid="{85C68B3F-8DA0-4F78-A6D9-C7F9FBC305D3}" name="2211" dataDxfId="14399"/>
    <tableColumn id="1992" xr3:uid="{039E86E8-72EB-4D86-882D-4BD0419EFD51}" name="2212" dataDxfId="14398"/>
    <tableColumn id="1993" xr3:uid="{AD58A23A-C917-4532-B574-4BE5A840482D}" name="2213" dataDxfId="14397"/>
    <tableColumn id="1994" xr3:uid="{821FE8B0-48DC-40A1-82FB-FB2FE7030E11}" name="2214" dataDxfId="14396"/>
    <tableColumn id="1995" xr3:uid="{63604EF6-69BB-4767-97D3-D01CD4CF5914}" name="2215" dataDxfId="14395"/>
    <tableColumn id="1996" xr3:uid="{7AEDF13B-BC28-4160-9E0F-113608A0EDE4}" name="2216" dataDxfId="14394"/>
    <tableColumn id="1997" xr3:uid="{583B1D4C-4DF3-45C7-B039-BF4AD8733FBF}" name="2217" dataDxfId="14393"/>
    <tableColumn id="1998" xr3:uid="{C19B47FC-C0F6-4C75-8D46-E5CD2DA87598}" name="2218" dataDxfId="14392"/>
    <tableColumn id="1999" xr3:uid="{62F4954A-EBE7-41F1-8B7A-BAF038D5564F}" name="2219" dataDxfId="14391"/>
    <tableColumn id="2000" xr3:uid="{9B88383C-D848-4901-9908-52162AF3E03C}" name="2220" dataDxfId="14390"/>
    <tableColumn id="2001" xr3:uid="{9885BBD2-D823-44F4-B18D-D7BB97CD0414}" name="2221" dataDxfId="14389"/>
    <tableColumn id="2002" xr3:uid="{AF197721-22C4-440C-9A38-C3D68D48F926}" name="2222" dataDxfId="14388"/>
    <tableColumn id="2003" xr3:uid="{734EEAF8-F560-4D57-A71B-40A2328EF0C5}" name="2223" dataDxfId="14387"/>
    <tableColumn id="2004" xr3:uid="{0D8979F3-FC7E-486F-BE7A-C14911D1DC43}" name="2224" dataDxfId="14386"/>
    <tableColumn id="2005" xr3:uid="{056FDE50-EA47-4EDF-8E55-5CB8005CA48F}" name="2225" dataDxfId="14385"/>
    <tableColumn id="2006" xr3:uid="{718C2F5D-2147-4DDC-887B-64597412EDA7}" name="2226" dataDxfId="14384"/>
    <tableColumn id="2007" xr3:uid="{EBA0FE43-E3C7-43C2-9FBC-8139E4C84B73}" name="2227" dataDxfId="14383"/>
    <tableColumn id="2008" xr3:uid="{229BD734-7ABC-4460-8FAF-D13D9172D239}" name="2228" dataDxfId="14382"/>
    <tableColumn id="2009" xr3:uid="{E68E3668-5FB6-4399-BB68-4A8119CC965B}" name="2229" dataDxfId="14381"/>
    <tableColumn id="2010" xr3:uid="{C2543A22-1EF7-4DA6-8D2F-3148524EF31F}" name="2230" dataDxfId="14380"/>
    <tableColumn id="2011" xr3:uid="{2598DCE7-46C3-4B28-9927-1AA76CA1DFD8}" name="2231" dataDxfId="14379"/>
    <tableColumn id="2012" xr3:uid="{EFAF43CF-70DB-465F-9303-1616D35B9072}" name="2232" dataDxfId="14378"/>
    <tableColumn id="2013" xr3:uid="{6CBDE246-35B1-4360-8506-8D7D8560D970}" name="2233" dataDxfId="14377"/>
    <tableColumn id="2014" xr3:uid="{B28286BC-020F-45B8-A93F-CA115E39F7A7}" name="2234" dataDxfId="14376"/>
    <tableColumn id="2015" xr3:uid="{BB754057-E62A-471E-A477-63FF3098F122}" name="2235" dataDxfId="14375"/>
    <tableColumn id="2016" xr3:uid="{D55E96B8-754D-4EC6-9B9F-B557D1A784BA}" name="2236" dataDxfId="14374"/>
    <tableColumn id="2017" xr3:uid="{905AC0AA-88F2-4486-92A3-B1BA92F527F7}" name="2237" dataDxfId="14373"/>
    <tableColumn id="2018" xr3:uid="{00B2F385-B9D9-492C-970F-20AFEB0CD95D}" name="2238" dataDxfId="14372"/>
    <tableColumn id="2019" xr3:uid="{FD2A0B65-52FA-4EC6-9237-29EB2E419DBB}" name="2239" dataDxfId="14371"/>
    <tableColumn id="2020" xr3:uid="{712626D3-10F0-4B40-84D2-1A411E026346}" name="2240" dataDxfId="14370"/>
    <tableColumn id="2021" xr3:uid="{07044A98-4479-47E6-8852-49052D85D3F9}" name="2241" dataDxfId="14369"/>
    <tableColumn id="2022" xr3:uid="{BA347EA7-969D-4517-8725-064FC62C33DA}" name="2242" dataDxfId="14368"/>
    <tableColumn id="2023" xr3:uid="{5FBC086C-8BC9-40D0-AAE1-9DC44AAB8173}" name="2243" dataDxfId="14367"/>
    <tableColumn id="2024" xr3:uid="{1D04825F-AC68-4B46-AA4E-D7149B7AEED6}" name="2244" dataDxfId="14366"/>
    <tableColumn id="2025" xr3:uid="{1BA0F220-4E90-4565-9F07-2A1ED54D1943}" name="2245" dataDxfId="14365"/>
    <tableColumn id="2026" xr3:uid="{5B2C544F-D063-4F09-A7E5-D401BDC688AB}" name="2246" dataDxfId="14364"/>
    <tableColumn id="2027" xr3:uid="{8165EE0C-73B3-4D3F-B260-31A269D7E55B}" name="2247" dataDxfId="14363"/>
    <tableColumn id="2028" xr3:uid="{A01B8D44-42AB-452E-8580-B3143AAEB416}" name="2248" dataDxfId="14362"/>
    <tableColumn id="2029" xr3:uid="{60A51F69-7A63-4756-954E-A4E68CF05313}" name="2249" dataDxfId="14361"/>
    <tableColumn id="2030" xr3:uid="{5EEB32FD-5AC0-4DD0-8136-80CDA36B96BB}" name="2250" dataDxfId="14360"/>
    <tableColumn id="2031" xr3:uid="{D60A21C2-5175-4A9D-B21A-94F1CDCABE08}" name="2251" dataDxfId="14359"/>
    <tableColumn id="2032" xr3:uid="{3BDACA03-DAAB-4EBB-A540-66287A50C020}" name="2252" dataDxfId="14358"/>
    <tableColumn id="2033" xr3:uid="{07006746-97D4-45E4-B96D-3A98D5A1D803}" name="2253" dataDxfId="14357"/>
    <tableColumn id="2034" xr3:uid="{9C5C0673-A8B3-4FC5-B6A7-E7B774EA33C5}" name="2254" dataDxfId="14356"/>
    <tableColumn id="2035" xr3:uid="{A7EDEBC9-2E9D-44BB-8400-49F67141C28C}" name="2255" dataDxfId="14355"/>
    <tableColumn id="2036" xr3:uid="{8C1BDE2F-D9DE-44B2-9F96-CE902B91F12D}" name="2256" dataDxfId="14354"/>
    <tableColumn id="2037" xr3:uid="{0D04D451-DCF3-45D6-9B2B-31F25946E693}" name="2257" dataDxfId="14353"/>
    <tableColumn id="2038" xr3:uid="{E81FC6C8-537C-47C4-930A-E94E60B84245}" name="2258" dataDxfId="14352"/>
    <tableColumn id="2039" xr3:uid="{3814B4B1-4E56-47F8-B235-8E449240C715}" name="2259" dataDxfId="14351"/>
    <tableColumn id="2040" xr3:uid="{EDCE49E0-48E3-47DB-8DFB-DA180C21BCA3}" name="2260" dataDxfId="14350"/>
    <tableColumn id="2041" xr3:uid="{CD98916E-AF75-46EE-99D3-6957D494A427}" name="2261" dataDxfId="14349"/>
    <tableColumn id="2042" xr3:uid="{4440BF78-FCD2-4EE2-8150-9133E08F185F}" name="2262" dataDxfId="14348"/>
    <tableColumn id="2043" xr3:uid="{DB3D9903-CEB3-4BE2-8AEE-D7DEC1010EBD}" name="2263" dataDxfId="14347"/>
    <tableColumn id="2044" xr3:uid="{7C355F20-FE60-4340-9BE6-8633CCD63428}" name="2264" dataDxfId="14346"/>
    <tableColumn id="2045" xr3:uid="{C31E126C-C1D2-40EE-9658-2718D34BBF5B}" name="2265" dataDxfId="14345"/>
    <tableColumn id="2046" xr3:uid="{1E4B5E8A-C7B5-4BF1-A710-0945B78AA8D4}" name="2266" dataDxfId="14344"/>
    <tableColumn id="2047" xr3:uid="{C2F6E5C1-9E56-43C0-B5AC-1D400618EBB0}" name="2267" dataDxfId="14343"/>
    <tableColumn id="2048" xr3:uid="{5133F4B7-5EEE-42E5-9B4B-3938F3AB878C}" name="2268" dataDxfId="14342"/>
    <tableColumn id="2049" xr3:uid="{C32FD614-FD90-4FDB-9365-73F1958DD8BF}" name="2269" dataDxfId="14341"/>
    <tableColumn id="2050" xr3:uid="{F4F15C23-0CBE-439A-96FF-0959F4426C31}" name="2270" dataDxfId="14340"/>
    <tableColumn id="2051" xr3:uid="{510F79BD-02F0-46E7-A204-A8091D387262}" name="2271" dataDxfId="14339"/>
    <tableColumn id="2052" xr3:uid="{38F0CFE9-E65D-4BFB-B058-7F9BD2E46477}" name="2272" dataDxfId="14338"/>
    <tableColumn id="2053" xr3:uid="{97F1D556-99B9-4F76-AA3A-35C0DDC458F3}" name="2273" dataDxfId="14337"/>
    <tableColumn id="2054" xr3:uid="{8B0F2111-12A6-457E-B1CC-7D3DCF606016}" name="2274" dataDxfId="14336"/>
    <tableColumn id="2055" xr3:uid="{A5B414F0-118E-421D-9C88-C5F3B796F3A3}" name="2275" dataDxfId="14335"/>
    <tableColumn id="2056" xr3:uid="{6E30ECB6-277F-40A8-8B1C-51F515927F43}" name="2276" dataDxfId="14334"/>
    <tableColumn id="2057" xr3:uid="{0BB7ABC5-7DE5-403C-9A67-A758609ABE84}" name="2277" dataDxfId="14333"/>
    <tableColumn id="2058" xr3:uid="{E50C028D-5C0F-4780-8DBC-231215BE6493}" name="2278" dataDxfId="14332"/>
    <tableColumn id="2059" xr3:uid="{4297D5CC-D5B0-4FE5-B83A-FB9E8E69E94D}" name="2279" dataDxfId="14331"/>
    <tableColumn id="2060" xr3:uid="{E2803AEA-EA68-4344-B578-554697D09F9C}" name="2280" dataDxfId="14330"/>
    <tableColumn id="2061" xr3:uid="{655EC926-8E5F-4DEC-9341-79B0E1402CAD}" name="2281" dataDxfId="14329"/>
    <tableColumn id="2062" xr3:uid="{0DCAD0BF-8A6C-47C7-8DF4-A4EB409CE3B2}" name="2282" dataDxfId="14328"/>
    <tableColumn id="2063" xr3:uid="{A94B0673-74CE-4B55-8D28-133781D7636E}" name="2283" dataDxfId="14327"/>
    <tableColumn id="2064" xr3:uid="{FF09925B-CD94-4143-A3A4-5991D140D89C}" name="2284" dataDxfId="14326"/>
    <tableColumn id="2065" xr3:uid="{31D9A0AA-B6BF-4774-8D53-A547A40C0FA3}" name="2285" dataDxfId="14325"/>
    <tableColumn id="2066" xr3:uid="{96FA0ADF-C65E-4C85-A85C-1C1FF44F98A3}" name="2286" dataDxfId="14324"/>
    <tableColumn id="2067" xr3:uid="{D3E70BE7-27C5-4408-A8DC-E95E89F812C2}" name="2287" dataDxfId="14323"/>
    <tableColumn id="2068" xr3:uid="{816B0AA8-82FB-468F-8F37-40AE3A924A0C}" name="2288" dataDxfId="14322"/>
    <tableColumn id="2069" xr3:uid="{80CE26E8-32D2-4C72-8FA0-28C5D8F559BC}" name="2289" dataDxfId="14321"/>
    <tableColumn id="2070" xr3:uid="{BE905242-C675-4897-B511-3D9CAED73E7C}" name="2290" dataDxfId="14320"/>
    <tableColumn id="2071" xr3:uid="{FEE44171-F67E-4E0A-8BC6-41D3DABA2306}" name="2291" dataDxfId="14319"/>
    <tableColumn id="2072" xr3:uid="{CA09097F-59FE-4C72-9914-2524AA48F741}" name="2292" dataDxfId="14318"/>
    <tableColumn id="2073" xr3:uid="{0DEE626D-25F4-47B0-B6B2-523521490663}" name="2293" dataDxfId="14317"/>
    <tableColumn id="2074" xr3:uid="{751A6C01-C828-4A1F-95B8-E817612983A7}" name="2294" dataDxfId="14316"/>
    <tableColumn id="2075" xr3:uid="{C1090093-A71A-48D1-9D84-F4C4C21D7EB9}" name="2295" dataDxfId="14315"/>
    <tableColumn id="2076" xr3:uid="{DD3C07D1-2130-494C-A716-3DD8B4701396}" name="2296" dataDxfId="14314"/>
    <tableColumn id="2077" xr3:uid="{89569AA8-B8AF-4C8E-AB07-FDC0FFF957A6}" name="2297" dataDxfId="14313"/>
    <tableColumn id="2078" xr3:uid="{10760F8F-B6D8-45A6-B3D8-36B3681D4C9D}" name="2298" dataDxfId="14312"/>
    <tableColumn id="2079" xr3:uid="{902FA301-2CDF-4C9A-81B8-477FBBD54505}" name="2299" dataDxfId="14311"/>
    <tableColumn id="2080" xr3:uid="{DBAC9D97-8559-454B-9762-07FA3D25ABF4}" name="2300" dataDxfId="14310"/>
    <tableColumn id="2081" xr3:uid="{760694D5-37BB-4FE6-BA81-9B1BC441499E}" name="2301" dataDxfId="14309"/>
    <tableColumn id="2082" xr3:uid="{7F44963D-DA56-4916-A28C-F560DFB5815B}" name="2302" dataDxfId="14308"/>
    <tableColumn id="2083" xr3:uid="{5B4045A5-1132-43BC-BA07-46A4B57B31CC}" name="2303" dataDxfId="14307"/>
    <tableColumn id="2084" xr3:uid="{9A179047-3E49-48E1-9FF9-5CDF4927371F}" name="2304" dataDxfId="14306"/>
    <tableColumn id="2085" xr3:uid="{B9E39A73-34A4-4865-9F46-C28A4AA3FC78}" name="2305" dataDxfId="14305"/>
    <tableColumn id="2086" xr3:uid="{A06FE3E4-EAF9-4FB0-B21D-3A1B4F48E398}" name="2306" dataDxfId="14304"/>
    <tableColumn id="2087" xr3:uid="{28B0DFB9-10C3-406D-97EB-2182FB8A1928}" name="2307" dataDxfId="14303"/>
    <tableColumn id="2088" xr3:uid="{B5E643DF-B9AA-4A24-824D-7C445951DC5C}" name="2308" dataDxfId="14302"/>
    <tableColumn id="2089" xr3:uid="{417805D3-DF89-467D-9E30-A8FB41A0C511}" name="2309" dataDxfId="14301"/>
    <tableColumn id="2090" xr3:uid="{FA6A0CB5-DAB8-41DC-9C35-C0176E6BBCFB}" name="2310" dataDxfId="14300"/>
    <tableColumn id="2091" xr3:uid="{73EF4823-8216-41F3-836B-D9B66C224D33}" name="2311" dataDxfId="14299"/>
    <tableColumn id="2092" xr3:uid="{270FC082-11F5-4639-A33E-BC698BB534ED}" name="2312" dataDxfId="14298"/>
    <tableColumn id="2093" xr3:uid="{466131D4-96C8-43B3-8FAE-1ADF38B097A6}" name="2313" dataDxfId="14297"/>
    <tableColumn id="2094" xr3:uid="{6CEFFF32-F9C8-4575-8C29-98738E9F8909}" name="2314" dataDxfId="14296"/>
    <tableColumn id="2095" xr3:uid="{0C1191AF-33D5-4378-A8DC-A8F19F290EBF}" name="2315" dataDxfId="14295"/>
    <tableColumn id="2096" xr3:uid="{2BA83D9B-F600-4294-81FD-57D850867AC2}" name="2316" dataDxfId="14294"/>
    <tableColumn id="2097" xr3:uid="{AA4124AC-43F0-4E3D-99B9-63C606EA4BB8}" name="2317" dataDxfId="14293"/>
    <tableColumn id="2098" xr3:uid="{6F1AE237-8B5A-44E6-8C67-299CF7A060B3}" name="2318" dataDxfId="14292"/>
    <tableColumn id="2099" xr3:uid="{DB5425D5-E208-4462-943C-208A949343DF}" name="2319" dataDxfId="14291"/>
    <tableColumn id="2100" xr3:uid="{574A588D-E1A0-4A3F-9785-DDDFE1F86243}" name="2320" dataDxfId="14290"/>
    <tableColumn id="2101" xr3:uid="{AC04021B-46DF-47BB-A7D9-35B1B1C99CBA}" name="2321" dataDxfId="14289"/>
    <tableColumn id="2102" xr3:uid="{FB8368A4-60A4-4BEA-A494-EC2D6C88DC07}" name="2322" dataDxfId="14288"/>
    <tableColumn id="2103" xr3:uid="{B53AB756-6118-4920-95EE-5E44F386CD5F}" name="2323" dataDxfId="14287"/>
    <tableColumn id="2104" xr3:uid="{6F8D684B-8736-439F-9998-7F14D7685528}" name="2324" dataDxfId="14286"/>
    <tableColumn id="2105" xr3:uid="{B0E74620-8082-4E85-98A5-D2E29287D270}" name="2325" dataDxfId="14285"/>
    <tableColumn id="2106" xr3:uid="{E6F817E3-9147-4072-838B-A599A1F1A7D1}" name="2326" dataDxfId="14284"/>
    <tableColumn id="2107" xr3:uid="{6E719DFB-069D-4529-89F0-DEF8872D1DBC}" name="2327" dataDxfId="14283"/>
    <tableColumn id="2108" xr3:uid="{B8031C66-3E7F-47CC-8FD9-E31583AF2F07}" name="2328" dataDxfId="14282"/>
    <tableColumn id="2109" xr3:uid="{DBF6804E-C971-4C1E-805D-25F48F7754F7}" name="2329" dataDxfId="14281"/>
    <tableColumn id="2110" xr3:uid="{C33EF21F-FC64-4EF4-B84E-AAF93E744C7A}" name="2330" dataDxfId="14280"/>
    <tableColumn id="2111" xr3:uid="{F131697B-63E4-4601-B621-2015982B2D58}" name="2331" dataDxfId="14279"/>
    <tableColumn id="2112" xr3:uid="{857C4494-DE7A-4BC2-8C55-D90DA9CE8510}" name="2332" dataDxfId="14278"/>
    <tableColumn id="2113" xr3:uid="{55C369AB-AF04-4EB7-9BE0-1F24A25B0091}" name="2333" dataDxfId="14277"/>
    <tableColumn id="2114" xr3:uid="{9B9A1158-CE44-4743-8B69-9F779FD8ED56}" name="2334" dataDxfId="14276"/>
    <tableColumn id="2115" xr3:uid="{795C44ED-A687-440E-9CF7-DAA7EC071BC5}" name="2335" dataDxfId="14275"/>
    <tableColumn id="2116" xr3:uid="{0230270C-3277-4DC3-9697-8DAE55437496}" name="2336" dataDxfId="14274"/>
    <tableColumn id="2117" xr3:uid="{5B385110-3C09-4DC2-946A-AA3A13B27EA8}" name="2337" dataDxfId="14273"/>
    <tableColumn id="2118" xr3:uid="{046D4EEE-6526-4738-B963-3EC575790CCC}" name="2338" dataDxfId="14272"/>
    <tableColumn id="2119" xr3:uid="{56AAB14A-E228-44E2-A112-DE726C596805}" name="2339" dataDxfId="14271"/>
    <tableColumn id="2120" xr3:uid="{DBDEF083-B8AD-4A1C-B78F-27FADC895A02}" name="2340" dataDxfId="14270"/>
    <tableColumn id="2121" xr3:uid="{5677A0E6-D0C9-4FAB-85D4-3E4DBED29681}" name="2341" dataDxfId="14269"/>
    <tableColumn id="2122" xr3:uid="{86867504-7872-426E-9448-8B8802D1A2C2}" name="2342" dataDxfId="14268"/>
    <tableColumn id="2123" xr3:uid="{E9B73CD7-C26F-4F3A-AD8B-73BD012B2807}" name="2343" dataDxfId="14267"/>
    <tableColumn id="2124" xr3:uid="{1E264F63-5F43-4147-80A7-B29764472547}" name="2344" dataDxfId="14266"/>
    <tableColumn id="2125" xr3:uid="{74CD097C-586A-4EB0-AB49-5C904636EFD3}" name="2345" dataDxfId="14265"/>
    <tableColumn id="2126" xr3:uid="{82192E6D-B0BC-440D-A5B8-33B1D88D04E1}" name="2346" dataDxfId="14264"/>
    <tableColumn id="2127" xr3:uid="{BBBEAAAF-96DA-47D5-A33E-C0FECA4FFD44}" name="2347" dataDxfId="14263"/>
    <tableColumn id="2128" xr3:uid="{71055CA8-4129-400F-8F35-384A3855C8C2}" name="2348" dataDxfId="14262"/>
    <tableColumn id="2129" xr3:uid="{916671EC-9967-46CB-8152-930702F51B20}" name="2349" dataDxfId="14261"/>
    <tableColumn id="2130" xr3:uid="{B841AD4E-CFB0-4B4D-B67B-4157150FE4C4}" name="2350" dataDxfId="14260"/>
    <tableColumn id="2131" xr3:uid="{CE25570B-8BA3-4AC9-9A5C-E6B5C2EC0D4B}" name="2351" dataDxfId="14259"/>
    <tableColumn id="2132" xr3:uid="{E33F9034-21B1-4C2F-AF95-6D570EA43BAD}" name="2352" dataDxfId="14258"/>
    <tableColumn id="2133" xr3:uid="{5098EA62-9C78-4DAF-A22C-DDD2A251A3B1}" name="2353" dataDxfId="14257"/>
    <tableColumn id="2134" xr3:uid="{030BAFC4-85BC-4B42-9302-DA9BC26EF78D}" name="2354" dataDxfId="14256"/>
    <tableColumn id="2135" xr3:uid="{6B99AFA9-1CDA-4D61-8B98-0D9DFBD889EB}" name="2355" dataDxfId="14255"/>
    <tableColumn id="2136" xr3:uid="{A52529DB-C76B-4B89-A3FB-1180CF6FE099}" name="2356" dataDxfId="14254"/>
    <tableColumn id="2137" xr3:uid="{2CB2B134-AB05-4059-8AF1-22B94A74A1EF}" name="2357" dataDxfId="14253"/>
    <tableColumn id="2138" xr3:uid="{0E164C92-C4D8-4DCD-A5A4-CE7951E70333}" name="2358" dataDxfId="14252"/>
    <tableColumn id="2139" xr3:uid="{1CF59B92-0618-4A4D-9F8D-B81895A8EF4B}" name="2359" dataDxfId="14251"/>
    <tableColumn id="2140" xr3:uid="{66A521A5-5BA7-47B4-959E-8045C95D4B1F}" name="2360" dataDxfId="14250"/>
    <tableColumn id="2141" xr3:uid="{2DC87AA8-5802-4DE8-950A-D17D08F53D43}" name="2361" dataDxfId="14249"/>
    <tableColumn id="2142" xr3:uid="{398283D2-9487-483E-9AB8-79CA9764AFE0}" name="2362" dataDxfId="14248"/>
    <tableColumn id="2143" xr3:uid="{58B36781-41FD-406A-A324-93378485A808}" name="2363" dataDxfId="14247"/>
    <tableColumn id="2144" xr3:uid="{25386DEF-E0F3-4A1F-80F1-2DE31982669D}" name="2364" dataDxfId="14246"/>
    <tableColumn id="2145" xr3:uid="{ED9F2F8C-2F23-4167-914B-82AF3BD84845}" name="2365" dataDxfId="14245"/>
    <tableColumn id="2146" xr3:uid="{0ABA1B23-4C56-4450-A0FE-B5572CEF9B03}" name="2366" dataDxfId="14244"/>
    <tableColumn id="2147" xr3:uid="{2D86666E-ECEE-4F9C-AB92-920CE074B2A7}" name="2367" dataDxfId="14243"/>
    <tableColumn id="2148" xr3:uid="{CCB34FE6-B7E5-4DC9-A348-6F484CCAFEC0}" name="2368" dataDxfId="14242"/>
    <tableColumn id="2149" xr3:uid="{6BC0843D-EDAC-4D51-8B45-86209ECF9606}" name="2369" dataDxfId="14241"/>
    <tableColumn id="2150" xr3:uid="{1F37F70F-85CD-4A9A-B1D2-5B25785C1082}" name="2370" dataDxfId="14240"/>
    <tableColumn id="2151" xr3:uid="{6D26574D-CD7C-4D2A-AF70-8DEAF4B02368}" name="2371" dataDxfId="14239"/>
    <tableColumn id="2152" xr3:uid="{89A0B623-F52C-4274-A250-5CA8466A0F90}" name="2372" dataDxfId="14238"/>
    <tableColumn id="2153" xr3:uid="{EE9FE3F1-06F6-438D-B202-BAD1954F9EFD}" name="2373" dataDxfId="14237"/>
    <tableColumn id="2154" xr3:uid="{4034776C-3865-4ED3-8FDF-838D85C1AC68}" name="2374" dataDxfId="14236"/>
    <tableColumn id="2155" xr3:uid="{00D3498A-1BA4-457E-A96F-F6006B87F9F5}" name="2375" dataDxfId="14235"/>
    <tableColumn id="2156" xr3:uid="{EB3A1D16-D66F-4F9F-A5D2-DCE967D05134}" name="2376" dataDxfId="14234"/>
    <tableColumn id="2157" xr3:uid="{63758D9A-0917-4D51-8A67-A9DAAE83539E}" name="2377" dataDxfId="14233"/>
    <tableColumn id="2158" xr3:uid="{A91AED2A-4FE0-41F3-8E79-4D5512ACBE0B}" name="2378" dataDxfId="14232"/>
    <tableColumn id="2159" xr3:uid="{B17CB148-17C4-4DD3-B440-D27A5B116547}" name="2379" dataDxfId="14231"/>
    <tableColumn id="2160" xr3:uid="{73C8AA47-D048-49C1-853D-D60CC44CBC6F}" name="2380" dataDxfId="14230"/>
    <tableColumn id="2161" xr3:uid="{4BB84BF8-DB00-4760-A990-77DE42909F2C}" name="2381" dataDxfId="14229"/>
    <tableColumn id="2162" xr3:uid="{44BD257C-0179-4F74-9CAA-FBB6E74FF187}" name="2382" dataDxfId="14228"/>
    <tableColumn id="2163" xr3:uid="{A9EF425C-69C2-4D36-85D2-C6CBC106B8BB}" name="2383" dataDxfId="14227"/>
    <tableColumn id="2164" xr3:uid="{182A9F69-48C3-428F-A6E7-C1B847FFB056}" name="2384" dataDxfId="14226"/>
    <tableColumn id="2165" xr3:uid="{DFD0649F-CBAD-45BE-BA0E-5C3D01284081}" name="2385" dataDxfId="14225"/>
    <tableColumn id="2166" xr3:uid="{38E37D98-6328-40DC-9B8D-B8DE96FB81E5}" name="2386" dataDxfId="14224"/>
    <tableColumn id="2167" xr3:uid="{F7757339-45D4-43B3-A25F-79FB98AF9341}" name="2387" dataDxfId="14223"/>
    <tableColumn id="2168" xr3:uid="{913A3F08-A767-46C3-BE65-4732877F42E9}" name="2388" dataDxfId="14222"/>
    <tableColumn id="2169" xr3:uid="{FDEAA9BF-8BA1-49A8-A6DA-3647FBC08005}" name="2389" dataDxfId="14221"/>
    <tableColumn id="2170" xr3:uid="{396F954C-B1D6-433A-BB7C-EA2E0A745B15}" name="2390" dataDxfId="14220"/>
    <tableColumn id="2171" xr3:uid="{990AF36D-C4EE-4813-91DA-B5DA1A3E57D4}" name="2391" dataDxfId="14219"/>
    <tableColumn id="2172" xr3:uid="{09188694-0858-4CE8-834C-080D2C0A06B4}" name="2392" dataDxfId="14218"/>
    <tableColumn id="2173" xr3:uid="{F9A66A85-1794-4630-BA70-47F0EC45BC2B}" name="2393" dataDxfId="14217"/>
    <tableColumn id="2174" xr3:uid="{80DD8065-194D-4561-B3A3-AC6169895020}" name="2394" dataDxfId="14216"/>
    <tableColumn id="2175" xr3:uid="{B7895A40-6110-46F9-8ED9-02DD0B0A3FF3}" name="2395" dataDxfId="14215"/>
    <tableColumn id="2176" xr3:uid="{9E12F3AA-E261-46C1-A204-17301A41EA35}" name="2396" dataDxfId="14214"/>
    <tableColumn id="2177" xr3:uid="{C2C063A4-D022-4DF3-BEE7-F32BF20895DE}" name="2397" dataDxfId="14213"/>
    <tableColumn id="2178" xr3:uid="{EE9718C1-DBE1-42C9-B298-92247E79AE79}" name="2398" dataDxfId="14212"/>
    <tableColumn id="2179" xr3:uid="{CB46FAB5-DEED-4CE9-AA37-FFD7662CCC87}" name="2399" dataDxfId="14211"/>
    <tableColumn id="2180" xr3:uid="{DE462778-B35A-479E-B2BB-FB2BF70A0518}" name="2400" dataDxfId="14210"/>
    <tableColumn id="2181" xr3:uid="{D3D13141-9BD9-4EB9-B8C6-AAC92877A946}" name="2401" dataDxfId="14209"/>
    <tableColumn id="2182" xr3:uid="{AA7D5AF2-D262-4A1B-B86D-B7441ED29F4A}" name="2402" dataDxfId="14208"/>
    <tableColumn id="2183" xr3:uid="{4BC9DFCD-80AC-4431-BCA8-2E756A660D44}" name="2403" dataDxfId="14207"/>
    <tableColumn id="2184" xr3:uid="{80B00AF7-BA66-4C91-832E-269206D67247}" name="2404" dataDxfId="14206"/>
    <tableColumn id="2185" xr3:uid="{FB23395D-D3F2-4330-941B-A6389BD026B1}" name="2405" dataDxfId="14205"/>
    <tableColumn id="2186" xr3:uid="{037621F5-7CD4-475C-94DD-4D0A55CFF0A9}" name="2406" dataDxfId="14204"/>
    <tableColumn id="2187" xr3:uid="{51CE8C29-E8F2-4579-B105-B91D07867B97}" name="2407" dataDxfId="14203"/>
    <tableColumn id="2188" xr3:uid="{CB362198-D986-47FE-834C-F705397D6508}" name="2408" dataDxfId="14202"/>
    <tableColumn id="2189" xr3:uid="{3E5C0DF8-1AF0-4E6C-8C0E-8B7B8ED471F1}" name="2409" dataDxfId="14201"/>
    <tableColumn id="2190" xr3:uid="{FFFD7E5E-FF53-4B28-9287-CA5446998C15}" name="2410" dataDxfId="14200"/>
    <tableColumn id="2191" xr3:uid="{9DEC2D8B-3B36-4DEE-B2E4-76676EC5AA14}" name="2411" dataDxfId="14199"/>
    <tableColumn id="2192" xr3:uid="{4B4844B9-0B20-4E64-8169-64ED3DB4050B}" name="2412" dataDxfId="14198"/>
    <tableColumn id="2193" xr3:uid="{B8E93B72-3B4E-45FE-BC20-5D17A2ED7A7B}" name="2413" dataDxfId="14197"/>
    <tableColumn id="2194" xr3:uid="{050BCB11-D747-4D0E-8E59-452A650380AE}" name="2414" dataDxfId="14196"/>
    <tableColumn id="2195" xr3:uid="{C982BEB7-4112-40EF-8FD7-1FD98D0B7CDE}" name="2415" dataDxfId="14195"/>
    <tableColumn id="2196" xr3:uid="{6CEAD802-E738-4F69-AE63-E22E35AEC88C}" name="2416" dataDxfId="14194"/>
    <tableColumn id="2197" xr3:uid="{1D545FC8-3435-4FB2-A362-77FD235D0425}" name="2417" dataDxfId="14193"/>
    <tableColumn id="2198" xr3:uid="{6698DC93-284D-42C3-BD29-0A62F648D173}" name="2418" dataDxfId="14192"/>
    <tableColumn id="2199" xr3:uid="{C455D2C2-CE97-4FCC-BB88-FDA13D9F764F}" name="2419" dataDxfId="14191"/>
    <tableColumn id="2200" xr3:uid="{E275CD7D-C882-40B1-9AC0-A7A92C53266D}" name="2420" dataDxfId="14190"/>
    <tableColumn id="2201" xr3:uid="{E60645D4-A53D-4946-84C7-B7609B73943F}" name="2421" dataDxfId="14189"/>
    <tableColumn id="2202" xr3:uid="{A67EBF10-B7F5-40E6-B9B4-5C68EEB33544}" name="2422" dataDxfId="14188"/>
    <tableColumn id="2203" xr3:uid="{C533A2F1-3692-46C3-91CF-13F38AC5D3F9}" name="2423" dataDxfId="14187"/>
    <tableColumn id="2204" xr3:uid="{E95DC21C-9E76-4C50-938F-F75D735C0B0A}" name="2424" dataDxfId="14186"/>
    <tableColumn id="2205" xr3:uid="{F820614C-12FA-4D58-B63B-903E6AA5EEDE}" name="2425" dataDxfId="14185"/>
    <tableColumn id="2206" xr3:uid="{5EE187B2-EC42-44D2-8093-ECECAC408F6E}" name="2426" dataDxfId="14184"/>
    <tableColumn id="2207" xr3:uid="{F4D08739-C602-46A3-B895-95D2BA73CD10}" name="2427" dataDxfId="14183"/>
    <tableColumn id="2208" xr3:uid="{7A348D4B-32A3-4612-AD08-67F3F57BB3AA}" name="2428" dataDxfId="14182"/>
    <tableColumn id="2209" xr3:uid="{25D02BED-C374-43E0-AA91-CFD10088E04D}" name="2429" dataDxfId="14181"/>
    <tableColumn id="2210" xr3:uid="{F58CC8A7-3EC1-42D5-9140-0141A04D5564}" name="2430" dataDxfId="14180"/>
    <tableColumn id="2211" xr3:uid="{E63431B9-2863-4532-BBFA-31D5B8F46E7E}" name="2431" dataDxfId="14179"/>
    <tableColumn id="2212" xr3:uid="{27CA0A06-B031-4031-A072-3817A9D1ACC6}" name="2432" dataDxfId="14178"/>
    <tableColumn id="2213" xr3:uid="{CE0BFC11-4E9F-4504-ABEA-61BF34D3F5B7}" name="2433" dataDxfId="14177"/>
    <tableColumn id="2214" xr3:uid="{6A686257-516D-471D-8E88-2A5D6FAE7A6E}" name="2434" dataDxfId="14176"/>
    <tableColumn id="2215" xr3:uid="{65D7457C-B8A9-4491-B2B3-656743F81E90}" name="2435" dataDxfId="14175"/>
    <tableColumn id="2216" xr3:uid="{E207E496-12F1-46AF-839B-7749A68BAE9C}" name="2436" dataDxfId="14174"/>
    <tableColumn id="2217" xr3:uid="{4E16CC52-D533-4E81-A980-CC76D6661E0F}" name="2437" dataDxfId="14173"/>
    <tableColumn id="2218" xr3:uid="{85F6D90B-84F3-47EE-8871-5958F4872C49}" name="2438" dataDxfId="14172"/>
    <tableColumn id="2219" xr3:uid="{16CD20B2-9224-4368-BD04-B4AA6153459A}" name="2439" dataDxfId="14171"/>
    <tableColumn id="2220" xr3:uid="{AA73328C-73AD-46AD-8E9B-8C88AD2B522D}" name="2440" dataDxfId="14170"/>
    <tableColumn id="2221" xr3:uid="{A77EE8BD-CA3B-4066-9989-8D66978DC717}" name="2441" dataDxfId="14169"/>
    <tableColumn id="2222" xr3:uid="{16833316-C8B9-4A2F-8F2A-1509BB95BC6F}" name="2442" dataDxfId="14168"/>
    <tableColumn id="2223" xr3:uid="{4928BCAD-1B2B-4EB1-89A8-BCDFCBE9C244}" name="2443" dataDxfId="14167"/>
    <tableColumn id="2224" xr3:uid="{CA5EEB3A-F4F5-48AE-968D-620B266D9225}" name="2444" dataDxfId="14166"/>
    <tableColumn id="2225" xr3:uid="{CD256F6F-83BE-4BFB-BF96-C483D145ACA1}" name="2445" dataDxfId="14165"/>
    <tableColumn id="2226" xr3:uid="{1164C0BA-5119-4445-853E-1E0832684BF1}" name="2446" dataDxfId="14164"/>
    <tableColumn id="2227" xr3:uid="{4DDBF704-3296-495B-881A-EB82A149E6D0}" name="2447" dataDxfId="14163"/>
    <tableColumn id="2228" xr3:uid="{172B5A6D-A172-4068-A6FF-5AD9EE16424F}" name="2448" dataDxfId="14162"/>
    <tableColumn id="2229" xr3:uid="{391059FA-67E4-4EB7-895A-0D113EE3E037}" name="2449" dataDxfId="14161"/>
    <tableColumn id="2230" xr3:uid="{470C4820-53E6-46E0-9284-742EFA9E0CDD}" name="2450" dataDxfId="14160"/>
    <tableColumn id="2231" xr3:uid="{28CB5398-ED5C-4C49-88C0-C341F2CBEE2F}" name="2451" dataDxfId="14159"/>
    <tableColumn id="2232" xr3:uid="{32FECF05-65DC-4DBC-B9DE-36D8C3BB7E0C}" name="2452" dataDxfId="14158"/>
    <tableColumn id="2233" xr3:uid="{6DC6AC4C-5876-4965-914B-B50E402DCF0F}" name="2453" dataDxfId="14157"/>
    <tableColumn id="2234" xr3:uid="{9AFC526F-0698-4EFF-9740-DF2ADB724CDD}" name="2454" dataDxfId="14156"/>
    <tableColumn id="2235" xr3:uid="{0AC5D6AD-1406-4E6B-8FAD-71416198E742}" name="2455" dataDxfId="14155"/>
    <tableColumn id="2236" xr3:uid="{6C21EE43-4D0C-48E0-9398-F7A843849307}" name="2456" dataDxfId="14154"/>
    <tableColumn id="2237" xr3:uid="{6C66A374-6876-4FC6-916A-3DDC1ADED633}" name="2457" dataDxfId="14153"/>
    <tableColumn id="2238" xr3:uid="{24A74AFD-DFD8-40A1-A696-5A3A1972FEEE}" name="2458" dataDxfId="14152"/>
    <tableColumn id="2239" xr3:uid="{C764B644-1284-4944-BF25-8338B3995109}" name="2459" dataDxfId="14151"/>
    <tableColumn id="2240" xr3:uid="{42846C2A-8B0E-410F-92CC-88F57B735EAC}" name="2460" dataDxfId="14150"/>
    <tableColumn id="2241" xr3:uid="{6AD502E4-61C7-412E-8F05-93063037ADDE}" name="2461" dataDxfId="14149"/>
    <tableColumn id="2242" xr3:uid="{1E8F39BA-11D5-4167-946C-58388EF42BA4}" name="2462" dataDxfId="14148"/>
    <tableColumn id="2243" xr3:uid="{0ABCC586-AED8-403F-8F3A-150814843381}" name="2463" dataDxfId="14147"/>
    <tableColumn id="2244" xr3:uid="{85B9FC0E-4B35-4077-9EF5-4B9093DA2FD5}" name="2464" dataDxfId="14146"/>
    <tableColumn id="2245" xr3:uid="{D3531D35-D719-425C-AAF9-55ADB34F6223}" name="2465" dataDxfId="14145"/>
    <tableColumn id="2246" xr3:uid="{82BFF26C-F4C4-4930-90C8-574F154AA1A3}" name="2466" dataDxfId="14144"/>
    <tableColumn id="2247" xr3:uid="{6B2E7556-DA9F-4855-B0E6-56A82671541D}" name="2467" dataDxfId="14143"/>
    <tableColumn id="2248" xr3:uid="{E3FA89B6-FD73-4874-921F-6EEE3CCA237F}" name="2468" dataDxfId="14142"/>
    <tableColumn id="2249" xr3:uid="{45E1AF62-9EAE-4BE5-84DF-FCF6D2BAC806}" name="2469" dataDxfId="14141"/>
    <tableColumn id="2250" xr3:uid="{84019358-7FC9-42D5-B75A-603F5FFF6E3A}" name="2470" dataDxfId="14140"/>
    <tableColumn id="2251" xr3:uid="{58D33A38-7342-42C9-B36D-AC3D19A346BF}" name="2471" dataDxfId="14139"/>
    <tableColumn id="2252" xr3:uid="{BADD70D5-EA99-496C-AE96-D4CE7916AC16}" name="2472" dataDxfId="14138"/>
    <tableColumn id="2253" xr3:uid="{0E20912A-52DE-4BBA-97F4-3105E4D32F02}" name="2473" dataDxfId="14137"/>
    <tableColumn id="2254" xr3:uid="{1167E418-D3F8-48BA-B45F-40A17EC95285}" name="2474" dataDxfId="14136"/>
    <tableColumn id="2255" xr3:uid="{2A4E3346-D51C-4C7A-AC01-AFB60D10C356}" name="2475" dataDxfId="14135"/>
    <tableColumn id="2256" xr3:uid="{2EE80C99-FEBF-47AE-9826-D5B8788ACA9D}" name="2476" dataDxfId="14134"/>
    <tableColumn id="2257" xr3:uid="{21C58B5E-8CBB-438C-9106-9B95EDE39284}" name="2477" dataDxfId="14133"/>
    <tableColumn id="2258" xr3:uid="{0B884B54-E628-4E6C-AD90-21736F3F5C43}" name="2478" dataDxfId="14132"/>
    <tableColumn id="2259" xr3:uid="{F0F0DA41-56EB-4F1E-8BAD-A8AC3E2334C7}" name="2479" dataDxfId="14131"/>
    <tableColumn id="2260" xr3:uid="{DCF42869-214B-45ED-B1C8-24EF865662B5}" name="2480" dataDxfId="14130"/>
    <tableColumn id="2261" xr3:uid="{408FD55D-44D2-4B52-8481-0FCA110ED4DB}" name="2481" dataDxfId="14129"/>
    <tableColumn id="2262" xr3:uid="{0CFA5230-A340-4278-A430-0A0786856AB4}" name="2482" dataDxfId="14128"/>
    <tableColumn id="2263" xr3:uid="{AA178585-089B-4D6F-947F-563B9A00639F}" name="2483" dataDxfId="14127"/>
    <tableColumn id="2264" xr3:uid="{CB10FE7E-E5C0-465D-8295-0E3DCAB86349}" name="2484" dataDxfId="14126"/>
    <tableColumn id="2265" xr3:uid="{7C1B3511-5CD4-4E32-8711-206364726311}" name="2485" dataDxfId="14125"/>
    <tableColumn id="2266" xr3:uid="{26BA7D09-3FFC-491B-A1B7-94CE746E3D21}" name="2486" dataDxfId="14124"/>
    <tableColumn id="2267" xr3:uid="{44E3A430-5C5D-49C5-A89E-6D29FCB7A3DC}" name="2487" dataDxfId="14123"/>
    <tableColumn id="2268" xr3:uid="{B9B81CAC-9924-4150-B081-BEB04C5147C2}" name="2488" dataDxfId="14122"/>
    <tableColumn id="2269" xr3:uid="{590CA4A5-1783-4A01-BA14-B579A8401FF3}" name="2489" dataDxfId="14121"/>
    <tableColumn id="2270" xr3:uid="{74D75AEE-BD11-4E0F-B882-52CF9FEECA6E}" name="2490" dataDxfId="14120"/>
    <tableColumn id="2271" xr3:uid="{349D648E-F2B6-4836-B35D-5F548A3FC2D5}" name="2491" dataDxfId="14119"/>
    <tableColumn id="2272" xr3:uid="{FC4E227F-C7D0-4E2E-BC35-ED295121C5E0}" name="2492" dataDxfId="14118"/>
    <tableColumn id="2273" xr3:uid="{8001EF76-5870-4A6B-A8D2-364FA082B6E4}" name="2493" dataDxfId="14117"/>
    <tableColumn id="2274" xr3:uid="{85F018B3-A527-43F0-8EF8-1E8639FF68F0}" name="2494" dataDxfId="14116"/>
    <tableColumn id="2275" xr3:uid="{541C9976-5FFB-4C58-97AB-4FF5118AE1CE}" name="2495" dataDxfId="14115"/>
    <tableColumn id="2276" xr3:uid="{986DC6F1-4BA6-4012-B12B-76AAC3E88D08}" name="2496" dataDxfId="14114"/>
    <tableColumn id="2277" xr3:uid="{EB87AB50-60D9-4A73-940C-4B9B3586DD1D}" name="2497" dataDxfId="14113"/>
    <tableColumn id="2278" xr3:uid="{D9141B5C-292A-43A5-9506-61248AF920F6}" name="2498" dataDxfId="14112"/>
    <tableColumn id="2279" xr3:uid="{D4F4BA5C-4797-487E-A26D-AC985E859390}" name="2499" dataDxfId="14111"/>
    <tableColumn id="2280" xr3:uid="{6E58CB73-65D3-4E79-B55C-66F69397E380}" name="2500" dataDxfId="14110"/>
    <tableColumn id="2281" xr3:uid="{B0614167-6FC1-4FD0-8F34-E39C4835AFEC}" name="2501" dataDxfId="14109"/>
    <tableColumn id="2282" xr3:uid="{45FF2EDC-6FF9-4DB8-AA4C-FA525A61880A}" name="2502" dataDxfId="14108"/>
    <tableColumn id="2283" xr3:uid="{3CFAD070-4F7E-493F-B83A-3533866DAA7B}" name="2503" dataDxfId="14107"/>
    <tableColumn id="2284" xr3:uid="{1B55C923-2298-4764-B4C0-784F268C168A}" name="2504" dataDxfId="14106"/>
    <tableColumn id="2285" xr3:uid="{85120846-1C43-44D8-BD46-D7FB111BA358}" name="2505" dataDxfId="14105"/>
    <tableColumn id="2286" xr3:uid="{9C365717-02E5-425A-947E-258FB77A2773}" name="2506" dataDxfId="14104"/>
    <tableColumn id="2287" xr3:uid="{794752C7-7A43-4ACF-AB3A-FE386A898ABB}" name="2507" dataDxfId="14103"/>
    <tableColumn id="2288" xr3:uid="{1203C1F6-B3D6-48A7-84D3-8548E6566527}" name="2508" dataDxfId="14102"/>
    <tableColumn id="2289" xr3:uid="{88915A33-6105-4F0B-BC1F-CB4492A0BD16}" name="2509" dataDxfId="14101"/>
    <tableColumn id="2290" xr3:uid="{688C4D2A-BD7D-4CA4-B4B4-1CC3BD15811F}" name="2510" dataDxfId="14100"/>
    <tableColumn id="2291" xr3:uid="{3E35910C-981A-4C7A-B009-04F32B7A19F4}" name="2511" dataDxfId="14099"/>
    <tableColumn id="2292" xr3:uid="{FB76DE69-5302-4EB9-889D-146FCD3A72B2}" name="2512" dataDxfId="14098"/>
    <tableColumn id="2293" xr3:uid="{7E5B99B4-3D44-45D4-B467-2DE2C2C83296}" name="2513" dataDxfId="14097"/>
    <tableColumn id="2294" xr3:uid="{8D3859C2-C29D-42D0-B041-9D5B8C71A46E}" name="2514" dataDxfId="14096"/>
    <tableColumn id="2295" xr3:uid="{E28A2C45-6365-4F9F-A1B7-BFB63FBCF42A}" name="2515" dataDxfId="14095"/>
    <tableColumn id="2296" xr3:uid="{86175D24-6424-4B31-B86B-6A8FB8AF009B}" name="2516" dataDxfId="14094"/>
    <tableColumn id="2297" xr3:uid="{52BC6759-191F-42C7-BB81-49C878AF69FF}" name="2517" dataDxfId="14093"/>
    <tableColumn id="2298" xr3:uid="{729EE7AB-1830-4A7A-8FC8-88E2966904D8}" name="2518" dataDxfId="14092"/>
    <tableColumn id="2299" xr3:uid="{7285133E-3D8B-4A26-BDEF-5B209D97FA3C}" name="2519" dataDxfId="14091"/>
    <tableColumn id="2300" xr3:uid="{3FB95F87-ADFC-4124-BF4F-7B41ED3FC012}" name="2520" dataDxfId="14090"/>
    <tableColumn id="2301" xr3:uid="{0D7F045F-B91C-46A8-8F54-D3E3A1FFDD6F}" name="2521" dataDxfId="14089"/>
    <tableColumn id="2302" xr3:uid="{D4D84ABD-CB02-42CF-BA16-80691E971D6A}" name="2522" dataDxfId="14088"/>
    <tableColumn id="2303" xr3:uid="{1453EF9E-5236-4700-BBD3-C1E3F5F71069}" name="2523" dataDxfId="14087"/>
    <tableColumn id="2304" xr3:uid="{08912867-4D68-42DB-8842-10D407B00FBB}" name="2524" dataDxfId="14086"/>
    <tableColumn id="2305" xr3:uid="{FB84E038-D94B-45A9-AAB5-39C8DC2B18FB}" name="2525" dataDxfId="14085"/>
    <tableColumn id="2306" xr3:uid="{B0AAED96-4805-46E7-9449-4B2DEC8EFDB7}" name="2526" dataDxfId="14084"/>
    <tableColumn id="2307" xr3:uid="{B4313598-DB0F-4094-8EE2-B9AF7F04325D}" name="2527" dataDxfId="14083"/>
    <tableColumn id="2308" xr3:uid="{A7150452-2AF6-49E4-BDA4-5D3F933191C1}" name="2528" dataDxfId="14082"/>
    <tableColumn id="2309" xr3:uid="{CD476A9C-BAC9-4225-9FBA-05BB46D2A554}" name="2529" dataDxfId="14081"/>
    <tableColumn id="2310" xr3:uid="{D8B0D441-9E70-4181-8D42-91324EEF03E3}" name="2530" dataDxfId="14080"/>
    <tableColumn id="2311" xr3:uid="{3778A92D-7EFE-4DA0-900D-D6906AB3D095}" name="2531" dataDxfId="14079"/>
    <tableColumn id="2312" xr3:uid="{18766526-8122-436C-8B3D-B02AF655E0E2}" name="2532" dataDxfId="14078"/>
    <tableColumn id="2313" xr3:uid="{2FC14EE6-3A35-4F35-9375-601754E63A4F}" name="2533" dataDxfId="14077"/>
    <tableColumn id="2314" xr3:uid="{E1DE81BB-418D-478C-A413-BCCB43134F3A}" name="2534" dataDxfId="14076"/>
    <tableColumn id="2315" xr3:uid="{13A294E9-266E-4B04-8441-6F82399C3BCE}" name="2535" dataDxfId="14075"/>
    <tableColumn id="2316" xr3:uid="{7EE15744-3A1D-4A03-865C-6233A58A41FF}" name="2536" dataDxfId="14074"/>
    <tableColumn id="2317" xr3:uid="{3B0E8B96-DB73-4B14-8D48-B79C9FB5B3CD}" name="2537" dataDxfId="14073"/>
    <tableColumn id="2318" xr3:uid="{0B5887F2-1973-4AE5-A215-C24CC7AB2BA1}" name="2538" dataDxfId="14072"/>
    <tableColumn id="2319" xr3:uid="{396FDB91-C7C2-4895-B6A4-C299F5C24D4F}" name="2539" dataDxfId="14071"/>
    <tableColumn id="2320" xr3:uid="{5908F56E-D505-4797-AE97-0C65261CBC04}" name="2540" dataDxfId="14070"/>
    <tableColumn id="2321" xr3:uid="{EB2586D1-69FE-46B5-8C28-6FBE20B5A232}" name="2541" dataDxfId="14069"/>
    <tableColumn id="2322" xr3:uid="{C2EF0C00-D704-4923-9C0E-A22E312AADA9}" name="2542" dataDxfId="14068"/>
    <tableColumn id="2323" xr3:uid="{C2AE7190-9D4F-4EE3-9C84-7918030250B7}" name="2543" dataDxfId="14067"/>
    <tableColumn id="2324" xr3:uid="{48FDC0B9-4849-424D-857F-2601050F7CC1}" name="2544" dataDxfId="14066"/>
    <tableColumn id="2325" xr3:uid="{2B9F56AC-9467-47E5-B285-6E2A32B2F95A}" name="2545" dataDxfId="14065"/>
    <tableColumn id="2326" xr3:uid="{9CE6BD20-9C55-4823-89F8-AF6C1871D06B}" name="2546" dataDxfId="14064"/>
    <tableColumn id="2327" xr3:uid="{6BD228F7-C280-4BD2-A778-7A45C62D8ECD}" name="2547" dataDxfId="14063"/>
    <tableColumn id="2328" xr3:uid="{44FFA0AB-C22E-4D11-8864-232490C62129}" name="2548" dataDxfId="14062"/>
    <tableColumn id="2329" xr3:uid="{58254101-40A5-4C2B-A955-6D899E5A19B6}" name="2549" dataDxfId="14061"/>
    <tableColumn id="2330" xr3:uid="{89001F53-67D2-423B-9F9C-EDAE5980ABF3}" name="2550" dataDxfId="14060"/>
    <tableColumn id="2331" xr3:uid="{B5DA2404-71C8-46FA-9844-C6D877A11742}" name="2551" dataDxfId="14059"/>
    <tableColumn id="2332" xr3:uid="{E66B1AE7-8CC2-48E7-B4C0-9FDD71806334}" name="2552" dataDxfId="14058"/>
    <tableColumn id="2333" xr3:uid="{3BBCC63C-B7E0-416F-A179-E83A00F6D909}" name="2553" dataDxfId="14057"/>
    <tableColumn id="2334" xr3:uid="{1BE659DA-D964-40C5-ADB8-F1A233AB7650}" name="2554" dataDxfId="14056"/>
    <tableColumn id="2335" xr3:uid="{E6B2E116-5899-4CE1-9498-95F62D060C3E}" name="2555" dataDxfId="14055"/>
    <tableColumn id="2336" xr3:uid="{35DF6022-AEF2-47F8-880B-CAD0B284F696}" name="2556" dataDxfId="14054"/>
    <tableColumn id="2337" xr3:uid="{4C1D51B8-A679-4EDE-BE32-D128DFEA132C}" name="2557" dataDxfId="14053"/>
    <tableColumn id="2338" xr3:uid="{0F42628F-06A4-4C33-99C4-78B304F46765}" name="2558" dataDxfId="14052"/>
    <tableColumn id="2339" xr3:uid="{622C667D-C939-4702-B8F6-B3215F68023B}" name="2559" dataDxfId="14051"/>
    <tableColumn id="2340" xr3:uid="{D564802B-D66C-4607-B14D-95EF78FC3871}" name="2560" dataDxfId="14050"/>
    <tableColumn id="2341" xr3:uid="{15782F30-F346-4A03-A742-C726679142AE}" name="2561" dataDxfId="14049"/>
    <tableColumn id="2342" xr3:uid="{A3FA84A7-510A-4903-B0EF-FFF7F30CB00F}" name="2562" dataDxfId="14048"/>
    <tableColumn id="2343" xr3:uid="{2E73101F-560F-46E7-BC23-E77CCA6D34BB}" name="2563" dataDxfId="14047"/>
    <tableColumn id="2344" xr3:uid="{8293EDDD-6D28-441A-BA4E-8C7D1C67D2D8}" name="2564" dataDxfId="14046"/>
    <tableColumn id="2345" xr3:uid="{832DE838-F83F-4C3C-9C47-3F3112DFFFD8}" name="2565" dataDxfId="14045"/>
    <tableColumn id="2346" xr3:uid="{6EED5B40-57BA-4BBC-A2A8-3356CF13D914}" name="2566" dataDxfId="14044"/>
    <tableColumn id="2347" xr3:uid="{1B144A65-8A26-4CA2-A620-D5AE5D44AAF4}" name="2567" dataDxfId="14043"/>
    <tableColumn id="2348" xr3:uid="{267F0ADD-F899-4AA2-814C-CED94289D8FF}" name="2568" dataDxfId="14042"/>
    <tableColumn id="2349" xr3:uid="{1AE6DD9B-7FED-4F39-A797-61D6B39B0143}" name="2569" dataDxfId="14041"/>
    <tableColumn id="2350" xr3:uid="{6094C4FA-B5AE-4486-B1FF-0C237F50F6B5}" name="2570" dataDxfId="14040"/>
    <tableColumn id="2351" xr3:uid="{C6031E0E-3905-4FA4-BC3B-5CF0FCC55B32}" name="2571" dataDxfId="14039"/>
    <tableColumn id="2352" xr3:uid="{97F7D4B3-9F1B-4386-9FBD-51CA6567AB09}" name="2572" dataDxfId="14038"/>
    <tableColumn id="2353" xr3:uid="{B885F7CC-EFC1-4A45-AB59-46874D625FDB}" name="2573" dataDxfId="14037"/>
    <tableColumn id="2354" xr3:uid="{641A6AC0-8909-46F2-AA0C-AF725D70AC1B}" name="2574" dataDxfId="14036"/>
    <tableColumn id="2355" xr3:uid="{49141A60-C635-4169-952C-B912D804C4CC}" name="2575" dataDxfId="14035"/>
    <tableColumn id="2356" xr3:uid="{9E45ADCE-63A3-46B2-8E52-1AE4DABDA687}" name="2576" dataDxfId="14034"/>
    <tableColumn id="2357" xr3:uid="{A755C559-5039-4CC8-91DB-8552FB726AC0}" name="2577" dataDxfId="14033"/>
    <tableColumn id="2358" xr3:uid="{A9454F17-D1A0-4964-8B6D-A68A0BB75A2D}" name="2578" dataDxfId="14032"/>
    <tableColumn id="2359" xr3:uid="{FC8C63E9-524B-4E0A-BCCA-5B87FE574636}" name="2579" dataDxfId="14031"/>
    <tableColumn id="2360" xr3:uid="{5B89C319-3CD3-4DA4-8E83-51727079E17B}" name="2580" dataDxfId="14030"/>
    <tableColumn id="2361" xr3:uid="{F128A0FE-C90C-4F58-A706-ABAC04FCF303}" name="2581" dataDxfId="14029"/>
    <tableColumn id="2362" xr3:uid="{A75F57CB-A984-4585-A05D-36CA9D65575A}" name="2582" dataDxfId="14028"/>
    <tableColumn id="2363" xr3:uid="{830E6A83-EE8F-4EAD-848E-08FB479FBDB4}" name="2583" dataDxfId="14027"/>
    <tableColumn id="2364" xr3:uid="{5CDF10E2-C46E-49AD-9B3E-8A8451E98BBF}" name="2584" dataDxfId="14026"/>
    <tableColumn id="2365" xr3:uid="{F84D971A-81BB-40C0-BF93-A84CA644AF0F}" name="2585" dataDxfId="14025"/>
    <tableColumn id="2366" xr3:uid="{44462F71-834E-43FD-98B4-5F9533A7C0A9}" name="2586" dataDxfId="14024"/>
    <tableColumn id="2367" xr3:uid="{E72DE848-A236-429D-8F27-73F077A81529}" name="2587" dataDxfId="14023"/>
    <tableColumn id="2368" xr3:uid="{AB8DD93A-FF3E-4147-BC9F-E490EF73C511}" name="2588" dataDxfId="14022"/>
    <tableColumn id="2369" xr3:uid="{443B2A87-C4F9-439D-ACE6-A822FD804B50}" name="2589" dataDxfId="14021"/>
    <tableColumn id="2370" xr3:uid="{836BABF1-8C85-46A4-A60E-8A095FD8CD74}" name="2590" dataDxfId="14020"/>
    <tableColumn id="2371" xr3:uid="{9EC3D543-3206-471D-A9AD-FC93CFFB9905}" name="2591" dataDxfId="14019"/>
    <tableColumn id="2372" xr3:uid="{3F412C0C-CE9E-40DA-B414-D3177CE6EE75}" name="2592" dataDxfId="14018"/>
    <tableColumn id="2373" xr3:uid="{F95CB0F3-4770-4848-910E-EDB4622381CE}" name="2593" dataDxfId="14017"/>
    <tableColumn id="2374" xr3:uid="{02A2E6A5-A28F-4913-B83F-E8B3D9E2E65E}" name="2594" dataDxfId="14016"/>
    <tableColumn id="2375" xr3:uid="{8AA3B176-BD86-44E7-8738-0C84E4A366F0}" name="2595" dataDxfId="14015"/>
    <tableColumn id="2376" xr3:uid="{44EEA8BA-C38C-43C9-B568-63FD5025C022}" name="2596" dataDxfId="14014"/>
    <tableColumn id="2377" xr3:uid="{3EF30D32-9CA3-4D28-95DC-C289ED739E79}" name="2597" dataDxfId="14013"/>
    <tableColumn id="2378" xr3:uid="{01DC3E8F-619C-410D-8443-917D3474A6BC}" name="2598" dataDxfId="14012"/>
    <tableColumn id="2379" xr3:uid="{BD91B003-8159-41C9-AF34-B7614D60BF72}" name="2599" dataDxfId="14011"/>
    <tableColumn id="2380" xr3:uid="{AA439392-2F06-494E-98DE-F07BD743DE6B}" name="2600" dataDxfId="14010"/>
    <tableColumn id="2381" xr3:uid="{7E04ED5F-DAEB-4D47-BF22-BA7F043B9724}" name="2601" dataDxfId="14009"/>
    <tableColumn id="2382" xr3:uid="{A51D7EEF-0117-4038-A1D0-5FAD240F2C52}" name="2602" dataDxfId="14008"/>
    <tableColumn id="2383" xr3:uid="{F7E36413-A34E-41C0-8D42-EBB683DF5936}" name="2603" dataDxfId="14007"/>
    <tableColumn id="2384" xr3:uid="{089B4F19-B314-4BB4-B8B7-A08154CD23FF}" name="2604" dataDxfId="14006"/>
    <tableColumn id="2385" xr3:uid="{8FFB1B10-6656-4929-8C9F-F8336BAD7A87}" name="2605" dataDxfId="14005"/>
    <tableColumn id="2386" xr3:uid="{DE9061A3-E01F-4866-9C54-140892EAB5E9}" name="2606" dataDxfId="14004"/>
    <tableColumn id="2387" xr3:uid="{E6246C73-5542-4D31-A69D-3A5FE54F5667}" name="2607" dataDxfId="14003"/>
    <tableColumn id="2388" xr3:uid="{C9ED9771-C300-4649-A4B9-3FCD10B98515}" name="2608" dataDxfId="14002"/>
    <tableColumn id="2389" xr3:uid="{AFBF9AA0-CA72-4224-BC50-29BD29F3EECE}" name="2609" dataDxfId="14001"/>
    <tableColumn id="2390" xr3:uid="{7A009AED-AA6E-48C6-BCC9-4EFEA6A3A439}" name="2610" dataDxfId="14000"/>
    <tableColumn id="2391" xr3:uid="{E5368F48-E601-4B67-BD6B-1E41AE660DF4}" name="2611" dataDxfId="13999"/>
    <tableColumn id="2392" xr3:uid="{0DA97230-E174-4CA7-8E0C-CCD4A1BB9A29}" name="2612" dataDxfId="13998"/>
    <tableColumn id="2393" xr3:uid="{8EC1BFD1-8C81-423C-810C-8DFF5E27751A}" name="2613" dataDxfId="13997"/>
    <tableColumn id="2394" xr3:uid="{BDDE19EF-6E0C-4891-B2D6-9A3DE4C2F1FE}" name="2614" dataDxfId="13996"/>
    <tableColumn id="2395" xr3:uid="{9CDD4F5E-61A7-4CE4-AE05-A41C7DD429C7}" name="2615" dataDxfId="13995"/>
    <tableColumn id="2396" xr3:uid="{2E7A033B-85BE-4B39-9386-D221F94D4B8B}" name="2616" dataDxfId="13994"/>
    <tableColumn id="2397" xr3:uid="{F188AA7E-F6D1-4F88-9CED-E3FEF4F8716B}" name="2617" dataDxfId="13993"/>
    <tableColumn id="2398" xr3:uid="{2B6CF4DE-38C4-402B-98A4-0F66E7FB2D3E}" name="2618" dataDxfId="13992"/>
    <tableColumn id="2399" xr3:uid="{FF39A7F1-C969-48CF-8EC0-EC0147BED064}" name="2619" dataDxfId="13991"/>
    <tableColumn id="2400" xr3:uid="{A7AB4480-6DBF-4B27-A3D5-7563D3A69B8B}" name="2620" dataDxfId="13990"/>
    <tableColumn id="2401" xr3:uid="{451D2529-2B22-4988-861E-19D31552889B}" name="2621" dataDxfId="13989"/>
    <tableColumn id="2402" xr3:uid="{271016E1-636A-4A80-92E9-47B0CB3C3F4A}" name="2622" dataDxfId="13988"/>
    <tableColumn id="2403" xr3:uid="{37543E52-2FE6-4DEA-A998-A6E178BE3422}" name="2623" dataDxfId="13987"/>
    <tableColumn id="2404" xr3:uid="{D7CA58A0-AB97-4BFC-9830-DB707D69BE22}" name="2624" dataDxfId="13986"/>
    <tableColumn id="2405" xr3:uid="{0949E060-FF43-4B6F-97C0-6DBE4671E9EC}" name="2625" dataDxfId="13985"/>
    <tableColumn id="2406" xr3:uid="{44F960D3-566C-4636-AA88-1B180A6DBDC8}" name="2626" dataDxfId="13984"/>
    <tableColumn id="2407" xr3:uid="{B2323A5F-2963-40B2-A671-206BBF390468}" name="2627" dataDxfId="13983"/>
    <tableColumn id="2408" xr3:uid="{E3A2D528-DB83-4A12-BB40-492DB1C424FF}" name="2628" dataDxfId="13982"/>
    <tableColumn id="2409" xr3:uid="{3B9BEA65-232A-44DD-8DC9-20BA9445179F}" name="2629" dataDxfId="13981"/>
    <tableColumn id="2410" xr3:uid="{6913FF8B-71B8-499B-B331-5A2ADF75F634}" name="2630" dataDxfId="13980"/>
    <tableColumn id="2411" xr3:uid="{B4AA00CD-6E55-4083-B3F7-F9642E892695}" name="2631" dataDxfId="13979"/>
    <tableColumn id="2412" xr3:uid="{6243E00E-DADF-4DF8-B6A3-2F377CEB18C1}" name="2632" dataDxfId="13978"/>
    <tableColumn id="2413" xr3:uid="{C92EB713-BDBF-482E-BC59-27F694D8606D}" name="2633" dataDxfId="13977"/>
    <tableColumn id="2414" xr3:uid="{90B14D19-4E4A-4881-A89C-805F5C9BBCE7}" name="2634" dataDxfId="13976"/>
    <tableColumn id="2415" xr3:uid="{0354BF2B-08D1-42D9-BCCE-23FFEE562678}" name="2635" dataDxfId="13975"/>
    <tableColumn id="2416" xr3:uid="{70ED7A96-9CCB-495C-A09E-7F990FE5908D}" name="2636" dataDxfId="13974"/>
    <tableColumn id="2417" xr3:uid="{BBF48C46-508F-4DA5-A777-4C9B723DED57}" name="2637" dataDxfId="13973"/>
    <tableColumn id="2418" xr3:uid="{F2540F72-D827-4D72-87CC-F02DCE3141F2}" name="2638" dataDxfId="13972"/>
    <tableColumn id="2419" xr3:uid="{6E08C411-17D5-4C5F-AB23-4BACAC403AEB}" name="2639" dataDxfId="13971"/>
    <tableColumn id="2420" xr3:uid="{F4069396-5E02-4CEB-831C-1F5E573130CE}" name="2640" dataDxfId="13970"/>
    <tableColumn id="2421" xr3:uid="{5E128CF6-FF3B-4158-B3D5-BAA52233E19B}" name="2641" dataDxfId="13969"/>
    <tableColumn id="2422" xr3:uid="{6B66393F-3E3E-4191-8D17-B6D0B874F009}" name="2642" dataDxfId="13968"/>
    <tableColumn id="2423" xr3:uid="{58B3E764-2EEC-4EC2-88ED-004658340F0D}" name="2643" dataDxfId="13967"/>
    <tableColumn id="2424" xr3:uid="{8CFD83DF-EF95-43D3-A321-D74ACDF65DC8}" name="2644" dataDxfId="13966"/>
    <tableColumn id="2425" xr3:uid="{D9072C24-8778-4D56-9CA8-565BB0030D66}" name="2645" dataDxfId="13965"/>
    <tableColumn id="2426" xr3:uid="{F60AA0E1-F7A0-4CF5-AF1E-76AC02792D44}" name="2646" dataDxfId="13964"/>
    <tableColumn id="2427" xr3:uid="{D66E59F6-C49A-45CA-B4B7-094DA24B699E}" name="2647" dataDxfId="13963"/>
    <tableColumn id="2428" xr3:uid="{7FC1AC58-211B-4211-804E-86A42EF13367}" name="2648" dataDxfId="13962"/>
    <tableColumn id="2429" xr3:uid="{6F28BF92-5E23-4CA7-B0F4-D55C88B741B0}" name="2649" dataDxfId="13961"/>
    <tableColumn id="2430" xr3:uid="{851530D0-4F6F-4B07-BEE0-F8C4A52ED059}" name="2650" dataDxfId="13960"/>
    <tableColumn id="2431" xr3:uid="{BECA7302-C61E-498D-943D-CA157C917819}" name="2651" dataDxfId="13959"/>
    <tableColumn id="2432" xr3:uid="{063580F5-A10A-438A-B4F2-3811A0B91909}" name="2652" dataDxfId="13958"/>
    <tableColumn id="2433" xr3:uid="{2659C2F6-1487-4944-9D8D-189795B9661A}" name="2653" dataDxfId="13957"/>
    <tableColumn id="2434" xr3:uid="{87397EC9-4F5A-4111-8C9D-018BD3393D84}" name="2654" dataDxfId="13956"/>
    <tableColumn id="2435" xr3:uid="{7CF6E98D-1F69-42EB-9D37-BBC673DA2A05}" name="2655" dataDxfId="13955"/>
    <tableColumn id="2436" xr3:uid="{EEA28A4B-B193-4D98-8640-986563E193A1}" name="2656" dataDxfId="13954"/>
    <tableColumn id="2437" xr3:uid="{0FFB3EF8-E9AB-4805-86F8-6E736DC38D86}" name="2657" dataDxfId="13953"/>
    <tableColumn id="2438" xr3:uid="{7E414884-ACCA-46FD-AD6D-7517F093C072}" name="2658" dataDxfId="13952"/>
    <tableColumn id="2439" xr3:uid="{257E29D6-C976-4453-BF5B-222AB3EF2BC8}" name="2659" dataDxfId="13951"/>
    <tableColumn id="2440" xr3:uid="{20F4D5AC-FD43-4A0F-8C23-69C6C7F9C707}" name="2660" dataDxfId="13950"/>
    <tableColumn id="2441" xr3:uid="{D48B4235-D619-44F6-983C-3A70D3D9D3DC}" name="2661" dataDxfId="13949"/>
    <tableColumn id="2442" xr3:uid="{B37955F4-3918-4B9C-89A8-C64F1AA8FADE}" name="2662" dataDxfId="13948"/>
    <tableColumn id="2443" xr3:uid="{EB1AE086-959F-4BFD-93EB-B9956A923C30}" name="2663" dataDxfId="13947"/>
    <tableColumn id="2444" xr3:uid="{CCEC97C7-D4AA-470F-8AE7-25DD8F8CAD5C}" name="2664" dataDxfId="13946"/>
    <tableColumn id="2445" xr3:uid="{3131C129-1FF0-4542-B59F-BF40034D6B77}" name="2665" dataDxfId="13945"/>
    <tableColumn id="2446" xr3:uid="{0DF73353-3998-4594-B512-263C1C0D2E57}" name="2666" dataDxfId="13944"/>
    <tableColumn id="2447" xr3:uid="{D3836E26-2214-4D03-B8C3-DA672F7694F2}" name="2667" dataDxfId="13943"/>
    <tableColumn id="2448" xr3:uid="{537E2A41-F8E4-4B8F-8DE4-E905DFE981DB}" name="2668" dataDxfId="13942"/>
    <tableColumn id="2449" xr3:uid="{FC505802-6EA1-40D4-A10C-FA434AB26B0D}" name="2669" dataDxfId="13941"/>
    <tableColumn id="2450" xr3:uid="{5609E1B6-9523-48EA-8450-2178C6F3A066}" name="2670" dataDxfId="13940"/>
    <tableColumn id="2451" xr3:uid="{B38F484D-7E90-4BE3-9B20-266C57A2170F}" name="2671" dataDxfId="13939"/>
    <tableColumn id="2452" xr3:uid="{3815534D-F810-43CB-96C8-C2E00C97DB1D}" name="2672" dataDxfId="13938"/>
    <tableColumn id="2453" xr3:uid="{F1DD0AF7-4190-48F0-B44F-3AF532D67E0F}" name="2673" dataDxfId="13937"/>
    <tableColumn id="2454" xr3:uid="{3B813EDD-D47F-4002-A09D-FA39F8FF6264}" name="2674" dataDxfId="13936"/>
    <tableColumn id="2455" xr3:uid="{4C0E9878-8341-4709-B663-A7D63CC2D554}" name="2675" dataDxfId="13935"/>
    <tableColumn id="2456" xr3:uid="{1E13DA6A-1074-435C-A7B5-1486F61BCF84}" name="2676" dataDxfId="13934"/>
    <tableColumn id="2457" xr3:uid="{63782ACC-0142-49CA-8530-5C7F3BCADB73}" name="2677" dataDxfId="13933"/>
    <tableColumn id="2458" xr3:uid="{5460D9BE-549C-4DA7-B073-5A7CDC7E67FE}" name="2678" dataDxfId="13932"/>
    <tableColumn id="2459" xr3:uid="{104CB9B6-5B4C-48E3-8000-828561F5DCFA}" name="2679" dataDxfId="13931"/>
    <tableColumn id="2460" xr3:uid="{E3EF5697-1DD2-4823-A9F4-98A7AA608F52}" name="2680" dataDxfId="13930"/>
    <tableColumn id="2461" xr3:uid="{43F6F13C-8B86-4CF5-92D2-7F4D667B8F08}" name="2681" dataDxfId="13929"/>
    <tableColumn id="2462" xr3:uid="{B4780192-A306-4CD2-AD51-C2D7E7C0B697}" name="2682" dataDxfId="13928"/>
    <tableColumn id="2463" xr3:uid="{B77BD78B-B5C4-475D-B061-C0A99D086C5C}" name="2683" dataDxfId="13927"/>
    <tableColumn id="2464" xr3:uid="{F8DC3889-8747-46A9-9584-6D54575957B9}" name="2684" dataDxfId="13926"/>
    <tableColumn id="2465" xr3:uid="{040A1E94-C630-44EF-B143-864B739B137D}" name="2685" dataDxfId="13925"/>
    <tableColumn id="2466" xr3:uid="{9F2D8E4C-4C0B-4C5F-B4F1-17582208F1BE}" name="2686" dataDxfId="13924"/>
    <tableColumn id="2467" xr3:uid="{B8C936C5-D120-43F9-A308-2FC0EA788E2B}" name="2687" dataDxfId="13923"/>
    <tableColumn id="2468" xr3:uid="{DB63E57E-DAD8-436A-A4C6-D1B6D1665EEE}" name="2688" dataDxfId="13922"/>
    <tableColumn id="2469" xr3:uid="{9374236F-B676-4805-B68D-63A86908FF07}" name="2689" dataDxfId="13921"/>
    <tableColumn id="2470" xr3:uid="{5C223812-6741-4DC9-A466-E438D22CEBBE}" name="2690" dataDxfId="13920"/>
    <tableColumn id="2471" xr3:uid="{F756C33F-CA0A-458B-8986-4CEA6E9D56ED}" name="2691" dataDxfId="13919"/>
    <tableColumn id="2472" xr3:uid="{189FE337-369F-4367-9F93-274E81C4A3CD}" name="2692" dataDxfId="13918"/>
    <tableColumn id="2473" xr3:uid="{075FBFA8-9999-4674-8658-F6771FAEBC70}" name="2693" dataDxfId="13917"/>
    <tableColumn id="2474" xr3:uid="{2E24D9F5-5D9C-41FA-A22C-4FB87FAC5843}" name="2694" dataDxfId="13916"/>
    <tableColumn id="2475" xr3:uid="{A5AEC59D-2E1B-456C-A6D5-08A4BEBFFD83}" name="2695" dataDxfId="13915"/>
    <tableColumn id="2476" xr3:uid="{6ED8A9E0-C32E-4DCB-84F7-E05067D2A8CB}" name="2696" dataDxfId="13914"/>
    <tableColumn id="2477" xr3:uid="{5141DF01-D9EA-441F-892A-068D4F9A2EDB}" name="2697" dataDxfId="13913"/>
    <tableColumn id="2478" xr3:uid="{D1B7FB19-E772-449F-A965-C2454EBC8A12}" name="2698" dataDxfId="13912"/>
    <tableColumn id="2479" xr3:uid="{388B4FC5-0ABC-45FE-9D47-FBF389CAA5D8}" name="2699" dataDxfId="13911"/>
    <tableColumn id="2480" xr3:uid="{48D0663A-BDEB-4D57-AA21-170708045FF9}" name="2700" dataDxfId="13910"/>
    <tableColumn id="2481" xr3:uid="{8261DCA8-5214-4284-886B-056492129056}" name="2701" dataDxfId="13909"/>
    <tableColumn id="2482" xr3:uid="{F02F0EAC-3C4B-480D-9730-FA2F68C33AAD}" name="2702" dataDxfId="13908"/>
    <tableColumn id="2483" xr3:uid="{8096E85F-92E6-4070-96C7-B041A737672C}" name="2703" dataDxfId="13907"/>
    <tableColumn id="2484" xr3:uid="{40A54C66-6D4D-469B-9725-32E575C021BD}" name="2704" dataDxfId="13906"/>
    <tableColumn id="2485" xr3:uid="{1578E287-F5F6-4D05-B9F7-1C8709D9B7A3}" name="2705" dataDxfId="13905"/>
    <tableColumn id="2486" xr3:uid="{B2643346-2FB7-43DD-AFEE-25513112F743}" name="2706" dataDxfId="13904"/>
    <tableColumn id="2487" xr3:uid="{83813E5D-2C61-4564-BD69-200AEF8559D2}" name="2707" dataDxfId="13903"/>
    <tableColumn id="2488" xr3:uid="{716F568E-EF24-4832-A320-5C9A8B414F7E}" name="2708" dataDxfId="13902"/>
    <tableColumn id="2489" xr3:uid="{390678A8-5B84-4CE9-A036-15E50B2B6C1E}" name="2709" dataDxfId="13901"/>
    <tableColumn id="2490" xr3:uid="{1F339309-31D4-4577-B6BA-1C24228A20B4}" name="2710" dataDxfId="13900"/>
    <tableColumn id="2491" xr3:uid="{55830A3C-950C-4A4D-92B7-D4BEB814919B}" name="2711" dataDxfId="13899"/>
    <tableColumn id="2492" xr3:uid="{511433F6-305D-49A6-8909-CB54CDC8A241}" name="2712" dataDxfId="13898"/>
    <tableColumn id="2493" xr3:uid="{51E96B6F-1D16-45F0-B216-5AD51B04F3EB}" name="2713" dataDxfId="13897"/>
    <tableColumn id="2494" xr3:uid="{FB28648F-C1FA-47C6-A882-8120A95D2073}" name="2714" dataDxfId="13896"/>
    <tableColumn id="2495" xr3:uid="{C535C971-90CA-4950-8D24-63477E3DCE4F}" name="2715" dataDxfId="13895"/>
    <tableColumn id="2496" xr3:uid="{B495CF41-0786-46CC-B355-7B704AC68A9F}" name="2716" dataDxfId="13894"/>
    <tableColumn id="2497" xr3:uid="{1E0FF794-79EB-4DC0-B9A9-694501C6A95B}" name="2717" dataDxfId="13893"/>
    <tableColumn id="2498" xr3:uid="{B33D23E7-693D-45CC-8847-1FB328DD21CD}" name="2718" dataDxfId="13892"/>
    <tableColumn id="2499" xr3:uid="{5B139A42-3D05-4F47-A950-3962C9A9132C}" name="2719" dataDxfId="13891"/>
    <tableColumn id="2500" xr3:uid="{F20D9C71-BE4A-49F5-9DB4-3585861E1D27}" name="2720" dataDxfId="13890"/>
    <tableColumn id="2501" xr3:uid="{F8BEF7D5-5636-4CE8-BA34-160DF5DED768}" name="2721" dataDxfId="13889"/>
    <tableColumn id="2502" xr3:uid="{9576906F-0FBC-4DA9-8B55-B2AB230E8DF8}" name="2722" dataDxfId="13888"/>
    <tableColumn id="2503" xr3:uid="{F901C7B5-9764-4B9E-85A5-3B22D9B1250B}" name="2723" dataDxfId="13887"/>
    <tableColumn id="2504" xr3:uid="{327AA141-E5C4-4C02-8D38-C9FD45F7DC39}" name="2724" dataDxfId="13886"/>
    <tableColumn id="2505" xr3:uid="{67660438-1BBE-4AC9-9628-727287BA0E53}" name="2725" dataDxfId="13885"/>
    <tableColumn id="2506" xr3:uid="{6A805647-2652-4311-9FCF-B5632AAF3786}" name="2726" dataDxfId="13884"/>
    <tableColumn id="2507" xr3:uid="{F474437F-E000-4842-91CA-24A4D06C54C1}" name="2727" dataDxfId="13883"/>
    <tableColumn id="2508" xr3:uid="{08B11AFF-450D-450A-919A-DF719DB3858B}" name="2728" dataDxfId="13882"/>
    <tableColumn id="2509" xr3:uid="{2174E289-9A96-476F-915D-5AFB6C1EE71A}" name="2729" dataDxfId="13881"/>
    <tableColumn id="2510" xr3:uid="{7EF94973-7DDA-4689-BD42-2D2262BABD06}" name="2730" dataDxfId="13880"/>
    <tableColumn id="2511" xr3:uid="{DEBEE672-6ADF-4189-97B4-D2B920187294}" name="2731" dataDxfId="13879"/>
    <tableColumn id="2512" xr3:uid="{F9E71205-0BC1-4F12-8A10-A42B536DF9D0}" name="2732" dataDxfId="13878"/>
    <tableColumn id="2513" xr3:uid="{41A6468F-9501-474C-898E-DAA9A0BF61FE}" name="2733" dataDxfId="13877"/>
    <tableColumn id="2514" xr3:uid="{6CB201AA-4FA8-4194-A884-D6DAB4D2D104}" name="2734" dataDxfId="13876"/>
    <tableColumn id="2515" xr3:uid="{0C2CFDDA-7878-453E-9A0C-166D03950F94}" name="2735" dataDxfId="13875"/>
    <tableColumn id="2516" xr3:uid="{1289310D-EA82-4CAD-852A-1C4E4F7ABC41}" name="2736" dataDxfId="13874"/>
    <tableColumn id="2517" xr3:uid="{1519B8C5-EF2C-402C-B1E3-D258CBF605C6}" name="2737" dataDxfId="13873"/>
    <tableColumn id="2518" xr3:uid="{412D04B7-1790-48C3-9E53-7FAB4F20CEF8}" name="2738" dataDxfId="13872"/>
    <tableColumn id="2519" xr3:uid="{340C75AB-8E76-4D6C-B4C5-E1ED6747CF8F}" name="2739" dataDxfId="13871"/>
    <tableColumn id="2520" xr3:uid="{A441F09F-259C-49A4-ABDB-2EA427975943}" name="2740" dataDxfId="13870"/>
    <tableColumn id="2521" xr3:uid="{2C6AEEE0-88B8-41A9-9012-74441BECE554}" name="2741" dataDxfId="13869"/>
    <tableColumn id="2522" xr3:uid="{BD76324A-A532-4C0F-A568-B9A97DC8950C}" name="2742" dataDxfId="13868"/>
    <tableColumn id="2523" xr3:uid="{5E809172-2A28-4578-9DD1-F9046C5BD918}" name="2743" dataDxfId="13867"/>
    <tableColumn id="2524" xr3:uid="{58AC1D71-7F2F-48E3-939C-6542198F8448}" name="2744" dataDxfId="13866"/>
    <tableColumn id="2525" xr3:uid="{4E76CD80-2126-41DF-B35A-64D561C964F3}" name="2745" dataDxfId="13865"/>
    <tableColumn id="2526" xr3:uid="{47A2294C-1950-4153-8014-8EDFD1F05891}" name="2746" dataDxfId="13864"/>
    <tableColumn id="2527" xr3:uid="{F324CFA2-39EF-47CE-9DBC-4C8F444EFB84}" name="2747" dataDxfId="13863"/>
    <tableColumn id="2528" xr3:uid="{CFC653E0-F844-4421-A23E-A5DBE6A6172E}" name="2748" dataDxfId="13862"/>
    <tableColumn id="2529" xr3:uid="{688C1E34-3562-4EA8-9B8F-EE585B61F28F}" name="2749" dataDxfId="13861"/>
    <tableColumn id="2530" xr3:uid="{FF968D69-B3B7-4823-BDF2-F05B8D679ADE}" name="2750" dataDxfId="13860"/>
    <tableColumn id="2531" xr3:uid="{28E5E22E-F69B-44EB-B252-3E95024AD5B9}" name="2751" dataDxfId="13859"/>
    <tableColumn id="2532" xr3:uid="{11AD7BFA-7BF4-4593-956C-5D78736EB09D}" name="2752" dataDxfId="13858"/>
    <tableColumn id="2533" xr3:uid="{470E8BF3-EA30-435D-929F-987483E6170B}" name="2753" dataDxfId="13857"/>
    <tableColumn id="2534" xr3:uid="{A3793918-FC77-4919-B791-8D97B607AC72}" name="2754" dataDxfId="13856"/>
    <tableColumn id="2535" xr3:uid="{D3C9CDC8-CB27-4951-9111-72476CC90F5D}" name="2755" dataDxfId="13855"/>
    <tableColumn id="2536" xr3:uid="{DFCD8205-DF8C-4127-91BC-250DCAFB762A}" name="2756" dataDxfId="13854"/>
    <tableColumn id="2537" xr3:uid="{4BE59662-68AC-407F-B34D-52812EAB6725}" name="2757" dataDxfId="13853"/>
    <tableColumn id="2538" xr3:uid="{A06EE3F8-CFFB-40D4-818B-D6BFA51978B9}" name="2758" dataDxfId="13852"/>
    <tableColumn id="2539" xr3:uid="{8B5300E0-76A2-42D1-89D0-9F056A68DC57}" name="2759" dataDxfId="13851"/>
    <tableColumn id="2540" xr3:uid="{F49E2D21-88E8-4021-A43C-9FD9CFD6D15A}" name="2760" dataDxfId="13850"/>
    <tableColumn id="2541" xr3:uid="{054AE8C1-7079-4C47-A2D2-52ACFDBC3AC1}" name="2761" dataDxfId="13849"/>
    <tableColumn id="2542" xr3:uid="{F39E8D5E-052D-44AD-83A1-0533AFA0B90D}" name="2762" dataDxfId="13848"/>
    <tableColumn id="2543" xr3:uid="{71DE01EA-BD4A-42FB-9739-135A3F40EA44}" name="2763" dataDxfId="13847"/>
    <tableColumn id="2544" xr3:uid="{ECB835D1-E371-4F47-AEF6-277FB270D224}" name="2764" dataDxfId="13846"/>
    <tableColumn id="2545" xr3:uid="{222997D2-F850-4FAC-9B6F-8DDF07F41768}" name="2765" dataDxfId="13845"/>
    <tableColumn id="2546" xr3:uid="{FD392D0B-7D1D-4D72-BD02-71C67985B543}" name="2766" dataDxfId="13844"/>
    <tableColumn id="2547" xr3:uid="{8D5E96F0-D25A-4DA4-A5B6-41D10E60F242}" name="2767" dataDxfId="13843"/>
    <tableColumn id="2548" xr3:uid="{91A78EBE-C0E3-4860-B20D-7E7806D05788}" name="2768" dataDxfId="13842"/>
    <tableColumn id="2549" xr3:uid="{D9481432-784D-44DE-A781-8310C3CECC64}" name="2769" dataDxfId="13841"/>
    <tableColumn id="2550" xr3:uid="{BF1361D0-CE55-4BDD-A34E-A712DE7ABDBD}" name="2770" dataDxfId="13840"/>
    <tableColumn id="2551" xr3:uid="{F54555E7-E3FE-41AF-AE27-403A9AE53B64}" name="2771" dataDxfId="13839"/>
    <tableColumn id="2552" xr3:uid="{54E913EC-85EB-4CF6-BAAB-696A7CD5872A}" name="2772" dataDxfId="13838"/>
    <tableColumn id="2553" xr3:uid="{328D0B5C-66DD-4FBF-9302-615732450519}" name="2773" dataDxfId="13837"/>
    <tableColumn id="2554" xr3:uid="{36672361-F54B-4E2B-BB2C-F56E8AB0FC21}" name="2774" dataDxfId="13836"/>
    <tableColumn id="2555" xr3:uid="{A654164C-6F4B-482B-855A-5679E1C231E8}" name="2775" dataDxfId="13835"/>
    <tableColumn id="2556" xr3:uid="{15FB35A6-40FD-42A9-B311-AA8E5521CF01}" name="2776" dataDxfId="13834"/>
    <tableColumn id="2557" xr3:uid="{A39DDE75-BC0E-43D7-9365-BF5F0EBF6793}" name="2777" dataDxfId="13833"/>
    <tableColumn id="2558" xr3:uid="{69D08194-A092-4A9A-8A3E-ABCEC1D9A668}" name="2778" dataDxfId="13832"/>
    <tableColumn id="2559" xr3:uid="{77D2BD05-8866-4139-98BE-44A41C3F168D}" name="2779" dataDxfId="13831"/>
    <tableColumn id="2560" xr3:uid="{90AAA82E-50E5-41B8-A151-8B633D110085}" name="2780" dataDxfId="13830"/>
    <tableColumn id="2561" xr3:uid="{E1D5074E-61CA-4440-9C40-53FB2A3E6F6C}" name="2781" dataDxfId="13829"/>
    <tableColumn id="2562" xr3:uid="{B32662AA-1F46-4FB5-84CB-BC614A6EB199}" name="2782" dataDxfId="13828"/>
    <tableColumn id="2563" xr3:uid="{F7CF7363-B561-4788-A376-16DB5F985F9D}" name="2783" dataDxfId="13827"/>
    <tableColumn id="2564" xr3:uid="{8968888C-D157-4217-A6D4-FC2E8D892EAA}" name="2784" dataDxfId="13826"/>
    <tableColumn id="2565" xr3:uid="{0F8AC26D-D766-4F19-9A04-BC7E7737233A}" name="2785" dataDxfId="13825"/>
    <tableColumn id="2566" xr3:uid="{601DE491-0F13-4E70-92D8-F78CB6D020AB}" name="2786" dataDxfId="13824"/>
    <tableColumn id="2567" xr3:uid="{D9059CE1-27BF-4DA3-A493-5656CA91AA5D}" name="2787" dataDxfId="13823"/>
    <tableColumn id="2568" xr3:uid="{7E6CC672-D71E-4493-90A5-69C0A129B96E}" name="2788" dataDxfId="13822"/>
    <tableColumn id="2569" xr3:uid="{C5CC32DB-2CAF-46D6-9439-08BC5455FFB0}" name="2789" dataDxfId="13821"/>
    <tableColumn id="2570" xr3:uid="{E2F7F4CE-4ADC-45C8-B061-FD0CCA673986}" name="2790" dataDxfId="13820"/>
    <tableColumn id="2571" xr3:uid="{564529FC-87FE-46FF-8175-7AC4D1CE1DBA}" name="2791" dataDxfId="13819"/>
    <tableColumn id="2572" xr3:uid="{D2735C9A-CF54-443B-866B-CF81DE5DB708}" name="2792" dataDxfId="13818"/>
    <tableColumn id="2573" xr3:uid="{FB1FDF39-A2FD-4B67-8F7A-20E392F480F8}" name="2793" dataDxfId="13817"/>
    <tableColumn id="2574" xr3:uid="{15D304B5-0798-49CD-A9C6-BF9E6A87FF4B}" name="2794" dataDxfId="13816"/>
    <tableColumn id="2575" xr3:uid="{9323563B-1669-4174-9DB7-4CF1A57D6C83}" name="2795" dataDxfId="13815"/>
    <tableColumn id="2576" xr3:uid="{AE050A73-E595-476E-BAAF-DC53E145481B}" name="2796" dataDxfId="13814"/>
    <tableColumn id="2577" xr3:uid="{8F5411C5-0AB3-471D-BB73-FEC79710C981}" name="2797" dataDxfId="13813"/>
    <tableColumn id="2578" xr3:uid="{F5D79B50-FC97-46CF-83BE-C0B0FB57B5FB}" name="2798" dataDxfId="13812"/>
    <tableColumn id="2579" xr3:uid="{8E7EA0F7-FA63-466E-82C1-DBCA9624CFDF}" name="2799" dataDxfId="13811"/>
    <tableColumn id="2580" xr3:uid="{3EFBF9E7-42DB-4AA1-8099-6EBCC0D79B90}" name="2800" dataDxfId="13810"/>
    <tableColumn id="2581" xr3:uid="{322BD9D4-359A-40DB-BBC3-20956BD46BE9}" name="2801" dataDxfId="13809"/>
    <tableColumn id="2582" xr3:uid="{91CAD780-6E50-4B78-B6E9-7A93FC7EAA5C}" name="2802" dataDxfId="13808"/>
    <tableColumn id="2583" xr3:uid="{4A83645F-B657-439F-B926-C827E44544CE}" name="2803" dataDxfId="13807"/>
    <tableColumn id="2584" xr3:uid="{8100E595-68A3-4D18-AA75-B0D9B2ABE5E1}" name="2804" dataDxfId="13806"/>
    <tableColumn id="2585" xr3:uid="{985CB3A8-38F1-4C68-AF13-DB053F7E3338}" name="2805" dataDxfId="13805"/>
    <tableColumn id="2586" xr3:uid="{8189F0A2-1CA5-47E1-B04C-CCD65C125243}" name="2806" dataDxfId="13804"/>
    <tableColumn id="2587" xr3:uid="{EBC175EE-0F77-43B4-AB52-5FB22BF8660D}" name="2807" dataDxfId="13803"/>
    <tableColumn id="2588" xr3:uid="{033523A3-2299-461E-AE8E-0CB8FA713F1A}" name="2808" dataDxfId="13802"/>
    <tableColumn id="2589" xr3:uid="{F98661DB-7337-4864-BF98-0CFC295C4E9D}" name="2809" dataDxfId="13801"/>
    <tableColumn id="2590" xr3:uid="{AF5EAD41-6AA0-4C85-9200-6C7E06EBB04E}" name="2810" dataDxfId="13800"/>
    <tableColumn id="2591" xr3:uid="{46C28DEB-C42A-4D43-98FB-F7BF7B03F3FB}" name="2811" dataDxfId="13799"/>
    <tableColumn id="2592" xr3:uid="{01EF9ABB-1EF5-4739-9EC8-0933ADA5C567}" name="2812" dataDxfId="13798"/>
    <tableColumn id="2593" xr3:uid="{BA39571D-AFA0-41C2-9C03-61D0267F0AE0}" name="2813" dataDxfId="13797"/>
    <tableColumn id="2594" xr3:uid="{67DB31EF-D1CC-411E-8C1E-553964678A81}" name="2814" dataDxfId="13796"/>
    <tableColumn id="2595" xr3:uid="{531251F4-8752-4A32-99A4-00DFAA1743EC}" name="2815" dataDxfId="13795"/>
    <tableColumn id="2596" xr3:uid="{BBFBA268-D89C-4300-874A-019BDFCCF553}" name="2816" dataDxfId="13794"/>
    <tableColumn id="2597" xr3:uid="{1AF93F40-C928-4A74-9CD8-3036C7D69AF5}" name="2817" dataDxfId="13793"/>
    <tableColumn id="2598" xr3:uid="{7D3D25B5-5634-4A4B-AEAE-80059D096EA6}" name="2818" dataDxfId="13792"/>
    <tableColumn id="2599" xr3:uid="{214A4DAA-F9ED-408F-8F31-D9FE20F5AEE0}" name="2819" dataDxfId="13791"/>
    <tableColumn id="2600" xr3:uid="{E7525B83-5136-42CD-AD5B-AC841991ADF9}" name="2820" dataDxfId="13790"/>
    <tableColumn id="2601" xr3:uid="{401FB1F8-D4E1-4198-8F59-E6530909FC6F}" name="2821" dataDxfId="13789"/>
    <tableColumn id="2602" xr3:uid="{EE21DB4A-7434-47A4-B302-2DC2937DD8AF}" name="2822" dataDxfId="13788"/>
    <tableColumn id="2603" xr3:uid="{58442186-1510-4DF7-9106-2B66B5BBCE05}" name="2823" dataDxfId="13787"/>
    <tableColumn id="2604" xr3:uid="{31424A74-5287-44E3-A921-72B987BE1FCA}" name="2824" dataDxfId="13786"/>
    <tableColumn id="2605" xr3:uid="{A093244D-4BBA-41E4-9EFC-4BB7E9176205}" name="2825" dataDxfId="13785"/>
    <tableColumn id="2606" xr3:uid="{73496FA3-7DA8-4CBB-85EB-D50E25385B31}" name="2826" dataDxfId="13784"/>
    <tableColumn id="2607" xr3:uid="{52DE7753-FBBB-498A-A16C-EE03AACA8D2A}" name="2827" dataDxfId="13783"/>
    <tableColumn id="2608" xr3:uid="{649DC37E-B245-4EB7-A0AE-874897CC7DB9}" name="2828" dataDxfId="13782"/>
    <tableColumn id="2609" xr3:uid="{480870E3-4B40-4404-A6B9-CCE502DA508B}" name="2829" dataDxfId="13781"/>
    <tableColumn id="2610" xr3:uid="{9C01DC36-4873-4005-B23E-55990F72368B}" name="2830" dataDxfId="13780"/>
    <tableColumn id="2611" xr3:uid="{71CCAD0B-FE7B-44A5-BAC0-3457D35AC9FF}" name="2831" dataDxfId="13779"/>
    <tableColumn id="2612" xr3:uid="{EEB02820-53AC-464E-9BE6-E18A4CE2D81E}" name="2832" dataDxfId="13778"/>
    <tableColumn id="2613" xr3:uid="{5DBB829B-4923-4EA6-8CAD-515C87148A83}" name="2833" dataDxfId="13777"/>
    <tableColumn id="2614" xr3:uid="{E71B20E9-A632-4D85-A49F-1F75E6163B84}" name="2834" dataDxfId="13776"/>
    <tableColumn id="2615" xr3:uid="{F9EF810B-4A5D-42DF-BB40-592613A31140}" name="2835" dataDxfId="13775"/>
    <tableColumn id="2616" xr3:uid="{1D188574-A7FD-4AF2-AE77-893E8A13DE2F}" name="2836" dataDxfId="13774"/>
    <tableColumn id="2617" xr3:uid="{BCFB9509-6FFA-4960-843D-8A2CA3EB07F6}" name="2837" dataDxfId="13773"/>
    <tableColumn id="2618" xr3:uid="{F792FAA6-CA31-4523-9737-00FCD7066F82}" name="2838" dataDxfId="13772"/>
    <tableColumn id="2619" xr3:uid="{A048B36B-4612-47B0-B7C1-039ADA49A07B}" name="2839" dataDxfId="13771"/>
    <tableColumn id="2620" xr3:uid="{9E2CA56E-B65C-4239-BAF6-8E5D88FAD279}" name="2840" dataDxfId="13770"/>
    <tableColumn id="2621" xr3:uid="{8626533D-0399-43A6-A632-CE72BC9DB73C}" name="2841" dataDxfId="13769"/>
    <tableColumn id="2622" xr3:uid="{CFDEC46F-B307-42FC-B46F-B6FCF454CBB0}" name="2842" dataDxfId="13768"/>
    <tableColumn id="2623" xr3:uid="{8AAD342F-0E09-4B07-B9A7-1D97709BC11B}" name="2843" dataDxfId="13767"/>
    <tableColumn id="2624" xr3:uid="{35590441-51B9-4B03-BC42-E1D6571BF696}" name="2844" dataDxfId="13766"/>
    <tableColumn id="2625" xr3:uid="{B8939AE1-70E5-41D0-8418-BED30508CC2C}" name="2845" dataDxfId="13765"/>
    <tableColumn id="2626" xr3:uid="{2F7A41AF-1BFC-4527-924C-7EA2F0EC13DE}" name="2846" dataDxfId="13764"/>
    <tableColumn id="2627" xr3:uid="{5BB25510-09A5-4E26-8D6B-C995DE191EEF}" name="2847" dataDxfId="13763"/>
    <tableColumn id="2628" xr3:uid="{3C7839B1-E4A0-4EB8-8BD3-DD86D10E4F13}" name="2848" dataDxfId="13762"/>
    <tableColumn id="2629" xr3:uid="{90ABAAF8-8754-4F62-BB5A-1484ACBFABB4}" name="2849" dataDxfId="13761"/>
    <tableColumn id="2630" xr3:uid="{F0DFE22A-2B71-439E-BEA2-794B38BFA9AB}" name="2850" dataDxfId="13760"/>
    <tableColumn id="2631" xr3:uid="{60B51F6B-F079-4C2B-94C0-3F414525758A}" name="2851" dataDxfId="13759"/>
    <tableColumn id="2632" xr3:uid="{554FAC96-3F64-462E-A671-B31B22F9774C}" name="2852" dataDxfId="13758"/>
    <tableColumn id="2633" xr3:uid="{535B083A-76EC-48F7-A517-F655A9FD2400}" name="2853" dataDxfId="13757"/>
    <tableColumn id="2634" xr3:uid="{75B1054E-7E98-4850-A67C-900788663B01}" name="2854" dataDxfId="13756"/>
    <tableColumn id="2635" xr3:uid="{F875E380-EAE1-445C-B5EE-8936EA8258EE}" name="2855" dataDxfId="13755"/>
    <tableColumn id="2636" xr3:uid="{22B2DF9F-61B1-4A72-8190-B303122641E0}" name="2856" dataDxfId="13754"/>
    <tableColumn id="2637" xr3:uid="{535D4743-8FA5-4C0B-A2B8-F749B8B10815}" name="2857" dataDxfId="13753"/>
    <tableColumn id="2638" xr3:uid="{9EE2D289-B8A0-4622-874D-1E495DFAA4DB}" name="2858" dataDxfId="13752"/>
    <tableColumn id="2639" xr3:uid="{25578B3F-FB5A-4FF4-B039-82DEF6F7D564}" name="2859" dataDxfId="13751"/>
    <tableColumn id="2640" xr3:uid="{71C9C95C-AC01-484E-8A1A-E184FCB996DB}" name="2860" dataDxfId="13750"/>
    <tableColumn id="2641" xr3:uid="{EBBAB397-B0A7-4C25-87A9-C1EA711F4048}" name="2861" dataDxfId="13749"/>
    <tableColumn id="2642" xr3:uid="{FD66FD12-56B9-48BC-88E2-9828B26C0892}" name="2862" dataDxfId="13748"/>
    <tableColumn id="2643" xr3:uid="{74E522B3-71F4-4100-B693-04F38F8E39CA}" name="2863" dataDxfId="13747"/>
    <tableColumn id="2644" xr3:uid="{0A8ACCB7-5310-4F1B-805F-87F298D1799A}" name="2864" dataDxfId="13746"/>
    <tableColumn id="2645" xr3:uid="{7B5DD2D6-72C0-4ACE-A356-A4CB848D2F62}" name="2865" dataDxfId="13745"/>
    <tableColumn id="2646" xr3:uid="{EB58BF6C-04FB-415A-9BF9-6C0460373656}" name="2866" dataDxfId="13744"/>
    <tableColumn id="2647" xr3:uid="{4AA18D81-EF3E-4231-92EB-5472521DA3E6}" name="2867" dataDxfId="13743"/>
    <tableColumn id="2648" xr3:uid="{16788B11-B80C-49AB-B61C-52337728CC9A}" name="2868" dataDxfId="13742"/>
    <tableColumn id="2649" xr3:uid="{0E52A076-93FF-41C2-AF6B-B25CBCDDE865}" name="2869" dataDxfId="13741"/>
    <tableColumn id="2650" xr3:uid="{397B082D-4057-41D8-B0C8-34B49BF48310}" name="2870" dataDxfId="13740"/>
    <tableColumn id="2651" xr3:uid="{DE4C08E5-4A59-42B6-97DE-08B7798B5D5F}" name="2871" dataDxfId="13739"/>
    <tableColumn id="2652" xr3:uid="{FA9442A3-4B3F-438D-B10D-9D5424628FDE}" name="2872" dataDxfId="13738"/>
    <tableColumn id="2653" xr3:uid="{0A515F1C-9DA6-4CAF-BC60-50EB84F6903C}" name="2873" dataDxfId="13737"/>
    <tableColumn id="2654" xr3:uid="{BABE9D2A-E27E-4115-8E88-95710E476468}" name="2874" dataDxfId="13736"/>
    <tableColumn id="2655" xr3:uid="{ECBD6361-4473-475E-8948-7FD5F3E43381}" name="2875" dataDxfId="13735"/>
    <tableColumn id="2656" xr3:uid="{2C18EACE-5995-4B77-9917-83217EBFE2EA}" name="2876" dataDxfId="13734"/>
    <tableColumn id="2657" xr3:uid="{0008958C-74DF-40E9-A433-1F342F39A3E0}" name="2877" dataDxfId="13733"/>
    <tableColumn id="2658" xr3:uid="{9BEA423D-BDF6-4E1C-9439-64AAD7D58D00}" name="2878" dataDxfId="13732"/>
    <tableColumn id="2659" xr3:uid="{6D58575F-C215-4735-81BF-E12484ED0252}" name="2879" dataDxfId="13731"/>
    <tableColumn id="2660" xr3:uid="{EA054060-4E59-40AF-9BAF-FF7DEFF1C5DA}" name="2880" dataDxfId="13730"/>
    <tableColumn id="2661" xr3:uid="{BE2F22BA-D7BB-4D82-9FF5-D17AD635E998}" name="2881" dataDxfId="13729"/>
    <tableColumn id="2662" xr3:uid="{490012E3-32D1-4EEC-BC88-19E079CE1A10}" name="2882" dataDxfId="13728"/>
    <tableColumn id="2663" xr3:uid="{51ED40D7-C8E9-40ED-81F1-4579648AD815}" name="2883" dataDxfId="13727"/>
    <tableColumn id="2664" xr3:uid="{76F7DE88-5293-4404-9D5D-64F5AD09C620}" name="2884" dataDxfId="13726"/>
    <tableColumn id="2665" xr3:uid="{90479756-25EB-45AA-B36D-46867550FBD9}" name="2885" dataDxfId="13725"/>
    <tableColumn id="2666" xr3:uid="{55BDF2AE-7CFD-4C66-B593-F3AAD29767C4}" name="2886" dataDxfId="13724"/>
    <tableColumn id="2667" xr3:uid="{EA054E45-6BFA-4F1C-B080-89710307E39C}" name="2887" dataDxfId="13723"/>
    <tableColumn id="2668" xr3:uid="{BA0D7304-4BB0-44B5-9857-EDF117B9A427}" name="2888" dataDxfId="13722"/>
    <tableColumn id="2669" xr3:uid="{340DA337-F54F-4CB6-B287-BCD7C0708CCA}" name="2889" dataDxfId="13721"/>
    <tableColumn id="2670" xr3:uid="{9AFA5373-F468-4119-A9DD-42192BA99F3E}" name="2890" dataDxfId="13720"/>
    <tableColumn id="2671" xr3:uid="{43D7D0AC-17DC-4CFA-BFA5-D812D661F601}" name="2891" dataDxfId="13719"/>
    <tableColumn id="2672" xr3:uid="{C7EF6D4F-2F6A-4E3F-B7E1-0F39F6CDC333}" name="2892" dataDxfId="13718"/>
    <tableColumn id="2673" xr3:uid="{68D380FF-C20C-4881-A408-02F85FBEC935}" name="2893" dataDxfId="13717"/>
    <tableColumn id="2674" xr3:uid="{FFCCD324-98EF-45DC-89D2-CB2EC964C0F5}" name="2894" dataDxfId="13716"/>
    <tableColumn id="2675" xr3:uid="{2BBA5C04-6B49-4E2E-9BD2-986BA52CA58C}" name="2895" dataDxfId="13715"/>
    <tableColumn id="2676" xr3:uid="{810C3029-EE6F-4060-98B9-BF42396D5166}" name="2896" dataDxfId="13714"/>
    <tableColumn id="2677" xr3:uid="{AD9EDB74-A883-44F4-9446-B20177818259}" name="2897" dataDxfId="13713"/>
    <tableColumn id="2678" xr3:uid="{9B1429FB-57F9-4DAA-8583-99422B3A200E}" name="2898" dataDxfId="13712"/>
    <tableColumn id="2679" xr3:uid="{FA598F09-38CA-4E16-9D90-E551ED8069C4}" name="2899" dataDxfId="13711"/>
    <tableColumn id="2680" xr3:uid="{D13ED7FF-5F0D-498A-BA82-40B14EDBDF96}" name="2900" dataDxfId="13710"/>
    <tableColumn id="2681" xr3:uid="{1B91A1CD-9B54-4600-B949-92A73F436C84}" name="2901" dataDxfId="13709"/>
    <tableColumn id="2682" xr3:uid="{B3B54C6D-4777-437A-9504-0DF4B664BDEA}" name="2902" dataDxfId="13708"/>
    <tableColumn id="2683" xr3:uid="{2AE5AD31-00F8-420E-8142-D07420F53DDC}" name="2903" dataDxfId="13707"/>
    <tableColumn id="2684" xr3:uid="{A76CE835-A1A5-425B-AB1D-997AD11DF803}" name="2904" dataDxfId="13706"/>
    <tableColumn id="2685" xr3:uid="{3886C7D9-8435-49DA-B362-06E0F874BB42}" name="2905" dataDxfId="13705"/>
    <tableColumn id="2686" xr3:uid="{36960D37-37D2-4894-A1E6-F32DD537D36A}" name="2906" dataDxfId="13704"/>
    <tableColumn id="2687" xr3:uid="{6367D090-754C-4408-B7E1-2BE0AF064835}" name="2907" dataDxfId="13703"/>
    <tableColumn id="2688" xr3:uid="{6F52B296-DC2D-4460-9A0C-601002F26BCA}" name="2908" dataDxfId="13702"/>
    <tableColumn id="2689" xr3:uid="{91670D29-B9D1-477D-AD49-6110996B7102}" name="2909" dataDxfId="13701"/>
    <tableColumn id="2690" xr3:uid="{EB4932F0-6DDC-4C92-85EA-5FBE6F0E8C5F}" name="2910" dataDxfId="13700"/>
    <tableColumn id="2691" xr3:uid="{B916DE78-6590-4F0C-B71D-E23BF3D249FE}" name="2911" dataDxfId="13699"/>
    <tableColumn id="2692" xr3:uid="{25B4ACCD-BD74-4693-8711-1475663D7018}" name="2912" dataDxfId="13698"/>
    <tableColumn id="2693" xr3:uid="{0C48F56F-7189-4BA0-BF71-7D5E395985C5}" name="2913" dataDxfId="13697"/>
    <tableColumn id="2694" xr3:uid="{57A6AA62-D8AC-49F7-9B98-96B873BEF3EC}" name="2914" dataDxfId="13696"/>
    <tableColumn id="2695" xr3:uid="{BAA301B4-A6AD-4D2D-A7DD-EEF28E0F764E}" name="2915" dataDxfId="13695"/>
    <tableColumn id="2696" xr3:uid="{23AD10A9-70B3-41BC-B42D-1EB5B1946958}" name="2916" dataDxfId="13694"/>
    <tableColumn id="2697" xr3:uid="{6231FFEF-8F13-48A7-A58B-08B44B9F2F31}" name="2917" dataDxfId="13693"/>
    <tableColumn id="2698" xr3:uid="{884B21A3-3E8D-4BC5-B4C1-0659859CCEBA}" name="2918" dataDxfId="13692"/>
    <tableColumn id="2699" xr3:uid="{0A79829E-30E7-4A15-8BEF-52F6AC8E7B47}" name="2919" dataDxfId="13691"/>
    <tableColumn id="2700" xr3:uid="{10AB0029-633F-4493-977E-9FA275A40E3A}" name="2920" dataDxfId="13690"/>
    <tableColumn id="2701" xr3:uid="{2E117DBF-1C91-4247-866A-286739513374}" name="2921" dataDxfId="13689"/>
    <tableColumn id="2702" xr3:uid="{EDB71D7C-A95F-4C04-AE14-170108F8A93B}" name="2922" dataDxfId="13688"/>
    <tableColumn id="2703" xr3:uid="{00CBF462-2AED-413C-8167-04719B186DBA}" name="2923" dataDxfId="13687"/>
    <tableColumn id="2704" xr3:uid="{52B7B075-400C-40A7-8FCB-A16007307782}" name="2924" dataDxfId="13686"/>
    <tableColumn id="2705" xr3:uid="{D3254B2E-E1F5-485B-A30F-606428B33D9B}" name="2925" dataDxfId="13685"/>
    <tableColumn id="2706" xr3:uid="{44F9F658-1542-4FAC-AD48-B1B65F1BB03E}" name="2926" dataDxfId="13684"/>
    <tableColumn id="2707" xr3:uid="{E2FDE04D-5EA2-4ED9-AC52-D24FB449A843}" name="2927" dataDxfId="13683"/>
    <tableColumn id="2708" xr3:uid="{FF732D4D-CADC-4202-A59D-47B181C2768E}" name="2928" dataDxfId="13682"/>
    <tableColumn id="2709" xr3:uid="{C87F6C1C-54B1-4A7C-A220-065CCAF2F106}" name="2929" dataDxfId="13681"/>
    <tableColumn id="2710" xr3:uid="{05CF85AD-204D-460B-8210-3F4094729E67}" name="2930" dataDxfId="13680"/>
    <tableColumn id="2711" xr3:uid="{69198BFA-6AEB-4032-9CEE-532D5F18E813}" name="2931" dataDxfId="13679"/>
    <tableColumn id="2712" xr3:uid="{2DA9265B-CBA1-4BEC-9ABA-FA86AD2A9EAC}" name="2932" dataDxfId="13678"/>
    <tableColumn id="2713" xr3:uid="{93C3115B-3E9D-4154-90BE-03CA35DFFCD0}" name="2933" dataDxfId="13677"/>
    <tableColumn id="2714" xr3:uid="{C562D68D-79F2-4C13-A41E-C46787637EA4}" name="2934" dataDxfId="13676"/>
    <tableColumn id="2715" xr3:uid="{D596FF7D-2C36-4CE0-9C90-E084305CC242}" name="2935" dataDxfId="13675"/>
    <tableColumn id="2716" xr3:uid="{FAC54DC6-A02E-40B0-9D98-A95B91217134}" name="2936" dataDxfId="13674"/>
    <tableColumn id="2717" xr3:uid="{DB1B2156-FABB-4ED8-855F-1701A1AEE463}" name="2937" dataDxfId="13673"/>
    <tableColumn id="2718" xr3:uid="{39F0E0F6-A704-4C1C-BB01-50B099A3765C}" name="2938" dataDxfId="13672"/>
    <tableColumn id="2719" xr3:uid="{25A9F473-4DEE-46E5-AE3C-817FB53B8E05}" name="2939" dataDxfId="13671"/>
    <tableColumn id="2720" xr3:uid="{DA3B5E09-4CAE-49E6-9E58-6B579B2551BE}" name="2940" dataDxfId="13670"/>
    <tableColumn id="2721" xr3:uid="{ED43A33E-8DA7-4336-8304-A2800A5B5323}" name="2941" dataDxfId="13669"/>
    <tableColumn id="2722" xr3:uid="{34B88C00-4E5C-4EA1-B297-874606701467}" name="2942" dataDxfId="13668"/>
    <tableColumn id="2723" xr3:uid="{9A732264-5A2C-4AD2-A145-AF1C3D021CC7}" name="2943" dataDxfId="13667"/>
    <tableColumn id="2724" xr3:uid="{364CF434-9BFA-4444-9666-87474E3E31DC}" name="2944" dataDxfId="13666"/>
    <tableColumn id="2725" xr3:uid="{66FB2E2E-5DB9-479D-A3DC-AEAADE466B0A}" name="2945" dataDxfId="13665"/>
    <tableColumn id="2726" xr3:uid="{87A5FA02-F6AC-420D-B6DC-12E4A03B4CDA}" name="2946" dataDxfId="13664"/>
    <tableColumn id="2727" xr3:uid="{59621364-32AA-440E-B836-766DF939238A}" name="2947" dataDxfId="13663"/>
    <tableColumn id="2728" xr3:uid="{4CD75E6F-87FF-40DB-A7DD-E96D84039A02}" name="2948" dataDxfId="13662"/>
    <tableColumn id="2729" xr3:uid="{99FC9816-5BB7-4C3E-B534-D53F7C680EFC}" name="2949" dataDxfId="13661"/>
    <tableColumn id="2730" xr3:uid="{3F6F8F6F-21F0-49A9-80A2-F21D4EABCBEA}" name="2950" dataDxfId="13660"/>
    <tableColumn id="2731" xr3:uid="{9F7EF3FD-CF32-4002-A843-7A4DB25E2FFC}" name="2951" dataDxfId="13659"/>
    <tableColumn id="2732" xr3:uid="{A15D4019-5D10-490E-BCE6-BB74D36F9A19}" name="2952" dataDxfId="13658"/>
    <tableColumn id="2733" xr3:uid="{4B115D95-82B8-4E90-9C0F-8B47CDD69958}" name="2953" dataDxfId="13657"/>
    <tableColumn id="2734" xr3:uid="{B5656421-A9E6-4C0F-AF15-D37E11148171}" name="2954" dataDxfId="13656"/>
    <tableColumn id="2735" xr3:uid="{5F5B2FC2-2972-4FBB-A7B0-37D9D6FF1BD0}" name="2955" dataDxfId="13655"/>
    <tableColumn id="2736" xr3:uid="{67E310DB-64D7-44F2-96F6-A13955B5FC82}" name="2956" dataDxfId="13654"/>
    <tableColumn id="2737" xr3:uid="{8F00C4C3-2CBE-4AE0-B19A-A6219215C9DE}" name="2957" dataDxfId="13653"/>
    <tableColumn id="2738" xr3:uid="{09C95881-398D-42B3-8999-572BE422A107}" name="2958" dataDxfId="13652"/>
    <tableColumn id="2739" xr3:uid="{797B9AEE-98CA-4A21-825F-7557C53F7605}" name="2959" dataDxfId="13651"/>
    <tableColumn id="2740" xr3:uid="{764BB9DD-2332-49A4-BBFD-64D27A860216}" name="2960" dataDxfId="13650"/>
    <tableColumn id="2741" xr3:uid="{E4EF95A2-2B50-4921-86D4-389D62559990}" name="2961" dataDxfId="13649"/>
    <tableColumn id="2742" xr3:uid="{1DA76080-35B6-4269-B684-0A237C21B3AB}" name="2962" dataDxfId="13648"/>
    <tableColumn id="2743" xr3:uid="{CDF76C95-7270-4C90-B08D-4F1483BD6A66}" name="2963" dataDxfId="13647"/>
    <tableColumn id="2744" xr3:uid="{BB872AE2-BBBC-4B30-86AE-45FA7B65C622}" name="2964" dataDxfId="13646"/>
    <tableColumn id="2745" xr3:uid="{DC42759B-69D5-48CF-AFAE-1BD21D262576}" name="2965" dataDxfId="13645"/>
    <tableColumn id="2746" xr3:uid="{90589566-050D-4415-B5F6-1FBD4646DFD7}" name="2966" dataDxfId="13644"/>
    <tableColumn id="2747" xr3:uid="{EE48E729-CA7B-48E9-A00D-8854E3AE0689}" name="2967" dataDxfId="13643"/>
    <tableColumn id="2748" xr3:uid="{22D270B4-35C2-4D52-A71D-176E95A55D34}" name="2968" dataDxfId="13642"/>
    <tableColumn id="2749" xr3:uid="{5BEAAEC1-5E4C-4E42-AF91-0ED025B3BCF3}" name="2969" dataDxfId="13641"/>
    <tableColumn id="2750" xr3:uid="{E711713D-B488-4D2F-BEB2-F38890E5AD81}" name="2970" dataDxfId="13640"/>
    <tableColumn id="2751" xr3:uid="{1F2D905F-062E-4F90-BE60-4CBAA0F52BDA}" name="2971" dataDxfId="13639"/>
    <tableColumn id="2752" xr3:uid="{F8476A95-B536-4218-B9A2-ADA4D7FEDFA4}" name="2972" dataDxfId="13638"/>
    <tableColumn id="2753" xr3:uid="{EFDB44DE-0E67-4849-A5F6-6878E16BA5C9}" name="2973" dataDxfId="13637"/>
    <tableColumn id="2754" xr3:uid="{1107486B-CE48-47AF-8E6C-486BBDA31DE7}" name="2974" dataDxfId="13636"/>
    <tableColumn id="2755" xr3:uid="{2C564BF6-A151-4DF4-B9ED-19A886AC8815}" name="2975" dataDxfId="13635"/>
    <tableColumn id="2756" xr3:uid="{21D09963-4CE4-4E73-A1B8-FFFB4AA0D2A0}" name="2976" dataDxfId="13634"/>
    <tableColumn id="2757" xr3:uid="{BBAC78FA-4009-4DD0-A94A-9BC7956902D8}" name="2977" dataDxfId="13633"/>
    <tableColumn id="2758" xr3:uid="{BBF810C2-7BD3-4BCF-8367-776AF12AE876}" name="2978" dataDxfId="13632"/>
    <tableColumn id="2759" xr3:uid="{645B00DC-2402-45C8-B195-CC35EB45855E}" name="2979" dataDxfId="13631"/>
    <tableColumn id="2760" xr3:uid="{F149FFB3-3698-4C67-86B7-667E245BDFF3}" name="2980" dataDxfId="13630"/>
    <tableColumn id="2761" xr3:uid="{5C45B1BE-8477-4976-9983-69A94DF3E75C}" name="2981" dataDxfId="13629"/>
    <tableColumn id="2762" xr3:uid="{3AB72B35-153F-4C35-ABA9-D9B347C8876E}" name="2982" dataDxfId="13628"/>
    <tableColumn id="2763" xr3:uid="{D64C7489-7E6B-45DD-98E6-DD2E145A4321}" name="2983" dataDxfId="13627"/>
    <tableColumn id="2764" xr3:uid="{6798BBF2-091F-4FEA-B5AB-EDD38FFFCF53}" name="2984" dataDxfId="13626"/>
    <tableColumn id="2765" xr3:uid="{81A448A8-0D11-4494-A7E0-D0D4F81A3508}" name="2985" dataDxfId="13625"/>
    <tableColumn id="2766" xr3:uid="{03B9A133-E1F6-49B8-ABFD-F269B3335647}" name="2986" dataDxfId="13624"/>
    <tableColumn id="2767" xr3:uid="{57421A1F-63A3-4BA4-8E40-F26BF4A2326C}" name="2987" dataDxfId="13623"/>
    <tableColumn id="2768" xr3:uid="{8CFD345D-6C95-43E6-BB24-A01FCE57B3EA}" name="2988" dataDxfId="13622"/>
    <tableColumn id="2769" xr3:uid="{2A543D8C-86FC-400C-9E1F-441622986A20}" name="2989" dataDxfId="13621"/>
    <tableColumn id="2770" xr3:uid="{D84E72DB-216A-4C54-92F1-C14987E02887}" name="2990" dataDxfId="13620"/>
    <tableColumn id="2771" xr3:uid="{E8529879-843E-4553-ADCD-694BC0D60AEA}" name="2991" dataDxfId="13619"/>
    <tableColumn id="2772" xr3:uid="{4F604CE8-AAF6-41B2-9DA2-E67F7EB5C85E}" name="2992" dataDxfId="13618"/>
    <tableColumn id="2773" xr3:uid="{59553BA6-D56F-46E0-B6DD-49F3A7538EFE}" name="2993" dataDxfId="13617"/>
    <tableColumn id="2774" xr3:uid="{12ECEDF8-B017-4DFF-A87A-92712449F0A0}" name="2994" dataDxfId="13616"/>
    <tableColumn id="2775" xr3:uid="{CA046EC4-DE73-4BFD-A2D6-2C590B022791}" name="2995" dataDxfId="13615"/>
    <tableColumn id="2776" xr3:uid="{B699C260-428B-4BD9-BA57-36D91807BC5B}" name="2996" dataDxfId="13614"/>
    <tableColumn id="2777" xr3:uid="{24B29FD9-241E-4BEC-869D-EDB89C75D720}" name="2997" dataDxfId="13613"/>
    <tableColumn id="2778" xr3:uid="{C1FFD995-7F54-411D-A043-911317A0942B}" name="2998" dataDxfId="13612"/>
    <tableColumn id="2779" xr3:uid="{F7926243-36E8-40F7-AA94-C025B3E2EC8B}" name="2999" dataDxfId="13611"/>
    <tableColumn id="2780" xr3:uid="{23B806EF-9411-48C1-BA8F-3EB1B9607DF0}" name="3000" dataDxfId="13610"/>
    <tableColumn id="2781" xr3:uid="{AE25B6CB-CFF2-4E47-8A9D-49B1A656FAEE}" name="3001" dataDxfId="13609"/>
    <tableColumn id="2782" xr3:uid="{E03412FA-7B2E-40B6-9FD1-E7B7C1A646B8}" name="3002" dataDxfId="13608"/>
    <tableColumn id="2783" xr3:uid="{299659B7-037F-46FA-8A05-572B46D2B9E8}" name="3003" dataDxfId="13607"/>
    <tableColumn id="2784" xr3:uid="{56CD465B-BA2C-44A9-9E68-7025B84E987B}" name="3004" dataDxfId="13606"/>
    <tableColumn id="2785" xr3:uid="{9CBA87E7-9E50-4BE1-BC7F-39AAC8EE215C}" name="3005" dataDxfId="13605"/>
    <tableColumn id="2786" xr3:uid="{5D3091EB-4C03-457E-836C-DB7E6DBDDD77}" name="3006" dataDxfId="13604"/>
    <tableColumn id="2787" xr3:uid="{13CCF33B-8186-4FF4-9FBC-71AA12BD40BB}" name="3007" dataDxfId="13603"/>
    <tableColumn id="2788" xr3:uid="{EBA02D9F-F06F-4BCE-B5F1-E01C2AE5E0A9}" name="3008" dataDxfId="13602"/>
    <tableColumn id="2789" xr3:uid="{38C4D35A-73DC-4653-B1B7-258B5882B35C}" name="3009" dataDxfId="13601"/>
    <tableColumn id="2790" xr3:uid="{2C3AB065-7194-4C5C-B337-5116B9F931C9}" name="3010" dataDxfId="13600"/>
    <tableColumn id="2791" xr3:uid="{8A4A9A80-5A24-4F61-8116-0A292F9379A7}" name="3011" dataDxfId="13599"/>
    <tableColumn id="2792" xr3:uid="{74910CBC-1E49-4FED-953C-A91436A3A466}" name="3012" dataDxfId="13598"/>
    <tableColumn id="2793" xr3:uid="{D5F17323-1031-476F-918A-233826DD473B}" name="3013" dataDxfId="13597"/>
    <tableColumn id="2794" xr3:uid="{9B2BA4C8-F46F-47AB-89C1-4B70BBAC58C0}" name="3014" dataDxfId="13596"/>
    <tableColumn id="2795" xr3:uid="{60C03ECE-864E-4BF1-8D9E-E0AB9D6C526F}" name="3015" dataDxfId="13595"/>
    <tableColumn id="2796" xr3:uid="{E812A5F4-3834-4E10-92AC-314EFD65BD81}" name="3016" dataDxfId="13594"/>
    <tableColumn id="2797" xr3:uid="{2341FE2C-BB3F-4316-A6B5-8FCB5B538D7E}" name="3017" dataDxfId="13593"/>
    <tableColumn id="2798" xr3:uid="{0AA0B3F2-5D9F-405B-8686-4C8D6D6EC371}" name="3018" dataDxfId="13592"/>
    <tableColumn id="2799" xr3:uid="{23AC4C84-0D40-4214-BB3E-65B722B495B1}" name="3019" dataDxfId="13591"/>
    <tableColumn id="2800" xr3:uid="{1EA4A8DE-5415-419B-B8F3-A896001FFAC2}" name="3020" dataDxfId="13590"/>
    <tableColumn id="2801" xr3:uid="{01DC0ADC-B2C1-42CB-B281-CB2C241311FA}" name="3021" dataDxfId="13589"/>
    <tableColumn id="2802" xr3:uid="{3144AB8B-7AFA-475C-BC8D-38CB2B0A5DD9}" name="3022" dataDxfId="13588"/>
    <tableColumn id="2803" xr3:uid="{8D3AE590-754B-4C56-A461-EEF5E77E1729}" name="3023" dataDxfId="13587"/>
    <tableColumn id="2804" xr3:uid="{E720807E-287E-42F1-871A-D4FCFC16CDD1}" name="3024" dataDxfId="13586"/>
    <tableColumn id="2805" xr3:uid="{7EDDA11F-BA29-441A-B2EC-D3A516907437}" name="3025" dataDxfId="13585"/>
    <tableColumn id="2806" xr3:uid="{23A4F9D5-B7EA-4210-BB99-041A1A508AB6}" name="3026" dataDxfId="13584"/>
    <tableColumn id="2807" xr3:uid="{2707D7DB-6AAF-47ED-9DA0-421CFABAAAF4}" name="3027" dataDxfId="13583"/>
    <tableColumn id="2808" xr3:uid="{4A494561-E4AA-418B-8E3A-E3F8110C5782}" name="3028" dataDxfId="13582"/>
    <tableColumn id="2809" xr3:uid="{5DECDFC1-13B2-4C86-BB5D-08CAE639C3F7}" name="3029" dataDxfId="13581"/>
    <tableColumn id="2810" xr3:uid="{4F150480-9DDC-4365-B187-C5F51AC1F15D}" name="3030" dataDxfId="13580"/>
    <tableColumn id="2811" xr3:uid="{A3C88933-2B12-4023-9A80-33B24937B590}" name="3031" dataDxfId="13579"/>
    <tableColumn id="2812" xr3:uid="{042AEA20-D91C-4320-A12D-ADAD256EA9F1}" name="3032" dataDxfId="13578"/>
    <tableColumn id="2813" xr3:uid="{97A92936-C537-496C-B68F-932FEF9F0D9E}" name="3033" dataDxfId="13577"/>
    <tableColumn id="2814" xr3:uid="{8F01D7D3-ABA7-4E8D-B7F8-FD5C48CFC3AA}" name="3034" dataDxfId="13576"/>
    <tableColumn id="2815" xr3:uid="{CD4BC712-404F-44A5-9F88-CFB0DB16C0F9}" name="3035" dataDxfId="13575"/>
    <tableColumn id="2816" xr3:uid="{5BE3AD8E-C059-489D-B871-F874210DBD7D}" name="3036" dataDxfId="13574"/>
    <tableColumn id="2817" xr3:uid="{FC64E12A-061D-4AC2-9155-DDA9820CD07A}" name="3037" dataDxfId="13573"/>
    <tableColumn id="2818" xr3:uid="{AB20C7CB-4633-4B39-9813-E0FF2D9AF7A0}" name="3038" dataDxfId="13572"/>
    <tableColumn id="2819" xr3:uid="{782C67B4-D7C8-4B86-804C-001AF1499D0E}" name="3039" dataDxfId="13571"/>
    <tableColumn id="2820" xr3:uid="{62E89002-CB8A-4BF1-8920-B9C94A7728E5}" name="3040" dataDxfId="13570"/>
    <tableColumn id="2821" xr3:uid="{3600EC6D-04AF-47CB-9257-4F2039B609D4}" name="3041" dataDxfId="13569"/>
    <tableColumn id="2822" xr3:uid="{589B8EE5-B289-45C6-B001-C9B389976F7F}" name="3042" dataDxfId="13568"/>
    <tableColumn id="2823" xr3:uid="{02516C8E-BDAD-4020-A903-3CD5958AE871}" name="3043" dataDxfId="13567"/>
    <tableColumn id="2824" xr3:uid="{C3E7C2E9-40B1-4069-A8A8-4BE362A33D0F}" name="3044" dataDxfId="13566"/>
    <tableColumn id="2825" xr3:uid="{4A4AB6A5-5A2F-4E76-8E08-0DB1A893956E}" name="3045" dataDxfId="13565"/>
    <tableColumn id="2826" xr3:uid="{BE6EF7F4-2C26-4DE1-9114-1F3046C1C701}" name="3046" dataDxfId="13564"/>
    <tableColumn id="2827" xr3:uid="{1CE5070E-C38E-40DD-84EA-959989AB5C03}" name="3047" dataDxfId="13563"/>
    <tableColumn id="2828" xr3:uid="{11A142EC-127C-40D1-AF27-FF53AA93892C}" name="3048" dataDxfId="13562"/>
    <tableColumn id="2829" xr3:uid="{C0079E33-2D52-4522-BE95-37FB1146E9D0}" name="3049" dataDxfId="13561"/>
    <tableColumn id="2830" xr3:uid="{5D6B715D-4A19-47DD-812B-2F060A7CE39F}" name="3050" dataDxfId="13560"/>
    <tableColumn id="2831" xr3:uid="{13FF053F-3A82-41D4-9536-6A6B42C7D4CA}" name="3051" dataDxfId="13559"/>
    <tableColumn id="2832" xr3:uid="{F74EF3CA-2D5F-4EB9-9136-F1DD96052A59}" name="3052" dataDxfId="13558"/>
    <tableColumn id="2833" xr3:uid="{D0338414-94F5-43FA-B0E6-157420B200B6}" name="3053" dataDxfId="13557"/>
    <tableColumn id="2834" xr3:uid="{50F58BAE-BEC3-4D71-8022-D1E752A523AD}" name="3054" dataDxfId="13556"/>
    <tableColumn id="2835" xr3:uid="{3C767A0E-DADB-4DB9-82D5-6406FA087DD9}" name="3055" dataDxfId="13555"/>
    <tableColumn id="2836" xr3:uid="{4E8E7E75-7ADC-4CAC-A067-AC4BEFD14613}" name="3056" dataDxfId="13554"/>
    <tableColumn id="2837" xr3:uid="{93BE5881-AA58-4E58-9DED-4F3D58C475DC}" name="3057" dataDxfId="13553"/>
    <tableColumn id="2838" xr3:uid="{7E697B09-2195-471E-A2CC-CFCDC6C4121F}" name="3058" dataDxfId="13552"/>
    <tableColumn id="2839" xr3:uid="{12E6B713-A080-4170-A98E-31FD0E15C263}" name="3059" dataDxfId="13551"/>
    <tableColumn id="2840" xr3:uid="{487A0DCB-90C4-4537-95FE-5805C0A5154F}" name="3060" dataDxfId="13550"/>
    <tableColumn id="2841" xr3:uid="{BE58A57F-EFEC-4D52-882A-8CE43C4AA96C}" name="3061" dataDxfId="13549"/>
    <tableColumn id="2842" xr3:uid="{EBE5972B-AD7D-4AA4-81C7-A765C4DBE840}" name="3062" dataDxfId="13548"/>
    <tableColumn id="2843" xr3:uid="{75E52CA9-50FF-4CDD-95F2-27BEBE06B872}" name="3063" dataDxfId="13547"/>
    <tableColumn id="2844" xr3:uid="{A8CC029C-C188-4901-9855-1E21F9F7FA8D}" name="3064" dataDxfId="13546"/>
    <tableColumn id="2845" xr3:uid="{F0D686B3-462A-46A2-999A-819E01015EEC}" name="3065" dataDxfId="13545"/>
    <tableColumn id="2846" xr3:uid="{C7F296EE-D8DE-40D0-A33B-F15B2EA669B8}" name="3066" dataDxfId="13544"/>
    <tableColumn id="2847" xr3:uid="{E5DB33A2-EB18-403C-AA43-BCDDAD972B94}" name="3067" dataDxfId="13543"/>
    <tableColumn id="2848" xr3:uid="{9CCC4C97-E6F2-469F-B8A3-8BB8114768CA}" name="3068" dataDxfId="13542"/>
    <tableColumn id="2849" xr3:uid="{0CF554BD-32D5-4E4B-801E-4E925DCFDAA7}" name="3069" dataDxfId="13541"/>
    <tableColumn id="2850" xr3:uid="{082AF16E-2633-4F6F-8803-1E203CE4A9F2}" name="3070" dataDxfId="13540"/>
    <tableColumn id="2851" xr3:uid="{DC9FBB08-C7A8-4DF9-8FDD-4B88E0117DB1}" name="3071" dataDxfId="13539"/>
    <tableColumn id="2852" xr3:uid="{0E8C14A3-1707-4806-AE06-6613539272E2}" name="3072" dataDxfId="13538"/>
    <tableColumn id="2853" xr3:uid="{01870970-0F80-419F-B657-7B5D5C061091}" name="3073" dataDxfId="13537"/>
    <tableColumn id="2854" xr3:uid="{8AEAF10E-A637-4489-B228-4D0E55EC81E0}" name="3074" dataDxfId="13536"/>
    <tableColumn id="2855" xr3:uid="{5F51CDE6-F928-4625-86E4-063BAE7B32D8}" name="3075" dataDxfId="13535"/>
    <tableColumn id="2856" xr3:uid="{E48E4F2D-AA86-4819-9A6D-E5BAA6241586}" name="3076" dataDxfId="13534"/>
    <tableColumn id="2857" xr3:uid="{8C68C068-E302-4E5A-BA81-826BCAA0C7C8}" name="3077" dataDxfId="13533"/>
    <tableColumn id="2858" xr3:uid="{BFFAED66-11E7-4922-8461-AF5D62E3461C}" name="3078" dataDxfId="13532"/>
    <tableColumn id="2859" xr3:uid="{937580D4-BD1D-4AC8-A212-B2EF875915A2}" name="3079" dataDxfId="13531"/>
    <tableColumn id="2860" xr3:uid="{48BEF3EC-415D-4363-8D6F-2281DD110F92}" name="3080" dataDxfId="13530"/>
    <tableColumn id="2861" xr3:uid="{D70D600D-F8D7-4BFA-9270-2AA5D72A0607}" name="3081" dataDxfId="13529"/>
    <tableColumn id="2862" xr3:uid="{1367576D-F089-458A-A3A2-553AF4701731}" name="3082" dataDxfId="13528"/>
    <tableColumn id="2863" xr3:uid="{3F32EB64-009C-4692-A7A6-0766CF1A005F}" name="3083" dataDxfId="13527"/>
    <tableColumn id="2864" xr3:uid="{3E7A2895-2A13-4907-ABF9-407EB0C32D87}" name="3084" dataDxfId="13526"/>
    <tableColumn id="2865" xr3:uid="{E2D9377F-4124-4227-848A-7758E1587EF9}" name="3085" dataDxfId="13525"/>
    <tableColumn id="2866" xr3:uid="{42189374-6258-4417-AD6B-CD64A74BB59A}" name="3086" dataDxfId="13524"/>
    <tableColumn id="2867" xr3:uid="{65B24BD8-53C7-4882-8C26-E1BC1C92527F}" name="3087" dataDxfId="13523"/>
    <tableColumn id="2868" xr3:uid="{87FC365F-56D3-45CA-A740-79415BC9B6AC}" name="3088" dataDxfId="13522"/>
    <tableColumn id="2869" xr3:uid="{BBB08D28-D0B6-47B0-8DE5-244A99DAAFD7}" name="3089" dataDxfId="13521"/>
    <tableColumn id="2870" xr3:uid="{39817BB4-BCC7-4A20-8DD8-ADA09CF668BA}" name="3090" dataDxfId="13520"/>
    <tableColumn id="2871" xr3:uid="{C670CD84-3901-4CBD-BE5F-1AB35B90C30D}" name="3091" dataDxfId="13519"/>
    <tableColumn id="2872" xr3:uid="{DCE2B7F2-4E34-497A-9DA2-A49CF930576C}" name="3092" dataDxfId="13518"/>
    <tableColumn id="2873" xr3:uid="{3E5337CE-82A6-471B-B182-89ABD80CCDD7}" name="3093" dataDxfId="13517"/>
    <tableColumn id="2874" xr3:uid="{EF12142C-66E0-4846-9119-C2CC4BF19B18}" name="3094" dataDxfId="13516"/>
    <tableColumn id="2875" xr3:uid="{584D5F31-20F7-471E-B4F1-98C4756A8037}" name="3095" dataDxfId="13515"/>
    <tableColumn id="2876" xr3:uid="{C035A0E5-CDD4-4EB5-83E2-11DCD056BBD2}" name="3096" dataDxfId="13514"/>
    <tableColumn id="2877" xr3:uid="{6EEF65A2-58B9-494A-B7DF-D1938D877C65}" name="3097" dataDxfId="13513"/>
    <tableColumn id="2878" xr3:uid="{AF3CEFA2-AF4F-4597-8625-F59D00AEE2C3}" name="3098" dataDxfId="13512"/>
    <tableColumn id="2879" xr3:uid="{85E2F424-DC64-4A2B-9F87-ECC8727F142E}" name="3099" dataDxfId="13511"/>
    <tableColumn id="2880" xr3:uid="{61C1F103-534F-43E0-8C65-2820F46B9B30}" name="3100" dataDxfId="13510"/>
    <tableColumn id="2881" xr3:uid="{6DEABF6A-092C-4C60-8B84-EBA825299F57}" name="3101" dataDxfId="13509"/>
    <tableColumn id="2882" xr3:uid="{93C004AD-E28F-4571-B7F1-CD09DF85CDD7}" name="3102" dataDxfId="13508"/>
    <tableColumn id="2883" xr3:uid="{D36BA8C2-A656-409A-B43A-EF91947D8E62}" name="3103" dataDxfId="13507"/>
    <tableColumn id="2884" xr3:uid="{3CF7805B-31D4-4F15-AF52-3C653998CA01}" name="3104" dataDxfId="13506"/>
    <tableColumn id="2885" xr3:uid="{4CE0AAD5-DF71-45B5-B784-88F329BF5BE7}" name="3105" dataDxfId="13505"/>
    <tableColumn id="2886" xr3:uid="{8D2E0490-B932-4522-8094-BA8BF79B8654}" name="3106" dataDxfId="13504"/>
    <tableColumn id="2887" xr3:uid="{E3B390FC-EEE3-47FA-9D10-3DC686DDB28B}" name="3107" dataDxfId="13503"/>
    <tableColumn id="2888" xr3:uid="{0FFAFB37-6B74-4B98-AF33-F4D14C026B61}" name="3108" dataDxfId="13502"/>
    <tableColumn id="2889" xr3:uid="{1ACF79B9-F7F3-4AB6-BA43-5C3EB06BE795}" name="3109" dataDxfId="13501"/>
    <tableColumn id="2890" xr3:uid="{1C61141F-07A7-40FB-8447-896055915D7B}" name="3110" dataDxfId="13500"/>
    <tableColumn id="2891" xr3:uid="{475F23FC-62DB-4179-926D-ABE184C64EB2}" name="3111" dataDxfId="13499"/>
    <tableColumn id="2892" xr3:uid="{D031C257-F611-4738-A285-3CD61F397934}" name="3112" dataDxfId="13498"/>
    <tableColumn id="2893" xr3:uid="{BE606D45-C95B-43E3-87F8-AC47CDF540D1}" name="3113" dataDxfId="13497"/>
    <tableColumn id="2894" xr3:uid="{8E3D7AFA-4B7F-4FC3-BA31-DFA85D498D59}" name="3114" dataDxfId="13496"/>
    <tableColumn id="2895" xr3:uid="{795AC00E-989B-47D1-949F-1611C07154D3}" name="3115" dataDxfId="13495"/>
    <tableColumn id="2896" xr3:uid="{EE4BF6D0-540A-496B-8C8B-D752FAA5E488}" name="3116" dataDxfId="13494"/>
    <tableColumn id="2897" xr3:uid="{3D48C521-92FE-4604-8FE3-374F546106F8}" name="3117" dataDxfId="13493"/>
    <tableColumn id="2898" xr3:uid="{A01ED9A3-5E41-4E06-8746-5455BE68FEC0}" name="3118" dataDxfId="13492"/>
    <tableColumn id="2899" xr3:uid="{982CA40B-6820-457D-8782-F2777BDC75B5}" name="3119" dataDxfId="13491"/>
    <tableColumn id="2900" xr3:uid="{D9B5DF6D-9CE9-4F85-92D4-151BE3D7B395}" name="3120" dataDxfId="13490"/>
    <tableColumn id="2901" xr3:uid="{F56B952B-5FD9-4E91-8E19-338D268C9554}" name="3121" dataDxfId="13489"/>
    <tableColumn id="2902" xr3:uid="{E285E3C1-0180-4856-99F3-BEB2DB75AAD6}" name="3122" dataDxfId="13488"/>
    <tableColumn id="2903" xr3:uid="{6C391705-E0E4-4D0C-B853-27AC6B7836CB}" name="3123" dataDxfId="13487"/>
    <tableColumn id="2904" xr3:uid="{34B86C5B-0D59-4740-A292-F9A97C059E08}" name="3124" dataDxfId="13486"/>
    <tableColumn id="2905" xr3:uid="{9CFD8A95-C3D4-49A6-999D-FC3EBDFCA827}" name="3125" dataDxfId="13485"/>
    <tableColumn id="2906" xr3:uid="{3735A2A0-D9E2-45AC-8118-93D43F8B2691}" name="3126" dataDxfId="13484"/>
    <tableColumn id="2907" xr3:uid="{D9E09BCC-D541-4DCC-AE22-BA8ED106A858}" name="3127" dataDxfId="13483"/>
    <tableColumn id="2908" xr3:uid="{93AA6B9C-4A05-4A8E-B1BC-24DB31A47868}" name="3128" dataDxfId="13482"/>
    <tableColumn id="2909" xr3:uid="{0C6998C4-7A06-40D6-B973-D433C65D22F2}" name="3129" dataDxfId="13481"/>
    <tableColumn id="2910" xr3:uid="{5E5B53BB-87DF-4492-B477-59D51074AF03}" name="3130" dataDxfId="13480"/>
    <tableColumn id="2911" xr3:uid="{2D8E0FA8-FFA4-4C26-827A-18705526DB60}" name="3131" dataDxfId="13479"/>
    <tableColumn id="2912" xr3:uid="{259C86CB-2A06-45DB-A40A-553E8161F051}" name="3132" dataDxfId="13478"/>
    <tableColumn id="2913" xr3:uid="{0F4DCF28-9423-4177-BB24-896FA4B2A8E8}" name="3133" dataDxfId="13477"/>
    <tableColumn id="2914" xr3:uid="{6A1603C6-7480-44C0-A867-589C39B0B4ED}" name="3134" dataDxfId="13476"/>
    <tableColumn id="2915" xr3:uid="{D2535CD3-E535-42F3-A2D1-6686B3C1EC95}" name="3135" dataDxfId="13475"/>
    <tableColumn id="2916" xr3:uid="{EEAF098E-1020-4C84-BD2F-DFD699652491}" name="3136" dataDxfId="13474"/>
    <tableColumn id="2917" xr3:uid="{340E323E-E35A-4202-BAF0-3F1B85536697}" name="3137" dataDxfId="13473"/>
    <tableColumn id="2918" xr3:uid="{7AE54A93-7C33-486B-AD2C-06B99C51C06B}" name="3138" dataDxfId="13472"/>
    <tableColumn id="2919" xr3:uid="{99761669-1490-4572-8640-CC22088EAA59}" name="3139" dataDxfId="13471"/>
    <tableColumn id="2920" xr3:uid="{46751ED8-3179-4B2F-829A-8B97636993C1}" name="3140" dataDxfId="13470"/>
    <tableColumn id="2921" xr3:uid="{AD211D74-A8CC-4AB5-9C80-6EC2C8368B6B}" name="3141" dataDxfId="13469"/>
    <tableColumn id="2922" xr3:uid="{BD0A2547-9092-48BC-B812-90FBA9734827}" name="3142" dataDxfId="13468"/>
    <tableColumn id="2923" xr3:uid="{CBCA21BD-6F99-4280-9897-3BEDF8F206F7}" name="3143" dataDxfId="13467"/>
    <tableColumn id="2924" xr3:uid="{F29B723D-6858-4D3F-8A14-3450BE1D1A68}" name="3144" dataDxfId="13466"/>
    <tableColumn id="2925" xr3:uid="{DD1BB761-6255-43D1-B04F-DA532A931273}" name="3145" dataDxfId="13465"/>
    <tableColumn id="2926" xr3:uid="{9F6D833A-C568-4EFB-8883-43350B756D22}" name="3146" dataDxfId="13464"/>
    <tableColumn id="2927" xr3:uid="{C680AC3A-1BF7-4AD2-9DDD-8EB19E078734}" name="3147" dataDxfId="13463"/>
    <tableColumn id="2928" xr3:uid="{93A990BF-F117-4F75-9DAE-8385FDCE3807}" name="3148" dataDxfId="13462"/>
    <tableColumn id="2929" xr3:uid="{68F2933A-5CFC-49F6-B8A4-EA8D56852468}" name="3149" dataDxfId="13461"/>
    <tableColumn id="2930" xr3:uid="{23BDD6BA-139E-478E-B539-8BF4D2ACF66C}" name="3150" dataDxfId="13460"/>
    <tableColumn id="2931" xr3:uid="{75E9CA9F-04D3-49AC-B928-3F0F116D92A1}" name="3151" dataDxfId="13459"/>
    <tableColumn id="2932" xr3:uid="{77971F34-684D-4C24-8DCA-2CFF86D7B473}" name="3152" dataDxfId="13458"/>
    <tableColumn id="2933" xr3:uid="{F44B55A4-92C6-483D-A9CA-552388683729}" name="3153" dataDxfId="13457"/>
    <tableColumn id="2934" xr3:uid="{FF4DB1D8-2003-4332-A6C6-2F8FE330597F}" name="3154" dataDxfId="13456"/>
    <tableColumn id="2935" xr3:uid="{9174FEA3-2A65-4E66-8A60-746324535C2B}" name="3155" dataDxfId="13455"/>
    <tableColumn id="2936" xr3:uid="{A5FB7F11-685E-46BD-A303-E2D9F4B0B252}" name="3156" dataDxfId="13454"/>
    <tableColumn id="2937" xr3:uid="{DFFA9425-4505-4C54-898B-4D51B8EB0602}" name="3157" dataDxfId="13453"/>
    <tableColumn id="2938" xr3:uid="{455CC032-8EC4-4516-AFC7-0F88F84D8C1D}" name="3158" dataDxfId="13452"/>
    <tableColumn id="2939" xr3:uid="{05470843-BEA5-4AA6-A171-DE0C5AC62F1D}" name="3159" dataDxfId="13451"/>
    <tableColumn id="2940" xr3:uid="{1E89D37A-0EF5-4A1C-8F9A-A9734935CB41}" name="3160" dataDxfId="13450"/>
    <tableColumn id="2941" xr3:uid="{F52DC0DA-624C-4B80-A551-B089E380C282}" name="3161" dataDxfId="13449"/>
    <tableColumn id="2942" xr3:uid="{23FE36EA-6FAB-42D2-8905-36D1B76A9C1B}" name="3162" dataDxfId="13448"/>
    <tableColumn id="2943" xr3:uid="{4CB7158C-5C46-41DC-A29B-46B2489DC320}" name="3163" dataDxfId="13447"/>
    <tableColumn id="2944" xr3:uid="{59BEBEAE-F48C-4047-99E2-6EBDAA1A14E9}" name="3164" dataDxfId="13446"/>
    <tableColumn id="2945" xr3:uid="{6157CCBB-9786-463E-BAB2-B859E8492EC0}" name="3165" dataDxfId="13445"/>
    <tableColumn id="2946" xr3:uid="{8DAD4ACF-12EA-459F-A08A-50A1D24A1162}" name="3166" dataDxfId="13444"/>
    <tableColumn id="2947" xr3:uid="{98009D6A-84C3-4EC9-806C-3744FB46566B}" name="3167" dataDxfId="13443"/>
    <tableColumn id="2948" xr3:uid="{6117C405-A71F-4BF3-95E4-CE78A50A812A}" name="3168" dataDxfId="13442"/>
    <tableColumn id="2949" xr3:uid="{20B262DE-5F92-40BF-A6A0-3475F7B16352}" name="3169" dataDxfId="13441"/>
    <tableColumn id="2950" xr3:uid="{4EAE5AD6-AEAA-436F-B4B5-57D67EE84FA2}" name="3170" dataDxfId="13440"/>
    <tableColumn id="2951" xr3:uid="{0A8C2B3C-4D9D-4A08-A34D-CACC99CE049F}" name="3171" dataDxfId="13439"/>
    <tableColumn id="2952" xr3:uid="{A3307BFC-2800-4D1A-A1EF-A5CE2ECB8049}" name="3172" dataDxfId="13438"/>
    <tableColumn id="2953" xr3:uid="{B4D8F404-A4E7-4658-95E7-7EB212B586DE}" name="3173" dataDxfId="13437"/>
    <tableColumn id="2954" xr3:uid="{4B233E62-11F0-4005-A278-5F4788A7BA8B}" name="3174" dataDxfId="13436"/>
    <tableColumn id="2955" xr3:uid="{BD4D624A-5865-4DF5-AF26-4DE15174493C}" name="3175" dataDxfId="13435"/>
    <tableColumn id="2956" xr3:uid="{8631FE1D-1A5A-4ED3-96A6-CAC55D0F4CF7}" name="3176" dataDxfId="13434"/>
    <tableColumn id="2957" xr3:uid="{2EADD630-191C-46BB-8B89-00B3EDCD7F3B}" name="3177" dataDxfId="13433"/>
    <tableColumn id="2958" xr3:uid="{7AA92218-AE3C-45E6-93C5-DFC07A785394}" name="3178" dataDxfId="13432"/>
    <tableColumn id="2959" xr3:uid="{81F49A53-B9CB-4B6D-94E5-BF2111E1879C}" name="3179" dataDxfId="13431"/>
    <tableColumn id="2960" xr3:uid="{B32F67A6-2678-408D-BC73-580F0EFB8EE9}" name="3180" dataDxfId="13430"/>
    <tableColumn id="2961" xr3:uid="{7824F4B6-C986-4EBF-9C0F-4394B775E91D}" name="3181" dataDxfId="13429"/>
    <tableColumn id="2962" xr3:uid="{8E78DD13-E48B-4E49-ADA6-8546BBA406FE}" name="3182" dataDxfId="13428"/>
    <tableColumn id="2963" xr3:uid="{048EFCA0-009C-4C6A-82EE-8BA1D8DF1322}" name="3183" dataDxfId="13427"/>
    <tableColumn id="2964" xr3:uid="{D2BFFDC1-8A8C-42B2-B63E-1C114477D07E}" name="3184" dataDxfId="13426"/>
    <tableColumn id="2965" xr3:uid="{64544981-B9AF-4FAE-A7F8-F189458D710D}" name="3185" dataDxfId="13425"/>
    <tableColumn id="2966" xr3:uid="{CAED5E2D-3D3F-4B97-BE8E-5B4C0CB2B775}" name="3186" dataDxfId="13424"/>
    <tableColumn id="2967" xr3:uid="{C31A1C4F-76B3-414D-B009-897731246453}" name="3187" dataDxfId="13423"/>
    <tableColumn id="2968" xr3:uid="{D8EB3E21-700F-47DE-A35A-5828418D6E64}" name="3188" dataDxfId="13422"/>
    <tableColumn id="2969" xr3:uid="{81BC48BE-C154-4C80-A412-6339AD436799}" name="3189" dataDxfId="13421"/>
    <tableColumn id="2970" xr3:uid="{424FCDDA-3CCE-4C9A-A771-5BDED460C818}" name="3190" dataDxfId="13420"/>
    <tableColumn id="2971" xr3:uid="{08D81D77-044E-447A-8EBF-A8127760E084}" name="3191" dataDxfId="13419"/>
    <tableColumn id="2972" xr3:uid="{E170284C-DA8A-4263-A681-682B740C00E4}" name="3192" dataDxfId="13418"/>
    <tableColumn id="2973" xr3:uid="{027B580B-064B-4029-BE9B-D2C068AB861E}" name="3193" dataDxfId="13417"/>
    <tableColumn id="2974" xr3:uid="{6F60C401-5498-4040-B5AF-A7A6DE77C318}" name="3194" dataDxfId="13416"/>
    <tableColumn id="2975" xr3:uid="{C52DE00A-5E0C-4F77-816F-6560DC4D95C5}" name="3195" dataDxfId="13415"/>
    <tableColumn id="2976" xr3:uid="{AA3D8BF1-5BB7-49FA-8938-C50E7A3F6934}" name="3196" dataDxfId="13414"/>
    <tableColumn id="2977" xr3:uid="{B91D6DAB-D6EA-4C29-A1E8-1BB8FE2BCA2C}" name="3197" dataDxfId="13413"/>
    <tableColumn id="2978" xr3:uid="{0EA6C38D-A963-4CBD-8B02-6EF748704ED8}" name="3198" dataDxfId="13412"/>
    <tableColumn id="2979" xr3:uid="{53CDB3C6-9761-40F3-A1A4-A7F4479A12DF}" name="3199" dataDxfId="13411"/>
    <tableColumn id="2980" xr3:uid="{397847B1-D504-4942-B64E-99211B3640E1}" name="3200" dataDxfId="13410"/>
    <tableColumn id="2981" xr3:uid="{03309BF7-C1CD-48B4-8381-12CA16F88ACD}" name="3201" dataDxfId="13409"/>
    <tableColumn id="2982" xr3:uid="{469494C8-5F5C-40B1-8004-2E9D964C4105}" name="3202" dataDxfId="13408"/>
    <tableColumn id="2983" xr3:uid="{A10C4CE9-B911-4F30-978E-918B18106C9B}" name="3203" dataDxfId="13407"/>
    <tableColumn id="2984" xr3:uid="{C6576349-AC9D-4AEE-8784-D6CC7CA0C9A0}" name="3204" dataDxfId="13406"/>
    <tableColumn id="2985" xr3:uid="{537B8AC4-9C3C-4063-9E57-68D2D2682D63}" name="3205" dataDxfId="13405"/>
    <tableColumn id="2986" xr3:uid="{2F8B38E1-E553-45AA-9B82-A9931997996F}" name="3206" dataDxfId="13404"/>
    <tableColumn id="2987" xr3:uid="{0CBB7AC4-CBD9-4D2A-AF34-71ED0D5E5557}" name="3207" dataDxfId="13403"/>
    <tableColumn id="2988" xr3:uid="{1E2C8A52-23C6-4051-BA4E-4333AACD59F7}" name="3208" dataDxfId="13402"/>
    <tableColumn id="2989" xr3:uid="{661F0190-7A6C-48D5-BE4E-1D2091712029}" name="3209" dataDxfId="13401"/>
    <tableColumn id="2990" xr3:uid="{794C3736-3593-4919-8736-80AC6F5C01D3}" name="3210" dataDxfId="13400"/>
    <tableColumn id="2991" xr3:uid="{5C5D60DA-ABDE-430E-B450-60C11C11930C}" name="3211" dataDxfId="13399"/>
    <tableColumn id="2992" xr3:uid="{7AD502C7-312F-4D60-B992-F09C74E2F50D}" name="3212" dataDxfId="13398"/>
    <tableColumn id="2993" xr3:uid="{82D3E1DB-895F-446D-B503-B95C7195B30F}" name="3213" dataDxfId="13397"/>
    <tableColumn id="2994" xr3:uid="{71CD8D2E-1651-40A0-AD56-94958490103D}" name="3214" dataDxfId="13396"/>
    <tableColumn id="2995" xr3:uid="{9D08FBC8-5FBB-400A-893E-0516F161C3A9}" name="3215" dataDxfId="13395"/>
    <tableColumn id="2996" xr3:uid="{6B33077B-37F5-4585-B33A-EA8F97806AE8}" name="3216" dataDxfId="13394"/>
    <tableColumn id="2997" xr3:uid="{E8DF7D7A-260F-48AF-9A7D-B92BB59EC52F}" name="3217" dataDxfId="13393"/>
    <tableColumn id="2998" xr3:uid="{AB1E1743-B210-4E01-9457-DBC216217231}" name="3218" dataDxfId="13392"/>
    <tableColumn id="2999" xr3:uid="{C0F30EF6-F46D-44B2-AC01-CA4C7158544C}" name="3219" dataDxfId="13391"/>
    <tableColumn id="3000" xr3:uid="{FF61DC58-1908-4631-A67A-2B2A84796436}" name="3220" dataDxfId="13390"/>
    <tableColumn id="3001" xr3:uid="{D568F015-FB5F-4F0C-88F9-ECE223E5938A}" name="3221" dataDxfId="13389"/>
    <tableColumn id="3002" xr3:uid="{8501FE26-8FD5-4CE7-89D4-762CA1008389}" name="3222" dataDxfId="13388"/>
    <tableColumn id="3003" xr3:uid="{1842CC6A-B77B-49F8-BC68-81127563C02F}" name="3223" dataDxfId="13387"/>
    <tableColumn id="3004" xr3:uid="{82236223-9CC8-4D49-B825-FC6BC32D86A2}" name="3224" dataDxfId="13386"/>
    <tableColumn id="3005" xr3:uid="{F6504DFE-8900-404C-BEB4-BE74B2801CCC}" name="3225" dataDxfId="13385"/>
    <tableColumn id="3006" xr3:uid="{E4E7FAD4-8DBA-4CA5-92FA-A87414AE9CCA}" name="3226" dataDxfId="13384"/>
    <tableColumn id="3007" xr3:uid="{F6A11F10-751C-42E0-B704-262E17B696A2}" name="3227" dataDxfId="13383"/>
    <tableColumn id="3008" xr3:uid="{9C5D77DB-486F-4A11-AAEF-61C5674C8E63}" name="3228" dataDxfId="13382"/>
    <tableColumn id="3009" xr3:uid="{D5349671-304C-4BD2-9388-9FEFB3844E1E}" name="3229" dataDxfId="13381"/>
    <tableColumn id="3010" xr3:uid="{651B298F-E8A9-4165-91BB-135332874485}" name="3230" dataDxfId="13380"/>
    <tableColumn id="3011" xr3:uid="{2F394CE7-008F-4435-BFDF-B125B9A64661}" name="3231" dataDxfId="13379"/>
    <tableColumn id="3012" xr3:uid="{0133033B-D3C1-4C6C-B07D-107F65604FEB}" name="3232" dataDxfId="13378"/>
    <tableColumn id="3013" xr3:uid="{EFB2EC60-BB4A-4BD3-A626-4F0C6ABF34D1}" name="3233" dataDxfId="13377"/>
    <tableColumn id="3014" xr3:uid="{6AD7B862-E2A4-44A5-B858-58640EAC4313}" name="3234" dataDxfId="13376"/>
    <tableColumn id="3015" xr3:uid="{BB549F49-7157-4CEB-912F-9B2C5B68B456}" name="3235" dataDxfId="13375"/>
    <tableColumn id="3016" xr3:uid="{1431B15C-BFE7-44B5-B06C-211E3A3BD04C}" name="3236" dataDxfId="13374"/>
    <tableColumn id="3017" xr3:uid="{C6AB771E-DE84-45D2-B558-C55B3F5FA733}" name="3237" dataDxfId="13373"/>
    <tableColumn id="3018" xr3:uid="{873CCAB8-3C6A-4CA8-860A-E1CEBDD303BC}" name="3238" dataDxfId="13372"/>
    <tableColumn id="3019" xr3:uid="{0B07434F-9D26-499D-878A-728F096FBBA0}" name="3239" dataDxfId="13371"/>
    <tableColumn id="3020" xr3:uid="{F3C7D392-A42A-4DF3-8107-D294D1515030}" name="3240" dataDxfId="13370"/>
    <tableColumn id="3021" xr3:uid="{98B930E9-3120-4847-8855-627A72483A3A}" name="3241" dataDxfId="13369"/>
    <tableColumn id="3022" xr3:uid="{37D19035-C1A7-4349-A07B-BAE5EA64AB22}" name="3242" dataDxfId="13368"/>
    <tableColumn id="3023" xr3:uid="{D0982611-51D8-4EC7-B92C-626D5AB1B861}" name="3243" dataDxfId="13367"/>
    <tableColumn id="3024" xr3:uid="{BF13B73D-615A-42DE-AF22-DC05A847F129}" name="3244" dataDxfId="13366"/>
    <tableColumn id="3025" xr3:uid="{F989443B-3E8C-44F4-B30A-4A2CF0E5D4AB}" name="3245" dataDxfId="13365"/>
    <tableColumn id="3026" xr3:uid="{07B59283-9BB1-4D0D-89DA-EEFA5BFE525F}" name="3246" dataDxfId="13364"/>
    <tableColumn id="3027" xr3:uid="{07F05933-E50E-4140-A085-7E4F716C1783}" name="3247" dataDxfId="13363"/>
    <tableColumn id="3028" xr3:uid="{3FB8F0F6-25D0-458F-A12E-C16C9F54D51A}" name="3248" dataDxfId="13362"/>
    <tableColumn id="3029" xr3:uid="{66EA41C5-6406-4291-B2FD-2B8C76B49CBA}" name="3249" dataDxfId="13361"/>
    <tableColumn id="3030" xr3:uid="{5B4E9D6F-6AE8-423C-8CD9-1A7CD5D2E024}" name="3250" dataDxfId="13360"/>
    <tableColumn id="3031" xr3:uid="{35350128-32CE-4E86-B836-0EA1D5656E17}" name="3251" dataDxfId="13359"/>
    <tableColumn id="3032" xr3:uid="{9B0EA950-5D48-4215-9D61-6B3996F2DF8E}" name="3252" dataDxfId="13358"/>
    <tableColumn id="3033" xr3:uid="{7D373A41-9B70-4412-B4F8-0F1F576FD86A}" name="3253" dataDxfId="13357"/>
    <tableColumn id="3034" xr3:uid="{5E1BB069-9A98-47DA-8579-D6B36EE185D3}" name="3254" dataDxfId="13356"/>
    <tableColumn id="3035" xr3:uid="{D19F65FD-B3CC-4752-B9E4-EDF0D7DD5EEC}" name="3255" dataDxfId="13355"/>
    <tableColumn id="3036" xr3:uid="{0D400A4F-D92C-450F-BA6A-FDB27796EB84}" name="3256" dataDxfId="13354"/>
    <tableColumn id="3037" xr3:uid="{E6FAC780-41BE-445D-B2C3-2AC2A1B99D6C}" name="3257" dataDxfId="13353"/>
    <tableColumn id="3038" xr3:uid="{5DE7E121-20C5-4AD8-8D7C-7E527596CE41}" name="3258" dataDxfId="13352"/>
    <tableColumn id="3039" xr3:uid="{09EB0C44-A4BD-443B-B749-EFE7F2DA9594}" name="3259" dataDxfId="13351"/>
    <tableColumn id="3040" xr3:uid="{5DDB4B46-6F2D-445B-8517-A46FE9870C1B}" name="3260" dataDxfId="13350"/>
    <tableColumn id="3041" xr3:uid="{3B0F265E-DF2F-40F4-BDD7-36E902C9B306}" name="3261" dataDxfId="13349"/>
    <tableColumn id="3042" xr3:uid="{E8DEEF3D-518D-41EE-85ED-6E88F3C77E2F}" name="3262" dataDxfId="13348"/>
    <tableColumn id="3043" xr3:uid="{D5206A5B-FBB5-40DC-A30E-211505906D02}" name="3263" dataDxfId="13347"/>
    <tableColumn id="3044" xr3:uid="{F390E407-F6BB-4E25-87C0-5D92B4B2FF79}" name="3264" dataDxfId="13346"/>
    <tableColumn id="3045" xr3:uid="{257C778B-8A6F-44DE-BA23-363AD9FA631A}" name="3265" dataDxfId="13345"/>
    <tableColumn id="3046" xr3:uid="{F3F40EAD-3330-43E2-BD45-45393D68BF05}" name="3266" dataDxfId="13344"/>
    <tableColumn id="3047" xr3:uid="{D152171F-B748-4B1C-996E-91F22720BF1D}" name="3267" dataDxfId="13343"/>
    <tableColumn id="3048" xr3:uid="{AE471038-9887-408D-ACCA-0B2E6168A43D}" name="3268" dataDxfId="13342"/>
    <tableColumn id="3049" xr3:uid="{687223B1-E9C1-4E64-87ED-25527B1488D8}" name="3269" dataDxfId="13341"/>
    <tableColumn id="3050" xr3:uid="{D7153EE7-2109-47B0-A791-2815C7A98559}" name="3270" dataDxfId="13340"/>
    <tableColumn id="3051" xr3:uid="{21C4EBB2-D0DC-4C6B-9CCD-C5A0560051F5}" name="3271" dataDxfId="13339"/>
    <tableColumn id="3052" xr3:uid="{8EC5B9F3-91CE-4050-A610-96EDB3843945}" name="3272" dataDxfId="13338"/>
    <tableColumn id="3053" xr3:uid="{C58864C2-F132-40A6-B1FC-B1A69550AAFA}" name="3273" dataDxfId="13337"/>
    <tableColumn id="3054" xr3:uid="{D4E66920-E3D3-4C1E-943C-FDFDD47DB481}" name="3274" dataDxfId="13336"/>
    <tableColumn id="3055" xr3:uid="{E4F64718-F02F-4E70-A42D-889BA53EF8C2}" name="3275" dataDxfId="13335"/>
    <tableColumn id="3056" xr3:uid="{CB57D3C9-663B-4326-AEBB-5397C4A855A5}" name="3276" dataDxfId="13334"/>
    <tableColumn id="3057" xr3:uid="{C8BB8702-6CEB-4337-93B7-51324FF607EC}" name="3277" dataDxfId="13333"/>
    <tableColumn id="3058" xr3:uid="{2E41DC91-DABD-4AC3-8036-F69349297E9E}" name="3278" dataDxfId="13332"/>
    <tableColumn id="3059" xr3:uid="{7D2628D1-9890-4D6C-A3B2-E6B40CEEC9A1}" name="3279" dataDxfId="13331"/>
    <tableColumn id="3060" xr3:uid="{8DC18233-91E8-429A-80BB-3B74CDEADB8C}" name="3280" dataDxfId="13330"/>
    <tableColumn id="3061" xr3:uid="{1350F451-BEFA-4B02-9A9C-B3F8D2642005}" name="3281" dataDxfId="13329"/>
    <tableColumn id="3062" xr3:uid="{37E7B461-1608-4C75-869E-D5EEC176D57B}" name="3282" dataDxfId="13328"/>
    <tableColumn id="3063" xr3:uid="{3735D32E-6390-4ECB-8232-AB22418B2BA2}" name="3283" dataDxfId="13327"/>
    <tableColumn id="3064" xr3:uid="{2ADAA291-C052-4162-A67F-82AE9FAA647A}" name="3284" dataDxfId="13326"/>
    <tableColumn id="3065" xr3:uid="{7721D4D7-5703-4737-9EAE-32958136EC5F}" name="3285" dataDxfId="13325"/>
    <tableColumn id="3066" xr3:uid="{47EEE9DB-15D8-457A-A632-FB5180D2B1BF}" name="3286" dataDxfId="13324"/>
    <tableColumn id="3067" xr3:uid="{6B63C1FC-AA43-406B-9B2B-AEFDE1DE0AB2}" name="3287" dataDxfId="13323"/>
    <tableColumn id="3068" xr3:uid="{8B67B5E5-8338-4164-9851-EE316B3CB545}" name="3288" dataDxfId="13322"/>
    <tableColumn id="3069" xr3:uid="{E576CD10-93EA-4242-9DE9-0546E1DC56F8}" name="3289" dataDxfId="13321"/>
    <tableColumn id="3070" xr3:uid="{460C5850-807E-469E-8BFC-3EBC5B3FDA88}" name="3290" dataDxfId="13320"/>
    <tableColumn id="3071" xr3:uid="{E4800FF9-E3B3-450A-86FC-8C90E2D0AC45}" name="3291" dataDxfId="13319"/>
    <tableColumn id="3072" xr3:uid="{61097467-BD33-4453-8721-5CFEDC045114}" name="3292" dataDxfId="13318"/>
    <tableColumn id="3073" xr3:uid="{CF141B6D-0B07-4FFE-B197-AA64EF5A8152}" name="3293" dataDxfId="13317"/>
    <tableColumn id="3074" xr3:uid="{FBA08FD5-5AF7-47DE-9D95-79F2E5A0350A}" name="3294" dataDxfId="13316"/>
    <tableColumn id="3075" xr3:uid="{748D175A-E785-41A8-BAE6-50AC8AB65223}" name="3295" dataDxfId="13315"/>
    <tableColumn id="3076" xr3:uid="{254E647E-53E8-47C1-8A6D-4C0AB3AB8C17}" name="3296" dataDxfId="13314"/>
    <tableColumn id="3077" xr3:uid="{F5C007A8-ECBD-47BF-9996-E52375DC92A4}" name="3297" dataDxfId="13313"/>
    <tableColumn id="3078" xr3:uid="{E7CB958E-035C-46AD-BBF3-B328C286DDAC}" name="3298" dataDxfId="13312"/>
    <tableColumn id="3079" xr3:uid="{CB6DAEF9-909C-4A6C-9573-0D341C122E01}" name="3299" dataDxfId="13311"/>
    <tableColumn id="3080" xr3:uid="{A624EC1A-7AC3-4E6A-8E3F-EA9C9935482C}" name="3300" dataDxfId="13310"/>
    <tableColumn id="3081" xr3:uid="{88AE6551-DAFF-4B05-9A6A-0E718110A1DA}" name="3301" dataDxfId="13309"/>
    <tableColumn id="3082" xr3:uid="{9F04FB0E-26B6-4B47-BD00-3308DD4FA143}" name="3302" dataDxfId="13308"/>
    <tableColumn id="3083" xr3:uid="{7510C51E-A283-4DB0-A94A-EAB6AEA1123A}" name="3303" dataDxfId="13307"/>
    <tableColumn id="3084" xr3:uid="{B6B03B1F-2549-4D91-8093-836ACADB1EAF}" name="3304" dataDxfId="13306"/>
    <tableColumn id="3085" xr3:uid="{3F96BBEA-0801-4B10-8AF9-1B6ABFA873E8}" name="3305" dataDxfId="13305"/>
    <tableColumn id="3086" xr3:uid="{0BF57699-07F3-42AD-A940-5114C1DC72DF}" name="3306" dataDxfId="13304"/>
    <tableColumn id="3087" xr3:uid="{690E0B6B-D5F6-454E-8ED5-F142280AD561}" name="3307" dataDxfId="13303"/>
    <tableColumn id="3088" xr3:uid="{316C3233-D63C-41A5-8229-6EC604C22D91}" name="3308" dataDxfId="13302"/>
    <tableColumn id="3089" xr3:uid="{F3BE1E32-7B5B-433A-953B-0164225F8EDC}" name="3309" dataDxfId="13301"/>
    <tableColumn id="3090" xr3:uid="{D17F6E1B-2B11-4604-8BF6-05FB26078F9C}" name="3310" dataDxfId="13300"/>
    <tableColumn id="3091" xr3:uid="{009DD911-DDC0-4C98-8ADE-0051B3233EBD}" name="3311" dataDxfId="13299"/>
    <tableColumn id="3092" xr3:uid="{5E6BEBC0-C357-4ACF-BA4F-08609454175A}" name="3312" dataDxfId="13298"/>
    <tableColumn id="3093" xr3:uid="{92DF3F72-D0E8-460D-B338-1C9F1043D4B9}" name="3313" dataDxfId="13297"/>
    <tableColumn id="3094" xr3:uid="{84BAACA3-B7E9-4513-99B6-1B8023E0F264}" name="3314" dataDxfId="13296"/>
    <tableColumn id="3095" xr3:uid="{C6AB65D1-7858-49F2-B63E-22740904221B}" name="3315" dataDxfId="13295"/>
    <tableColumn id="3096" xr3:uid="{87C7C35D-AF74-4516-9D02-2A9C98D47577}" name="3316" dataDxfId="13294"/>
    <tableColumn id="3097" xr3:uid="{0B13B591-5827-4D64-8442-3E5F99936D0F}" name="3317" dataDxfId="13293"/>
    <tableColumn id="3098" xr3:uid="{1009C478-5E0F-4B2C-93D8-C12BDE05BB00}" name="3318" dataDxfId="13292"/>
    <tableColumn id="3099" xr3:uid="{A672F639-C89F-40CC-B779-F63D3664E97C}" name="3319" dataDxfId="13291"/>
    <tableColumn id="3100" xr3:uid="{D693A15D-2F7C-4892-AA77-B385BA4AE00A}" name="3320" dataDxfId="13290"/>
    <tableColumn id="3101" xr3:uid="{C351037E-BB17-4D28-9B34-8BCF54F5956D}" name="3321" dataDxfId="13289"/>
    <tableColumn id="3102" xr3:uid="{9C446B38-5B93-4AAC-A85C-F42A9270130B}" name="3322" dataDxfId="13288"/>
    <tableColumn id="3103" xr3:uid="{9854CFC4-99E3-43A9-B210-94582C66A73A}" name="3323" dataDxfId="13287"/>
    <tableColumn id="3104" xr3:uid="{6F6D51C4-356C-4781-8B16-A28535D63C02}" name="3324" dataDxfId="13286"/>
    <tableColumn id="3105" xr3:uid="{FCD4AC6B-DCDB-48F9-A097-650975A35CBE}" name="3325" dataDxfId="13285"/>
    <tableColumn id="3106" xr3:uid="{F4E4606F-5684-435E-9A00-853A6964694D}" name="3326" dataDxfId="13284"/>
    <tableColumn id="3107" xr3:uid="{90504799-9AA9-4EF1-8FFA-BE378CABB46D}" name="3327" dataDxfId="13283"/>
    <tableColumn id="3108" xr3:uid="{C85148C3-5101-4921-8DEE-EF1F46DCEF57}" name="3328" dataDxfId="13282"/>
    <tableColumn id="3109" xr3:uid="{18182EBC-4479-4771-B0A8-2D938818223D}" name="3329" dataDxfId="13281"/>
    <tableColumn id="3110" xr3:uid="{BFAF5794-7161-4B42-9226-7840F7947896}" name="3330" dataDxfId="13280"/>
    <tableColumn id="3111" xr3:uid="{429D51DC-F33C-47D5-B830-585C7CAE00D1}" name="3331" dataDxfId="13279"/>
    <tableColumn id="3112" xr3:uid="{3E6E9CB9-2F00-4FB4-8A62-3738E2AFD4C7}" name="3332" dataDxfId="13278"/>
    <tableColumn id="3113" xr3:uid="{D7BC7956-0387-4693-88AC-F1F9F06083BC}" name="3333" dataDxfId="13277"/>
    <tableColumn id="3114" xr3:uid="{140C3B27-4AF7-44DF-84F8-BF2EDC457F98}" name="3334" dataDxfId="13276"/>
    <tableColumn id="3115" xr3:uid="{05B7B4C4-1231-4E53-8256-49F5ADC8ACF7}" name="3335" dataDxfId="13275"/>
    <tableColumn id="3116" xr3:uid="{FE6BD97B-7330-4542-9952-102DD1C36B3E}" name="3336" dataDxfId="13274"/>
    <tableColumn id="3117" xr3:uid="{9D7EAD87-1585-4D3C-8AB8-8CD90A595245}" name="3337" dataDxfId="13273"/>
    <tableColumn id="3118" xr3:uid="{C4A145B0-627F-4C74-B74A-5F05A30C9353}" name="3338" dataDxfId="13272"/>
    <tableColumn id="3119" xr3:uid="{7C7F9161-565D-4017-B0A2-037C02599C78}" name="3339" dataDxfId="13271"/>
    <tableColumn id="3120" xr3:uid="{32C3F091-9E24-411F-8046-A38A6059E78F}" name="3340" dataDxfId="13270"/>
    <tableColumn id="3121" xr3:uid="{611DEAB6-367B-477E-9DE5-29A31CDC9CD0}" name="3341" dataDxfId="13269"/>
    <tableColumn id="3122" xr3:uid="{ED843DFF-F837-49A9-9A40-CADA164CA1EA}" name="3342" dataDxfId="13268"/>
    <tableColumn id="3123" xr3:uid="{DE255243-5218-4DD1-9187-D757C1414CB8}" name="3343" dataDxfId="13267"/>
    <tableColumn id="3124" xr3:uid="{8D0AA3C2-77E7-47B0-BDC4-E5C5BB877D22}" name="3344" dataDxfId="13266"/>
    <tableColumn id="3125" xr3:uid="{1C8D83AD-8E62-498E-9E97-5A439F509684}" name="3345" dataDxfId="13265"/>
    <tableColumn id="3126" xr3:uid="{96A6275E-2A29-4576-B7F3-03A1140027CB}" name="3346" dataDxfId="13264"/>
    <tableColumn id="3127" xr3:uid="{6DC30491-B83E-432E-8918-013AD2C1DF5C}" name="3347" dataDxfId="13263"/>
    <tableColumn id="3128" xr3:uid="{D4E8EC5A-55AE-4102-A870-E14476BE2DA0}" name="3348" dataDxfId="13262"/>
    <tableColumn id="3129" xr3:uid="{6161D2C7-656F-4169-88CB-7860E966E81D}" name="3349" dataDxfId="13261"/>
    <tableColumn id="3130" xr3:uid="{7679D181-3A83-4E3F-9C10-FAFE4904116D}" name="3350" dataDxfId="13260"/>
    <tableColumn id="3131" xr3:uid="{E2A9DBF6-8E13-40A4-B294-445754A439F4}" name="3351" dataDxfId="13259"/>
    <tableColumn id="3132" xr3:uid="{71D3E5DC-01CD-455B-A461-A2A74E702368}" name="3352" dataDxfId="13258"/>
    <tableColumn id="3133" xr3:uid="{312DE85A-640D-4B4E-A32C-40410FDD9DF6}" name="3353" dataDxfId="13257"/>
    <tableColumn id="3134" xr3:uid="{56546713-6811-4963-BED8-ACE74A399664}" name="3354" dataDxfId="13256"/>
    <tableColumn id="3135" xr3:uid="{5A5D3D16-AB5F-4AA8-A1A8-A7CDE7DC1EF9}" name="3355" dataDxfId="13255"/>
    <tableColumn id="3136" xr3:uid="{F2AAE430-D774-43C2-97C6-6F0952839B50}" name="3356" dataDxfId="13254"/>
    <tableColumn id="3137" xr3:uid="{CA53C10D-4200-4FA6-841D-536B2870297D}" name="3357" dataDxfId="13253"/>
    <tableColumn id="3138" xr3:uid="{1FA4B20B-20F8-4CCA-AC4B-DF2EB202E9D2}" name="3358" dataDxfId="13252"/>
    <tableColumn id="3139" xr3:uid="{79DC4EBA-B69D-4113-B0D3-33C58613C53E}" name="3359" dataDxfId="13251"/>
    <tableColumn id="3140" xr3:uid="{AF0A1891-63D6-4B1D-B9F3-37F92EE7B284}" name="3360" dataDxfId="13250"/>
    <tableColumn id="3141" xr3:uid="{0767C0F4-B0A6-40AF-A2CA-2D8DFBD916BD}" name="3361" dataDxfId="13249"/>
    <tableColumn id="3142" xr3:uid="{F5EB4163-5DE5-49B0-8F32-C81CE10A2A85}" name="3362" dataDxfId="13248"/>
    <tableColumn id="3143" xr3:uid="{4BF812E5-C4E2-4278-BB9B-D8A373AB2511}" name="3363" dataDxfId="13247"/>
    <tableColumn id="3144" xr3:uid="{77D8FE29-1752-49DE-9562-E95067EE8612}" name="3364" dataDxfId="13246"/>
    <tableColumn id="3145" xr3:uid="{9653B801-5DE1-4793-A3B9-5486C5E8BA94}" name="3365" dataDxfId="13245"/>
    <tableColumn id="3146" xr3:uid="{198606C6-6968-4095-B1BD-0798BA420F35}" name="3366" dataDxfId="13244"/>
    <tableColumn id="3147" xr3:uid="{162BA33B-FC74-4FE2-AF8B-B545231BF261}" name="3367" dataDxfId="13243"/>
    <tableColumn id="3148" xr3:uid="{3E49DC1B-B758-4798-A430-1B8368E61D51}" name="3368" dataDxfId="13242"/>
    <tableColumn id="3149" xr3:uid="{18DBC78A-9E90-447F-B1D6-AB0234A23D8E}" name="3369" dataDxfId="13241"/>
    <tableColumn id="3150" xr3:uid="{85B8A3A4-2AD5-4059-8EFD-6B3744E60CAC}" name="3370" dataDxfId="13240"/>
    <tableColumn id="3151" xr3:uid="{A8EB807C-E8E1-4A45-ABC7-F08387933366}" name="3371" dataDxfId="13239"/>
    <tableColumn id="3152" xr3:uid="{E68CBA70-E70D-465B-96A6-0F14A59CEE50}" name="3372" dataDxfId="13238"/>
    <tableColumn id="3153" xr3:uid="{FA3BE5BA-4D5C-41B5-9CE8-B56FBC05456C}" name="3373" dataDxfId="13237"/>
    <tableColumn id="3154" xr3:uid="{F72F44FC-1FC7-4DB1-BE9D-C25FB71218CA}" name="3374" dataDxfId="13236"/>
    <tableColumn id="3155" xr3:uid="{F586812E-2188-487C-820F-383D18A1E2EC}" name="3375" dataDxfId="13235"/>
    <tableColumn id="3156" xr3:uid="{8ADE9704-8F42-45B8-AAA2-BF134AFA40D2}" name="3376" dataDxfId="13234"/>
    <tableColumn id="3157" xr3:uid="{5CE984F8-B938-46AF-84B9-8397474A26FD}" name="3377" dataDxfId="13233"/>
    <tableColumn id="3158" xr3:uid="{362A1029-ED87-4370-9EA3-050639F7E9C7}" name="3378" dataDxfId="13232"/>
    <tableColumn id="3159" xr3:uid="{21A2C2DC-114B-42E3-9283-39E6419C7210}" name="3379" dataDxfId="13231"/>
    <tableColumn id="3160" xr3:uid="{5AFEA9DE-93E4-4BA9-911E-EF0D60190F2C}" name="3380" dataDxfId="13230"/>
    <tableColumn id="3161" xr3:uid="{94710D91-14BB-444B-8C2C-51EFE1D3EFD8}" name="3381" dataDxfId="13229"/>
    <tableColumn id="3162" xr3:uid="{1CAEEFD9-F9D8-45AE-9C11-66DC37179828}" name="3382" dataDxfId="13228"/>
    <tableColumn id="3163" xr3:uid="{81649217-4CF4-4A0B-A840-F509B9CA63AA}" name="3383" dataDxfId="13227"/>
    <tableColumn id="3164" xr3:uid="{F7ABC0F9-D002-4290-B3A3-E31494278230}" name="3384" dataDxfId="13226"/>
    <tableColumn id="3165" xr3:uid="{62F6F2AD-0337-4289-9EB7-288188134B8A}" name="3385" dataDxfId="13225"/>
    <tableColumn id="3166" xr3:uid="{86F991B5-168F-4CD9-90DF-1D6093BF14EB}" name="3386" dataDxfId="13224"/>
    <tableColumn id="3167" xr3:uid="{CE3E4B0B-14A8-42E3-BE7B-2EF70A8567CF}" name="3387" dataDxfId="13223"/>
    <tableColumn id="3168" xr3:uid="{8EA3A32D-C205-48ED-A83D-E15F4431E93C}" name="3388" dataDxfId="13222"/>
    <tableColumn id="3169" xr3:uid="{657DD449-8C95-42B1-9C6B-87C0D193255D}" name="3389" dataDxfId="13221"/>
    <tableColumn id="3170" xr3:uid="{5A462928-DCD2-4FCD-B854-6AB5F7051316}" name="3390" dataDxfId="13220"/>
    <tableColumn id="3171" xr3:uid="{2814B14B-0B76-4891-9560-FD00E33787C6}" name="3391" dataDxfId="13219"/>
    <tableColumn id="3172" xr3:uid="{FF843113-7714-4FF2-B4C7-DA0E3030E4B1}" name="3392" dataDxfId="13218"/>
    <tableColumn id="3173" xr3:uid="{8CFC7A23-97C7-42A2-BFE2-ABA1DF13CBE8}" name="3393" dataDxfId="13217"/>
    <tableColumn id="3174" xr3:uid="{386D456E-921D-4E2D-ACF6-F4AB545C557C}" name="3394" dataDxfId="13216"/>
    <tableColumn id="3175" xr3:uid="{B0CCAECB-FE00-4E3B-99A4-474657B8DDFB}" name="3395" dataDxfId="13215"/>
    <tableColumn id="3176" xr3:uid="{A424CFD1-1E08-4505-87C1-4133B645595B}" name="3396" dataDxfId="13214"/>
    <tableColumn id="3177" xr3:uid="{654E9BE4-88F4-4B08-93AC-8583010FE6C1}" name="3397" dataDxfId="13213"/>
    <tableColumn id="3178" xr3:uid="{F47234F6-3740-431B-B3E7-6EC6432A5039}" name="3398" dataDxfId="13212"/>
    <tableColumn id="3179" xr3:uid="{5FA8504F-5DAD-495B-991E-565D1A498FB8}" name="3399" dataDxfId="13211"/>
    <tableColumn id="3180" xr3:uid="{F31650C9-A660-43B9-BC2B-D08244BDE54A}" name="3400" dataDxfId="13210"/>
    <tableColumn id="3181" xr3:uid="{DE8C6CB7-DAD1-4A82-8863-526F0D3B6330}" name="3401" dataDxfId="13209"/>
    <tableColumn id="3182" xr3:uid="{4F9FDBE2-AE97-4A43-8A9F-515CF00F22F9}" name="3402" dataDxfId="13208"/>
    <tableColumn id="3183" xr3:uid="{6E292B97-B7EB-4F14-972F-B473A7C359D9}" name="3403" dataDxfId="13207"/>
    <tableColumn id="3184" xr3:uid="{A80F9350-05B6-4CD7-AFCA-8B08888810B5}" name="3404" dataDxfId="13206"/>
    <tableColumn id="3185" xr3:uid="{DF7C581C-0EB8-491C-A8DB-625DB64F45EC}" name="3405" dataDxfId="13205"/>
    <tableColumn id="3186" xr3:uid="{1FAD2DC3-5418-4C9D-ACFF-E0D928FC83BC}" name="3406" dataDxfId="13204"/>
    <tableColumn id="3187" xr3:uid="{EE15EF8E-4C74-413E-AE57-E456E5E0ACC6}" name="3407" dataDxfId="13203"/>
    <tableColumn id="3188" xr3:uid="{B2936414-773C-491A-A70E-1090580D6905}" name="3408" dataDxfId="13202"/>
    <tableColumn id="3189" xr3:uid="{DAE6DE9A-B10D-4874-8BA8-FE6323E76864}" name="3409" dataDxfId="13201"/>
    <tableColumn id="3190" xr3:uid="{AA3677FC-B832-46FA-8D53-094BCE0233A3}" name="3410" dataDxfId="13200"/>
    <tableColumn id="3191" xr3:uid="{24EC58A5-6818-4234-AB70-0D6FAC969CE9}" name="3411" dataDxfId="13199"/>
    <tableColumn id="3192" xr3:uid="{C3292744-1D42-4EBE-9151-E10F8D0693FD}" name="3412" dataDxfId="13198"/>
    <tableColumn id="3193" xr3:uid="{0C51E806-AA8F-4A4D-AB81-065CBE9370B0}" name="3413" dataDxfId="13197"/>
    <tableColumn id="3194" xr3:uid="{7E82EDA8-A6B2-4592-9174-66C86EA61F8F}" name="3414" dataDxfId="13196"/>
    <tableColumn id="3195" xr3:uid="{6EFDED73-F1A3-4390-9088-453253052C0C}" name="3415" dataDxfId="13195"/>
    <tableColumn id="3196" xr3:uid="{9E1C630D-A457-407E-AA93-71B06F2AB29A}" name="3416" dataDxfId="13194"/>
    <tableColumn id="3197" xr3:uid="{03160C57-6F7B-456A-8361-7A33CF51B000}" name="3417" dataDxfId="13193"/>
    <tableColumn id="3198" xr3:uid="{14C2D1A2-7B2C-481A-B9B6-15CC24ED473A}" name="3418" dataDxfId="13192"/>
    <tableColumn id="3199" xr3:uid="{3DB94B10-985F-4BB2-8572-9FD149BFC6C6}" name="3419" dataDxfId="13191"/>
    <tableColumn id="3200" xr3:uid="{25107D14-9812-4DB6-A20B-E1EDE0410EEA}" name="3420" dataDxfId="13190"/>
    <tableColumn id="3201" xr3:uid="{55C42B5C-7D56-4530-976B-30C7CB08E3BC}" name="3421" dataDxfId="13189"/>
    <tableColumn id="3202" xr3:uid="{091F5A17-B50F-462C-8EA1-8E5DDE64FD1D}" name="3422" dataDxfId="13188"/>
    <tableColumn id="3203" xr3:uid="{88365026-0F27-4033-982B-14D7218A92BC}" name="3423" dataDxfId="13187"/>
    <tableColumn id="3204" xr3:uid="{F4547BEB-CE58-4A7A-81E6-59ECB4AA9DB8}" name="3424" dataDxfId="13186"/>
    <tableColumn id="3205" xr3:uid="{A4244011-DF5D-4031-8ADA-83748F8C9440}" name="3425" dataDxfId="13185"/>
    <tableColumn id="3206" xr3:uid="{60DEFF03-4B6E-4FEE-8373-8A24071953AD}" name="3426" dataDxfId="13184"/>
    <tableColumn id="3207" xr3:uid="{9D335DC5-3214-4B2B-A5E9-9F15AE31B189}" name="3427" dataDxfId="13183"/>
    <tableColumn id="3208" xr3:uid="{BDBFA466-9AEA-4AAF-A45C-0183060DDC31}" name="3428" dataDxfId="13182"/>
    <tableColumn id="3209" xr3:uid="{7CA22B3A-33F6-4545-93CF-75811AE1E92B}" name="3429" dataDxfId="13181"/>
    <tableColumn id="3210" xr3:uid="{9D7C4A3D-9E18-4CCD-88CB-E6DC1FCC0380}" name="3430" dataDxfId="13180"/>
    <tableColumn id="3211" xr3:uid="{0D4B1C56-9FFC-4BF0-820A-DF1CE512B7FE}" name="3431" dataDxfId="13179"/>
    <tableColumn id="3212" xr3:uid="{94FB041F-42B6-4AEE-B885-D5612B4B1F69}" name="3432" dataDxfId="13178"/>
    <tableColumn id="3213" xr3:uid="{6B421276-1C47-47DE-8C0D-9E5E52EB1CE6}" name="3433" dataDxfId="13177"/>
    <tableColumn id="3214" xr3:uid="{E04C010D-5250-4F6D-9DA1-77A983931E0F}" name="3434" dataDxfId="13176"/>
    <tableColumn id="3215" xr3:uid="{F2727940-2C39-4B6B-9609-0C84B99171E9}" name="3435" dataDxfId="13175"/>
    <tableColumn id="3216" xr3:uid="{C2FD02F4-34E3-4DF7-A825-254D227FC39C}" name="3436" dataDxfId="13174"/>
    <tableColumn id="3217" xr3:uid="{267399EF-09D3-4EF2-BD9F-DDDC5C673100}" name="3437" dataDxfId="13173"/>
    <tableColumn id="3218" xr3:uid="{AFC0715D-83E6-4D09-88BA-74FDCB38312E}" name="3438" dataDxfId="13172"/>
    <tableColumn id="3219" xr3:uid="{E444A8FF-1B00-4F67-845D-FA634C062C4A}" name="3439" dataDxfId="13171"/>
    <tableColumn id="3220" xr3:uid="{9DB96C85-D53D-44AC-A8D5-8EFEC6399EEA}" name="3440" dataDxfId="13170"/>
    <tableColumn id="3221" xr3:uid="{464AC204-E521-445E-881B-6F673945CDC6}" name="3441" dataDxfId="13169"/>
    <tableColumn id="3222" xr3:uid="{F8B13151-1903-4A51-B30E-6CFE8A6F9CDB}" name="3442" dataDxfId="13168"/>
    <tableColumn id="3223" xr3:uid="{9A40B73D-BBFC-4F7A-A0E6-1D74A72F9953}" name="3443" dataDxfId="13167"/>
    <tableColumn id="3224" xr3:uid="{FA032828-4B1D-4A00-B0F3-1EE60146384F}" name="3444" dataDxfId="13166"/>
    <tableColumn id="3225" xr3:uid="{9C73EAD5-9A55-48FC-A07D-A37048A35542}" name="3445" dataDxfId="13165"/>
    <tableColumn id="3226" xr3:uid="{05759759-FE50-408D-90D2-35419486F8B2}" name="3446" dataDxfId="13164"/>
    <tableColumn id="3227" xr3:uid="{C32861C0-8AD7-4003-965A-174C7C83EEB4}" name="3447" dataDxfId="13163"/>
    <tableColumn id="3228" xr3:uid="{8DB1C458-6D95-41D0-8310-2A79DE0BBCAE}" name="3448" dataDxfId="13162"/>
    <tableColumn id="3229" xr3:uid="{E2B2A5FF-62B3-4FC7-9B26-40D8567DC580}" name="3449" dataDxfId="13161"/>
    <tableColumn id="3230" xr3:uid="{05AD6C48-7C64-4294-ACCF-CB4A414EBB3A}" name="3450" dataDxfId="13160"/>
    <tableColumn id="3231" xr3:uid="{DB153984-4D86-4CED-B77E-2732F85902CA}" name="3451" dataDxfId="13159"/>
    <tableColumn id="3232" xr3:uid="{AC00C90B-A58C-499B-97EF-EA47C4EEBC92}" name="3452" dataDxfId="13158"/>
    <tableColumn id="3233" xr3:uid="{FB2D1C3A-9F40-4726-9DC8-265DA0C4D867}" name="3453" dataDxfId="13157"/>
    <tableColumn id="3234" xr3:uid="{9BFCD5EE-D671-4118-9AF2-226A697035F9}" name="3454" dataDxfId="13156"/>
    <tableColumn id="3235" xr3:uid="{4CFC4857-4896-452F-9B43-90ED75E7423D}" name="3455" dataDxfId="13155"/>
    <tableColumn id="3236" xr3:uid="{73F782F1-6F9B-40BB-AB7B-093DEC8FC9E9}" name="3456" dataDxfId="13154"/>
    <tableColumn id="3237" xr3:uid="{8567A8CC-052A-4E0E-87FF-9526E1CAF550}" name="3457" dataDxfId="13153"/>
    <tableColumn id="3238" xr3:uid="{BEDCC994-688D-4211-B6F6-1446AC5142C4}" name="3458" dataDxfId="13152"/>
    <tableColumn id="3239" xr3:uid="{6E6D9790-31F4-40BF-B33A-8D78BCA44656}" name="3459" dataDxfId="13151"/>
    <tableColumn id="3240" xr3:uid="{1DFB8539-9D58-45F5-8349-7386D6E5B95C}" name="3460" dataDxfId="13150"/>
    <tableColumn id="3241" xr3:uid="{8EBBD17D-D951-441D-9546-FA76F8894E43}" name="3461" dataDxfId="13149"/>
    <tableColumn id="3242" xr3:uid="{4A9961E1-B18A-4ECA-91BE-F49198E2B5B9}" name="3462" dataDxfId="13148"/>
    <tableColumn id="3243" xr3:uid="{A9C09C5D-8EEF-4864-ABD1-CBFDB59CAC15}" name="3463" dataDxfId="13147"/>
    <tableColumn id="3244" xr3:uid="{65989D23-A273-463C-B65C-B45202B5070C}" name="3464" dataDxfId="13146"/>
    <tableColumn id="3245" xr3:uid="{AD530195-D0AF-4856-8196-509EAAB1EC5A}" name="3465" dataDxfId="13145"/>
    <tableColumn id="3246" xr3:uid="{BE38FBF0-149D-4504-A4D1-45B6AA9B4382}" name="3466" dataDxfId="13144"/>
    <tableColumn id="3247" xr3:uid="{00B6F19E-4911-4995-B00D-5C9B963CA382}" name="3467" dataDxfId="13143"/>
    <tableColumn id="3248" xr3:uid="{C595C7F6-ABE4-48BD-90F9-9EC35D1F210A}" name="3468" dataDxfId="13142"/>
    <tableColumn id="3249" xr3:uid="{904EACB0-CB93-4FE6-8745-BCF7F46C14C4}" name="3469" dataDxfId="13141"/>
    <tableColumn id="3250" xr3:uid="{FBD93F59-2E21-4424-84A5-A895DC094180}" name="3470" dataDxfId="13140"/>
    <tableColumn id="3251" xr3:uid="{23868147-37A4-4345-946D-BC61A520B4E0}" name="3471" dataDxfId="13139"/>
    <tableColumn id="3252" xr3:uid="{1EDAB488-7E46-4B02-882F-443CC6B9F954}" name="3472" dataDxfId="13138"/>
    <tableColumn id="3253" xr3:uid="{BEDCE511-2771-401F-8BBE-769DC73CEFD6}" name="3473" dataDxfId="13137"/>
    <tableColumn id="3254" xr3:uid="{D351BCC4-C512-4A7A-8E90-C2603D196334}" name="3474" dataDxfId="13136"/>
    <tableColumn id="3255" xr3:uid="{D9E3F515-4DB0-4EDE-B5DA-C53211E8F01D}" name="3475" dataDxfId="13135"/>
    <tableColumn id="3256" xr3:uid="{E4800894-EDD2-4311-BB42-C739DF651583}" name="3476" dataDxfId="13134"/>
    <tableColumn id="3257" xr3:uid="{C5678631-E708-4580-B651-62222E93A9FD}" name="3477" dataDxfId="13133"/>
    <tableColumn id="3258" xr3:uid="{CC621C7F-593D-4386-8627-23D3DB5B7210}" name="3478" dataDxfId="13132"/>
    <tableColumn id="3259" xr3:uid="{D3629C82-616C-4F40-A9BD-557FCE039F3A}" name="3479" dataDxfId="13131"/>
    <tableColumn id="3260" xr3:uid="{38EE9151-8BFF-4D56-B66B-97E33A1AA80E}" name="3480" dataDxfId="13130"/>
    <tableColumn id="3261" xr3:uid="{C6913310-A903-4ECB-8854-7820B8A48CED}" name="3481" dataDxfId="13129"/>
    <tableColumn id="3262" xr3:uid="{D3FA22D6-2DA3-431F-9BEE-F109D4DDFC46}" name="3482" dataDxfId="13128"/>
    <tableColumn id="3263" xr3:uid="{FA460A6A-FA38-4872-A327-30FF735B0EDC}" name="3483" dataDxfId="13127"/>
    <tableColumn id="3264" xr3:uid="{7D889DDB-1454-43FE-98A8-7DB696631C9A}" name="3484" dataDxfId="13126"/>
    <tableColumn id="3265" xr3:uid="{A1341B7F-8273-4787-9198-F887B574BBCA}" name="3485" dataDxfId="13125"/>
    <tableColumn id="3266" xr3:uid="{23C367F3-7774-4C03-913C-70C53BCAABDB}" name="3486" dataDxfId="13124"/>
    <tableColumn id="3267" xr3:uid="{AD135B3C-5376-44E6-B146-809875497766}" name="3487" dataDxfId="13123"/>
    <tableColumn id="3268" xr3:uid="{136A9972-E51C-4589-B040-2BF90A3C2D66}" name="3488" dataDxfId="13122"/>
    <tableColumn id="3269" xr3:uid="{B60E522B-101D-46BC-A6DE-30D51141276E}" name="3489" dataDxfId="13121"/>
    <tableColumn id="3270" xr3:uid="{E284FE78-C8DD-4880-BB63-F7546C0C28AB}" name="3490" dataDxfId="13120"/>
    <tableColumn id="3271" xr3:uid="{DEFE654E-1666-4723-B598-C0612E0B8729}" name="3491" dataDxfId="13119"/>
    <tableColumn id="3272" xr3:uid="{DDE8BF84-22AF-4FE4-838D-2F902DFF0AAF}" name="3492" dataDxfId="13118"/>
    <tableColumn id="3273" xr3:uid="{3C1DC484-0790-44CF-AEFC-CCC42333CAF2}" name="3493" dataDxfId="13117"/>
    <tableColumn id="3274" xr3:uid="{7AD05E6C-B91B-4E79-ABF6-7A241E847092}" name="3494" dataDxfId="13116"/>
    <tableColumn id="3275" xr3:uid="{37D869F5-60F3-4821-A888-8633FF4034BF}" name="3495" dataDxfId="13115"/>
    <tableColumn id="3276" xr3:uid="{340DB880-08A1-4834-8FBF-10300FFD3317}" name="3496" dataDxfId="13114"/>
    <tableColumn id="3277" xr3:uid="{CADEB47A-5D6D-4243-9184-7465A8E23B04}" name="3497" dataDxfId="13113"/>
    <tableColumn id="3278" xr3:uid="{7D06980B-BDCC-4A00-A81F-72DCB09EC69D}" name="3498" dataDxfId="13112"/>
    <tableColumn id="3279" xr3:uid="{AA900DE5-2904-4241-BF6D-06DE804B7EAD}" name="3499" dataDxfId="13111"/>
    <tableColumn id="3280" xr3:uid="{63E96A5B-A4FF-4677-BCAD-1B9B195B80D7}" name="3500" dataDxfId="13110"/>
    <tableColumn id="3281" xr3:uid="{E390AEC3-DAA2-4D4D-9B28-A765FB0220AD}" name="3501" dataDxfId="13109"/>
    <tableColumn id="3282" xr3:uid="{BF26A1E9-A1AC-46BD-A9B4-7362149A805F}" name="3502" dataDxfId="13108"/>
    <tableColumn id="3283" xr3:uid="{9405B6BC-5C73-408C-A5DA-C30BB54FDFAE}" name="3503" dataDxfId="13107"/>
    <tableColumn id="3284" xr3:uid="{0A21A6E4-BB94-4D70-8F91-D543D357DE29}" name="3504" dataDxfId="13106"/>
    <tableColumn id="3285" xr3:uid="{A9607E66-E569-439C-BFAE-F9F1B38099B2}" name="3505" dataDxfId="13105"/>
    <tableColumn id="3286" xr3:uid="{1B4C01D5-03D1-4D3F-BFDF-1DF1F102B7F6}" name="3506" dataDxfId="13104"/>
    <tableColumn id="3287" xr3:uid="{DABFEBA7-3B7A-4909-94EF-E2B487722795}" name="3507" dataDxfId="13103"/>
    <tableColumn id="3288" xr3:uid="{F63CC33D-4E4F-4B2A-B13E-1FC811B7BAE9}" name="3508" dataDxfId="13102"/>
    <tableColumn id="3289" xr3:uid="{BFB60ADB-BD2D-4B78-A221-A0491749C2BF}" name="3509" dataDxfId="13101"/>
    <tableColumn id="3290" xr3:uid="{01771466-7A18-45F9-98B2-68F904F17109}" name="3510" dataDxfId="13100"/>
    <tableColumn id="3291" xr3:uid="{07FCEA65-77C2-4896-B0CB-668A37E77242}" name="3511" dataDxfId="13099"/>
    <tableColumn id="3292" xr3:uid="{6FEAA920-D5D8-4FB2-B281-9C63A4DB5E92}" name="3512" dataDxfId="13098"/>
    <tableColumn id="3293" xr3:uid="{F5F5FA16-9299-429C-97C0-DF191A9EF075}" name="3513" dataDxfId="13097"/>
    <tableColumn id="3294" xr3:uid="{3E5B0C98-7445-462B-8D85-C33D9963FB0C}" name="3514" dataDxfId="13096"/>
    <tableColumn id="3295" xr3:uid="{A8DAB42F-335A-4D5F-9BDC-A7AC8D046AAD}" name="3515" dataDxfId="13095"/>
    <tableColumn id="3296" xr3:uid="{0D813964-CF0C-4F16-BCD3-53D6BDC28074}" name="3516" dataDxfId="13094"/>
    <tableColumn id="3297" xr3:uid="{5EBF5EC1-B76C-4850-AE9B-D90A3A851BC1}" name="3517" dataDxfId="13093"/>
    <tableColumn id="3298" xr3:uid="{EBBACD97-C829-4A3C-80EA-32A686F055B9}" name="3518" dataDxfId="13092"/>
    <tableColumn id="3299" xr3:uid="{542AF5FB-8384-45C6-8C1C-130B36EDB522}" name="3519" dataDxfId="13091"/>
    <tableColumn id="3300" xr3:uid="{CD1C2D77-FF76-4902-A359-4BBADE1972C0}" name="3520" dataDxfId="13090"/>
    <tableColumn id="3301" xr3:uid="{B8D9D851-38D7-4ADB-A5FD-18556F8BBC80}" name="3521" dataDxfId="13089"/>
    <tableColumn id="3302" xr3:uid="{62F0B3FF-C8A8-48F2-B49D-CD71BBCD6C53}" name="3522" dataDxfId="13088"/>
    <tableColumn id="3303" xr3:uid="{B6FBB317-279C-4AB1-9EAE-880F7F2A9D34}" name="3523" dataDxfId="13087"/>
    <tableColumn id="3304" xr3:uid="{60EAC936-E446-45A0-844C-9941AB48994E}" name="3524" dataDxfId="13086"/>
    <tableColumn id="3305" xr3:uid="{8D03443E-5D02-41E6-8DF3-9F8E7998F6E0}" name="3525" dataDxfId="13085"/>
    <tableColumn id="3306" xr3:uid="{23732A24-ED88-43FF-A6BB-EA9A31132167}" name="3526" dataDxfId="13084"/>
    <tableColumn id="3307" xr3:uid="{20174EA5-82BA-40D0-85E5-5D986C52537B}" name="3527" dataDxfId="13083"/>
    <tableColumn id="3308" xr3:uid="{DC6BB0DC-A0E8-4E7F-902D-804528FBC7EF}" name="3528" dataDxfId="13082"/>
    <tableColumn id="3309" xr3:uid="{B17A04E3-315B-455B-8062-7247A2B91768}" name="3529" dataDxfId="13081"/>
    <tableColumn id="3310" xr3:uid="{FF02F95B-17F7-44EF-BDB8-317B10B44688}" name="3530" dataDxfId="13080"/>
    <tableColumn id="3311" xr3:uid="{9EE07643-CD32-4795-8198-E1ACF6CFD585}" name="3531" dataDxfId="13079"/>
    <tableColumn id="3312" xr3:uid="{F23876B4-EBF1-4288-96E1-2BA9DC1CB8BC}" name="3532" dataDxfId="13078"/>
    <tableColumn id="3313" xr3:uid="{9D704E60-2DF1-4F70-A46B-FE5CE040CC29}" name="3533" dataDxfId="13077"/>
    <tableColumn id="3314" xr3:uid="{4E48FB89-EB7A-4738-B20D-6CD5B0843D6C}" name="3534" dataDxfId="13076"/>
    <tableColumn id="3315" xr3:uid="{7FDC8CFB-8C5C-4216-BB7A-C966B6BF2540}" name="3535" dataDxfId="13075"/>
    <tableColumn id="3316" xr3:uid="{5B19B270-CF5B-4F89-8EEE-B986F885FC5A}" name="3536" dataDxfId="13074"/>
    <tableColumn id="3317" xr3:uid="{9F78BB8E-15B6-424B-9812-997E58D770BC}" name="3537" dataDxfId="13073"/>
    <tableColumn id="3318" xr3:uid="{2886D71A-FD00-4B61-A330-B04A94F92AAD}" name="3538" dataDxfId="13072"/>
    <tableColumn id="3319" xr3:uid="{A9058E48-616F-4847-B950-0DA410F3F6A3}" name="3539" dataDxfId="13071"/>
    <tableColumn id="3320" xr3:uid="{2AD77533-1875-4CA5-947F-96A08F0366B5}" name="3540" dataDxfId="13070"/>
    <tableColumn id="3321" xr3:uid="{0C55AF2D-7CA9-481D-B613-53C1376EBB14}" name="3541" dataDxfId="13069"/>
    <tableColumn id="3322" xr3:uid="{62310BF1-68B6-4FBF-BCE2-CAC1450A7CC7}" name="3542" dataDxfId="13068"/>
    <tableColumn id="3323" xr3:uid="{7C3D880A-09DA-4416-8CEA-3EFD5D5284B4}" name="3543" dataDxfId="13067"/>
    <tableColumn id="3324" xr3:uid="{705937CE-8AFB-4AE3-84AC-6C6EF1666BED}" name="3544" dataDxfId="13066"/>
    <tableColumn id="3325" xr3:uid="{1FD3A888-202D-4891-BD63-510375EFB4B6}" name="3545" dataDxfId="13065"/>
    <tableColumn id="3326" xr3:uid="{C5CC8218-F33E-4C51-9B0B-359EEB415A9A}" name="3546" dataDxfId="13064"/>
    <tableColumn id="3327" xr3:uid="{82C376B5-9574-45EE-BF1E-04B5630F2359}" name="3547" dataDxfId="13063"/>
    <tableColumn id="3328" xr3:uid="{B4191973-0C36-45DA-80CA-C5C08E85C00A}" name="3548" dataDxfId="13062"/>
    <tableColumn id="3329" xr3:uid="{C10F243D-3ADA-496D-9A82-A4B6ECE76B46}" name="3549" dataDxfId="13061"/>
    <tableColumn id="3330" xr3:uid="{66A5AB3C-FA38-4128-90D8-88F8E6837879}" name="3550" dataDxfId="13060"/>
    <tableColumn id="3331" xr3:uid="{79596C9C-83ED-410E-9EC7-B025179BB30F}" name="3551" dataDxfId="13059"/>
    <tableColumn id="3332" xr3:uid="{0E103AC1-143B-4179-BFF6-F549BE684C7E}" name="3552" dataDxfId="13058"/>
    <tableColumn id="3333" xr3:uid="{4B0CE05A-5711-4B8B-AD06-5771D2E2CD59}" name="3553" dataDxfId="13057"/>
    <tableColumn id="3334" xr3:uid="{D90ED4AB-AB4B-4783-A7AC-53019E681349}" name="3554" dataDxfId="13056"/>
    <tableColumn id="3335" xr3:uid="{A485D7C3-CD8E-4CCD-95AE-5246A93FC2D2}" name="3555" dataDxfId="13055"/>
    <tableColumn id="3336" xr3:uid="{609ED6D1-8261-4D8B-99FC-90A74094958A}" name="3556" dataDxfId="13054"/>
    <tableColumn id="3337" xr3:uid="{9543DC93-BAD2-481F-A08F-F58AFC52959B}" name="3557" dataDxfId="13053"/>
    <tableColumn id="3338" xr3:uid="{0123D735-F6A3-4689-8B40-C9657930FF90}" name="3558" dataDxfId="13052"/>
    <tableColumn id="3339" xr3:uid="{373CD8DC-3FB5-4196-86B8-81CD58DD31E0}" name="3559" dataDxfId="13051"/>
    <tableColumn id="3340" xr3:uid="{E6843671-9180-4337-9F29-2020E3DBB7F1}" name="3560" dataDxfId="13050"/>
    <tableColumn id="3341" xr3:uid="{EE78C393-0C35-4587-A282-77824B82A656}" name="3561" dataDxfId="13049"/>
    <tableColumn id="3342" xr3:uid="{D621A57E-A917-4659-89BA-41A06E1CB434}" name="3562" dataDxfId="13048"/>
    <tableColumn id="3343" xr3:uid="{B9204938-9F4D-482F-A746-A1FDBFD99309}" name="3563" dataDxfId="13047"/>
    <tableColumn id="3344" xr3:uid="{02031C2F-ED3B-4417-8594-54E78252AC5A}" name="3564" dataDxfId="13046"/>
    <tableColumn id="3345" xr3:uid="{87F31B12-BA8F-4485-B66C-9CDF7B36F7CA}" name="3565" dataDxfId="13045"/>
    <tableColumn id="3346" xr3:uid="{42FB0FAD-D205-4234-9FE6-1E5535BA7835}" name="3566" dataDxfId="13044"/>
    <tableColumn id="3347" xr3:uid="{62910660-EFED-41BB-B182-BB23E8162BF0}" name="3567" dataDxfId="13043"/>
    <tableColumn id="3348" xr3:uid="{ED979D49-9CA7-4A59-806B-36B0B57AC4AD}" name="3568" dataDxfId="13042"/>
    <tableColumn id="3349" xr3:uid="{1B2A4B79-40B1-42F4-A24B-29B13E7E2BA9}" name="3569" dataDxfId="13041"/>
    <tableColumn id="3350" xr3:uid="{DA430CD6-549B-447A-AAA6-C2C21069802D}" name="3570" dataDxfId="13040"/>
    <tableColumn id="3351" xr3:uid="{54A877DD-4D02-4A3E-B260-A9AEE2235BDB}" name="3571" dataDxfId="13039"/>
    <tableColumn id="3352" xr3:uid="{92BEE062-F8E9-41EA-A920-9E8E6CFD50A6}" name="3572" dataDxfId="13038"/>
    <tableColumn id="3353" xr3:uid="{A6191256-304F-46A4-9D19-462284F094AD}" name="3573" dataDxfId="13037"/>
    <tableColumn id="3354" xr3:uid="{3B3EBABD-2F61-411B-9312-DFAFB614DD6C}" name="3574" dataDxfId="13036"/>
    <tableColumn id="3355" xr3:uid="{C0104389-111D-487B-8784-D4F60C95F91E}" name="3575" dataDxfId="13035"/>
    <tableColumn id="3356" xr3:uid="{CB994910-1068-4120-91A1-0E95B5CA70D1}" name="3576" dataDxfId="13034"/>
    <tableColumn id="3357" xr3:uid="{7212C458-F9F3-40AE-BF95-DDD19CEF9801}" name="3577" dataDxfId="13033"/>
    <tableColumn id="3358" xr3:uid="{02C7F03B-0B53-49C2-8EFC-A2F294697650}" name="3578" dataDxfId="13032"/>
    <tableColumn id="3359" xr3:uid="{DEC6E020-04DE-41BF-B9B0-DD1CFDAD359D}" name="3579" dataDxfId="13031"/>
    <tableColumn id="3360" xr3:uid="{402D0B52-852C-46D0-986F-12438032B20C}" name="3580" dataDxfId="13030"/>
    <tableColumn id="3361" xr3:uid="{C60FACCF-65AF-4D18-B1CF-FAA62E7B8AB3}" name="3581" dataDxfId="13029"/>
    <tableColumn id="3362" xr3:uid="{63E9B2A2-EFA5-48D9-957F-E7BFB62BAA69}" name="3582" dataDxfId="13028"/>
    <tableColumn id="3363" xr3:uid="{9BC63925-8D51-4DA0-A44A-9B2AADF21BB4}" name="3583" dataDxfId="13027"/>
    <tableColumn id="3364" xr3:uid="{8D72D6EE-23EC-4112-94C8-520CBFD38783}" name="3584" dataDxfId="13026"/>
    <tableColumn id="3365" xr3:uid="{0F9C3D62-5CA4-44F0-ACDC-881181357C68}" name="3585" dataDxfId="13025"/>
    <tableColumn id="3366" xr3:uid="{1703D657-34D6-4C76-BA80-DD101A58B059}" name="3586" dataDxfId="13024"/>
    <tableColumn id="3367" xr3:uid="{E4F21B47-0268-4D7E-8C8D-6FD25D947140}" name="3587" dataDxfId="13023"/>
    <tableColumn id="3368" xr3:uid="{DA4FF423-19B3-41B2-9777-E0A9E3BB1C8E}" name="3588" dataDxfId="13022"/>
    <tableColumn id="3369" xr3:uid="{E170E128-C526-43B3-8251-3F75FEC5D437}" name="3589" dataDxfId="13021"/>
    <tableColumn id="3370" xr3:uid="{AC211AD7-FB30-4D3F-89AE-56E0A5323504}" name="3590" dataDxfId="13020"/>
    <tableColumn id="3371" xr3:uid="{50E25111-2414-4658-868F-ACF86226D289}" name="3591" dataDxfId="13019"/>
    <tableColumn id="3372" xr3:uid="{EC4C56D4-7408-4A28-A47B-6FE727ED2341}" name="3592" dataDxfId="13018"/>
    <tableColumn id="3373" xr3:uid="{7E80F9E2-8946-409B-BD0E-083ADADA0C89}" name="3593" dataDxfId="13017"/>
    <tableColumn id="3374" xr3:uid="{F654912B-F910-40C4-8B42-7BDF7C58676B}" name="3594" dataDxfId="13016"/>
    <tableColumn id="3375" xr3:uid="{C3AE4692-B94C-41AB-BC63-C6C589F46FE7}" name="3595" dataDxfId="13015"/>
    <tableColumn id="3376" xr3:uid="{ADE4FB29-1FB6-40DA-9297-4E622C00A4ED}" name="3596" dataDxfId="13014"/>
    <tableColumn id="3377" xr3:uid="{EDBE2D60-BD18-4DF5-A87C-D365AC2D88E3}" name="3597" dataDxfId="13013"/>
    <tableColumn id="3378" xr3:uid="{31950924-2C0E-4C7C-B443-665F829496FA}" name="3598" dataDxfId="13012"/>
    <tableColumn id="3379" xr3:uid="{B6EAA744-914D-4B81-A9CD-11405B5C315F}" name="3599" dataDxfId="13011"/>
    <tableColumn id="3380" xr3:uid="{92335046-81F1-4204-98BF-41EE930653E5}" name="3600" dataDxfId="13010"/>
    <tableColumn id="3381" xr3:uid="{0DBD2B80-DDD0-491B-BA74-16A8364C11C2}" name="3601" dataDxfId="13009"/>
    <tableColumn id="3382" xr3:uid="{D21AF49A-1571-49DE-AEF4-520448B48B27}" name="3602" dataDxfId="13008"/>
    <tableColumn id="3383" xr3:uid="{DB8F8B08-ED7E-43BA-AE1C-34B6D2AA10F3}" name="3603" dataDxfId="13007"/>
    <tableColumn id="3384" xr3:uid="{61F28170-A4B3-4064-B971-7FD07A467844}" name="3604" dataDxfId="13006"/>
    <tableColumn id="3385" xr3:uid="{AFC7145A-3FA7-4F6A-8F69-8EB5EC9260B9}" name="3605" dataDxfId="13005"/>
    <tableColumn id="3386" xr3:uid="{AEACE8A2-5082-47DA-8C6C-CA8876053050}" name="3606" dataDxfId="13004"/>
    <tableColumn id="3387" xr3:uid="{B10C9C21-BE85-4AEC-B71B-3A8B9FC6E939}" name="3607" dataDxfId="13003"/>
    <tableColumn id="3388" xr3:uid="{5C0377E3-688E-4BA9-83C3-CED92CA6ADFC}" name="3608" dataDxfId="13002"/>
    <tableColumn id="3389" xr3:uid="{54F53FAE-CD2E-400F-B028-3E580A025164}" name="3609" dataDxfId="13001"/>
    <tableColumn id="3390" xr3:uid="{3FE7B2BE-48A7-4619-8390-D60BC2556D62}" name="3610" dataDxfId="13000"/>
    <tableColumn id="3391" xr3:uid="{6B554497-B417-4BB1-9277-A819C77C8746}" name="3611" dataDxfId="12999"/>
    <tableColumn id="3392" xr3:uid="{78C662DF-0328-44E2-AC82-D0BAAAD1190A}" name="3612" dataDxfId="12998"/>
    <tableColumn id="3393" xr3:uid="{2A820123-FE37-4D7F-B95F-49198C77D32F}" name="3613" dataDxfId="12997"/>
    <tableColumn id="3394" xr3:uid="{7CF889B0-07DB-433C-AB54-CADCF668C91E}" name="3614" dataDxfId="12996"/>
    <tableColumn id="3395" xr3:uid="{65BBCD14-8B8C-42A5-A8AB-C1D6421028B8}" name="3615" dataDxfId="12995"/>
    <tableColumn id="3396" xr3:uid="{9C42AF3D-233A-493B-B67A-7330E19349C4}" name="3616" dataDxfId="12994"/>
    <tableColumn id="3397" xr3:uid="{80C96497-D609-4AE7-BAA9-C9111F92FD9F}" name="3617" dataDxfId="12993"/>
    <tableColumn id="3398" xr3:uid="{21747833-6E70-4959-A20C-7855CBF71603}" name="3618" dataDxfId="12992"/>
    <tableColumn id="3399" xr3:uid="{994CEDBD-5000-4940-8681-F0538389CDBB}" name="3619" dataDxfId="12991"/>
    <tableColumn id="3400" xr3:uid="{9DD8189D-C3A9-42C4-B1FC-A3DF351EBCC3}" name="3620" dataDxfId="12990"/>
    <tableColumn id="3401" xr3:uid="{AB6C8255-9A0D-46FC-ADAB-B61EA51A7D26}" name="3621" dataDxfId="12989"/>
    <tableColumn id="3402" xr3:uid="{AAE1D195-94D1-405E-A7E6-0468082E81FB}" name="3622" dataDxfId="12988"/>
    <tableColumn id="3403" xr3:uid="{4E9D6530-63C0-4132-990A-A403CB6487E2}" name="3623" dataDxfId="12987"/>
    <tableColumn id="3404" xr3:uid="{5F761B38-160A-431C-835F-F1C7B1EEE7CD}" name="3624" dataDxfId="12986"/>
    <tableColumn id="3405" xr3:uid="{5E141A29-8FAF-4C33-9ACB-B7CF30277C73}" name="3625" dataDxfId="12985"/>
    <tableColumn id="3406" xr3:uid="{40FEDB06-44AA-465D-BAC8-5695597D6D0B}" name="3626" dataDxfId="12984"/>
    <tableColumn id="3407" xr3:uid="{6E61C26B-645B-4B6F-9688-71C8EAFE5DB3}" name="3627" dataDxfId="12983"/>
    <tableColumn id="3408" xr3:uid="{F69FADC0-DE77-4ADF-ABB8-0B0DAE4DA616}" name="3628" dataDxfId="12982"/>
    <tableColumn id="3409" xr3:uid="{D9DB3508-ECB7-407D-AD58-3F870152D590}" name="3629" dataDxfId="12981"/>
    <tableColumn id="3410" xr3:uid="{16B6186F-4BF2-416C-8105-187E82E14A5A}" name="3630" dataDxfId="12980"/>
    <tableColumn id="3411" xr3:uid="{534001BF-0B12-4491-9E1D-2895D2CF11C6}" name="3631" dataDxfId="12979"/>
    <tableColumn id="3412" xr3:uid="{4F48833D-793F-429A-90CD-AF1DDC967FC1}" name="3632" dataDxfId="12978"/>
    <tableColumn id="3413" xr3:uid="{6439C7F2-421A-42C1-BB87-A67A63CD0095}" name="3633" dataDxfId="12977"/>
    <tableColumn id="3414" xr3:uid="{C2431C31-4F3A-48E5-A73E-599096BB1F9C}" name="3634" dataDxfId="12976"/>
    <tableColumn id="3415" xr3:uid="{C790A5DB-BEED-460D-88BF-5A004DA952CB}" name="3635" dataDxfId="12975"/>
    <tableColumn id="3416" xr3:uid="{3F3CD77C-00C5-4254-9EBC-6862755B0CB1}" name="3636" dataDxfId="12974"/>
    <tableColumn id="3417" xr3:uid="{B17F1E49-EA62-454F-96BB-8FB722C0C688}" name="3637" dataDxfId="12973"/>
    <tableColumn id="3418" xr3:uid="{6A6995C6-F617-49CF-A1C4-FE37D687191C}" name="3638" dataDxfId="12972"/>
    <tableColumn id="3419" xr3:uid="{8A163C19-5DED-4570-960F-07C56D484DE7}" name="3639" dataDxfId="12971"/>
    <tableColumn id="3420" xr3:uid="{BB15376A-5B73-4E1A-BA02-8AC5367E7AB2}" name="3640" dataDxfId="12970"/>
    <tableColumn id="3421" xr3:uid="{BD015994-E4EF-4020-AF6B-E5C6743FE23F}" name="3641" dataDxfId="12969"/>
    <tableColumn id="3422" xr3:uid="{9BDD3783-69CB-42E2-94A0-C9B8F26EAB16}" name="3642" dataDxfId="12968"/>
    <tableColumn id="3423" xr3:uid="{971B6F5E-4493-4461-891C-29A8E88EC933}" name="3643" dataDxfId="12967"/>
    <tableColumn id="3424" xr3:uid="{C23A79BB-2359-4A42-903D-8A8B280BD86A}" name="3644" dataDxfId="12966"/>
    <tableColumn id="3425" xr3:uid="{64249CF4-D56C-416B-92FC-5C7DDEE8C8F3}" name="3645" dataDxfId="12965"/>
    <tableColumn id="3426" xr3:uid="{14452A3D-CB3B-41AC-95A9-A7243BB34877}" name="3646" dataDxfId="12964"/>
    <tableColumn id="3427" xr3:uid="{912236EB-7F21-4DF9-84C8-ED18A4884817}" name="3647" dataDxfId="12963"/>
    <tableColumn id="3428" xr3:uid="{16E01E0B-5FCA-489D-B1B4-08D2A59E8E0E}" name="3648" dataDxfId="12962"/>
    <tableColumn id="3429" xr3:uid="{6B65E6E4-AC0B-4BC6-B002-25708450334B}" name="3649" dataDxfId="12961"/>
    <tableColumn id="3430" xr3:uid="{2F8B2F9C-1BAA-465B-A602-C9B55A943D18}" name="3650" dataDxfId="12960"/>
    <tableColumn id="3431" xr3:uid="{8E9437BF-6001-480F-9028-DBD40198D38E}" name="3651" dataDxfId="12959"/>
    <tableColumn id="3432" xr3:uid="{BD5DCC31-2C64-48D6-90DB-655E9F419449}" name="3652" dataDxfId="12958"/>
    <tableColumn id="3433" xr3:uid="{AD6B68BE-AEDD-4321-A43D-8B728BD9C52C}" name="3653" dataDxfId="12957"/>
    <tableColumn id="3434" xr3:uid="{A7363628-DAD3-4825-9E9D-578CA2E32F38}" name="3654" dataDxfId="12956"/>
    <tableColumn id="3435" xr3:uid="{B17DBE28-FD09-4599-B54C-30C87504F331}" name="3655" dataDxfId="12955"/>
    <tableColumn id="3436" xr3:uid="{A2145885-2D7C-4625-9E0F-01C86B75A530}" name="3656" dataDxfId="12954"/>
    <tableColumn id="3437" xr3:uid="{E9656481-BF6F-41FA-8851-252287530941}" name="3657" dataDxfId="12953"/>
    <tableColumn id="3438" xr3:uid="{4717B555-D3ED-4F2E-A09C-CCD01995BAB7}" name="3658" dataDxfId="12952"/>
    <tableColumn id="3439" xr3:uid="{3969BBAC-A955-46C1-81C4-6D191E7C8A5F}" name="3659" dataDxfId="12951"/>
    <tableColumn id="3440" xr3:uid="{BE4B551D-9174-4DF0-858D-37B1ADFDBCCA}" name="3660" dataDxfId="12950"/>
    <tableColumn id="3441" xr3:uid="{04825173-5E54-4032-88F8-6A42C51C1ADF}" name="3661" dataDxfId="12949"/>
    <tableColumn id="3442" xr3:uid="{D993ACF8-C297-4732-853B-95BE79CF85B5}" name="3662" dataDxfId="12948"/>
    <tableColumn id="3443" xr3:uid="{03F7C444-C980-473C-98D7-CB9EDB9BEBBE}" name="3663" dataDxfId="12947"/>
    <tableColumn id="3444" xr3:uid="{95EDEE04-373A-4709-BB9B-273A2D95F7DB}" name="3664" dataDxfId="12946"/>
    <tableColumn id="3445" xr3:uid="{FEA7AE75-2B2D-4170-BD7F-4AF9C4CC7A89}" name="3665" dataDxfId="12945"/>
    <tableColumn id="3446" xr3:uid="{E178E3DF-1B5A-420A-8D89-0E0F25778DBA}" name="3666" dataDxfId="12944"/>
    <tableColumn id="3447" xr3:uid="{DE15D874-F259-45FB-9C18-A7C80A82A722}" name="3667" dataDxfId="12943"/>
    <tableColumn id="3448" xr3:uid="{73A700DF-D756-405C-89EC-21F6321185D2}" name="3668" dataDxfId="12942"/>
    <tableColumn id="3449" xr3:uid="{FDBFD9CF-6DFD-4A8E-B3D1-9B304F8F6DBD}" name="3669" dataDxfId="12941"/>
    <tableColumn id="3450" xr3:uid="{4EEF6878-BF91-4332-84F2-64A46967EADF}" name="3670" dataDxfId="12940"/>
    <tableColumn id="3451" xr3:uid="{57C9AB80-FDA5-462D-9F6C-C238BC4F1AF8}" name="3671" dataDxfId="12939"/>
    <tableColumn id="3452" xr3:uid="{1C22BDD8-3DF4-47C6-94E6-5D9B614A423B}" name="3672" dataDxfId="12938"/>
    <tableColumn id="3453" xr3:uid="{A7916D96-3DC2-4910-BFE0-19E06D1CC251}" name="3673" dataDxfId="12937"/>
    <tableColumn id="3454" xr3:uid="{8D21A50E-5B59-4FEA-B6FA-817DD4EABA4C}" name="3674" dataDxfId="12936"/>
    <tableColumn id="3455" xr3:uid="{EF19B89D-C988-43D9-86EF-F0C398136116}" name="3675" dataDxfId="12935"/>
    <tableColumn id="3456" xr3:uid="{27CDA8FD-3C4A-4117-8D94-E7BF229075CF}" name="3676" dataDxfId="12934"/>
    <tableColumn id="3457" xr3:uid="{C209BD42-C54B-48AB-85E0-3FFC0A45318F}" name="3677" dataDxfId="12933"/>
    <tableColumn id="3458" xr3:uid="{B002422C-7472-4933-9CDC-62ECEA9A4A99}" name="3678" dataDxfId="12932"/>
    <tableColumn id="3459" xr3:uid="{F63BDDC3-3933-4B3E-99D6-F6A22E152108}" name="3679" dataDxfId="12931"/>
    <tableColumn id="3460" xr3:uid="{C874DA99-795E-4009-B8F5-8756862A8812}" name="3680" dataDxfId="12930"/>
    <tableColumn id="3461" xr3:uid="{EF785342-BBF0-485F-9E60-3FB7077BCFAE}" name="3681" dataDxfId="12929"/>
    <tableColumn id="3462" xr3:uid="{C4D97257-08CE-4AFC-ADFC-7F1183D63635}" name="3682" dataDxfId="12928"/>
    <tableColumn id="3463" xr3:uid="{D685FFAC-6630-4CF0-95F5-0B23295DB287}" name="3683" dataDxfId="12927"/>
    <tableColumn id="3464" xr3:uid="{6C454F84-8FBE-4442-AF84-FBD18CB16930}" name="3684" dataDxfId="12926"/>
    <tableColumn id="3465" xr3:uid="{06BFB01C-A2A0-4071-BD8C-E4C9EFD140AC}" name="3685" dataDxfId="12925"/>
    <tableColumn id="3466" xr3:uid="{A2C25714-E166-49E4-8F88-8C7E22137761}" name="3686" dataDxfId="12924"/>
    <tableColumn id="3467" xr3:uid="{4D720281-3E00-42EC-80A9-C597E016B4EB}" name="3687" dataDxfId="12923"/>
    <tableColumn id="3468" xr3:uid="{A1E63056-5E2A-4B32-AA2B-01D74F713A10}" name="3688" dataDxfId="12922"/>
    <tableColumn id="3469" xr3:uid="{9DBA4FB6-939F-46D3-9703-B6A1F04A58EC}" name="3689" dataDxfId="12921"/>
    <tableColumn id="3470" xr3:uid="{4A885E7F-7CF4-41A4-AD60-4B2F4A6E18B4}" name="3690" dataDxfId="12920"/>
    <tableColumn id="3471" xr3:uid="{A1407A2E-9C43-48E2-AE05-6B9E999776A5}" name="3691" dataDxfId="12919"/>
    <tableColumn id="3472" xr3:uid="{C5208F20-147C-4A42-9B90-15F741D79CB4}" name="3692" dataDxfId="12918"/>
    <tableColumn id="3473" xr3:uid="{E6C39F57-709F-4128-A94C-692CEB2D767D}" name="3693" dataDxfId="12917"/>
    <tableColumn id="3474" xr3:uid="{7831D9FB-9DB3-44A5-A7D7-3DA0BC72B0BA}" name="3694" dataDxfId="12916"/>
    <tableColumn id="3475" xr3:uid="{E07FB48C-F9EA-4088-AE84-8D3BC62D3CC0}" name="3695" dataDxfId="12915"/>
    <tableColumn id="3476" xr3:uid="{0C6A4609-2820-47A9-9003-14931FE4A0F0}" name="3696" dataDxfId="12914"/>
    <tableColumn id="3477" xr3:uid="{3D63302E-10FD-4E1B-9F36-C71C8D79373A}" name="3697" dataDxfId="12913"/>
    <tableColumn id="3478" xr3:uid="{AD6E9045-9210-4B6E-A3AF-9A50D5F1135B}" name="3698" dataDxfId="12912"/>
    <tableColumn id="3479" xr3:uid="{D5356E2E-7922-4594-A588-174F7DB210E8}" name="3699" dataDxfId="12911"/>
    <tableColumn id="3480" xr3:uid="{C5E7FD64-06FB-40F0-9F64-B57012F107AD}" name="3700" dataDxfId="12910"/>
    <tableColumn id="3481" xr3:uid="{42E03258-9EBA-4188-9C83-E131813CACA6}" name="3701" dataDxfId="12909"/>
    <tableColumn id="3482" xr3:uid="{42DB2690-0ECC-453F-BB69-85A04529F207}" name="3702" dataDxfId="12908"/>
    <tableColumn id="3483" xr3:uid="{60DEE9B2-3139-4F17-AB0B-D0C755D8BF2E}" name="3703" dataDxfId="12907"/>
    <tableColumn id="3484" xr3:uid="{0018EFDF-F95D-470E-814C-C8F0E94B5899}" name="3704" dataDxfId="12906"/>
    <tableColumn id="3485" xr3:uid="{3C96B566-1D83-4323-91D1-E664A270B7D4}" name="3705" dataDxfId="12905"/>
    <tableColumn id="3486" xr3:uid="{EDF06A76-A5DE-4B03-9E54-616F2C9E58D2}" name="3706" dataDxfId="12904"/>
    <tableColumn id="3487" xr3:uid="{3B684602-82D9-4671-97BE-11667002160F}" name="3707" dataDxfId="12903"/>
    <tableColumn id="3488" xr3:uid="{6C4C8094-0BAF-404D-B777-752BA59AA9A4}" name="3708" dataDxfId="12902"/>
    <tableColumn id="3489" xr3:uid="{AC625087-8EAF-4E66-A1DB-925D3D2E49D3}" name="3709" dataDxfId="12901"/>
    <tableColumn id="3490" xr3:uid="{FADD908E-512C-4476-93B7-F07ECE783E08}" name="3710" dataDxfId="12900"/>
    <tableColumn id="3491" xr3:uid="{531DEA7C-F404-47ED-A5E5-2E5AD7555D8A}" name="3711" dataDxfId="12899"/>
    <tableColumn id="3492" xr3:uid="{E88F8F3A-138F-4FE2-8E23-2F9D05DCC01F}" name="3712" dataDxfId="12898"/>
    <tableColumn id="3493" xr3:uid="{B5CB62E4-E694-4FCA-9BB8-F048D7E4DB02}" name="3713" dataDxfId="12897"/>
    <tableColumn id="3494" xr3:uid="{1C122DB4-EEA4-4C5B-A2F2-0002A74DD62C}" name="3714" dataDxfId="12896"/>
    <tableColumn id="3495" xr3:uid="{C62DA47E-95ED-4556-A5D5-2CCBB0992050}" name="3715" dataDxfId="12895"/>
    <tableColumn id="3496" xr3:uid="{EAF17578-1EA5-4403-9FB7-4D103C066E77}" name="3716" dataDxfId="12894"/>
    <tableColumn id="3497" xr3:uid="{E747DF29-50EF-474E-B69F-869C61275D55}" name="3717" dataDxfId="12893"/>
    <tableColumn id="3498" xr3:uid="{9505A81B-452F-47A8-89B1-56048BA23F70}" name="3718" dataDxfId="12892"/>
    <tableColumn id="3499" xr3:uid="{658CA082-FDDF-49A0-9A29-1C94DF4EC977}" name="3719" dataDxfId="12891"/>
    <tableColumn id="3500" xr3:uid="{96963F2D-70C4-4D9C-8CD5-67FF0897DB9E}" name="3720" dataDxfId="12890"/>
    <tableColumn id="3501" xr3:uid="{B6EFAFEC-A3B0-47D5-94A7-0CF34D91AF74}" name="3721" dataDxfId="12889"/>
    <tableColumn id="3502" xr3:uid="{69631414-C34E-4F46-B95B-2C5A1BD7FEC8}" name="3722" dataDxfId="12888"/>
    <tableColumn id="3503" xr3:uid="{659CC4E4-6317-418B-AA78-4B54819A5561}" name="3723" dataDxfId="12887"/>
    <tableColumn id="3504" xr3:uid="{EC3A9B52-CA91-4D54-8ED6-DAE107A26784}" name="3724" dataDxfId="12886"/>
    <tableColumn id="3505" xr3:uid="{30153F1D-2932-4589-946A-1E3E5D4F8ED6}" name="3725" dataDxfId="12885"/>
    <tableColumn id="3506" xr3:uid="{E5F972CE-73B6-4958-B23D-6B13751C9962}" name="3726" dataDxfId="12884"/>
    <tableColumn id="3507" xr3:uid="{3A14C871-766C-429D-84B7-8C8A02D6785E}" name="3727" dataDxfId="12883"/>
    <tableColumn id="3508" xr3:uid="{EF40423F-A19E-4A95-9608-ADC2175157A1}" name="3728" dataDxfId="12882"/>
    <tableColumn id="3509" xr3:uid="{69C3FA0A-9F41-4D5C-B4F2-9C05E0B60C40}" name="3729" dataDxfId="12881"/>
    <tableColumn id="3510" xr3:uid="{5B8ADB39-FC76-4271-BAD1-891566E7AD16}" name="3730" dataDxfId="12880"/>
    <tableColumn id="3511" xr3:uid="{25F0BE15-A2BF-4CF8-8527-99960630E9C2}" name="3731" dataDxfId="12879"/>
    <tableColumn id="3512" xr3:uid="{A24703A2-A7C7-4F30-9C74-8D71FF81A7BA}" name="3732" dataDxfId="12878"/>
    <tableColumn id="3513" xr3:uid="{CEE7CC4C-DC10-428C-BAF4-8CF3FB2CB48C}" name="3733" dataDxfId="12877"/>
    <tableColumn id="3514" xr3:uid="{A96F7365-EBA1-46D3-8DF2-1C030B3E4D49}" name="3734" dataDxfId="12876"/>
    <tableColumn id="3515" xr3:uid="{E33AD24B-8417-42CC-9995-92F657B18788}" name="3735" dataDxfId="12875"/>
    <tableColumn id="3516" xr3:uid="{2189186D-321C-4188-AF35-96BBD601B467}" name="3736" dataDxfId="12874"/>
    <tableColumn id="3517" xr3:uid="{905C3106-3386-4949-A437-59E0F22367FE}" name="3737" dataDxfId="12873"/>
    <tableColumn id="3518" xr3:uid="{E582F58E-DBE2-4CC6-A103-BA6FA8032075}" name="3738" dataDxfId="12872"/>
    <tableColumn id="3519" xr3:uid="{317571AB-9F1C-4090-8276-0F0D8FD0395A}" name="3739" dataDxfId="12871"/>
    <tableColumn id="3520" xr3:uid="{DED8FC18-0DB7-4A42-8C62-BF76BCF8F41B}" name="3740" dataDxfId="12870"/>
    <tableColumn id="3521" xr3:uid="{9D18693C-9140-4475-BF11-290FA4D7B669}" name="3741" dataDxfId="12869"/>
    <tableColumn id="3522" xr3:uid="{663F528C-A600-4DFE-AA20-04DC19ACAA2E}" name="3742" dataDxfId="12868"/>
    <tableColumn id="3523" xr3:uid="{5AA20112-4280-4144-9DC0-772EF6BCF101}" name="3743" dataDxfId="12867"/>
    <tableColumn id="3524" xr3:uid="{1518C2C1-168E-41ED-BB8A-6A28026406DD}" name="3744" dataDxfId="12866"/>
    <tableColumn id="3525" xr3:uid="{1F9E6D88-70E0-4B84-A493-86FA4F3E204D}" name="3745" dataDxfId="12865"/>
    <tableColumn id="3526" xr3:uid="{5AA58DCD-F96E-41A3-AA93-8910F0BC97EF}" name="3746" dataDxfId="12864"/>
    <tableColumn id="3527" xr3:uid="{B1DCF857-DE93-4D2F-9F80-6CF738579A36}" name="3747" dataDxfId="12863"/>
    <tableColumn id="3528" xr3:uid="{28EBB06A-1A4D-4C7E-85B7-C1AF18F67CE8}" name="3748" dataDxfId="12862"/>
    <tableColumn id="3529" xr3:uid="{50D62094-F7C7-4634-9A8A-E35140C9DD41}" name="3749" dataDxfId="12861"/>
    <tableColumn id="3530" xr3:uid="{5060174C-5A87-475C-8911-6D432BF19DA4}" name="3750" dataDxfId="12860"/>
    <tableColumn id="3531" xr3:uid="{CDF082F1-3EB7-4C99-AD7B-6298FE0FBB77}" name="3751" dataDxfId="12859"/>
    <tableColumn id="3532" xr3:uid="{A4010408-D3AD-47FF-BB97-722AAB6E1613}" name="3752" dataDxfId="12858"/>
    <tableColumn id="3533" xr3:uid="{70069499-0F9E-4940-A0A7-FE1DDD083AD9}" name="3753" dataDxfId="12857"/>
    <tableColumn id="3534" xr3:uid="{F17F84B0-28EB-4AB2-8B27-5BCD9377AF68}" name="3754" dataDxfId="12856"/>
    <tableColumn id="3535" xr3:uid="{B57B7F9F-7199-4D09-B8E2-30A80E094339}" name="3755" dataDxfId="12855"/>
    <tableColumn id="3536" xr3:uid="{2B6681A4-D7C8-4B6A-8923-88C65FC1DE17}" name="3756" dataDxfId="12854"/>
    <tableColumn id="3537" xr3:uid="{418D257A-16A4-4A28-A102-6FC2A16E3BCD}" name="3757" dataDxfId="12853"/>
    <tableColumn id="3538" xr3:uid="{30020112-0B8C-4BF8-8185-8D508571CF18}" name="3758" dataDxfId="12852"/>
    <tableColumn id="3539" xr3:uid="{5FDC25AF-ACE1-4DD3-BD62-1F5311D74946}" name="3759" dataDxfId="12851"/>
    <tableColumn id="3540" xr3:uid="{7F20C6C8-CBC8-4679-9153-1E66BE5EA57E}" name="3760" dataDxfId="12850"/>
    <tableColumn id="3541" xr3:uid="{5673F56E-913E-4F4A-993B-3C2F7CADCA22}" name="3761" dataDxfId="12849"/>
    <tableColumn id="3542" xr3:uid="{D84CF4AD-59AF-4A81-BA57-77C169E5718B}" name="3762" dataDxfId="12848"/>
    <tableColumn id="3543" xr3:uid="{1373C858-B743-4F5D-AF82-3ACC1D23A394}" name="3763" dataDxfId="12847"/>
    <tableColumn id="3544" xr3:uid="{F4B65718-9848-4F17-AD32-5C7AEA0A48BE}" name="3764" dataDxfId="12846"/>
    <tableColumn id="3545" xr3:uid="{2EB85BD5-545C-4BF7-B43A-69C1D971C60D}" name="3765" dataDxfId="12845"/>
    <tableColumn id="3546" xr3:uid="{8E64AE1D-F49C-4FF4-B879-B63CB6B0A3D0}" name="3766" dataDxfId="12844"/>
    <tableColumn id="3547" xr3:uid="{7251E74E-44EC-4362-BD94-B2E4194E0E73}" name="3767" dataDxfId="12843"/>
    <tableColumn id="3548" xr3:uid="{7608B699-72B0-4CFD-BC02-6EE3A5E211D0}" name="3768" dataDxfId="12842"/>
    <tableColumn id="3549" xr3:uid="{3BFA150B-B134-4710-92A2-4495BF7BBA50}" name="3769" dataDxfId="12841"/>
    <tableColumn id="3550" xr3:uid="{5DB23D52-2C84-4D4C-909A-0269F8A8CE2A}" name="3770" dataDxfId="12840"/>
    <tableColumn id="3551" xr3:uid="{298ABEA7-6288-4993-877C-DE44238B6798}" name="3771" dataDxfId="12839"/>
    <tableColumn id="3552" xr3:uid="{C711C165-EAA5-4C2F-8957-7875F92B56C8}" name="3772" dataDxfId="12838"/>
    <tableColumn id="3553" xr3:uid="{A7FEDD2D-3DD6-44F5-ADA1-F75B8186D3DC}" name="3773" dataDxfId="12837"/>
    <tableColumn id="3554" xr3:uid="{013B6A7A-677F-408F-8D66-764AA6A411DF}" name="3774" dataDxfId="12836"/>
    <tableColumn id="3555" xr3:uid="{CDFF19AE-294F-458A-ADCA-48E93D58A42B}" name="3775" dataDxfId="12835"/>
    <tableColumn id="3556" xr3:uid="{23E19737-B66B-4F92-A2C2-35411EE653FE}" name="3776" dataDxfId="12834"/>
    <tableColumn id="3557" xr3:uid="{40632408-20F1-4CC7-B859-DE295C156D7C}" name="3777" dataDxfId="12833"/>
    <tableColumn id="3558" xr3:uid="{FA8477ED-9874-4440-AE57-84067ED6EFF7}" name="3778" dataDxfId="12832"/>
    <tableColumn id="3559" xr3:uid="{0A876850-23E2-49A1-8058-9196B9051DB3}" name="3779" dataDxfId="12831"/>
    <tableColumn id="3560" xr3:uid="{63FC96AC-A984-4907-A6A0-ECE834227F72}" name="3780" dataDxfId="12830"/>
    <tableColumn id="3561" xr3:uid="{F47CC9CD-C892-4F57-8266-2B14FB0ABBE9}" name="3781" dataDxfId="12829"/>
    <tableColumn id="3562" xr3:uid="{6ECFB0AC-BC3D-4FBC-AD2B-388042CEB3C0}" name="3782" dataDxfId="12828"/>
    <tableColumn id="3563" xr3:uid="{12EE9F48-912B-494A-ABBA-673F90888E6D}" name="3783" dataDxfId="12827"/>
    <tableColumn id="3564" xr3:uid="{AB1F3A31-0680-4BFA-81BD-D9CEF862FCCC}" name="3784" dataDxfId="12826"/>
    <tableColumn id="3565" xr3:uid="{485CDD6D-02D7-42C2-8A59-F6D5633A09E9}" name="3785" dataDxfId="12825"/>
    <tableColumn id="3566" xr3:uid="{8943A65F-45F3-463B-B8F1-608B664FA9E1}" name="3786" dataDxfId="12824"/>
    <tableColumn id="3567" xr3:uid="{7BDCA77C-0D01-44E1-9FE1-40279EB53EB4}" name="3787" dataDxfId="12823"/>
    <tableColumn id="3568" xr3:uid="{BAF0FD2D-D774-4593-A211-B74CA231542D}" name="3788" dataDxfId="12822"/>
    <tableColumn id="3569" xr3:uid="{62B3AD32-F61B-4BA5-A90F-C4E076404353}" name="3789" dataDxfId="12821"/>
    <tableColumn id="3570" xr3:uid="{6AE1D477-4F2C-4B21-B9E4-4185589D97AB}" name="3790" dataDxfId="12820"/>
    <tableColumn id="3571" xr3:uid="{74754873-C006-448E-AFEF-8DF2128ED92B}" name="3791" dataDxfId="12819"/>
    <tableColumn id="3572" xr3:uid="{DA90141A-22FB-4EC1-9E2A-38361A8AD5F8}" name="3792" dataDxfId="12818"/>
    <tableColumn id="3573" xr3:uid="{0126B053-9B75-46F4-AC6B-BC9AB78EEFE9}" name="3793" dataDxfId="12817"/>
    <tableColumn id="3574" xr3:uid="{F503161A-0439-434A-9C16-F41E5D983C82}" name="3794" dataDxfId="12816"/>
    <tableColumn id="3575" xr3:uid="{4246C9BB-37BB-4E15-94C3-F47E67BB6224}" name="3795" dataDxfId="12815"/>
    <tableColumn id="3576" xr3:uid="{014D1186-67CC-4C1A-AEBC-B493E00AA984}" name="3796" dataDxfId="12814"/>
    <tableColumn id="3577" xr3:uid="{E4B5E9CB-8EC5-445D-BED6-E13397CDE89B}" name="3797" dataDxfId="12813"/>
    <tableColumn id="3578" xr3:uid="{98F2E2B8-6849-49C7-B33C-FD2A93CEEC7C}" name="3798" dataDxfId="12812"/>
    <tableColumn id="3579" xr3:uid="{1ED1D1DA-7A0B-42F0-9E4B-C9856F11456E}" name="3799" dataDxfId="12811"/>
    <tableColumn id="3580" xr3:uid="{7B14C633-55E6-4501-AB19-8377F3B5248D}" name="3800" dataDxfId="12810"/>
    <tableColumn id="3581" xr3:uid="{64B01D76-2ED9-4582-8786-D45348BA338B}" name="3801" dataDxfId="12809"/>
    <tableColumn id="3582" xr3:uid="{780CB2C7-870C-43A1-AED2-8FF82437E609}" name="3802" dataDxfId="12808"/>
    <tableColumn id="3583" xr3:uid="{56DA21E0-751C-480B-844B-5E30EA6A0FC7}" name="3803" dataDxfId="12807"/>
    <tableColumn id="3584" xr3:uid="{DD0B070E-E831-406B-ABFC-3478D6795AC6}" name="3804" dataDxfId="12806"/>
    <tableColumn id="3585" xr3:uid="{4ED047BD-F28D-4E96-B09F-3BCA9627D398}" name="3805" dataDxfId="12805"/>
    <tableColumn id="3586" xr3:uid="{F28D94C5-0145-4B0C-92D8-D2BB09F4A960}" name="3806" dataDxfId="12804"/>
    <tableColumn id="3587" xr3:uid="{58C99FBC-2D63-472B-A239-C76B919F778A}" name="3807" dataDxfId="12803"/>
    <tableColumn id="3588" xr3:uid="{E798C45C-FC47-4257-8D71-CCEAB54FD5E0}" name="3808" dataDxfId="12802"/>
    <tableColumn id="3589" xr3:uid="{363A7BDD-9A34-4D23-AA31-EC33D95D7807}" name="3809" dataDxfId="12801"/>
    <tableColumn id="3590" xr3:uid="{DFBB5173-7BFD-4901-93E4-E71F85CF0B8E}" name="3810" dataDxfId="12800"/>
    <tableColumn id="3591" xr3:uid="{890D46E4-DB6F-4416-A5B6-98F057A51DCE}" name="3811" dataDxfId="12799"/>
    <tableColumn id="3592" xr3:uid="{5C93C751-9722-4854-8BC3-AEF08D9FF4BD}" name="3812" dataDxfId="12798"/>
    <tableColumn id="3593" xr3:uid="{8D7DFD41-7F7A-46B2-A7D0-70A22F179AF8}" name="3813" dataDxfId="12797"/>
    <tableColumn id="3594" xr3:uid="{3BA02155-5070-46FA-9B37-690357D1AA96}" name="3814" dataDxfId="12796"/>
    <tableColumn id="3595" xr3:uid="{B8CE425D-E8DE-4059-847B-A8C30577D91B}" name="3815" dataDxfId="12795"/>
    <tableColumn id="3596" xr3:uid="{957B27EE-D045-4E3E-B6DC-9A224A17985C}" name="3816" dataDxfId="12794"/>
    <tableColumn id="3597" xr3:uid="{4353BFB6-4AB8-43FD-A243-147837E6E335}" name="3817" dataDxfId="12793"/>
    <tableColumn id="3598" xr3:uid="{FAF6BFE1-741C-4E82-B50B-CC62EC8267C7}" name="3818" dataDxfId="12792"/>
    <tableColumn id="3599" xr3:uid="{461661F8-84A4-4095-A69B-0587196C2BFF}" name="3819" dataDxfId="12791"/>
    <tableColumn id="3600" xr3:uid="{07B59B22-3D19-4713-806C-2A487115954D}" name="3820" dataDxfId="12790"/>
    <tableColumn id="3601" xr3:uid="{6A3F7614-EB2B-43CA-8433-7B8DD2EA82ED}" name="3821" dataDxfId="12789"/>
    <tableColumn id="3602" xr3:uid="{B2381997-8F5F-4F40-986C-CFFBC6F22489}" name="3822" dataDxfId="12788"/>
    <tableColumn id="3603" xr3:uid="{D8DE935B-DC50-411D-B9AE-58A2F5482CD3}" name="3823" dataDxfId="12787"/>
    <tableColumn id="3604" xr3:uid="{38E260CB-3971-4EE7-A9C5-A0DC7371A167}" name="3824" dataDxfId="12786"/>
    <tableColumn id="3605" xr3:uid="{3EA07DC2-64E6-4D2C-A69C-87B99D5D7175}" name="3825" dataDxfId="12785"/>
    <tableColumn id="3606" xr3:uid="{8D13DF66-C07C-4897-AEB5-5AD898F9DA2C}" name="3826" dataDxfId="12784"/>
    <tableColumn id="3607" xr3:uid="{6A469858-59A5-486B-BF45-F007C8358011}" name="3827" dataDxfId="12783"/>
    <tableColumn id="3608" xr3:uid="{0E73E592-212E-45CA-B64B-C774474A64BB}" name="3828" dataDxfId="12782"/>
    <tableColumn id="3609" xr3:uid="{F8DAC1D6-CC23-4412-BCB0-0609495E0B66}" name="3829" dataDxfId="12781"/>
    <tableColumn id="3610" xr3:uid="{8E605EB9-4B55-4872-B8AC-498A4202F814}" name="3830" dataDxfId="12780"/>
    <tableColumn id="3611" xr3:uid="{429E566A-EEB3-4C49-AA5F-9E79485C9BB2}" name="3831" dataDxfId="12779"/>
    <tableColumn id="3612" xr3:uid="{F9A375F0-6EFC-475C-8821-06A78AAEB043}" name="3832" dataDxfId="12778"/>
    <tableColumn id="3613" xr3:uid="{9D7C7C30-93EF-499B-81D4-559D6B8F580F}" name="3833" dataDxfId="12777"/>
    <tableColumn id="3614" xr3:uid="{B60BC3E3-BBB0-4B77-BEEA-FA77A9272064}" name="3834" dataDxfId="12776"/>
    <tableColumn id="3615" xr3:uid="{790F1C92-0E39-4549-821B-A97CF476E72E}" name="3835" dataDxfId="12775"/>
    <tableColumn id="3616" xr3:uid="{546AD6EB-A0A7-4DC0-9072-2606A16D2E8D}" name="3836" dataDxfId="12774"/>
    <tableColumn id="3617" xr3:uid="{F9DA3BC3-42E6-45C3-AD17-46B2C482DE6A}" name="3837" dataDxfId="12773"/>
    <tableColumn id="3618" xr3:uid="{D3A7B227-AE3A-474B-ADCE-3B807208CA14}" name="3838" dataDxfId="12772"/>
    <tableColumn id="3619" xr3:uid="{288994B3-DC77-4E89-AE3C-D643421FCBA8}" name="3839" dataDxfId="12771"/>
    <tableColumn id="3620" xr3:uid="{6B6B9B81-6F22-4D9B-88D7-CC05C307DA77}" name="3840" dataDxfId="12770"/>
    <tableColumn id="3621" xr3:uid="{B2AEAE64-B7A6-4C99-A5CB-08C0E17FFC2B}" name="3841" dataDxfId="12769"/>
    <tableColumn id="3622" xr3:uid="{C9E96FA1-0D5A-4588-8537-B2DC34694BF0}" name="3842" dataDxfId="12768"/>
    <tableColumn id="3623" xr3:uid="{C1097506-9966-4418-B14E-6147F9753973}" name="3843" dataDxfId="12767"/>
    <tableColumn id="3624" xr3:uid="{3379D6AD-95F5-4C91-9F45-6EC7EC9D0486}" name="3844" dataDxfId="12766"/>
    <tableColumn id="3625" xr3:uid="{3307E45E-D694-4A72-9601-2F3EDCB5A936}" name="3845" dataDxfId="12765"/>
    <tableColumn id="3626" xr3:uid="{297448FF-1218-4F07-92C0-63BB921A3737}" name="3846" dataDxfId="12764"/>
    <tableColumn id="3627" xr3:uid="{1C9D763C-E051-4B19-89A8-8BFE854B2AC8}" name="3847" dataDxfId="12763"/>
    <tableColumn id="3628" xr3:uid="{3ABB7000-68E5-4FFD-B083-82DCAE58DFA3}" name="3848" dataDxfId="12762"/>
    <tableColumn id="3629" xr3:uid="{39269872-D4C7-44D6-BF57-82BE3AF286C2}" name="3849" dataDxfId="12761"/>
    <tableColumn id="3630" xr3:uid="{6C5858D7-98CC-46A1-9082-98E8AF6BFFBB}" name="3850" dataDxfId="12760"/>
    <tableColumn id="3631" xr3:uid="{B1ED1402-F9B3-485A-9E34-5259747610BA}" name="3851" dataDxfId="12759"/>
    <tableColumn id="3632" xr3:uid="{64A66AC2-CA73-4378-ACC9-EA904371A03A}" name="3852" dataDxfId="12758"/>
    <tableColumn id="3633" xr3:uid="{EEEF7AE2-201D-4608-89D4-3A9425C9D67D}" name="3853" dataDxfId="12757"/>
    <tableColumn id="3634" xr3:uid="{9817A91B-40A3-4DF6-BA8B-85BE6864E8D7}" name="3854" dataDxfId="12756"/>
    <tableColumn id="3635" xr3:uid="{A7A240E2-560C-462F-B2E2-C621BBD901AC}" name="3855" dataDxfId="12755"/>
    <tableColumn id="3636" xr3:uid="{46EEF4BE-1913-495E-B244-028D1713DC94}" name="3856" dataDxfId="12754"/>
    <tableColumn id="3637" xr3:uid="{CB5E07EE-5C4C-4283-A88F-2E1140E29E65}" name="3857" dataDxfId="12753"/>
    <tableColumn id="3638" xr3:uid="{B982B815-0EBF-40C2-84AA-5C851D339F94}" name="3858" dataDxfId="12752"/>
    <tableColumn id="3639" xr3:uid="{2869F5AB-9D0E-4E6C-B7E7-07735A54024C}" name="3859" dataDxfId="12751"/>
    <tableColumn id="3640" xr3:uid="{3FBC9AE0-D53E-42A9-9A5D-B275217D2493}" name="3860" dataDxfId="12750"/>
    <tableColumn id="3641" xr3:uid="{3868E269-6A5B-45B6-8442-0D9218C1CA1D}" name="3861" dataDxfId="12749"/>
    <tableColumn id="3642" xr3:uid="{9BBBEE5A-ECA4-49A5-8341-019AC0B55A20}" name="3862" dataDxfId="12748"/>
    <tableColumn id="3643" xr3:uid="{7B027CF4-4D08-4423-B98F-4FC88113AE00}" name="3863" dataDxfId="12747"/>
    <tableColumn id="3644" xr3:uid="{4AF6CDE8-3E9C-4666-AD1A-2A316224A192}" name="3864" dataDxfId="12746"/>
    <tableColumn id="3645" xr3:uid="{84435040-F399-4A18-A4E4-1A3526D0F225}" name="3865" dataDxfId="12745"/>
    <tableColumn id="3646" xr3:uid="{D15D47A7-99BA-4FEC-8D29-DBF3719C370A}" name="3866" dataDxfId="12744"/>
    <tableColumn id="3647" xr3:uid="{5A987B9B-3CF4-44C4-A504-A67A1E4244CD}" name="3867" dataDxfId="12743"/>
    <tableColumn id="3648" xr3:uid="{8D6A0D83-E811-4511-9778-9449D6AF8AFF}" name="3868" dataDxfId="12742"/>
    <tableColumn id="3649" xr3:uid="{4FDB7B9F-0924-412C-97B2-BB6B0197D367}" name="3869" dataDxfId="12741"/>
    <tableColumn id="3650" xr3:uid="{9A5AB53F-9ABC-4DD5-85BF-45D7003AC2AA}" name="3870" dataDxfId="12740"/>
    <tableColumn id="3651" xr3:uid="{9C5203AA-A1E5-4E38-A736-1BDADD0DE7F8}" name="3871" dataDxfId="12739"/>
    <tableColumn id="3652" xr3:uid="{6CB13469-99FE-449A-AA9E-F486719B9431}" name="3872" dataDxfId="12738"/>
    <tableColumn id="3653" xr3:uid="{335D627F-F2D7-4504-ABDF-7FF026099581}" name="3873" dataDxfId="12737"/>
    <tableColumn id="3654" xr3:uid="{8477EC93-2496-4DEF-81DD-3FA7522ABAB7}" name="3874" dataDxfId="12736"/>
    <tableColumn id="3655" xr3:uid="{C43A6331-5080-44D7-BFB7-8EA71D3C23DF}" name="3875" dataDxfId="12735"/>
    <tableColumn id="3656" xr3:uid="{E77C56CA-BAE3-4A87-AE46-525A05D4BB40}" name="3876" dataDxfId="12734"/>
    <tableColumn id="3657" xr3:uid="{D6BB8FEB-5779-4EDF-9840-201B92642067}" name="3877" dataDxfId="12733"/>
    <tableColumn id="3658" xr3:uid="{8C5E3D64-6566-49BE-A47B-443EEAC62133}" name="3878" dataDxfId="12732"/>
    <tableColumn id="3659" xr3:uid="{4F4FF08A-DBA5-4EFF-9820-575AFC565AFB}" name="3879" dataDxfId="12731"/>
    <tableColumn id="3660" xr3:uid="{92805DEC-2C48-480B-A028-7C5BB81EB21D}" name="3880" dataDxfId="12730"/>
    <tableColumn id="3661" xr3:uid="{223E85D5-AAB2-463E-9F0E-906A12158ABA}" name="3881" dataDxfId="12729"/>
    <tableColumn id="3662" xr3:uid="{33529468-8807-4633-A7DA-E463D008938B}" name="3882" dataDxfId="12728"/>
    <tableColumn id="3663" xr3:uid="{DFF86473-C670-48B7-81B7-5098D46B3CF1}" name="3883" dataDxfId="12727"/>
    <tableColumn id="3664" xr3:uid="{0109887E-AD41-49A4-B541-A1905D0149C2}" name="3884" dataDxfId="12726"/>
    <tableColumn id="3665" xr3:uid="{905480CD-A9B5-4729-BAB4-5C9CB1C960AA}" name="3885" dataDxfId="12725"/>
    <tableColumn id="3666" xr3:uid="{52B72BAF-0A10-4C5E-A573-4802B39B25A5}" name="3886" dataDxfId="12724"/>
    <tableColumn id="3667" xr3:uid="{371E8858-F9C5-41DF-8BC1-DE2E7065BB22}" name="3887" dataDxfId="12723"/>
    <tableColumn id="3668" xr3:uid="{6AD87080-0A73-4AD7-AF65-E0359988BA56}" name="3888" dataDxfId="12722"/>
    <tableColumn id="3669" xr3:uid="{7118EC2D-87FC-4B9E-8770-6A006F09420A}" name="3889" dataDxfId="12721"/>
    <tableColumn id="3670" xr3:uid="{2958973D-E798-4CE0-903E-8B60C3FDCBEC}" name="3890" dataDxfId="12720"/>
    <tableColumn id="3671" xr3:uid="{59088687-5076-4FC9-8529-E8736010D3D3}" name="3891" dataDxfId="12719"/>
    <tableColumn id="3672" xr3:uid="{D98D3577-7719-4816-B9CD-5E445A5300D5}" name="3892" dataDxfId="12718"/>
    <tableColumn id="3673" xr3:uid="{FCD1C693-6270-4855-9E0F-4C95EAB6960F}" name="3893" dataDxfId="12717"/>
    <tableColumn id="3674" xr3:uid="{03A57FE5-61C6-48DB-AE4F-E671106A3B1B}" name="3894" dataDxfId="12716"/>
    <tableColumn id="3675" xr3:uid="{C6EC6684-5AF4-41A3-B6F7-361716C05606}" name="3895" dataDxfId="12715"/>
    <tableColumn id="3676" xr3:uid="{64E1BFEB-CB60-40D9-BEBA-26A9C76A6D69}" name="3896" dataDxfId="12714"/>
    <tableColumn id="3677" xr3:uid="{E6442858-7A52-4D5A-B6C8-388810BB0A19}" name="3897" dataDxfId="12713"/>
    <tableColumn id="3678" xr3:uid="{AECEADCE-2CCA-4738-964C-57EFBA86D90D}" name="3898" dataDxfId="12712"/>
    <tableColumn id="3679" xr3:uid="{29275CD5-5A43-4BD4-8B95-5F557C0E50BF}" name="3899" dataDxfId="12711"/>
    <tableColumn id="3680" xr3:uid="{60E40F5A-BCB9-40E9-9255-9914B48A6E70}" name="3900" dataDxfId="12710"/>
    <tableColumn id="3681" xr3:uid="{BD64F8B3-85FB-49F6-83B2-5D37734819BC}" name="3901" dataDxfId="12709"/>
    <tableColumn id="3682" xr3:uid="{D7623FCF-5E69-48F0-99E6-7202FB6D639F}" name="3902" dataDxfId="12708"/>
    <tableColumn id="3683" xr3:uid="{38A1D216-4E8D-4EC3-B727-390B86B4B572}" name="3903" dataDxfId="12707"/>
    <tableColumn id="3684" xr3:uid="{7870169E-7EA7-49EC-9951-DE115A82F440}" name="3904" dataDxfId="12706"/>
    <tableColumn id="3685" xr3:uid="{FADD0742-ADEB-49AE-8CA7-5733B4D40F54}" name="3905" dataDxfId="12705"/>
    <tableColumn id="3686" xr3:uid="{AD6A9C00-F0C9-444C-9B0C-42EB7C40DEDE}" name="3906" dataDxfId="12704"/>
    <tableColumn id="3687" xr3:uid="{192F3230-9630-40E0-B879-11C42FBB7E31}" name="3907" dataDxfId="12703"/>
    <tableColumn id="3688" xr3:uid="{18FC37C7-186A-48DD-8753-A0397BEDEB79}" name="3908" dataDxfId="12702"/>
    <tableColumn id="3689" xr3:uid="{97BFE708-8465-4044-A205-C525970FBAD3}" name="3909" dataDxfId="12701"/>
    <tableColumn id="3690" xr3:uid="{8EE719CD-3306-4682-906C-A969D8F0AFFC}" name="3910" dataDxfId="12700"/>
    <tableColumn id="3691" xr3:uid="{D255D6E1-F81C-4C54-BF80-C052C5CBA919}" name="3911" dataDxfId="12699"/>
    <tableColumn id="3692" xr3:uid="{226924DB-7907-4695-98D8-A80BF9099CB9}" name="3912" dataDxfId="12698"/>
    <tableColumn id="3693" xr3:uid="{75A5E1E5-07FE-4C34-B203-EE82B2A03D10}" name="3913" dataDxfId="12697"/>
    <tableColumn id="3694" xr3:uid="{665AB8BC-4B31-42B6-9466-88E62A8BE508}" name="3914" dataDxfId="12696"/>
    <tableColumn id="3695" xr3:uid="{D1607AAD-32C0-4A1A-823E-FA92D710C7FE}" name="3915" dataDxfId="12695"/>
    <tableColumn id="3696" xr3:uid="{45B4B209-D3D5-4311-B0D6-320A5BD8E2D4}" name="3916" dataDxfId="12694"/>
    <tableColumn id="3697" xr3:uid="{A7ABE435-39B8-4428-BD90-7280E3CCFEAE}" name="3917" dataDxfId="12693"/>
    <tableColumn id="3698" xr3:uid="{B65C558B-DC29-4D7E-B4E9-65D3584A8516}" name="3918" dataDxfId="12692"/>
    <tableColumn id="3699" xr3:uid="{37819849-5278-46A2-9640-168C412391DC}" name="3919" dataDxfId="12691"/>
    <tableColumn id="3700" xr3:uid="{4F6E5154-9B9B-4040-9F1B-487DE038E382}" name="3920" dataDxfId="12690"/>
    <tableColumn id="3701" xr3:uid="{71EBDC41-CA47-4758-BC58-66890C9165B7}" name="3921" dataDxfId="12689"/>
    <tableColumn id="3702" xr3:uid="{E4897155-E86E-4459-8FD7-05628C40D4D5}" name="3922" dataDxfId="12688"/>
    <tableColumn id="3703" xr3:uid="{DEEA8486-355A-4974-8F0F-0F85E4764783}" name="3923" dataDxfId="12687"/>
    <tableColumn id="3704" xr3:uid="{ED538319-E9E2-4B02-90D2-DE73CC3D5B97}" name="3924" dataDxfId="12686"/>
    <tableColumn id="3705" xr3:uid="{BFC0422D-35C6-4C07-BC4B-301E87868D7D}" name="3925" dataDxfId="12685"/>
    <tableColumn id="3706" xr3:uid="{0CDFC5C0-894F-453A-BA89-490885D7E229}" name="3926" dataDxfId="12684"/>
    <tableColumn id="3707" xr3:uid="{ACA61093-E460-4972-93FB-4F6AFF543083}" name="3927" dataDxfId="12683"/>
    <tableColumn id="3708" xr3:uid="{0B9DD06D-52EA-4355-9A78-3EA4D71EDCDB}" name="3928" dataDxfId="12682"/>
    <tableColumn id="3709" xr3:uid="{EBB70CE2-BF10-4CED-9BD2-B69E07A134C2}" name="3929" dataDxfId="12681"/>
    <tableColumn id="3710" xr3:uid="{3B4660CE-AF20-4043-A895-06640527E3C7}" name="3930" dataDxfId="12680"/>
    <tableColumn id="3711" xr3:uid="{D827EA58-B068-4F5B-AE70-E4CA2E72FA15}" name="3931" dataDxfId="12679"/>
    <tableColumn id="3712" xr3:uid="{0EE79848-DB15-43ED-82E1-975B95141BC4}" name="3932" dataDxfId="12678"/>
    <tableColumn id="3713" xr3:uid="{AC4778ED-5131-4DCA-B141-BE5512D7BAC3}" name="3933" dataDxfId="12677"/>
    <tableColumn id="3714" xr3:uid="{71FBEE22-9926-4DC0-BC74-6B2AB2551DFB}" name="3934" dataDxfId="12676"/>
    <tableColumn id="3715" xr3:uid="{DF55E836-80EC-43C3-9509-5EFD5138CE33}" name="3935" dataDxfId="12675"/>
    <tableColumn id="3716" xr3:uid="{56B60052-B062-4794-A17D-73EF426A7651}" name="3936" dataDxfId="12674"/>
    <tableColumn id="3717" xr3:uid="{FBE6F97C-6CB0-4CC5-B165-7CC3DF34E4C7}" name="3937" dataDxfId="12673"/>
    <tableColumn id="3718" xr3:uid="{55656334-0799-45B4-97A0-D31368A4B39C}" name="3938" dataDxfId="12672"/>
    <tableColumn id="3719" xr3:uid="{44F58348-7522-4873-B1E9-8291BC1D40AB}" name="3939" dataDxfId="12671"/>
    <tableColumn id="3720" xr3:uid="{3204D1D1-EC5C-4D2D-9717-0A1115E8431A}" name="3940" dataDxfId="12670"/>
    <tableColumn id="3721" xr3:uid="{36BE960D-D670-41C9-8F22-343660C221CC}" name="3941" dataDxfId="12669"/>
    <tableColumn id="3722" xr3:uid="{64F82E22-C97E-4859-8B92-670FAA0772EB}" name="3942" dataDxfId="12668"/>
    <tableColumn id="3723" xr3:uid="{FCB7148B-4238-44E8-9D8C-3E562C74FB5D}" name="3943" dataDxfId="12667"/>
    <tableColumn id="3724" xr3:uid="{754444C8-6F5F-4C74-9BAD-278B17BC801C}" name="3944" dataDxfId="12666"/>
    <tableColumn id="3725" xr3:uid="{38BE0386-1C51-4FFA-99E1-13223673A999}" name="3945" dataDxfId="12665"/>
    <tableColumn id="3726" xr3:uid="{F8E3D4F4-C7B4-4166-AC4C-17F259CAA8EE}" name="3946" dataDxfId="12664"/>
    <tableColumn id="3727" xr3:uid="{0A9DC787-D01A-4B6F-8AF5-DD36780EDEFB}" name="3947" dataDxfId="12663"/>
    <tableColumn id="3728" xr3:uid="{55002ED2-C2BB-4B7D-881D-58708BF3E9B3}" name="3948" dataDxfId="12662"/>
    <tableColumn id="3729" xr3:uid="{503E526E-A823-43E2-B85E-1357F9492E0F}" name="3949" dataDxfId="12661"/>
    <tableColumn id="3730" xr3:uid="{F90E95ED-1377-4797-BB24-1C9CCBE7DB93}" name="3950" dataDxfId="12660"/>
    <tableColumn id="3731" xr3:uid="{3CC9A939-D46C-4EDA-9B28-318F9EBB2B46}" name="3951" dataDxfId="12659"/>
    <tableColumn id="3732" xr3:uid="{2654B352-4E2D-44D7-822A-8C38B01B9371}" name="3952" dataDxfId="12658"/>
    <tableColumn id="3733" xr3:uid="{5449F163-53EE-4484-A862-9337CADB266F}" name="3953" dataDxfId="12657"/>
    <tableColumn id="3734" xr3:uid="{CB667E1B-35BE-4651-B38E-98FB601EC780}" name="3954" dataDxfId="12656"/>
    <tableColumn id="3735" xr3:uid="{0DE8067D-DC8B-4949-8411-2501FB8548FB}" name="3955" dataDxfId="12655"/>
    <tableColumn id="3736" xr3:uid="{A096B8E4-74E9-4275-973F-45DC030C2072}" name="3956" dataDxfId="12654"/>
    <tableColumn id="3737" xr3:uid="{C2B412B5-B4D1-4D12-9F62-6DD5CDAC2104}" name="3957" dataDxfId="12653"/>
    <tableColumn id="3738" xr3:uid="{5A552234-C8AC-4CDA-B0B9-4BA14F7A8ECE}" name="3958" dataDxfId="12652"/>
    <tableColumn id="3739" xr3:uid="{100340EF-BF2E-44A6-A9E5-93A12180206D}" name="3959" dataDxfId="12651"/>
    <tableColumn id="3740" xr3:uid="{C774C43A-6C86-466D-BB04-15F4DAAA4215}" name="3960" dataDxfId="12650"/>
    <tableColumn id="3741" xr3:uid="{8150E185-3302-49BE-BE52-B700A65739A3}" name="3961" dataDxfId="12649"/>
    <tableColumn id="3742" xr3:uid="{B8880CD8-A730-4195-8FE9-20D3BCA45D41}" name="3962" dataDxfId="12648"/>
    <tableColumn id="3743" xr3:uid="{A8BA08CF-73ED-4C05-B77B-A4F58BB4DE3D}" name="3963" dataDxfId="12647"/>
    <tableColumn id="3744" xr3:uid="{3F41F04F-C773-4CF5-8F3E-68349FAE9BFB}" name="3964" dataDxfId="12646"/>
    <tableColumn id="3745" xr3:uid="{B962D179-C7A0-43A6-8E60-3DAF7D8BB288}" name="3965" dataDxfId="12645"/>
    <tableColumn id="3746" xr3:uid="{F9C67B79-5FE0-4C4A-B58E-4EE88DEB878D}" name="3966" dataDxfId="12644"/>
    <tableColumn id="3747" xr3:uid="{DBA0403B-38A5-4214-B401-0FC7959CC070}" name="3967" dataDxfId="12643"/>
    <tableColumn id="3748" xr3:uid="{D38FC402-E837-4DD6-A4C2-BBEDF84A5267}" name="3968" dataDxfId="12642"/>
    <tableColumn id="3749" xr3:uid="{70E43001-6DF9-4224-976B-FBE1B436E1CC}" name="3969" dataDxfId="12641"/>
    <tableColumn id="3750" xr3:uid="{16246410-6161-40D4-BC91-31D4BC587BC4}" name="3970" dataDxfId="12640"/>
    <tableColumn id="3751" xr3:uid="{76029A99-291F-45E3-A683-28AFCE4FC608}" name="3971" dataDxfId="12639"/>
    <tableColumn id="3752" xr3:uid="{5280E46C-889F-4593-B6D5-0089719B50FC}" name="3972" dataDxfId="12638"/>
    <tableColumn id="3753" xr3:uid="{B3C43487-4DC9-46DD-99C3-28060ED9DE12}" name="3973" dataDxfId="12637"/>
    <tableColumn id="3754" xr3:uid="{EADC0F2C-E495-49DC-840D-18BC74B18045}" name="3974" dataDxfId="12636"/>
    <tableColumn id="3755" xr3:uid="{A60C74F0-804E-4D59-AF12-C9ACCDB881C0}" name="3975" dataDxfId="12635"/>
    <tableColumn id="3756" xr3:uid="{C5DC4195-672C-42A7-B1BA-4B27016FB359}" name="3976" dataDxfId="12634"/>
    <tableColumn id="3757" xr3:uid="{0FD6590A-9B57-41D5-BD5E-22786BF43008}" name="3977" dataDxfId="12633"/>
    <tableColumn id="3758" xr3:uid="{4087B9E5-3321-44B0-BBD6-75537989E3EA}" name="3978" dataDxfId="12632"/>
    <tableColumn id="3759" xr3:uid="{2864DC7A-D559-42F0-94F9-B765B5B37523}" name="3979" dataDxfId="12631"/>
    <tableColumn id="3760" xr3:uid="{4DF3FD2A-57B7-4E99-8B8B-A08C85B75B4E}" name="3980" dataDxfId="12630"/>
    <tableColumn id="3761" xr3:uid="{BF0FCCD0-2E0A-4356-B915-BB51264E1695}" name="3981" dataDxfId="12629"/>
    <tableColumn id="3762" xr3:uid="{E684827D-D93D-40B5-A8A5-B08183312128}" name="3982" dataDxfId="12628"/>
    <tableColumn id="3763" xr3:uid="{790C4D07-69EC-447C-BB80-8B4A07405334}" name="3983" dataDxfId="12627"/>
    <tableColumn id="3764" xr3:uid="{31D22B46-AD48-4149-8810-F836AF322239}" name="3984" dataDxfId="12626"/>
    <tableColumn id="3765" xr3:uid="{FFBD2145-B13E-4747-A1F0-E6B506B9B353}" name="3985" dataDxfId="12625"/>
    <tableColumn id="3766" xr3:uid="{B676D99C-28DB-4F35-B3C2-042319343155}" name="3986" dataDxfId="12624"/>
    <tableColumn id="3767" xr3:uid="{D90CCA92-F095-4522-94FC-056ABB16EB28}" name="3987" dataDxfId="12623"/>
    <tableColumn id="3768" xr3:uid="{32A8BB0E-D798-41BA-BAE5-0C86870B4B2E}" name="3988" dataDxfId="12622"/>
    <tableColumn id="3769" xr3:uid="{C4694F0C-D6D0-47CE-BDDD-BDD438C5C0CD}" name="3989" dataDxfId="12621"/>
    <tableColumn id="3770" xr3:uid="{A5544A03-E496-40BA-81EB-F9302BDE5031}" name="3990" dataDxfId="12620"/>
    <tableColumn id="3771" xr3:uid="{17B0D572-9229-4E51-AF42-C6F616B210E5}" name="3991" dataDxfId="12619"/>
    <tableColumn id="3772" xr3:uid="{F77C2247-9853-4F97-B948-953FA16F1C19}" name="3992" dataDxfId="12618"/>
    <tableColumn id="3773" xr3:uid="{B2F2DA50-8F26-4D0C-9960-25D593AC4C34}" name="3993" dataDxfId="12617"/>
    <tableColumn id="3774" xr3:uid="{B2026DA0-7B25-445B-B463-7621D2F8EA3C}" name="3994" dataDxfId="12616"/>
    <tableColumn id="3775" xr3:uid="{7C126D81-BB41-4FCA-B5AE-72DC48616BF9}" name="3995" dataDxfId="12615"/>
    <tableColumn id="3776" xr3:uid="{12DFE569-99B4-4B32-B143-F5EC68A85AE4}" name="3996" dataDxfId="12614"/>
    <tableColumn id="3777" xr3:uid="{812A8FF6-15BB-4694-8EDD-9008115380CD}" name="3997" dataDxfId="12613"/>
    <tableColumn id="3778" xr3:uid="{9B6ACCBE-6609-4D74-AD5C-BD6CD8590467}" name="3998" dataDxfId="12612"/>
    <tableColumn id="3779" xr3:uid="{642F213E-D281-4C5D-B069-774BFE479E87}" name="3999" dataDxfId="12611"/>
    <tableColumn id="3780" xr3:uid="{29CEAE44-AE5A-4887-8AC2-6BCE06456964}" name="4000" dataDxfId="12610"/>
    <tableColumn id="3781" xr3:uid="{C9C05E8B-C9D7-4B87-A6FE-AF2B5CA61EB4}" name="4001" dataDxfId="12609"/>
    <tableColumn id="3782" xr3:uid="{EE994E10-BCB3-4093-8925-DDB9509A1491}" name="4002" dataDxfId="12608"/>
    <tableColumn id="3783" xr3:uid="{B85CC3DD-CF6C-447D-8853-EDC8ABD32E68}" name="4003" dataDxfId="12607"/>
    <tableColumn id="3784" xr3:uid="{92ADB6DB-C1C9-4D38-9692-5D9F01263AE2}" name="4004" dataDxfId="12606"/>
    <tableColumn id="3785" xr3:uid="{77B85A9B-BFA8-4B09-BED0-66D9FF486574}" name="4005" dataDxfId="12605"/>
    <tableColumn id="3786" xr3:uid="{AECDAAEE-71B1-42D0-B404-17B9E0BC657C}" name="4006" dataDxfId="12604"/>
    <tableColumn id="3787" xr3:uid="{4C5EB798-D1DF-4025-B6E5-603D4641B4A0}" name="4007" dataDxfId="12603"/>
    <tableColumn id="3788" xr3:uid="{06DC0260-94F6-4CBF-B177-06E3865CA528}" name="4008" dataDxfId="12602"/>
    <tableColumn id="3789" xr3:uid="{719E075A-438E-4389-8194-1DB6362799A9}" name="4009" dataDxfId="12601"/>
    <tableColumn id="3790" xr3:uid="{447CAE81-9EF1-4D70-A0B3-258FD9101DE0}" name="4010" dataDxfId="12600"/>
    <tableColumn id="3791" xr3:uid="{EE1C44AA-8BF0-43DE-8D48-6811FDDC530A}" name="4011" dataDxfId="12599"/>
    <tableColumn id="3792" xr3:uid="{CDA5EB65-A9E4-4150-879E-53E3E719F2F7}" name="4012" dataDxfId="12598"/>
    <tableColumn id="3793" xr3:uid="{B9FEB93F-54A0-4094-8270-16D2FC55B693}" name="4013" dataDxfId="12597"/>
    <tableColumn id="3794" xr3:uid="{5F5CF6A8-0768-4C24-9026-A9E344C8C888}" name="4014" dataDxfId="12596"/>
    <tableColumn id="3795" xr3:uid="{EDDA8FDB-F73C-45D1-A307-6931054A1FE6}" name="4015" dataDxfId="12595"/>
    <tableColumn id="3796" xr3:uid="{142162A2-10E8-4F2F-A83F-8DC13B06E250}" name="4016" dataDxfId="12594"/>
    <tableColumn id="3797" xr3:uid="{69A79CD5-A17E-48D4-9671-ECD09EC0692C}" name="4017" dataDxfId="12593"/>
    <tableColumn id="3798" xr3:uid="{5D68848C-63E6-4A54-9F6F-EE7CFF531148}" name="4018" dataDxfId="12592"/>
    <tableColumn id="3799" xr3:uid="{84765476-6F8C-4BCD-8BAA-D4C3EF97F14D}" name="4019" dataDxfId="12591"/>
    <tableColumn id="3800" xr3:uid="{B9C1271B-E891-4104-88C4-FEF71289B155}" name="4020" dataDxfId="12590"/>
    <tableColumn id="3801" xr3:uid="{3A8B935E-EC9D-4A25-B625-AF558EFFEDF4}" name="4021" dataDxfId="12589"/>
    <tableColumn id="3802" xr3:uid="{04EA8586-8B28-43CF-B555-95DF38F2C553}" name="4022" dataDxfId="12588"/>
    <tableColumn id="3803" xr3:uid="{48583455-06DB-4873-B6C9-1725D34B55E5}" name="4023" dataDxfId="12587"/>
    <tableColumn id="3804" xr3:uid="{B29E542B-E8F3-48A6-8886-BB0C516C9521}" name="4024" dataDxfId="12586"/>
    <tableColumn id="3805" xr3:uid="{7FB4868A-3A93-4467-9A62-33AEF7F818E0}" name="4025" dataDxfId="12585"/>
    <tableColumn id="3806" xr3:uid="{1EE52135-BDC9-42CD-9B78-75A946AF3C8D}" name="4026" dataDxfId="12584"/>
    <tableColumn id="3807" xr3:uid="{B8C6314F-06FA-4912-8A07-A586E3E99EBC}" name="4027" dataDxfId="12583"/>
    <tableColumn id="3808" xr3:uid="{F00C2A77-43A4-4F2F-A9B4-14A25EBBA960}" name="4028" dataDxfId="12582"/>
    <tableColumn id="3809" xr3:uid="{1F12B4CC-ECE1-47FD-8E56-6B0403465736}" name="4029" dataDxfId="12581"/>
    <tableColumn id="3810" xr3:uid="{69B723C3-20D6-4E9B-9742-C3F2D76614E8}" name="4030" dataDxfId="12580"/>
    <tableColumn id="3811" xr3:uid="{7E77030A-765A-40D6-87B6-18CEBA5F92A5}" name="4031" dataDxfId="12579"/>
    <tableColumn id="3812" xr3:uid="{C59D43E1-FCF7-410E-AA03-79C434EFCCF2}" name="4032" dataDxfId="12578"/>
    <tableColumn id="3813" xr3:uid="{EFBB2E9B-3E81-4586-BC50-FF2C5B9B33D9}" name="4033" dataDxfId="12577"/>
    <tableColumn id="3814" xr3:uid="{DBF1EAC3-59BC-43C3-86D2-A0836E88480D}" name="4034" dataDxfId="12576"/>
    <tableColumn id="3815" xr3:uid="{F5FE170A-F47B-45F3-A3D7-13463B094E24}" name="4035" dataDxfId="12575"/>
    <tableColumn id="3816" xr3:uid="{0ABBB806-4A03-4397-8D1A-A3D20A62CB52}" name="4036" dataDxfId="12574"/>
    <tableColumn id="3817" xr3:uid="{89E6E97E-6042-4877-A534-3847DF00B6C9}" name="4037" dataDxfId="12573"/>
    <tableColumn id="3818" xr3:uid="{65AE2969-3230-4B37-B5EC-3B4D3301115A}" name="4038" dataDxfId="12572"/>
    <tableColumn id="3819" xr3:uid="{9859CF8B-168E-4D04-BAFF-E2CC3732D110}" name="4039" dataDxfId="12571"/>
    <tableColumn id="3820" xr3:uid="{5C5FD30B-D964-4ED6-B746-638132676FAC}" name="4040" dataDxfId="12570"/>
    <tableColumn id="3821" xr3:uid="{E328CA74-EC74-4ACC-BFED-0DBCED75795E}" name="4041" dataDxfId="12569"/>
    <tableColumn id="3822" xr3:uid="{5B05F751-123A-43E9-89BB-F739710F1F80}" name="4042" dataDxfId="12568"/>
    <tableColumn id="3823" xr3:uid="{85DAB703-0191-4132-8748-575A594781B4}" name="4043" dataDxfId="12567"/>
    <tableColumn id="3824" xr3:uid="{00F7B97A-EAAB-40DF-918E-AF3A5F7721D5}" name="4044" dataDxfId="12566"/>
    <tableColumn id="3825" xr3:uid="{C574860A-22BF-4A9A-A940-D7A2091B061D}" name="4045" dataDxfId="12565"/>
    <tableColumn id="3826" xr3:uid="{2C8C439C-D468-42F5-9E6F-C6944961F25D}" name="4046" dataDxfId="12564"/>
    <tableColumn id="3827" xr3:uid="{0BD5F0B7-45C9-484A-92D2-A81FA9618D23}" name="4047" dataDxfId="12563"/>
    <tableColumn id="3828" xr3:uid="{CC7BBDD9-F3EF-4426-A76C-DF0B8243A312}" name="4048" dataDxfId="12562"/>
    <tableColumn id="3829" xr3:uid="{D2DD6F4B-867D-4866-85D7-77A597AA2661}" name="4049" dataDxfId="12561"/>
    <tableColumn id="3830" xr3:uid="{BC64F049-39CC-4B86-B495-879D578795F9}" name="4050" dataDxfId="12560"/>
    <tableColumn id="3831" xr3:uid="{D2530632-DF8C-470A-A865-C6462381E067}" name="4051" dataDxfId="12559"/>
    <tableColumn id="3832" xr3:uid="{354E4A6E-62FF-4276-80F9-CBD5F620FC2E}" name="4052" dataDxfId="12558"/>
    <tableColumn id="3833" xr3:uid="{565C8C3B-4D88-45DB-A9FA-8CC2F98D201B}" name="4053" dataDxfId="12557"/>
    <tableColumn id="3834" xr3:uid="{8F179433-1F9B-4957-AD90-43314F48A088}" name="4054" dataDxfId="12556"/>
    <tableColumn id="3835" xr3:uid="{0795765A-0196-4DA6-B1AD-68863D21FDB5}" name="4055" dataDxfId="12555"/>
    <tableColumn id="3836" xr3:uid="{64F31629-CD7F-403C-88D1-B30A45223E50}" name="4056" dataDxfId="12554"/>
    <tableColumn id="3837" xr3:uid="{CCAD3C16-48E2-4DC2-9F56-63755189B9C0}" name="4057" dataDxfId="12553"/>
    <tableColumn id="3838" xr3:uid="{B8B7F6DA-1FE6-4955-9512-7C601D96BF85}" name="4058" dataDxfId="12552"/>
    <tableColumn id="3839" xr3:uid="{A284861B-7DC2-4C3C-9D04-0C5FA276427D}" name="4059" dataDxfId="12551"/>
    <tableColumn id="3840" xr3:uid="{778B70A4-EB5A-4781-B1DE-191A267F11EB}" name="4060" dataDxfId="12550"/>
    <tableColumn id="3841" xr3:uid="{34033F6D-A753-4B59-B997-14273961ED00}" name="4061" dataDxfId="12549"/>
    <tableColumn id="3842" xr3:uid="{26C96E75-71DC-403F-950D-5EBB2FE737E3}" name="4062" dataDxfId="12548"/>
    <tableColumn id="3843" xr3:uid="{EBF937E4-6C34-434A-ABB5-4B181A4E0489}" name="4063" dataDxfId="12547"/>
    <tableColumn id="3844" xr3:uid="{C7A20BB2-E80E-44DA-864F-9196E3235C41}" name="4064" dataDxfId="12546"/>
    <tableColumn id="3845" xr3:uid="{BE939F05-B9F9-493B-BE70-038E297B4C4B}" name="4065" dataDxfId="12545"/>
    <tableColumn id="3846" xr3:uid="{DB1A7F46-0191-4324-9F53-ACD3E5CCFB4C}" name="4066" dataDxfId="12544"/>
    <tableColumn id="3847" xr3:uid="{390F1D6B-02F9-442A-B294-52C965F672FA}" name="4067" dataDxfId="12543"/>
    <tableColumn id="3848" xr3:uid="{731EE966-2121-4148-9C66-157D4F57F6C0}" name="4068" dataDxfId="12542"/>
    <tableColumn id="3849" xr3:uid="{1FF0ADDC-14D6-447F-9E48-FCEE9016FEDD}" name="4069" dataDxfId="12541"/>
    <tableColumn id="3850" xr3:uid="{44C1B327-AD31-423F-942E-D4DD69478D1E}" name="4070" dataDxfId="12540"/>
    <tableColumn id="3851" xr3:uid="{2CD7B8D6-09F1-4564-85B7-5686CDD8E57E}" name="4071" dataDxfId="12539"/>
    <tableColumn id="3852" xr3:uid="{6871C273-079A-4046-85EB-56462DD11EE9}" name="4072" dataDxfId="12538"/>
    <tableColumn id="3853" xr3:uid="{8390D07A-60A1-470C-8809-412047191A64}" name="4073" dataDxfId="12537"/>
    <tableColumn id="3854" xr3:uid="{2D420BB7-DAD9-4513-8211-083F91D1D929}" name="4074" dataDxfId="12536"/>
    <tableColumn id="3855" xr3:uid="{D32A2E30-3735-4113-A6FA-F403446790DE}" name="4075" dataDxfId="12535"/>
    <tableColumn id="3856" xr3:uid="{85D03111-62FF-4400-A996-2D71204F7F1A}" name="4076" dataDxfId="12534"/>
    <tableColumn id="3857" xr3:uid="{E6F1E5FC-848B-4821-9650-745C7AE57032}" name="4077" dataDxfId="12533"/>
    <tableColumn id="3858" xr3:uid="{EF718688-EA3B-4240-9841-9BD8171BF223}" name="4078" dataDxfId="12532"/>
    <tableColumn id="3859" xr3:uid="{69668BBF-AFC7-4DD2-BA25-5A0F73169C2F}" name="4079" dataDxfId="12531"/>
    <tableColumn id="3860" xr3:uid="{B729E30A-520D-45C4-8C09-64099A634DC8}" name="4080" dataDxfId="12530"/>
    <tableColumn id="3861" xr3:uid="{EB6A8DAE-03E1-43D2-AE8F-1E112B02D7B2}" name="4081" dataDxfId="12529"/>
    <tableColumn id="3862" xr3:uid="{DB7CAF03-7FA3-4222-B896-725F50F73D40}" name="4082" dataDxfId="12528"/>
    <tableColumn id="3863" xr3:uid="{6D56C6F7-D0BB-4C3C-BE26-48C8149BA99D}" name="4083" dataDxfId="12527"/>
    <tableColumn id="3864" xr3:uid="{3FFF5A5E-39BE-4BDF-B0CF-E4E21A5BF0C0}" name="4084" dataDxfId="12526"/>
    <tableColumn id="3865" xr3:uid="{E4150E19-FC8B-4DE2-9E31-0AB92757E5D3}" name="4085" dataDxfId="12525"/>
    <tableColumn id="3866" xr3:uid="{0DB4EA46-78A5-4CA0-8B20-2BFB3183FE80}" name="4086" dataDxfId="12524"/>
    <tableColumn id="3867" xr3:uid="{9B155BE9-2AC2-47BA-892D-2D9BB80E25AB}" name="4087" dataDxfId="12523"/>
    <tableColumn id="3868" xr3:uid="{CCD250AD-3E59-48BB-AA38-212C60BECDD7}" name="4088" dataDxfId="12522"/>
    <tableColumn id="3869" xr3:uid="{6A44F63F-75A1-4750-BA79-478BA53DF936}" name="4089" dataDxfId="12521"/>
    <tableColumn id="3870" xr3:uid="{79353727-B341-4A03-8928-630EE32381CD}" name="4090" dataDxfId="12520"/>
    <tableColumn id="3871" xr3:uid="{745993F0-F68D-40E7-A2F3-F8C8809BFCA5}" name="4091" dataDxfId="12519"/>
    <tableColumn id="3872" xr3:uid="{903BD2C7-9E11-4C08-866B-F4FA44EF4C7F}" name="4092" dataDxfId="12518"/>
    <tableColumn id="3873" xr3:uid="{8E87CCA0-0093-4837-83EE-A81108ADC2CE}" name="4093" dataDxfId="12517"/>
    <tableColumn id="3874" xr3:uid="{E599E862-DB3C-4742-9EEB-F439500A0B5C}" name="4094" dataDxfId="12516"/>
    <tableColumn id="3875" xr3:uid="{F68CB1A2-DBF4-4D8D-BC81-FEFCF0DE2A18}" name="4095" dataDxfId="12515"/>
    <tableColumn id="3876" xr3:uid="{F98C5C62-E379-4C22-8957-AADD3F0348EB}" name="4096" dataDxfId="12514"/>
    <tableColumn id="3877" xr3:uid="{F9BEEBE9-ACEA-4F0E-B5A9-219388B5A173}" name="4097" dataDxfId="12513"/>
    <tableColumn id="3878" xr3:uid="{7FD94F22-4142-4BA1-B55F-55BC24C5B1EC}" name="4098" dataDxfId="12512"/>
    <tableColumn id="3879" xr3:uid="{51B0D1B0-8BDB-4E67-AEB7-9481A8C18C5E}" name="4099" dataDxfId="12511"/>
    <tableColumn id="3880" xr3:uid="{999E9770-5989-42B2-BEE0-5DDA57F0ABAE}" name="4100" dataDxfId="12510"/>
    <tableColumn id="3881" xr3:uid="{3708D04B-2864-451A-9177-AF6BE346540D}" name="4101" dataDxfId="12509"/>
    <tableColumn id="3882" xr3:uid="{D30F3C10-E8C5-4692-BCFA-F35866197C88}" name="4102" dataDxfId="12508"/>
    <tableColumn id="3883" xr3:uid="{22B7CDCA-7E54-4837-8FA1-0419ED982383}" name="4103" dataDxfId="12507"/>
    <tableColumn id="3884" xr3:uid="{2909D96B-DC9E-40BB-979B-DB45C16AF438}" name="4104" dataDxfId="12506"/>
    <tableColumn id="3885" xr3:uid="{C32870A7-5451-43AD-9428-49E7769C9F6B}" name="4105" dataDxfId="12505"/>
    <tableColumn id="3886" xr3:uid="{7CB34DA2-90CB-4650-9CA2-E3C0B957D70A}" name="4106" dataDxfId="12504"/>
    <tableColumn id="3887" xr3:uid="{BC46F1A5-89CA-4F27-9FB8-0C6CE3BAAE95}" name="4107" dataDxfId="12503"/>
    <tableColumn id="3888" xr3:uid="{30505682-81C8-4D12-BCAF-C2187905D40B}" name="4108" dataDxfId="12502"/>
    <tableColumn id="3889" xr3:uid="{7701FE6B-33AD-4856-A9B5-D2F007B16280}" name="4109" dataDxfId="12501"/>
    <tableColumn id="3890" xr3:uid="{6AAF0E4F-CF92-4527-BA5D-A2AAF8CC1D33}" name="4110" dataDxfId="12500"/>
    <tableColumn id="3891" xr3:uid="{17C1E0FF-2AF9-4382-9BCD-FD13BB3DC02F}" name="4111" dataDxfId="12499"/>
    <tableColumn id="3892" xr3:uid="{7252FF29-FD8A-4322-8381-08F854A552DF}" name="4112" dataDxfId="12498"/>
    <tableColumn id="3893" xr3:uid="{6AC02995-0447-4577-B0A4-686637FB893B}" name="4113" dataDxfId="12497"/>
    <tableColumn id="3894" xr3:uid="{95447E18-5E6A-43F0-8737-EFA5EA863370}" name="4114" dataDxfId="12496"/>
    <tableColumn id="3895" xr3:uid="{5B06F99A-229C-4C47-B4AA-2E9FF6E753DC}" name="4115" dataDxfId="12495"/>
    <tableColumn id="3896" xr3:uid="{B21F301D-8810-49E7-AD1F-446FC1928D5B}" name="4116" dataDxfId="12494"/>
    <tableColumn id="3897" xr3:uid="{F036C6F5-F3A9-4271-87B0-E11DF66206E3}" name="4117" dataDxfId="12493"/>
    <tableColumn id="3898" xr3:uid="{C4B89FB3-2E25-4DFD-8FC4-84AA76999CE8}" name="4118" dataDxfId="12492"/>
    <tableColumn id="3899" xr3:uid="{770D73A3-5A03-47EA-802E-5812174D3443}" name="4119" dataDxfId="12491"/>
    <tableColumn id="3900" xr3:uid="{5610D1AD-89A6-4ABA-A957-C2513C71F93F}" name="4120" dataDxfId="12490"/>
    <tableColumn id="3901" xr3:uid="{05F3A21B-C7CF-4391-8C19-574C35E50A70}" name="4121" dataDxfId="12489"/>
    <tableColumn id="3902" xr3:uid="{6A8CB351-7C04-4C73-89F1-0B473F6EF613}" name="4122" dataDxfId="12488"/>
    <tableColumn id="3903" xr3:uid="{1B2819A9-07DE-4A73-9800-6FA418A320D7}" name="4123" dataDxfId="12487"/>
    <tableColumn id="3904" xr3:uid="{0C8C6E4B-5700-4BC8-AF7F-F9D3C2BDE880}" name="4124" dataDxfId="12486"/>
    <tableColumn id="3905" xr3:uid="{BEE2ABD8-75EA-45F0-BA70-886F9946A64D}" name="4125" dataDxfId="12485"/>
    <tableColumn id="3906" xr3:uid="{D77B53A5-B8B9-4A0F-9AD2-F3559BD8EEBB}" name="4126" dataDxfId="12484"/>
    <tableColumn id="3907" xr3:uid="{608BDA94-38B0-4A23-A0F1-9772873A5138}" name="4127" dataDxfId="12483"/>
    <tableColumn id="3908" xr3:uid="{686D5694-9EDC-4C14-B2D2-EC75A3C5D244}" name="4128" dataDxfId="12482"/>
    <tableColumn id="3909" xr3:uid="{F09DEC04-5128-416A-859F-830265119BEE}" name="4129" dataDxfId="12481"/>
    <tableColumn id="3910" xr3:uid="{EA276374-5658-4D1C-B238-8507E0D925F6}" name="4130" dataDxfId="12480"/>
    <tableColumn id="3911" xr3:uid="{C01879B0-9484-480B-A657-705BF8EBF845}" name="4131" dataDxfId="12479"/>
    <tableColumn id="3912" xr3:uid="{87E736F3-816D-4468-9468-63E49BA2103F}" name="4132" dataDxfId="12478"/>
    <tableColumn id="3913" xr3:uid="{AE5DE15B-4863-4168-BF6F-E422119A99CB}" name="4133" dataDxfId="12477"/>
    <tableColumn id="3914" xr3:uid="{F468B111-9E09-4A33-B3DA-D9E8AE4C5F82}" name="4134" dataDxfId="12476"/>
    <tableColumn id="3915" xr3:uid="{A2E4BA8E-158C-430A-83E0-B3215EF7A0FC}" name="4135" dataDxfId="12475"/>
    <tableColumn id="3916" xr3:uid="{10738613-EE50-4B5C-B4F8-86EE35A89499}" name="4136" dataDxfId="12474"/>
    <tableColumn id="3917" xr3:uid="{52CE492E-B50E-4DA2-A73E-7B82217E0DEF}" name="4137" dataDxfId="12473"/>
    <tableColumn id="3918" xr3:uid="{71F235E0-379A-4682-AD20-7AC5FC72D619}" name="4138" dataDxfId="12472"/>
    <tableColumn id="3919" xr3:uid="{114F3BF9-F2C7-49CD-BE53-00AE81BEEBC6}" name="4139" dataDxfId="12471"/>
    <tableColumn id="3920" xr3:uid="{9725EE80-4466-4F4E-93E8-DB73BC26D01E}" name="4140" dataDxfId="12470"/>
    <tableColumn id="3921" xr3:uid="{3B2F3A89-D4B2-4142-B95B-9EDB9739530A}" name="4141" dataDxfId="12469"/>
    <tableColumn id="3922" xr3:uid="{71F1E18C-C85A-4697-B6F6-2134E386A777}" name="4142" dataDxfId="12468"/>
    <tableColumn id="3923" xr3:uid="{5E9566C1-A964-402C-B8DE-C78F1534862F}" name="4143" dataDxfId="12467"/>
    <tableColumn id="3924" xr3:uid="{AEA8D165-4F2F-4F54-98D3-77FAA36880E6}" name="4144" dataDxfId="12466"/>
    <tableColumn id="3925" xr3:uid="{4EA32AFF-B2D9-465C-AD01-D35B95815A0E}" name="4145" dataDxfId="12465"/>
    <tableColumn id="3926" xr3:uid="{D94186D0-506B-45C6-834E-65E4BB8B5B50}" name="4146" dataDxfId="12464"/>
    <tableColumn id="3927" xr3:uid="{EC363A4B-7FF3-49C9-B13F-ED8318E68D2B}" name="4147" dataDxfId="12463"/>
    <tableColumn id="3928" xr3:uid="{2C945EDF-B337-4B65-8E11-49CF0BA8F990}" name="4148" dataDxfId="12462"/>
    <tableColumn id="3929" xr3:uid="{FF6E4EF2-115A-412D-803C-86C328425BA1}" name="4149" dataDxfId="12461"/>
    <tableColumn id="3930" xr3:uid="{6BF11145-6755-453C-9BBF-ECAD28DE901F}" name="4150" dataDxfId="12460"/>
    <tableColumn id="3931" xr3:uid="{2F9D9001-0665-46F3-8A8F-20AD5AF53D64}" name="4151" dataDxfId="12459"/>
    <tableColumn id="3932" xr3:uid="{62B991FC-5F15-46F2-B087-78757A21B993}" name="4152" dataDxfId="12458"/>
    <tableColumn id="3933" xr3:uid="{5733530D-9C1B-4294-B235-CC3B13D56C37}" name="4153" dataDxfId="12457"/>
    <tableColumn id="3934" xr3:uid="{90303870-5D65-472E-BE12-0E3E24BDA9F7}" name="4154" dataDxfId="12456"/>
    <tableColumn id="3935" xr3:uid="{E1062EA7-5F69-45C4-9DA6-B0612C9EEC8D}" name="4155" dataDxfId="12455"/>
    <tableColumn id="3936" xr3:uid="{2EA7B88E-6559-4ABB-8769-9B2046834D15}" name="4156" dataDxfId="12454"/>
    <tableColumn id="3937" xr3:uid="{5F6E9FD5-1222-48BE-BA68-EF99901F8038}" name="4157" dataDxfId="12453"/>
    <tableColumn id="3938" xr3:uid="{E29F0B30-D1C5-4362-B410-FACE067242E8}" name="4158" dataDxfId="12452"/>
    <tableColumn id="3939" xr3:uid="{34392984-3933-49A3-8664-5B7E5457EC31}" name="4159" dataDxfId="12451"/>
    <tableColumn id="3940" xr3:uid="{F04F01D9-F77F-43A0-BA30-D00BB1AF0E7C}" name="4160" dataDxfId="12450"/>
    <tableColumn id="3941" xr3:uid="{C08D6AFD-1ADF-49F8-8582-6107422CE1D4}" name="4161" dataDxfId="12449"/>
    <tableColumn id="3942" xr3:uid="{3DD63D37-7CD3-495D-97A2-D22551E14216}" name="4162" dataDxfId="12448"/>
    <tableColumn id="3943" xr3:uid="{76F190EC-0764-47BF-9BA9-3BC9421AF5E7}" name="4163" dataDxfId="12447"/>
    <tableColumn id="3944" xr3:uid="{4C55A815-EB95-49DB-B54F-69EF03AFA002}" name="4164" dataDxfId="12446"/>
    <tableColumn id="3945" xr3:uid="{2464DB26-8D87-4AAE-9AF8-F740D5958BE3}" name="4165" dataDxfId="12445"/>
    <tableColumn id="3946" xr3:uid="{30702451-A5E8-4401-B292-5B33E946BC2B}" name="4166" dataDxfId="12444"/>
    <tableColumn id="3947" xr3:uid="{923C2167-6374-41CC-ACEA-609A310E74B9}" name="4167" dataDxfId="12443"/>
    <tableColumn id="3948" xr3:uid="{374E6A2A-C512-4FD7-B9E9-6D6D2A2949C1}" name="4168" dataDxfId="12442"/>
    <tableColumn id="3949" xr3:uid="{7ABD306C-E99A-4ABC-BF7B-4A94EA9A8029}" name="4169" dataDxfId="12441"/>
    <tableColumn id="3950" xr3:uid="{61CBFE18-D4EF-4BEE-AA7A-98FA3379E0C0}" name="4170" dataDxfId="12440"/>
    <tableColumn id="3951" xr3:uid="{170F8D7E-094C-41CC-B336-812E5B92AA49}" name="4171" dataDxfId="12439"/>
    <tableColumn id="3952" xr3:uid="{F62DE383-9449-4003-BC57-6452C42384C6}" name="4172" dataDxfId="12438"/>
    <tableColumn id="3953" xr3:uid="{434A2DB2-2C82-4B3B-8F35-2D9ED1E6E6BC}" name="4173" dataDxfId="12437"/>
    <tableColumn id="3954" xr3:uid="{8279EBCB-32F3-4899-BABD-FE6EEBECB7BB}" name="4174" dataDxfId="12436"/>
    <tableColumn id="3955" xr3:uid="{AAA9D46A-541B-4363-8572-7307392C1BC0}" name="4175" dataDxfId="12435"/>
    <tableColumn id="3956" xr3:uid="{19B63F51-4A6A-4EDE-AD06-467FE6BCB6F0}" name="4176" dataDxfId="12434"/>
    <tableColumn id="3957" xr3:uid="{C2320FBF-4DB9-4010-BA65-16789546C146}" name="4177" dataDxfId="12433"/>
    <tableColumn id="3958" xr3:uid="{78FCDB08-CA85-4DC4-AEF1-859D3F995E96}" name="4178" dataDxfId="12432"/>
    <tableColumn id="3959" xr3:uid="{D31BA732-F6FD-496A-BDA8-2E79EC26B0D0}" name="4179" dataDxfId="12431"/>
    <tableColumn id="3960" xr3:uid="{46FEA822-34A5-4B27-8DE6-1A27032B9F1C}" name="4180" dataDxfId="12430"/>
    <tableColumn id="3961" xr3:uid="{D8EB5736-6677-4056-9201-05FB8AFF1F28}" name="4181" dataDxfId="12429"/>
    <tableColumn id="3962" xr3:uid="{87E8D7B8-2344-4E98-B408-A329C3A4132C}" name="4182" dataDxfId="12428"/>
    <tableColumn id="3963" xr3:uid="{4B2181C3-4572-4F8A-A799-291A397A3BB0}" name="4183" dataDxfId="12427"/>
    <tableColumn id="3964" xr3:uid="{8DC505BB-FCC7-44F2-A1FA-300B08CD5027}" name="4184" dataDxfId="12426"/>
    <tableColumn id="3965" xr3:uid="{2F23A17C-3283-45A0-93B7-176B02787945}" name="4185" dataDxfId="12425"/>
    <tableColumn id="3966" xr3:uid="{63526F38-EADC-4D3A-910A-BBC79E9BC4EE}" name="4186" dataDxfId="12424"/>
    <tableColumn id="3967" xr3:uid="{FD28AFFD-05C1-4C9E-A974-3B6EE8C09037}" name="4187" dataDxfId="12423"/>
    <tableColumn id="3968" xr3:uid="{61CC8CBF-6115-4381-ADDA-E2BD17AFE4BA}" name="4188" dataDxfId="12422"/>
    <tableColumn id="3969" xr3:uid="{868795A6-2BEE-45CC-8D81-91AE5F255054}" name="4189" dataDxfId="12421"/>
    <tableColumn id="3970" xr3:uid="{35C84A04-F41E-47A5-8457-6EB2B451CABE}" name="4190" dataDxfId="12420"/>
    <tableColumn id="3971" xr3:uid="{59F3E583-5F40-4C5F-A64D-51DF44B0BC2D}" name="4191" dataDxfId="12419"/>
    <tableColumn id="3972" xr3:uid="{18E158F4-249E-4DB4-BCD5-0BC3DC94A3CB}" name="4192" dataDxfId="12418"/>
    <tableColumn id="3973" xr3:uid="{D8C3A675-4C2A-453F-913A-D468BBBD652F}" name="4193" dataDxfId="12417"/>
    <tableColumn id="3974" xr3:uid="{EE348BAF-D706-40FF-BFE3-6F09DF407010}" name="4194" dataDxfId="12416"/>
    <tableColumn id="3975" xr3:uid="{9672A308-7008-42DA-98AC-BDB6AD6B42C0}" name="4195" dataDxfId="12415"/>
    <tableColumn id="3976" xr3:uid="{4837A34E-B392-4939-BE23-A33024C8DD3B}" name="4196" dataDxfId="12414"/>
    <tableColumn id="3977" xr3:uid="{DFF413E5-866B-42D1-9CA0-F46683C44A60}" name="4197" dataDxfId="12413"/>
    <tableColumn id="3978" xr3:uid="{EB60DB54-BB75-453F-80CD-145DE9599D3A}" name="4198" dataDxfId="12412"/>
    <tableColumn id="3979" xr3:uid="{9E785494-AFE2-4E9B-AA1D-646F2C66E682}" name="4199" dataDxfId="12411"/>
    <tableColumn id="3980" xr3:uid="{41D939CA-26D3-4ADD-8DE3-ECB240945E9D}" name="4200" dataDxfId="12410"/>
    <tableColumn id="3981" xr3:uid="{8CACAF8A-B45C-4300-A4C1-1043B51DA004}" name="4201" dataDxfId="12409"/>
    <tableColumn id="3982" xr3:uid="{C0211E38-1EF0-452D-91E9-A242EAFA2E7F}" name="4202" dataDxfId="12408"/>
    <tableColumn id="3983" xr3:uid="{21B963B1-6342-4FD5-9CBF-0B92A7445B8C}" name="4203" dataDxfId="12407"/>
    <tableColumn id="3984" xr3:uid="{77655EB6-A425-44AB-9DE4-414E61CEF3FD}" name="4204" dataDxfId="12406"/>
    <tableColumn id="3985" xr3:uid="{FF96FF8C-9007-4E58-B338-D813C7996BD4}" name="4205" dataDxfId="12405"/>
    <tableColumn id="3986" xr3:uid="{E4F269F5-D28E-456B-B813-11CF9F1FF9CC}" name="4206" dataDxfId="12404"/>
    <tableColumn id="3987" xr3:uid="{3E33448E-4AA6-40FF-8A46-AC74B62ACDAB}" name="4207" dataDxfId="12403"/>
    <tableColumn id="3988" xr3:uid="{26978CE2-1303-48CB-86BE-4D6962678141}" name="4208" dataDxfId="12402"/>
    <tableColumn id="3989" xr3:uid="{BCE2057C-79E5-4DBF-9291-441F3B9C77EF}" name="4209" dataDxfId="12401"/>
    <tableColumn id="3990" xr3:uid="{0B6333DE-E7D5-4446-A6EE-390079E6F9E3}" name="4210" dataDxfId="12400"/>
    <tableColumn id="3991" xr3:uid="{870488FB-A64E-4BEE-B401-EE886895B17B}" name="4211" dataDxfId="12399"/>
    <tableColumn id="3992" xr3:uid="{0F275A1D-CDC0-463E-AB64-CF6E9C65C9AA}" name="4212" dataDxfId="12398"/>
    <tableColumn id="3993" xr3:uid="{D15FBA65-D408-4E94-B4D6-F53D3D5C3935}" name="4213" dataDxfId="12397"/>
    <tableColumn id="3994" xr3:uid="{05A05290-C88B-4043-81A9-8EB24D179583}" name="4214" dataDxfId="12396"/>
    <tableColumn id="3995" xr3:uid="{FDC3649E-A4DD-4BCA-A850-A398885A7758}" name="4215" dataDxfId="12395"/>
    <tableColumn id="3996" xr3:uid="{72F9B954-5AA4-43EB-B34A-0C5A871BCF44}" name="4216" dataDxfId="12394"/>
    <tableColumn id="3997" xr3:uid="{1E38E5BF-688A-43E5-95BC-EFA83262E770}" name="4217" dataDxfId="12393"/>
    <tableColumn id="3998" xr3:uid="{AE747EAD-85A4-42B9-803A-45595F3499EF}" name="4218" dataDxfId="12392"/>
    <tableColumn id="3999" xr3:uid="{8AB8717F-C88A-472A-BCA9-F2C2C2CED342}" name="4219" dataDxfId="12391"/>
    <tableColumn id="4000" xr3:uid="{66793252-5C78-4321-BD7D-9BC8EE6312DA}" name="4220" dataDxfId="12390"/>
    <tableColumn id="4001" xr3:uid="{58AD26D7-D0E9-45A8-B1BE-D072B577EFF5}" name="4221" dataDxfId="12389"/>
    <tableColumn id="4002" xr3:uid="{DB078B3E-F190-4B22-830C-9298395970D8}" name="4222" dataDxfId="12388"/>
    <tableColumn id="4003" xr3:uid="{3EE93B09-A635-4745-B462-65D8072B54FA}" name="4223" dataDxfId="12387"/>
    <tableColumn id="4004" xr3:uid="{3401F30B-A2D9-43E2-922E-E452A50B8784}" name="4224" dataDxfId="12386"/>
    <tableColumn id="4005" xr3:uid="{B3A3A364-94BC-4631-AA07-BE72394C56A5}" name="4225" dataDxfId="12385"/>
    <tableColumn id="4006" xr3:uid="{745E21F9-4BFF-4450-9CA0-D0639040CE23}" name="4226" dataDxfId="12384"/>
    <tableColumn id="4007" xr3:uid="{250D84E3-DD87-444C-B351-EC38488F989A}" name="4227" dataDxfId="12383"/>
    <tableColumn id="4008" xr3:uid="{E4BF559E-A0AF-4856-A2DE-4FA10748DE1E}" name="4228" dataDxfId="12382"/>
    <tableColumn id="4009" xr3:uid="{31679E7A-9E43-4EE6-9B4A-AA7C59E28280}" name="4229" dataDxfId="12381"/>
    <tableColumn id="4010" xr3:uid="{12AE35D1-77C2-4281-8FEA-AEBF5D773E8A}" name="4230" dataDxfId="12380"/>
    <tableColumn id="4011" xr3:uid="{E743FDF5-6B67-4C64-868E-56F50B4099A4}" name="4231" dataDxfId="12379"/>
    <tableColumn id="4012" xr3:uid="{AF77713B-4BF2-4166-8DCE-E09F404B6DA1}" name="4232" dataDxfId="12378"/>
    <tableColumn id="4013" xr3:uid="{F082600C-1163-433F-A574-07C7B010F163}" name="4233" dataDxfId="12377"/>
    <tableColumn id="4014" xr3:uid="{EBF3FDEC-D8CC-4E41-A364-82DC1C1B2933}" name="4234" dataDxfId="12376"/>
    <tableColumn id="4015" xr3:uid="{C464D3C2-94AC-4831-9730-1D2C1C9DD8FA}" name="4235" dataDxfId="12375"/>
    <tableColumn id="4016" xr3:uid="{490C10FE-0D16-4ACB-B8F6-74C99215CDF3}" name="4236" dataDxfId="12374"/>
    <tableColumn id="4017" xr3:uid="{19618D60-AB21-432F-AFFA-385880735875}" name="4237" dataDxfId="12373"/>
    <tableColumn id="4018" xr3:uid="{5F2FAACC-DF7C-4B81-8036-DC1933D295FA}" name="4238" dataDxfId="12372"/>
    <tableColumn id="4019" xr3:uid="{7E79539D-128C-462C-8F6C-EEE200AE63DD}" name="4239" dataDxfId="12371"/>
    <tableColumn id="4020" xr3:uid="{D5050431-5A41-4ECD-8FBD-B674E88441F0}" name="4240" dataDxfId="12370"/>
    <tableColumn id="4021" xr3:uid="{8C3A78E3-1385-4FB7-8458-1214342C0E86}" name="4241" dataDxfId="12369"/>
    <tableColumn id="4022" xr3:uid="{8E6F77D6-FC43-4706-9376-CC3D798AE162}" name="4242" dataDxfId="12368"/>
    <tableColumn id="4023" xr3:uid="{58A23269-17B2-4A3B-8800-F5E0D90FDBAF}" name="4243" dataDxfId="12367"/>
    <tableColumn id="4024" xr3:uid="{9922D169-B932-4504-9164-35D9675EC2C0}" name="4244" dataDxfId="12366"/>
    <tableColumn id="4025" xr3:uid="{86742453-9F01-4C01-AB13-183E7D3935FC}" name="4245" dataDxfId="12365"/>
    <tableColumn id="4026" xr3:uid="{72D7DCA4-7EBB-4091-A70D-FB82A3A14E8D}" name="4246" dataDxfId="12364"/>
    <tableColumn id="4027" xr3:uid="{C6C3AACB-1679-4C78-97B8-9B885996FFC6}" name="4247" dataDxfId="12363"/>
    <tableColumn id="4028" xr3:uid="{CAA23B9E-A894-4583-A4F7-66D6D6280414}" name="4248" dataDxfId="12362"/>
    <tableColumn id="4029" xr3:uid="{4E995E6E-7245-4B50-AF95-B71AEFC6C678}" name="4249" dataDxfId="12361"/>
    <tableColumn id="4030" xr3:uid="{D0AE102A-2516-4DEA-BE97-53024AEEB161}" name="4250" dataDxfId="12360"/>
    <tableColumn id="4031" xr3:uid="{7166C12A-EE07-4289-B688-C14C3B5AEFDD}" name="4251" dataDxfId="12359"/>
    <tableColumn id="4032" xr3:uid="{9FE26E4E-F682-420C-8940-6C7898E9DF6A}" name="4252" dataDxfId="12358"/>
    <tableColumn id="4033" xr3:uid="{C70F697E-24BE-4457-95C2-E974FACE27FD}" name="4253" dataDxfId="12357"/>
    <tableColumn id="4034" xr3:uid="{FF3B9C90-D8BF-42AD-94EB-5AFD632F6634}" name="4254" dataDxfId="12356"/>
    <tableColumn id="4035" xr3:uid="{70EBED08-8015-43A9-B139-FC53B2454D8A}" name="4255" dataDxfId="12355"/>
    <tableColumn id="4036" xr3:uid="{306BA3E2-3687-4F77-A31B-BAA696D7F5F5}" name="4256" dataDxfId="12354"/>
    <tableColumn id="4037" xr3:uid="{21130074-11A0-44BF-9D9B-FAA282C90D21}" name="4257" dataDxfId="12353"/>
    <tableColumn id="4038" xr3:uid="{9A3EB7FF-7F2E-41E8-966B-DBB4E00E91DC}" name="4258" dataDxfId="12352"/>
    <tableColumn id="4039" xr3:uid="{C211508C-248F-49FF-BAE8-03A698DB085B}" name="4259" dataDxfId="12351"/>
    <tableColumn id="4040" xr3:uid="{A47876C5-55EE-44F9-BF7E-B0FB620A8664}" name="4260" dataDxfId="12350"/>
    <tableColumn id="4041" xr3:uid="{935CED0F-451E-4FEF-A748-C8F91487C6AC}" name="4261" dataDxfId="12349"/>
    <tableColumn id="4042" xr3:uid="{5B01418A-F20B-465B-9C87-3058D8DFDC35}" name="4262" dataDxfId="12348"/>
    <tableColumn id="4043" xr3:uid="{FA3C80B6-A6E1-4D45-B957-297D4D5B71E4}" name="4263" dataDxfId="12347"/>
    <tableColumn id="4044" xr3:uid="{E2B53668-CCD3-4279-9084-61BD5A1D283D}" name="4264" dataDxfId="12346"/>
    <tableColumn id="4045" xr3:uid="{E73C95B7-D5BE-478C-BB0A-B82E6083AE5A}" name="4265" dataDxfId="12345"/>
    <tableColumn id="4046" xr3:uid="{256674B3-F294-48C1-B678-CF27666668F8}" name="4266" dataDxfId="12344"/>
    <tableColumn id="4047" xr3:uid="{0EDE1C6F-870D-4275-B9B9-9AEB2C23BBEE}" name="4267" dataDxfId="12343"/>
    <tableColumn id="4048" xr3:uid="{C9939442-24A2-4EE0-B13B-BF73A5B15FCC}" name="4268" dataDxfId="12342"/>
    <tableColumn id="4049" xr3:uid="{AD3E09AF-964B-4241-A94D-AB09DDBC704A}" name="4269" dataDxfId="12341"/>
    <tableColumn id="4050" xr3:uid="{72BEB204-5A3C-4ACF-B3F0-8948CB316D1D}" name="4270" dataDxfId="12340"/>
    <tableColumn id="4051" xr3:uid="{115519E1-3006-42AB-A0F8-837C37823060}" name="4271" dataDxfId="12339"/>
    <tableColumn id="4052" xr3:uid="{149CBA09-039C-485E-9706-34338E50EB52}" name="4272" dataDxfId="12338"/>
    <tableColumn id="4053" xr3:uid="{EB213F01-9C1B-4D6D-B774-42B6675DB7F3}" name="4273" dataDxfId="12337"/>
    <tableColumn id="4054" xr3:uid="{36109883-7F6C-4F0D-A1B5-2D21D9BD401E}" name="4274" dataDxfId="12336"/>
    <tableColumn id="4055" xr3:uid="{24D18DDA-F486-4BF4-8839-3B50A8ECE024}" name="4275" dataDxfId="12335"/>
    <tableColumn id="4056" xr3:uid="{7B41287A-9FD6-4184-B793-1321F18D6F55}" name="4276" dataDxfId="12334"/>
    <tableColumn id="4057" xr3:uid="{003F95E3-E945-4575-B74A-092E64B2B835}" name="4277" dataDxfId="12333"/>
    <tableColumn id="4058" xr3:uid="{DF317B6E-E203-43A7-B1D1-01A4A09A0F44}" name="4278" dataDxfId="12332"/>
    <tableColumn id="4059" xr3:uid="{48B00226-7724-4774-8B9E-8D2BCC7349F4}" name="4279" dataDxfId="12331"/>
    <tableColumn id="4060" xr3:uid="{01278F4B-C415-481F-819E-CB2D566F7055}" name="4280" dataDxfId="12330"/>
    <tableColumn id="4061" xr3:uid="{94EB1D6E-255E-4B32-B65D-07DD571F61BF}" name="4281" dataDxfId="12329"/>
    <tableColumn id="4062" xr3:uid="{B3AF8E86-02DF-4FE1-BADA-2567458D971C}" name="4282" dataDxfId="12328"/>
    <tableColumn id="4063" xr3:uid="{1593DE3F-6343-47F5-933E-FA7811E0BD7B}" name="4283" dataDxfId="12327"/>
    <tableColumn id="4064" xr3:uid="{4BC29B6A-D702-4A2D-AF5B-A527DAB7FD84}" name="4284" dataDxfId="12326"/>
    <tableColumn id="4065" xr3:uid="{83313C8F-8995-4070-93FA-45A3058774C9}" name="4285" dataDxfId="12325"/>
    <tableColumn id="4066" xr3:uid="{FCBA9B81-A4DD-4F0C-952B-7ADA5E053DB6}" name="4286" dataDxfId="12324"/>
    <tableColumn id="4067" xr3:uid="{3F6ABACE-3D09-4122-B854-FFA29A4B1278}" name="4287" dataDxfId="12323"/>
    <tableColumn id="4068" xr3:uid="{8871D8A3-9743-456A-A913-027DE7091995}" name="4288" dataDxfId="12322"/>
    <tableColumn id="4069" xr3:uid="{18D0EBD5-4029-455B-8AE6-0D0976D01BDE}" name="4289" dataDxfId="12321"/>
    <tableColumn id="4070" xr3:uid="{00E03FF9-41CE-4D99-B886-E7F910AF009C}" name="4290" dataDxfId="12320"/>
    <tableColumn id="4071" xr3:uid="{BFB922EE-A3EC-4901-AC16-1322AB57C0F3}" name="4291" dataDxfId="12319"/>
    <tableColumn id="4072" xr3:uid="{94A29C6E-F3D3-41DF-B828-8FA1C0355B88}" name="4292" dataDxfId="12318"/>
    <tableColumn id="4073" xr3:uid="{7038773E-FC1E-45E3-A760-2616B95743DB}" name="4293" dataDxfId="12317"/>
    <tableColumn id="4074" xr3:uid="{F5089AB4-6F6B-4DB6-85EC-8E93D829D06C}" name="4294" dataDxfId="12316"/>
    <tableColumn id="4075" xr3:uid="{0535C36F-2278-4BCF-AEE5-EA143EB6998A}" name="4295" dataDxfId="12315"/>
    <tableColumn id="4076" xr3:uid="{88E0FE18-DDBC-4006-A803-EDFF0E8D59EE}" name="4296" dataDxfId="12314"/>
    <tableColumn id="4077" xr3:uid="{CEC896EC-2664-4A92-BA55-BB42ACFB25D9}" name="4297" dataDxfId="12313"/>
    <tableColumn id="4078" xr3:uid="{03A58B88-F09A-44CC-9C51-F2A53AA9B523}" name="4298" dataDxfId="12312"/>
    <tableColumn id="4079" xr3:uid="{FFCC7357-727E-434E-A653-0459D993B553}" name="4299" dataDxfId="12311"/>
    <tableColumn id="4080" xr3:uid="{B2C78847-16CE-402B-AD1C-439D93D84149}" name="4300" dataDxfId="12310"/>
    <tableColumn id="4081" xr3:uid="{08FB2B4A-F957-402E-B1F0-1CC0B3580BF6}" name="4301" dataDxfId="12309"/>
    <tableColumn id="4082" xr3:uid="{54E9FBD9-DFB6-4A7C-8BE3-658CB907AFE2}" name="4302" dataDxfId="12308"/>
    <tableColumn id="4083" xr3:uid="{B06BD2DC-2169-42EF-BB77-C963AEC40B56}" name="4303" dataDxfId="12307"/>
    <tableColumn id="4084" xr3:uid="{E2BFC4D1-9BCC-41A2-AF82-F9E00D271889}" name="4304" dataDxfId="12306"/>
    <tableColumn id="4085" xr3:uid="{1485484D-B169-4EE0-84A2-513331C77AE0}" name="4305" dataDxfId="12305"/>
    <tableColumn id="4086" xr3:uid="{1108C3A2-EBD5-41FC-A655-AE08963EEE9D}" name="4306" dataDxfId="12304"/>
    <tableColumn id="4087" xr3:uid="{74EB9438-F2B6-4C98-8DEF-9BD45422F358}" name="4307" dataDxfId="12303"/>
    <tableColumn id="4088" xr3:uid="{472D8D51-4274-4407-A224-52B93EBC8065}" name="4308" dataDxfId="12302"/>
    <tableColumn id="4089" xr3:uid="{9FA905EA-93B9-4A77-8141-97479CD834C5}" name="4309" dataDxfId="12301"/>
    <tableColumn id="4090" xr3:uid="{9ED39E08-8066-480C-90E1-7E1D181A05CB}" name="4310" dataDxfId="12300"/>
    <tableColumn id="4091" xr3:uid="{40D355A6-A3C5-414C-9B54-4140A16986C9}" name="4311" dataDxfId="12299"/>
    <tableColumn id="4092" xr3:uid="{3FC23F4C-4C4F-45DA-B58E-256DC1DEAF4C}" name="4312" dataDxfId="12298"/>
    <tableColumn id="4093" xr3:uid="{3BB803ED-4923-4848-BB67-E345E5F269C6}" name="4313" dataDxfId="12297"/>
    <tableColumn id="4094" xr3:uid="{9258BE0C-C98D-49A0-AF43-94A2C4C6A9F6}" name="4314" dataDxfId="12296"/>
    <tableColumn id="4095" xr3:uid="{4E841C97-8807-4B59-9CFE-F4C8068E3DCD}" name="4315" dataDxfId="12295"/>
    <tableColumn id="4096" xr3:uid="{4BDA9598-C1EB-4A2F-81A6-227B635D8EBD}" name="4316" dataDxfId="12294"/>
    <tableColumn id="4097" xr3:uid="{AB60A6DC-C295-48E6-9B42-B205FE8279D7}" name="4317" dataDxfId="12293"/>
    <tableColumn id="4098" xr3:uid="{AEC92E93-454B-4DAF-8988-8681E42E09E0}" name="4318" dataDxfId="12292"/>
    <tableColumn id="4099" xr3:uid="{527E566E-4874-4ECB-B834-2BEE1D886EEC}" name="4319" dataDxfId="12291"/>
    <tableColumn id="4100" xr3:uid="{E5B386CA-869F-42E2-8071-9086D06B0769}" name="4320" dataDxfId="12290"/>
    <tableColumn id="4101" xr3:uid="{E37F8665-47D9-46CF-9423-7823CBA235A6}" name="4321" dataDxfId="12289"/>
    <tableColumn id="4102" xr3:uid="{B6DB03EE-E780-4C2E-9FBE-0C4AB45858B8}" name="4322" dataDxfId="12288"/>
    <tableColumn id="4103" xr3:uid="{CDE5930C-1D87-4CDC-A014-850010318F41}" name="4323" dataDxfId="12287"/>
    <tableColumn id="4104" xr3:uid="{629E97F1-816C-4AA4-AA62-6DF3FD9DF47B}" name="4324" dataDxfId="12286"/>
    <tableColumn id="4105" xr3:uid="{75898B95-A91A-4D10-8BB1-EEB54451540B}" name="4325" dataDxfId="12285"/>
    <tableColumn id="4106" xr3:uid="{0B6C8340-BF6A-454F-9EB5-257A3837B1F5}" name="4326" dataDxfId="12284"/>
    <tableColumn id="4107" xr3:uid="{ABCAC80B-89CD-4FF8-832D-76173C4A60E6}" name="4327" dataDxfId="12283"/>
    <tableColumn id="4108" xr3:uid="{F664F991-B8A5-4F2E-9A8B-0434CF66BB84}" name="4328" dataDxfId="12282"/>
    <tableColumn id="4109" xr3:uid="{54A30400-0B04-42AE-9B90-09A7660856AB}" name="4329" dataDxfId="12281"/>
    <tableColumn id="4110" xr3:uid="{F87C1BED-7404-4FC3-A2FB-E0A4C8FBB5A5}" name="4330" dataDxfId="12280"/>
    <tableColumn id="4111" xr3:uid="{89E912AA-0DBC-43B1-A61D-0059813BEDF0}" name="4331" dataDxfId="12279"/>
    <tableColumn id="4112" xr3:uid="{452465F0-B3D6-469B-8E3B-508D64619767}" name="4332" dataDxfId="12278"/>
    <tableColumn id="4113" xr3:uid="{CE740FF5-425C-4831-BA4A-D68FC4C00EF8}" name="4333" dataDxfId="12277"/>
    <tableColumn id="4114" xr3:uid="{3AC93F04-9D2F-465C-92EB-609314D4A3B3}" name="4334" dataDxfId="12276"/>
    <tableColumn id="4115" xr3:uid="{01C5AF49-8533-420A-BFE5-8FA9EA3CE1BB}" name="4335" dataDxfId="12275"/>
    <tableColumn id="4116" xr3:uid="{1078E273-1458-428A-BC78-D9A0D6DFE209}" name="4336" dataDxfId="12274"/>
    <tableColumn id="4117" xr3:uid="{908101DE-9838-44E6-8BCB-8DC92F5F4BB5}" name="4337" dataDxfId="12273"/>
    <tableColumn id="4118" xr3:uid="{5EC4F437-C00D-4C20-AFA6-EB20ECACE155}" name="4338" dataDxfId="12272"/>
    <tableColumn id="4119" xr3:uid="{6A20676F-F9FB-49E5-B924-53CE3B75786B}" name="4339" dataDxfId="12271"/>
    <tableColumn id="4120" xr3:uid="{669F6A56-DF33-46CD-ADFC-B64036BE7F5F}" name="4340" dataDxfId="12270"/>
    <tableColumn id="4121" xr3:uid="{2293BBA0-44A8-45EC-BC9C-39D20406D6B9}" name="4341" dataDxfId="12269"/>
    <tableColumn id="4122" xr3:uid="{750105DB-EE23-494E-A999-FBAB2E2736D6}" name="4342" dataDxfId="12268"/>
    <tableColumn id="4123" xr3:uid="{7885725B-9C03-42C3-866D-61A157DA3707}" name="4343" dataDxfId="12267"/>
    <tableColumn id="4124" xr3:uid="{DE21C662-C8B2-4F59-A733-77A53FB3BDED}" name="4344" dataDxfId="12266"/>
    <tableColumn id="4125" xr3:uid="{1642956D-9D0A-4F72-8EDD-7D22E18F088E}" name="4345" dataDxfId="12265"/>
    <tableColumn id="4126" xr3:uid="{935B9F0B-C20B-4D2E-88A2-5ABD39DED4C8}" name="4346" dataDxfId="12264"/>
    <tableColumn id="4127" xr3:uid="{E902BC2B-28A7-4228-BA2E-1F276439F611}" name="4347" dataDxfId="12263"/>
    <tableColumn id="4128" xr3:uid="{3438FB93-15B8-4B45-B2A7-058F8F7D9E6D}" name="4348" dataDxfId="12262"/>
    <tableColumn id="4129" xr3:uid="{7AFD2C22-1B9B-489F-AAD0-BA054896F6DA}" name="4349" dataDxfId="12261"/>
    <tableColumn id="4130" xr3:uid="{BE5B673C-04D8-407E-AAB5-76FD076C4C7A}" name="4350" dataDxfId="12260"/>
    <tableColumn id="4131" xr3:uid="{DE91B259-8605-4DB2-BA99-567224E55E7D}" name="4351" dataDxfId="12259"/>
    <tableColumn id="4132" xr3:uid="{44909103-BCA5-4A45-AD96-23B9B6FE0DDE}" name="4352" dataDxfId="12258"/>
    <tableColumn id="4133" xr3:uid="{F80BA0A2-BAC5-43B1-82F1-1F76F458116F}" name="4353" dataDxfId="12257"/>
    <tableColumn id="4134" xr3:uid="{AE979A0C-C314-4B0C-85DB-BADF7CD037B3}" name="4354" dataDxfId="12256"/>
    <tableColumn id="4135" xr3:uid="{F9E34182-EF6E-4FC3-B6EE-F959011C83DE}" name="4355" dataDxfId="12255"/>
    <tableColumn id="4136" xr3:uid="{899D8EEB-B48D-47CF-B6EE-8586DCAEB5FE}" name="4356" dataDxfId="12254"/>
    <tableColumn id="4137" xr3:uid="{33CC1ECC-195F-488F-BCFB-B763BC47B336}" name="4357" dataDxfId="12253"/>
    <tableColumn id="4138" xr3:uid="{DA8C46FA-F48F-459F-9DDF-0890D8B95758}" name="4358" dataDxfId="12252"/>
    <tableColumn id="4139" xr3:uid="{9D85EAA8-57AA-497B-B80B-B5DCECEF6CEF}" name="4359" dataDxfId="12251"/>
    <tableColumn id="4140" xr3:uid="{94E49CDC-6D41-40A0-A9A9-9B514FD13AD0}" name="4360" dataDxfId="12250"/>
    <tableColumn id="4141" xr3:uid="{0EDCE064-C5F2-46BA-995C-7DA89FE2F9C5}" name="4361" dataDxfId="12249"/>
    <tableColumn id="4142" xr3:uid="{2AF5FB66-63EB-4A08-93C0-E7F25BB5475C}" name="4362" dataDxfId="12248"/>
    <tableColumn id="4143" xr3:uid="{74CDA4FA-3DC0-464A-8D4D-C94FDF0A32D0}" name="4363" dataDxfId="12247"/>
    <tableColumn id="4144" xr3:uid="{ABA1C22A-B163-49C9-9DF6-F53DADB344F2}" name="4364" dataDxfId="12246"/>
    <tableColumn id="4145" xr3:uid="{CB048C25-96F1-4AE3-A2B0-392D7A956BBD}" name="4365" dataDxfId="12245"/>
    <tableColumn id="4146" xr3:uid="{04B242B9-C612-4190-B2B1-8029B960BC03}" name="4366" dataDxfId="12244"/>
    <tableColumn id="4147" xr3:uid="{A85C6EC9-8F77-4463-8320-1C6A34ADF36B}" name="4367" dataDxfId="12243"/>
    <tableColumn id="4148" xr3:uid="{C1A91024-10FE-4EBB-81DF-BF2BFB731F0A}" name="4368" dataDxfId="12242"/>
    <tableColumn id="4149" xr3:uid="{86472311-B8D2-4E78-8986-DB6EF666A08D}" name="4369" dataDxfId="12241"/>
    <tableColumn id="4150" xr3:uid="{148927A2-BABE-4154-814F-B1296E386140}" name="4370" dataDxfId="12240"/>
    <tableColumn id="4151" xr3:uid="{AA3674A0-7BDA-4CF1-B8E2-1EE8217021DE}" name="4371" dataDxfId="12239"/>
    <tableColumn id="4152" xr3:uid="{6C26AB4A-6189-48DC-B212-921BCEC902F8}" name="4372" dataDxfId="12238"/>
    <tableColumn id="4153" xr3:uid="{AEF23328-4561-413B-A432-B1C634DF86E8}" name="4373" dataDxfId="12237"/>
    <tableColumn id="4154" xr3:uid="{70364FFF-D808-4100-9E83-F83AE822136D}" name="4374" dataDxfId="12236"/>
    <tableColumn id="4155" xr3:uid="{D3A62FC2-73C8-425D-9E6E-9D1D48AD30DC}" name="4375" dataDxfId="12235"/>
    <tableColumn id="4156" xr3:uid="{47CEDE3B-F7B4-4B00-B746-C42B82EF6AEF}" name="4376" dataDxfId="12234"/>
    <tableColumn id="4157" xr3:uid="{40518D15-166C-41EC-A29D-9F2CE262C142}" name="4377" dataDxfId="12233"/>
    <tableColumn id="4158" xr3:uid="{730D1B07-1C72-4A65-864C-1CD38BDDFA30}" name="4378" dataDxfId="12232"/>
    <tableColumn id="4159" xr3:uid="{1A99369B-8889-4632-8F87-94855AFEBE71}" name="4379" dataDxfId="12231"/>
    <tableColumn id="4160" xr3:uid="{D4F083F2-8D01-4B1A-A145-C90EE147BC7A}" name="4380" dataDxfId="12230"/>
    <tableColumn id="4161" xr3:uid="{8695F662-C6C2-4C80-A787-7DED4A8801E0}" name="4381" dataDxfId="12229"/>
    <tableColumn id="4162" xr3:uid="{C9772955-E336-41EF-BE50-90DD04D713ED}" name="4382" dataDxfId="12228"/>
    <tableColumn id="4163" xr3:uid="{630F98F7-DF24-4B51-A92D-E92D4E657635}" name="4383" dataDxfId="12227"/>
    <tableColumn id="4164" xr3:uid="{6309BE78-5F97-4BD9-9C02-9CEA18556301}" name="4384" dataDxfId="12226"/>
    <tableColumn id="4165" xr3:uid="{D84A6A05-A08B-4701-B5BD-01C221D253AA}" name="4385" dataDxfId="12225"/>
    <tableColumn id="4166" xr3:uid="{DCD69DF7-C9B2-4874-92D4-8BAFBA3DD343}" name="4386" dataDxfId="12224"/>
    <tableColumn id="4167" xr3:uid="{55555554-1067-4C81-B081-BC9339200B5A}" name="4387" dataDxfId="12223"/>
    <tableColumn id="4168" xr3:uid="{FEBB392B-A91E-42C6-B0BD-9DF2A534A1D4}" name="4388" dataDxfId="12222"/>
    <tableColumn id="4169" xr3:uid="{8E6F8ADD-0383-41FD-8B0D-94AF1B3408AD}" name="4389" dataDxfId="12221"/>
    <tableColumn id="4170" xr3:uid="{C5D556CC-E47B-4D83-9C47-0A5DEA62CD39}" name="4390" dataDxfId="12220"/>
    <tableColumn id="4171" xr3:uid="{C7402908-79AB-400A-A4EF-2183EC5F4D78}" name="4391" dataDxfId="12219"/>
    <tableColumn id="4172" xr3:uid="{8FE1AEE2-B281-44DB-AD9B-F6EE95A5B091}" name="4392" dataDxfId="12218"/>
    <tableColumn id="4173" xr3:uid="{8BAA248B-C5A0-4947-A1BE-55913C4948BD}" name="4393" dataDxfId="12217"/>
    <tableColumn id="4174" xr3:uid="{FD6D0516-00DF-46EB-8424-172F1789E3D4}" name="4394" dataDxfId="12216"/>
    <tableColumn id="4175" xr3:uid="{9671E9F2-AA4F-43BB-B247-AF14CF6E6009}" name="4395" dataDxfId="12215"/>
    <tableColumn id="4176" xr3:uid="{BC3F2F02-FD10-4938-B8A3-AB1C5A7ABF7C}" name="4396" dataDxfId="12214"/>
    <tableColumn id="4177" xr3:uid="{ED46AE65-8939-4573-B463-704F6841A679}" name="4397" dataDxfId="12213"/>
    <tableColumn id="4178" xr3:uid="{EB230D9A-A6CC-4BA5-94F0-F62DA5026FF6}" name="4398" dataDxfId="12212"/>
    <tableColumn id="4179" xr3:uid="{892154F2-09EA-4C07-A87D-C39E5534EA38}" name="4399" dataDxfId="12211"/>
    <tableColumn id="4180" xr3:uid="{AC9F73AA-3741-4647-BC5A-63325DC98379}" name="4400" dataDxfId="12210"/>
    <tableColumn id="4181" xr3:uid="{6E374BD4-B62D-417A-8110-CAE7C9BC79BB}" name="4401" dataDxfId="12209"/>
    <tableColumn id="4182" xr3:uid="{F282C3FF-FD99-4070-9F53-6CB370A96212}" name="4402" dataDxfId="12208"/>
    <tableColumn id="4183" xr3:uid="{DFE62D11-8AB4-4635-85E2-6A22259A6281}" name="4403" dataDxfId="12207"/>
    <tableColumn id="4184" xr3:uid="{AFE86CC4-3F6E-4464-A808-782B6940CF05}" name="4404" dataDxfId="12206"/>
    <tableColumn id="4185" xr3:uid="{856438E4-F6ED-4AD7-A4D3-2A4B66D39145}" name="4405" dataDxfId="12205"/>
    <tableColumn id="4186" xr3:uid="{03F27F96-014F-4529-B81D-45F6232ECF97}" name="4406" dataDxfId="12204"/>
    <tableColumn id="4187" xr3:uid="{55155D06-9051-4A12-825C-23E7112168C4}" name="4407" dataDxfId="12203"/>
    <tableColumn id="4188" xr3:uid="{5136BDE0-1288-4838-93B0-70B8A900CE28}" name="4408" dataDxfId="12202"/>
    <tableColumn id="4189" xr3:uid="{4F841A09-26A3-4E29-8574-684FE1ED70AB}" name="4409" dataDxfId="12201"/>
    <tableColumn id="4190" xr3:uid="{4E3A13E5-9AE7-4A99-826D-EAE0413753D5}" name="4410" dataDxfId="12200"/>
    <tableColumn id="4191" xr3:uid="{27C35ACA-72E4-4334-8B3B-2AD90C5561D6}" name="4411" dataDxfId="12199"/>
    <tableColumn id="4192" xr3:uid="{1A2F68ED-917B-474D-8D07-B6F5A38BC844}" name="4412" dataDxfId="12198"/>
    <tableColumn id="4193" xr3:uid="{640A2FBE-C178-4EF4-BCB8-CB5A158A26BA}" name="4413" dataDxfId="12197"/>
    <tableColumn id="4194" xr3:uid="{D67816C7-5C9F-48F5-BF2B-36BCB88681CB}" name="4414" dataDxfId="12196"/>
    <tableColumn id="4195" xr3:uid="{9452D791-0FCC-4AFF-A783-8AE1A472F09F}" name="4415" dataDxfId="12195"/>
    <tableColumn id="4196" xr3:uid="{52D0E6D8-25DE-46F0-B301-7BA552E2434C}" name="4416" dataDxfId="12194"/>
    <tableColumn id="4197" xr3:uid="{0462CE37-9C53-4DEC-86D7-2693E02A60F8}" name="4417" dataDxfId="12193"/>
    <tableColumn id="4198" xr3:uid="{19EDA2BD-FF15-4C54-8FEC-31BF462CA419}" name="4418" dataDxfId="12192"/>
    <tableColumn id="4199" xr3:uid="{675246E5-6856-4E76-9F55-E6A78B63A0C2}" name="4419" dataDxfId="12191"/>
    <tableColumn id="4200" xr3:uid="{A0BF58C4-2698-42AF-A4CC-1E9A1AEEAE21}" name="4420" dataDxfId="12190"/>
    <tableColumn id="4201" xr3:uid="{2EBB2BA1-DB4C-436B-8995-98266D69A684}" name="4421" dataDxfId="12189"/>
    <tableColumn id="4202" xr3:uid="{29A685E0-E6D1-4FE9-8B25-AC1B9C05A54D}" name="4422" dataDxfId="12188"/>
    <tableColumn id="4203" xr3:uid="{5DCFA3D7-B03F-40B9-B2DE-21F3EF8996E8}" name="4423" dataDxfId="12187"/>
    <tableColumn id="4204" xr3:uid="{C7331301-C30F-41B9-8E4D-22E3023A53AB}" name="4424" dataDxfId="12186"/>
    <tableColumn id="4205" xr3:uid="{BDE61E78-AC50-4622-A3DB-ABCC99A67772}" name="4425" dataDxfId="12185"/>
    <tableColumn id="4206" xr3:uid="{AD35E34A-5F32-430B-957D-9DD6D46FEF7B}" name="4426" dataDxfId="12184"/>
    <tableColumn id="4207" xr3:uid="{45CEEA96-6A9D-4D93-B6E3-7979E0C0F254}" name="4427" dataDxfId="12183"/>
    <tableColumn id="4208" xr3:uid="{094DEBB2-C81D-4F4D-889C-FEE0BD91AA96}" name="4428" dataDxfId="12182"/>
    <tableColumn id="4209" xr3:uid="{BC6D5BC6-F8EB-435A-8742-C137D1752D85}" name="4429" dataDxfId="12181"/>
    <tableColumn id="4210" xr3:uid="{424DF74E-EFD1-41C7-821A-18EB0846DDE0}" name="4430" dataDxfId="12180"/>
    <tableColumn id="4211" xr3:uid="{C7E032CA-7979-4C1E-9A3A-F0F644033CC3}" name="4431" dataDxfId="12179"/>
    <tableColumn id="4212" xr3:uid="{E86B8712-5B9F-461A-94A4-580ABD2BA341}" name="4432" dataDxfId="12178"/>
    <tableColumn id="4213" xr3:uid="{6323E9E0-17A3-493B-82F0-2E633786C112}" name="4433" dataDxfId="12177"/>
    <tableColumn id="4214" xr3:uid="{3968F9F7-7E00-4837-BDAE-F0A75FC48B38}" name="4434" dataDxfId="12176"/>
    <tableColumn id="4215" xr3:uid="{F87AF529-1918-410C-BB55-B73629E6D22C}" name="4435" dataDxfId="12175"/>
    <tableColumn id="4216" xr3:uid="{C8CEA2F7-FEA5-4673-8F77-531D892AB9DC}" name="4436" dataDxfId="12174"/>
    <tableColumn id="4217" xr3:uid="{88E6D1AA-6038-45F1-ABE6-5AEA1421609E}" name="4437" dataDxfId="12173"/>
    <tableColumn id="4218" xr3:uid="{A6E463D5-5C53-437B-B0C1-6B369B8669A6}" name="4438" dataDxfId="12172"/>
    <tableColumn id="4219" xr3:uid="{83BDA939-15BC-4F40-A28A-E21A38961D3C}" name="4439" dataDxfId="12171"/>
    <tableColumn id="4220" xr3:uid="{134DC6AB-8CFC-4FA1-B501-9E3EEF6BA1E5}" name="4440" dataDxfId="12170"/>
    <tableColumn id="4221" xr3:uid="{3A6D9856-2F2A-4DA7-A78C-B4BDC9494D62}" name="4441" dataDxfId="12169"/>
    <tableColumn id="4222" xr3:uid="{DF86AB34-B489-4823-BDA7-C7F46DF56280}" name="4442" dataDxfId="12168"/>
    <tableColumn id="4223" xr3:uid="{5550CD0D-37BF-43BB-BF7B-E9DA6F512BF8}" name="4443" dataDxfId="12167"/>
    <tableColumn id="4224" xr3:uid="{9939F85D-CD5F-4E89-B55D-85F1DAC87F42}" name="4444" dataDxfId="12166"/>
    <tableColumn id="4225" xr3:uid="{EB190813-7488-4651-9D3B-BD652E713B5D}" name="4445" dataDxfId="12165"/>
    <tableColumn id="4226" xr3:uid="{9426DD69-A19E-4DE0-915B-BBB93628AB4A}" name="4446" dataDxfId="12164"/>
    <tableColumn id="4227" xr3:uid="{8FB35918-1BE5-4C54-846A-52A9B39F35FD}" name="4447" dataDxfId="12163"/>
    <tableColumn id="4228" xr3:uid="{8A8C9807-2386-47E6-B31F-15B861D0F537}" name="4448" dataDxfId="12162"/>
    <tableColumn id="4229" xr3:uid="{179769EC-0C9C-407C-B9A3-0C7EB5F00EDF}" name="4449" dataDxfId="12161"/>
    <tableColumn id="4230" xr3:uid="{9783BFF5-992F-400C-A647-1D248AA608D0}" name="4450" dataDxfId="12160"/>
    <tableColumn id="4231" xr3:uid="{B8716D4F-4B7B-4B81-A549-53844AF5AE57}" name="4451" dataDxfId="12159"/>
    <tableColumn id="4232" xr3:uid="{84B0472A-B580-4A4E-9B4C-495440917090}" name="4452" dataDxfId="12158"/>
    <tableColumn id="4233" xr3:uid="{387C9B1D-99E4-4410-9E88-06C9C59DAFA4}" name="4453" dataDxfId="12157"/>
    <tableColumn id="4234" xr3:uid="{4BFA2BBA-19B9-484A-A329-B822A09D4E93}" name="4454" dataDxfId="12156"/>
    <tableColumn id="4235" xr3:uid="{F3891CA7-0640-48CA-B94D-46CD2390F4CE}" name="4455" dataDxfId="12155"/>
    <tableColumn id="4236" xr3:uid="{8E8281FC-B9DD-4983-B652-9862274C3F1B}" name="4456" dataDxfId="12154"/>
    <tableColumn id="4237" xr3:uid="{6E68EC7A-B258-456D-875E-22B69D61BA0F}" name="4457" dataDxfId="12153"/>
    <tableColumn id="4238" xr3:uid="{BC5D583B-F907-4E10-81A6-46530F1C2C0B}" name="4458" dataDxfId="12152"/>
    <tableColumn id="4239" xr3:uid="{6A3C2B4E-D424-48CE-ACA4-09523CB1653F}" name="4459" dataDxfId="12151"/>
    <tableColumn id="4240" xr3:uid="{4ECF77FE-4DA5-4D75-B45A-F2460439FD7A}" name="4460" dataDxfId="12150"/>
    <tableColumn id="4241" xr3:uid="{DB7EE03C-EEA6-443E-ABF2-95F4AB7B91F8}" name="4461" dataDxfId="12149"/>
    <tableColumn id="4242" xr3:uid="{4272F109-4E30-4190-BF88-BD7C8A53E368}" name="4462" dataDxfId="12148"/>
    <tableColumn id="4243" xr3:uid="{7355985C-0D3F-41EB-A62E-6857D15F3DE3}" name="4463" dataDxfId="12147"/>
    <tableColumn id="4244" xr3:uid="{8CEA5013-BFAA-497B-AB68-5BD9A3BBA3FB}" name="4464" dataDxfId="12146"/>
    <tableColumn id="4245" xr3:uid="{89A5DA8B-F085-4544-B9F0-4FBF7AEA26AB}" name="4465" dataDxfId="12145"/>
    <tableColumn id="4246" xr3:uid="{13C6DBF3-A363-45F3-A29C-5A01CB61E6CD}" name="4466" dataDxfId="12144"/>
    <tableColumn id="4247" xr3:uid="{D7D5813C-68EE-453C-93E0-723322306DEE}" name="4467" dataDxfId="12143"/>
    <tableColumn id="4248" xr3:uid="{49500B57-17F1-4AAE-B557-23834C444709}" name="4468" dataDxfId="12142"/>
    <tableColumn id="4249" xr3:uid="{316C56B0-6E90-4610-A9EE-3FCC2C89FC0A}" name="4469" dataDxfId="12141"/>
    <tableColumn id="4250" xr3:uid="{5ABE0837-987E-462F-8CAD-3CCBB37FF0C4}" name="4470" dataDxfId="12140"/>
    <tableColumn id="4251" xr3:uid="{9BD05B92-484B-4C97-A8BF-2C6E9A0153E8}" name="4471" dataDxfId="12139"/>
    <tableColumn id="4252" xr3:uid="{0D928E3F-19B8-4BE3-B8E1-4419E1DD52C8}" name="4472" dataDxfId="12138"/>
    <tableColumn id="4253" xr3:uid="{6C1E80DF-E497-410D-9A5F-34CE7DF8B1DA}" name="4473" dataDxfId="12137"/>
    <tableColumn id="4254" xr3:uid="{583B0B6F-18BA-4A86-9A8B-9A22C0F59FC7}" name="4474" dataDxfId="12136"/>
    <tableColumn id="4255" xr3:uid="{511D45BB-6419-4099-8C63-5B0A52CC3AC3}" name="4475" dataDxfId="12135"/>
    <tableColumn id="4256" xr3:uid="{F5EBEA86-7080-4422-B030-998B806E53FD}" name="4476" dataDxfId="12134"/>
    <tableColumn id="4257" xr3:uid="{4243BC8A-B1D2-4469-823D-D37F9AF1372C}" name="4477" dataDxfId="12133"/>
    <tableColumn id="4258" xr3:uid="{3B9A142C-5066-4578-BA59-76F5318D23B7}" name="4478" dataDxfId="12132"/>
    <tableColumn id="4259" xr3:uid="{104E8AC2-9D7D-42EF-A287-4DE32A6798F9}" name="4479" dataDxfId="12131"/>
    <tableColumn id="4260" xr3:uid="{880D0E2A-51F7-4D10-B13A-5D89A67AD940}" name="4480" dataDxfId="12130"/>
    <tableColumn id="4261" xr3:uid="{2F823483-7CF7-4291-A8D7-BD064BDB3CDE}" name="4481" dataDxfId="12129"/>
    <tableColumn id="4262" xr3:uid="{64E66F53-3126-416D-92DB-267FCF89A2E6}" name="4482" dataDxfId="12128"/>
    <tableColumn id="4263" xr3:uid="{D1EF159A-EB1C-4C4A-A1DC-25ED21F115F2}" name="4483" dataDxfId="12127"/>
    <tableColumn id="4264" xr3:uid="{B75BAAA3-67B8-4123-88A1-834F9EFB4BD0}" name="4484" dataDxfId="12126"/>
    <tableColumn id="4265" xr3:uid="{7236409B-5B36-4A1A-ACDC-365F4485E987}" name="4485" dataDxfId="12125"/>
    <tableColumn id="4266" xr3:uid="{51A67247-C2AE-4499-B122-3CA0FCE4E3A4}" name="4486" dataDxfId="12124"/>
    <tableColumn id="4267" xr3:uid="{AAB3CEFA-EE02-491D-B806-59D1228750F5}" name="4487" dataDxfId="12123"/>
    <tableColumn id="4268" xr3:uid="{F5A92FD3-D662-4B86-9CDA-235F03D07E01}" name="4488" dataDxfId="12122"/>
    <tableColumn id="4269" xr3:uid="{6D34D58B-C5E3-4C36-A410-F4A0670C2CC0}" name="4489" dataDxfId="12121"/>
    <tableColumn id="4270" xr3:uid="{A13FAFAA-83F1-4104-9BEA-277A911D027C}" name="4490" dataDxfId="12120"/>
    <tableColumn id="4271" xr3:uid="{8BD38A80-9F29-4699-B0AE-FF20269CA915}" name="4491" dataDxfId="12119"/>
    <tableColumn id="4272" xr3:uid="{2689A5B6-C91E-40EF-BA86-0A68B66BFF2B}" name="4492" dataDxfId="12118"/>
    <tableColumn id="4273" xr3:uid="{1E5695CE-A144-47C7-BE38-2CD5F99FA1DC}" name="4493" dataDxfId="12117"/>
    <tableColumn id="4274" xr3:uid="{FCFB457D-975E-4477-BCCF-575412CFCFD5}" name="4494" dataDxfId="12116"/>
    <tableColumn id="4275" xr3:uid="{F5503A2E-B92D-4E08-9E0D-2F3B050AE292}" name="4495" dataDxfId="12115"/>
    <tableColumn id="4276" xr3:uid="{73F37E48-DB36-4342-937D-BB64633AC297}" name="4496" dataDxfId="12114"/>
    <tableColumn id="4277" xr3:uid="{0CFC03EE-F95F-4347-B7AD-AA4D03FF9BB2}" name="4497" dataDxfId="12113"/>
    <tableColumn id="4278" xr3:uid="{DCF41664-6B7A-49A9-8862-77B2FD98DFD0}" name="4498" dataDxfId="12112"/>
    <tableColumn id="4279" xr3:uid="{D76ACEBE-CD18-46DB-8750-7EFF7AFC6A53}" name="4499" dataDxfId="12111"/>
    <tableColumn id="4280" xr3:uid="{E795BA4D-A61F-40EC-A55C-04499B72D2B8}" name="4500" dataDxfId="12110"/>
    <tableColumn id="4281" xr3:uid="{6A04E582-933E-4591-B3F7-2CB6E25DBEFA}" name="4501" dataDxfId="12109"/>
    <tableColumn id="4282" xr3:uid="{746828B1-EEBE-483B-8071-4E0DD769E52E}" name="4502" dataDxfId="12108"/>
    <tableColumn id="4283" xr3:uid="{B815A44A-7C32-4B00-88E8-FE8310269726}" name="4503" dataDxfId="12107"/>
    <tableColumn id="4284" xr3:uid="{451AE32A-B9E4-4BC5-83FA-5138513050DB}" name="4504" dataDxfId="12106"/>
    <tableColumn id="4285" xr3:uid="{138866E2-C08F-4C65-9512-D04D1EE0FE99}" name="4505" dataDxfId="12105"/>
    <tableColumn id="4286" xr3:uid="{14A77676-C1B8-4EBC-A2E4-03E4C0FAF8CD}" name="4506" dataDxfId="12104"/>
    <tableColumn id="4287" xr3:uid="{677D8866-64B7-44E7-A2CB-E03E582DF49D}" name="4507" dataDxfId="12103"/>
    <tableColumn id="4288" xr3:uid="{81C7EE5B-B584-4814-B7AD-C353A84B3008}" name="4508" dataDxfId="12102"/>
    <tableColumn id="4289" xr3:uid="{11F306BB-DF3B-4014-93CA-6B1CF064770E}" name="4509" dataDxfId="12101"/>
    <tableColumn id="4290" xr3:uid="{B787254A-5665-45D6-B3EC-7AF1A3FC1E5F}" name="4510" dataDxfId="12100"/>
    <tableColumn id="4291" xr3:uid="{817FD9B7-0D58-4433-97B1-C531EDB713F3}" name="4511" dataDxfId="12099"/>
    <tableColumn id="4292" xr3:uid="{AE03AD6B-9E3B-41DE-B361-3EE7D9E12FCC}" name="4512" dataDxfId="12098"/>
    <tableColumn id="4293" xr3:uid="{E2F57F04-4626-48A2-9C45-3F9CBB6788E8}" name="4513" dataDxfId="12097"/>
    <tableColumn id="4294" xr3:uid="{E2A185CD-7834-4BBF-ABA6-BA7E8A9C4C51}" name="4514" dataDxfId="12096"/>
    <tableColumn id="4295" xr3:uid="{189F0153-B1FF-4F6E-ACEC-516AB25E2288}" name="4515" dataDxfId="12095"/>
    <tableColumn id="4296" xr3:uid="{7A878A42-1CE3-4F92-9B9E-D00408C535DE}" name="4516" dataDxfId="12094"/>
    <tableColumn id="4297" xr3:uid="{68F5DF51-FF9D-4898-B6F7-081CA78B8D3D}" name="4517" dataDxfId="12093"/>
    <tableColumn id="4298" xr3:uid="{35E14725-D46B-4238-A303-1D2EFD504C46}" name="4518" dataDxfId="12092"/>
    <tableColumn id="4299" xr3:uid="{00535434-9F1D-4D4F-B402-FC0F792AF9FF}" name="4519" dataDxfId="12091"/>
    <tableColumn id="4300" xr3:uid="{24490F75-0C95-428D-B3C7-3884B88651AB}" name="4520" dataDxfId="12090"/>
    <tableColumn id="4301" xr3:uid="{57A1FA79-AFA1-4482-B684-3A7FA1BBDA4B}" name="4521" dataDxfId="12089"/>
    <tableColumn id="4302" xr3:uid="{DBEFC27A-BA81-4A5A-BA38-5C07AE501D11}" name="4522" dataDxfId="12088"/>
    <tableColumn id="4303" xr3:uid="{AE65C746-AE47-4ED1-AE38-0E051B4091CD}" name="4523" dataDxfId="12087"/>
    <tableColumn id="4304" xr3:uid="{038D1216-1C1F-4986-A115-86AA37294C33}" name="4524" dataDxfId="12086"/>
    <tableColumn id="4305" xr3:uid="{BF14BF6B-6CFE-4EF0-9D3D-7D77476A3B8B}" name="4525" dataDxfId="12085"/>
    <tableColumn id="4306" xr3:uid="{3C13C0A7-A5D6-4CD9-800E-90491AB3DA50}" name="4526" dataDxfId="12084"/>
    <tableColumn id="4307" xr3:uid="{7FD2F427-E0DC-4928-9A33-E14322B20FF5}" name="4527" dataDxfId="12083"/>
    <tableColumn id="4308" xr3:uid="{F66116E4-B11C-40AD-B41F-52BE2287B6C2}" name="4528" dataDxfId="12082"/>
    <tableColumn id="4309" xr3:uid="{33E79F06-651B-46DF-879C-C23A03051400}" name="4529" dataDxfId="12081"/>
    <tableColumn id="4310" xr3:uid="{B6EE1A6C-CDAE-4091-84CA-82C3A0499A02}" name="4530" dataDxfId="12080"/>
    <tableColumn id="4311" xr3:uid="{C8CC73CE-63F9-4ECA-8322-491B158CE041}" name="4531" dataDxfId="12079"/>
    <tableColumn id="4312" xr3:uid="{C2F8274F-070B-46FF-852E-80DBC92CF1D9}" name="4532" dataDxfId="12078"/>
    <tableColumn id="4313" xr3:uid="{C5B6A33B-4F2D-4EB3-859F-16D36BC8AD42}" name="4533" dataDxfId="12077"/>
    <tableColumn id="4314" xr3:uid="{81E6B39F-1645-4316-86E3-A7980ABDF1AC}" name="4534" dataDxfId="12076"/>
    <tableColumn id="4315" xr3:uid="{DA63701B-3C98-48B3-A17A-BCC1FACA91A9}" name="4535" dataDxfId="12075"/>
    <tableColumn id="4316" xr3:uid="{1A000E1C-BC8D-45EB-ADD9-D24EE1F5A163}" name="4536" dataDxfId="12074"/>
    <tableColumn id="4317" xr3:uid="{4117BAD4-E826-46ED-92D2-B0520C898AD1}" name="4537" dataDxfId="12073"/>
    <tableColumn id="4318" xr3:uid="{E17D57EC-36A6-4CA6-A9CA-E37FD5F3A3CE}" name="4538" dataDxfId="12072"/>
    <tableColumn id="4319" xr3:uid="{FB992074-2097-4145-8E93-733305A822F7}" name="4539" dataDxfId="12071"/>
    <tableColumn id="4320" xr3:uid="{16C02B24-6C08-40BD-B4EF-85FA341B022C}" name="4540" dataDxfId="12070"/>
    <tableColumn id="4321" xr3:uid="{49851B5E-9A8E-4A53-91DA-6BFFCF11C86F}" name="4541" dataDxfId="12069"/>
    <tableColumn id="4322" xr3:uid="{E6CBA56E-D562-4827-B6E7-CDD935DDC5AB}" name="4542" dataDxfId="12068"/>
    <tableColumn id="4323" xr3:uid="{38E5FA09-C6FE-4C78-B8FE-1CABF9E7A74C}" name="4543" dataDxfId="12067"/>
    <tableColumn id="4324" xr3:uid="{7B703053-3DAC-47D5-A4C3-D4AE20D0BDE8}" name="4544" dataDxfId="12066"/>
    <tableColumn id="4325" xr3:uid="{1EDC8918-99F4-4595-A932-EB82604E3B0E}" name="4545" dataDxfId="12065"/>
    <tableColumn id="4326" xr3:uid="{22301D98-D643-4D9B-8D51-3D613AC2F57B}" name="4546" dataDxfId="12064"/>
    <tableColumn id="4327" xr3:uid="{A1307F9B-5824-4177-BA7F-FB69F9B5C1A2}" name="4547" dataDxfId="12063"/>
    <tableColumn id="4328" xr3:uid="{3EC16C35-8A70-4E8D-927C-69BC3F323E29}" name="4548" dataDxfId="12062"/>
    <tableColumn id="4329" xr3:uid="{A58F71E9-C223-40CA-BDB5-4FD932017BF9}" name="4549" dataDxfId="12061"/>
    <tableColumn id="4330" xr3:uid="{EBE45E4E-E22D-4BE9-A379-D9C20639BC13}" name="4550" dataDxfId="12060"/>
    <tableColumn id="4331" xr3:uid="{E8B9F376-261A-4A57-8A9D-E6A0B3934989}" name="4551" dataDxfId="12059"/>
    <tableColumn id="4332" xr3:uid="{EF32C3EA-8631-45E3-90BE-1D61EDA5536C}" name="4552" dataDxfId="12058"/>
    <tableColumn id="4333" xr3:uid="{72AB28A4-3925-4946-9542-DB6A2DBA687A}" name="4553" dataDxfId="12057"/>
    <tableColumn id="4334" xr3:uid="{A4930350-7361-4773-8080-CF730ADD91D2}" name="4554" dataDxfId="12056"/>
    <tableColumn id="4335" xr3:uid="{E8F3CC06-C0D3-4CC1-A2A5-F1F2F39AE6AB}" name="4555" dataDxfId="12055"/>
    <tableColumn id="4336" xr3:uid="{BA75A834-2101-41A0-9344-79BFE13C3350}" name="4556" dataDxfId="12054"/>
    <tableColumn id="4337" xr3:uid="{238E3AEC-C7CA-4965-AC36-B56753E29056}" name="4557" dataDxfId="12053"/>
    <tableColumn id="4338" xr3:uid="{8533A27F-1A1E-4DF6-A408-E32D45270AC3}" name="4558" dataDxfId="12052"/>
    <tableColumn id="4339" xr3:uid="{DAD89327-3FE7-4C3D-8A8E-833F370D1E50}" name="4559" dataDxfId="12051"/>
    <tableColumn id="4340" xr3:uid="{413BC1F7-0AE1-4862-8824-29C57BB37730}" name="4560" dataDxfId="12050"/>
    <tableColumn id="4341" xr3:uid="{10EA4D5D-332D-4106-B675-2E547A4C57FC}" name="4561" dataDxfId="12049"/>
    <tableColumn id="4342" xr3:uid="{1DCE4273-1D7B-489D-8A57-DECB5D7C91A9}" name="4562" dataDxfId="12048"/>
    <tableColumn id="4343" xr3:uid="{6EB6EFA3-565D-4A67-883F-A4F3611321C8}" name="4563" dataDxfId="12047"/>
    <tableColumn id="4344" xr3:uid="{EC7C2D52-6B42-443D-95D5-D187488382C5}" name="4564" dataDxfId="12046"/>
    <tableColumn id="4345" xr3:uid="{373A9269-4FD0-4F35-A800-6868649860D0}" name="4565" dataDxfId="12045"/>
    <tableColumn id="4346" xr3:uid="{1BCF5D86-B1DE-4DE3-8177-0614C80F278A}" name="4566" dataDxfId="12044"/>
    <tableColumn id="4347" xr3:uid="{4DE974FC-7F74-4807-AF62-20D0671CDCC3}" name="4567" dataDxfId="12043"/>
    <tableColumn id="4348" xr3:uid="{5BF4DA71-C284-4646-A2B3-3F1E950BFCEF}" name="4568" dataDxfId="12042"/>
    <tableColumn id="4349" xr3:uid="{28BFB5AF-4B69-4F87-9CA6-4A9AC42F47CB}" name="4569" dataDxfId="12041"/>
    <tableColumn id="4350" xr3:uid="{186044C2-64FC-45A1-B881-BD9DBA10912F}" name="4570" dataDxfId="12040"/>
    <tableColumn id="4351" xr3:uid="{BC13BD2A-5B46-44AD-93E0-D9AEAEF61DE9}" name="4571" dataDxfId="12039"/>
    <tableColumn id="4352" xr3:uid="{CC605B65-56B5-440B-9229-9BF1BF045EDF}" name="4572" dataDxfId="12038"/>
    <tableColumn id="4353" xr3:uid="{575CAB36-7B48-4CD7-8D44-B8558E06339C}" name="4573" dataDxfId="12037"/>
    <tableColumn id="4354" xr3:uid="{EB3F6EF6-6D61-44BA-9D3C-787EE7622081}" name="4574" dataDxfId="12036"/>
    <tableColumn id="4355" xr3:uid="{FF26C13A-CCA4-4F81-9ACB-9531BC356E63}" name="4575" dataDxfId="12035"/>
    <tableColumn id="4356" xr3:uid="{21B4102E-EE00-4D90-A54C-1CD37D4BBC02}" name="4576" dataDxfId="12034"/>
    <tableColumn id="4357" xr3:uid="{550C77F3-FE59-4C75-8414-EFA1B174E0D0}" name="4577" dataDxfId="12033"/>
    <tableColumn id="4358" xr3:uid="{080E6F11-BFDF-42D0-A756-AE43879EDB77}" name="4578" dataDxfId="12032"/>
    <tableColumn id="4359" xr3:uid="{9EAFA6AA-F61E-4A29-93DA-124BC42200FF}" name="4579" dataDxfId="12031"/>
    <tableColumn id="4360" xr3:uid="{8117AC4C-5728-48C0-9785-C4A569FD15D1}" name="4580" dataDxfId="12030"/>
    <tableColumn id="4361" xr3:uid="{DB6D709B-6BA7-4E30-B3AE-7FD7720562D3}" name="4581" dataDxfId="12029"/>
    <tableColumn id="4362" xr3:uid="{2F27CB33-4A6A-4AD3-9AD2-8509646E5172}" name="4582" dataDxfId="12028"/>
    <tableColumn id="4363" xr3:uid="{28F5703E-772E-40E6-B1B4-2B8C45597802}" name="4583" dataDxfId="12027"/>
    <tableColumn id="4364" xr3:uid="{A76EAE73-57A6-4130-96B7-9EEAA59C8885}" name="4584" dataDxfId="12026"/>
    <tableColumn id="4365" xr3:uid="{1B5041CB-CE85-4541-ADE6-7C245961BE02}" name="4585" dataDxfId="12025"/>
    <tableColumn id="4366" xr3:uid="{5641A2A5-DD6B-40E6-A1C6-6D6F189FA957}" name="4586" dataDxfId="12024"/>
    <tableColumn id="4367" xr3:uid="{FD1DB72D-23BB-45D1-B5D4-25E67352C398}" name="4587" dataDxfId="12023"/>
    <tableColumn id="4368" xr3:uid="{C2E20576-B1C3-486A-A896-E8DD1007B983}" name="4588" dataDxfId="12022"/>
    <tableColumn id="4369" xr3:uid="{B409667A-9485-4B74-9661-6C60E4F370CF}" name="4589" dataDxfId="12021"/>
    <tableColumn id="4370" xr3:uid="{C3E5C4E0-F25E-40A1-81EF-B9E410B65004}" name="4590" dataDxfId="12020"/>
    <tableColumn id="4371" xr3:uid="{2A4E6885-DCE8-435F-BEC0-FDB38AFF2761}" name="4591" dataDxfId="12019"/>
    <tableColumn id="4372" xr3:uid="{1C6A417D-FD2B-4C46-ACA8-183869084864}" name="4592" dataDxfId="12018"/>
    <tableColumn id="4373" xr3:uid="{D0E4D267-61DA-4AF9-B419-13310EA6F47E}" name="4593" dataDxfId="12017"/>
    <tableColumn id="4374" xr3:uid="{A73745D9-B923-4C9A-A270-8915EB3ACA39}" name="4594" dataDxfId="12016"/>
    <tableColumn id="4375" xr3:uid="{1D9DA930-5179-4D0C-BEA7-E2BF486F1B7D}" name="4595" dataDxfId="12015"/>
    <tableColumn id="4376" xr3:uid="{BB5916A1-66CE-4F6A-83A5-67D5EEE8CF40}" name="4596" dataDxfId="12014"/>
    <tableColumn id="4377" xr3:uid="{E92E59FF-1053-4421-803A-AF5FAA7E5BFC}" name="4597" dataDxfId="12013"/>
    <tableColumn id="4378" xr3:uid="{22814B2A-9B74-40BB-8C5D-C23A329E41C8}" name="4598" dataDxfId="12012"/>
    <tableColumn id="4379" xr3:uid="{648636BF-64DB-4C0E-9ABF-BDF1A1A72627}" name="4599" dataDxfId="12011"/>
    <tableColumn id="4380" xr3:uid="{1E43E388-9BE5-4755-AE5E-E0BBBB8BE9BB}" name="4600" dataDxfId="12010"/>
    <tableColumn id="4381" xr3:uid="{64DD0553-54BB-444A-978D-A9522D7E4425}" name="4601" dataDxfId="12009"/>
    <tableColumn id="4382" xr3:uid="{6D01E771-67C8-48ED-8FBB-5878609C157A}" name="4602" dataDxfId="12008"/>
    <tableColumn id="4383" xr3:uid="{40C76938-2BC6-435A-9471-E27A1F55E0B1}" name="4603" dataDxfId="12007"/>
    <tableColumn id="4384" xr3:uid="{36ACB4C5-78F0-4718-B2EE-7E4A78007A41}" name="4604" dataDxfId="12006"/>
    <tableColumn id="4385" xr3:uid="{437D5367-CEDA-48B5-BF92-44C48A951508}" name="4605" dataDxfId="12005"/>
    <tableColumn id="4386" xr3:uid="{8AE253E7-6BDA-4A4D-AC5D-BD6AF01FA221}" name="4606" dataDxfId="12004"/>
    <tableColumn id="4387" xr3:uid="{25127732-B4F7-4D9D-AAA8-1181FFB8A608}" name="4607" dataDxfId="12003"/>
    <tableColumn id="4388" xr3:uid="{4F5FAE94-9548-4B90-B450-F9D97254A9EB}" name="4608" dataDxfId="12002"/>
    <tableColumn id="4389" xr3:uid="{DD5E42B4-EF1D-49D6-B5ED-D4093C993603}" name="4609" dataDxfId="12001"/>
    <tableColumn id="4390" xr3:uid="{08DD5ECD-ED2A-488A-AE90-3E0C9F0D6955}" name="4610" dataDxfId="12000"/>
    <tableColumn id="4391" xr3:uid="{4A362084-C772-49DE-94EC-CF25A0148339}" name="4611" dataDxfId="11999"/>
    <tableColumn id="4392" xr3:uid="{221DCAD4-E003-4B2A-89B8-2032AA699FF8}" name="4612" dataDxfId="11998"/>
    <tableColumn id="4393" xr3:uid="{9B41534D-8751-4CE1-92B0-E54E8F751F9C}" name="4613" dataDxfId="11997"/>
    <tableColumn id="4394" xr3:uid="{2BB5D4A4-F90D-4907-A2EA-FBF443B6B502}" name="4614" dataDxfId="11996"/>
    <tableColumn id="4395" xr3:uid="{1D48DC6A-EAC3-40F1-AB5A-4EC142F368D4}" name="4615" dataDxfId="11995"/>
    <tableColumn id="4396" xr3:uid="{6D17A6B8-2B32-47C5-AF2C-96CF1CDCC292}" name="4616" dataDxfId="11994"/>
    <tableColumn id="4397" xr3:uid="{8D2A3C31-726E-4E89-9E38-5587508DD450}" name="4617" dataDxfId="11993"/>
    <tableColumn id="4398" xr3:uid="{A9C5286A-CE3E-4090-9C10-7E959AA86105}" name="4618" dataDxfId="11992"/>
    <tableColumn id="4399" xr3:uid="{979FFD2D-9DC9-4E24-B175-18E7A506000B}" name="4619" dataDxfId="11991"/>
    <tableColumn id="4400" xr3:uid="{8DC677A9-CD04-4F7E-9479-4585D2CE3D86}" name="4620" dataDxfId="11990"/>
    <tableColumn id="4401" xr3:uid="{ECA64180-88DC-4A77-AD96-F9FB842766B0}" name="4621" dataDxfId="11989"/>
    <tableColumn id="4402" xr3:uid="{8E4AB2A0-9C2B-4495-B439-8EB35FF5FEB5}" name="4622" dataDxfId="11988"/>
    <tableColumn id="4403" xr3:uid="{67DDDF5E-486C-45BC-AA89-3943DF05EB35}" name="4623" dataDxfId="11987"/>
    <tableColumn id="4404" xr3:uid="{B4724618-D20B-454E-BBB0-39C1FA4F4479}" name="4624" dataDxfId="11986"/>
    <tableColumn id="4405" xr3:uid="{6593F431-1AA3-4684-96B9-BAF2A0F973E5}" name="4625" dataDxfId="11985"/>
    <tableColumn id="4406" xr3:uid="{B1C27725-9A60-498B-8B3A-95C508E58660}" name="4626" dataDxfId="11984"/>
    <tableColumn id="4407" xr3:uid="{9BAD756A-1E7B-4279-A761-684F31942CB2}" name="4627" dataDxfId="11983"/>
    <tableColumn id="4408" xr3:uid="{93700A22-7E20-40BD-BB1B-2F0E4EC08F97}" name="4628" dataDxfId="11982"/>
    <tableColumn id="4409" xr3:uid="{8A9FF522-6EC6-446E-BC6A-C2094074F569}" name="4629" dataDxfId="11981"/>
    <tableColumn id="4410" xr3:uid="{E4D9D397-3C57-42E6-95E5-DDF7DD47C212}" name="4630" dataDxfId="11980"/>
    <tableColumn id="4411" xr3:uid="{C0F12BBC-4EF5-4327-87DA-6128EB93A5DE}" name="4631" dataDxfId="11979"/>
    <tableColumn id="4412" xr3:uid="{68824043-1350-49EA-8162-FEDE7C848850}" name="4632" dataDxfId="11978"/>
    <tableColumn id="4413" xr3:uid="{3DECAB7F-6975-4BAB-8CDA-F8834112EC2D}" name="4633" dataDxfId="11977"/>
    <tableColumn id="4414" xr3:uid="{0DFFE120-D21F-4CAA-99E2-33A5196AF8C0}" name="4634" dataDxfId="11976"/>
    <tableColumn id="4415" xr3:uid="{205BD681-9543-4F99-8DEC-989E9EBB059F}" name="4635" dataDxfId="11975"/>
    <tableColumn id="4416" xr3:uid="{0578F90D-CABE-431D-891F-4F531FC30752}" name="4636" dataDxfId="11974"/>
    <tableColumn id="4417" xr3:uid="{3A428923-1F41-425E-848B-0FA6A7CDA016}" name="4637" dataDxfId="11973"/>
    <tableColumn id="4418" xr3:uid="{C2B3A842-B45A-4606-80E7-78580F25F594}" name="4638" dataDxfId="11972"/>
    <tableColumn id="4419" xr3:uid="{6B956C86-936A-4F8E-8DAC-3018FF7EA10E}" name="4639" dataDxfId="11971"/>
    <tableColumn id="4420" xr3:uid="{E3E948EC-1C7E-4394-B849-DEE7403A093B}" name="4640" dataDxfId="11970"/>
    <tableColumn id="4421" xr3:uid="{F7ECC1ED-5FC2-45C4-ABC7-4743A1FEE5C6}" name="4641" dataDxfId="11969"/>
    <tableColumn id="4422" xr3:uid="{38E2736C-B9BA-40FF-9D69-7EA5482A3483}" name="4642" dataDxfId="11968"/>
    <tableColumn id="4423" xr3:uid="{DAB920E8-A5A1-4152-B6EF-D03DD81C30EF}" name="4643" dataDxfId="11967"/>
    <tableColumn id="4424" xr3:uid="{3CE14029-11E1-45C2-B21B-4583833C0BA1}" name="4644" dataDxfId="11966"/>
    <tableColumn id="4425" xr3:uid="{42B89237-8D90-441E-B40D-77E814294379}" name="4645" dataDxfId="11965"/>
    <tableColumn id="4426" xr3:uid="{7217D151-214C-48EB-B083-94E7F756BFBB}" name="4646" dataDxfId="11964"/>
    <tableColumn id="4427" xr3:uid="{7F019FBC-F489-4886-9D9F-B5E9AF36619F}" name="4647" dataDxfId="11963"/>
    <tableColumn id="4428" xr3:uid="{9B908436-477E-4585-9465-DB9E3586DCD4}" name="4648" dataDxfId="11962"/>
    <tableColumn id="4429" xr3:uid="{4B19B3DE-6643-4535-8F5E-FD25E11D0091}" name="4649" dataDxfId="11961"/>
    <tableColumn id="4430" xr3:uid="{875D645A-9D4D-4058-9606-17B0F2EF1309}" name="4650" dataDxfId="11960"/>
    <tableColumn id="4431" xr3:uid="{6AC7553E-6787-4604-80C1-67E3067B5361}" name="4651" dataDxfId="11959"/>
    <tableColumn id="4432" xr3:uid="{4FD7C917-32B9-46F1-AF7B-F5664E4254D7}" name="4652" dataDxfId="11958"/>
    <tableColumn id="4433" xr3:uid="{54E2FE50-E0B6-405A-8FC9-8D43996C3754}" name="4653" dataDxfId="11957"/>
    <tableColumn id="4434" xr3:uid="{5D694009-1968-4D61-8A3A-52C9CB71F1C7}" name="4654" dataDxfId="11956"/>
    <tableColumn id="4435" xr3:uid="{F8D6DEC1-C81C-4584-95AC-A846DF1BDACB}" name="4655" dataDxfId="11955"/>
    <tableColumn id="4436" xr3:uid="{5EAD2CAD-45CC-46B9-BBB1-8438ABCDFEA9}" name="4656" dataDxfId="11954"/>
    <tableColumn id="4437" xr3:uid="{B91F447F-9A5E-40B7-833F-C43E4AF27B38}" name="4657" dataDxfId="11953"/>
    <tableColumn id="4438" xr3:uid="{BB190430-6084-4F43-A3D3-0C0A611F8D28}" name="4658" dataDxfId="11952"/>
    <tableColumn id="4439" xr3:uid="{CF27E811-4112-400F-9AE9-CBD96CCFA6FD}" name="4659" dataDxfId="11951"/>
    <tableColumn id="4440" xr3:uid="{AA7B995B-B94C-46F8-BF3D-919BA51F7C05}" name="4660" dataDxfId="11950"/>
    <tableColumn id="4441" xr3:uid="{CFC5B0DA-7D1D-4991-8D5B-96ACCDDD3E4A}" name="4661" dataDxfId="11949"/>
    <tableColumn id="4442" xr3:uid="{DCDED4C7-360B-4C7C-A154-B5569032F691}" name="4662" dataDxfId="11948"/>
    <tableColumn id="4443" xr3:uid="{AE7163D2-2C43-4BAE-8110-5AEB96608DB1}" name="4663" dataDxfId="11947"/>
    <tableColumn id="4444" xr3:uid="{FB4C199C-2BB4-44DF-B131-8521B2395781}" name="4664" dataDxfId="11946"/>
    <tableColumn id="4445" xr3:uid="{62562850-306A-4BB9-AFB8-E8D73E1060D4}" name="4665" dataDxfId="11945"/>
    <tableColumn id="4446" xr3:uid="{29BE2E51-1CE1-4D10-A174-3597313E735B}" name="4666" dataDxfId="11944"/>
    <tableColumn id="4447" xr3:uid="{C23885CE-9A59-4F06-A91B-A4B1AED312B7}" name="4667" dataDxfId="11943"/>
    <tableColumn id="4448" xr3:uid="{405010D0-433B-481A-BAE3-7EE3567FEBFF}" name="4668" dataDxfId="11942"/>
    <tableColumn id="4449" xr3:uid="{DD3C8A8E-7216-481C-B502-D934A80A3076}" name="4669" dataDxfId="11941"/>
    <tableColumn id="4450" xr3:uid="{1D040556-7F25-4597-A1CC-D9DD0931997A}" name="4670" dataDxfId="11940"/>
    <tableColumn id="4451" xr3:uid="{82CF7025-C26A-4747-8838-32F397CD1F12}" name="4671" dataDxfId="11939"/>
    <tableColumn id="4452" xr3:uid="{D1EB9697-C6A9-4205-B79E-2C9543BB637B}" name="4672" dataDxfId="11938"/>
    <tableColumn id="4453" xr3:uid="{C008BE13-02D1-4C28-AB09-20F33D68F6F2}" name="4673" dataDxfId="11937"/>
    <tableColumn id="4454" xr3:uid="{C889CCCF-4C5D-4B87-BDAB-CC371612BB1C}" name="4674" dataDxfId="11936"/>
    <tableColumn id="4455" xr3:uid="{12E3C324-4DDD-469E-AD3D-312D3C838000}" name="4675" dataDxfId="11935"/>
    <tableColumn id="4456" xr3:uid="{D647D4DB-E336-4B1D-B4A5-9DD0C565148C}" name="4676" dataDxfId="11934"/>
    <tableColumn id="4457" xr3:uid="{FD5ACF42-7BA2-466D-9B6C-F845D0DC3FE4}" name="4677" dataDxfId="11933"/>
    <tableColumn id="4458" xr3:uid="{FD1427E5-2D92-44D0-AE57-F378EE3C4B47}" name="4678" dataDxfId="11932"/>
    <tableColumn id="4459" xr3:uid="{330594CF-769B-43E6-95AB-99E3AEC5940E}" name="4679" dataDxfId="11931"/>
    <tableColumn id="4460" xr3:uid="{BB51101D-8D7B-4E93-9142-E84848C55F14}" name="4680" dataDxfId="11930"/>
    <tableColumn id="4461" xr3:uid="{4BC010D8-5403-4608-9963-058088081717}" name="4681" dataDxfId="11929"/>
    <tableColumn id="4462" xr3:uid="{353E7021-885F-42C6-903A-D03DA97F808A}" name="4682" dataDxfId="11928"/>
    <tableColumn id="4463" xr3:uid="{9AA9F54F-3AF0-47CA-9EC9-686F5D031CDC}" name="4683" dataDxfId="11927"/>
    <tableColumn id="4464" xr3:uid="{18D14375-F0A0-4DC0-B600-DDDA3AF7B9B9}" name="4684" dataDxfId="11926"/>
    <tableColumn id="4465" xr3:uid="{9F257807-9B2A-4EED-8DB4-64D64EDEB76D}" name="4685" dataDxfId="11925"/>
    <tableColumn id="4466" xr3:uid="{FEA2681E-F23E-48A0-90B4-E91CA5A670AE}" name="4686" dataDxfId="11924"/>
    <tableColumn id="4467" xr3:uid="{25D1C817-E568-4F47-960F-7B3DC26CE09D}" name="4687" dataDxfId="11923"/>
    <tableColumn id="4468" xr3:uid="{C8CE3411-AF86-4EE9-8FAD-9876BAB6B843}" name="4688" dataDxfId="11922"/>
    <tableColumn id="4469" xr3:uid="{3F6FB809-8055-4A68-B432-63B5D48A9F8E}" name="4689" dataDxfId="11921"/>
    <tableColumn id="4470" xr3:uid="{A37F7182-6800-45DA-80E4-BD49B230D4B2}" name="4690" dataDxfId="11920"/>
    <tableColumn id="4471" xr3:uid="{374EF549-FB48-4422-AC99-F8F4E7615591}" name="4691" dataDxfId="11919"/>
    <tableColumn id="4472" xr3:uid="{D73279BB-1214-43CD-A00E-CB67B16321FD}" name="4692" dataDxfId="11918"/>
    <tableColumn id="4473" xr3:uid="{7566D33E-9FC0-4362-BF87-0C5AAA13B645}" name="4693" dataDxfId="11917"/>
    <tableColumn id="4474" xr3:uid="{939AF3C2-EB6C-4F90-A67E-64C3175643BC}" name="4694" dataDxfId="11916"/>
    <tableColumn id="4475" xr3:uid="{98974466-8BC5-4BA0-BA1A-9D6EA4C09EE1}" name="4695" dataDxfId="11915"/>
    <tableColumn id="4476" xr3:uid="{B0E5AA57-9BE0-4821-9214-408BB1A73809}" name="4696" dataDxfId="11914"/>
    <tableColumn id="4477" xr3:uid="{07C060A3-4197-44EF-96C5-D88DA56305EE}" name="4697" dataDxfId="11913"/>
    <tableColumn id="4478" xr3:uid="{31AD12AD-0213-40A5-8F5D-51AD1AEC6F23}" name="4698" dataDxfId="11912"/>
    <tableColumn id="4479" xr3:uid="{00A05B1E-EF13-4B81-914A-8EB251DAD7FB}" name="4699" dataDxfId="11911"/>
    <tableColumn id="4480" xr3:uid="{77A057DC-7DB4-4935-B19B-52C5674BFD07}" name="4700" dataDxfId="11910"/>
    <tableColumn id="4481" xr3:uid="{86619148-66AF-4CBE-9BCD-5C75229DF0A0}" name="4701" dataDxfId="11909"/>
    <tableColumn id="4482" xr3:uid="{A7AB5C56-F8C7-440B-8A35-225D0FCB9765}" name="4702" dataDxfId="11908"/>
    <tableColumn id="4483" xr3:uid="{FE0BF71B-FC6A-4B71-A7FA-2DC09D273A07}" name="4703" dataDxfId="11907"/>
    <tableColumn id="4484" xr3:uid="{A4500442-8F43-4C29-9B39-DAF4313AE37B}" name="4704" dataDxfId="11906"/>
    <tableColumn id="4485" xr3:uid="{06E68047-5343-4768-82B6-94CFF932E8EB}" name="4705" dataDxfId="11905"/>
    <tableColumn id="4486" xr3:uid="{2DAEDA71-C0EC-490A-9CA9-255F2563E56E}" name="4706" dataDxfId="11904"/>
    <tableColumn id="4487" xr3:uid="{F3B1D9DF-03BA-48AE-B48C-FFB502813935}" name="4707" dataDxfId="11903"/>
    <tableColumn id="4488" xr3:uid="{6C0E2993-BF78-4A4A-A8CF-030BA1095F7C}" name="4708" dataDxfId="11902"/>
    <tableColumn id="4489" xr3:uid="{2797F8EE-FEA8-4D41-8E70-68CAAE1C3692}" name="4709" dataDxfId="11901"/>
    <tableColumn id="4490" xr3:uid="{28AF7280-5306-4CFC-9672-F8DB668283E8}" name="4710" dataDxfId="11900"/>
    <tableColumn id="4491" xr3:uid="{5E251309-2E9F-45FD-AB34-0042C3518A9E}" name="4711" dataDxfId="11899"/>
    <tableColumn id="4492" xr3:uid="{97FCB8C2-4764-48E6-8A31-133D0E8F6512}" name="4712" dataDxfId="11898"/>
    <tableColumn id="4493" xr3:uid="{584EC530-C75E-473C-891F-594A2CC391A4}" name="4713" dataDxfId="11897"/>
    <tableColumn id="4494" xr3:uid="{E40499EF-3BD6-4E58-BCBA-C9D67B2752C1}" name="4714" dataDxfId="11896"/>
    <tableColumn id="4495" xr3:uid="{1FE2F879-1FDF-4495-9CC1-4D589F006CA7}" name="4715" dataDxfId="11895"/>
    <tableColumn id="4496" xr3:uid="{F47EAE8D-A4BC-4C77-B7C6-F6DBD50CFC86}" name="4716" dataDxfId="11894"/>
    <tableColumn id="4497" xr3:uid="{0B55D1C2-12DD-463A-857F-C404B5AD0A4C}" name="4717" dataDxfId="11893"/>
    <tableColumn id="4498" xr3:uid="{19772232-7751-44DB-AC80-759A98FE3C5D}" name="4718" dataDxfId="11892"/>
    <tableColumn id="4499" xr3:uid="{DF159263-6108-4EAF-AC82-C0E1E584AEA4}" name="4719" dataDxfId="11891"/>
    <tableColumn id="4500" xr3:uid="{678D49D7-492C-4F13-B322-5C07BD500014}" name="4720" dataDxfId="11890"/>
    <tableColumn id="4501" xr3:uid="{873F94D1-F969-4F29-A38C-320EFFAF8552}" name="4721" dataDxfId="11889"/>
    <tableColumn id="4502" xr3:uid="{AE11B1B5-469E-4950-90EB-9DD0AD11C758}" name="4722" dataDxfId="11888"/>
    <tableColumn id="4503" xr3:uid="{F4C47FE7-BDE8-4AE2-98B4-0E87DC22A270}" name="4723" dataDxfId="11887"/>
    <tableColumn id="4504" xr3:uid="{0A582A96-FD20-4776-A0FC-63456D2409B3}" name="4724" dataDxfId="11886"/>
    <tableColumn id="4505" xr3:uid="{0361E82E-2340-441D-99D5-3A70DA2D1B97}" name="4725" dataDxfId="11885"/>
    <tableColumn id="4506" xr3:uid="{B18B7550-937F-4BED-9022-8B7409D65DE4}" name="4726" dataDxfId="11884"/>
    <tableColumn id="4507" xr3:uid="{6E50955E-293A-43ED-8CE4-654BEBCB4115}" name="4727" dataDxfId="11883"/>
    <tableColumn id="4508" xr3:uid="{EAB2631B-72FA-4FC5-B758-5526F2F371FA}" name="4728" dataDxfId="11882"/>
    <tableColumn id="4509" xr3:uid="{1F38A085-C35B-48FE-8E2E-43BA23DA4188}" name="4729" dataDxfId="11881"/>
    <tableColumn id="4510" xr3:uid="{1246F7C9-ED2B-49D2-85EE-33CA625318C2}" name="4730" dataDxfId="11880"/>
    <tableColumn id="4511" xr3:uid="{61297606-E379-4D6F-9B2B-1D55E92D64C5}" name="4731" dataDxfId="11879"/>
    <tableColumn id="4512" xr3:uid="{9A85D6DA-356F-47EA-B1D2-1E78000F0EA9}" name="4732" dataDxfId="11878"/>
    <tableColumn id="4513" xr3:uid="{56F5ADD1-7F7C-4545-8020-9E28D6E98CED}" name="4733" dataDxfId="11877"/>
    <tableColumn id="4514" xr3:uid="{1BE00C7A-D9D7-4D51-80AB-CC4AC6F55938}" name="4734" dataDxfId="11876"/>
    <tableColumn id="4515" xr3:uid="{59B5AB08-BD58-41F4-A3B0-62CEB0D37741}" name="4735" dataDxfId="11875"/>
    <tableColumn id="4516" xr3:uid="{E80BE335-FCDA-4E27-B27B-AC6DAC14CD5A}" name="4736" dataDxfId="11874"/>
    <tableColumn id="4517" xr3:uid="{EED08E1A-4AD8-45E4-ABBB-DD8D2CCD6A01}" name="4737" dataDxfId="11873"/>
    <tableColumn id="4518" xr3:uid="{387C7837-16BD-4D52-A81A-92AAF08AB72C}" name="4738" dataDxfId="11872"/>
    <tableColumn id="4519" xr3:uid="{1FAF8F81-F50C-4709-9B2E-6B9BF63718BD}" name="4739" dataDxfId="11871"/>
    <tableColumn id="4520" xr3:uid="{661987BC-11F4-4563-B4BD-0FF81B73AF73}" name="4740" dataDxfId="11870"/>
    <tableColumn id="4521" xr3:uid="{A1F1930B-5D42-4346-9F63-5B182ABC806E}" name="4741" dataDxfId="11869"/>
    <tableColumn id="4522" xr3:uid="{4377D962-03B7-4A5C-A58F-FCE56BC89DBF}" name="4742" dataDxfId="11868"/>
    <tableColumn id="4523" xr3:uid="{63A1D2CA-B854-4AB7-95C2-60668DD89126}" name="4743" dataDxfId="11867"/>
    <tableColumn id="4524" xr3:uid="{76983DAD-EF0D-431A-BBF1-8ABE902458C6}" name="4744" dataDxfId="11866"/>
    <tableColumn id="4525" xr3:uid="{6D823167-A60E-4847-9AB2-3CA1A38FD053}" name="4745" dataDxfId="11865"/>
    <tableColumn id="4526" xr3:uid="{63F1B64E-1CE0-4BFC-A153-16DD0584373C}" name="4746" dataDxfId="11864"/>
    <tableColumn id="4527" xr3:uid="{0FEAD39B-962D-41F4-BF7E-5826BD296B6A}" name="4747" dataDxfId="11863"/>
    <tableColumn id="4528" xr3:uid="{36595ED6-2926-4A8C-A60F-72FC4FF12405}" name="4748" dataDxfId="11862"/>
    <tableColumn id="4529" xr3:uid="{5A1888AA-1175-4037-9D12-472DC759AC57}" name="4749" dataDxfId="11861"/>
    <tableColumn id="4530" xr3:uid="{C6449658-0987-45C7-97E9-83F398BAEA8A}" name="4750" dataDxfId="11860"/>
    <tableColumn id="4531" xr3:uid="{20C9EB5B-DD53-4C15-8B75-BB37AF7922C3}" name="4751" dataDxfId="11859"/>
    <tableColumn id="4532" xr3:uid="{33CDCBF7-A868-43D6-B7BD-6D193718602B}" name="4752" dataDxfId="11858"/>
    <tableColumn id="4533" xr3:uid="{BB08E37E-571B-415D-9AE2-BB19155E14CA}" name="4753" dataDxfId="11857"/>
    <tableColumn id="4534" xr3:uid="{E4A244B2-9683-46A2-ABCE-926A4C1EDAD3}" name="4754" dataDxfId="11856"/>
    <tableColumn id="4535" xr3:uid="{03D15312-53EE-4F47-AB76-E0E556B1F07B}" name="4755" dataDxfId="11855"/>
    <tableColumn id="4536" xr3:uid="{20CED202-9F90-412D-8986-D300FDAE40EF}" name="4756" dataDxfId="11854"/>
    <tableColumn id="4537" xr3:uid="{002613AE-7C62-46A6-A8BF-5B96292C21E4}" name="4757" dataDxfId="11853"/>
    <tableColumn id="4538" xr3:uid="{F995A2BE-ADDF-4B04-80FC-98A88611F549}" name="4758" dataDxfId="11852"/>
    <tableColumn id="4539" xr3:uid="{41B7CECF-A99F-44B6-9BAC-DC586E3A6A33}" name="4759" dataDxfId="11851"/>
    <tableColumn id="4540" xr3:uid="{7410B06E-5E97-48B2-87F6-DB537BD80B83}" name="4760" dataDxfId="11850"/>
    <tableColumn id="4541" xr3:uid="{7DA1E2A5-219C-490C-AFDA-0DC538426A48}" name="4761" dataDxfId="11849"/>
    <tableColumn id="4542" xr3:uid="{7DBBEF66-3D75-4509-A474-13034650C22E}" name="4762" dataDxfId="11848"/>
    <tableColumn id="4543" xr3:uid="{A1132242-8B28-479E-89AC-347D49D304F2}" name="4763" dataDxfId="11847"/>
    <tableColumn id="4544" xr3:uid="{767A572A-7B24-4EF5-8A3E-C3C1D8F47EA6}" name="4764" dataDxfId="11846"/>
    <tableColumn id="4545" xr3:uid="{E26291DA-E270-4AEA-8AD0-55EBEFAF543A}" name="4765" dataDxfId="11845"/>
    <tableColumn id="4546" xr3:uid="{BB4FB989-D0C6-40A3-8791-E00FB4692BDF}" name="4766" dataDxfId="11844"/>
    <tableColumn id="4547" xr3:uid="{EB3ABF61-25D0-469E-848E-4B0AD454FC09}" name="4767" dataDxfId="11843"/>
    <tableColumn id="4548" xr3:uid="{FB111C4C-E74A-41B5-BE96-72E31669B92E}" name="4768" dataDxfId="11842"/>
    <tableColumn id="4549" xr3:uid="{43EF573D-E55A-4F82-9276-463707028ABD}" name="4769" dataDxfId="11841"/>
    <tableColumn id="4550" xr3:uid="{35BA84B8-25CB-4482-9CC4-AA490CCDBF90}" name="4770" dataDxfId="11840"/>
    <tableColumn id="4551" xr3:uid="{F47E8843-5ED5-449D-A620-8C2E40671B6D}" name="4771" dataDxfId="11839"/>
    <tableColumn id="4552" xr3:uid="{6EBC6151-1621-467C-AFA7-7ACCFCB0E832}" name="4772" dataDxfId="11838"/>
    <tableColumn id="4553" xr3:uid="{DE541D3F-C08B-4615-AC39-8F03254796AB}" name="4773" dataDxfId="11837"/>
    <tableColumn id="4554" xr3:uid="{B654FD15-87C7-4266-9871-8CF2B0FE0CE0}" name="4774" dataDxfId="11836"/>
    <tableColumn id="4555" xr3:uid="{89DE3F12-DAE2-4B59-91A1-D4A6D018D1C4}" name="4775" dataDxfId="11835"/>
    <tableColumn id="4556" xr3:uid="{F172D6D0-6326-4D23-AABE-90659F41034E}" name="4776" dataDxfId="11834"/>
    <tableColumn id="4557" xr3:uid="{A7D8E5F7-4ABB-4BFA-A631-2729D60B4354}" name="4777" dataDxfId="11833"/>
    <tableColumn id="4558" xr3:uid="{EF541D22-9531-47C5-B1BF-92BD3AADF3A4}" name="4778" dataDxfId="11832"/>
    <tableColumn id="4559" xr3:uid="{D8A3C666-F48D-4414-B1B6-22CD24448D02}" name="4779" dataDxfId="11831"/>
    <tableColumn id="4560" xr3:uid="{A32C2B91-5A7D-4EE5-A616-11A0316CBA3C}" name="4780" dataDxfId="11830"/>
    <tableColumn id="4561" xr3:uid="{1FA8DFE9-FF2B-4E9A-B27B-932BD414DEA3}" name="4781" dataDxfId="11829"/>
    <tableColumn id="4562" xr3:uid="{3ED5CB0A-ED0C-46D9-9369-2002344D93AF}" name="4782" dataDxfId="11828"/>
    <tableColumn id="4563" xr3:uid="{4C6FF443-0565-4A27-BC84-4B8873855940}" name="4783" dataDxfId="11827"/>
    <tableColumn id="4564" xr3:uid="{C3DA3AB5-72DD-4F03-8BDF-7EB48D9B6B89}" name="4784" dataDxfId="11826"/>
    <tableColumn id="4565" xr3:uid="{8BF94ED3-0BD5-47C5-B58B-6EDB31EF2353}" name="4785" dataDxfId="11825"/>
    <tableColumn id="4566" xr3:uid="{29CF1477-C0A1-4DA7-A473-EE8A100122D7}" name="4786" dataDxfId="11824"/>
    <tableColumn id="4567" xr3:uid="{CEF12523-4D6D-484E-830D-EF3D408318F7}" name="4787" dataDxfId="11823"/>
    <tableColumn id="4568" xr3:uid="{78A557BB-923C-4D23-96F1-CA6545DAF3EC}" name="4788" dataDxfId="11822"/>
    <tableColumn id="4569" xr3:uid="{3044A2AA-535A-4034-B8C3-2CF28A3A0060}" name="4789" dataDxfId="11821"/>
    <tableColumn id="4570" xr3:uid="{125CD83B-A77C-47F8-B2F2-1D700E0A6178}" name="4790" dataDxfId="11820"/>
    <tableColumn id="4571" xr3:uid="{9C0BCA8A-DBE9-4B05-B2E8-3C4E1BDBC5A4}" name="4791" dataDxfId="11819"/>
    <tableColumn id="4572" xr3:uid="{CA07575F-5E2C-448C-9D13-3611C09AE21A}" name="4792" dataDxfId="11818"/>
    <tableColumn id="4573" xr3:uid="{37D4A0CA-C7BA-47EA-945F-32232309D8F0}" name="4793" dataDxfId="11817"/>
    <tableColumn id="4574" xr3:uid="{DA046E5A-FD78-4282-8B8A-655F9E396D88}" name="4794" dataDxfId="11816"/>
    <tableColumn id="4575" xr3:uid="{13AA7C63-163E-4456-8512-F709F66EE9CB}" name="4795" dataDxfId="11815"/>
    <tableColumn id="4576" xr3:uid="{6FA19C81-25D0-4453-869B-441DB73B4DAB}" name="4796" dataDxfId="11814"/>
    <tableColumn id="4577" xr3:uid="{6B88D574-B963-4CFC-9396-55672DC278ED}" name="4797" dataDxfId="11813"/>
    <tableColumn id="4578" xr3:uid="{1C32781C-7E72-422F-A061-CB67588EFC23}" name="4798" dataDxfId="11812"/>
    <tableColumn id="4579" xr3:uid="{675ED9C5-E5E5-4847-8E8B-A99C93C28B58}" name="4799" dataDxfId="11811"/>
    <tableColumn id="4580" xr3:uid="{49DB7BFA-CEA8-4B41-B6E0-9C60C5F99BA1}" name="4800" dataDxfId="11810"/>
    <tableColumn id="4581" xr3:uid="{1E73D1D2-B62C-4F23-8F4C-4D298E76863E}" name="4801" dataDxfId="11809"/>
    <tableColumn id="4582" xr3:uid="{B50B7554-C256-4331-ABE3-A2B909DCA760}" name="4802" dataDxfId="11808"/>
    <tableColumn id="4583" xr3:uid="{7B6B722D-0C35-4D50-A25C-44410128C96A}" name="4803" dataDxfId="11807"/>
    <tableColumn id="4584" xr3:uid="{1C2AF20D-F1EA-4FEB-91D0-6533EFE0C516}" name="4804" dataDxfId="11806"/>
    <tableColumn id="4585" xr3:uid="{12862F29-7A77-4D4C-B24B-0435875B3A68}" name="4805" dataDxfId="11805"/>
    <tableColumn id="4586" xr3:uid="{2DA483CC-EC1E-46C2-8287-D94DF6EF3855}" name="4806" dataDxfId="11804"/>
    <tableColumn id="4587" xr3:uid="{CAC1AE77-82EA-48C5-A664-FD155B968CDD}" name="4807" dataDxfId="11803"/>
    <tableColumn id="4588" xr3:uid="{C4D9280B-0284-4C16-85C7-7A8897167601}" name="4808" dataDxfId="11802"/>
    <tableColumn id="4589" xr3:uid="{1A9E2A25-F493-4122-8FA0-D973DC1C4068}" name="4809" dataDxfId="11801"/>
    <tableColumn id="4590" xr3:uid="{4E5B1C07-7A51-4B99-BE17-99781BE895FB}" name="4810" dataDxfId="11800"/>
    <tableColumn id="4591" xr3:uid="{D7E0A1C5-4FDE-4C1A-9A66-884C0826A1F6}" name="4811" dataDxfId="11799"/>
    <tableColumn id="4592" xr3:uid="{F3BD7E1E-DA3A-4BC7-A7A7-CCAEA9EB1161}" name="4812" dataDxfId="11798"/>
    <tableColumn id="4593" xr3:uid="{EC6F0C38-67E0-4978-9D96-5987D0339900}" name="4813" dataDxfId="11797"/>
    <tableColumn id="4594" xr3:uid="{1864B1E1-7FB0-4114-8BBF-03F1F778377C}" name="4814" dataDxfId="11796"/>
    <tableColumn id="4595" xr3:uid="{A63AC2C7-E152-43EC-9440-BC14C4A44537}" name="4815" dataDxfId="11795"/>
    <tableColumn id="4596" xr3:uid="{154FDB09-E22A-483D-A8D9-B7A08D1728DF}" name="4816" dataDxfId="11794"/>
    <tableColumn id="4597" xr3:uid="{9E579EFB-4792-4F34-91D3-E1FAF1E49CAC}" name="4817" dataDxfId="11793"/>
    <tableColumn id="4598" xr3:uid="{D5741BA2-6F8E-4750-AF9C-9326E2C0B6C6}" name="4818" dataDxfId="11792"/>
    <tableColumn id="4599" xr3:uid="{DABA6814-E9E0-40B8-9B62-BE48D0EAC2C3}" name="4819" dataDxfId="11791"/>
    <tableColumn id="4600" xr3:uid="{92BDAABA-F9AF-4CB1-B667-8000CB290E31}" name="4820" dataDxfId="11790"/>
    <tableColumn id="4601" xr3:uid="{69822B1B-08CD-4398-BF18-4FA5FE2EC6D8}" name="4821" dataDxfId="11789"/>
    <tableColumn id="4602" xr3:uid="{D139E8B2-7BAA-48E5-8E0E-05A82B6F0EAB}" name="4822" dataDxfId="11788"/>
    <tableColumn id="4603" xr3:uid="{87C50FFE-363D-4945-9D81-770235C7B22F}" name="4823" dataDxfId="11787"/>
    <tableColumn id="4604" xr3:uid="{70EE994E-1CE4-4387-997A-630065DF0919}" name="4824" dataDxfId="11786"/>
    <tableColumn id="4605" xr3:uid="{9E5975B9-DB87-47C7-B1FA-FB90EB4BEF90}" name="4825" dataDxfId="11785"/>
    <tableColumn id="4606" xr3:uid="{3812603D-1977-4091-8493-6C6A6457F919}" name="4826" dataDxfId="11784"/>
    <tableColumn id="4607" xr3:uid="{B6E18248-9127-469B-802D-8A4AEDD0B685}" name="4827" dataDxfId="11783"/>
    <tableColumn id="4608" xr3:uid="{6366429B-4793-4BB1-B5CB-000DAE6C0302}" name="4828" dataDxfId="11782"/>
    <tableColumn id="4609" xr3:uid="{DE3177DA-90A4-424A-9BB6-80A4C3F2FAE8}" name="4829" dataDxfId="11781"/>
    <tableColumn id="4610" xr3:uid="{953A2845-9CDD-4607-A56A-4C2FCD512205}" name="4830" dataDxfId="11780"/>
    <tableColumn id="4611" xr3:uid="{FA09D131-7E5C-4BBE-9BCC-3C4A219C0D02}" name="4831" dataDxfId="11779"/>
    <tableColumn id="4612" xr3:uid="{D9BB5785-F9D7-454E-BFE1-31BDAB4A2251}" name="4832" dataDxfId="11778"/>
    <tableColumn id="4613" xr3:uid="{9EDE9DFB-F0F3-45FE-A66B-72BF7B79BFC4}" name="4833" dataDxfId="11777"/>
    <tableColumn id="4614" xr3:uid="{9F2F345A-814F-4DA5-B1BE-30C3E80974B9}" name="4834" dataDxfId="11776"/>
    <tableColumn id="4615" xr3:uid="{115CCCFC-1B67-429D-BD63-97056BD33744}" name="4835" dataDxfId="11775"/>
    <tableColumn id="4616" xr3:uid="{EE0B2197-1B67-4509-AE01-11F6A4B6CB6A}" name="4836" dataDxfId="11774"/>
    <tableColumn id="4617" xr3:uid="{4DB409E9-AAD9-4CA5-A555-3D040226209C}" name="4837" dataDxfId="11773"/>
    <tableColumn id="4618" xr3:uid="{8E6E5519-EE1E-4040-9F3D-592C17FB9BE8}" name="4838" dataDxfId="11772"/>
    <tableColumn id="4619" xr3:uid="{9DBCFC7B-AA08-44B3-87A7-B4871DC4AC1E}" name="4839" dataDxfId="11771"/>
    <tableColumn id="4620" xr3:uid="{C0958BE7-F897-48D7-806D-16ED98C6C41E}" name="4840" dataDxfId="11770"/>
    <tableColumn id="4621" xr3:uid="{8D22D568-5841-4297-8D49-04D591974C7C}" name="4841" dataDxfId="11769"/>
    <tableColumn id="4622" xr3:uid="{387E14FD-BDFC-4460-9160-7079BEF9821B}" name="4842" dataDxfId="11768"/>
    <tableColumn id="4623" xr3:uid="{375AE4C8-EE3C-4ED9-848B-3E646D3D5DA1}" name="4843" dataDxfId="11767"/>
    <tableColumn id="4624" xr3:uid="{2B099FFB-C06A-4A01-917B-900809B5F361}" name="4844" dataDxfId="11766"/>
    <tableColumn id="4625" xr3:uid="{A2D57B31-B871-43A6-B675-250F6E7215E4}" name="4845" dataDxfId="11765"/>
    <tableColumn id="4626" xr3:uid="{0D90C5A5-1BE5-4174-83F9-E5C38DAE55FE}" name="4846" dataDxfId="11764"/>
    <tableColumn id="4627" xr3:uid="{CFBEBE1E-02CA-48F8-A92F-5D8C543CB3ED}" name="4847" dataDxfId="11763"/>
    <tableColumn id="4628" xr3:uid="{CF2F1C3D-7BC2-4DD4-BBB9-8A79D3890537}" name="4848" dataDxfId="11762"/>
    <tableColumn id="4629" xr3:uid="{97F162B6-85E1-48A3-A9DB-FF4C1D237C3E}" name="4849" dataDxfId="11761"/>
    <tableColumn id="4630" xr3:uid="{B1917331-0003-4C5D-B034-308108B9D8C9}" name="4850" dataDxfId="11760"/>
    <tableColumn id="4631" xr3:uid="{E1726D5E-8268-4073-8A1B-20BC6AF3E9D9}" name="4851" dataDxfId="11759"/>
    <tableColumn id="4632" xr3:uid="{4E7EA047-0E17-44A1-BFFE-07E6C28D9398}" name="4852" dataDxfId="11758"/>
    <tableColumn id="4633" xr3:uid="{CEE55F13-147D-4117-9FB2-E18341CEF38A}" name="4853" dataDxfId="11757"/>
    <tableColumn id="4634" xr3:uid="{B38D65E4-889B-4386-AA73-A44E47AFFF4A}" name="4854" dataDxfId="11756"/>
    <tableColumn id="4635" xr3:uid="{78136F59-E74A-481B-A159-611E70F506E4}" name="4855" dataDxfId="11755"/>
    <tableColumn id="4636" xr3:uid="{8E1DD7DA-F52A-4317-8B85-61A5A09C526B}" name="4856" dataDxfId="11754"/>
    <tableColumn id="4637" xr3:uid="{4C4EA2BA-06E2-4629-B5BD-30ECD134E241}" name="4857" dataDxfId="11753"/>
    <tableColumn id="4638" xr3:uid="{E72B2B80-BD72-435B-8432-8AE2BD2A77BC}" name="4858" dataDxfId="11752"/>
    <tableColumn id="4639" xr3:uid="{C3EA0DEE-06FF-4B6F-A7C6-F6E35E3FC0BF}" name="4859" dataDxfId="11751"/>
    <tableColumn id="4640" xr3:uid="{30661461-5D13-4307-B369-0B3F9919186D}" name="4860" dataDxfId="11750"/>
    <tableColumn id="4641" xr3:uid="{EB57D41F-92ED-4E2B-B89A-8DF879A245BA}" name="4861" dataDxfId="11749"/>
    <tableColumn id="4642" xr3:uid="{47766794-5923-4E1E-91F4-7E1DCF573708}" name="4862" dataDxfId="11748"/>
    <tableColumn id="4643" xr3:uid="{542E5223-79F9-48AB-8CFD-788F1017E8C4}" name="4863" dataDxfId="11747"/>
    <tableColumn id="4644" xr3:uid="{59FD1145-AA30-4099-96D6-C1C0F9059FB1}" name="4864" dataDxfId="11746"/>
    <tableColumn id="4645" xr3:uid="{C88EE6E7-0A3E-4EE1-8B8A-3C9C8086D66E}" name="4865" dataDxfId="11745"/>
    <tableColumn id="4646" xr3:uid="{F9E82E50-EFF0-4B90-A4C5-8354C815A78B}" name="4866" dataDxfId="11744"/>
    <tableColumn id="4647" xr3:uid="{A6770942-E56C-44B2-9DD5-A7F56FC72B5C}" name="4867" dataDxfId="11743"/>
    <tableColumn id="4648" xr3:uid="{B32B21B9-BBE1-4FB3-A63B-8226BD5D5302}" name="4868" dataDxfId="11742"/>
    <tableColumn id="4649" xr3:uid="{25C5FCCD-014E-40C1-8ED0-3E3861E6EB42}" name="4869" dataDxfId="11741"/>
    <tableColumn id="4650" xr3:uid="{8D327C50-E226-4E79-86EB-575A22121901}" name="4870" dataDxfId="11740"/>
    <tableColumn id="4651" xr3:uid="{B15A433E-396D-4D85-9951-E8556E439031}" name="4871" dataDxfId="11739"/>
    <tableColumn id="4652" xr3:uid="{1561E3DA-0A9A-494A-B863-BF1859A0284C}" name="4872" dataDxfId="11738"/>
    <tableColumn id="4653" xr3:uid="{2CAC31D8-A7D6-467B-AC9E-D47B6D00C071}" name="4873" dataDxfId="11737"/>
    <tableColumn id="4654" xr3:uid="{BA6B0015-BFE3-41E1-98A2-FCE632D4D650}" name="4874" dataDxfId="11736"/>
    <tableColumn id="4655" xr3:uid="{1CE41FDA-D567-4A5B-A305-D59EA4F423DE}" name="4875" dataDxfId="11735"/>
    <tableColumn id="4656" xr3:uid="{24C5EA84-8BD6-4C6F-AB81-3B1305696551}" name="4876" dataDxfId="11734"/>
    <tableColumn id="4657" xr3:uid="{5B86685A-7B4D-489B-8570-043FBA408A91}" name="4877" dataDxfId="11733"/>
    <tableColumn id="4658" xr3:uid="{D44EBBA4-149B-46D1-BFD1-A8CC66B5B015}" name="4878" dataDxfId="11732"/>
    <tableColumn id="4659" xr3:uid="{36884676-E159-4672-9239-8BFB0D7D1406}" name="4879" dataDxfId="11731"/>
    <tableColumn id="4660" xr3:uid="{D9906253-BBD2-4C3A-B487-0281D94CC7FC}" name="4880" dataDxfId="11730"/>
    <tableColumn id="4661" xr3:uid="{0B358EEC-3DE8-445C-98BC-4E50A1C3C240}" name="4881" dataDxfId="11729"/>
    <tableColumn id="4662" xr3:uid="{C5E82BDB-AE7E-43A6-97DA-A9C6D22BB837}" name="4882" dataDxfId="11728"/>
    <tableColumn id="4663" xr3:uid="{F40EA343-97D2-4220-8E04-7178A2D02165}" name="4883" dataDxfId="11727"/>
    <tableColumn id="4664" xr3:uid="{1D305BF1-9EA4-4C1C-9412-76D6B0B444D5}" name="4884" dataDxfId="11726"/>
    <tableColumn id="4665" xr3:uid="{DFE029DE-12AA-4FA7-B94B-A20FC1675C2A}" name="4885" dataDxfId="11725"/>
    <tableColumn id="4666" xr3:uid="{BCBE0E05-1D82-4AF7-BAC7-4F165A8927AC}" name="4886" dataDxfId="11724"/>
    <tableColumn id="4667" xr3:uid="{F8C10D85-CD70-40BD-8363-8E77A56E3D7F}" name="4887" dataDxfId="11723"/>
    <tableColumn id="4668" xr3:uid="{FE7240DC-F899-4766-9C4D-879948BAFAFA}" name="4888" dataDxfId="11722"/>
    <tableColumn id="4669" xr3:uid="{3561A30C-A767-4C9F-82B4-7ED4CBA8B175}" name="4889" dataDxfId="11721"/>
    <tableColumn id="4670" xr3:uid="{A0EE8481-8BF8-497A-A007-5732669FD3C4}" name="4890" dataDxfId="11720"/>
    <tableColumn id="4671" xr3:uid="{2F3036BE-73DE-492E-82A0-37E2E4B98832}" name="4891" dataDxfId="11719"/>
    <tableColumn id="4672" xr3:uid="{430C3AFC-8915-47BE-AF6F-24C6201D3343}" name="4892" dataDxfId="11718"/>
    <tableColumn id="4673" xr3:uid="{83C92898-C3E6-4779-929C-3EF6A9C6E22B}" name="4893" dataDxfId="11717"/>
    <tableColumn id="4674" xr3:uid="{E21F0BA3-4D7E-493A-A233-F6B9526B0F5C}" name="4894" dataDxfId="11716"/>
    <tableColumn id="4675" xr3:uid="{A84FFD50-7B04-4250-95A5-684069DDCDE2}" name="4895" dataDxfId="11715"/>
    <tableColumn id="4676" xr3:uid="{6A3AB7A1-B45B-40D4-BEAA-A78A9CF89C23}" name="4896" dataDxfId="11714"/>
    <tableColumn id="4677" xr3:uid="{85CCE589-F22E-4CB9-BE82-897DD438CD30}" name="4897" dataDxfId="11713"/>
    <tableColumn id="4678" xr3:uid="{61A070BA-2C9B-43A8-8B32-8BF51B8B5E67}" name="4898" dataDxfId="11712"/>
    <tableColumn id="4679" xr3:uid="{68C89938-B925-4724-9FA2-0B07E8BD2985}" name="4899" dataDxfId="11711"/>
    <tableColumn id="4680" xr3:uid="{7247649E-8E8E-496D-9A6D-E9DDC45911A2}" name="4900" dataDxfId="11710"/>
    <tableColumn id="4681" xr3:uid="{33050B96-CCD7-48A3-8857-969505026BB0}" name="4901" dataDxfId="11709"/>
    <tableColumn id="4682" xr3:uid="{57BAF36A-BDA4-4038-A0A6-7BEAC8EB4156}" name="4902" dataDxfId="11708"/>
    <tableColumn id="4683" xr3:uid="{2AE3DD76-DD1C-40C8-A3CD-EF30C2CC9539}" name="4903" dataDxfId="11707"/>
    <tableColumn id="4684" xr3:uid="{A415ABBD-A7D2-496C-9FCD-8EA8DD6B262F}" name="4904" dataDxfId="11706"/>
    <tableColumn id="4685" xr3:uid="{6F1FDDE6-B2A8-468D-ACE5-EEAA8AEBC070}" name="4905" dataDxfId="11705"/>
    <tableColumn id="4686" xr3:uid="{167CDD32-CD21-405C-8488-E483182E8D0B}" name="4906" dataDxfId="11704"/>
    <tableColumn id="4687" xr3:uid="{FEC3C745-9C42-4936-A8EF-06D4DD91FC2B}" name="4907" dataDxfId="11703"/>
    <tableColumn id="4688" xr3:uid="{4CA14A1E-38A6-48F1-B632-380DA42CD954}" name="4908" dataDxfId="11702"/>
    <tableColumn id="4689" xr3:uid="{412CBA38-E6AB-464E-84F2-CA01AE4BA989}" name="4909" dataDxfId="11701"/>
    <tableColumn id="4690" xr3:uid="{A9039073-B3F6-42B7-BD9E-02C4C33F6402}" name="4910" dataDxfId="11700"/>
    <tableColumn id="4691" xr3:uid="{4F88B1A5-3E04-48D8-A89A-3480FA6D37B2}" name="4911" dataDxfId="11699"/>
    <tableColumn id="4692" xr3:uid="{06581BDA-58D2-4209-B2B0-B263F913497A}" name="4912" dataDxfId="11698"/>
    <tableColumn id="4693" xr3:uid="{FE64D53C-16EE-41FF-9110-B52D3107D2CC}" name="4913" dataDxfId="11697"/>
    <tableColumn id="4694" xr3:uid="{BA858063-84F9-4B79-98EF-A27EA99AF76C}" name="4914" dataDxfId="11696"/>
    <tableColumn id="4695" xr3:uid="{A512D4B9-449C-4D4D-B980-C06A74D2F2CC}" name="4915" dataDxfId="11695"/>
    <tableColumn id="4696" xr3:uid="{452A396D-4605-4497-B5A4-8487391878B6}" name="4916" dataDxfId="11694"/>
    <tableColumn id="4697" xr3:uid="{E560C026-1F6D-4DEA-A5B0-0A72A17F8EBF}" name="4917" dataDxfId="11693"/>
    <tableColumn id="4698" xr3:uid="{15887128-3766-44FE-8680-EFE0101D13E8}" name="4918" dataDxfId="11692"/>
    <tableColumn id="4699" xr3:uid="{14AE703D-5046-4DB5-8C51-5C4BF3944793}" name="4919" dataDxfId="11691"/>
    <tableColumn id="4700" xr3:uid="{38D01DED-FFA2-4260-8461-6511069A8789}" name="4920" dataDxfId="11690"/>
    <tableColumn id="4701" xr3:uid="{15C50ECE-21BA-4E46-954A-99AB2083C225}" name="4921" dataDxfId="11689"/>
    <tableColumn id="4702" xr3:uid="{13F240A2-AE59-4B9C-AD01-21C015753467}" name="4922" dataDxfId="11688"/>
    <tableColumn id="4703" xr3:uid="{7A72B779-0128-48D8-9F96-5F95A56D7175}" name="4923" dataDxfId="11687"/>
    <tableColumn id="4704" xr3:uid="{DA06826E-D689-4235-8127-532C65C13A54}" name="4924" dataDxfId="11686"/>
    <tableColumn id="4705" xr3:uid="{E23B7EFA-6C68-4396-802A-4935660DF51F}" name="4925" dataDxfId="11685"/>
    <tableColumn id="4706" xr3:uid="{11591449-C38D-43F8-9A13-B41DCA59F000}" name="4926" dataDxfId="11684"/>
    <tableColumn id="4707" xr3:uid="{31002F82-C48F-4115-A94D-4AF1B1543F29}" name="4927" dataDxfId="11683"/>
    <tableColumn id="4708" xr3:uid="{D77D5EE7-0DAE-4DC7-ACDB-93737C45720D}" name="4928" dataDxfId="11682"/>
    <tableColumn id="4709" xr3:uid="{A337BAE3-3D89-49EC-861D-5ECD750E1CAF}" name="4929" dataDxfId="11681"/>
    <tableColumn id="4710" xr3:uid="{AB27FDDA-7C53-479D-81D2-21991747F1E3}" name="4930" dataDxfId="11680"/>
    <tableColumn id="4711" xr3:uid="{4EB2376D-E122-4B42-BAD0-B335DCB7C17A}" name="4931" dataDxfId="11679"/>
    <tableColumn id="4712" xr3:uid="{7CCB186E-B0EE-452B-B842-E197E21F310E}" name="4932" dataDxfId="11678"/>
    <tableColumn id="4713" xr3:uid="{289CACB6-1D4E-4A32-B307-AC4A865CAFDC}" name="4933" dataDxfId="11677"/>
    <tableColumn id="4714" xr3:uid="{A51CB188-CA26-4F4A-9B1D-5F35453A89FD}" name="4934" dataDxfId="11676"/>
    <tableColumn id="4715" xr3:uid="{673A9934-9732-4EFA-B137-36C76D2A9116}" name="4935" dataDxfId="11675"/>
    <tableColumn id="4716" xr3:uid="{BD04733A-4521-40D1-A8B6-1B36DD17D1CE}" name="4936" dataDxfId="11674"/>
    <tableColumn id="4717" xr3:uid="{090CA75D-F208-4553-9B1A-5DAD16B100B4}" name="4937" dataDxfId="11673"/>
    <tableColumn id="4718" xr3:uid="{ADF20575-268E-480E-93E3-C231F4D9D4A3}" name="4938" dataDxfId="11672"/>
    <tableColumn id="4719" xr3:uid="{35FAA846-862E-4782-B7CA-4483F1E54117}" name="4939" dataDxfId="11671"/>
    <tableColumn id="4720" xr3:uid="{13F32284-64C3-417D-87CE-B040B5258CDD}" name="4940" dataDxfId="11670"/>
    <tableColumn id="4721" xr3:uid="{A0B80FD6-1251-4BE0-8AB0-F99CB37ABCE8}" name="4941" dataDxfId="11669"/>
    <tableColumn id="4722" xr3:uid="{C6D1FF6A-50A2-45C3-B1ED-0E69ADD072C9}" name="4942" dataDxfId="11668"/>
    <tableColumn id="4723" xr3:uid="{296C8EDF-8361-4AE1-8F90-2686EDE3C131}" name="4943" dataDxfId="11667"/>
    <tableColumn id="4724" xr3:uid="{4E2DBCCB-05BA-4AE1-90C6-72D24A35E8B6}" name="4944" dataDxfId="11666"/>
    <tableColumn id="4725" xr3:uid="{2BB12A84-97F2-423B-AC9E-9DA19B0B208F}" name="4945" dataDxfId="11665"/>
    <tableColumn id="4726" xr3:uid="{0F4631C7-ACFC-4516-AADA-16FF142F312B}" name="4946" dataDxfId="11664"/>
    <tableColumn id="4727" xr3:uid="{D8FCB2FD-BB4C-477A-920E-844177E6FB44}" name="4947" dataDxfId="11663"/>
    <tableColumn id="4728" xr3:uid="{3579856A-2E63-4384-B1CA-98F0ECFE7FD4}" name="4948" dataDxfId="11662"/>
    <tableColumn id="4729" xr3:uid="{5D0365ED-E4DE-446C-93ED-D17C4EFAA1FD}" name="4949" dataDxfId="11661"/>
    <tableColumn id="4730" xr3:uid="{95EE4F97-0603-474A-A9F5-83FCCDB329F0}" name="4950" dataDxfId="11660"/>
    <tableColumn id="4731" xr3:uid="{E9BEFDC8-020D-4342-B2AF-488F905D8310}" name="4951" dataDxfId="11659"/>
    <tableColumn id="4732" xr3:uid="{56076C58-D440-4A52-A56F-A30C00FE1FB1}" name="4952" dataDxfId="11658"/>
    <tableColumn id="4733" xr3:uid="{AA2C25DA-49DB-4C09-97E5-27001F98E927}" name="4953" dataDxfId="11657"/>
    <tableColumn id="4734" xr3:uid="{6CA363E4-4F48-4C24-91BE-3AC2ED33BA67}" name="4954" dataDxfId="11656"/>
    <tableColumn id="4735" xr3:uid="{AE1CDB7C-BD2A-4F07-B44E-374A7C07C2D0}" name="4955" dataDxfId="11655"/>
    <tableColumn id="4736" xr3:uid="{609FD10E-869D-4EA7-AF77-4194909652B3}" name="4956" dataDxfId="11654"/>
    <tableColumn id="4737" xr3:uid="{EC22556B-170B-4EBB-A770-97B5C319EB70}" name="4957" dataDxfId="11653"/>
    <tableColumn id="4738" xr3:uid="{7BFF7DA8-CD8A-4071-8EFF-733449EDD1F5}" name="4958" dataDxfId="11652"/>
    <tableColumn id="4739" xr3:uid="{7361EABF-F9DF-458E-A3D5-D64FDF992217}" name="4959" dataDxfId="11651"/>
    <tableColumn id="4740" xr3:uid="{1EB591E9-B378-498F-A932-1D4ED9AEBF8C}" name="4960" dataDxfId="11650"/>
    <tableColumn id="4741" xr3:uid="{9005323B-352A-4FA5-ADD9-690D8B8E21FD}" name="4961" dataDxfId="11649"/>
    <tableColumn id="4742" xr3:uid="{3E9B44ED-E849-40B5-B4C6-AF6C4C3C91B9}" name="4962" dataDxfId="11648"/>
    <tableColumn id="4743" xr3:uid="{E7F433DC-6851-4FD1-A5A0-F06C43A7B440}" name="4963" dataDxfId="11647"/>
    <tableColumn id="4744" xr3:uid="{EF0A6853-6778-4D92-882C-663CE1391AF6}" name="4964" dataDxfId="11646"/>
    <tableColumn id="4745" xr3:uid="{5B03A11D-4AAD-4B35-BF9C-B2DAFD672CAF}" name="4965" dataDxfId="11645"/>
    <tableColumn id="4746" xr3:uid="{3AA80EE8-1EB9-4648-AD1F-C83D182CE408}" name="4966" dataDxfId="11644"/>
    <tableColumn id="4747" xr3:uid="{CB6DEDCA-850C-410A-B614-8F16628F9EBC}" name="4967" dataDxfId="11643"/>
    <tableColumn id="4748" xr3:uid="{B26DA991-0D9C-4CE6-B26A-C9F6AB9F56E3}" name="4968" dataDxfId="11642"/>
    <tableColumn id="4749" xr3:uid="{A72D43B2-4D25-43B5-83B8-6F91FD1AE7B3}" name="4969" dataDxfId="11641"/>
    <tableColumn id="4750" xr3:uid="{525073A8-2D8E-4840-AE06-0FA54332A8AA}" name="4970" dataDxfId="11640"/>
    <tableColumn id="4751" xr3:uid="{45295A2C-A4D0-4AD9-B05D-904C172C5044}" name="4971" dataDxfId="11639"/>
    <tableColumn id="4752" xr3:uid="{BE062A2E-D00F-49FC-8B5E-9C7959F0973A}" name="4972" dataDxfId="11638"/>
    <tableColumn id="4753" xr3:uid="{E9BC16A6-9337-44DE-AF79-D10956551FD0}" name="4973" dataDxfId="11637"/>
    <tableColumn id="4754" xr3:uid="{328A1D05-58F5-48F2-83D1-1F3A66BCA2EE}" name="4974" dataDxfId="11636"/>
    <tableColumn id="4755" xr3:uid="{78E78E33-5944-400E-9663-5E04C0CA3EE1}" name="4975" dataDxfId="11635"/>
    <tableColumn id="4756" xr3:uid="{4D316CA5-FBA8-4B04-9F56-479D983CCBFF}" name="4976" dataDxfId="11634"/>
    <tableColumn id="4757" xr3:uid="{CA7E9AED-4FD5-4A07-ACA7-DB4A98A3E2AA}" name="4977" dataDxfId="11633"/>
    <tableColumn id="4758" xr3:uid="{85CB393D-732B-4F39-B27A-49D59E37B09D}" name="4978" dataDxfId="11632"/>
    <tableColumn id="4759" xr3:uid="{C2E41FAC-4E2D-4A30-8259-68BCB8D0B277}" name="4979" dataDxfId="11631"/>
    <tableColumn id="4760" xr3:uid="{2D28A6D2-CF8F-4B50-8270-9A0DE617E11A}" name="4980" dataDxfId="11630"/>
    <tableColumn id="4761" xr3:uid="{402199EC-BAAB-4560-A8D8-0EAFF64BA32F}" name="4981" dataDxfId="11629"/>
    <tableColumn id="4762" xr3:uid="{1BFB6A7D-5CDE-4A14-A8B5-1099D91B6A82}" name="4982" dataDxfId="11628"/>
    <tableColumn id="4763" xr3:uid="{31B0CD0A-E4AF-47B0-879B-DB6A09623463}" name="4983" dataDxfId="11627"/>
    <tableColumn id="4764" xr3:uid="{EC73265B-BD0E-4A4F-865D-D0346536428F}" name="4984" dataDxfId="11626"/>
    <tableColumn id="4765" xr3:uid="{61428FC6-2612-4682-8C68-85B9FE564E43}" name="4985" dataDxfId="11625"/>
    <tableColumn id="4766" xr3:uid="{305FBC94-DF0D-4B71-A323-41E62BB7F630}" name="4986" dataDxfId="11624"/>
    <tableColumn id="4767" xr3:uid="{DE48B7F3-C612-4BB5-B27C-107960222173}" name="4987" dataDxfId="11623"/>
    <tableColumn id="4768" xr3:uid="{4D1098C8-68EF-4486-8395-821EEBB5A5CF}" name="4988" dataDxfId="11622"/>
    <tableColumn id="4769" xr3:uid="{B8F394F4-15A8-4DC3-8814-A226B99EF427}" name="4989" dataDxfId="11621"/>
    <tableColumn id="4770" xr3:uid="{7CC999FF-A281-499E-B972-C94729FDD261}" name="4990" dataDxfId="11620"/>
    <tableColumn id="4771" xr3:uid="{ECB1D0E1-7C14-462B-89B6-F62034F32C51}" name="4991" dataDxfId="11619"/>
    <tableColumn id="4772" xr3:uid="{F06E554F-4D03-426B-A8D3-CC96E52C414A}" name="4992" dataDxfId="11618"/>
    <tableColumn id="4773" xr3:uid="{DE62985A-6E65-4065-AEE7-13DB5E6EFF11}" name="4993" dataDxfId="11617"/>
    <tableColumn id="4774" xr3:uid="{E6F86AB7-9455-4F3D-88F8-5254A23C1877}" name="4994" dataDxfId="11616"/>
    <tableColumn id="4775" xr3:uid="{2855B448-D179-4BDE-889E-F639FCF10B91}" name="4995" dataDxfId="11615"/>
    <tableColumn id="4776" xr3:uid="{733B66B0-3AD0-467C-BB87-E50D5028F7A4}" name="4996" dataDxfId="11614"/>
    <tableColumn id="4777" xr3:uid="{3B370348-9C49-45EB-9B1E-9C4D59B0A017}" name="4997" dataDxfId="11613"/>
    <tableColumn id="4778" xr3:uid="{4E7F4501-35B3-4F2A-8A02-0EDFCA4BD055}" name="4998" dataDxfId="11612"/>
    <tableColumn id="4779" xr3:uid="{6E770457-7304-4944-B6C3-A2F54CFDF923}" name="4999" dataDxfId="11611"/>
    <tableColumn id="4780" xr3:uid="{619A41C4-FC7A-49E2-A737-A602612BD7FE}" name="5000" dataDxfId="11610"/>
    <tableColumn id="4781" xr3:uid="{D131176D-3899-4787-BC41-EA358FDD5DC9}" name="5001" dataDxfId="11609"/>
    <tableColumn id="4782" xr3:uid="{925ED865-5F5E-4A0D-9FA8-09DC6B0E6C2E}" name="5002" dataDxfId="11608"/>
    <tableColumn id="4783" xr3:uid="{4A1931E6-4B29-4117-B979-3B61A93F9FE8}" name="5003" dataDxfId="11607"/>
    <tableColumn id="4784" xr3:uid="{2267F026-A892-499A-A1D6-80E825FFB78D}" name="5004" dataDxfId="11606"/>
    <tableColumn id="4785" xr3:uid="{E329FED4-70BD-477F-957F-D50A1EEA8369}" name="5005" dataDxfId="11605"/>
    <tableColumn id="4786" xr3:uid="{BA033E72-229A-40D8-95FF-1D6321762245}" name="5006" dataDxfId="11604"/>
    <tableColumn id="4787" xr3:uid="{1B63FEAB-C9F0-4780-8912-A5C72D6EA1FB}" name="5007" dataDxfId="11603"/>
    <tableColumn id="4788" xr3:uid="{28CB474C-930D-4BED-B9B8-F86A6078A87A}" name="5008" dataDxfId="11602"/>
    <tableColumn id="4789" xr3:uid="{AEECA620-C9BF-491B-9855-1325E5A3250D}" name="5009" dataDxfId="11601"/>
    <tableColumn id="4790" xr3:uid="{47C6C24D-45BE-4A41-9AFF-6995A2D3D590}" name="5010" dataDxfId="11600"/>
    <tableColumn id="4791" xr3:uid="{B98545A0-7B93-4B90-A56D-9CB26A647CB7}" name="5011" dataDxfId="11599"/>
    <tableColumn id="4792" xr3:uid="{A597E3A3-62CA-427E-9659-CEEDD463C917}" name="5012" dataDxfId="11598"/>
    <tableColumn id="4793" xr3:uid="{BFE5F31F-6484-4472-807A-DB4A43D4B711}" name="5013" dataDxfId="11597"/>
    <tableColumn id="4794" xr3:uid="{C78C0FB0-84D4-4741-B137-EDA817802A72}" name="5014" dataDxfId="11596"/>
    <tableColumn id="4795" xr3:uid="{77076633-4629-4529-A599-370C5F625973}" name="5015" dataDxfId="11595"/>
    <tableColumn id="4796" xr3:uid="{122469D0-D020-4B38-8BDD-B6E78D351458}" name="5016" dataDxfId="11594"/>
    <tableColumn id="4797" xr3:uid="{105426E9-6957-4713-98B4-07F9E82A9DEC}" name="5017" dataDxfId="11593"/>
    <tableColumn id="4798" xr3:uid="{0257C906-8BBE-4C8A-AB7B-A63188B4E917}" name="5018" dataDxfId="11592"/>
    <tableColumn id="4799" xr3:uid="{AEC0723D-8CF2-4306-AD15-F350780FB72D}" name="5019" dataDxfId="11591"/>
    <tableColumn id="4800" xr3:uid="{403C491D-6642-48CC-A635-9A48127690EC}" name="5020" dataDxfId="11590"/>
    <tableColumn id="4801" xr3:uid="{4E42E96A-EE75-4204-84C1-C9BB14B32F83}" name="5021" dataDxfId="11589"/>
    <tableColumn id="4802" xr3:uid="{8AA39B01-0AA5-40BA-B797-0BBC4FF779DF}" name="5022" dataDxfId="11588"/>
    <tableColumn id="4803" xr3:uid="{1187CE23-A076-4FA0-B5DA-59182909EFB7}" name="5023" dataDxfId="11587"/>
    <tableColumn id="4804" xr3:uid="{E5A2B904-B69F-4CE0-A49C-8228F5206A3F}" name="5024" dataDxfId="11586"/>
    <tableColumn id="4805" xr3:uid="{FCF16BE0-0AF2-46F9-8C7D-123FBC3CA87F}" name="5025" dataDxfId="11585"/>
    <tableColumn id="4806" xr3:uid="{733FB2EF-B1A3-47CE-9E53-A136B5569AAF}" name="5026" dataDxfId="11584"/>
    <tableColumn id="4807" xr3:uid="{55966FCC-58DB-420B-BD18-F13BF50BC71B}" name="5027" dataDxfId="11583"/>
    <tableColumn id="4808" xr3:uid="{4A230DC0-3E5A-46DA-AC65-284832F8F5B4}" name="5028" dataDxfId="11582"/>
    <tableColumn id="4809" xr3:uid="{22181335-22CE-400D-9839-9700BDC60AF7}" name="5029" dataDxfId="11581"/>
    <tableColumn id="4810" xr3:uid="{C18E84F3-8DDD-4F4E-BA1E-844AFA738A17}" name="5030" dataDxfId="11580"/>
    <tableColumn id="4811" xr3:uid="{9651D529-67AD-4F22-96D0-431614096527}" name="5031" dataDxfId="11579"/>
    <tableColumn id="4812" xr3:uid="{062AAA72-47A7-4E50-A61D-96189F1E5BDF}" name="5032" dataDxfId="11578"/>
    <tableColumn id="4813" xr3:uid="{56EDCD22-A11F-422B-8EE3-ADE61BA84C22}" name="5033" dataDxfId="11577"/>
    <tableColumn id="4814" xr3:uid="{01D67120-141F-4D0C-8074-FB20238B05E7}" name="5034" dataDxfId="11576"/>
    <tableColumn id="4815" xr3:uid="{367ACA4C-782B-4847-AED4-D302417C8051}" name="5035" dataDxfId="11575"/>
    <tableColumn id="4816" xr3:uid="{A28EED11-2B86-45F4-AB13-F1F686BC1ACE}" name="5036" dataDxfId="11574"/>
    <tableColumn id="4817" xr3:uid="{B0A59375-7400-4D5C-B121-1F8F8150A2A6}" name="5037" dataDxfId="11573"/>
    <tableColumn id="4818" xr3:uid="{A2E75D3D-2B37-41B5-9EBD-49E00FFC80CB}" name="5038" dataDxfId="11572"/>
    <tableColumn id="4819" xr3:uid="{E4B8971A-EDB7-4CFC-985C-FDC6CC3DDB11}" name="5039" dataDxfId="11571"/>
    <tableColumn id="4820" xr3:uid="{22789992-E581-4E7F-B906-645F94D0D7EA}" name="5040" dataDxfId="11570"/>
    <tableColumn id="4821" xr3:uid="{A9AE0EDA-FC1B-4948-AFA0-74E658F22B6D}" name="5041" dataDxfId="11569"/>
    <tableColumn id="4822" xr3:uid="{CFED9CB0-D674-4B37-BB91-BE770E0550EB}" name="5042" dataDxfId="11568"/>
    <tableColumn id="4823" xr3:uid="{359763F3-D9D9-4F9F-A386-DD7C3C628680}" name="5043" dataDxfId="11567"/>
    <tableColumn id="4824" xr3:uid="{A3FE830E-75D4-44E2-8C7E-15C11522BBA2}" name="5044" dataDxfId="11566"/>
    <tableColumn id="4825" xr3:uid="{D140A637-DC83-472A-B7D8-1FABB3C9496C}" name="5045" dataDxfId="11565"/>
    <tableColumn id="4826" xr3:uid="{EB21C930-3FA3-4BCF-862E-C14630CBC4A8}" name="5046" dataDxfId="11564"/>
    <tableColumn id="4827" xr3:uid="{987BB12D-C923-4514-8242-CD60EA4F7CD2}" name="5047" dataDxfId="11563"/>
    <tableColumn id="4828" xr3:uid="{32D72D24-E935-4391-A85A-770DECF86409}" name="5048" dataDxfId="11562"/>
    <tableColumn id="4829" xr3:uid="{1B2E9DC6-9960-4742-9F6E-F5F849E14AD2}" name="5049" dataDxfId="11561"/>
    <tableColumn id="4830" xr3:uid="{FACABD2A-13F7-42DD-B8CD-EEF664F8E120}" name="5050" dataDxfId="11560"/>
    <tableColumn id="4831" xr3:uid="{8B753834-3704-4486-88A2-45E46EE6779C}" name="5051" dataDxfId="11559"/>
    <tableColumn id="4832" xr3:uid="{B047B662-84C8-485B-970F-FF43B98C5427}" name="5052" dataDxfId="11558"/>
    <tableColumn id="4833" xr3:uid="{1709A9A7-9FF6-4E8A-839D-533465DF7454}" name="5053" dataDxfId="11557"/>
    <tableColumn id="4834" xr3:uid="{A6B43C99-F61C-45BD-967C-446B115E24DA}" name="5054" dataDxfId="11556"/>
    <tableColumn id="4835" xr3:uid="{FE54733E-87E3-4551-904A-363B3F8A697F}" name="5055" dataDxfId="11555"/>
    <tableColumn id="4836" xr3:uid="{25288EFD-0308-45E7-AB1A-831F38B676C1}" name="5056" dataDxfId="11554"/>
    <tableColumn id="4837" xr3:uid="{F60ED3F3-8975-47C1-B602-D2ADD5A0C740}" name="5057" dataDxfId="11553"/>
    <tableColumn id="4838" xr3:uid="{C91F05FC-6A8C-4CFA-A6C1-BBB96612ABE6}" name="5058" dataDxfId="11552"/>
    <tableColumn id="4839" xr3:uid="{62D4EA02-995B-44D7-B810-EAC3602EAC19}" name="5059" dataDxfId="11551"/>
    <tableColumn id="4840" xr3:uid="{A1ABFF0C-00CF-4A01-917C-15B2EFF64530}" name="5060" dataDxfId="11550"/>
    <tableColumn id="4841" xr3:uid="{072607E7-166C-4B57-977E-16829E5CA80A}" name="5061" dataDxfId="11549"/>
    <tableColumn id="4842" xr3:uid="{0CEC3EAA-39CF-4A31-82AF-95EB54D7E646}" name="5062" dataDxfId="11548"/>
    <tableColumn id="4843" xr3:uid="{B374776C-6893-40E7-BCB2-58760AA93984}" name="5063" dataDxfId="11547"/>
    <tableColumn id="4844" xr3:uid="{28EE5321-1FBC-4F6E-883A-5CEAB8AF9398}" name="5064" dataDxfId="11546"/>
    <tableColumn id="4845" xr3:uid="{0B4EF996-19F2-485A-8420-10B8DAA99195}" name="5065" dataDxfId="11545"/>
    <tableColumn id="4846" xr3:uid="{041DDB59-A514-4585-9EA9-340315DC4E4C}" name="5066" dataDxfId="11544"/>
    <tableColumn id="4847" xr3:uid="{6437DE67-8192-4BDE-BE6F-DE5E97CDD52D}" name="5067" dataDxfId="11543"/>
    <tableColumn id="4848" xr3:uid="{858471A1-C901-4571-835D-56A6EA097874}" name="5068" dataDxfId="11542"/>
    <tableColumn id="4849" xr3:uid="{3C2C9318-A263-4198-A6DA-951745B6B100}" name="5069" dataDxfId="11541"/>
    <tableColumn id="4850" xr3:uid="{3ED2F6D4-D2E8-4AD8-BE0E-00536EFBFE83}" name="5070" dataDxfId="11540"/>
    <tableColumn id="4851" xr3:uid="{1C9A92E0-E249-448A-8A1E-4507E2A8C38A}" name="5071" dataDxfId="11539"/>
    <tableColumn id="4852" xr3:uid="{F3A345B9-01F0-4848-A44A-C89C10547547}" name="5072" dataDxfId="11538"/>
    <tableColumn id="4853" xr3:uid="{42A7CED8-958D-4B22-9AB5-FE47B3ED20E1}" name="5073" dataDxfId="11537"/>
    <tableColumn id="4854" xr3:uid="{30B7747E-3FE3-45A7-841C-545257146567}" name="5074" dataDxfId="11536"/>
    <tableColumn id="4855" xr3:uid="{FDF2C07B-8A55-4D34-B3E7-A7683F533AB3}" name="5075" dataDxfId="11535"/>
    <tableColumn id="4856" xr3:uid="{BE29D064-C422-43BC-B76E-E388082FBE6E}" name="5076" dataDxfId="11534"/>
    <tableColumn id="4857" xr3:uid="{B8169FBC-ECC7-4AC0-B5EC-74AEAA33E3D9}" name="5077" dataDxfId="11533"/>
    <tableColumn id="4858" xr3:uid="{F6ED510E-52E4-4149-A04F-5421261E410F}" name="5078" dataDxfId="11532"/>
    <tableColumn id="4859" xr3:uid="{3972B25F-8058-4027-878C-01B26C9F9358}" name="5079" dataDxfId="11531"/>
    <tableColumn id="4860" xr3:uid="{12804527-E8BF-448F-A611-119522087DCA}" name="5080" dataDxfId="11530"/>
    <tableColumn id="4861" xr3:uid="{3B162B2C-5577-41C2-9E9E-3A968E51EAE3}" name="5081" dataDxfId="11529"/>
    <tableColumn id="4862" xr3:uid="{9E0663A4-F274-40FA-ABD5-1B09C97D5CF9}" name="5082" dataDxfId="11528"/>
    <tableColumn id="4863" xr3:uid="{26774DB6-43A3-41D4-82B6-A5BCA960722B}" name="5083" dataDxfId="11527"/>
    <tableColumn id="4864" xr3:uid="{A5C3ECC1-83A8-4756-ABE0-07417126510C}" name="5084" dataDxfId="11526"/>
    <tableColumn id="4865" xr3:uid="{A620AC73-5C26-4804-82E3-DE0EFF697672}" name="5085" dataDxfId="11525"/>
    <tableColumn id="4866" xr3:uid="{FE5BE6EB-DA8C-4A10-9F53-6D704D367E80}" name="5086" dataDxfId="11524"/>
    <tableColumn id="4867" xr3:uid="{D6F80F86-2844-4453-95D7-41FD02C398AE}" name="5087" dataDxfId="11523"/>
    <tableColumn id="4868" xr3:uid="{58AE7784-43C1-4912-8FFA-8F3A2290BAD5}" name="5088" dataDxfId="11522"/>
    <tableColumn id="4869" xr3:uid="{00583B97-ABC4-4C67-8EE8-36D98A6EE8FE}" name="5089" dataDxfId="11521"/>
    <tableColumn id="4870" xr3:uid="{9B8DAAF1-22BD-4DDC-90CD-499381FCBCD1}" name="5090" dataDxfId="11520"/>
    <tableColumn id="4871" xr3:uid="{5529A889-E5E8-455D-B791-FCD71FB78CF7}" name="5091" dataDxfId="11519"/>
    <tableColumn id="4872" xr3:uid="{46598CC3-CBD2-4184-8181-ACBB0BF157F8}" name="5092" dataDxfId="11518"/>
    <tableColumn id="4873" xr3:uid="{5E862394-F61F-441B-A5B3-DBB7E4D28CC5}" name="5093" dataDxfId="11517"/>
    <tableColumn id="4874" xr3:uid="{0703EC05-3CCD-49A3-87DA-A41317F0A32E}" name="5094" dataDxfId="11516"/>
    <tableColumn id="4875" xr3:uid="{FD70A8E4-BEC5-413D-BB45-F478B145B9C9}" name="5095" dataDxfId="11515"/>
    <tableColumn id="4876" xr3:uid="{820427FD-DDEE-4BAA-B252-4B1E181A53BD}" name="5096" dataDxfId="11514"/>
    <tableColumn id="4877" xr3:uid="{37E47563-08E1-420A-9F29-A8AC6898EEBC}" name="5097" dataDxfId="11513"/>
    <tableColumn id="4878" xr3:uid="{024AD858-F2FA-456A-9E18-72F75724701B}" name="5098" dataDxfId="11512"/>
    <tableColumn id="4879" xr3:uid="{23691150-60D9-4E49-B07A-4C14C185967E}" name="5099" dataDxfId="11511"/>
    <tableColumn id="4880" xr3:uid="{47BFB1F7-440F-47AF-9A28-68F4AE3DDDB8}" name="5100" dataDxfId="11510"/>
    <tableColumn id="4881" xr3:uid="{1A99A057-5854-4AD1-BBE9-C701F9F998F4}" name="5101" dataDxfId="11509"/>
    <tableColumn id="4882" xr3:uid="{425CA478-8568-46B3-A462-CE60F9F78AFD}" name="5102" dataDxfId="11508"/>
    <tableColumn id="4883" xr3:uid="{F53D20FA-1DC6-44B9-96B7-26F532688D74}" name="5103" dataDxfId="11507"/>
    <tableColumn id="4884" xr3:uid="{59C4271C-2F30-4FA5-9160-C1EC1DF652C2}" name="5104" dataDxfId="11506"/>
    <tableColumn id="4885" xr3:uid="{6338E1EE-41AB-4A6C-8E11-4DBC226265A4}" name="5105" dataDxfId="11505"/>
    <tableColumn id="4886" xr3:uid="{347951DE-0691-4072-B8B2-9BDDF26C098A}" name="5106" dataDxfId="11504"/>
    <tableColumn id="4887" xr3:uid="{98D64FB2-C9FC-4D65-92E1-D00DD034AA57}" name="5107" dataDxfId="11503"/>
    <tableColumn id="4888" xr3:uid="{E52791CF-70BD-4AF7-8EA3-3462F7C324EC}" name="5108" dataDxfId="11502"/>
    <tableColumn id="4889" xr3:uid="{4A1FE355-D53A-42D6-A6B8-153B2990F13B}" name="5109" dataDxfId="11501"/>
    <tableColumn id="4890" xr3:uid="{652D7A43-B92A-4784-B387-99A4D3FA096A}" name="5110" dataDxfId="11500"/>
    <tableColumn id="4891" xr3:uid="{B89E6CAA-1485-4914-9831-2E331EBCA6C1}" name="5111" dataDxfId="11499"/>
    <tableColumn id="4892" xr3:uid="{6DA3F8C9-120B-496A-84EC-465DB60D5CBB}" name="5112" dataDxfId="11498"/>
    <tableColumn id="4893" xr3:uid="{AC9ED05F-34AB-4367-8CD3-4E814324A7E8}" name="5113" dataDxfId="11497"/>
    <tableColumn id="4894" xr3:uid="{7C3593D4-2E3F-464A-8290-208F6B325184}" name="5114" dataDxfId="11496"/>
    <tableColumn id="4895" xr3:uid="{D67D22E8-F60F-475C-B935-E667C5BD5D70}" name="5115" dataDxfId="11495"/>
    <tableColumn id="4896" xr3:uid="{8C1E0769-25BB-4367-ABA9-97E88C08B7CA}" name="5116" dataDxfId="11494"/>
    <tableColumn id="4897" xr3:uid="{6A9F0202-1002-49C7-8BCD-51E3556A745F}" name="5117" dataDxfId="11493"/>
    <tableColumn id="4898" xr3:uid="{AD4C83C7-C9E7-435A-9E24-1D6870DD0F7F}" name="5118" dataDxfId="11492"/>
    <tableColumn id="4899" xr3:uid="{4CA26A06-49FC-4550-B578-031238E8A6DA}" name="5119" dataDxfId="11491"/>
    <tableColumn id="4900" xr3:uid="{4347D8C1-B9BE-49B9-BF7D-3D6225E5099E}" name="5120" dataDxfId="11490"/>
    <tableColumn id="4901" xr3:uid="{3A61CD45-AF4E-48D4-8D7D-FC9504EE9755}" name="5121" dataDxfId="11489"/>
    <tableColumn id="4902" xr3:uid="{D8792102-485B-47B9-B1A2-8B36F5C52899}" name="5122" dataDxfId="11488"/>
    <tableColumn id="4903" xr3:uid="{5C2F892A-9A00-4248-A61A-7D7716BEF7D2}" name="5123" dataDxfId="11487"/>
    <tableColumn id="4904" xr3:uid="{BB77E974-5559-4437-8F7E-A6FE791E13EF}" name="5124" dataDxfId="11486"/>
    <tableColumn id="4905" xr3:uid="{9F5A4C8C-F649-46BB-8867-469D6DE01BD4}" name="5125" dataDxfId="11485"/>
    <tableColumn id="4906" xr3:uid="{12B85AD7-F7F8-42C6-9AF3-418CF64ECBC6}" name="5126" dataDxfId="11484"/>
    <tableColumn id="4907" xr3:uid="{62DF4F43-4542-4561-A702-69C6D95B7F5B}" name="5127" dataDxfId="11483"/>
    <tableColumn id="4908" xr3:uid="{2F12044C-8813-4C3C-A11C-A33F06FA3D95}" name="5128" dataDxfId="11482"/>
    <tableColumn id="4909" xr3:uid="{A045CD5B-44FA-46A0-A6D0-70CFEAAA18A2}" name="5129" dataDxfId="11481"/>
    <tableColumn id="4910" xr3:uid="{12AB0AB7-257C-4762-A105-4945FE35905F}" name="5130" dataDxfId="11480"/>
    <tableColumn id="4911" xr3:uid="{D4D17DF2-0D0C-4EB3-966A-EA59C4351388}" name="5131" dataDxfId="11479"/>
    <tableColumn id="4912" xr3:uid="{0EB50015-2915-4D2F-8349-6B9ED0176A49}" name="5132" dataDxfId="11478"/>
    <tableColumn id="4913" xr3:uid="{C0295B69-A30A-4B12-B29D-C59A28D19D65}" name="5133" dataDxfId="11477"/>
    <tableColumn id="4914" xr3:uid="{3AECF959-407D-4423-9AD0-BD032D1BD331}" name="5134" dataDxfId="11476"/>
    <tableColumn id="4915" xr3:uid="{28EF9B10-4119-4A3D-880E-25D4D44C35B1}" name="5135" dataDxfId="11475"/>
    <tableColumn id="4916" xr3:uid="{C6824255-3CFE-4603-B1FC-666825E315A1}" name="5136" dataDxfId="11474"/>
    <tableColumn id="4917" xr3:uid="{97B056CD-9443-45AD-9ADB-DEF88671C135}" name="5137" dataDxfId="11473"/>
    <tableColumn id="4918" xr3:uid="{57A7923C-20DD-4A1D-ACAF-6D337A5C733C}" name="5138" dataDxfId="11472"/>
    <tableColumn id="4919" xr3:uid="{A0DD426C-BAE3-4AC4-82A5-2DBB55233A29}" name="5139" dataDxfId="11471"/>
    <tableColumn id="4920" xr3:uid="{4A587BBD-2009-4CB6-92FC-DDC8429DE0D7}" name="5140" dataDxfId="11470"/>
    <tableColumn id="4921" xr3:uid="{3C722DBD-A422-4B51-A8B6-35BFAF467A2A}" name="5141" dataDxfId="11469"/>
    <tableColumn id="4922" xr3:uid="{E77EA573-1F1D-4E9D-B4F3-703DF3F679EB}" name="5142" dataDxfId="11468"/>
    <tableColumn id="4923" xr3:uid="{B6E975AE-06E2-4316-A941-851D5792F62F}" name="5143" dataDxfId="11467"/>
    <tableColumn id="4924" xr3:uid="{B597145A-2A18-4BDE-B615-E644954CB5AF}" name="5144" dataDxfId="11466"/>
    <tableColumn id="4925" xr3:uid="{CE4C18A2-B742-43A5-892E-56CCB0F2759D}" name="5145" dataDxfId="11465"/>
    <tableColumn id="4926" xr3:uid="{5559B260-4ECB-456B-AD32-EEA2B94953A7}" name="5146" dataDxfId="11464"/>
    <tableColumn id="4927" xr3:uid="{5B25CB03-CA82-4852-8977-4E51FF35A6DA}" name="5147" dataDxfId="11463"/>
    <tableColumn id="4928" xr3:uid="{AAA58D0F-FD77-4901-9677-D3B58CEDAD08}" name="5148" dataDxfId="11462"/>
    <tableColumn id="4929" xr3:uid="{D9E35A40-DB38-462E-BE0B-6302F2294054}" name="5149" dataDxfId="11461"/>
    <tableColumn id="4930" xr3:uid="{EDF0553A-3427-4001-953C-844203E95BFB}" name="5150" dataDxfId="11460"/>
    <tableColumn id="4931" xr3:uid="{C3FD1342-3CC6-4875-BD90-6338E61B3716}" name="5151" dataDxfId="11459"/>
    <tableColumn id="4932" xr3:uid="{BD4048F0-A082-456E-9165-856380ACBA77}" name="5152" dataDxfId="11458"/>
    <tableColumn id="4933" xr3:uid="{E495E387-D8A2-4C75-9733-476101F73B36}" name="5153" dataDxfId="11457"/>
    <tableColumn id="4934" xr3:uid="{70B304F5-B87B-4455-B23F-47B1EF0EF87A}" name="5154" dataDxfId="11456"/>
    <tableColumn id="4935" xr3:uid="{F460BD29-D59C-48DF-8B13-5A360D7FE97E}" name="5155" dataDxfId="11455"/>
    <tableColumn id="4936" xr3:uid="{D650B701-EC4F-42B6-9DB2-A151CD14F432}" name="5156" dataDxfId="11454"/>
    <tableColumn id="4937" xr3:uid="{B921F3EC-DDBB-4FA9-86C9-FF9B4722C408}" name="5157" dataDxfId="11453"/>
    <tableColumn id="4938" xr3:uid="{D507B054-98CD-4B8E-8D38-58EA757E4B17}" name="5158" dataDxfId="11452"/>
    <tableColumn id="4939" xr3:uid="{A3DB48D1-AA56-4E14-85ED-44A24B75053E}" name="5159" dataDxfId="11451"/>
    <tableColumn id="4940" xr3:uid="{246B4D51-AC76-4979-9B47-C61458DD50A1}" name="5160" dataDxfId="11450"/>
    <tableColumn id="4941" xr3:uid="{E16FF6A1-0279-4919-9C7D-EA9BAE0E9C71}" name="5161" dataDxfId="11449"/>
    <tableColumn id="4942" xr3:uid="{DEA3FEA9-CB58-4B54-B7E5-11235A758EA2}" name="5162" dataDxfId="11448"/>
    <tableColumn id="4943" xr3:uid="{2618B999-12CC-4EE8-BEDE-8CA5BCD2BBA1}" name="5163" dataDxfId="11447"/>
    <tableColumn id="4944" xr3:uid="{F16A8500-0F5B-4FDC-8244-0248D5C6A0B9}" name="5164" dataDxfId="11446"/>
    <tableColumn id="4945" xr3:uid="{6CFA5FBF-9EFB-4EB2-A792-DBCF91F3C7C6}" name="5165" dataDxfId="11445"/>
    <tableColumn id="4946" xr3:uid="{724D8739-71BC-4D1C-BC14-37FF5FD18310}" name="5166" dataDxfId="11444"/>
    <tableColumn id="4947" xr3:uid="{53FF1D27-AB3B-4745-ADD1-8517CF08102B}" name="5167" dataDxfId="11443"/>
    <tableColumn id="4948" xr3:uid="{121A1185-2F17-4D17-9446-41DD7522AB2A}" name="5168" dataDxfId="11442"/>
    <tableColumn id="4949" xr3:uid="{411DA588-37BA-4E0D-81B7-F500F6EC3FE4}" name="5169" dataDxfId="11441"/>
    <tableColumn id="4950" xr3:uid="{DB15DCF8-3197-4BF0-8D29-19E9C3B3BA91}" name="5170" dataDxfId="11440"/>
    <tableColumn id="4951" xr3:uid="{E1EA029D-53AF-4204-9E70-521822660727}" name="5171" dataDxfId="11439"/>
    <tableColumn id="4952" xr3:uid="{87851315-1396-4644-BFE5-486BA0E6AB9E}" name="5172" dataDxfId="11438"/>
    <tableColumn id="4953" xr3:uid="{FABD3D2E-7E83-4F00-83EA-45B69DF90FCD}" name="5173" dataDxfId="11437"/>
    <tableColumn id="4954" xr3:uid="{38ADDCDD-B737-4219-9BC8-6142F8FD3F49}" name="5174" dataDxfId="11436"/>
    <tableColumn id="4955" xr3:uid="{71443C47-284E-4C55-B9AE-8F99009A1615}" name="5175" dataDxfId="11435"/>
    <tableColumn id="4956" xr3:uid="{DE2D15B7-1C4F-48C7-82A9-99404CFD6265}" name="5176" dataDxfId="11434"/>
    <tableColumn id="4957" xr3:uid="{E5938D28-C1CB-499B-97E3-788343257846}" name="5177" dataDxfId="11433"/>
    <tableColumn id="4958" xr3:uid="{43D5C981-5527-4675-B30A-25D9B9FB1BB2}" name="5178" dataDxfId="11432"/>
    <tableColumn id="4959" xr3:uid="{96B06787-5E90-4C90-8B89-919D5E8C73DE}" name="5179" dataDxfId="11431"/>
    <tableColumn id="4960" xr3:uid="{62A8B7C3-EC8E-4228-8FA7-BB04E0733AB7}" name="5180" dataDxfId="11430"/>
    <tableColumn id="4961" xr3:uid="{E9699A28-FC50-4DCC-B50B-54FC2D8EC62B}" name="5181" dataDxfId="11429"/>
    <tableColumn id="4962" xr3:uid="{3A623E45-06C0-427B-A202-BC2F9466D944}" name="5182" dataDxfId="11428"/>
    <tableColumn id="4963" xr3:uid="{80850711-2788-40AA-8938-1D76C7474E76}" name="5183" dataDxfId="11427"/>
    <tableColumn id="4964" xr3:uid="{D619D2CF-0464-4147-B49D-6BA9F3A5DB0B}" name="5184" dataDxfId="11426"/>
    <tableColumn id="4965" xr3:uid="{73577A96-230C-45C6-98BB-C48B3C01E8CB}" name="5185" dataDxfId="11425"/>
    <tableColumn id="4966" xr3:uid="{0B5E1526-D467-4781-B7F8-46E3CD1BFDBF}" name="5186" dataDxfId="11424"/>
    <tableColumn id="4967" xr3:uid="{A0E5CBB6-5BF0-4604-89AF-866F78AA5A49}" name="5187" dataDxfId="11423"/>
    <tableColumn id="4968" xr3:uid="{9047DC13-85D6-4CD2-A789-76E3C9A668E3}" name="5188" dataDxfId="11422"/>
    <tableColumn id="4969" xr3:uid="{993D510F-5880-48B2-BE39-E15386E13CB5}" name="5189" dataDxfId="11421"/>
    <tableColumn id="4970" xr3:uid="{50752761-6F65-4B0D-A75E-FDDB8DDED495}" name="5190" dataDxfId="11420"/>
    <tableColumn id="4971" xr3:uid="{624E1FA4-79BD-490E-BCF3-D46569AA32D8}" name="5191" dataDxfId="11419"/>
    <tableColumn id="4972" xr3:uid="{2C5A2BF6-CA5F-4B83-8A0C-21669D6E1852}" name="5192" dataDxfId="11418"/>
    <tableColumn id="4973" xr3:uid="{24B54F7C-F3BD-4B89-B1A4-015D2975F066}" name="5193" dataDxfId="11417"/>
    <tableColumn id="4974" xr3:uid="{5147A452-DCEB-4A13-AE8F-6A595E6E51BF}" name="5194" dataDxfId="11416"/>
    <tableColumn id="4975" xr3:uid="{8A3E317B-2D34-46F8-9D57-24CC37B75971}" name="5195" dataDxfId="11415"/>
    <tableColumn id="4976" xr3:uid="{6CA62B07-3FA3-40B7-9433-8FB704B456FF}" name="5196" dataDxfId="11414"/>
    <tableColumn id="4977" xr3:uid="{5BF3BEB8-193C-46E6-9B7C-548799E98D8B}" name="5197" dataDxfId="11413"/>
    <tableColumn id="4978" xr3:uid="{C41E6842-98CA-43C1-A67F-2CDC71E3A2A5}" name="5198" dataDxfId="11412"/>
    <tableColumn id="4979" xr3:uid="{032EF19D-5DD6-44E2-8F97-B85F7CDC3DC6}" name="5199" dataDxfId="11411"/>
    <tableColumn id="4980" xr3:uid="{7182C939-4C67-4B7C-B898-EED37550B30E}" name="5200" dataDxfId="11410"/>
    <tableColumn id="4981" xr3:uid="{63750012-0B8B-4BC9-89B6-C6BF108067A6}" name="5201" dataDxfId="11409"/>
    <tableColumn id="4982" xr3:uid="{B79C19EC-B3C2-418F-ACF2-C7731AFAF135}" name="5202" dataDxfId="11408"/>
    <tableColumn id="4983" xr3:uid="{17327D37-2839-47AE-915A-6DC3820DA70F}" name="5203" dataDxfId="11407"/>
    <tableColumn id="4984" xr3:uid="{DB7BFB4B-9DC1-4B9A-96AD-D2FAA5C11249}" name="5204" dataDxfId="11406"/>
    <tableColumn id="4985" xr3:uid="{D01965DE-4BB7-47F9-860D-E58CA64545A2}" name="5205" dataDxfId="11405"/>
    <tableColumn id="4986" xr3:uid="{602A1280-923B-4D0D-9DF8-15CBF153C69F}" name="5206" dataDxfId="11404"/>
    <tableColumn id="4987" xr3:uid="{B1D418F0-B075-4A95-B3A8-8639428F3E3F}" name="5207" dataDxfId="11403"/>
    <tableColumn id="4988" xr3:uid="{360EEB6C-9DCB-42A8-9F8D-04BF1EB8895B}" name="5208" dataDxfId="11402"/>
    <tableColumn id="4989" xr3:uid="{06138357-4F46-4233-8792-A9115C42CF93}" name="5209" dataDxfId="11401"/>
    <tableColumn id="4990" xr3:uid="{0B37863C-EA56-498F-995C-AF8335E79394}" name="5210" dataDxfId="11400"/>
    <tableColumn id="4991" xr3:uid="{8F4F0B2C-9861-48A0-B5BA-1157FEB49266}" name="5211" dataDxfId="11399"/>
    <tableColumn id="4992" xr3:uid="{ED2C471F-DD3B-420E-BB88-2FD187E724B2}" name="5212" dataDxfId="11398"/>
    <tableColumn id="4993" xr3:uid="{3D7B550A-3ED9-4D3B-9DDB-8566EBBA888C}" name="5213" dataDxfId="11397"/>
    <tableColumn id="4994" xr3:uid="{AE789943-02FD-4086-9E1D-B30247664F89}" name="5214" dataDxfId="11396"/>
    <tableColumn id="4995" xr3:uid="{26C25704-1916-49E2-8DBB-FF9143FE6B40}" name="5215" dataDxfId="11395"/>
    <tableColumn id="4996" xr3:uid="{EC8C6BF5-E4A0-4B26-886D-CC1F81159F70}" name="5216" dataDxfId="11394"/>
    <tableColumn id="4997" xr3:uid="{DB37F4EA-9335-4DAF-AB1D-906F524C9A2D}" name="5217" dataDxfId="11393"/>
    <tableColumn id="4998" xr3:uid="{54C7EE60-02DF-42F0-99B1-DCE5C07C6BE8}" name="5218" dataDxfId="11392"/>
    <tableColumn id="4999" xr3:uid="{3ADE41BE-069D-4549-BA62-372ACF4FB0D1}" name="5219" dataDxfId="11391"/>
    <tableColumn id="5000" xr3:uid="{90DBA5D3-9CCB-419F-9F72-815FF444EBCA}" name="5220" dataDxfId="11390"/>
    <tableColumn id="5001" xr3:uid="{A5D6905F-7F49-4902-AE5A-87DD978C74A5}" name="5221" dataDxfId="11389"/>
    <tableColumn id="5002" xr3:uid="{A2CAD86B-39F6-4039-B3A9-1261F612647A}" name="5222" dataDxfId="11388"/>
    <tableColumn id="5003" xr3:uid="{96A41CBD-4F44-452C-8A47-74831098C890}" name="5223" dataDxfId="11387"/>
    <tableColumn id="5004" xr3:uid="{29FB0C87-82E3-43FE-9534-C6BA85597A21}" name="5224" dataDxfId="11386"/>
    <tableColumn id="5005" xr3:uid="{DDE2BA21-330C-4CF2-AFB6-44C056CE7EC6}" name="5225" dataDxfId="11385"/>
    <tableColumn id="5006" xr3:uid="{A4F279B2-45E0-41B5-9802-B3348D51C663}" name="5226" dataDxfId="11384"/>
    <tableColumn id="5007" xr3:uid="{83C3CC58-4324-451C-849A-E10429AB2CAA}" name="5227" dataDxfId="11383"/>
    <tableColumn id="5008" xr3:uid="{CDD98DF1-86F2-41BC-A281-992906FE3FAE}" name="5228" dataDxfId="11382"/>
    <tableColumn id="5009" xr3:uid="{DCCF0D21-5883-45B3-9724-50482123DABA}" name="5229" dataDxfId="11381"/>
    <tableColumn id="5010" xr3:uid="{4D3D2CC4-025E-476E-85AC-DA2ABBF70D95}" name="5230" dataDxfId="11380"/>
    <tableColumn id="5011" xr3:uid="{103FB0F3-C656-4654-944F-0B3275124B96}" name="5231" dataDxfId="11379"/>
    <tableColumn id="5012" xr3:uid="{CDB52748-7938-4228-84F7-C7A77B34384E}" name="5232" dataDxfId="11378"/>
    <tableColumn id="5013" xr3:uid="{89CE6CF7-3336-4350-A5DA-B762E20A2D8B}" name="5233" dataDxfId="11377"/>
    <tableColumn id="5014" xr3:uid="{8F7F30AE-600E-41CD-BCEB-95512BAC8A97}" name="5234" dataDxfId="11376"/>
    <tableColumn id="5015" xr3:uid="{658B5F84-4932-49E1-ADBD-7E72A24836B4}" name="5235" dataDxfId="11375"/>
    <tableColumn id="5016" xr3:uid="{E78EA75A-5262-4BDF-8E53-D084B0156B6A}" name="5236" dataDxfId="11374"/>
    <tableColumn id="5017" xr3:uid="{A9C00C3B-AA20-402D-8F08-30A09B9E7E2B}" name="5237" dataDxfId="11373"/>
    <tableColumn id="5018" xr3:uid="{3843A459-B932-42B7-874A-5E2E59B36061}" name="5238" dataDxfId="11372"/>
    <tableColumn id="5019" xr3:uid="{5AFC3FF3-87E6-4012-B745-6A850202BC30}" name="5239" dataDxfId="11371"/>
    <tableColumn id="5020" xr3:uid="{01DD2E12-B366-4D0D-9F19-DA5B1DBC5867}" name="5240" dataDxfId="11370"/>
    <tableColumn id="5021" xr3:uid="{5C4BFB9A-3C02-4A10-898D-56E0746D8D4E}" name="5241" dataDxfId="11369"/>
    <tableColumn id="5022" xr3:uid="{BFC54253-18E8-40D9-9FAB-6593FA0A57DB}" name="5242" dataDxfId="11368"/>
    <tableColumn id="5023" xr3:uid="{CDF78C60-BA60-4683-B7BA-04FE78569B04}" name="5243" dataDxfId="11367"/>
    <tableColumn id="5024" xr3:uid="{B09EF51A-0214-4C2D-A784-B034E30A452E}" name="5244" dataDxfId="11366"/>
    <tableColumn id="5025" xr3:uid="{DAC3A139-B634-4C35-9615-EE4C8063ED41}" name="5245" dataDxfId="11365"/>
    <tableColumn id="5026" xr3:uid="{069FE6F6-20AD-484E-8C60-89A51A44C05C}" name="5246" dataDxfId="11364"/>
    <tableColumn id="5027" xr3:uid="{4DA2D2BC-9B2F-4C72-89D5-13FDBA79CFAE}" name="5247" dataDxfId="11363"/>
    <tableColumn id="5028" xr3:uid="{EC84E1D3-9B66-4F9C-B3E6-B5784EC53E48}" name="5248" dataDxfId="11362"/>
    <tableColumn id="5029" xr3:uid="{5E47FB3E-A469-4720-92FD-AABACD1D9188}" name="5249" dataDxfId="11361"/>
    <tableColumn id="5030" xr3:uid="{182C4413-FA35-41E7-8D72-538408A0C190}" name="5250" dataDxfId="11360"/>
    <tableColumn id="5031" xr3:uid="{CCEDA144-9E0B-4DB8-B71A-5D87FA620B54}" name="5251" dataDxfId="11359"/>
    <tableColumn id="5032" xr3:uid="{7645B120-E3FD-42F8-8E80-EE02E6768F7F}" name="5252" dataDxfId="11358"/>
    <tableColumn id="5033" xr3:uid="{F3B5E845-6ECA-445A-AF79-248028AE6423}" name="5253" dataDxfId="11357"/>
    <tableColumn id="5034" xr3:uid="{D2834415-88DD-4129-A37C-8F511104E5D0}" name="5254" dataDxfId="11356"/>
    <tableColumn id="5035" xr3:uid="{6439822F-47D2-422F-AEC9-30629DFE80FA}" name="5255" dataDxfId="11355"/>
    <tableColumn id="5036" xr3:uid="{874BBAA6-2B1B-4E66-8E51-0DC5A5115919}" name="5256" dataDxfId="11354"/>
    <tableColumn id="5037" xr3:uid="{3D723804-B4E2-452D-89D1-4C4947B018FC}" name="5257" dataDxfId="11353"/>
    <tableColumn id="5038" xr3:uid="{E14E6D86-51DF-4EA8-83C4-ED8B7DCEB42D}" name="5258" dataDxfId="11352"/>
    <tableColumn id="5039" xr3:uid="{44057FA8-1437-4B98-AF33-A79ACC565CFB}" name="5259" dataDxfId="11351"/>
    <tableColumn id="5040" xr3:uid="{E9858208-0E14-4228-B642-7DF4B47B0BB3}" name="5260" dataDxfId="11350"/>
    <tableColumn id="5041" xr3:uid="{363A9B86-7B4F-494B-993A-78A2CF961BFA}" name="5261" dataDxfId="11349"/>
    <tableColumn id="5042" xr3:uid="{0D83D321-DB7E-4C67-83B4-1FB11C97CB01}" name="5262" dataDxfId="11348"/>
    <tableColumn id="5043" xr3:uid="{3E47434C-A430-47F6-BAAA-BFB891B564F9}" name="5263" dataDxfId="11347"/>
    <tableColumn id="5044" xr3:uid="{B6AFBE6C-4F25-4AF2-9C62-9DB49AACBE8A}" name="5264" dataDxfId="11346"/>
    <tableColumn id="5045" xr3:uid="{2ECD1660-A72A-4FBC-B804-3B2C63529C55}" name="5265" dataDxfId="11345"/>
    <tableColumn id="5046" xr3:uid="{073B6876-0A51-4B70-9FF2-1F69543BF155}" name="5266" dataDxfId="11344"/>
    <tableColumn id="5047" xr3:uid="{1DFE5587-04CD-4C6B-8D17-B2D94BCEBFA2}" name="5267" dataDxfId="11343"/>
    <tableColumn id="5048" xr3:uid="{29FF8714-D1F9-423F-8F4B-20CF78380162}" name="5268" dataDxfId="11342"/>
    <tableColumn id="5049" xr3:uid="{57AC1D0E-4D35-49CF-84CE-646AD8A1D9ED}" name="5269" dataDxfId="11341"/>
    <tableColumn id="5050" xr3:uid="{BC83826F-64EA-45D4-A763-45E8EA62B944}" name="5270" dataDxfId="11340"/>
    <tableColumn id="5051" xr3:uid="{E2BB8BB0-AE96-42C7-9812-82D61D618538}" name="5271" dataDxfId="11339"/>
    <tableColumn id="5052" xr3:uid="{F4F0B9D0-A74A-49B9-9AD9-5605C2D9DC57}" name="5272" dataDxfId="11338"/>
    <tableColumn id="5053" xr3:uid="{A418AACF-DBFD-4F8E-88DE-BDDDC68324A2}" name="5273" dataDxfId="11337"/>
    <tableColumn id="5054" xr3:uid="{8B3677E8-4C4B-4171-BA89-63E7DCD46E68}" name="5274" dataDxfId="11336"/>
    <tableColumn id="5055" xr3:uid="{1E2BDDA2-EBD7-4E57-81EB-4386C43C8B88}" name="5275" dataDxfId="11335"/>
    <tableColumn id="5056" xr3:uid="{501F126E-44A9-483C-837B-2D23F6A45A73}" name="5276" dataDxfId="11334"/>
    <tableColumn id="5057" xr3:uid="{1D801893-6B71-46D0-B5FF-EF07C29D6870}" name="5277" dataDxfId="11333"/>
    <tableColumn id="5058" xr3:uid="{9DE8FE74-B238-4F5F-9800-D5C5800DB671}" name="5278" dataDxfId="11332"/>
    <tableColumn id="5059" xr3:uid="{299FFD0B-E74F-4062-9495-EBE294A52EE8}" name="5279" dataDxfId="11331"/>
    <tableColumn id="5060" xr3:uid="{8DB3881E-9537-4408-88D2-89AFB87633F3}" name="5280" dataDxfId="11330"/>
    <tableColumn id="5061" xr3:uid="{2665A61E-51F7-4064-A0AB-48A50795DF1F}" name="5281" dataDxfId="11329"/>
    <tableColumn id="5062" xr3:uid="{9011651C-D568-4FD7-8196-DE2C60462A24}" name="5282" dataDxfId="11328"/>
    <tableColumn id="5063" xr3:uid="{73266D0F-8FDA-4AC4-8DC4-9CD79DF89167}" name="5283" dataDxfId="11327"/>
    <tableColumn id="5064" xr3:uid="{F478D3AE-641B-44FF-867F-C7F0FB190363}" name="5284" dataDxfId="11326"/>
    <tableColumn id="5065" xr3:uid="{4F4D56E6-7959-40F1-88AF-A38E9ECEC18A}" name="5285" dataDxfId="11325"/>
    <tableColumn id="5066" xr3:uid="{D8DEEDFB-B0BE-4807-82B6-E5AE930F8A4B}" name="5286" dataDxfId="11324"/>
    <tableColumn id="5067" xr3:uid="{ECEB1CE0-8ECD-49EB-87B4-DC8221CD56B8}" name="5287" dataDxfId="11323"/>
    <tableColumn id="5068" xr3:uid="{C1A1C49A-90A9-4CFA-BF0B-39EC4D0562EB}" name="5288" dataDxfId="11322"/>
    <tableColumn id="5069" xr3:uid="{487CA154-4F6E-42DF-A7F9-A81CFE0F688B}" name="5289" dataDxfId="11321"/>
    <tableColumn id="5070" xr3:uid="{902A95E6-E80A-4AFF-99AF-E24D0AB936C2}" name="5290" dataDxfId="11320"/>
    <tableColumn id="5071" xr3:uid="{5844694D-1CE2-4088-9A8B-B3E0997F7E7C}" name="5291" dataDxfId="11319"/>
    <tableColumn id="5072" xr3:uid="{DD2E6F1B-DCA6-4015-BA35-34B148193F7D}" name="5292" dataDxfId="11318"/>
    <tableColumn id="5073" xr3:uid="{F2B86BC7-2CB1-4A20-8436-90FDA0406606}" name="5293" dataDxfId="11317"/>
    <tableColumn id="5074" xr3:uid="{ABA4F713-B84C-43DC-932F-96A5A97A1944}" name="5294" dataDxfId="11316"/>
    <tableColumn id="5075" xr3:uid="{E4914083-33A2-4CA0-A672-40EC04D7A915}" name="5295" dataDxfId="11315"/>
    <tableColumn id="5076" xr3:uid="{57823400-A3CC-47AD-9F0B-B8D8436423B2}" name="5296" dataDxfId="11314"/>
    <tableColumn id="5077" xr3:uid="{67EC4488-76A6-4AE3-A576-DCC3553FAC57}" name="5297" dataDxfId="11313"/>
    <tableColumn id="5078" xr3:uid="{7CB9028F-83BB-433E-AF69-27703FD81709}" name="5298" dataDxfId="11312"/>
    <tableColumn id="5079" xr3:uid="{58841459-E0E8-4505-9514-7B0E0E31D182}" name="5299" dataDxfId="11311"/>
    <tableColumn id="5080" xr3:uid="{9710DB7D-E3C3-4114-95E2-61432A17F876}" name="5300" dataDxfId="11310"/>
    <tableColumn id="5081" xr3:uid="{B33CDF7F-9F1E-42B1-A29C-18B12F48DED1}" name="5301" dataDxfId="11309"/>
    <tableColumn id="5082" xr3:uid="{14C3846C-A550-4EA0-971A-ADC004ABDB67}" name="5302" dataDxfId="11308"/>
    <tableColumn id="5083" xr3:uid="{EC25057A-1172-4C6B-BF3C-622D462817B8}" name="5303" dataDxfId="11307"/>
    <tableColumn id="5084" xr3:uid="{E1AF8975-DFDB-426D-B673-63737F61B478}" name="5304" dataDxfId="11306"/>
    <tableColumn id="5085" xr3:uid="{6515EC50-2011-4263-9E00-AF2DE60D2AA3}" name="5305" dataDxfId="11305"/>
    <tableColumn id="5086" xr3:uid="{AC29F8BF-2F80-42EE-81B8-A64C150A6450}" name="5306" dataDxfId="11304"/>
    <tableColumn id="5087" xr3:uid="{F5720B69-320F-424D-BBDD-C7C4719E27E7}" name="5307" dataDxfId="11303"/>
    <tableColumn id="5088" xr3:uid="{694706F1-FD2B-4C4E-89CE-81C4FBF1B8C6}" name="5308" dataDxfId="11302"/>
    <tableColumn id="5089" xr3:uid="{1CD13D06-9883-4B34-B833-4FBFCE6CCF3E}" name="5309" dataDxfId="11301"/>
    <tableColumn id="5090" xr3:uid="{28AC0743-416C-4B29-8A89-205E8C49B48B}" name="5310" dataDxfId="11300"/>
    <tableColumn id="5091" xr3:uid="{53F8ED77-3336-4707-BEEF-B5FA09AF851B}" name="5311" dataDxfId="11299"/>
    <tableColumn id="5092" xr3:uid="{2B8F6E03-CAD4-40BF-BC82-7DAAA07DB4DC}" name="5312" dataDxfId="11298"/>
    <tableColumn id="5093" xr3:uid="{0F8B9926-63B0-4B4B-A15D-D75A2A341E8A}" name="5313" dataDxfId="11297"/>
    <tableColumn id="5094" xr3:uid="{356B23D1-0E9B-400D-BA47-7F2FC82E9A21}" name="5314" dataDxfId="11296"/>
    <tableColumn id="5095" xr3:uid="{0437F259-1A29-4FC0-9501-D501EB7FA65D}" name="5315" dataDxfId="11295"/>
    <tableColumn id="5096" xr3:uid="{15B886D9-63A3-4DA7-921E-D5C5ADF2694A}" name="5316" dataDxfId="11294"/>
    <tableColumn id="5097" xr3:uid="{0D05FF94-2D88-4AE7-A0B2-E6C7C11C0E44}" name="5317" dataDxfId="11293"/>
    <tableColumn id="5098" xr3:uid="{C88B7DB8-CA8D-4836-8F99-8CD7CEDF466F}" name="5318" dataDxfId="11292"/>
    <tableColumn id="5099" xr3:uid="{CDAE329A-85B6-457A-B502-5C7665374DCE}" name="5319" dataDxfId="11291"/>
    <tableColumn id="5100" xr3:uid="{061C8BF6-01F3-44C4-BFC5-C2BD8B006485}" name="5320" dataDxfId="11290"/>
    <tableColumn id="5101" xr3:uid="{2645DC26-5B71-4013-8D8E-A73B5F917B1C}" name="5321" dataDxfId="11289"/>
    <tableColumn id="5102" xr3:uid="{C7F935B0-4DBD-40E5-A1C0-1A74EA64E700}" name="5322" dataDxfId="11288"/>
    <tableColumn id="5103" xr3:uid="{85DAEC75-A66E-40B0-9647-EEE217D25B39}" name="5323" dataDxfId="11287"/>
    <tableColumn id="5104" xr3:uid="{DB3A0887-7C73-4358-944B-8081695AEEE1}" name="5324" dataDxfId="11286"/>
    <tableColumn id="5105" xr3:uid="{9AA317BC-1FD0-4DC3-A8B1-F92032687B62}" name="5325" dataDxfId="11285"/>
    <tableColumn id="5106" xr3:uid="{942D948B-4329-4D0C-8067-17305DD81B3A}" name="5326" dataDxfId="11284"/>
    <tableColumn id="5107" xr3:uid="{8F2D935C-7C41-4AE8-984E-25A3B206A187}" name="5327" dataDxfId="11283"/>
    <tableColumn id="5108" xr3:uid="{4296CA0E-0A1D-4E4B-AA8D-43234680E106}" name="5328" dataDxfId="11282"/>
    <tableColumn id="5109" xr3:uid="{F16C6A9F-6E7A-41CF-9486-E42387A27B5B}" name="5329" dataDxfId="11281"/>
    <tableColumn id="5110" xr3:uid="{664CBC41-7F07-4A30-B20C-4B776A95F02A}" name="5330" dataDxfId="11280"/>
    <tableColumn id="5111" xr3:uid="{FA8A8531-2B44-4E91-9556-9C81FD46557A}" name="5331" dataDxfId="11279"/>
    <tableColumn id="5112" xr3:uid="{B7ACC8E2-F296-4087-B0C0-250F1B227A15}" name="5332" dataDxfId="11278"/>
    <tableColumn id="5113" xr3:uid="{3687DB9E-D5F7-4483-BF50-9D0239ABA11A}" name="5333" dataDxfId="11277"/>
    <tableColumn id="5114" xr3:uid="{F46DED3E-689D-4AA9-A81A-8BB69D42F748}" name="5334" dataDxfId="11276"/>
    <tableColumn id="5115" xr3:uid="{74002EAC-F6C0-42A5-B961-C93A688C32D5}" name="5335" dataDxfId="11275"/>
    <tableColumn id="5116" xr3:uid="{B3ED8CA8-64C6-4913-8057-E810E1E14BAB}" name="5336" dataDxfId="11274"/>
    <tableColumn id="5117" xr3:uid="{C1C7DD51-4348-437F-BB81-61C17574E2FA}" name="5337" dataDxfId="11273"/>
    <tableColumn id="5118" xr3:uid="{58F99A9C-2583-4F68-A05C-78DCB5A6ADD7}" name="5338" dataDxfId="11272"/>
    <tableColumn id="5119" xr3:uid="{56FF7583-50EA-4224-B44C-61C1FB458FF4}" name="5339" dataDxfId="11271"/>
    <tableColumn id="5120" xr3:uid="{5451646A-F61B-4FF1-99E0-340CA14CB205}" name="5340" dataDxfId="11270"/>
    <tableColumn id="5121" xr3:uid="{ADED1F24-E73B-4D33-972A-8888F3A4D88B}" name="5341" dataDxfId="11269"/>
    <tableColumn id="5122" xr3:uid="{CBE334E0-EC87-41FF-A3B0-24AFC8D0DF22}" name="5342" dataDxfId="11268"/>
    <tableColumn id="5123" xr3:uid="{01CC59C5-143E-4651-B018-E235F42FB7C5}" name="5343" dataDxfId="11267"/>
    <tableColumn id="5124" xr3:uid="{98890DC5-1D57-4426-B4E7-4BF50A665EEB}" name="5344" dataDxfId="11266"/>
    <tableColumn id="5125" xr3:uid="{C16D97A3-A840-4C10-BA4D-93CFA3D1A62E}" name="5345" dataDxfId="11265"/>
    <tableColumn id="5126" xr3:uid="{11BB2647-EE8D-4FB9-8973-872E8423AFE6}" name="5346" dataDxfId="11264"/>
    <tableColumn id="5127" xr3:uid="{C766F089-0120-4603-86E0-E04FB48E8857}" name="5347" dataDxfId="11263"/>
    <tableColumn id="5128" xr3:uid="{DC23F127-8F5C-4198-B907-D41CECDBEBBB}" name="5348" dataDxfId="11262"/>
    <tableColumn id="5129" xr3:uid="{A4137F18-331F-452A-BD83-3E1C2602D097}" name="5349" dataDxfId="11261"/>
    <tableColumn id="5130" xr3:uid="{1B6FA431-32FA-457F-A2C9-9BC869EABF8A}" name="5350" dataDxfId="11260"/>
    <tableColumn id="5131" xr3:uid="{F9B6FB7D-5097-4D9B-B67F-D3F180F405ED}" name="5351" dataDxfId="11259"/>
    <tableColumn id="5132" xr3:uid="{E67E3D59-B62F-4C17-A73E-3CD78D1A5D2D}" name="5352" dataDxfId="11258"/>
    <tableColumn id="5133" xr3:uid="{34D6E030-6F1D-4723-A1A1-EFE5F0BF1EC7}" name="5353" dataDxfId="11257"/>
    <tableColumn id="5134" xr3:uid="{86E71DBB-A2C6-4CB1-B4DA-14425E56739B}" name="5354" dataDxfId="11256"/>
    <tableColumn id="5135" xr3:uid="{2C6C97DF-A4C4-495C-9EE4-6A1002C70127}" name="5355" dataDxfId="11255"/>
    <tableColumn id="5136" xr3:uid="{BFC1D0DA-7455-476F-8193-786E089FE0EE}" name="5356" dataDxfId="11254"/>
    <tableColumn id="5137" xr3:uid="{6285D1E0-A3E9-4634-B481-548CBB612944}" name="5357" dataDxfId="11253"/>
    <tableColumn id="5138" xr3:uid="{ED83B981-019A-45A3-BBDD-F597848B016F}" name="5358" dataDxfId="11252"/>
    <tableColumn id="5139" xr3:uid="{DC0AB03D-FC1D-4B6F-B59B-8DB5ACFFBFD2}" name="5359" dataDxfId="11251"/>
    <tableColumn id="5140" xr3:uid="{05C91DE6-B0CD-4344-9762-3D1207921916}" name="5360" dataDxfId="11250"/>
    <tableColumn id="5141" xr3:uid="{8FDFEE55-7D10-471F-824F-A0E9C1AB5FB3}" name="5361" dataDxfId="11249"/>
    <tableColumn id="5142" xr3:uid="{E6974854-D4A4-4171-9C21-0BB0DEC7A21E}" name="5362" dataDxfId="11248"/>
    <tableColumn id="5143" xr3:uid="{8C684164-31CA-4A13-BE4F-32584460787A}" name="5363" dataDxfId="11247"/>
    <tableColumn id="5144" xr3:uid="{E3E18414-2690-45F8-B556-957806703D1E}" name="5364" dataDxfId="11246"/>
    <tableColumn id="5145" xr3:uid="{AE723C71-472C-4891-88FB-E785290E9C56}" name="5365" dataDxfId="11245"/>
    <tableColumn id="5146" xr3:uid="{95856CD1-704C-4C88-A7D7-56922AEE8FA4}" name="5366" dataDxfId="11244"/>
    <tableColumn id="5147" xr3:uid="{D0D0A559-A54F-4028-BC5F-4E6C297A0F62}" name="5367" dataDxfId="11243"/>
    <tableColumn id="5148" xr3:uid="{9D36F4BB-9D0A-491B-A05A-4A6EC740D9CE}" name="5368" dataDxfId="11242"/>
    <tableColumn id="5149" xr3:uid="{4C2069FC-1B81-4C70-98B5-94A502804416}" name="5369" dataDxfId="11241"/>
    <tableColumn id="5150" xr3:uid="{162EAFED-5EAF-4268-93FE-536E665D7BE4}" name="5370" dataDxfId="11240"/>
    <tableColumn id="5151" xr3:uid="{A48276A7-4786-469A-AD2D-CD136197209B}" name="5371" dataDxfId="11239"/>
    <tableColumn id="5152" xr3:uid="{4DEE06AD-D91A-435B-BF38-033861840FFD}" name="5372" dataDxfId="11238"/>
    <tableColumn id="5153" xr3:uid="{81EC7776-C10D-40C8-9FA8-6BF8FF0C58DE}" name="5373" dataDxfId="11237"/>
    <tableColumn id="5154" xr3:uid="{F6A7489B-2C12-4910-81C2-03F25A18DF7B}" name="5374" dataDxfId="11236"/>
    <tableColumn id="5155" xr3:uid="{FA4DDE88-2333-4E4B-9704-878F5CB85E5A}" name="5375" dataDxfId="11235"/>
    <tableColumn id="5156" xr3:uid="{80AFB6EC-D1BE-44B5-BB44-050F22343AF4}" name="5376" dataDxfId="11234"/>
    <tableColumn id="5157" xr3:uid="{7DC6A0E2-DD7D-42FC-8E93-A83E7642CE89}" name="5377" dataDxfId="11233"/>
    <tableColumn id="5158" xr3:uid="{25F66F53-FA9F-472C-BDDE-831932C9E6DD}" name="5378" dataDxfId="11232"/>
    <tableColumn id="5159" xr3:uid="{7E3C77F3-474C-42CE-9C68-1F8A7A6CDDE1}" name="5379" dataDxfId="11231"/>
    <tableColumn id="5160" xr3:uid="{6AD52C34-312B-4CD5-8F8F-EC46480F482E}" name="5380" dataDxfId="11230"/>
    <tableColumn id="5161" xr3:uid="{12D911D3-9B08-456B-8669-250C56CDBFD3}" name="5381" dataDxfId="11229"/>
    <tableColumn id="5162" xr3:uid="{C5374E81-EE48-4566-B3F8-B4F1FA365A42}" name="5382" dataDxfId="11228"/>
    <tableColumn id="5163" xr3:uid="{755DA9BE-D14B-4231-AC1F-C8BF4C2D428A}" name="5383" dataDxfId="11227"/>
    <tableColumn id="5164" xr3:uid="{8DD27D35-AFFC-43AD-BA16-EE8F1D28CF82}" name="5384" dataDxfId="11226"/>
    <tableColumn id="5165" xr3:uid="{6DB890FD-932B-4632-BCAA-3913C7E378BF}" name="5385" dataDxfId="11225"/>
    <tableColumn id="5166" xr3:uid="{98E81ADA-80CC-4CA0-BB1A-081A2492C7A5}" name="5386" dataDxfId="11224"/>
    <tableColumn id="5167" xr3:uid="{2AFC7F37-832E-4D97-B5DA-357CA4A561B3}" name="5387" dataDxfId="11223"/>
    <tableColumn id="5168" xr3:uid="{04F2D226-6F6C-4D6A-BBC1-33BDC728B123}" name="5388" dataDxfId="11222"/>
    <tableColumn id="5169" xr3:uid="{72F6D1E9-F9B5-4258-93B5-A72963E8D3FC}" name="5389" dataDxfId="11221"/>
    <tableColumn id="5170" xr3:uid="{380D1166-6D24-49BD-BC3D-F59776DFCFF1}" name="5390" dataDxfId="11220"/>
    <tableColumn id="5171" xr3:uid="{205E5608-BF34-4EF4-9C01-2628073C71A1}" name="5391" dataDxfId="11219"/>
    <tableColumn id="5172" xr3:uid="{0DEBF6C5-4A37-4237-9121-C09A3E6B337D}" name="5392" dataDxfId="11218"/>
    <tableColumn id="5173" xr3:uid="{CEC8521B-83EF-4CF9-8908-A2176E076A2A}" name="5393" dataDxfId="11217"/>
    <tableColumn id="5174" xr3:uid="{95E160D2-0C0A-4442-83DA-848B31D0FF5A}" name="5394" dataDxfId="11216"/>
    <tableColumn id="5175" xr3:uid="{7D50AF67-13EC-4519-A5A9-79DFE8F0FF38}" name="5395" dataDxfId="11215"/>
    <tableColumn id="5176" xr3:uid="{59D4B2BB-DFB4-4475-9E6A-5AA85976801C}" name="5396" dataDxfId="11214"/>
    <tableColumn id="5177" xr3:uid="{D0B0CF03-2C99-41F4-AFF3-AB88807430CF}" name="5397" dataDxfId="11213"/>
    <tableColumn id="5178" xr3:uid="{0BD5CD11-3575-4CF8-9C61-2725D0DE2B9C}" name="5398" dataDxfId="11212"/>
    <tableColumn id="5179" xr3:uid="{657F6B2A-3F72-4034-8575-117BDDA1B03E}" name="5399" dataDxfId="11211"/>
    <tableColumn id="5180" xr3:uid="{1F79134D-7E58-4814-972B-B4619CC05D65}" name="5400" dataDxfId="11210"/>
    <tableColumn id="5181" xr3:uid="{1B0BD411-DD72-4F63-BA0D-075DCAD969E8}" name="5401" dataDxfId="11209"/>
    <tableColumn id="5182" xr3:uid="{EC0CAC01-5199-4078-B64A-44D5EF87B045}" name="5402" dataDxfId="11208"/>
    <tableColumn id="5183" xr3:uid="{4B44E29C-C9F1-4399-82C8-59A801413548}" name="5403" dataDxfId="11207"/>
    <tableColumn id="5184" xr3:uid="{C4B12ADF-9870-4EC9-BF73-F21E4BC1B0CA}" name="5404" dataDxfId="11206"/>
    <tableColumn id="5185" xr3:uid="{439795CA-1AB3-4ED3-A4BE-8FD8164FF262}" name="5405" dataDxfId="11205"/>
    <tableColumn id="5186" xr3:uid="{77718E99-B935-4B45-A0DA-C9D8DB3E60D7}" name="5406" dataDxfId="11204"/>
    <tableColumn id="5187" xr3:uid="{796F3056-19A0-49E3-8242-2378E7889E32}" name="5407" dataDxfId="11203"/>
    <tableColumn id="5188" xr3:uid="{61F82BB2-4F51-47EF-91BB-0435BA51B0B2}" name="5408" dataDxfId="11202"/>
    <tableColumn id="5189" xr3:uid="{6C1F322C-D6CA-4181-920B-669136C0AAE5}" name="5409" dataDxfId="11201"/>
    <tableColumn id="5190" xr3:uid="{487A074F-0D7B-4682-A9EB-688F923EC1BF}" name="5410" dataDxfId="11200"/>
    <tableColumn id="5191" xr3:uid="{77898040-E6D4-474C-8013-F4C0CC1CADCF}" name="5411" dataDxfId="11199"/>
    <tableColumn id="5192" xr3:uid="{240D4EA5-F8B6-45EB-8EAB-3BB0106359D9}" name="5412" dataDxfId="11198"/>
    <tableColumn id="5193" xr3:uid="{FFB3D17E-D52E-40D0-854B-10E3F6E46C99}" name="5413" dataDxfId="11197"/>
    <tableColumn id="5194" xr3:uid="{885D7EEE-60AD-4E8F-AE81-C3EFB37DCB09}" name="5414" dataDxfId="11196"/>
    <tableColumn id="5195" xr3:uid="{F1B5AAD5-0545-43C0-BD45-10FFE7F3B649}" name="5415" dataDxfId="11195"/>
    <tableColumn id="5196" xr3:uid="{DA400F06-9DEA-423A-BA81-D33E37962563}" name="5416" dataDxfId="11194"/>
    <tableColumn id="5197" xr3:uid="{1A1A885A-15FD-4145-8C59-8DFD66902A90}" name="5417" dataDxfId="11193"/>
    <tableColumn id="5198" xr3:uid="{6ED36EDD-D87B-4818-9192-9ED1AF0F28C3}" name="5418" dataDxfId="11192"/>
    <tableColumn id="5199" xr3:uid="{4F6F0823-2B81-4F3B-963A-0B4065A353D6}" name="5419" dataDxfId="11191"/>
    <tableColumn id="5200" xr3:uid="{AF8E4B53-2FCB-4D84-ADE9-5F4F4365513A}" name="5420" dataDxfId="11190"/>
    <tableColumn id="5201" xr3:uid="{E8781634-8A4D-4C64-9BD6-358E58A312C1}" name="5421" dataDxfId="11189"/>
    <tableColumn id="5202" xr3:uid="{FD0F97F0-C7E9-4711-9153-A34BCE1F6FB2}" name="5422" dataDxfId="11188"/>
    <tableColumn id="5203" xr3:uid="{06CE6467-2D69-4866-8A66-C08281123C3B}" name="5423" dataDxfId="11187"/>
    <tableColumn id="5204" xr3:uid="{B0A6DADA-5343-48CA-897D-BB46329A563F}" name="5424" dataDxfId="11186"/>
    <tableColumn id="5205" xr3:uid="{A4C745F2-2C5E-4D64-B973-D666DC8B1D42}" name="5425" dataDxfId="11185"/>
    <tableColumn id="5206" xr3:uid="{125A6537-11CF-4E4C-9005-B3EB8A182825}" name="5426" dataDxfId="11184"/>
    <tableColumn id="5207" xr3:uid="{EFBA8F1C-10BF-4828-BD2A-4AB5C698FA91}" name="5427" dataDxfId="11183"/>
    <tableColumn id="5208" xr3:uid="{F677607C-86F1-4747-9A22-2E7B50164C20}" name="5428" dataDxfId="11182"/>
    <tableColumn id="5209" xr3:uid="{552F329B-46E6-4741-BD75-56E80D47800D}" name="5429" dataDxfId="11181"/>
    <tableColumn id="5210" xr3:uid="{5DABBD71-C005-425B-A662-DF4EACE040CD}" name="5430" dataDxfId="11180"/>
    <tableColumn id="5211" xr3:uid="{462056D2-5230-4552-BB27-7A8A453C2AD6}" name="5431" dataDxfId="11179"/>
    <tableColumn id="5212" xr3:uid="{30630BC3-AE24-4666-A78C-68ACF125F04A}" name="5432" dataDxfId="11178"/>
    <tableColumn id="5213" xr3:uid="{90519C09-D266-430D-AB1A-1C1AC9D3797B}" name="5433" dataDxfId="11177"/>
    <tableColumn id="5214" xr3:uid="{B7A8E2A5-3F1A-4E76-B9C3-F218DC2E3FF9}" name="5434" dataDxfId="11176"/>
    <tableColumn id="5215" xr3:uid="{082F19B1-AE72-412A-BF39-4C14E9D84707}" name="5435" dataDxfId="11175"/>
    <tableColumn id="5216" xr3:uid="{2DB19F6D-6714-4BE5-808A-55BCC6B2AC60}" name="5436" dataDxfId="11174"/>
    <tableColumn id="5217" xr3:uid="{7F17B082-D3E4-437C-B9FD-DB9994F33536}" name="5437" dataDxfId="11173"/>
    <tableColumn id="5218" xr3:uid="{2E42DD3B-6336-4805-90F3-4D0DE4E48506}" name="5438" dataDxfId="11172"/>
    <tableColumn id="5219" xr3:uid="{462AA4EF-391D-4397-A452-6850E5ECB504}" name="5439" dataDxfId="11171"/>
    <tableColumn id="5220" xr3:uid="{A5998E67-20B1-40C9-8FC4-D96B1D59CFF5}" name="5440" dataDxfId="11170"/>
    <tableColumn id="5221" xr3:uid="{F9EC6C3D-A1C4-43E7-80D9-BD251299540A}" name="5441" dataDxfId="11169"/>
    <tableColumn id="5222" xr3:uid="{1D64E400-D4C1-4E63-AF3C-6424F35B3206}" name="5442" dataDxfId="11168"/>
    <tableColumn id="5223" xr3:uid="{E57BB730-3A37-467C-8229-44AE415E6819}" name="5443" dataDxfId="11167"/>
    <tableColumn id="5224" xr3:uid="{1B7B3901-0754-403D-ABA6-171909F2019D}" name="5444" dataDxfId="11166"/>
    <tableColumn id="5225" xr3:uid="{90854C68-E335-4ADB-8DDB-EB3A3956AC06}" name="5445" dataDxfId="11165"/>
    <tableColumn id="5226" xr3:uid="{BB5D5313-4844-456D-8EA5-89D8DBFC3376}" name="5446" dataDxfId="11164"/>
    <tableColumn id="5227" xr3:uid="{CD631885-CFBA-4102-AB0E-438C125459D7}" name="5447" dataDxfId="11163"/>
    <tableColumn id="5228" xr3:uid="{63D76B44-0C66-4ECA-8CDE-01B2AAEE70F5}" name="5448" dataDxfId="11162"/>
    <tableColumn id="5229" xr3:uid="{742088CF-B782-4A12-BFE0-EF3EEF28F571}" name="5449" dataDxfId="11161"/>
    <tableColumn id="5230" xr3:uid="{92FA6483-DA8B-49AB-961F-14BE52FC948E}" name="5450" dataDxfId="11160"/>
    <tableColumn id="5231" xr3:uid="{F62F3313-988A-4B04-A1FB-B1EF55A709CB}" name="5451" dataDxfId="11159"/>
    <tableColumn id="5232" xr3:uid="{FCC34FC6-73FC-4E4B-A3A0-391886A1D10E}" name="5452" dataDxfId="11158"/>
    <tableColumn id="5233" xr3:uid="{42DA5478-9F08-4603-A542-F1BDBB7A8403}" name="5453" dataDxfId="11157"/>
    <tableColumn id="5234" xr3:uid="{7FB562AD-3764-49C5-83F5-79A018BDD59C}" name="5454" dataDxfId="11156"/>
    <tableColumn id="5235" xr3:uid="{6BDE887B-0D68-4BB9-AF41-F5815B000A01}" name="5455" dataDxfId="11155"/>
    <tableColumn id="5236" xr3:uid="{1B17CA61-7559-4FFB-AD2A-00F112DABE02}" name="5456" dataDxfId="11154"/>
    <tableColumn id="5237" xr3:uid="{150BF015-B6A7-4CD3-954D-AE51B25C28CC}" name="5457" dataDxfId="11153"/>
    <tableColumn id="5238" xr3:uid="{868B3A62-BF87-410F-BD3C-380E26B0C5A5}" name="5458" dataDxfId="11152"/>
    <tableColumn id="5239" xr3:uid="{19237DA2-BCA5-4D0A-8CFE-9EB578967D18}" name="5459" dataDxfId="11151"/>
    <tableColumn id="5240" xr3:uid="{1E844279-2328-47C8-84D1-D4F8E8C25470}" name="5460" dataDxfId="11150"/>
    <tableColumn id="5241" xr3:uid="{C2828B52-04F5-430F-859C-C82E562E395F}" name="5461" dataDxfId="11149"/>
    <tableColumn id="5242" xr3:uid="{19FDB38A-2A01-4BEB-BA89-5AE26E0DBDB5}" name="5462" dataDxfId="11148"/>
    <tableColumn id="5243" xr3:uid="{6A562817-0126-45DC-A6BD-5BFB46AEC6CD}" name="5463" dataDxfId="11147"/>
    <tableColumn id="5244" xr3:uid="{3284BCEB-E5CD-434B-9D86-3157756CF8F3}" name="5464" dataDxfId="11146"/>
    <tableColumn id="5245" xr3:uid="{108028FC-7599-4C66-8C15-4CC00DDD5EEF}" name="5465" dataDxfId="11145"/>
    <tableColumn id="5246" xr3:uid="{7A4F887E-7A0F-4266-9673-ADE0F3E6EB5D}" name="5466" dataDxfId="11144"/>
    <tableColumn id="5247" xr3:uid="{D5B7E0DE-8E5D-4B65-9E52-1BA55997BE2E}" name="5467" dataDxfId="11143"/>
    <tableColumn id="5248" xr3:uid="{F786B8BB-1666-43DA-BDE8-D44B9BB6FD99}" name="5468" dataDxfId="11142"/>
    <tableColumn id="5249" xr3:uid="{CF0F084A-62DB-42F4-9661-76EC6BFE02D1}" name="5469" dataDxfId="11141"/>
    <tableColumn id="5250" xr3:uid="{72749B20-F706-4A58-9CFD-96DDC9AF5FAF}" name="5470" dataDxfId="11140"/>
    <tableColumn id="5251" xr3:uid="{78EAD6A7-A273-4B02-B586-193EC2BBF27B}" name="5471" dataDxfId="11139"/>
    <tableColumn id="5252" xr3:uid="{6E27A935-1820-471F-B7C3-29CCD6B1D8EE}" name="5472" dataDxfId="11138"/>
    <tableColumn id="5253" xr3:uid="{5B7887A3-960C-44AD-AED0-F56DDDD0470D}" name="5473" dataDxfId="11137"/>
    <tableColumn id="5254" xr3:uid="{B7007F38-889B-471C-8719-342B969437D1}" name="5474" dataDxfId="11136"/>
    <tableColumn id="5255" xr3:uid="{9A1E6161-D5CD-4123-B6FD-D73FBFFFA0CE}" name="5475" dataDxfId="11135"/>
    <tableColumn id="5256" xr3:uid="{A2EFB030-7D84-405F-91C3-9A2290C9B3DA}" name="5476" dataDxfId="11134"/>
    <tableColumn id="5257" xr3:uid="{48DDAF68-7FAB-434E-BA28-F2876B49C004}" name="5477" dataDxfId="11133"/>
    <tableColumn id="5258" xr3:uid="{2D7939A3-B973-45ED-9B99-380B5D34D0CF}" name="5478" dataDxfId="11132"/>
    <tableColumn id="5259" xr3:uid="{BD25DF65-348A-49F7-A347-6723544B0B4E}" name="5479" dataDxfId="11131"/>
    <tableColumn id="5260" xr3:uid="{B2192A6D-6052-405E-B6D8-3EFF0A4B7DF0}" name="5480" dataDxfId="11130"/>
    <tableColumn id="5261" xr3:uid="{95C149F1-6D64-46EA-A245-80593091FCDB}" name="5481" dataDxfId="11129"/>
    <tableColumn id="5262" xr3:uid="{6AA0739D-E347-4CC0-AF32-C55DFA51B47F}" name="5482" dataDxfId="11128"/>
    <tableColumn id="5263" xr3:uid="{7089B266-9155-4357-8241-1B6C46DEF054}" name="5483" dataDxfId="11127"/>
    <tableColumn id="5264" xr3:uid="{8D98F64E-35AC-4F2E-828C-4A95F3743613}" name="5484" dataDxfId="11126"/>
    <tableColumn id="5265" xr3:uid="{6A665949-D07E-4E93-995F-C18977531FD2}" name="5485" dataDxfId="11125"/>
    <tableColumn id="5266" xr3:uid="{5B5CC876-118E-4459-92EB-CEAECD46ECA4}" name="5486" dataDxfId="11124"/>
    <tableColumn id="5267" xr3:uid="{EA29AE26-F072-4906-AEE3-55D244497946}" name="5487" dataDxfId="11123"/>
    <tableColumn id="5268" xr3:uid="{1DD294B3-50A3-4499-94FC-0488A861370F}" name="5488" dataDxfId="11122"/>
    <tableColumn id="5269" xr3:uid="{71742152-AA94-4E7B-92AA-76329B495958}" name="5489" dataDxfId="11121"/>
    <tableColumn id="5270" xr3:uid="{7CC6C348-ACC5-4B36-8CA8-0173F644EAFA}" name="5490" dataDxfId="11120"/>
    <tableColumn id="5271" xr3:uid="{D2B9B7DE-E217-4B97-8B7B-322DA92A40A6}" name="5491" dataDxfId="11119"/>
    <tableColumn id="5272" xr3:uid="{71DC7245-1663-4BA2-BDD4-D65161641D7F}" name="5492" dataDxfId="11118"/>
    <tableColumn id="5273" xr3:uid="{7C61E6F2-40F6-42BB-AEE2-D9CC3E194CE2}" name="5493" dataDxfId="11117"/>
    <tableColumn id="5274" xr3:uid="{53443E19-EAA5-4D53-9D4C-0DDE1FCD74AA}" name="5494" dataDxfId="11116"/>
    <tableColumn id="5275" xr3:uid="{78CB7FF1-5756-4B08-952E-645BA9BDC0FB}" name="5495" dataDxfId="11115"/>
    <tableColumn id="5276" xr3:uid="{54B6855B-28D1-4BB8-B517-13742C4CED85}" name="5496" dataDxfId="11114"/>
    <tableColumn id="5277" xr3:uid="{E7FBBF96-9DFF-403A-A7E3-FE7659EE7B29}" name="5497" dataDxfId="11113"/>
    <tableColumn id="5278" xr3:uid="{43E42633-E40D-4BDB-A11A-1A56210CC5AD}" name="5498" dataDxfId="11112"/>
    <tableColumn id="5279" xr3:uid="{1119B4FB-7AA6-4851-9A57-0D843E363649}" name="5499" dataDxfId="11111"/>
    <tableColumn id="5280" xr3:uid="{3492A7A6-C39A-4509-8801-E6FBF432DFF7}" name="5500" dataDxfId="11110"/>
    <tableColumn id="5281" xr3:uid="{C8E00C51-F9BB-4C28-B3DE-7D3DFFB3AAA7}" name="5501" dataDxfId="11109"/>
    <tableColumn id="5282" xr3:uid="{AA8C41AA-BBC4-4E7A-9477-14EFBAA9D7C5}" name="5502" dataDxfId="11108"/>
    <tableColumn id="5283" xr3:uid="{39B7C2DE-1792-4326-93BF-F69BD7FB0298}" name="5503" dataDxfId="11107"/>
    <tableColumn id="5284" xr3:uid="{35D7F5E7-50F9-4E79-8246-87349512E4F8}" name="5504" dataDxfId="11106"/>
    <tableColumn id="5285" xr3:uid="{FC9F62B3-1E65-4062-A6E3-5C3C427C166A}" name="5505" dataDxfId="11105"/>
    <tableColumn id="5286" xr3:uid="{9E748142-9A4A-42F7-A14F-9680EF11C067}" name="5506" dataDxfId="11104"/>
    <tableColumn id="5287" xr3:uid="{A9B6A90A-5241-4528-859F-585F17322670}" name="5507" dataDxfId="11103"/>
    <tableColumn id="5288" xr3:uid="{CBC248D7-7385-42A0-843B-6A2B1C83B8B5}" name="5508" dataDxfId="11102"/>
    <tableColumn id="5289" xr3:uid="{789C0EF4-C180-44FA-869F-5566F0A035E9}" name="5509" dataDxfId="11101"/>
    <tableColumn id="5290" xr3:uid="{36CFA971-E0C2-4BC6-84EA-8C9704DE8EAB}" name="5510" dataDxfId="11100"/>
    <tableColumn id="5291" xr3:uid="{CFB566CA-54D0-4050-A6B1-BFDAD357970E}" name="5511" dataDxfId="11099"/>
    <tableColumn id="5292" xr3:uid="{5D578669-4E7C-497B-A308-E56D457ACCAC}" name="5512" dataDxfId="11098"/>
    <tableColumn id="5293" xr3:uid="{6FAE6BE6-71B2-40E8-B6D5-1A7F1851FDD1}" name="5513" dataDxfId="11097"/>
    <tableColumn id="5294" xr3:uid="{0330191D-5EEA-4A45-8577-89BB1C0A57FE}" name="5514" dataDxfId="11096"/>
    <tableColumn id="5295" xr3:uid="{9307C17A-D73E-4C4D-880D-ED178E3718E1}" name="5515" dataDxfId="11095"/>
    <tableColumn id="5296" xr3:uid="{B1ED185C-11EC-469C-BFE3-AEBC8D1E7C6B}" name="5516" dataDxfId="11094"/>
    <tableColumn id="5297" xr3:uid="{A34B8766-49D8-412D-86A7-F374FBF2AD05}" name="5517" dataDxfId="11093"/>
    <tableColumn id="5298" xr3:uid="{CDF29201-0833-4F5B-9EB5-21AF1866CCFA}" name="5518" dataDxfId="11092"/>
    <tableColumn id="5299" xr3:uid="{6E4978E2-A5FD-4B23-BD4A-696E47285C1E}" name="5519" dataDxfId="11091"/>
    <tableColumn id="5300" xr3:uid="{1A997752-B4DF-4E02-B772-930361D19A20}" name="5520" dataDxfId="11090"/>
    <tableColumn id="5301" xr3:uid="{564D9170-F99F-4235-B3C4-B3185CE67F23}" name="5521" dataDxfId="11089"/>
    <tableColumn id="5302" xr3:uid="{4D82E4C4-404A-41AD-8813-1DE4DDEFD88B}" name="5522" dataDxfId="11088"/>
    <tableColumn id="5303" xr3:uid="{972F1CCC-DADD-4203-B5F3-CC635A2AAAEA}" name="5523" dataDxfId="11087"/>
    <tableColumn id="5304" xr3:uid="{D35FD32F-D650-48AA-BEBA-97586260E61B}" name="5524" dataDxfId="11086"/>
    <tableColumn id="5305" xr3:uid="{A4610FAA-860E-4BBC-8C9B-242C4055EDCF}" name="5525" dataDxfId="11085"/>
    <tableColumn id="5306" xr3:uid="{E3429F4D-869E-4918-AB2C-0590E512CEFE}" name="5526" dataDxfId="11084"/>
    <tableColumn id="5307" xr3:uid="{5A40D8DB-4884-4560-919F-43A038DD7F7C}" name="5527" dataDxfId="11083"/>
    <tableColumn id="5308" xr3:uid="{009DFD0F-6254-48E4-B0C6-B4C9DE4360E8}" name="5528" dataDxfId="11082"/>
    <tableColumn id="5309" xr3:uid="{BF59C854-9CA3-48B9-9EF0-D18F6A9A9755}" name="5529" dataDxfId="11081"/>
    <tableColumn id="5310" xr3:uid="{5C640773-B3D8-4A21-8A0B-EBFB4D0543CC}" name="5530" dataDxfId="11080"/>
    <tableColumn id="5311" xr3:uid="{69B579D5-0B6D-4606-916D-8B82C4A57622}" name="5531" dataDxfId="11079"/>
    <tableColumn id="5312" xr3:uid="{3C801961-A56E-45F4-ACEF-345E60B06D90}" name="5532" dataDxfId="11078"/>
    <tableColumn id="5313" xr3:uid="{C7A2B331-F2B7-4142-98F0-AE9535E81F14}" name="5533" dataDxfId="11077"/>
    <tableColumn id="5314" xr3:uid="{9EF3A346-E4E7-47D9-86F7-5CA04936E2F4}" name="5534" dataDxfId="11076"/>
    <tableColumn id="5315" xr3:uid="{5CA2FAC8-F4A9-4472-80D7-790056C13EE3}" name="5535" dataDxfId="11075"/>
    <tableColumn id="5316" xr3:uid="{FBD15930-D262-46AF-A671-0F915D583269}" name="5536" dataDxfId="11074"/>
    <tableColumn id="5317" xr3:uid="{BBDB2A02-BA88-48AD-B39B-700E66502F75}" name="5537" dataDxfId="11073"/>
    <tableColumn id="5318" xr3:uid="{C47B0E0E-4E4A-4518-BB70-C43531669B7C}" name="5538" dataDxfId="11072"/>
    <tableColumn id="5319" xr3:uid="{B5453AB0-5AFA-4050-9339-FC6C04E589B5}" name="5539" dataDxfId="11071"/>
    <tableColumn id="5320" xr3:uid="{33985A23-D703-417A-AE81-67347C049320}" name="5540" dataDxfId="11070"/>
    <tableColumn id="5321" xr3:uid="{E2111D28-1297-45EC-9452-6E2C35D37863}" name="5541" dataDxfId="11069"/>
    <tableColumn id="5322" xr3:uid="{A7ABE0FC-DC14-445E-BA3E-D1807B412961}" name="5542" dataDxfId="11068"/>
    <tableColumn id="5323" xr3:uid="{73844A7B-4E9E-44BC-B117-C63029521E60}" name="5543" dataDxfId="11067"/>
    <tableColumn id="5324" xr3:uid="{7B1AFF6C-57E6-4684-9BD0-71653C87015A}" name="5544" dataDxfId="11066"/>
    <tableColumn id="5325" xr3:uid="{B05BC6BD-9417-43D0-99F7-4915299EB326}" name="5545" dataDxfId="11065"/>
    <tableColumn id="5326" xr3:uid="{582E74F3-EFE3-490C-A3A2-FCB46075C9EE}" name="5546" dataDxfId="11064"/>
    <tableColumn id="5327" xr3:uid="{F02857E4-F721-4B77-9FD1-AEF4A0832043}" name="5547" dataDxfId="11063"/>
    <tableColumn id="5328" xr3:uid="{2BAEC8B7-E3F4-4665-BB67-C813707291C6}" name="5548" dataDxfId="11062"/>
    <tableColumn id="5329" xr3:uid="{0E02D574-79A5-4113-8D96-C0B57A153C2F}" name="5549" dataDxfId="11061"/>
    <tableColumn id="5330" xr3:uid="{64FAED71-FE0A-4F94-81E7-60E4E99A4798}" name="5550" dataDxfId="11060"/>
    <tableColumn id="5331" xr3:uid="{B52C4FEE-D0CD-49B6-B2A4-C6CC7B53B93D}" name="5551" dataDxfId="11059"/>
    <tableColumn id="5332" xr3:uid="{85E1595A-6127-44DC-B81B-B963BC9C7861}" name="5552" dataDxfId="11058"/>
    <tableColumn id="5333" xr3:uid="{8472501E-F60A-4DAA-88F7-8D220405120E}" name="5553" dataDxfId="11057"/>
    <tableColumn id="5334" xr3:uid="{087EB490-9F4B-4C4C-A41F-0461A0A47D4D}" name="5554" dataDxfId="11056"/>
    <tableColumn id="5335" xr3:uid="{812C52D9-0B07-4512-88A6-4EC48C5723AF}" name="5555" dataDxfId="11055"/>
    <tableColumn id="5336" xr3:uid="{CA28D74D-B1A3-4D14-B8C2-2A2C7CC0B009}" name="5556" dataDxfId="11054"/>
    <tableColumn id="5337" xr3:uid="{BDD79A81-FBB0-408C-8F30-CC8207BFA7AF}" name="5557" dataDxfId="11053"/>
    <tableColumn id="5338" xr3:uid="{945761E4-B17D-49B1-AAA1-75DED1FF55CE}" name="5558" dataDxfId="11052"/>
    <tableColumn id="5339" xr3:uid="{4B1E0F30-10A4-4C9E-AC9B-A11D71043A97}" name="5559" dataDxfId="11051"/>
    <tableColumn id="5340" xr3:uid="{2E76ED17-642D-4517-9B7E-00B01135E601}" name="5560" dataDxfId="11050"/>
    <tableColumn id="5341" xr3:uid="{05154AC9-82F8-45C8-9268-5A34C06BBBA2}" name="5561" dataDxfId="11049"/>
    <tableColumn id="5342" xr3:uid="{E8AF240C-016D-48D6-B27E-324C25A11E4E}" name="5562" dataDxfId="11048"/>
    <tableColumn id="5343" xr3:uid="{1490607E-5F55-45FF-827B-41B85BB10F17}" name="5563" dataDxfId="11047"/>
    <tableColumn id="5344" xr3:uid="{BBD5ADB2-313F-40E8-BD5B-13AB19B1AB63}" name="5564" dataDxfId="11046"/>
    <tableColumn id="5345" xr3:uid="{9C35D8FD-9B7C-4CDE-8943-8A35A80E9ABA}" name="5565" dataDxfId="11045"/>
    <tableColumn id="5346" xr3:uid="{0F9182BA-D2B6-4C5D-B746-07B3491FA465}" name="5566" dataDxfId="11044"/>
    <tableColumn id="5347" xr3:uid="{36CE79BE-6EB1-4571-B68D-AE9B3ED6E01F}" name="5567" dataDxfId="11043"/>
    <tableColumn id="5348" xr3:uid="{AA47A0E5-9870-4EF2-97C0-76E8611E8B29}" name="5568" dataDxfId="11042"/>
    <tableColumn id="5349" xr3:uid="{86040B6C-F0CA-4017-9767-84E2FEBB2306}" name="5569" dataDxfId="11041"/>
    <tableColumn id="5350" xr3:uid="{F0033CE0-0098-48E0-B91D-C67987BFBF1C}" name="5570" dataDxfId="11040"/>
    <tableColumn id="5351" xr3:uid="{358BA232-E701-4C10-B719-9380BEDEB1E3}" name="5571" dataDxfId="11039"/>
    <tableColumn id="5352" xr3:uid="{AC6A76B5-7C72-4541-A7F8-F87C7D6CA24C}" name="5572" dataDxfId="11038"/>
    <tableColumn id="5353" xr3:uid="{7E1EBDB8-971D-4507-B9AA-D49C62A0E3E0}" name="5573" dataDxfId="11037"/>
    <tableColumn id="5354" xr3:uid="{4891430A-44F6-4C3D-BF2E-76B33FE7A287}" name="5574" dataDxfId="11036"/>
    <tableColumn id="5355" xr3:uid="{3D5781B4-A62B-4456-A99D-E4F2FD70D1B8}" name="5575" dataDxfId="11035"/>
    <tableColumn id="5356" xr3:uid="{1A3D1B26-5EF3-49B0-839E-DF8945013212}" name="5576" dataDxfId="11034"/>
    <tableColumn id="5357" xr3:uid="{0D4D2915-CFC2-4C99-9D24-828AE3906E87}" name="5577" dataDxfId="11033"/>
    <tableColumn id="5358" xr3:uid="{68377C2B-9033-4B93-AA9C-E9C0E486AAF6}" name="5578" dataDxfId="11032"/>
    <tableColumn id="5359" xr3:uid="{984D920B-E583-4940-95D8-8AD9A8802812}" name="5579" dataDxfId="11031"/>
    <tableColumn id="5360" xr3:uid="{B87E1E76-90B3-4F3F-88EC-AA853448B9F9}" name="5580" dataDxfId="11030"/>
    <tableColumn id="5361" xr3:uid="{95487AFF-524A-4427-ACED-CFD73A37F23A}" name="5581" dataDxfId="11029"/>
    <tableColumn id="5362" xr3:uid="{9594EDE9-A08B-4268-814A-AC3411246AC8}" name="5582" dataDxfId="11028"/>
    <tableColumn id="5363" xr3:uid="{10805EE3-24AB-4AB0-82B8-8C1C33AED043}" name="5583" dataDxfId="11027"/>
    <tableColumn id="5364" xr3:uid="{87D27606-0E26-41DA-ABAD-4CFED76E3CFD}" name="5584" dataDxfId="11026"/>
    <tableColumn id="5365" xr3:uid="{A2FEF8D7-23D1-429F-BD8B-98ED069A124B}" name="5585" dataDxfId="11025"/>
    <tableColumn id="5366" xr3:uid="{DC364C27-A198-4395-A53A-407D65B1AEAC}" name="5586" dataDxfId="11024"/>
    <tableColumn id="5367" xr3:uid="{86678976-FB56-4B83-8828-5FAC51BABC75}" name="5587" dataDxfId="11023"/>
    <tableColumn id="5368" xr3:uid="{B75E9C18-D712-48C4-8FB6-C2EB4F05B79E}" name="5588" dataDxfId="11022"/>
    <tableColumn id="5369" xr3:uid="{B0050E84-E7B2-4405-8614-EA341B0687F3}" name="5589" dataDxfId="11021"/>
    <tableColumn id="5370" xr3:uid="{E5C7AF28-B37B-4433-9911-9BC37FF711F4}" name="5590" dataDxfId="11020"/>
    <tableColumn id="5371" xr3:uid="{C9212494-D894-456C-9E93-622F7A53C2C4}" name="5591" dataDxfId="11019"/>
    <tableColumn id="5372" xr3:uid="{FB872AE7-8E45-4863-B53E-B3108BC54400}" name="5592" dataDxfId="11018"/>
    <tableColumn id="5373" xr3:uid="{811C9512-9B8A-4229-8E86-E5D8A34A3BFC}" name="5593" dataDxfId="11017"/>
    <tableColumn id="5374" xr3:uid="{6DAC4FBE-A173-4307-AFDB-142EDB4B26EB}" name="5594" dataDxfId="11016"/>
    <tableColumn id="5375" xr3:uid="{54303CBD-E3AD-4870-BF07-84F12272851D}" name="5595" dataDxfId="11015"/>
    <tableColumn id="5376" xr3:uid="{49126C31-4D7C-44DE-99D1-DBD4BB94CBB0}" name="5596" dataDxfId="11014"/>
    <tableColumn id="5377" xr3:uid="{6C27D8CC-BC06-46DE-BA5F-3511583279EF}" name="5597" dataDxfId="11013"/>
    <tableColumn id="5378" xr3:uid="{09EE399B-F2A5-43EB-828D-7A64CEE5E987}" name="5598" dataDxfId="11012"/>
    <tableColumn id="5379" xr3:uid="{7A722735-5F13-4BB6-B354-C444E1B19E50}" name="5599" dataDxfId="11011"/>
    <tableColumn id="5380" xr3:uid="{C3C66A1A-0AB3-4E46-8448-F1ED7291810F}" name="5600" dataDxfId="11010"/>
    <tableColumn id="5381" xr3:uid="{76F8D059-CD00-44C8-8761-791D907C1FD4}" name="5601" dataDxfId="11009"/>
    <tableColumn id="5382" xr3:uid="{C3964515-AEAE-4CD6-8436-DC8D22AAC40C}" name="5602" dataDxfId="11008"/>
    <tableColumn id="5383" xr3:uid="{58BE375F-8C4C-4EEF-A7C0-E50FD35313CE}" name="5603" dataDxfId="11007"/>
    <tableColumn id="5384" xr3:uid="{253F7F2E-3F9E-4F50-9859-B9070A1799CE}" name="5604" dataDxfId="11006"/>
    <tableColumn id="5385" xr3:uid="{63E5A102-E95A-4376-A8BD-C6ED820E0BB5}" name="5605" dataDxfId="11005"/>
    <tableColumn id="5386" xr3:uid="{C102D5EB-56D3-4AD0-8471-886AF5B8ADF4}" name="5606" dataDxfId="11004"/>
    <tableColumn id="5387" xr3:uid="{C2744D1A-48A1-4ED0-B9AB-4C71AF7F8655}" name="5607" dataDxfId="11003"/>
    <tableColumn id="5388" xr3:uid="{FA3EE414-5CA9-471F-B70B-B9F0666902B6}" name="5608" dataDxfId="11002"/>
    <tableColumn id="5389" xr3:uid="{B9385233-E953-460C-B973-634E97D479F3}" name="5609" dataDxfId="11001"/>
    <tableColumn id="5390" xr3:uid="{2A55BDD5-09DF-48B2-9744-AF3449F9BDBB}" name="5610" dataDxfId="11000"/>
    <tableColumn id="5391" xr3:uid="{9C780406-9F57-4FD5-96E8-76C806E7B257}" name="5611" dataDxfId="10999"/>
    <tableColumn id="5392" xr3:uid="{218120F6-0766-4EB0-AE95-52CB9914E0DD}" name="5612" dataDxfId="10998"/>
    <tableColumn id="5393" xr3:uid="{FFBF7629-CF89-4C9F-9772-4B76654A3ED9}" name="5613" dataDxfId="10997"/>
    <tableColumn id="5394" xr3:uid="{3E661E90-544D-42D8-A70A-41B84C237C6A}" name="5614" dataDxfId="10996"/>
    <tableColumn id="5395" xr3:uid="{030008AC-149D-464A-B084-E649F45B7071}" name="5615" dataDxfId="10995"/>
    <tableColumn id="5396" xr3:uid="{B91BD9FB-69F2-49A7-9449-F93E818CB55B}" name="5616" dataDxfId="10994"/>
    <tableColumn id="5397" xr3:uid="{9E586D0D-C08C-4E8E-84D4-9895D88D810D}" name="5617" dataDxfId="10993"/>
    <tableColumn id="5398" xr3:uid="{1DBBE08A-974D-4924-A957-7B51F636B6E7}" name="5618" dataDxfId="10992"/>
    <tableColumn id="5399" xr3:uid="{31B2F508-EB37-48B0-BC53-D7CA16B8434E}" name="5619" dataDxfId="10991"/>
    <tableColumn id="5400" xr3:uid="{A5FC9555-361F-4A16-AF19-708B8A0C7674}" name="5620" dataDxfId="10990"/>
    <tableColumn id="5401" xr3:uid="{BB4E0146-70F5-4882-A876-A6A6ED1CDC78}" name="5621" dataDxfId="10989"/>
    <tableColumn id="5402" xr3:uid="{8B87B379-A472-4C24-BBFC-A92CA171ED26}" name="5622" dataDxfId="10988"/>
    <tableColumn id="5403" xr3:uid="{958777AC-12A3-4B5A-8AF1-EC98A5FA9767}" name="5623" dataDxfId="10987"/>
    <tableColumn id="5404" xr3:uid="{56ED1F8B-CDB4-43E6-9C78-00BD4AC0DA6A}" name="5624" dataDxfId="10986"/>
    <tableColumn id="5405" xr3:uid="{1534EEA6-F45A-4A47-9477-7F01CD3A9B59}" name="5625" dataDxfId="10985"/>
    <tableColumn id="5406" xr3:uid="{806D1855-D5F4-4AA0-A393-DC2ABDB97009}" name="5626" dataDxfId="10984"/>
    <tableColumn id="5407" xr3:uid="{2946F47C-6099-4A93-9F9D-087D8507F799}" name="5627" dataDxfId="10983"/>
    <tableColumn id="5408" xr3:uid="{2B69A6DD-E495-43F6-BFD3-0705FB934182}" name="5628" dataDxfId="10982"/>
    <tableColumn id="5409" xr3:uid="{FD860162-E8E3-4DF9-A7C3-DF63CACB1035}" name="5629" dataDxfId="10981"/>
    <tableColumn id="5410" xr3:uid="{6BA3ECF6-C3A8-4611-A902-0D03B775D7ED}" name="5630" dataDxfId="10980"/>
    <tableColumn id="5411" xr3:uid="{6390F45B-122C-4BC8-BE69-8A83311D9F0B}" name="5631" dataDxfId="10979"/>
    <tableColumn id="5412" xr3:uid="{1864772E-9298-4059-B3E0-50001A75BD41}" name="5632" dataDxfId="10978"/>
    <tableColumn id="5413" xr3:uid="{8669616D-8AE8-4349-A920-A6DD23411010}" name="5633" dataDxfId="10977"/>
    <tableColumn id="5414" xr3:uid="{5F300F0E-F1B3-4E31-9553-5B4B0E0EDDA7}" name="5634" dataDxfId="10976"/>
    <tableColumn id="5415" xr3:uid="{6CFD166C-BD56-4CA0-8752-74EF05C02282}" name="5635" dataDxfId="10975"/>
    <tableColumn id="5416" xr3:uid="{0B909482-597B-4AD2-A9E3-312FE5B1C238}" name="5636" dataDxfId="10974"/>
    <tableColumn id="5417" xr3:uid="{1DD88174-A387-4259-BB64-F362BF862C50}" name="5637" dataDxfId="10973"/>
    <tableColumn id="5418" xr3:uid="{5A571138-EC39-4278-A061-61BE13F72391}" name="5638" dataDxfId="10972"/>
    <tableColumn id="5419" xr3:uid="{7E9BB0D9-6CD1-4C6F-9D27-748094A253F9}" name="5639" dataDxfId="10971"/>
    <tableColumn id="5420" xr3:uid="{9C01CAA5-7A7B-4AE4-95A8-7A0BD80FFA98}" name="5640" dataDxfId="10970"/>
    <tableColumn id="5421" xr3:uid="{3BE82724-E55A-486B-882F-9FC08B2292F9}" name="5641" dataDxfId="10969"/>
    <tableColumn id="5422" xr3:uid="{F786B3B8-070E-4122-9D4F-CD04250E8480}" name="5642" dataDxfId="10968"/>
    <tableColumn id="5423" xr3:uid="{ACFE6BEC-C7CB-4E77-BC08-1C31CE81FB4E}" name="5643" dataDxfId="10967"/>
    <tableColumn id="5424" xr3:uid="{9DDD2DEF-189E-446B-8C9E-F4A1589B45D2}" name="5644" dataDxfId="10966"/>
    <tableColumn id="5425" xr3:uid="{CF1A988B-4030-404F-A121-B777FD097904}" name="5645" dataDxfId="10965"/>
    <tableColumn id="5426" xr3:uid="{799FA9A1-5FFE-4795-AAA1-B8E412B135A0}" name="5646" dataDxfId="10964"/>
    <tableColumn id="5427" xr3:uid="{29D0E8DC-9B6F-4247-82A2-B4EFA66954DD}" name="5647" dataDxfId="10963"/>
    <tableColumn id="5428" xr3:uid="{5836532A-5E6E-4706-AF97-E0D84CEFCAE0}" name="5648" dataDxfId="10962"/>
    <tableColumn id="5429" xr3:uid="{E846FBB3-080B-440C-86D7-2683A8B0BDCF}" name="5649" dataDxfId="10961"/>
    <tableColumn id="5430" xr3:uid="{936E95A9-8F62-4B6A-B28D-0875744882ED}" name="5650" dataDxfId="10960"/>
    <tableColumn id="5431" xr3:uid="{D22917B2-318D-42B9-97DE-35FDF4FA7120}" name="5651" dataDxfId="10959"/>
    <tableColumn id="5432" xr3:uid="{CDD738A6-5496-4EF3-BB4D-74AD4D5465BF}" name="5652" dataDxfId="10958"/>
    <tableColumn id="5433" xr3:uid="{4CF8C7AA-9CF6-425B-A689-A3D1EF7911A0}" name="5653" dataDxfId="10957"/>
    <tableColumn id="5434" xr3:uid="{340AD732-B288-4127-9AD3-0CB18A51D53A}" name="5654" dataDxfId="10956"/>
    <tableColumn id="5435" xr3:uid="{F55BB215-46FB-489B-BB0D-08D9D4B5D38F}" name="5655" dataDxfId="10955"/>
    <tableColumn id="5436" xr3:uid="{578F88D5-9B99-405B-B7C5-EC9F7826ECDA}" name="5656" dataDxfId="10954"/>
    <tableColumn id="5437" xr3:uid="{86E04265-0DF6-48CC-9240-EBCD67CA4B80}" name="5657" dataDxfId="10953"/>
    <tableColumn id="5438" xr3:uid="{B777A383-C1C5-4579-AA12-466DC7373931}" name="5658" dataDxfId="10952"/>
    <tableColumn id="5439" xr3:uid="{9FB6753C-82DE-4610-BAB1-602B6C318356}" name="5659" dataDxfId="10951"/>
    <tableColumn id="5440" xr3:uid="{C62DC7C8-0B7C-4E74-8174-F8D0C592D902}" name="5660" dataDxfId="10950"/>
    <tableColumn id="5441" xr3:uid="{BBCA2705-D20A-4F69-B2F2-1E2890694D00}" name="5661" dataDxfId="10949"/>
    <tableColumn id="5442" xr3:uid="{F205D91B-31D6-4B44-8A59-843BE9CEEDC5}" name="5662" dataDxfId="10948"/>
    <tableColumn id="5443" xr3:uid="{67965DC4-1FEC-4A98-8B52-7C7BEC0A0F20}" name="5663" dataDxfId="10947"/>
    <tableColumn id="5444" xr3:uid="{FD4605FC-FAA9-4EB1-B67D-6657890FC286}" name="5664" dataDxfId="10946"/>
    <tableColumn id="5445" xr3:uid="{072349D6-7B3C-4685-BC8D-EA6BAEA553C2}" name="5665" dataDxfId="10945"/>
    <tableColumn id="5446" xr3:uid="{D1DF8CBF-9E7D-45F8-84AB-133CFD1D5410}" name="5666" dataDxfId="10944"/>
    <tableColumn id="5447" xr3:uid="{C77838A0-88BA-4895-BA17-D66CF7B3A21E}" name="5667" dataDxfId="10943"/>
    <tableColumn id="5448" xr3:uid="{232B9B17-D890-4F7D-AA25-379AE18AEC14}" name="5668" dataDxfId="10942"/>
    <tableColumn id="5449" xr3:uid="{9F7F5398-1672-4587-8A1B-683A4DCBF9D3}" name="5669" dataDxfId="10941"/>
    <tableColumn id="5450" xr3:uid="{E64BD8DE-EB32-47F3-A441-9F1FC35CB228}" name="5670" dataDxfId="10940"/>
    <tableColumn id="5451" xr3:uid="{2F6C711D-DEA7-44E5-BF20-997029562A53}" name="5671" dataDxfId="10939"/>
    <tableColumn id="5452" xr3:uid="{E36811C9-B213-405C-B3CA-0EB24C0CDFCC}" name="5672" dataDxfId="10938"/>
    <tableColumn id="5453" xr3:uid="{A3BC79A4-9E59-4B1F-B491-4BDEDD0CE3BD}" name="5673" dataDxfId="10937"/>
    <tableColumn id="5454" xr3:uid="{796E03A6-5D14-4535-BE4E-F95563A00F11}" name="5674" dataDxfId="10936"/>
    <tableColumn id="5455" xr3:uid="{608BCFE3-B776-45E6-B863-A5C56A6B0B4E}" name="5675" dataDxfId="10935"/>
    <tableColumn id="5456" xr3:uid="{005FF3C1-0DA9-417E-9963-6FA9798F933B}" name="5676" dataDxfId="10934"/>
    <tableColumn id="5457" xr3:uid="{356D4BED-8BB4-4ABB-9C08-6AA696B242AB}" name="5677" dataDxfId="10933"/>
    <tableColumn id="5458" xr3:uid="{65F1FD07-6AAE-4F85-A949-8AEA9B8108A9}" name="5678" dataDxfId="10932"/>
    <tableColumn id="5459" xr3:uid="{4510FDC3-9CA4-4C68-9D93-9F05B8106319}" name="5679" dataDxfId="10931"/>
    <tableColumn id="5460" xr3:uid="{F88A8F32-EC80-4A06-903F-48928DD47C89}" name="5680" dataDxfId="10930"/>
    <tableColumn id="5461" xr3:uid="{93403469-8BE9-47C2-8C30-02E94489BD35}" name="5681" dataDxfId="10929"/>
    <tableColumn id="5462" xr3:uid="{E8D06753-0899-4267-9CB7-63B9DF92F863}" name="5682" dataDxfId="10928"/>
    <tableColumn id="5463" xr3:uid="{F2666FC8-822E-467B-AF91-C8A3EEF93908}" name="5683" dataDxfId="10927"/>
    <tableColumn id="5464" xr3:uid="{60E5E53A-9AC5-4B26-A921-E3BD64664A52}" name="5684" dataDxfId="10926"/>
    <tableColumn id="5465" xr3:uid="{C314074B-2B6B-459C-B2D9-3877DDE4E243}" name="5685" dataDxfId="10925"/>
    <tableColumn id="5466" xr3:uid="{BD121230-FD35-4740-9843-204E3435C67B}" name="5686" dataDxfId="10924"/>
    <tableColumn id="5467" xr3:uid="{F404C609-9509-46DA-99F6-282E6712D7E5}" name="5687" dataDxfId="10923"/>
    <tableColumn id="5468" xr3:uid="{C69DF315-22C7-4609-A068-4F7F7B051B5A}" name="5688" dataDxfId="10922"/>
    <tableColumn id="5469" xr3:uid="{67FF88C0-5AD4-453D-A16D-6358761633FA}" name="5689" dataDxfId="10921"/>
    <tableColumn id="5470" xr3:uid="{51E5547B-8929-4074-8065-4039CDE6DE4D}" name="5690" dataDxfId="10920"/>
    <tableColumn id="5471" xr3:uid="{39B5EAFE-25D8-44C2-AEE6-1D731D8A96D0}" name="5691" dataDxfId="10919"/>
    <tableColumn id="5472" xr3:uid="{F250BD95-12DD-45D5-B4C7-ED31120B5755}" name="5692" dataDxfId="10918"/>
    <tableColumn id="5473" xr3:uid="{F7AFBFF9-FA7A-44F2-8B96-7C605CBB2DD8}" name="5693" dataDxfId="10917"/>
    <tableColumn id="5474" xr3:uid="{596A3C6A-5FB0-4512-9937-96AD0AE7DA03}" name="5694" dataDxfId="10916"/>
    <tableColumn id="5475" xr3:uid="{9546B333-1E62-4BD8-91DD-42FB39B45DDC}" name="5695" dataDxfId="10915"/>
    <tableColumn id="5476" xr3:uid="{31C09AC8-A0D0-42A1-A1E9-021E25B38245}" name="5696" dataDxfId="10914"/>
    <tableColumn id="5477" xr3:uid="{D9717A5F-7575-48F6-AE1F-1BBA45F0E663}" name="5697" dataDxfId="10913"/>
    <tableColumn id="5478" xr3:uid="{99FD7D94-910A-42E5-A775-9FE52B0E3EE2}" name="5698" dataDxfId="10912"/>
    <tableColumn id="5479" xr3:uid="{4CD8981B-6DC2-45CC-B757-9FD222630679}" name="5699" dataDxfId="10911"/>
    <tableColumn id="5480" xr3:uid="{1ECF8926-5094-4C0C-BBEE-893D209F6A54}" name="5700" dataDxfId="10910"/>
    <tableColumn id="5481" xr3:uid="{C0725120-3D7E-4921-9045-6EA1BBD3E4F6}" name="5701" dataDxfId="10909"/>
    <tableColumn id="5482" xr3:uid="{7E6EB5DC-A26A-4BFD-85FD-3004679C1A40}" name="5702" dataDxfId="10908"/>
    <tableColumn id="5483" xr3:uid="{AEBD4120-3C38-4842-B8C2-7C1725CBDD7D}" name="5703" dataDxfId="10907"/>
    <tableColumn id="5484" xr3:uid="{37CF7DBD-0923-43B4-8962-CADEAD323C7C}" name="5704" dataDxfId="10906"/>
    <tableColumn id="5485" xr3:uid="{55ED4B01-21C5-4B7F-B351-183FDC41B863}" name="5705" dataDxfId="10905"/>
    <tableColumn id="5486" xr3:uid="{FC3E4A0E-2CB5-43CC-B21A-FC9CA515A1BC}" name="5706" dataDxfId="10904"/>
    <tableColumn id="5487" xr3:uid="{91B8EBB8-6583-4242-94DB-BA30826CFAAC}" name="5707" dataDxfId="10903"/>
    <tableColumn id="5488" xr3:uid="{FD3E47E2-815D-415E-B549-CB71704B1358}" name="5708" dataDxfId="10902"/>
    <tableColumn id="5489" xr3:uid="{1BFC051B-D69F-4703-9EA0-4ADF811DD93C}" name="5709" dataDxfId="10901"/>
    <tableColumn id="5490" xr3:uid="{C0BF04FB-E58F-439F-B4D0-2B267B360C5D}" name="5710" dataDxfId="10900"/>
    <tableColumn id="5491" xr3:uid="{6B5C2701-D375-4338-87E5-5657EB410B5C}" name="5711" dataDxfId="10899"/>
    <tableColumn id="5492" xr3:uid="{CB7603BF-9999-4411-8566-58F5CFA0FC03}" name="5712" dataDxfId="10898"/>
    <tableColumn id="5493" xr3:uid="{B057BFD5-A2D3-4EE8-A1A2-EA1FD0FC5789}" name="5713" dataDxfId="10897"/>
    <tableColumn id="5494" xr3:uid="{476293AF-81AF-431C-BCE8-298F12ACEC07}" name="5714" dataDxfId="10896"/>
    <tableColumn id="5495" xr3:uid="{B8811F84-847E-48F4-BDA3-E9D84E1F594C}" name="5715" dataDxfId="10895"/>
    <tableColumn id="5496" xr3:uid="{E98F1CF8-1420-4B27-AE64-F78C0873D7B0}" name="5716" dataDxfId="10894"/>
    <tableColumn id="5497" xr3:uid="{2FC625CB-342B-46CD-B195-BFB104E25A8B}" name="5717" dataDxfId="10893"/>
    <tableColumn id="5498" xr3:uid="{DD618919-33C2-46A2-9E4B-63E21DC67F16}" name="5718" dataDxfId="10892"/>
    <tableColumn id="5499" xr3:uid="{3619A537-FC17-4A25-B704-202F621EE0E3}" name="5719" dataDxfId="10891"/>
    <tableColumn id="5500" xr3:uid="{C285BFD1-5782-4563-9D87-E6122091E9D6}" name="5720" dataDxfId="10890"/>
    <tableColumn id="5501" xr3:uid="{9773E1EA-FD99-4A7F-A11F-877993007D5F}" name="5721" dataDxfId="10889"/>
    <tableColumn id="5502" xr3:uid="{D436F42F-B166-4036-AF2F-3BA9A81E41B6}" name="5722" dataDxfId="10888"/>
    <tableColumn id="5503" xr3:uid="{281B86A7-1050-47BA-A2E2-2235D1200124}" name="5723" dataDxfId="10887"/>
    <tableColumn id="5504" xr3:uid="{91D0EABE-7E7A-46A8-9104-49795D8CEAAB}" name="5724" dataDxfId="10886"/>
    <tableColumn id="5505" xr3:uid="{79F26031-9550-47AD-A768-268FAE234F6F}" name="5725" dataDxfId="10885"/>
    <tableColumn id="5506" xr3:uid="{CE24C9A4-DC4C-4EC0-AE30-190F9F7DF09C}" name="5726" dataDxfId="10884"/>
    <tableColumn id="5507" xr3:uid="{4F98C283-1A70-4032-BA29-C01231917763}" name="5727" dataDxfId="10883"/>
    <tableColumn id="5508" xr3:uid="{0BC893C9-4CC0-46BA-ABD8-9623E2BAB398}" name="5728" dataDxfId="10882"/>
    <tableColumn id="5509" xr3:uid="{929F8907-97DA-470E-A5F2-6D461E444B66}" name="5729" dataDxfId="10881"/>
    <tableColumn id="5510" xr3:uid="{23D3C324-0C2D-450D-95D3-BAD57F750BA8}" name="5730" dataDxfId="10880"/>
    <tableColumn id="5511" xr3:uid="{9F6E6BCD-E5EE-4463-BF9D-C1D2A4AD401F}" name="5731" dataDxfId="10879"/>
    <tableColumn id="5512" xr3:uid="{F2571E0B-83A8-410D-B6D7-C7FF1946B720}" name="5732" dataDxfId="10878"/>
    <tableColumn id="5513" xr3:uid="{2B6957D9-35A6-4076-B5F2-0149C2F5C747}" name="5733" dataDxfId="10877"/>
    <tableColumn id="5514" xr3:uid="{84E40B63-1491-4097-9C3C-C0C82A12B154}" name="5734" dataDxfId="10876"/>
    <tableColumn id="5515" xr3:uid="{BF569449-7140-41B4-91E2-786442AC7BEB}" name="5735" dataDxfId="10875"/>
    <tableColumn id="5516" xr3:uid="{587BCF4F-AA44-4379-B742-B5050056509A}" name="5736" dataDxfId="10874"/>
    <tableColumn id="5517" xr3:uid="{DEBDD81A-BF75-4D1C-9C9E-FD91A2693127}" name="5737" dataDxfId="10873"/>
    <tableColumn id="5518" xr3:uid="{F62F41C8-3E77-4C1C-9224-E848FF66BD5F}" name="5738" dataDxfId="10872"/>
    <tableColumn id="5519" xr3:uid="{1F23F553-C5C6-4D62-B3CD-047E47F793E2}" name="5739" dataDxfId="10871"/>
    <tableColumn id="5520" xr3:uid="{63AA2A68-8E0A-41B6-86E6-4AF0394B1949}" name="5740" dataDxfId="10870"/>
    <tableColumn id="5521" xr3:uid="{9AC1EBCE-A3F3-4D1E-A812-68FEF39F78FC}" name="5741" dataDxfId="10869"/>
    <tableColumn id="5522" xr3:uid="{B7570892-2EF4-475B-9B88-C216B6948AF3}" name="5742" dataDxfId="10868"/>
    <tableColumn id="5523" xr3:uid="{F995469B-C5E3-4A84-AB8E-EE15FD3EF688}" name="5743" dataDxfId="10867"/>
    <tableColumn id="5524" xr3:uid="{DB4F36C5-8B19-47F8-A0A4-C1EC0573CFFF}" name="5744" dataDxfId="10866"/>
    <tableColumn id="5525" xr3:uid="{8DF0A456-D3D7-4BDA-A632-65F2A74392E3}" name="5745" dataDxfId="10865"/>
    <tableColumn id="5526" xr3:uid="{BC077C4E-0587-474D-89FD-97BF3F3FD60D}" name="5746" dataDxfId="10864"/>
    <tableColumn id="5527" xr3:uid="{0FC572C6-2780-492F-8003-478635342336}" name="5747" dataDxfId="10863"/>
    <tableColumn id="5528" xr3:uid="{72C796B8-846A-4FDB-BD89-0045B70D4CC1}" name="5748" dataDxfId="10862"/>
    <tableColumn id="5529" xr3:uid="{F34260E8-9E6A-4725-9BC8-892B1514B278}" name="5749" dataDxfId="10861"/>
    <tableColumn id="5530" xr3:uid="{1533DFDB-2138-4C9A-BFEA-F502FEE52020}" name="5750" dataDxfId="10860"/>
    <tableColumn id="5531" xr3:uid="{5E34516B-7EC5-4360-8BCF-990FA2BE108A}" name="5751" dataDxfId="10859"/>
    <tableColumn id="5532" xr3:uid="{45530ABE-F934-461D-A4D5-96DDA3A0D1B2}" name="5752" dataDxfId="10858"/>
    <tableColumn id="5533" xr3:uid="{4301CE9A-C2CB-4023-9A6E-C62AA491FF6A}" name="5753" dataDxfId="10857"/>
    <tableColumn id="5534" xr3:uid="{0E0C0421-E025-4814-BF3E-E66A8B223DB9}" name="5754" dataDxfId="10856"/>
    <tableColumn id="5535" xr3:uid="{C58FC685-51E8-4FBF-9A1D-7C3D823662B7}" name="5755" dataDxfId="10855"/>
    <tableColumn id="5536" xr3:uid="{D3D6EAA0-B624-41C2-AED8-8B650575EE6C}" name="5756" dataDxfId="10854"/>
    <tableColumn id="5537" xr3:uid="{58C605A8-9A59-4A11-A284-44F81390F063}" name="5757" dataDxfId="10853"/>
    <tableColumn id="5538" xr3:uid="{6CE9CF57-13B3-4D46-8900-1CE4CDAB3BE3}" name="5758" dataDxfId="10852"/>
    <tableColumn id="5539" xr3:uid="{A3CC9C10-2C1B-42AB-9BAB-325B9AB6C82A}" name="5759" dataDxfId="10851"/>
    <tableColumn id="5540" xr3:uid="{3DFCAEE8-4FA8-408F-A9DA-98E92A3B1FFA}" name="5760" dataDxfId="10850"/>
    <tableColumn id="5541" xr3:uid="{B7C26EA3-9677-4CAD-B0A7-2679A36E5405}" name="5761" dataDxfId="10849"/>
    <tableColumn id="5542" xr3:uid="{84FB3518-493E-49BE-92A3-7D045077CA67}" name="5762" dataDxfId="10848"/>
    <tableColumn id="5543" xr3:uid="{1B4454C3-282F-48EE-A78B-3E90E148A401}" name="5763" dataDxfId="10847"/>
    <tableColumn id="5544" xr3:uid="{DCD06519-2C98-4065-A582-733C03715A07}" name="5764" dataDxfId="10846"/>
    <tableColumn id="5545" xr3:uid="{7AC621A5-FA92-44EB-9DC3-CCA47FA0549F}" name="5765" dataDxfId="10845"/>
    <tableColumn id="5546" xr3:uid="{810C12D3-57B6-42A5-ACBA-250C4F0F50CA}" name="5766" dataDxfId="10844"/>
    <tableColumn id="5547" xr3:uid="{D1B62F03-04B7-403D-9543-C985AF5F8225}" name="5767" dataDxfId="10843"/>
    <tableColumn id="5548" xr3:uid="{D9E87D90-5A57-4652-9886-798D18BC310A}" name="5768" dataDxfId="10842"/>
    <tableColumn id="5549" xr3:uid="{3452D715-A927-4BC3-8488-83FACD410945}" name="5769" dataDxfId="10841"/>
    <tableColumn id="5550" xr3:uid="{7C006455-2C35-4A95-8642-698A33001004}" name="5770" dataDxfId="10840"/>
    <tableColumn id="5551" xr3:uid="{D4F6E9EF-C528-40AE-AB6E-1B02F53EEA81}" name="5771" dataDxfId="10839"/>
    <tableColumn id="5552" xr3:uid="{2ED73AE3-38A3-4C60-B634-8AACEDD114D0}" name="5772" dataDxfId="10838"/>
    <tableColumn id="5553" xr3:uid="{AB1D699B-9ABF-49CA-845F-759C3FC555DF}" name="5773" dataDxfId="10837"/>
    <tableColumn id="5554" xr3:uid="{9CE8D70B-0FD2-43EE-B73E-506BD787A35F}" name="5774" dataDxfId="10836"/>
    <tableColumn id="5555" xr3:uid="{DB69F2A7-377A-4395-A8DB-CB76EBB9A87E}" name="5775" dataDxfId="10835"/>
    <tableColumn id="5556" xr3:uid="{B33E86E7-C048-44B7-AF80-7BCA04B185CF}" name="5776" dataDxfId="10834"/>
    <tableColumn id="5557" xr3:uid="{FB9A4736-C01D-4C4B-8214-157CA54C46E9}" name="5777" dataDxfId="10833"/>
    <tableColumn id="5558" xr3:uid="{CC43F5AC-0376-4341-B17F-3E0E3D63A5A4}" name="5778" dataDxfId="10832"/>
    <tableColumn id="5559" xr3:uid="{80846F4C-9A9B-40BE-8760-6F261385E72E}" name="5779" dataDxfId="10831"/>
    <tableColumn id="5560" xr3:uid="{A915FF0A-52BE-4AD4-A3BC-5BF77BEBCA75}" name="5780" dataDxfId="10830"/>
    <tableColumn id="5561" xr3:uid="{9471A096-4873-45B2-96B2-87ABEFBBCFD8}" name="5781" dataDxfId="10829"/>
    <tableColumn id="5562" xr3:uid="{2426915A-4D4C-404C-AE02-B3F320685405}" name="5782" dataDxfId="10828"/>
    <tableColumn id="5563" xr3:uid="{C7C4AB91-6B60-4FC7-A534-F8098EFC4A4D}" name="5783" dataDxfId="10827"/>
    <tableColumn id="5564" xr3:uid="{B43D48E2-8FFF-45F0-9F45-829606C735F1}" name="5784" dataDxfId="10826"/>
    <tableColumn id="5565" xr3:uid="{76941FDD-7F0A-4CF1-B6C8-CB8F64BD13A7}" name="5785" dataDxfId="10825"/>
    <tableColumn id="5566" xr3:uid="{549F7160-71C7-4014-B98C-028F15147016}" name="5786" dataDxfId="10824"/>
    <tableColumn id="5567" xr3:uid="{65EB8776-7F9A-46FD-92A0-53FCAAC3261D}" name="5787" dataDxfId="10823"/>
    <tableColumn id="5568" xr3:uid="{05870A56-F75A-4729-8054-98E1B7C99F25}" name="5788" dataDxfId="10822"/>
    <tableColumn id="5569" xr3:uid="{0117CD4D-1811-4285-BB4D-8DB7F0543EE3}" name="5789" dataDxfId="10821"/>
    <tableColumn id="5570" xr3:uid="{DDAE83F9-9A84-4B12-B569-6F87B782EB04}" name="5790" dataDxfId="10820"/>
    <tableColumn id="5571" xr3:uid="{4D0C2F3F-43DF-4EE0-993E-F13C98B3081C}" name="5791" dataDxfId="10819"/>
    <tableColumn id="5572" xr3:uid="{31682FD0-1FD2-4055-8534-31B3B68C43E7}" name="5792" dataDxfId="10818"/>
    <tableColumn id="5573" xr3:uid="{79D324DE-3BD4-4FD1-8CC2-20C1B908E3AC}" name="5793" dataDxfId="10817"/>
    <tableColumn id="5574" xr3:uid="{54683AD5-8DBB-4E54-9EBA-0ADC0A22BEA5}" name="5794" dataDxfId="10816"/>
    <tableColumn id="5575" xr3:uid="{40113CFD-8664-4DD3-8695-4F113D4A48C8}" name="5795" dataDxfId="10815"/>
    <tableColumn id="5576" xr3:uid="{F3DA734F-1AD7-4A61-8F82-32F8CB29E8DE}" name="5796" dataDxfId="10814"/>
    <tableColumn id="5577" xr3:uid="{54D546F6-EC6D-4283-9781-38632DFDD7E8}" name="5797" dataDxfId="10813"/>
    <tableColumn id="5578" xr3:uid="{5BA4D65A-FE28-491B-8DA1-F571A6157D36}" name="5798" dataDxfId="10812"/>
    <tableColumn id="5579" xr3:uid="{51D9E62E-421F-4AC0-BDB4-D5EDDB17A2EE}" name="5799" dataDxfId="10811"/>
    <tableColumn id="5580" xr3:uid="{A34E9667-FC64-4ABA-8A95-8019410F6D9C}" name="5800" dataDxfId="10810"/>
    <tableColumn id="5581" xr3:uid="{9412F16B-C756-47F0-A1EE-21F8FF01640D}" name="5801" dataDxfId="10809"/>
    <tableColumn id="5582" xr3:uid="{53EF2A97-A361-4FD9-8A18-9E110D3FC545}" name="5802" dataDxfId="10808"/>
    <tableColumn id="5583" xr3:uid="{0499C544-21AE-4F3D-A757-04C452CCD808}" name="5803" dataDxfId="10807"/>
    <tableColumn id="5584" xr3:uid="{1FC0FDB2-8C9E-41E6-AC17-17AAB8A7CB2C}" name="5804" dataDxfId="10806"/>
    <tableColumn id="5585" xr3:uid="{0B561239-8260-400D-ABFF-FE3435D83F97}" name="5805" dataDxfId="10805"/>
    <tableColumn id="5586" xr3:uid="{FFE07DBE-F827-4C78-B584-DAA3D2EF061A}" name="5806" dataDxfId="10804"/>
    <tableColumn id="5587" xr3:uid="{E51CA86F-A782-4763-825C-461AE20A6D90}" name="5807" dataDxfId="10803"/>
    <tableColumn id="5588" xr3:uid="{8BC2FC99-D2DE-4BEE-A8F5-36670E568595}" name="5808" dataDxfId="10802"/>
    <tableColumn id="5589" xr3:uid="{2CF0DDEF-5399-4CE3-A26F-86F792781F4D}" name="5809" dataDxfId="10801"/>
    <tableColumn id="5590" xr3:uid="{FFCD193C-35C6-45EE-9574-60E30AA55084}" name="5810" dataDxfId="10800"/>
    <tableColumn id="5591" xr3:uid="{124408C5-2A72-43FA-A1E2-6CCDF6D86AF6}" name="5811" dataDxfId="10799"/>
    <tableColumn id="5592" xr3:uid="{C7685B41-99A0-4C64-8B47-2EE737F48252}" name="5812" dataDxfId="10798"/>
    <tableColumn id="5593" xr3:uid="{95F5895B-248C-4F2A-BCA8-B7863A95039B}" name="5813" dataDxfId="10797"/>
    <tableColumn id="5594" xr3:uid="{D11E6B8A-9711-4BEB-AD16-1330FDB672EB}" name="5814" dataDxfId="10796"/>
    <tableColumn id="5595" xr3:uid="{39B81DCF-1CA0-4FA8-AAF2-B25A7CFEABE8}" name="5815" dataDxfId="10795"/>
    <tableColumn id="5596" xr3:uid="{8E8576C6-6B0C-4D5E-B24E-3BF8259D4000}" name="5816" dataDxfId="10794"/>
    <tableColumn id="5597" xr3:uid="{0E08917F-430F-49BD-BE4B-405DC2C4084B}" name="5817" dataDxfId="10793"/>
    <tableColumn id="5598" xr3:uid="{28889C79-F306-45CE-858C-9D2CD1D95A11}" name="5818" dataDxfId="10792"/>
    <tableColumn id="5599" xr3:uid="{72DAFF4B-13D0-462C-B2C5-C542587E918D}" name="5819" dataDxfId="10791"/>
    <tableColumn id="5600" xr3:uid="{1BB42837-9464-41BA-AF98-66543A443F0F}" name="5820" dataDxfId="10790"/>
    <tableColumn id="5601" xr3:uid="{67FAC3CA-D547-485B-911A-4AE95905127B}" name="5821" dataDxfId="10789"/>
    <tableColumn id="5602" xr3:uid="{D86350EA-7B4D-44D1-9809-A9A2FF66B631}" name="5822" dataDxfId="10788"/>
    <tableColumn id="5603" xr3:uid="{CDEA31EC-8D5E-4DF4-83B0-B7DF0444572A}" name="5823" dataDxfId="10787"/>
    <tableColumn id="5604" xr3:uid="{08FB4D3F-C109-49C6-BFB6-83A8A968BFAE}" name="5824" dataDxfId="10786"/>
    <tableColumn id="5605" xr3:uid="{10A2C525-0A6F-4331-B79D-52EC303616AB}" name="5825" dataDxfId="10785"/>
    <tableColumn id="5606" xr3:uid="{B601F6A6-3B9D-4FF7-9AA2-F8EFBDF1B847}" name="5826" dataDxfId="10784"/>
    <tableColumn id="5607" xr3:uid="{400E6144-2319-4B03-82E6-A92A34A0D74A}" name="5827" dataDxfId="10783"/>
    <tableColumn id="5608" xr3:uid="{0E8C7D59-7A93-4C4B-B578-18C6D6DC6D46}" name="5828" dataDxfId="10782"/>
    <tableColumn id="5609" xr3:uid="{0E353BBD-E93D-47DC-85F1-54F82487BFD5}" name="5829" dataDxfId="10781"/>
    <tableColumn id="5610" xr3:uid="{6FA9751F-349F-4E29-B9F2-D7ABD1CB6CE5}" name="5830" dataDxfId="10780"/>
    <tableColumn id="5611" xr3:uid="{9EFD0D1E-25FB-4B22-B743-CE82B278C7E3}" name="5831" dataDxfId="10779"/>
    <tableColumn id="5612" xr3:uid="{6BABF51C-1AF2-4660-B856-16538FC50935}" name="5832" dataDxfId="10778"/>
    <tableColumn id="5613" xr3:uid="{891F0AD6-1775-490E-8DC0-0570415A4B60}" name="5833" dataDxfId="10777"/>
    <tableColumn id="5614" xr3:uid="{2DE9D357-EB93-472A-BE7D-24C6640A8645}" name="5834" dataDxfId="10776"/>
    <tableColumn id="5615" xr3:uid="{59CE0BAB-A64A-4805-8A19-92311E702818}" name="5835" dataDxfId="10775"/>
    <tableColumn id="5616" xr3:uid="{B4DD8D55-6AD0-4FE6-B7D9-764295E25D60}" name="5836" dataDxfId="10774"/>
    <tableColumn id="5617" xr3:uid="{539450F1-8CB5-477F-8FA7-EA57908DFEBB}" name="5837" dataDxfId="10773"/>
    <tableColumn id="5618" xr3:uid="{5366ED4C-C3ED-4C30-9A57-50C901F30352}" name="5838" dataDxfId="10772"/>
    <tableColumn id="5619" xr3:uid="{91E8A0BB-7B06-47C2-864B-D98879DEE3D0}" name="5839" dataDxfId="10771"/>
    <tableColumn id="5620" xr3:uid="{CC6AAA39-CCCB-46E3-B730-98FD8FF7D087}" name="5840" dataDxfId="10770"/>
    <tableColumn id="5621" xr3:uid="{688390DE-C1E3-4557-BEEE-DA129C867218}" name="5841" dataDxfId="10769"/>
    <tableColumn id="5622" xr3:uid="{63A2CCBF-7045-45B3-8A98-F22EDCE02ED1}" name="5842" dataDxfId="10768"/>
    <tableColumn id="5623" xr3:uid="{4F3BEE9E-3EFA-4E1A-8C29-688A5EE25F38}" name="5843" dataDxfId="10767"/>
    <tableColumn id="5624" xr3:uid="{3E25530B-E36E-475E-8DF1-4C647926F334}" name="5844" dataDxfId="10766"/>
    <tableColumn id="5625" xr3:uid="{B85AA3C8-A5AE-4BEE-811A-F7E422BB5C41}" name="5845" dataDxfId="10765"/>
    <tableColumn id="5626" xr3:uid="{FDE3E102-ABEA-476E-84E2-39829CD7D111}" name="5846" dataDxfId="10764"/>
    <tableColumn id="5627" xr3:uid="{5532622F-5D0B-4BDA-9EFF-897E9C4D6204}" name="5847" dataDxfId="10763"/>
    <tableColumn id="5628" xr3:uid="{8D344C19-A13B-46E1-8D42-2D762028DDE0}" name="5848" dataDxfId="10762"/>
    <tableColumn id="5629" xr3:uid="{C7E01064-2826-45EC-A628-BE10563AB01B}" name="5849" dataDxfId="10761"/>
    <tableColumn id="5630" xr3:uid="{FB50E6DF-AA80-44F3-837A-B2ADA003A4DA}" name="5850" dataDxfId="10760"/>
    <tableColumn id="5631" xr3:uid="{FDF31901-D0FA-47E6-BA1D-45082F1FF2E7}" name="5851" dataDxfId="10759"/>
    <tableColumn id="5632" xr3:uid="{76436698-3157-4FE2-8FC6-C87928C97089}" name="5852" dataDxfId="10758"/>
    <tableColumn id="5633" xr3:uid="{64D1E488-0620-4574-AF09-95AC0813F33D}" name="5853" dataDxfId="10757"/>
    <tableColumn id="5634" xr3:uid="{0D4888CE-F1D3-49B8-8C40-A8E76854EBED}" name="5854" dataDxfId="10756"/>
    <tableColumn id="5635" xr3:uid="{1F2F0DB2-C194-402A-9186-DF7B033C585A}" name="5855" dataDxfId="10755"/>
    <tableColumn id="5636" xr3:uid="{786516F8-E0A8-4E42-9A41-421DB5CC3952}" name="5856" dataDxfId="10754"/>
    <tableColumn id="5637" xr3:uid="{666D2748-DCD6-4B79-ACF4-FF28DB4C7739}" name="5857" dataDxfId="10753"/>
    <tableColumn id="5638" xr3:uid="{C33A5FBF-0B33-4072-81F7-F1E3853A64DE}" name="5858" dataDxfId="10752"/>
    <tableColumn id="5639" xr3:uid="{FCDCD8FF-984A-49E4-8F7B-BEA17299B202}" name="5859" dataDxfId="10751"/>
    <tableColumn id="5640" xr3:uid="{89BED62C-EAD8-497F-8F3B-5756D0466748}" name="5860" dataDxfId="10750"/>
    <tableColumn id="5641" xr3:uid="{FC0628D9-6566-4311-BC7A-BF79014B459E}" name="5861" dataDxfId="10749"/>
    <tableColumn id="5642" xr3:uid="{6B406724-E84B-429D-B22D-222632768FD9}" name="5862" dataDxfId="10748"/>
    <tableColumn id="5643" xr3:uid="{3796A503-552B-48CA-89C9-6ACF982AE08C}" name="5863" dataDxfId="10747"/>
    <tableColumn id="5644" xr3:uid="{2C7AB083-6203-44C9-9899-7AF467759980}" name="5864" dataDxfId="10746"/>
    <tableColumn id="5645" xr3:uid="{B62184E3-32E7-45AD-928E-239C8A27273C}" name="5865" dataDxfId="10745"/>
    <tableColumn id="5646" xr3:uid="{6CBF1EBA-4A4B-47D5-B24D-7D8B1B25A9CA}" name="5866" dataDxfId="10744"/>
    <tableColumn id="5647" xr3:uid="{6B630C4F-2F09-4F6D-95C6-612054C047E0}" name="5867" dataDxfId="10743"/>
    <tableColumn id="5648" xr3:uid="{EE675BD1-81A0-40A2-8A02-EB7A4925D7E3}" name="5868" dataDxfId="10742"/>
    <tableColumn id="5649" xr3:uid="{1054904E-8D46-4ECC-80B5-7C44D7A7EF50}" name="5869" dataDxfId="10741"/>
    <tableColumn id="5650" xr3:uid="{3E648D99-1D22-49AB-B3B6-B172EE99B086}" name="5870" dataDxfId="10740"/>
    <tableColumn id="5651" xr3:uid="{702F21EB-1BB9-4A79-A9CE-634E4AD82E9B}" name="5871" dataDxfId="10739"/>
    <tableColumn id="5652" xr3:uid="{0F7906A0-56A1-44A0-AE5A-1902BDEA7B85}" name="5872" dataDxfId="10738"/>
    <tableColumn id="5653" xr3:uid="{56DDDA56-C8AD-4F05-BA5D-FB576C09E6A4}" name="5873" dataDxfId="10737"/>
    <tableColumn id="5654" xr3:uid="{2E3FE2D8-07FE-4423-B87F-D9D34291E5B7}" name="5874" dataDxfId="10736"/>
    <tableColumn id="5655" xr3:uid="{F2CC0178-8CCF-4B24-AD73-14FCAAA43E0E}" name="5875" dataDxfId="10735"/>
    <tableColumn id="5656" xr3:uid="{23835A47-D53B-44B6-8CB8-A2556C3BF115}" name="5876" dataDxfId="10734"/>
    <tableColumn id="5657" xr3:uid="{51D4B379-F841-4B77-A710-4EBE5D7605AB}" name="5877" dataDxfId="10733"/>
    <tableColumn id="5658" xr3:uid="{75F6DE93-9B1C-4959-A7F1-4D4F331AD5AD}" name="5878" dataDxfId="10732"/>
    <tableColumn id="5659" xr3:uid="{7C637015-281D-4188-8E45-CFD119003BA7}" name="5879" dataDxfId="10731"/>
    <tableColumn id="5660" xr3:uid="{B14A1CA2-E672-4E17-A51A-1549789F9806}" name="5880" dataDxfId="10730"/>
    <tableColumn id="5661" xr3:uid="{9F964F04-3BD0-4197-9C90-A97F72839BA2}" name="5881" dataDxfId="10729"/>
    <tableColumn id="5662" xr3:uid="{1EE55CC2-88D8-46D2-AA5D-AF5D0C6610E8}" name="5882" dataDxfId="10728"/>
    <tableColumn id="5663" xr3:uid="{F319F44A-6799-49AF-8F32-A6BEAED88C73}" name="5883" dataDxfId="10727"/>
    <tableColumn id="5664" xr3:uid="{D809EA71-E0F6-45B3-A78B-5A3229CA6107}" name="5884" dataDxfId="10726"/>
    <tableColumn id="5665" xr3:uid="{2FAD94B1-EDEE-4C48-ADF9-0194C6BE498B}" name="5885" dataDxfId="10725"/>
    <tableColumn id="5666" xr3:uid="{6E79373D-CD96-47B3-907D-F192DA64A5FC}" name="5886" dataDxfId="10724"/>
    <tableColumn id="5667" xr3:uid="{9C5564AB-2325-4330-BF36-656D263BB6CC}" name="5887" dataDxfId="10723"/>
    <tableColumn id="5668" xr3:uid="{00EBF021-F163-4A21-9B5F-9ECB303A2AC8}" name="5888" dataDxfId="10722"/>
    <tableColumn id="5669" xr3:uid="{63F4BFB0-88FD-4FD0-B1C5-0C59D73A4342}" name="5889" dataDxfId="10721"/>
    <tableColumn id="5670" xr3:uid="{4D81D894-189A-4F65-8002-CAD49F37B81B}" name="5890" dataDxfId="10720"/>
    <tableColumn id="5671" xr3:uid="{87E917C6-7501-4CD7-842C-D4B714E8B55F}" name="5891" dataDxfId="10719"/>
    <tableColumn id="5672" xr3:uid="{938630D4-7634-4B51-9B1F-1990C18FC782}" name="5892" dataDxfId="10718"/>
    <tableColumn id="5673" xr3:uid="{89D36C34-684E-4F1D-A858-313FB7A1ACC9}" name="5893" dataDxfId="10717"/>
    <tableColumn id="5674" xr3:uid="{6821F5EC-FD54-4D12-9D7A-FA780C771554}" name="5894" dataDxfId="10716"/>
    <tableColumn id="5675" xr3:uid="{0ACC1B44-9B6E-4D59-B6CF-CB9EB0A4BAF6}" name="5895" dataDxfId="10715"/>
    <tableColumn id="5676" xr3:uid="{A0411952-326D-49CC-BEF1-417BED5B9A4C}" name="5896" dataDxfId="10714"/>
    <tableColumn id="5677" xr3:uid="{E5276C84-5C3A-446C-9CD5-8DF17EBF85C3}" name="5897" dataDxfId="10713"/>
    <tableColumn id="5678" xr3:uid="{0A214EA7-DDE7-432A-B6EA-E2EA0840C1A4}" name="5898" dataDxfId="10712"/>
    <tableColumn id="5679" xr3:uid="{445CDB38-2C98-4739-83C6-E129E0C3EC4A}" name="5899" dataDxfId="10711"/>
    <tableColumn id="5680" xr3:uid="{5B6424BC-E8D6-4FB9-A407-0FAF5DC42985}" name="5900" dataDxfId="10710"/>
    <tableColumn id="5681" xr3:uid="{53B7DE7B-A64A-4B4C-B835-40B8C4CCD9D5}" name="5901" dataDxfId="10709"/>
    <tableColumn id="5682" xr3:uid="{1B468B88-38F6-4FD5-ACC4-0E3C8FDC2F12}" name="5902" dataDxfId="10708"/>
    <tableColumn id="5683" xr3:uid="{FA9D0CAF-5590-4F34-9B84-86A01C87C196}" name="5903" dataDxfId="10707"/>
    <tableColumn id="5684" xr3:uid="{3B4EFB91-AEE4-4275-8774-C88A55C67462}" name="5904" dataDxfId="10706"/>
    <tableColumn id="5685" xr3:uid="{D561F825-9D85-43BC-8F8C-73C7347DF66F}" name="5905" dataDxfId="10705"/>
    <tableColumn id="5686" xr3:uid="{A33D7A77-E99B-4B9B-96CD-BE612C51CDE5}" name="5906" dataDxfId="10704"/>
    <tableColumn id="5687" xr3:uid="{2E043349-0372-40AC-9CC6-A3F6AD03B5D2}" name="5907" dataDxfId="10703"/>
    <tableColumn id="5688" xr3:uid="{6979CD65-DCFD-4172-951E-6528672D528B}" name="5908" dataDxfId="10702"/>
    <tableColumn id="5689" xr3:uid="{B5DFF4DB-282B-43A0-B2E8-58F88C3B87D9}" name="5909" dataDxfId="10701"/>
    <tableColumn id="5690" xr3:uid="{6A2ADB50-4809-42E6-B4B2-97199A42F8AB}" name="5910" dataDxfId="10700"/>
    <tableColumn id="5691" xr3:uid="{779071AF-183A-4F28-803F-93B0EABFDC62}" name="5911" dataDxfId="10699"/>
    <tableColumn id="5692" xr3:uid="{108D52E4-484D-4F5B-AF22-01145EA1AA9C}" name="5912" dataDxfId="10698"/>
    <tableColumn id="5693" xr3:uid="{5E3E26E1-2FAD-4D5A-8DDF-ED136B57AADA}" name="5913" dataDxfId="10697"/>
    <tableColumn id="5694" xr3:uid="{55341957-D20E-4BA2-B640-13E49F7C9E11}" name="5914" dataDxfId="10696"/>
    <tableColumn id="5695" xr3:uid="{632C3D9E-9977-4DA8-8D0E-C2A85C8E6425}" name="5915" dataDxfId="10695"/>
    <tableColumn id="5696" xr3:uid="{DBB6C0B0-5E8F-4DEC-B504-E77134DD6763}" name="5916" dataDxfId="10694"/>
    <tableColumn id="5697" xr3:uid="{250FD513-CB00-4ACD-A710-B00ED486B469}" name="5917" dataDxfId="10693"/>
    <tableColumn id="5698" xr3:uid="{6B4EEF87-F7B0-4519-BB39-1D8F8B0ACE5E}" name="5918" dataDxfId="10692"/>
    <tableColumn id="5699" xr3:uid="{C6D63517-CA52-49D6-AF39-FEAF34024D9F}" name="5919" dataDxfId="10691"/>
    <tableColumn id="5700" xr3:uid="{CED4018D-56EC-400D-96AC-B82B187DFED8}" name="5920" dataDxfId="10690"/>
    <tableColumn id="5701" xr3:uid="{2074454B-2893-4C3B-865E-BF538BDB1ECF}" name="5921" dataDxfId="10689"/>
    <tableColumn id="5702" xr3:uid="{B85466FD-DF79-4B1C-B50B-4B982542B02D}" name="5922" dataDxfId="10688"/>
    <tableColumn id="5703" xr3:uid="{83BDD756-C3FF-4ADC-BF00-30F9B9C845E0}" name="5923" dataDxfId="10687"/>
    <tableColumn id="5704" xr3:uid="{7F48570E-E003-4317-9A6C-194B1B43A35D}" name="5924" dataDxfId="10686"/>
    <tableColumn id="5705" xr3:uid="{2E249DF8-4346-4524-A9A4-FA3D4CF83CCC}" name="5925" dataDxfId="10685"/>
    <tableColumn id="5706" xr3:uid="{40731CAA-8D15-4C39-B92E-8007AFBE9EC1}" name="5926" dataDxfId="10684"/>
    <tableColumn id="5707" xr3:uid="{5B564FD5-464D-442D-A23D-0CE3683D1061}" name="5927" dataDxfId="10683"/>
    <tableColumn id="5708" xr3:uid="{127D740C-1969-4F74-A2C3-7C2E31E68F85}" name="5928" dataDxfId="10682"/>
    <tableColumn id="5709" xr3:uid="{75450E49-F9BE-4244-9237-BAB0B482379D}" name="5929" dataDxfId="10681"/>
    <tableColumn id="5710" xr3:uid="{3132E480-EC74-4A73-AC25-B3C60AD7351D}" name="5930" dataDxfId="10680"/>
    <tableColumn id="5711" xr3:uid="{55E5D48E-B2AC-4524-A9FD-21B9F8E08BFA}" name="5931" dataDxfId="10679"/>
    <tableColumn id="5712" xr3:uid="{41BB7C7E-1C66-4072-B55E-17B1AE81D67A}" name="5932" dataDxfId="10678"/>
    <tableColumn id="5713" xr3:uid="{63F0F35A-A16E-4B56-B13F-08AB7858582E}" name="5933" dataDxfId="10677"/>
    <tableColumn id="5714" xr3:uid="{AF8378ED-4441-4ACE-AF9A-A09E5FDF4EAA}" name="5934" dataDxfId="10676"/>
    <tableColumn id="5715" xr3:uid="{69BDC718-CA4B-4461-BA0C-D21154DDE3A8}" name="5935" dataDxfId="10675"/>
    <tableColumn id="5716" xr3:uid="{C22A2833-7BF0-47C1-B8A8-DEED97EB5025}" name="5936" dataDxfId="10674"/>
    <tableColumn id="5717" xr3:uid="{734355E3-9854-48FD-B399-00E9731D87F1}" name="5937" dataDxfId="10673"/>
    <tableColumn id="5718" xr3:uid="{741930BF-13A1-4B5D-84B6-E209154EE9F2}" name="5938" dataDxfId="10672"/>
    <tableColumn id="5719" xr3:uid="{DF91364E-9852-441E-BF28-EBB4913A9F5C}" name="5939" dataDxfId="10671"/>
    <tableColumn id="5720" xr3:uid="{77160627-9546-474D-92AD-3ECE10DD1A42}" name="5940" dataDxfId="10670"/>
    <tableColumn id="5721" xr3:uid="{F485A185-4051-4502-8716-D43445DE718E}" name="5941" dataDxfId="10669"/>
    <tableColumn id="5722" xr3:uid="{2AF755AE-7C30-4242-A96D-BB2802E38CCF}" name="5942" dataDxfId="10668"/>
    <tableColumn id="5723" xr3:uid="{C9689C3F-2D2E-49C5-B57E-080EC9C2892B}" name="5943" dataDxfId="10667"/>
    <tableColumn id="5724" xr3:uid="{1527353A-7F28-462C-B41B-787C745DF12F}" name="5944" dataDxfId="10666"/>
    <tableColumn id="5725" xr3:uid="{722D9267-4DA0-49E4-B4CE-E327B52EFAA6}" name="5945" dataDxfId="10665"/>
    <tableColumn id="5726" xr3:uid="{A44714B7-55DD-42E7-9DF9-2CAAF7650D71}" name="5946" dataDxfId="10664"/>
    <tableColumn id="5727" xr3:uid="{4EC2B76C-E38E-49DA-9136-27D8A4E2EB9A}" name="5947" dataDxfId="10663"/>
    <tableColumn id="5728" xr3:uid="{A268FE8C-D444-45A3-A766-A1D841DFCF50}" name="5948" dataDxfId="10662"/>
    <tableColumn id="5729" xr3:uid="{F2963967-7157-4EF8-B191-C1524A5EE734}" name="5949" dataDxfId="10661"/>
    <tableColumn id="5730" xr3:uid="{870A4C60-1C63-4406-9ABF-9B35633665A8}" name="5950" dataDxfId="10660"/>
    <tableColumn id="5731" xr3:uid="{049E29D7-60F7-4309-B886-8A0E9219280D}" name="5951" dataDxfId="10659"/>
    <tableColumn id="5732" xr3:uid="{4C62386B-D97F-423C-B655-A89419C3FC61}" name="5952" dataDxfId="10658"/>
    <tableColumn id="5733" xr3:uid="{04763A23-4B8E-4013-AE86-9D22E0A7FD32}" name="5953" dataDxfId="10657"/>
    <tableColumn id="5734" xr3:uid="{5662F801-D3AF-499C-AA22-78CED1427DFD}" name="5954" dataDxfId="10656"/>
    <tableColumn id="5735" xr3:uid="{9545B478-CF32-45B2-A238-6B1EE6B696EC}" name="5955" dataDxfId="10655"/>
    <tableColumn id="5736" xr3:uid="{64B15099-C87B-43CB-A152-D1AE103F460E}" name="5956" dataDxfId="10654"/>
    <tableColumn id="5737" xr3:uid="{245949B3-B19B-4ABF-B2A8-2387F660AA84}" name="5957" dataDxfId="10653"/>
    <tableColumn id="5738" xr3:uid="{27BA88FE-ACB9-485A-9F43-E22595969CA6}" name="5958" dataDxfId="10652"/>
    <tableColumn id="5739" xr3:uid="{E9DA3361-ECE0-43E4-9EF5-723621574A8D}" name="5959" dataDxfId="10651"/>
    <tableColumn id="5740" xr3:uid="{7F95D3C0-CF55-4BA9-9CE3-3D28B34738A9}" name="5960" dataDxfId="10650"/>
    <tableColumn id="5741" xr3:uid="{C8384F46-74CA-4A24-9867-EC34864244E6}" name="5961" dataDxfId="10649"/>
    <tableColumn id="5742" xr3:uid="{55F367C7-D8A5-403A-BB0C-FF4A2AB4BCA4}" name="5962" dataDxfId="10648"/>
    <tableColumn id="5743" xr3:uid="{07D4F215-1649-4C5B-9207-DA97705E31DF}" name="5963" dataDxfId="10647"/>
    <tableColumn id="5744" xr3:uid="{7B887F1F-E487-43E2-815B-A638D6BC4084}" name="5964" dataDxfId="10646"/>
    <tableColumn id="5745" xr3:uid="{D9458804-4FC2-45CB-A0A4-3C730460D436}" name="5965" dataDxfId="10645"/>
    <tableColumn id="5746" xr3:uid="{2C2336E4-1075-43EA-92F3-72FB34B49C9A}" name="5966" dataDxfId="10644"/>
    <tableColumn id="5747" xr3:uid="{66579C4E-CD96-499F-903E-F0CB00C983EE}" name="5967" dataDxfId="10643"/>
    <tableColumn id="5748" xr3:uid="{8C57803E-400E-45AD-93E4-17FF3C02FDF8}" name="5968" dataDxfId="10642"/>
    <tableColumn id="5749" xr3:uid="{29107549-262D-4B09-A95C-601F580DAF9D}" name="5969" dataDxfId="10641"/>
    <tableColumn id="5750" xr3:uid="{C184D86B-75A2-4192-B2F6-0A4181D7CA80}" name="5970" dataDxfId="10640"/>
    <tableColumn id="5751" xr3:uid="{FF952993-4EF8-431D-BBC0-989C6CBABD47}" name="5971" dataDxfId="10639"/>
    <tableColumn id="5752" xr3:uid="{F314858E-57EF-46AA-916C-C125B41AC5CF}" name="5972" dataDxfId="10638"/>
    <tableColumn id="5753" xr3:uid="{4168566E-C4C9-4902-A612-FFCD21EE1C3F}" name="5973" dataDxfId="10637"/>
    <tableColumn id="5754" xr3:uid="{C8207C38-2410-4C5D-BF98-DAFF95324786}" name="5974" dataDxfId="10636"/>
    <tableColumn id="5755" xr3:uid="{E8BAC6DD-F6C8-4AB2-AB8B-9D0D0BA7562E}" name="5975" dataDxfId="10635"/>
    <tableColumn id="5756" xr3:uid="{78125FBC-CD27-4AF7-9123-9DE02B22C1F7}" name="5976" dataDxfId="10634"/>
    <tableColumn id="5757" xr3:uid="{B3A51E87-DCAF-438A-9FA1-1D3DE026B82A}" name="5977" dataDxfId="10633"/>
    <tableColumn id="5758" xr3:uid="{568C257D-993A-49BF-BCCB-4229B0243575}" name="5978" dataDxfId="10632"/>
    <tableColumn id="5759" xr3:uid="{D0FB62C4-1852-4EB6-9B8E-8BABD65F532C}" name="5979" dataDxfId="10631"/>
    <tableColumn id="5760" xr3:uid="{9C4E9180-BE2F-4874-8271-E6EC5E785122}" name="5980" dataDxfId="10630"/>
    <tableColumn id="5761" xr3:uid="{DE698673-3970-49DF-BD3F-322A5311EADA}" name="5981" dataDxfId="10629"/>
    <tableColumn id="5762" xr3:uid="{3BCAFD84-E733-4BD4-9AF8-44A684B2B3BC}" name="5982" dataDxfId="10628"/>
    <tableColumn id="5763" xr3:uid="{621DAE5C-89D0-476E-AE98-1384805F3C66}" name="5983" dataDxfId="10627"/>
    <tableColumn id="5764" xr3:uid="{EEC94A67-D8AA-44F8-B562-919EF3BCB1EE}" name="5984" dataDxfId="10626"/>
    <tableColumn id="5765" xr3:uid="{C183D9CE-E290-4ED2-8DE0-2F65DD8B1FAE}" name="5985" dataDxfId="10625"/>
    <tableColumn id="5766" xr3:uid="{0BFDBFBF-CFE6-46C9-8AAA-B19AAEB831D7}" name="5986" dataDxfId="10624"/>
    <tableColumn id="5767" xr3:uid="{FC91426A-6D1B-4DC4-886F-ED51112B9D93}" name="5987" dataDxfId="10623"/>
    <tableColumn id="5768" xr3:uid="{CC5E643A-2C5F-41C6-BB30-1EF6F5C1D5C6}" name="5988" dataDxfId="10622"/>
    <tableColumn id="5769" xr3:uid="{24EC440D-4C27-46F6-9291-86706BA10597}" name="5989" dataDxfId="10621"/>
    <tableColumn id="5770" xr3:uid="{719CE7FF-843F-477A-BF9B-2E6EC151B117}" name="5990" dataDxfId="10620"/>
    <tableColumn id="5771" xr3:uid="{77AFD353-642A-487D-BE05-4041DB02498A}" name="5991" dataDxfId="10619"/>
    <tableColumn id="5772" xr3:uid="{C92FF756-B4C5-41FD-95BE-E145F7373AC3}" name="5992" dataDxfId="10618"/>
    <tableColumn id="5773" xr3:uid="{95A43B26-D3DC-4ECC-99DF-7EFC82BCEECD}" name="5993" dataDxfId="10617"/>
    <tableColumn id="5774" xr3:uid="{E9898DCC-3D99-4B8E-82C4-25B7C02140A9}" name="5994" dataDxfId="10616"/>
    <tableColumn id="5775" xr3:uid="{903C70BD-70AB-47A8-965F-F21758B498BB}" name="5995" dataDxfId="10615"/>
    <tableColumn id="5776" xr3:uid="{E695E553-96B2-496D-93B6-DACB1436227D}" name="5996" dataDxfId="10614"/>
    <tableColumn id="5777" xr3:uid="{95CAD078-5985-4419-8C32-17BEF422B030}" name="5997" dataDxfId="10613"/>
    <tableColumn id="5778" xr3:uid="{A8110D15-6234-4D30-ACCD-A058EDD0D51C}" name="5998" dataDxfId="10612"/>
    <tableColumn id="5779" xr3:uid="{21E8F69C-4BB7-4D32-AC5B-44CFC783362F}" name="5999" dataDxfId="10611"/>
    <tableColumn id="5780" xr3:uid="{1EABA5F7-E9C5-43F0-8F03-098D0AB6B1D0}" name="6000" dataDxfId="10610"/>
    <tableColumn id="5781" xr3:uid="{0E673DC8-31C4-43BF-8516-162F3C7ADE1A}" name="6001" dataDxfId="10609"/>
    <tableColumn id="5782" xr3:uid="{52950176-F20F-4322-97C9-5A998993A709}" name="6002" dataDxfId="10608"/>
    <tableColumn id="5783" xr3:uid="{F65C82C4-7B7B-47D4-AC2A-E5EEBB491799}" name="6003" dataDxfId="10607"/>
    <tableColumn id="5784" xr3:uid="{87F8D399-338B-4D8B-8882-2C129F82333D}" name="6004" dataDxfId="10606"/>
    <tableColumn id="5785" xr3:uid="{67683FBC-6C34-47A8-9F19-7513C657DC87}" name="6005" dataDxfId="10605"/>
    <tableColumn id="5786" xr3:uid="{850FAFBA-5B32-4495-9645-4534F591A35F}" name="6006" dataDxfId="10604"/>
    <tableColumn id="5787" xr3:uid="{1755B5EB-6EE3-4632-8168-9C5A6688A110}" name="6007" dataDxfId="10603"/>
    <tableColumn id="5788" xr3:uid="{5E418AFA-C03C-42E3-999D-AEBD3712062B}" name="6008" dataDxfId="10602"/>
    <tableColumn id="5789" xr3:uid="{E43B9511-4C5F-4B59-B5F7-5E057F055A16}" name="6009" dataDxfId="10601"/>
    <tableColumn id="5790" xr3:uid="{82BE9F78-AA8C-49C2-883E-ECEBB7AE7268}" name="6010" dataDxfId="10600"/>
    <tableColumn id="5791" xr3:uid="{9A544254-8075-40C7-A4E2-34E5D2F3F288}" name="6011" dataDxfId="10599"/>
    <tableColumn id="5792" xr3:uid="{C6D464D5-8605-411A-A70C-233DF72D3C7B}" name="6012" dataDxfId="10598"/>
    <tableColumn id="5793" xr3:uid="{3FD9A612-0FFE-4CF5-9397-D8EF11941E7F}" name="6013" dataDxfId="10597"/>
    <tableColumn id="5794" xr3:uid="{EC17974C-1215-4003-9E94-5D0E0BDE846C}" name="6014" dataDxfId="10596"/>
    <tableColumn id="5795" xr3:uid="{A7AB3057-E2A3-4271-9317-1B092040DB61}" name="6015" dataDxfId="10595"/>
    <tableColumn id="5796" xr3:uid="{D61B31D9-8B47-4F20-8D1C-0CAEB03A09EE}" name="6016" dataDxfId="10594"/>
    <tableColumn id="5797" xr3:uid="{3F92856F-20A7-48DD-81E6-C4152CFE3CCB}" name="6017" dataDxfId="10593"/>
    <tableColumn id="5798" xr3:uid="{2113B8D2-F5E5-40B3-937F-2A87B650C072}" name="6018" dataDxfId="10592"/>
    <tableColumn id="5799" xr3:uid="{4420D3D2-ABE9-4119-A90E-2D812190D5C3}" name="6019" dataDxfId="10591"/>
    <tableColumn id="5800" xr3:uid="{C5C717DC-8F20-46D7-BF5A-7D8CA6075DC4}" name="6020" dataDxfId="10590"/>
    <tableColumn id="5801" xr3:uid="{9AB3565B-68E9-4C1E-B340-01E113E99ADC}" name="6021" dataDxfId="10589"/>
    <tableColumn id="5802" xr3:uid="{DBE2A735-BCA5-4569-B4E2-677EC0CA5A86}" name="6022" dataDxfId="10588"/>
    <tableColumn id="5803" xr3:uid="{547827C3-B11B-4CE4-AD6C-587495DCF2DF}" name="6023" dataDxfId="10587"/>
    <tableColumn id="5804" xr3:uid="{ACD08796-0908-484A-BC92-85B8E2567061}" name="6024" dataDxfId="10586"/>
    <tableColumn id="5805" xr3:uid="{C6BBE1E3-349B-4A87-9AEB-9A969A713E22}" name="6025" dataDxfId="10585"/>
    <tableColumn id="5806" xr3:uid="{5B99263D-7129-4C78-9FA9-7319C8D7A117}" name="6026" dataDxfId="10584"/>
    <tableColumn id="5807" xr3:uid="{A82B5292-FD5B-4229-AE08-B3BFD58C6A34}" name="6027" dataDxfId="10583"/>
    <tableColumn id="5808" xr3:uid="{D39608A4-794A-4BF3-BC64-A8476A9FF31D}" name="6028" dataDxfId="10582"/>
    <tableColumn id="5809" xr3:uid="{F334F97E-F4BA-4E88-BF2B-4B4ABF08E4A5}" name="6029" dataDxfId="10581"/>
    <tableColumn id="5810" xr3:uid="{0B722C51-7E32-4C23-938D-AF5FCAEF59BA}" name="6030" dataDxfId="10580"/>
    <tableColumn id="5811" xr3:uid="{47390BF8-9F9A-4742-9B3D-DB6CAFAE3F6A}" name="6031" dataDxfId="10579"/>
    <tableColumn id="5812" xr3:uid="{19FF55E7-48A0-416A-8736-B21102166208}" name="6032" dataDxfId="10578"/>
    <tableColumn id="5813" xr3:uid="{95B14DA9-5083-4F6A-8E45-358C8CE7C66C}" name="6033" dataDxfId="10577"/>
    <tableColumn id="5814" xr3:uid="{9FA6B650-34E4-4917-93C4-188414A48B58}" name="6034" dataDxfId="10576"/>
    <tableColumn id="5815" xr3:uid="{B51E41F4-7B24-42DB-A814-AAB40C102EA6}" name="6035" dataDxfId="10575"/>
    <tableColumn id="5816" xr3:uid="{C7294C8A-2F39-4C27-A0F8-5A0E25A3E6F6}" name="6036" dataDxfId="10574"/>
    <tableColumn id="5817" xr3:uid="{274DCEF0-4B46-4B16-ADA2-8704DB872667}" name="6037" dataDxfId="10573"/>
    <tableColumn id="5818" xr3:uid="{FADA05F8-7E97-4331-B2C4-1D4B0703D247}" name="6038" dataDxfId="10572"/>
    <tableColumn id="5819" xr3:uid="{87CB8A04-878C-4BEB-81DB-9ACDB625229E}" name="6039" dataDxfId="10571"/>
    <tableColumn id="5820" xr3:uid="{2DAD7C20-1DFC-4597-AD2E-28FC7AFDBCF9}" name="6040" dataDxfId="10570"/>
    <tableColumn id="5821" xr3:uid="{4B8AD761-C5BF-42B3-A4CE-95610E633256}" name="6041" dataDxfId="10569"/>
    <tableColumn id="5822" xr3:uid="{7EE46B6D-8773-420F-90BB-3336F9775EC9}" name="6042" dataDxfId="10568"/>
    <tableColumn id="5823" xr3:uid="{0BFE7B54-040F-47C6-AC7A-363C88CC9B05}" name="6043" dataDxfId="10567"/>
    <tableColumn id="5824" xr3:uid="{462C59F6-9C0C-4738-8C17-B6934CB84D0B}" name="6044" dataDxfId="10566"/>
    <tableColumn id="5825" xr3:uid="{6CC4C790-9636-44DD-A8E2-E995673271EB}" name="6045" dataDxfId="10565"/>
    <tableColumn id="5826" xr3:uid="{A81C77E5-0724-4E7C-BFE2-097307C7EE3C}" name="6046" dataDxfId="10564"/>
    <tableColumn id="5827" xr3:uid="{F0C42242-28D5-48EC-A8AE-F5ADCA592149}" name="6047" dataDxfId="10563"/>
    <tableColumn id="5828" xr3:uid="{284C76C7-31B0-4C0A-90C3-C1BF9219A2D8}" name="6048" dataDxfId="10562"/>
    <tableColumn id="5829" xr3:uid="{02FF573C-55D0-4DB5-BDD3-F26AD6919A82}" name="6049" dataDxfId="10561"/>
    <tableColumn id="5830" xr3:uid="{2CC5E3FF-4AB5-40F6-B0CC-03444B5212E5}" name="6050" dataDxfId="10560"/>
    <tableColumn id="5831" xr3:uid="{0B30C60C-68C7-429D-B8A7-618990019F20}" name="6051" dataDxfId="10559"/>
    <tableColumn id="5832" xr3:uid="{0762DB66-D636-4740-977B-6E834718150A}" name="6052" dataDxfId="10558"/>
    <tableColumn id="5833" xr3:uid="{1E84FB60-F7B6-4AC6-B8C6-B653ED01F594}" name="6053" dataDxfId="10557"/>
    <tableColumn id="5834" xr3:uid="{C2A0E713-1D47-4508-884C-02084D19308C}" name="6054" dataDxfId="10556"/>
    <tableColumn id="5835" xr3:uid="{4068E982-4208-45D1-BFC9-33265E05F08F}" name="6055" dataDxfId="10555"/>
    <tableColumn id="5836" xr3:uid="{C6445CA3-B0B7-4A8A-95FB-7CEDEF9A65A6}" name="6056" dataDxfId="10554"/>
    <tableColumn id="5837" xr3:uid="{C0CE22B2-680D-4D05-86A9-44A8F103B194}" name="6057" dataDxfId="10553"/>
    <tableColumn id="5838" xr3:uid="{FECE69DA-A80E-49BD-9DBB-450D4064B88D}" name="6058" dataDxfId="10552"/>
    <tableColumn id="5839" xr3:uid="{580C119C-7DCA-4965-B53E-D2B951E218C7}" name="6059" dataDxfId="10551"/>
    <tableColumn id="5840" xr3:uid="{D68B63C5-8F49-45A0-8845-2BBFF15C45F2}" name="6060" dataDxfId="10550"/>
    <tableColumn id="5841" xr3:uid="{4F49F74E-F693-4AE3-A687-C238C1139A84}" name="6061" dataDxfId="10549"/>
    <tableColumn id="5842" xr3:uid="{834E63D6-EDBD-49D6-A995-758B88693569}" name="6062" dataDxfId="10548"/>
    <tableColumn id="5843" xr3:uid="{D7CBE191-AFF2-4750-AF8B-3345406E9CE5}" name="6063" dataDxfId="10547"/>
    <tableColumn id="5844" xr3:uid="{B64CA478-89BF-48B1-B93D-F34840DC8FE3}" name="6064" dataDxfId="10546"/>
    <tableColumn id="5845" xr3:uid="{650B8375-D883-497B-BDAA-4473384570E1}" name="6065" dataDxfId="10545"/>
    <tableColumn id="5846" xr3:uid="{165E9022-838C-4004-BABA-193B6B1F149F}" name="6066" dataDxfId="10544"/>
    <tableColumn id="5847" xr3:uid="{B29E0914-C72C-46D3-8A3E-967177AD3FE4}" name="6067" dataDxfId="10543"/>
    <tableColumn id="5848" xr3:uid="{C2835029-D1B7-4DAF-B05F-1B8C00837605}" name="6068" dataDxfId="10542"/>
    <tableColumn id="5849" xr3:uid="{06397DE5-2AEC-4D41-BFF4-78D60467AEBC}" name="6069" dataDxfId="10541"/>
    <tableColumn id="5850" xr3:uid="{D5E42A20-706E-4C3D-85F3-70E9A49FC535}" name="6070" dataDxfId="10540"/>
    <tableColumn id="5851" xr3:uid="{B57C3EBF-0D10-4FB0-A769-2179519567A6}" name="6071" dataDxfId="10539"/>
    <tableColumn id="5852" xr3:uid="{27267F85-452A-4D6F-AAD7-1968DFD2B459}" name="6072" dataDxfId="10538"/>
    <tableColumn id="5853" xr3:uid="{AAD01E7C-2D29-4C89-A05B-C70F441CA095}" name="6073" dataDxfId="10537"/>
    <tableColumn id="5854" xr3:uid="{402F9CE1-F0F8-4CB1-863C-5A1B8E2F2A7F}" name="6074" dataDxfId="10536"/>
    <tableColumn id="5855" xr3:uid="{4AECCEDC-5E98-4E0E-BC9F-9CB1C329B5B3}" name="6075" dataDxfId="10535"/>
    <tableColumn id="5856" xr3:uid="{1C87AAF4-81AF-4BDC-91D3-6CC3E6A00C04}" name="6076" dataDxfId="10534"/>
    <tableColumn id="5857" xr3:uid="{D1749065-E9B5-4053-99AC-8A1824637A0C}" name="6077" dataDxfId="10533"/>
    <tableColumn id="5858" xr3:uid="{9D59EA12-3FC6-4FF3-B83B-0A67E84BD9E5}" name="6078" dataDxfId="10532"/>
    <tableColumn id="5859" xr3:uid="{A97A189E-1A70-4E8D-9177-A9AC5A88ADA3}" name="6079" dataDxfId="10531"/>
    <tableColumn id="5860" xr3:uid="{D04587C5-E109-48EF-A26E-B9EFA683D7BC}" name="6080" dataDxfId="10530"/>
    <tableColumn id="5861" xr3:uid="{D873D90D-1CBB-4DAC-AC28-A23AE7C730E8}" name="6081" dataDxfId="10529"/>
    <tableColumn id="5862" xr3:uid="{6C07272F-9615-498A-824B-27CC5C6A8485}" name="6082" dataDxfId="10528"/>
    <tableColumn id="5863" xr3:uid="{F4C140B7-AF63-42C2-9C45-86D616B90952}" name="6083" dataDxfId="10527"/>
    <tableColumn id="5864" xr3:uid="{109055EF-6604-4009-8D22-08F9158D8611}" name="6084" dataDxfId="10526"/>
    <tableColumn id="5865" xr3:uid="{22CD40BD-0AEE-4CEA-932A-5A4149E791C2}" name="6085" dataDxfId="10525"/>
    <tableColumn id="5866" xr3:uid="{32FC8FD8-DF9E-4AD7-A491-656A959888B6}" name="6086" dataDxfId="10524"/>
    <tableColumn id="5867" xr3:uid="{3AB6DA62-4B3A-4A4C-96D3-C177C281A8D3}" name="6087" dataDxfId="10523"/>
    <tableColumn id="5868" xr3:uid="{F8DE14BF-A1BF-4CAC-9D6D-818DA2A62BE4}" name="6088" dataDxfId="10522"/>
    <tableColumn id="5869" xr3:uid="{EB437CE4-3CC1-4C27-A0D0-5AD85189936C}" name="6089" dataDxfId="10521"/>
    <tableColumn id="5870" xr3:uid="{246761E4-C2EB-42E7-B459-DB928C239C7B}" name="6090" dataDxfId="10520"/>
    <tableColumn id="5871" xr3:uid="{499F3F57-7FC1-4E26-B14B-C61354A3C02F}" name="6091" dataDxfId="10519"/>
    <tableColumn id="5872" xr3:uid="{F32F7B82-B809-4D31-AEBB-0C4293F737B8}" name="6092" dataDxfId="10518"/>
    <tableColumn id="5873" xr3:uid="{46840306-7F1D-480A-A472-EF38470EE2EE}" name="6093" dataDxfId="10517"/>
    <tableColumn id="5874" xr3:uid="{70D01D1D-CF0C-491C-BAF2-5B4DC847A487}" name="6094" dataDxfId="10516"/>
    <tableColumn id="5875" xr3:uid="{25B49D5E-5FCB-47B6-B75A-E244F478377D}" name="6095" dataDxfId="10515"/>
    <tableColumn id="5876" xr3:uid="{64545B7F-CF13-4F97-8233-4E04DDEE69EA}" name="6096" dataDxfId="10514"/>
    <tableColumn id="5877" xr3:uid="{F57696EB-690B-45EF-804D-33D564122313}" name="6097" dataDxfId="10513"/>
    <tableColumn id="5878" xr3:uid="{5FF1DBAF-A542-409E-824E-FCE757299060}" name="6098" dataDxfId="10512"/>
    <tableColumn id="5879" xr3:uid="{D9BF7183-53B0-4887-A279-D3D35A8C6CB8}" name="6099" dataDxfId="10511"/>
    <tableColumn id="5880" xr3:uid="{16B0F92F-95D1-450F-8A7C-F2345636DC95}" name="6100" dataDxfId="10510"/>
    <tableColumn id="5881" xr3:uid="{6B88D52B-43FE-4DA8-BDAF-B0CE5D08A5AC}" name="6101" dataDxfId="10509"/>
    <tableColumn id="5882" xr3:uid="{C1B8F30B-E2FA-4428-A4C9-329BB4438CB1}" name="6102" dataDxfId="10508"/>
    <tableColumn id="5883" xr3:uid="{F04C6D07-415C-458E-BB01-42B12D303B7F}" name="6103" dataDxfId="10507"/>
    <tableColumn id="5884" xr3:uid="{2498A2C4-72B5-4756-B836-F389FE50A724}" name="6104" dataDxfId="10506"/>
    <tableColumn id="5885" xr3:uid="{94C3B1C3-F553-455D-872C-40B7732103D9}" name="6105" dataDxfId="10505"/>
    <tableColumn id="5886" xr3:uid="{41B625C7-1950-4AAF-9A1A-D10688249459}" name="6106" dataDxfId="10504"/>
    <tableColumn id="5887" xr3:uid="{F1B31D3D-57E6-4A8D-98A1-5F49CED261A3}" name="6107" dataDxfId="10503"/>
    <tableColumn id="5888" xr3:uid="{925CBD42-DDC6-4DB3-BC8B-203B95BD7202}" name="6108" dataDxfId="10502"/>
    <tableColumn id="5889" xr3:uid="{C31C2A9E-444F-4CF5-85E3-75CD0D53779C}" name="6109" dataDxfId="10501"/>
    <tableColumn id="5890" xr3:uid="{C46856EC-57E3-4D33-954A-259C544A5614}" name="6110" dataDxfId="10500"/>
    <tableColumn id="5891" xr3:uid="{5CD6F087-EF42-4277-9B2F-A8EF15451497}" name="6111" dataDxfId="10499"/>
    <tableColumn id="5892" xr3:uid="{B35C8B78-E992-4519-B59B-1FD5B5A75AA4}" name="6112" dataDxfId="10498"/>
    <tableColumn id="5893" xr3:uid="{778C998B-DF93-461C-A02E-75EDAA838655}" name="6113" dataDxfId="10497"/>
    <tableColumn id="5894" xr3:uid="{C10D58BE-4F56-415A-ACBC-94B30D2CFD80}" name="6114" dataDxfId="10496"/>
    <tableColumn id="5895" xr3:uid="{F5924F7E-E01D-4E88-BCB4-861E5AB6CDC7}" name="6115" dataDxfId="10495"/>
    <tableColumn id="5896" xr3:uid="{E7629325-1093-4858-A849-D40BEA9E13A0}" name="6116" dataDxfId="10494"/>
    <tableColumn id="5897" xr3:uid="{B27F54A5-E119-469E-A817-EC0A5AB487DD}" name="6117" dataDxfId="10493"/>
    <tableColumn id="5898" xr3:uid="{06ECA5EB-6B96-486F-955C-E0C132133B6C}" name="6118" dataDxfId="10492"/>
    <tableColumn id="5899" xr3:uid="{0CEEA282-B21D-46AF-9C86-27F531CE8F6E}" name="6119" dataDxfId="10491"/>
    <tableColumn id="5900" xr3:uid="{8AD67214-03F3-4064-8741-453489532CF6}" name="6120" dataDxfId="10490"/>
    <tableColumn id="5901" xr3:uid="{A043B9CC-45F0-4AE8-963A-E2A0B8333B24}" name="6121" dataDxfId="10489"/>
    <tableColumn id="5902" xr3:uid="{D579BC65-A39C-4958-9A92-F3BDC4B5784B}" name="6122" dataDxfId="10488"/>
    <tableColumn id="5903" xr3:uid="{5459E4F5-BCE9-4D58-8333-84E5DFADD6E8}" name="6123" dataDxfId="10487"/>
    <tableColumn id="5904" xr3:uid="{91853108-D4A9-4A37-960E-B7E8A87E4878}" name="6124" dataDxfId="10486"/>
    <tableColumn id="5905" xr3:uid="{8D0700A6-A484-4ECD-9E9E-3E39CD4B09C7}" name="6125" dataDxfId="10485"/>
    <tableColumn id="5906" xr3:uid="{1A9F3165-26B1-408E-8892-E882FB529463}" name="6126" dataDxfId="10484"/>
    <tableColumn id="5907" xr3:uid="{02DC417A-17AA-4367-B87E-D4F444F839C9}" name="6127" dataDxfId="10483"/>
    <tableColumn id="5908" xr3:uid="{55E3A243-CA34-4986-8E71-AA66C88E6E54}" name="6128" dataDxfId="10482"/>
    <tableColumn id="5909" xr3:uid="{C55AB5F8-3CF1-49D3-BFE3-FAC739A2A986}" name="6129" dataDxfId="10481"/>
    <tableColumn id="5910" xr3:uid="{3E3F6C60-A4DA-4EB9-A7FA-34DCC1634E9A}" name="6130" dataDxfId="10480"/>
    <tableColumn id="5911" xr3:uid="{BD12B1E3-AEDF-4381-9858-5BB26B522D6F}" name="6131" dataDxfId="10479"/>
    <tableColumn id="5912" xr3:uid="{67E982C3-3EEC-495A-A408-5E4DA9A0D73A}" name="6132" dataDxfId="10478"/>
    <tableColumn id="5913" xr3:uid="{778B0567-222B-40E6-81BA-FDE0F713826A}" name="6133" dataDxfId="10477"/>
    <tableColumn id="5914" xr3:uid="{EE7AEF8B-2769-4A48-B52C-81C85813F148}" name="6134" dataDxfId="10476"/>
    <tableColumn id="5915" xr3:uid="{28F23F36-A8C5-4C85-AEE7-A60022974C36}" name="6135" dataDxfId="10475"/>
    <tableColumn id="5916" xr3:uid="{E76F5B23-4575-4384-88FF-E4ACC660EDF9}" name="6136" dataDxfId="10474"/>
    <tableColumn id="5917" xr3:uid="{02F5EFAD-4D9F-4972-8B52-0D0FD551EFD6}" name="6137" dataDxfId="10473"/>
    <tableColumn id="5918" xr3:uid="{5A72C981-706B-40B7-B365-BABE812B0F00}" name="6138" dataDxfId="10472"/>
    <tableColumn id="5919" xr3:uid="{D03C2E51-E605-4051-A398-068F79399F18}" name="6139" dataDxfId="10471"/>
    <tableColumn id="5920" xr3:uid="{C45898B8-DBCE-40BA-BF31-B002D9638631}" name="6140" dataDxfId="10470"/>
    <tableColumn id="5921" xr3:uid="{9E63ADA7-5298-4F61-B946-1EABD9DDF7B6}" name="6141" dataDxfId="10469"/>
    <tableColumn id="5922" xr3:uid="{3EC794A6-7260-4CBA-8EBB-8DEF68390B13}" name="6142" dataDxfId="10468"/>
    <tableColumn id="5923" xr3:uid="{C71D87E0-6EB4-4BF3-9440-6FFC038E0D1E}" name="6143" dataDxfId="10467"/>
    <tableColumn id="5924" xr3:uid="{C1DC1F4E-B5C5-43F6-987B-CAF7D8591DF6}" name="6144" dataDxfId="10466"/>
    <tableColumn id="5925" xr3:uid="{5A42A397-11CE-43B5-8D42-88D5C2337246}" name="6145" dataDxfId="10465"/>
    <tableColumn id="5926" xr3:uid="{9B780D53-4B8B-4F79-AA7B-9F3B682064A3}" name="6146" dataDxfId="10464"/>
    <tableColumn id="5927" xr3:uid="{34CAE843-22B9-4466-A9E6-638AD14DAB45}" name="6147" dataDxfId="10463"/>
    <tableColumn id="5928" xr3:uid="{A52A7A9B-151E-481E-A940-83030053E03E}" name="6148" dataDxfId="10462"/>
    <tableColumn id="5929" xr3:uid="{5069D44D-8B61-4BA4-BC2C-8059505643CC}" name="6149" dataDxfId="10461"/>
    <tableColumn id="5930" xr3:uid="{1B45334A-21E7-4675-B04D-9C7D5D184FE6}" name="6150" dataDxfId="10460"/>
    <tableColumn id="5931" xr3:uid="{F715D087-1997-452A-BB4D-210B602DB3DD}" name="6151" dataDxfId="10459"/>
    <tableColumn id="5932" xr3:uid="{C685B97C-3056-4E46-99DF-B16582B56BF0}" name="6152" dataDxfId="10458"/>
    <tableColumn id="5933" xr3:uid="{34C1FB07-1977-48C5-9CD0-459C672817BF}" name="6153" dataDxfId="10457"/>
    <tableColumn id="5934" xr3:uid="{44930D07-B99D-4053-8CCE-FF4B8761637C}" name="6154" dataDxfId="10456"/>
    <tableColumn id="5935" xr3:uid="{449955AD-8931-4628-BFBA-8F6346CFF19F}" name="6155" dataDxfId="10455"/>
    <tableColumn id="5936" xr3:uid="{A681F905-3C68-404E-88C9-57395F0B7028}" name="6156" dataDxfId="10454"/>
    <tableColumn id="5937" xr3:uid="{EE31AB47-ACD0-45BD-91FF-F77D64224EA4}" name="6157" dataDxfId="10453"/>
    <tableColumn id="5938" xr3:uid="{EBAE34E3-25BC-4867-9948-E0020CAD86F9}" name="6158" dataDxfId="10452"/>
    <tableColumn id="5939" xr3:uid="{FAEF599D-87EE-4FAC-AC54-0D5B604CC06B}" name="6159" dataDxfId="10451"/>
    <tableColumn id="5940" xr3:uid="{17F3C2B2-EE79-454C-800A-FDAB6773F62F}" name="6160" dataDxfId="10450"/>
    <tableColumn id="5941" xr3:uid="{C441FE80-E427-44CC-9710-B8C783E92404}" name="6161" dataDxfId="10449"/>
    <tableColumn id="5942" xr3:uid="{7F922CE6-DC7C-4513-B33A-D950E10576ED}" name="6162" dataDxfId="10448"/>
    <tableColumn id="5943" xr3:uid="{B702152F-6EF4-4083-86C2-DDFFE9727FD4}" name="6163" dataDxfId="10447"/>
    <tableColumn id="5944" xr3:uid="{6C4BFD84-705A-42CF-B96B-F0E0FBDBCBBB}" name="6164" dataDxfId="10446"/>
    <tableColumn id="5945" xr3:uid="{308C4D45-243F-4933-B013-FA73FA41DE7B}" name="6165" dataDxfId="10445"/>
    <tableColumn id="5946" xr3:uid="{E8D85F8C-3BDF-4F32-BD89-E027F636CBCB}" name="6166" dataDxfId="10444"/>
    <tableColumn id="5947" xr3:uid="{964FA993-E88E-4C2D-A030-344052F2A3F9}" name="6167" dataDxfId="10443"/>
    <tableColumn id="5948" xr3:uid="{EFC3D860-3034-4578-9051-E1DD0F2BE058}" name="6168" dataDxfId="10442"/>
    <tableColumn id="5949" xr3:uid="{799A774A-E2FB-4B17-94EB-42B10198BB45}" name="6169" dataDxfId="10441"/>
    <tableColumn id="5950" xr3:uid="{CECB69D8-3B07-42B6-8E8D-960B6BF7BD46}" name="6170" dataDxfId="10440"/>
    <tableColumn id="5951" xr3:uid="{04AF3EEF-97E3-4AEC-BFF2-566D09CD5628}" name="6171" dataDxfId="10439"/>
    <tableColumn id="5952" xr3:uid="{5FB9982E-2146-4C08-BF10-5B6CE1304228}" name="6172" dataDxfId="10438"/>
    <tableColumn id="5953" xr3:uid="{01426DD8-C433-4B8D-BD24-F820D412129A}" name="6173" dataDxfId="10437"/>
    <tableColumn id="5954" xr3:uid="{24020080-FF72-4AE1-845D-D06D0F19BF30}" name="6174" dataDxfId="10436"/>
    <tableColumn id="5955" xr3:uid="{E9CA5E1D-D765-4583-9388-ABBDF22470F5}" name="6175" dataDxfId="10435"/>
    <tableColumn id="5956" xr3:uid="{344F3810-AC27-425A-BDB6-85D344B3E67C}" name="6176" dataDxfId="10434"/>
    <tableColumn id="5957" xr3:uid="{66F1F005-BC8B-486D-A4B0-EE7B39B1460D}" name="6177" dataDxfId="10433"/>
    <tableColumn id="5958" xr3:uid="{640C30F2-74BB-42B8-8F7F-C22EA6AD5F90}" name="6178" dataDxfId="10432"/>
    <tableColumn id="5959" xr3:uid="{BA8529DB-F51B-4F2D-ADC0-7C8471BA49A2}" name="6179" dataDxfId="10431"/>
    <tableColumn id="5960" xr3:uid="{C5506231-A7AE-4D1A-87F9-AF48FCABEE95}" name="6180" dataDxfId="10430"/>
    <tableColumn id="5961" xr3:uid="{014E9D2E-6BD7-4A36-A3B9-39565BC721EE}" name="6181" dataDxfId="10429"/>
    <tableColumn id="5962" xr3:uid="{AE0A129C-E856-4147-9178-F992E57EE47C}" name="6182" dataDxfId="10428"/>
    <tableColumn id="5963" xr3:uid="{18D45EF6-D599-4F2C-8F80-8A3EA3171ACD}" name="6183" dataDxfId="10427"/>
    <tableColumn id="5964" xr3:uid="{66116871-CE51-454F-B39E-CAD8DB2AAFC9}" name="6184" dataDxfId="10426"/>
    <tableColumn id="5965" xr3:uid="{AF10F1DA-BA4A-42EA-ABE7-3DB832E49991}" name="6185" dataDxfId="10425"/>
    <tableColumn id="5966" xr3:uid="{3442C3D9-A35E-4300-AE97-839E98B28EC7}" name="6186" dataDxfId="10424"/>
    <tableColumn id="5967" xr3:uid="{516C73E8-26DF-4DEF-8C34-AD4DA4E06F7D}" name="6187" dataDxfId="10423"/>
    <tableColumn id="5968" xr3:uid="{A464359C-1B5E-42E3-963D-8A5C460B5F6F}" name="6188" dataDxfId="10422"/>
    <tableColumn id="5969" xr3:uid="{E3AB99D2-E9FF-443B-892F-90F3295A1749}" name="6189" dataDxfId="10421"/>
    <tableColumn id="5970" xr3:uid="{0D0D8DF4-939C-4AC4-AAD5-3F7F26C309EE}" name="6190" dataDxfId="10420"/>
    <tableColumn id="5971" xr3:uid="{BE21ADF2-EC0C-414A-AE08-AB72E007D5BC}" name="6191" dataDxfId="10419"/>
    <tableColumn id="5972" xr3:uid="{4F1B296B-BB7F-4C66-B8F1-FF58FBF4CEF6}" name="6192" dataDxfId="10418"/>
    <tableColumn id="5973" xr3:uid="{B4C5EB07-04D7-4D8D-AEC1-0766DF3B5BA5}" name="6193" dataDxfId="10417"/>
    <tableColumn id="5974" xr3:uid="{D5760119-E22A-46E0-A8B8-1A4948A7577A}" name="6194" dataDxfId="10416"/>
    <tableColumn id="5975" xr3:uid="{1F9E849B-6459-43FD-B3BF-05CEA51FB5BB}" name="6195" dataDxfId="10415"/>
    <tableColumn id="5976" xr3:uid="{E1507BF5-CA54-4533-8289-B5C7C010C773}" name="6196" dataDxfId="10414"/>
    <tableColumn id="5977" xr3:uid="{51C3B3D9-1E08-4204-8B08-6B2862B2367B}" name="6197" dataDxfId="10413"/>
    <tableColumn id="5978" xr3:uid="{C760D7A2-DAA9-4305-A856-A5B4B689F38D}" name="6198" dataDxfId="10412"/>
    <tableColumn id="5979" xr3:uid="{5B0CEB57-ABED-4A0C-9CD5-44B3CEEF639A}" name="6199" dataDxfId="10411"/>
    <tableColumn id="5980" xr3:uid="{F64478E1-3308-4BE1-B17D-D4935B5FD465}" name="6200" dataDxfId="10410"/>
    <tableColumn id="5981" xr3:uid="{1C2E64D2-401B-4C88-B21C-56A799835039}" name="6201" dataDxfId="10409"/>
    <tableColumn id="5982" xr3:uid="{BA97C8F7-1F4C-40F0-B532-FB69207652FC}" name="6202" dataDxfId="10408"/>
    <tableColumn id="5983" xr3:uid="{5977C095-9CE0-45D6-A6B6-917E9B7EB461}" name="6203" dataDxfId="10407"/>
    <tableColumn id="5984" xr3:uid="{A8242A07-965B-477D-8E7A-2053CBF52D49}" name="6204" dataDxfId="10406"/>
    <tableColumn id="5985" xr3:uid="{A3E6669B-7C4C-4860-8E4B-BF0DFDDA373B}" name="6205" dataDxfId="10405"/>
    <tableColumn id="5986" xr3:uid="{AA1571AB-79CA-4023-B034-83BB1914F30C}" name="6206" dataDxfId="10404"/>
    <tableColumn id="5987" xr3:uid="{31B31052-C9DA-42DF-BA7A-8C6D44BF0AFE}" name="6207" dataDxfId="10403"/>
    <tableColumn id="5988" xr3:uid="{D6375A95-35D8-4D2E-B5BB-F0308A80257E}" name="6208" dataDxfId="10402"/>
    <tableColumn id="5989" xr3:uid="{E27C090F-AE83-4E31-9756-D9C2BAE8F26E}" name="6209" dataDxfId="10401"/>
    <tableColumn id="5990" xr3:uid="{6351630A-4EEB-4501-B9CB-8B4B2C21E7D6}" name="6210" dataDxfId="10400"/>
    <tableColumn id="5991" xr3:uid="{55224138-B819-4674-B90F-A25C76F149BA}" name="6211" dataDxfId="10399"/>
    <tableColumn id="5992" xr3:uid="{0C247BDF-30E0-4728-8FCE-B4AD4291F625}" name="6212" dataDxfId="10398"/>
    <tableColumn id="5993" xr3:uid="{17208618-1F15-4FEA-B05E-2C54502F8551}" name="6213" dataDxfId="10397"/>
    <tableColumn id="5994" xr3:uid="{227556DE-81E9-4289-94EA-A2C652AE0CAA}" name="6214" dataDxfId="10396"/>
    <tableColumn id="5995" xr3:uid="{292FD249-94DE-49DB-9257-60C443DA21FB}" name="6215" dataDxfId="10395"/>
    <tableColumn id="5996" xr3:uid="{B1FA2E01-88D7-418C-9816-761768DF889B}" name="6216" dataDxfId="10394"/>
    <tableColumn id="5997" xr3:uid="{012846FB-4BAD-4268-A1E0-489B430BB8F3}" name="6217" dataDxfId="10393"/>
    <tableColumn id="5998" xr3:uid="{A4768167-1765-489F-A684-83612E045901}" name="6218" dataDxfId="10392"/>
    <tableColumn id="5999" xr3:uid="{B0A2AF30-9722-43DC-BA0A-4F383819C536}" name="6219" dataDxfId="10391"/>
    <tableColumn id="6000" xr3:uid="{97BFDE9C-CDD7-4510-B388-D3A6212278C6}" name="6220" dataDxfId="10390"/>
    <tableColumn id="6001" xr3:uid="{AD00CDB2-7CA3-4CD2-8361-5D356FAC2C13}" name="6221" dataDxfId="10389"/>
    <tableColumn id="6002" xr3:uid="{3BBEB593-9745-4AF2-A6FB-BAC28606E1A6}" name="6222" dataDxfId="10388"/>
    <tableColumn id="6003" xr3:uid="{1D221E46-9FB8-4E58-9B7D-6781553395B3}" name="6223" dataDxfId="10387"/>
    <tableColumn id="6004" xr3:uid="{FC9F5ECB-138E-4B61-A1BB-3F06AAC2B5E8}" name="6224" dataDxfId="10386"/>
    <tableColumn id="6005" xr3:uid="{2A6F39CD-14D1-489E-8198-96FF4507B308}" name="6225" dataDxfId="10385"/>
    <tableColumn id="6006" xr3:uid="{0A7969EE-726F-4E5B-8A52-E306AE3F435B}" name="6226" dataDxfId="10384"/>
    <tableColumn id="6007" xr3:uid="{0C4E22C7-2BE8-4D98-B61F-2EF203C3018E}" name="6227" dataDxfId="10383"/>
    <tableColumn id="6008" xr3:uid="{8305A52F-2989-4E6F-9DF5-4C540CB070AC}" name="6228" dataDxfId="10382"/>
    <tableColumn id="6009" xr3:uid="{B93A0E7C-4ABD-4A90-A912-35B952752405}" name="6229" dataDxfId="10381"/>
    <tableColumn id="6010" xr3:uid="{2A804E74-E2FF-4843-8B48-7F0208EEAA5E}" name="6230" dataDxfId="10380"/>
    <tableColumn id="6011" xr3:uid="{BEABC884-0FE8-42BD-9F2B-0EA771D3D5D7}" name="6231" dataDxfId="10379"/>
    <tableColumn id="6012" xr3:uid="{9F0B5A0D-2E85-48A8-BD61-8E78047B3E40}" name="6232" dataDxfId="10378"/>
    <tableColumn id="6013" xr3:uid="{3C3C036A-D1C6-4683-BEC8-E0D7B815D9F6}" name="6233" dataDxfId="10377"/>
    <tableColumn id="6014" xr3:uid="{7C4613AB-F95D-4452-920A-9BB5BB469FCC}" name="6234" dataDxfId="10376"/>
    <tableColumn id="6015" xr3:uid="{79861FFF-0E11-476E-8FD4-199CACC1B158}" name="6235" dataDxfId="10375"/>
    <tableColumn id="6016" xr3:uid="{0889D2FC-357C-4A19-965D-AF133A09CE8B}" name="6236" dataDxfId="10374"/>
    <tableColumn id="6017" xr3:uid="{F4347106-22C2-4183-B81F-567F6A35A9BC}" name="6237" dataDxfId="10373"/>
    <tableColumn id="6018" xr3:uid="{BFB7FC5A-4912-4684-A95A-09298529A639}" name="6238" dataDxfId="10372"/>
    <tableColumn id="6019" xr3:uid="{FA8512E3-EDB5-486C-B6ED-155C164208C0}" name="6239" dataDxfId="10371"/>
    <tableColumn id="6020" xr3:uid="{276C87AF-D5E8-4EDF-90E2-03AFA69C6141}" name="6240" dataDxfId="10370"/>
    <tableColumn id="6021" xr3:uid="{489585AC-3996-477B-A89C-74008565AD88}" name="6241" dataDxfId="10369"/>
    <tableColumn id="6022" xr3:uid="{94EF4464-8D93-4E34-9792-47DA46B2F38A}" name="6242" dataDxfId="10368"/>
    <tableColumn id="6023" xr3:uid="{9FD14C6A-C2A6-4D03-AC90-240682248A0B}" name="6243" dataDxfId="10367"/>
    <tableColumn id="6024" xr3:uid="{6DA03B41-2F6B-411B-8840-432193C5D404}" name="6244" dataDxfId="10366"/>
    <tableColumn id="6025" xr3:uid="{81DA0E51-33DD-4D69-8134-3E5973F50D3B}" name="6245" dataDxfId="10365"/>
    <tableColumn id="6026" xr3:uid="{13AF990F-2405-42E9-B913-988A06A398FF}" name="6246" dataDxfId="10364"/>
    <tableColumn id="6027" xr3:uid="{CBB79C3A-3FB2-4590-A7AB-1505043D6BA6}" name="6247" dataDxfId="10363"/>
    <tableColumn id="6028" xr3:uid="{4BCBF3AF-23BE-4FFB-A12B-22CCE5719AAE}" name="6248" dataDxfId="10362"/>
    <tableColumn id="6029" xr3:uid="{17503754-BC51-45E1-BB7B-BCA93D215FA2}" name="6249" dataDxfId="10361"/>
    <tableColumn id="6030" xr3:uid="{14A78AF7-F3DB-4E71-8259-F223E7984A10}" name="6250" dataDxfId="10360"/>
    <tableColumn id="6031" xr3:uid="{6F879CA2-ED37-4DD8-9A2F-0FC156F34F3E}" name="6251" dataDxfId="10359"/>
    <tableColumn id="6032" xr3:uid="{0EF732D3-74C5-4A24-BDE5-7CD6A921A6D2}" name="6252" dataDxfId="10358"/>
    <tableColumn id="6033" xr3:uid="{DA241D2D-3BB1-4C19-9867-195D7EA489ED}" name="6253" dataDxfId="10357"/>
    <tableColumn id="6034" xr3:uid="{CB21D934-E4BE-432F-94B9-667DD5C2CA49}" name="6254" dataDxfId="10356"/>
    <tableColumn id="6035" xr3:uid="{CE4D01B7-5312-4AE9-9B12-F9B9D149FAA7}" name="6255" dataDxfId="10355"/>
    <tableColumn id="6036" xr3:uid="{A52CAF2B-CBEF-4CDB-A58B-FA8DFBCE4C2A}" name="6256" dataDxfId="10354"/>
    <tableColumn id="6037" xr3:uid="{594935FE-F9D0-4B66-AE37-A8000F0CDE3B}" name="6257" dataDxfId="10353"/>
    <tableColumn id="6038" xr3:uid="{D306C4A0-AA31-41AF-82D9-4CD327BFD3C2}" name="6258" dataDxfId="10352"/>
    <tableColumn id="6039" xr3:uid="{82DA49BF-585E-4F9E-96D8-C6BA8F5DC9EE}" name="6259" dataDxfId="10351"/>
    <tableColumn id="6040" xr3:uid="{FBDA8BCA-EF68-48C4-B8E2-C1479A7A6084}" name="6260" dataDxfId="10350"/>
    <tableColumn id="6041" xr3:uid="{E7B3A0C8-DCDE-4242-BED0-C3E8A64B235C}" name="6261" dataDxfId="10349"/>
    <tableColumn id="6042" xr3:uid="{7F6BE7DE-11A4-4679-AF99-B0A9B9B40985}" name="6262" dataDxfId="10348"/>
    <tableColumn id="6043" xr3:uid="{EA710817-7C0D-4CE0-9166-B9C6D11766D3}" name="6263" dataDxfId="10347"/>
    <tableColumn id="6044" xr3:uid="{B5945085-2257-4FE3-BC07-35811B57C0B2}" name="6264" dataDxfId="10346"/>
    <tableColumn id="6045" xr3:uid="{62351B74-F7DB-4EFF-9489-BF49AA61BB3B}" name="6265" dataDxfId="10345"/>
    <tableColumn id="6046" xr3:uid="{07065FF0-E2EF-40A6-8624-15324FDC437C}" name="6266" dataDxfId="10344"/>
    <tableColumn id="6047" xr3:uid="{F843F4CC-84AB-4586-9715-10CBF86A1E15}" name="6267" dataDxfId="10343"/>
    <tableColumn id="6048" xr3:uid="{AA781D3D-279F-4B37-98EF-4E1C68825D06}" name="6268" dataDxfId="10342"/>
    <tableColumn id="6049" xr3:uid="{2E782065-B1F2-4A8B-923F-6E6E02202E98}" name="6269" dataDxfId="10341"/>
    <tableColumn id="6050" xr3:uid="{D6094813-4C1D-4282-8EFD-59287543E215}" name="6270" dataDxfId="10340"/>
    <tableColumn id="6051" xr3:uid="{2B14EF5B-FFE2-4FE5-BAFA-A60D1E95854C}" name="6271" dataDxfId="10339"/>
    <tableColumn id="6052" xr3:uid="{5BF076F5-3073-46B2-B2BF-088A8B04BE0C}" name="6272" dataDxfId="10338"/>
    <tableColumn id="6053" xr3:uid="{FD1C6707-4FAE-4ECE-948D-69CD5BED5BDE}" name="6273" dataDxfId="10337"/>
    <tableColumn id="6054" xr3:uid="{46231066-18C2-4AB9-8767-7713E0220952}" name="6274" dataDxfId="10336"/>
    <tableColumn id="6055" xr3:uid="{916B8E3B-6C37-461E-BC98-92CBDF7F706B}" name="6275" dataDxfId="10335"/>
    <tableColumn id="6056" xr3:uid="{958B2C65-E51D-4FEC-8843-0E618199915B}" name="6276" dataDxfId="10334"/>
    <tableColumn id="6057" xr3:uid="{475CE7D6-211B-49D3-9B29-C81EF90A79C7}" name="6277" dataDxfId="10333"/>
    <tableColumn id="6058" xr3:uid="{AB78EE12-6683-4C0A-9EE6-B04F69277573}" name="6278" dataDxfId="10332"/>
    <tableColumn id="6059" xr3:uid="{61CEA85C-B4EA-4DF6-AB37-A1F6A4C90DA1}" name="6279" dataDxfId="10331"/>
    <tableColumn id="6060" xr3:uid="{0E80CA02-98D9-4E60-B668-F9C968313204}" name="6280" dataDxfId="10330"/>
    <tableColumn id="6061" xr3:uid="{84EDD399-28AE-4EB3-9C4F-E9E765CCD96A}" name="6281" dataDxfId="10329"/>
    <tableColumn id="6062" xr3:uid="{65412300-7937-494A-A210-FDCA5A115327}" name="6282" dataDxfId="10328"/>
    <tableColumn id="6063" xr3:uid="{18C63F00-0492-49E9-8571-9F98C9096974}" name="6283" dataDxfId="10327"/>
    <tableColumn id="6064" xr3:uid="{52BC24BF-4D33-42E7-A37D-0D991C90D09D}" name="6284" dataDxfId="10326"/>
    <tableColumn id="6065" xr3:uid="{C55CDE75-CBE9-467F-AA47-63BA8DF269F3}" name="6285" dataDxfId="10325"/>
    <tableColumn id="6066" xr3:uid="{91A27C57-CD86-40C7-BCFE-BBE178C9D621}" name="6286" dataDxfId="10324"/>
    <tableColumn id="6067" xr3:uid="{8B66C5FD-1074-4657-8C38-BF617892BB05}" name="6287" dataDxfId="10323"/>
    <tableColumn id="6068" xr3:uid="{9E055C6D-3FD1-4092-B19C-6A2AA1E96BF4}" name="6288" dataDxfId="10322"/>
    <tableColumn id="6069" xr3:uid="{FEA06A59-A34A-4F03-92C5-F4AC90D284FB}" name="6289" dataDxfId="10321"/>
    <tableColumn id="6070" xr3:uid="{E75FC675-634D-4C7E-8393-ABB2F7E17C3A}" name="6290" dataDxfId="10320"/>
    <tableColumn id="6071" xr3:uid="{34242827-6A0B-4CA2-B62F-001C8E2586D5}" name="6291" dataDxfId="10319"/>
    <tableColumn id="6072" xr3:uid="{518ABBB3-4571-413D-981A-DD61E78A9137}" name="6292" dataDxfId="10318"/>
    <tableColumn id="6073" xr3:uid="{D8C61E03-D52F-4829-BE14-8679B0039DFA}" name="6293" dataDxfId="10317"/>
    <tableColumn id="6074" xr3:uid="{424D3EF2-B02E-4BD2-B0AE-07D6433E2D62}" name="6294" dataDxfId="10316"/>
    <tableColumn id="6075" xr3:uid="{BA031230-5087-4DEB-BE2C-995A1B972F79}" name="6295" dataDxfId="10315"/>
    <tableColumn id="6076" xr3:uid="{D016339F-5104-4DE0-B13F-400073D364E2}" name="6296" dataDxfId="10314"/>
    <tableColumn id="6077" xr3:uid="{6C46C4DE-EE19-4392-AE67-055B3885D987}" name="6297" dataDxfId="10313"/>
    <tableColumn id="6078" xr3:uid="{0CBEB36F-8029-46ED-AAC6-24763C293A1E}" name="6298" dataDxfId="10312"/>
    <tableColumn id="6079" xr3:uid="{667AA26C-1694-4C39-B37E-7F96F136CDDC}" name="6299" dataDxfId="10311"/>
    <tableColumn id="6080" xr3:uid="{D547CD2D-3AFB-4D01-AAC6-2F4D9B07E50A}" name="6300" dataDxfId="10310"/>
    <tableColumn id="6081" xr3:uid="{61AC069C-FA97-4B8B-A8B4-41C77E0A19CF}" name="6301" dataDxfId="10309"/>
    <tableColumn id="6082" xr3:uid="{75E28FED-F549-4614-8BC3-BC7D8C9FDDF2}" name="6302" dataDxfId="10308"/>
    <tableColumn id="6083" xr3:uid="{B2FCA3E2-09AA-4B37-9281-1B765FBAAD97}" name="6303" dataDxfId="10307"/>
    <tableColumn id="6084" xr3:uid="{8E252893-0681-4836-AE72-FD7A47F98AAB}" name="6304" dataDxfId="10306"/>
    <tableColumn id="6085" xr3:uid="{91A78CEA-9BCB-4E33-95BC-0D0958EE7EB7}" name="6305" dataDxfId="10305"/>
    <tableColumn id="6086" xr3:uid="{D1080C79-88F2-4192-A12C-AD049D866B26}" name="6306" dataDxfId="10304"/>
    <tableColumn id="6087" xr3:uid="{EA2E72F9-6B3A-475D-B869-EC5E1531798B}" name="6307" dataDxfId="10303"/>
    <tableColumn id="6088" xr3:uid="{14EBFE53-DD2C-4AA3-BA75-538A3033C215}" name="6308" dataDxfId="10302"/>
    <tableColumn id="6089" xr3:uid="{B6ED38A3-7C5D-407A-BC61-DB1E8ADF53D0}" name="6309" dataDxfId="10301"/>
    <tableColumn id="6090" xr3:uid="{3C8F3F99-86B7-4CC7-AC25-9CA80CCBF534}" name="6310" dataDxfId="10300"/>
    <tableColumn id="6091" xr3:uid="{05009522-AA75-4551-B269-36ABE5225328}" name="6311" dataDxfId="10299"/>
    <tableColumn id="6092" xr3:uid="{A53CA6FE-4074-4744-BCE5-3CEF94D97B8D}" name="6312" dataDxfId="10298"/>
    <tableColumn id="6093" xr3:uid="{AC24F6A3-D25B-4668-AAE6-491B48C61EEA}" name="6313" dataDxfId="10297"/>
    <tableColumn id="6094" xr3:uid="{61C30B5C-3A1C-4492-8047-C77D03F79C86}" name="6314" dataDxfId="10296"/>
    <tableColumn id="6095" xr3:uid="{182C9F77-6511-4942-AF60-7FC04023CC45}" name="6315" dataDxfId="10295"/>
    <tableColumn id="6096" xr3:uid="{A1507D6B-EBA9-4DAF-BCA7-3D273D9472B7}" name="6316" dataDxfId="10294"/>
    <tableColumn id="6097" xr3:uid="{A6A9274F-506C-457E-A298-97DE1DE204E5}" name="6317" dataDxfId="10293"/>
    <tableColumn id="6098" xr3:uid="{4A1709E7-C706-4D36-9EBD-2706F935ED92}" name="6318" dataDxfId="10292"/>
    <tableColumn id="6099" xr3:uid="{DF5CAD89-60CE-4509-A57A-3762B0C6DCBE}" name="6319" dataDxfId="10291"/>
    <tableColumn id="6100" xr3:uid="{3C68B0FC-ED8B-49B8-88C9-8B25E6BEE7B6}" name="6320" dataDxfId="10290"/>
    <tableColumn id="6101" xr3:uid="{A8D16D77-3DCC-4799-B567-2A9E0B311012}" name="6321" dataDxfId="10289"/>
    <tableColumn id="6102" xr3:uid="{7541ABB5-296E-4A81-A820-A02F918A51B9}" name="6322" dataDxfId="10288"/>
    <tableColumn id="6103" xr3:uid="{3877DC2A-5B94-4CC8-9C1A-5EA3D187D4ED}" name="6323" dataDxfId="10287"/>
    <tableColumn id="6104" xr3:uid="{6B982835-7598-4D75-A706-0FED3E44B7CE}" name="6324" dataDxfId="10286"/>
    <tableColumn id="6105" xr3:uid="{5783E23B-5142-484E-85B1-A6EAADE94729}" name="6325" dataDxfId="10285"/>
    <tableColumn id="6106" xr3:uid="{B551972A-6A71-428D-88A4-628B2AB6F179}" name="6326" dataDxfId="10284"/>
    <tableColumn id="6107" xr3:uid="{BCC55504-06F4-4D06-AE40-58B9CE5C7D9F}" name="6327" dataDxfId="10283"/>
    <tableColumn id="6108" xr3:uid="{2AF7566B-B6D3-4CAB-B25D-007A2F050263}" name="6328" dataDxfId="10282"/>
    <tableColumn id="6109" xr3:uid="{EE2AD50C-39B7-4ED6-90E6-9357C6228276}" name="6329" dataDxfId="10281"/>
    <tableColumn id="6110" xr3:uid="{AF50CDD5-FE6A-4620-8B57-C54EB6CDA191}" name="6330" dataDxfId="10280"/>
    <tableColumn id="6111" xr3:uid="{E3EBDDB9-4E2E-4E00-8EAB-9E2534BD52C3}" name="6331" dataDxfId="10279"/>
    <tableColumn id="6112" xr3:uid="{070EB1EA-2440-4BD9-892A-60BAD250FB74}" name="6332" dataDxfId="10278"/>
    <tableColumn id="6113" xr3:uid="{5CF0C6BA-EAFA-480D-9171-0CF8A4627BD7}" name="6333" dataDxfId="10277"/>
    <tableColumn id="6114" xr3:uid="{2B387768-BA78-4D79-8D0A-9E160A77BFD5}" name="6334" dataDxfId="10276"/>
    <tableColumn id="6115" xr3:uid="{0025DEDB-7C9A-4971-B5A1-D3B3B4A3AA6D}" name="6335" dataDxfId="10275"/>
    <tableColumn id="6116" xr3:uid="{A8AADC10-EF5D-47C7-AD0A-70BE558F7896}" name="6336" dataDxfId="10274"/>
    <tableColumn id="6117" xr3:uid="{5460E60E-9005-4FC5-928C-FB478E282F6A}" name="6337" dataDxfId="10273"/>
    <tableColumn id="6118" xr3:uid="{7DCB1C14-3631-4DB1-80D4-1533C9312569}" name="6338" dataDxfId="10272"/>
    <tableColumn id="6119" xr3:uid="{19A76F57-3EAB-410A-A6D5-8506BFE97173}" name="6339" dataDxfId="10271"/>
    <tableColumn id="6120" xr3:uid="{37CF7963-241B-4CEF-B795-3879DCB1F913}" name="6340" dataDxfId="10270"/>
    <tableColumn id="6121" xr3:uid="{6F6AA3B4-D5C9-443D-B8CE-E7E5BCB3E6FF}" name="6341" dataDxfId="10269"/>
    <tableColumn id="6122" xr3:uid="{FE9AEBEB-1CE4-447D-A248-3F87D164692D}" name="6342" dataDxfId="10268"/>
    <tableColumn id="6123" xr3:uid="{726DC25A-2B45-4569-B28B-401F40A890FF}" name="6343" dataDxfId="10267"/>
    <tableColumn id="6124" xr3:uid="{0F2089A1-D210-460E-B6BA-3E5EB21DEFD1}" name="6344" dataDxfId="10266"/>
    <tableColumn id="6125" xr3:uid="{ECF23EB1-974F-4C9A-ABBF-A75A2AC134AD}" name="6345" dataDxfId="10265"/>
    <tableColumn id="6126" xr3:uid="{F3D4CF98-D06B-49C5-A255-B7D297EE406F}" name="6346" dataDxfId="10264"/>
    <tableColumn id="6127" xr3:uid="{48CDAEA5-C467-47DC-9CF8-35A626E86299}" name="6347" dataDxfId="10263"/>
    <tableColumn id="6128" xr3:uid="{953D5C34-2FD1-4505-861A-DD05A3B61B76}" name="6348" dataDxfId="10262"/>
    <tableColumn id="6129" xr3:uid="{CD8272AE-3CAA-4042-81DB-395C9E657B82}" name="6349" dataDxfId="10261"/>
    <tableColumn id="6130" xr3:uid="{73912D77-D30D-43A3-80D5-ACABB632B4C0}" name="6350" dataDxfId="10260"/>
    <tableColumn id="6131" xr3:uid="{A5D56303-CD41-4261-99A6-FA8534C6F36E}" name="6351" dataDxfId="10259"/>
    <tableColumn id="6132" xr3:uid="{8F1CE547-CA05-460F-A3A4-701B09FB9E79}" name="6352" dataDxfId="10258"/>
    <tableColumn id="6133" xr3:uid="{1682E7C7-31A6-42B6-8BD8-A513A23F0AEE}" name="6353" dataDxfId="10257"/>
    <tableColumn id="6134" xr3:uid="{62E96B16-8938-4788-89A1-2AD178CB1C3E}" name="6354" dataDxfId="10256"/>
    <tableColumn id="6135" xr3:uid="{DFB2F971-8D69-4546-8D92-F3DF55401761}" name="6355" dataDxfId="10255"/>
    <tableColumn id="6136" xr3:uid="{EF65BE87-9EA1-4615-9C17-7DA072CC00E6}" name="6356" dataDxfId="10254"/>
    <tableColumn id="6137" xr3:uid="{66089BEC-ED6F-405A-A3B1-6499A6433389}" name="6357" dataDxfId="10253"/>
    <tableColumn id="6138" xr3:uid="{2C288F5C-39A1-4C22-B477-C841629E3D4F}" name="6358" dataDxfId="10252"/>
    <tableColumn id="6139" xr3:uid="{0823E329-20F9-47BA-9F1C-F05E164F9332}" name="6359" dataDxfId="10251"/>
    <tableColumn id="6140" xr3:uid="{6C0D5A63-43B1-4CDB-9687-BB55731C470B}" name="6360" dataDxfId="10250"/>
    <tableColumn id="6141" xr3:uid="{9C064800-4199-4B09-91DD-01239AD35FB9}" name="6361" dataDxfId="10249"/>
    <tableColumn id="6142" xr3:uid="{3CA10C29-608D-465E-ABDB-FB675E83E575}" name="6362" dataDxfId="10248"/>
    <tableColumn id="6143" xr3:uid="{2DA0D756-1BE1-4D58-A05C-6375187087AF}" name="6363" dataDxfId="10247"/>
    <tableColumn id="6144" xr3:uid="{6C7C07DA-5AFD-4432-AD63-94FE90D2AFCA}" name="6364" dataDxfId="10246"/>
    <tableColumn id="6145" xr3:uid="{39FDFD3F-A35E-4408-9D55-1FC6C19A047E}" name="6365" dataDxfId="10245"/>
    <tableColumn id="6146" xr3:uid="{0C74C8C1-E568-4662-987B-5FE6CB9982FF}" name="6366" dataDxfId="10244"/>
    <tableColumn id="6147" xr3:uid="{0D67B53A-1794-4B2D-BB65-BD06696DCF42}" name="6367" dataDxfId="10243"/>
    <tableColumn id="6148" xr3:uid="{A8278497-7E5C-4343-84BD-32CE9B6A586F}" name="6368" dataDxfId="10242"/>
    <tableColumn id="6149" xr3:uid="{2BB0F460-D4EB-4DF1-AD94-919A6C395458}" name="6369" dataDxfId="10241"/>
    <tableColumn id="6150" xr3:uid="{7A376E4A-82D2-47AE-A653-1B09D81EE5D6}" name="6370" dataDxfId="10240"/>
    <tableColumn id="6151" xr3:uid="{11BDD1BB-3B96-4A49-A991-62F20FADAB51}" name="6371" dataDxfId="10239"/>
    <tableColumn id="6152" xr3:uid="{6BB7A9EF-E84B-4C93-8A77-7B153B978FE4}" name="6372" dataDxfId="10238"/>
    <tableColumn id="6153" xr3:uid="{A5E83D8D-5556-472A-A3B8-14418FA26967}" name="6373" dataDxfId="10237"/>
    <tableColumn id="6154" xr3:uid="{47E856C0-4ECB-4617-92DB-E76933DFC185}" name="6374" dataDxfId="10236"/>
    <tableColumn id="6155" xr3:uid="{19DF3880-97B7-4040-B700-7825A3C79E1F}" name="6375" dataDxfId="10235"/>
    <tableColumn id="6156" xr3:uid="{8C8FEB60-7157-4836-B96B-1C79A9B9FB41}" name="6376" dataDxfId="10234"/>
    <tableColumn id="6157" xr3:uid="{2DC6E213-B6DD-43A1-BEF2-09243D5E64EE}" name="6377" dataDxfId="10233"/>
    <tableColumn id="6158" xr3:uid="{05FDDD2E-CC9D-49B4-86B9-DD877CC5BAFB}" name="6378" dataDxfId="10232"/>
    <tableColumn id="6159" xr3:uid="{C9CB6174-0101-4C30-9E1A-A43268F20B49}" name="6379" dataDxfId="10231"/>
    <tableColumn id="6160" xr3:uid="{DCFA0912-8F5D-4B72-B4DA-CEE2C29CD607}" name="6380" dataDxfId="10230"/>
    <tableColumn id="6161" xr3:uid="{1386C9A0-D1CF-4249-AEF1-BABFEB4DCF06}" name="6381" dataDxfId="10229"/>
    <tableColumn id="6162" xr3:uid="{BDB94B45-7EBB-4D0D-BC3B-054E50AF33DC}" name="6382" dataDxfId="10228"/>
    <tableColumn id="6163" xr3:uid="{308B4FD2-3812-47A3-B7AA-E84BF0AE8805}" name="6383" dataDxfId="10227"/>
    <tableColumn id="6164" xr3:uid="{A20B10E5-30E5-4310-96EE-778AEDA87232}" name="6384" dataDxfId="10226"/>
    <tableColumn id="6165" xr3:uid="{299DF8D4-A712-4468-ABA1-DC4FD8571983}" name="6385" dataDxfId="10225"/>
    <tableColumn id="6166" xr3:uid="{4A1FD229-8484-4951-BCB4-91339B372048}" name="6386" dataDxfId="10224"/>
    <tableColumn id="6167" xr3:uid="{73763F9A-4A74-4B9D-8465-5BFA3D0A63AC}" name="6387" dataDxfId="10223"/>
    <tableColumn id="6168" xr3:uid="{6C6EF3BA-0CF2-42DF-A7A1-56AD921E9354}" name="6388" dataDxfId="10222"/>
    <tableColumn id="6169" xr3:uid="{0B47DE5F-86AD-4C0D-8452-E9E06F60C9F3}" name="6389" dataDxfId="10221"/>
    <tableColumn id="6170" xr3:uid="{BB511077-2773-4C14-967F-2039E1987B88}" name="6390" dataDxfId="10220"/>
    <tableColumn id="6171" xr3:uid="{5EFCDA49-4A2F-4B97-8C46-51A7AF0F2369}" name="6391" dataDxfId="10219"/>
    <tableColumn id="6172" xr3:uid="{C6E46088-0875-4B03-A46C-18CCA88BEA50}" name="6392" dataDxfId="10218"/>
    <tableColumn id="6173" xr3:uid="{B2BDCF1B-B984-4993-B3EE-189FBEA55DCD}" name="6393" dataDxfId="10217"/>
    <tableColumn id="6174" xr3:uid="{76546E2C-9997-43AF-8B8C-1EA907329A58}" name="6394" dataDxfId="10216"/>
    <tableColumn id="6175" xr3:uid="{D4039CB9-9ACC-4A0A-AD66-8A10AE170D33}" name="6395" dataDxfId="10215"/>
    <tableColumn id="6176" xr3:uid="{F8E28386-CB20-4623-A5DA-915881230503}" name="6396" dataDxfId="10214"/>
    <tableColumn id="6177" xr3:uid="{601AE06C-7966-4D50-BF3E-D810B8D43C31}" name="6397" dataDxfId="10213"/>
    <tableColumn id="6178" xr3:uid="{CF256DE8-FECC-4604-9B3F-446E49027AD4}" name="6398" dataDxfId="10212"/>
    <tableColumn id="6179" xr3:uid="{7C34AA80-8D08-4225-8260-DE219458C924}" name="6399" dataDxfId="10211"/>
    <tableColumn id="6180" xr3:uid="{B5D560DA-CB89-4D1B-AE61-160BEFFDE4F1}" name="6400" dataDxfId="10210"/>
    <tableColumn id="6181" xr3:uid="{EED2F415-9986-4286-9133-CE52C4A90FAC}" name="6401" dataDxfId="10209"/>
    <tableColumn id="6182" xr3:uid="{FA30FC86-ADDC-4F04-AA67-4AB4934CE84B}" name="6402" dataDxfId="10208"/>
    <tableColumn id="6183" xr3:uid="{9C42E51A-5CA7-4000-A520-A22CF7974C64}" name="6403" dataDxfId="10207"/>
    <tableColumn id="6184" xr3:uid="{5BE5DD19-1BA2-4790-B7EE-9EDE199BACC1}" name="6404" dataDxfId="10206"/>
    <tableColumn id="6185" xr3:uid="{60D1F736-51C5-4789-8838-E65CB8CA543E}" name="6405" dataDxfId="10205"/>
    <tableColumn id="6186" xr3:uid="{D21DEFC8-FCC9-4C0E-A42B-7986CF340F26}" name="6406" dataDxfId="10204"/>
    <tableColumn id="6187" xr3:uid="{EF439F39-0DA3-402F-A668-2EA83428C468}" name="6407" dataDxfId="10203"/>
    <tableColumn id="6188" xr3:uid="{2A4F8F55-66E1-45C4-9090-53FB3C3C4124}" name="6408" dataDxfId="10202"/>
    <tableColumn id="6189" xr3:uid="{050E9657-7ED7-46F2-806E-210C1E429771}" name="6409" dataDxfId="10201"/>
    <tableColumn id="6190" xr3:uid="{BB68AE5F-6095-4BC5-9A04-846F4AB49041}" name="6410" dataDxfId="10200"/>
    <tableColumn id="6191" xr3:uid="{1BFB8764-956C-4022-8431-E03589AF77D9}" name="6411" dataDxfId="10199"/>
    <tableColumn id="6192" xr3:uid="{229EBE82-5326-40CE-84FF-9341323DAEB5}" name="6412" dataDxfId="10198"/>
    <tableColumn id="6193" xr3:uid="{5810CF61-F0FA-4957-8059-F27294809FE8}" name="6413" dataDxfId="10197"/>
    <tableColumn id="6194" xr3:uid="{193AC321-5ED4-4223-9152-C7931258242B}" name="6414" dataDxfId="10196"/>
    <tableColumn id="6195" xr3:uid="{A61D4CED-5B2C-4BDE-BDCD-FF50539D61E6}" name="6415" dataDxfId="10195"/>
    <tableColumn id="6196" xr3:uid="{2E28CCD6-C720-45E8-A73E-0847678F3F73}" name="6416" dataDxfId="10194"/>
    <tableColumn id="6197" xr3:uid="{E8D52CB7-3E49-4401-8169-C77CB1B09564}" name="6417" dataDxfId="10193"/>
    <tableColumn id="6198" xr3:uid="{3438406A-FABA-43E7-880E-F738FE63D65B}" name="6418" dataDxfId="10192"/>
    <tableColumn id="6199" xr3:uid="{63CE80CC-250F-4C9F-BFB0-D282F3B79AF6}" name="6419" dataDxfId="10191"/>
    <tableColumn id="6200" xr3:uid="{04F266C3-DBF1-4AFD-9CC5-7F6077E70E29}" name="6420" dataDxfId="10190"/>
    <tableColumn id="6201" xr3:uid="{41DA499F-2986-4E49-B0D5-5ED13AD6BA15}" name="6421" dataDxfId="10189"/>
    <tableColumn id="6202" xr3:uid="{2154875C-4C32-4993-80BA-9A058A799C50}" name="6422" dataDxfId="10188"/>
    <tableColumn id="6203" xr3:uid="{F5F1F121-69B4-4E53-BC18-230B0663DBA4}" name="6423" dataDxfId="10187"/>
    <tableColumn id="6204" xr3:uid="{DE4125FE-5F5C-42FE-AC89-7FBF73B3ABB2}" name="6424" dataDxfId="10186"/>
    <tableColumn id="6205" xr3:uid="{6E9CD065-3A01-47A0-84CA-E7AFB31ACCF3}" name="6425" dataDxfId="10185"/>
    <tableColumn id="6206" xr3:uid="{81D4C9C0-519C-4DCA-B94D-C9E4C7E2A0B9}" name="6426" dataDxfId="10184"/>
    <tableColumn id="6207" xr3:uid="{86705EE1-1CA5-41F9-9DD1-69827AEB2A41}" name="6427" dataDxfId="10183"/>
    <tableColumn id="6208" xr3:uid="{E6EA9AC8-4771-4FB2-8676-4DC72E7B4CD7}" name="6428" dataDxfId="10182"/>
    <tableColumn id="6209" xr3:uid="{849402AE-8C1B-4B01-9DF9-46FA57FAA81D}" name="6429" dataDxfId="10181"/>
    <tableColumn id="6210" xr3:uid="{7A8DC515-7850-447A-B707-A9F2DF64DD71}" name="6430" dataDxfId="10180"/>
    <tableColumn id="6211" xr3:uid="{316FC123-6826-4C97-9D3D-06BC5404FE6A}" name="6431" dataDxfId="10179"/>
    <tableColumn id="6212" xr3:uid="{EFF5724C-C4FF-41A3-B80D-62F6890A1B77}" name="6432" dataDxfId="10178"/>
    <tableColumn id="6213" xr3:uid="{92603407-1F8F-49A9-9AB3-B7091F24291E}" name="6433" dataDxfId="10177"/>
    <tableColumn id="6214" xr3:uid="{1B9E77C9-D78C-4D5E-B734-4FD3BD8E5D33}" name="6434" dataDxfId="10176"/>
    <tableColumn id="6215" xr3:uid="{52D05EC2-4473-481A-A88E-F6C9B4006210}" name="6435" dataDxfId="10175"/>
    <tableColumn id="6216" xr3:uid="{57F3F0CB-AAD6-428B-9C1A-6BF240ADD5B7}" name="6436" dataDxfId="10174"/>
    <tableColumn id="6217" xr3:uid="{DAD84908-02CA-4012-BDAC-FCA8764F09FD}" name="6437" dataDxfId="10173"/>
    <tableColumn id="6218" xr3:uid="{F651AFF6-3875-4E71-BD19-86DC7699D90C}" name="6438" dataDxfId="10172"/>
    <tableColumn id="6219" xr3:uid="{C5C9DD70-2830-455D-A3D6-BED1C4788961}" name="6439" dataDxfId="10171"/>
    <tableColumn id="6220" xr3:uid="{7D1E0C02-3C08-4840-A257-85ED30E146EC}" name="6440" dataDxfId="10170"/>
    <tableColumn id="6221" xr3:uid="{AAAC1413-546D-4310-A1FB-7E93F89EFD69}" name="6441" dataDxfId="10169"/>
    <tableColumn id="6222" xr3:uid="{C8884138-6DFF-45D1-A2D7-99E107C57C0F}" name="6442" dataDxfId="10168"/>
    <tableColumn id="6223" xr3:uid="{223A1183-7177-4CB6-BF81-5E3A81E319AA}" name="6443" dataDxfId="10167"/>
    <tableColumn id="6224" xr3:uid="{2564B395-A125-4DEC-9E9A-522B521BA5BA}" name="6444" dataDxfId="10166"/>
    <tableColumn id="6225" xr3:uid="{EA3AAA49-54D1-40B2-BE67-E961065610F3}" name="6445" dataDxfId="10165"/>
    <tableColumn id="6226" xr3:uid="{DFB960B5-DD7E-4A7F-9539-26A01D325D50}" name="6446" dataDxfId="10164"/>
    <tableColumn id="6227" xr3:uid="{8AD31812-E071-4C67-9188-581AB085ACB5}" name="6447" dataDxfId="10163"/>
    <tableColumn id="6228" xr3:uid="{9A89B74B-EDDA-4042-AC03-AFB55962192D}" name="6448" dataDxfId="10162"/>
    <tableColumn id="6229" xr3:uid="{E24E9DF1-B09C-4EB2-862F-0D3E77DA6530}" name="6449" dataDxfId="10161"/>
    <tableColumn id="6230" xr3:uid="{D8E49720-C66D-4AF9-9626-28C5EAD34214}" name="6450" dataDxfId="10160"/>
    <tableColumn id="6231" xr3:uid="{58AE474A-580A-409B-B868-84BD73954560}" name="6451" dataDxfId="10159"/>
    <tableColumn id="6232" xr3:uid="{5117FB2D-0257-4FB5-AB8B-89BC1E638085}" name="6452" dataDxfId="10158"/>
    <tableColumn id="6233" xr3:uid="{AD451FFA-797D-4FC0-820E-B32342254A82}" name="6453" dataDxfId="10157"/>
    <tableColumn id="6234" xr3:uid="{B923200E-9595-4B18-98EC-44D7CC862BCF}" name="6454" dataDxfId="10156"/>
    <tableColumn id="6235" xr3:uid="{CAED3292-3900-48B4-AFCA-5F3656597A3F}" name="6455" dataDxfId="10155"/>
    <tableColumn id="6236" xr3:uid="{34044B12-9319-4516-AD77-49B94A99BDA6}" name="6456" dataDxfId="10154"/>
    <tableColumn id="6237" xr3:uid="{346527DE-1CE1-493D-A947-896606ED7103}" name="6457" dataDxfId="10153"/>
    <tableColumn id="6238" xr3:uid="{BD5CFD0F-CCCF-4B5A-BE51-AB27FC417F25}" name="6458" dataDxfId="10152"/>
    <tableColumn id="6239" xr3:uid="{50DCFE35-782D-40F3-8A66-D7075FF13926}" name="6459" dataDxfId="10151"/>
    <tableColumn id="6240" xr3:uid="{038C1DD1-A71B-4DE6-9EB7-24F8DBE144D1}" name="6460" dataDxfId="10150"/>
    <tableColumn id="6241" xr3:uid="{807FBA6C-78DC-4C9A-ACB9-21C94124FF9F}" name="6461" dataDxfId="10149"/>
    <tableColumn id="6242" xr3:uid="{E5E2E2AF-D1BB-407D-88E0-728D0F961CFE}" name="6462" dataDxfId="10148"/>
    <tableColumn id="6243" xr3:uid="{1CDD02C4-D9B9-4707-8203-710B9E5923D0}" name="6463" dataDxfId="10147"/>
    <tableColumn id="6244" xr3:uid="{EED4E5F2-D155-4204-84C1-5BB7567BEE51}" name="6464" dataDxfId="10146"/>
    <tableColumn id="6245" xr3:uid="{812B53A1-402A-4CE5-960C-409F2629222C}" name="6465" dataDxfId="10145"/>
    <tableColumn id="6246" xr3:uid="{F429CB3C-C2AB-4271-AE5C-5A9081C78EE8}" name="6466" dataDxfId="10144"/>
    <tableColumn id="6247" xr3:uid="{64445E2D-203F-4FF1-A48B-1C7884233697}" name="6467" dataDxfId="10143"/>
    <tableColumn id="6248" xr3:uid="{BAE08BDD-D3FE-4D21-8CE0-798D267D1FB3}" name="6468" dataDxfId="10142"/>
    <tableColumn id="6249" xr3:uid="{42595164-3349-441A-8C1D-D51055FB8CDE}" name="6469" dataDxfId="10141"/>
    <tableColumn id="6250" xr3:uid="{C06C1D08-6C29-43BF-AB68-CFEB46D0EEBB}" name="6470" dataDxfId="10140"/>
    <tableColumn id="6251" xr3:uid="{1113543A-9422-47D8-B46C-2C0241235609}" name="6471" dataDxfId="10139"/>
    <tableColumn id="6252" xr3:uid="{4C58CB9F-0DBF-4B46-BFA3-0C835809557D}" name="6472" dataDxfId="10138"/>
    <tableColumn id="6253" xr3:uid="{1BFBDCD8-EAA6-4826-8C18-3593F1A595DD}" name="6473" dataDxfId="10137"/>
    <tableColumn id="6254" xr3:uid="{50DFD43B-7A2D-4340-93B7-AB43B059F0FA}" name="6474" dataDxfId="10136"/>
    <tableColumn id="6255" xr3:uid="{91B83591-1393-45A0-BE22-AD4FA988F508}" name="6475" dataDxfId="10135"/>
    <tableColumn id="6256" xr3:uid="{B1E4C18C-8ECA-4E63-87E2-B5A496A9ACA8}" name="6476" dataDxfId="10134"/>
    <tableColumn id="6257" xr3:uid="{4E334439-5CDC-4718-83AB-2C25112D12AA}" name="6477" dataDxfId="10133"/>
    <tableColumn id="6258" xr3:uid="{A4CC8A0D-2577-4525-B9B7-A0C14951640F}" name="6478" dataDxfId="10132"/>
    <tableColumn id="6259" xr3:uid="{BBEE61EE-821C-4904-9022-A4EBDC4B4E32}" name="6479" dataDxfId="10131"/>
    <tableColumn id="6260" xr3:uid="{A0A490D4-F679-45B3-A166-B61450A994A4}" name="6480" dataDxfId="10130"/>
    <tableColumn id="6261" xr3:uid="{E0E3EDCD-4001-43BF-9CD8-6AE898D95F16}" name="6481" dataDxfId="10129"/>
    <tableColumn id="6262" xr3:uid="{7B0527C5-F86A-472E-9F10-A410BB6529A3}" name="6482" dataDxfId="10128"/>
    <tableColumn id="6263" xr3:uid="{64326A9F-8257-4962-8A51-9FC07C87A533}" name="6483" dataDxfId="10127"/>
    <tableColumn id="6264" xr3:uid="{1819C530-F535-4019-9498-608999D1D6A2}" name="6484" dataDxfId="10126"/>
    <tableColumn id="6265" xr3:uid="{EE12F7BB-1620-4386-8947-081784A3AE39}" name="6485" dataDxfId="10125"/>
    <tableColumn id="6266" xr3:uid="{C9302698-FC25-4CFB-BA85-32F0DB570202}" name="6486" dataDxfId="10124"/>
    <tableColumn id="6267" xr3:uid="{11587006-8B2A-4CB7-8C62-B9B041EC4192}" name="6487" dataDxfId="10123"/>
    <tableColumn id="6268" xr3:uid="{1BA41F3C-C018-4613-9E16-D93AADE45337}" name="6488" dataDxfId="10122"/>
    <tableColumn id="6269" xr3:uid="{A349631F-28FC-41F5-A082-13BA950A1BD5}" name="6489" dataDxfId="10121"/>
    <tableColumn id="6270" xr3:uid="{35E2896C-0211-4047-8FB0-20F6490CA17F}" name="6490" dataDxfId="10120"/>
    <tableColumn id="6271" xr3:uid="{802F71B4-7F5E-4390-B1AA-55268E6FCD1C}" name="6491" dataDxfId="10119"/>
    <tableColumn id="6272" xr3:uid="{84F58A85-A005-4FD1-BBC8-53422A041E09}" name="6492" dataDxfId="10118"/>
    <tableColumn id="6273" xr3:uid="{286F7412-69BA-40BB-B99D-99F83891872B}" name="6493" dataDxfId="10117"/>
    <tableColumn id="6274" xr3:uid="{4FF6419F-7AD1-40AA-A33D-53EDE5AA8D99}" name="6494" dataDxfId="10116"/>
    <tableColumn id="6275" xr3:uid="{86EE5C42-A042-4278-9B2A-844A0ABDBE6E}" name="6495" dataDxfId="10115"/>
    <tableColumn id="6276" xr3:uid="{6948ED92-1FD9-4773-9F61-9B79BF98523B}" name="6496" dataDxfId="10114"/>
    <tableColumn id="6277" xr3:uid="{57CC231F-07E5-4B38-B0C5-95BC1ED99E58}" name="6497" dataDxfId="10113"/>
    <tableColumn id="6278" xr3:uid="{9C402BCB-5F48-4361-B42B-5712527FCA50}" name="6498" dataDxfId="10112"/>
    <tableColumn id="6279" xr3:uid="{CB7770D3-43C7-4574-A41E-56048DC90934}" name="6499" dataDxfId="10111"/>
    <tableColumn id="6280" xr3:uid="{BFAE4B12-D497-49A5-A092-3B9C89735AAF}" name="6500" dataDxfId="10110"/>
    <tableColumn id="6281" xr3:uid="{1C4E5097-6D6F-4894-B5FD-87559C9DB99E}" name="6501" dataDxfId="10109"/>
    <tableColumn id="6282" xr3:uid="{CB151D50-830C-411C-A270-BAC5E0C49E20}" name="6502" dataDxfId="10108"/>
    <tableColumn id="6283" xr3:uid="{FDACEC08-E1A0-41CD-BB85-0F0A4445E6C7}" name="6503" dataDxfId="10107"/>
    <tableColumn id="6284" xr3:uid="{73B3C927-A4DE-4B1D-886B-4F5D434CECDD}" name="6504" dataDxfId="10106"/>
    <tableColumn id="6285" xr3:uid="{5542240A-06B7-40D8-B45C-1460853D4975}" name="6505" dataDxfId="10105"/>
    <tableColumn id="6286" xr3:uid="{EAB20DF4-8F28-4390-8289-84D870CF58E6}" name="6506" dataDxfId="10104"/>
    <tableColumn id="6287" xr3:uid="{1B1A03FA-ED9E-47AA-989B-0BF377337767}" name="6507" dataDxfId="10103"/>
    <tableColumn id="6288" xr3:uid="{B62129F4-FBDD-4424-930A-11E51A88BA8A}" name="6508" dataDxfId="10102"/>
    <tableColumn id="6289" xr3:uid="{EFF8401F-F1CC-44DB-A83F-23B61E28EBFE}" name="6509" dataDxfId="10101"/>
    <tableColumn id="6290" xr3:uid="{56C918EB-469A-45FF-8AA4-4B8794D77BEA}" name="6510" dataDxfId="10100"/>
    <tableColumn id="6291" xr3:uid="{959E8A54-E12C-4283-AC96-D360BDBFACC1}" name="6511" dataDxfId="10099"/>
    <tableColumn id="6292" xr3:uid="{0CF70836-A2BA-4DCA-88AC-C2180047EE35}" name="6512" dataDxfId="10098"/>
    <tableColumn id="6293" xr3:uid="{9BB63B67-EC55-4BBA-B806-F2F43E98B759}" name="6513" dataDxfId="10097"/>
    <tableColumn id="6294" xr3:uid="{85ACB0CE-7BE7-408B-9F46-A3C33724D5C0}" name="6514" dataDxfId="10096"/>
    <tableColumn id="6295" xr3:uid="{BC32F9DC-F999-4A9C-89F1-B5335E9D2AD0}" name="6515" dataDxfId="10095"/>
    <tableColumn id="6296" xr3:uid="{5C5DCCD5-FECD-4BFE-8B0A-E4C4B9ED2EDA}" name="6516" dataDxfId="10094"/>
    <tableColumn id="6297" xr3:uid="{9A580AE6-B31A-422C-93B4-1792D8A151E5}" name="6517" dataDxfId="10093"/>
    <tableColumn id="6298" xr3:uid="{1D328EBF-29A0-4E96-8266-E5558931B001}" name="6518" dataDxfId="10092"/>
    <tableColumn id="6299" xr3:uid="{9F7109EB-08A7-440E-9CA9-B2D9CE89C562}" name="6519" dataDxfId="10091"/>
    <tableColumn id="6300" xr3:uid="{9610C7D7-787E-4228-B701-6DD54982D7D9}" name="6520" dataDxfId="10090"/>
    <tableColumn id="6301" xr3:uid="{3C2348DD-DFB2-4086-99DE-A19E5991453D}" name="6521" dataDxfId="10089"/>
    <tableColumn id="6302" xr3:uid="{9E74D8D8-242B-41B8-9EAD-C9BE7D8CCB9D}" name="6522" dataDxfId="10088"/>
    <tableColumn id="6303" xr3:uid="{18A1110F-B572-4EE9-B51A-D9FFEE398BC0}" name="6523" dataDxfId="10087"/>
    <tableColumn id="6304" xr3:uid="{4805B48F-218C-4AF3-A7A7-E59DA2C2E35C}" name="6524" dataDxfId="10086"/>
    <tableColumn id="6305" xr3:uid="{79A3E008-6406-464E-BDB9-3AFB7A5D7ED8}" name="6525" dataDxfId="10085"/>
    <tableColumn id="6306" xr3:uid="{90267423-DE88-45ED-A28D-8A7D6CEC12FC}" name="6526" dataDxfId="10084"/>
    <tableColumn id="6307" xr3:uid="{C409346C-9073-474F-B594-2270C9D350D8}" name="6527" dataDxfId="10083"/>
    <tableColumn id="6308" xr3:uid="{5D080D7A-0213-4F3A-8CB2-14726FC254BC}" name="6528" dataDxfId="10082"/>
    <tableColumn id="6309" xr3:uid="{9E41D661-8A18-44D0-85FF-7BAC7FE595C6}" name="6529" dataDxfId="10081"/>
    <tableColumn id="6310" xr3:uid="{608F23EC-E4FD-441E-85E4-DE0538EEAEEC}" name="6530" dataDxfId="10080"/>
    <tableColumn id="6311" xr3:uid="{FC346D80-2F8D-4C22-8DD2-AB3B15E38B71}" name="6531" dataDxfId="10079"/>
    <tableColumn id="6312" xr3:uid="{7C5B87EC-013C-4AF5-8638-4EC4714DDBE9}" name="6532" dataDxfId="10078"/>
    <tableColumn id="6313" xr3:uid="{08784B5B-6821-4360-A16D-B022BE8D2347}" name="6533" dataDxfId="10077"/>
    <tableColumn id="6314" xr3:uid="{EE18487B-C999-4725-B285-DD3F640D604F}" name="6534" dataDxfId="10076"/>
    <tableColumn id="6315" xr3:uid="{AA0BA209-860C-44A8-957C-88E0BB338E26}" name="6535" dataDxfId="10075"/>
    <tableColumn id="6316" xr3:uid="{C3F1F5C2-89C3-4752-8A3B-B91374C1C97A}" name="6536" dataDxfId="10074"/>
    <tableColumn id="6317" xr3:uid="{FB53A4A5-A4DC-4000-9951-3F2CA9B116B4}" name="6537" dataDxfId="10073"/>
    <tableColumn id="6318" xr3:uid="{7679007F-6B54-4690-865D-795C4CB6E251}" name="6538" dataDxfId="10072"/>
    <tableColumn id="6319" xr3:uid="{4A26B6C1-4667-4485-8B95-5F96DA16D812}" name="6539" dataDxfId="10071"/>
    <tableColumn id="6320" xr3:uid="{F6DE6737-4DFA-4AE4-A5C9-BC518CBE54FF}" name="6540" dataDxfId="10070"/>
    <tableColumn id="6321" xr3:uid="{D3BF2502-9011-4116-8310-33C6BBB05BC4}" name="6541" dataDxfId="10069"/>
    <tableColumn id="6322" xr3:uid="{488E3ACD-B854-4E30-91B0-BFA764CBE563}" name="6542" dataDxfId="10068"/>
    <tableColumn id="6323" xr3:uid="{79FC41E9-70EB-4532-B06E-B712813E98F2}" name="6543" dataDxfId="10067"/>
    <tableColumn id="6324" xr3:uid="{045E577D-3D2A-415C-B454-E4B8137BE2B2}" name="6544" dataDxfId="10066"/>
    <tableColumn id="6325" xr3:uid="{5C5534C3-4479-4CC6-B7F1-2345C56321E7}" name="6545" dataDxfId="10065"/>
    <tableColumn id="6326" xr3:uid="{71371478-A89B-43CF-A350-4449BE2FE82E}" name="6546" dataDxfId="10064"/>
    <tableColumn id="6327" xr3:uid="{69595830-BC6F-411F-9F44-F4B8C4119F8A}" name="6547" dataDxfId="10063"/>
    <tableColumn id="6328" xr3:uid="{91ABDE88-C43E-4840-B20B-D12A2A1EB300}" name="6548" dataDxfId="10062"/>
    <tableColumn id="6329" xr3:uid="{071AC7EF-827E-4B9F-AEEC-0A0832BE7B20}" name="6549" dataDxfId="10061"/>
    <tableColumn id="6330" xr3:uid="{1F055E63-43EE-4A91-9E49-D02C4E2F0477}" name="6550" dataDxfId="10060"/>
    <tableColumn id="6331" xr3:uid="{F360B8F0-49F4-4087-93F4-0BF7B9351037}" name="6551" dataDxfId="10059"/>
    <tableColumn id="6332" xr3:uid="{4A13D94E-ED81-4683-A30A-01727810DD27}" name="6552" dataDxfId="10058"/>
    <tableColumn id="6333" xr3:uid="{F5DA6217-88F4-4D76-85FA-CDF693C8072E}" name="6553" dataDxfId="10057"/>
    <tableColumn id="6334" xr3:uid="{0AE04968-9563-4628-8D49-27D8FBBE81ED}" name="6554" dataDxfId="10056"/>
    <tableColumn id="6335" xr3:uid="{0A82C341-431B-4935-BDDD-487C74B8F77F}" name="6555" dataDxfId="10055"/>
    <tableColumn id="6336" xr3:uid="{BCE62B8D-369C-4D9B-A65A-A8FD31232263}" name="6556" dataDxfId="10054"/>
    <tableColumn id="6337" xr3:uid="{F91AF9EE-4304-4870-9800-B3A43907AC94}" name="6557" dataDxfId="10053"/>
    <tableColumn id="6338" xr3:uid="{D5CAAE2C-EFB8-4439-82D4-FA514AA7F753}" name="6558" dataDxfId="10052"/>
    <tableColumn id="6339" xr3:uid="{EBE64DFC-1017-49F3-98E2-AADFCBEFDB57}" name="6559" dataDxfId="10051"/>
    <tableColumn id="6340" xr3:uid="{325EA902-6630-4F43-B0D6-5734D8C498A3}" name="6560" dataDxfId="10050"/>
    <tableColumn id="6341" xr3:uid="{5E727AEC-7FBA-405E-BB1B-61C3BEE449A5}" name="6561" dataDxfId="10049"/>
    <tableColumn id="6342" xr3:uid="{F460DB99-1451-44AA-AEF9-8E72191166F1}" name="6562" dataDxfId="10048"/>
    <tableColumn id="6343" xr3:uid="{0CC68015-BA63-4F53-86DA-5D5C1C2B96C3}" name="6563" dataDxfId="10047"/>
    <tableColumn id="6344" xr3:uid="{31967781-C515-458F-9603-454780753506}" name="6564" dataDxfId="10046"/>
    <tableColumn id="6345" xr3:uid="{025AEDBF-9287-4B08-83BC-B7F71A876292}" name="6565" dataDxfId="10045"/>
    <tableColumn id="6346" xr3:uid="{6F23F47B-11E1-4D72-9D0D-3FA3C653C5A9}" name="6566" dataDxfId="10044"/>
    <tableColumn id="6347" xr3:uid="{BC4D6638-5502-4FD9-85D6-784FF8BC77C3}" name="6567" dataDxfId="10043"/>
    <tableColumn id="6348" xr3:uid="{A4B29A5A-765D-4F46-BA8E-2B01A4479187}" name="6568" dataDxfId="10042"/>
    <tableColumn id="6349" xr3:uid="{7B7E7F33-5BD7-40FC-B254-552A98F478AB}" name="6569" dataDxfId="10041"/>
    <tableColumn id="6350" xr3:uid="{FF525AE6-8314-4068-B5BB-5A71D3897937}" name="6570" dataDxfId="10040"/>
    <tableColumn id="6351" xr3:uid="{94F7D6A4-D824-4C38-B888-F4AB2FC29F98}" name="6571" dataDxfId="10039"/>
    <tableColumn id="6352" xr3:uid="{23FDFCD8-4B66-4C52-851C-1A62CDF309B6}" name="6572" dataDxfId="10038"/>
    <tableColumn id="6353" xr3:uid="{F8A5489B-F743-4B95-8F3E-0981FCB9C504}" name="6573" dataDxfId="10037"/>
    <tableColumn id="6354" xr3:uid="{94ACDB2C-F86F-45E4-993E-FE7A934CECC3}" name="6574" dataDxfId="10036"/>
    <tableColumn id="6355" xr3:uid="{15B2FD25-996C-4843-9EA0-8D58080EDCF0}" name="6575" dataDxfId="10035"/>
    <tableColumn id="6356" xr3:uid="{9E9AFB8E-3F1D-47E7-8E11-BECE249DEFC8}" name="6576" dataDxfId="10034"/>
    <tableColumn id="6357" xr3:uid="{EADFD52B-79CF-4F86-8343-ACE6E3040AE1}" name="6577" dataDxfId="10033"/>
    <tableColumn id="6358" xr3:uid="{D79EB790-0C12-4B0D-B40D-0F383E24E0E4}" name="6578" dataDxfId="10032"/>
    <tableColumn id="6359" xr3:uid="{17E68A36-0DC9-4758-8031-ED04396174BF}" name="6579" dataDxfId="10031"/>
    <tableColumn id="6360" xr3:uid="{DE248173-D44B-4CA7-8F5C-3E0A205F3910}" name="6580" dataDxfId="10030"/>
    <tableColumn id="6361" xr3:uid="{36C39CCF-A099-41DD-BB44-B31F95A48838}" name="6581" dataDxfId="10029"/>
    <tableColumn id="6362" xr3:uid="{6BD61ED8-643F-4674-9B4F-EEDB69EFEACB}" name="6582" dataDxfId="10028"/>
    <tableColumn id="6363" xr3:uid="{2C3F3257-4352-45E7-9F1E-C581E4C439DA}" name="6583" dataDxfId="10027"/>
    <tableColumn id="6364" xr3:uid="{CE8855F7-FFAC-4A62-9B10-1DEC07A28537}" name="6584" dataDxfId="10026"/>
    <tableColumn id="6365" xr3:uid="{0B50099D-9D8B-48AC-8A72-67A83F3A7B46}" name="6585" dataDxfId="10025"/>
    <tableColumn id="6366" xr3:uid="{FEEE7680-5948-4D9D-A717-3746E6798833}" name="6586" dataDxfId="10024"/>
    <tableColumn id="6367" xr3:uid="{FBCDAAAF-7A7C-41A4-A40E-AED8FB41DE8E}" name="6587" dataDxfId="10023"/>
    <tableColumn id="6368" xr3:uid="{DB087B91-C5FC-438B-B9C4-59FCF1322BBB}" name="6588" dataDxfId="10022"/>
    <tableColumn id="6369" xr3:uid="{EA123884-C399-4C02-B3F5-377A0B1488AA}" name="6589" dataDxfId="10021"/>
    <tableColumn id="6370" xr3:uid="{DCB43BC8-6BFA-4E91-8F74-AFC80704B814}" name="6590" dataDxfId="10020"/>
    <tableColumn id="6371" xr3:uid="{ACF9D47A-67A8-4726-A1AB-8DD3984C986D}" name="6591" dataDxfId="10019"/>
    <tableColumn id="6372" xr3:uid="{2F0D48F1-77F3-4A75-A46B-C70DE61E1FD2}" name="6592" dataDxfId="10018"/>
    <tableColumn id="6373" xr3:uid="{51447066-CD1B-458C-9149-BC4C593F8923}" name="6593" dataDxfId="10017"/>
    <tableColumn id="6374" xr3:uid="{1FADA2BD-6608-4DC1-8DFC-1D63AFDA5793}" name="6594" dataDxfId="10016"/>
    <tableColumn id="6375" xr3:uid="{DF828A4C-7F29-46EF-BD3A-A1B6A45954A4}" name="6595" dataDxfId="10015"/>
    <tableColumn id="6376" xr3:uid="{BFAAD876-B68E-4DE3-99B2-22FC2B4B564E}" name="6596" dataDxfId="10014"/>
    <tableColumn id="6377" xr3:uid="{5FA02A1C-81FF-48A1-A223-3695B513E55C}" name="6597" dataDxfId="10013"/>
    <tableColumn id="6378" xr3:uid="{2BEAA5B5-E340-4F9B-B0B0-E226D7A059DA}" name="6598" dataDxfId="10012"/>
    <tableColumn id="6379" xr3:uid="{82446BC6-6A7D-4F95-AEF1-F98357FC67B7}" name="6599" dataDxfId="10011"/>
    <tableColumn id="6380" xr3:uid="{B12BE6C8-8B74-46CE-BDF2-C7B7554A9C76}" name="6600" dataDxfId="10010"/>
    <tableColumn id="6381" xr3:uid="{B13E9674-866E-45FD-A2F6-8247BFE2D950}" name="6601" dataDxfId="10009"/>
    <tableColumn id="6382" xr3:uid="{66C595FC-9432-40F5-B20F-1EC745FE05A2}" name="6602" dataDxfId="10008"/>
    <tableColumn id="6383" xr3:uid="{8F853132-1FC5-491D-BB0E-A3CE2259EEF7}" name="6603" dataDxfId="10007"/>
    <tableColumn id="6384" xr3:uid="{9106DF6A-6963-4B44-9AAB-C29F6F2F0279}" name="6604" dataDxfId="10006"/>
    <tableColumn id="6385" xr3:uid="{E9CA2386-F5BA-4E21-9EF1-57353572D83E}" name="6605" dataDxfId="10005"/>
    <tableColumn id="6386" xr3:uid="{64455243-64CB-4052-A42E-496787986B1E}" name="6606" dataDxfId="10004"/>
    <tableColumn id="6387" xr3:uid="{7605F3CB-4BE8-4A60-8784-FDBECB28E81E}" name="6607" dataDxfId="10003"/>
    <tableColumn id="6388" xr3:uid="{FD4E6F28-E6B5-4E79-A78E-EDFDFA5A4FC4}" name="6608" dataDxfId="10002"/>
    <tableColumn id="6389" xr3:uid="{92DD1885-399D-4F2E-A667-C099BC92FF52}" name="6609" dataDxfId="10001"/>
    <tableColumn id="6390" xr3:uid="{FA970F57-395E-4C48-B09F-4A6BB4206356}" name="6610" dataDxfId="10000"/>
    <tableColumn id="6391" xr3:uid="{1A959E7C-5A42-41CB-9358-D5A2D55EFE5A}" name="6611" dataDxfId="9999"/>
    <tableColumn id="6392" xr3:uid="{0494485C-27DD-4DF7-AF7C-7F4A5C12A645}" name="6612" dataDxfId="9998"/>
    <tableColumn id="6393" xr3:uid="{7E81D241-A4EE-42AE-A394-D9AA4FC91B9B}" name="6613" dataDxfId="9997"/>
    <tableColumn id="6394" xr3:uid="{01AC6872-DDC7-4BEF-A3DF-2D13A4422534}" name="6614" dataDxfId="9996"/>
    <tableColumn id="6395" xr3:uid="{5A00D5D1-79F6-4929-9C38-27622B85DEE5}" name="6615" dataDxfId="9995"/>
    <tableColumn id="6396" xr3:uid="{391273A0-E1D8-474C-B8D4-71B98F7F483E}" name="6616" dataDxfId="9994"/>
    <tableColumn id="6397" xr3:uid="{0330F4C2-987E-423D-BAE4-305B097A1FE2}" name="6617" dataDxfId="9993"/>
    <tableColumn id="6398" xr3:uid="{B0376A15-B1B4-41CB-8E1E-09B1C04F38CB}" name="6618" dataDxfId="9992"/>
    <tableColumn id="6399" xr3:uid="{ED7A6ED6-3A73-4007-8075-51A5A47D1811}" name="6619" dataDxfId="9991"/>
    <tableColumn id="6400" xr3:uid="{B69763D5-1009-4E6B-B47D-5820928E9EAE}" name="6620" dataDxfId="9990"/>
    <tableColumn id="6401" xr3:uid="{E54690CD-33F1-4612-BC2E-26087F951E7A}" name="6621" dataDxfId="9989"/>
    <tableColumn id="6402" xr3:uid="{FEEE74C9-1539-4269-AA26-21A6B08EB4C8}" name="6622" dataDxfId="9988"/>
    <tableColumn id="6403" xr3:uid="{35BBF77E-9CAF-4CCB-887F-80B45EF3F6DE}" name="6623" dataDxfId="9987"/>
    <tableColumn id="6404" xr3:uid="{BD76F5A8-CC7C-4B01-ABE9-567A8D67E4CE}" name="6624" dataDxfId="9986"/>
    <tableColumn id="6405" xr3:uid="{D791853F-4F13-4DB7-B931-2EB99C748573}" name="6625" dataDxfId="9985"/>
    <tableColumn id="6406" xr3:uid="{A84E7751-9453-4937-B9BD-BA5DE4BFEE01}" name="6626" dataDxfId="9984"/>
    <tableColumn id="6407" xr3:uid="{3305544D-09C3-4D3B-8273-7184BC746520}" name="6627" dataDxfId="9983"/>
    <tableColumn id="6408" xr3:uid="{FC1A87B2-6D2C-4182-A0DB-E0C018D87E60}" name="6628" dataDxfId="9982"/>
    <tableColumn id="6409" xr3:uid="{8C8D1731-3E65-4BB6-A111-4E71EAE6BFA8}" name="6629" dataDxfId="9981"/>
    <tableColumn id="6410" xr3:uid="{91A1C4A5-270E-490F-9C0C-8A4207EA8BC7}" name="6630" dataDxfId="9980"/>
    <tableColumn id="6411" xr3:uid="{4BB4C991-5A2A-46D3-8883-41AA412C7C2F}" name="6631" dataDxfId="9979"/>
    <tableColumn id="6412" xr3:uid="{B5F9173E-A46C-4B71-BDB4-747BC7FE2E08}" name="6632" dataDxfId="9978"/>
    <tableColumn id="6413" xr3:uid="{9D7307AC-5EC5-4898-BBC8-9E8C65DBE936}" name="6633" dataDxfId="9977"/>
    <tableColumn id="6414" xr3:uid="{53B94451-5708-40B8-802D-B722AF8808DC}" name="6634" dataDxfId="9976"/>
    <tableColumn id="6415" xr3:uid="{8F21701A-7139-485C-8654-E73186658DA4}" name="6635" dataDxfId="9975"/>
    <tableColumn id="6416" xr3:uid="{93D23F9C-B6A7-48DC-B777-D9FD7679ED3C}" name="6636" dataDxfId="9974"/>
    <tableColumn id="6417" xr3:uid="{BE33C331-6765-44AB-AE29-CC2F21AE39BC}" name="6637" dataDxfId="9973"/>
    <tableColumn id="6418" xr3:uid="{31430F4D-4D89-4BFF-8851-121A1AA429EF}" name="6638" dataDxfId="9972"/>
    <tableColumn id="6419" xr3:uid="{F4E01196-8648-4E0C-9305-801D14C7923E}" name="6639" dataDxfId="9971"/>
    <tableColumn id="6420" xr3:uid="{2A81E4B5-90CA-4556-8CA0-56E65C1BBFAA}" name="6640" dataDxfId="9970"/>
    <tableColumn id="6421" xr3:uid="{B30AE569-973C-4E75-BE02-65D7B9061F78}" name="6641" dataDxfId="9969"/>
    <tableColumn id="6422" xr3:uid="{049351B7-C9FB-495C-982A-8F8078DEE69E}" name="6642" dataDxfId="9968"/>
    <tableColumn id="6423" xr3:uid="{A2EC96BA-2A7B-4B1F-91CA-8D87D6B745D7}" name="6643" dataDxfId="9967"/>
    <tableColumn id="6424" xr3:uid="{FC78DB48-CBC3-4134-9419-7D89FECFA570}" name="6644" dataDxfId="9966"/>
    <tableColumn id="6425" xr3:uid="{A61D66E4-5D6C-45ED-8647-63A8601D76BC}" name="6645" dataDxfId="9965"/>
    <tableColumn id="6426" xr3:uid="{35FAF069-FFDD-4FF6-B67E-F0745F61BC7C}" name="6646" dataDxfId="9964"/>
    <tableColumn id="6427" xr3:uid="{838CEFCA-DE52-41C6-8F79-704C57B11C6C}" name="6647" dataDxfId="9963"/>
    <tableColumn id="6428" xr3:uid="{9DBC69AD-B63C-4F26-A9A9-354DB0651EB3}" name="6648" dataDxfId="9962"/>
    <tableColumn id="6429" xr3:uid="{07B89E59-A37A-4D82-8E62-8414AF797747}" name="6649" dataDxfId="9961"/>
    <tableColumn id="6430" xr3:uid="{035A34FA-6229-4EDD-8408-32291746C530}" name="6650" dataDxfId="9960"/>
    <tableColumn id="6431" xr3:uid="{0ECD75EF-EB33-4DD8-9229-923AE3A572F5}" name="6651" dataDxfId="9959"/>
    <tableColumn id="6432" xr3:uid="{6F42A0BE-6B47-4AE6-B93D-1F0F2774C2B9}" name="6652" dataDxfId="9958"/>
    <tableColumn id="6433" xr3:uid="{A3280AC3-4E18-43F4-8AC6-31891BDC0679}" name="6653" dataDxfId="9957"/>
    <tableColumn id="6434" xr3:uid="{B8665C9C-C902-46D0-A6C7-161F9805D98D}" name="6654" dataDxfId="9956"/>
    <tableColumn id="6435" xr3:uid="{5D2352A6-3234-4BD7-B05B-323D0F1AD13C}" name="6655" dataDxfId="9955"/>
    <tableColumn id="6436" xr3:uid="{3A6AC62B-754E-49D9-A79A-6E8E149FC05A}" name="6656" dataDxfId="9954"/>
    <tableColumn id="6437" xr3:uid="{9147408C-236D-49E5-9327-C4255E06A683}" name="6657" dataDxfId="9953"/>
    <tableColumn id="6438" xr3:uid="{A15FAEFB-DE38-4EA3-9EB2-FDB5288CDC0C}" name="6658" dataDxfId="9952"/>
    <tableColumn id="6439" xr3:uid="{A9DD3FF5-1BE2-4B45-968C-BC8BFADB03B7}" name="6659" dataDxfId="9951"/>
    <tableColumn id="6440" xr3:uid="{52616837-3096-4AF0-A333-1D76002514F0}" name="6660" dataDxfId="9950"/>
    <tableColumn id="6441" xr3:uid="{1CAA359F-D889-4E01-87A9-F3C48621045C}" name="6661" dataDxfId="9949"/>
    <tableColumn id="6442" xr3:uid="{BC293FAB-99B4-4B0E-98B7-0373A496493F}" name="6662" dataDxfId="9948"/>
    <tableColumn id="6443" xr3:uid="{19AC1C00-6F49-4BE4-9F84-84E29B291A57}" name="6663" dataDxfId="9947"/>
    <tableColumn id="6444" xr3:uid="{5B7124EC-3776-4A30-B041-AEDE0C3C0FA7}" name="6664" dataDxfId="9946"/>
    <tableColumn id="6445" xr3:uid="{6B305F18-5705-416D-A3EA-7C2F56A8E3ED}" name="6665" dataDxfId="9945"/>
    <tableColumn id="6446" xr3:uid="{A896A6F8-AB34-4E0C-BC92-89E3A894D7A3}" name="6666" dataDxfId="9944"/>
    <tableColumn id="6447" xr3:uid="{662BB254-C280-423B-B72A-A0B7576B20A0}" name="6667" dataDxfId="9943"/>
    <tableColumn id="6448" xr3:uid="{52A754C6-BAAC-4F92-82F1-E8B7E92FF48A}" name="6668" dataDxfId="9942"/>
    <tableColumn id="6449" xr3:uid="{1CE347E8-4BC4-464C-BF5E-9049C15D0DAD}" name="6669" dataDxfId="9941"/>
    <tableColumn id="6450" xr3:uid="{0D34EC5E-A226-49A6-A093-9B7BA64B4F33}" name="6670" dataDxfId="9940"/>
    <tableColumn id="6451" xr3:uid="{40116464-16BB-4329-B9C3-01F9321ABED7}" name="6671" dataDxfId="9939"/>
    <tableColumn id="6452" xr3:uid="{BA85DC98-4F85-4BBE-B429-CBA896073AFC}" name="6672" dataDxfId="9938"/>
    <tableColumn id="6453" xr3:uid="{2D5C44D4-036A-422E-A24A-783D18CC2329}" name="6673" dataDxfId="9937"/>
    <tableColumn id="6454" xr3:uid="{4C1F8C11-AABE-4246-AE61-4C64B15BA501}" name="6674" dataDxfId="9936"/>
    <tableColumn id="6455" xr3:uid="{1BC38DB2-A267-44E8-A013-262C333F8EF7}" name="6675" dataDxfId="9935"/>
    <tableColumn id="6456" xr3:uid="{95D2588D-8E22-42E3-B945-A862AEF53D8D}" name="6676" dataDxfId="9934"/>
    <tableColumn id="6457" xr3:uid="{4725A7D1-1084-42F8-A698-D04B476FC183}" name="6677" dataDxfId="9933"/>
    <tableColumn id="6458" xr3:uid="{71CB68DF-27E4-4639-AE6E-9A614AA48097}" name="6678" dataDxfId="9932"/>
    <tableColumn id="6459" xr3:uid="{509F252A-B1A4-4764-9BDE-AC375F527CD7}" name="6679" dataDxfId="9931"/>
    <tableColumn id="6460" xr3:uid="{02973D7F-E801-46DA-965B-6673CA069269}" name="6680" dataDxfId="9930"/>
    <tableColumn id="6461" xr3:uid="{492F50DF-7CDD-404A-B966-517301800872}" name="6681" dataDxfId="9929"/>
    <tableColumn id="6462" xr3:uid="{76BB4E1D-C55B-412B-9A44-1D816E31E4D7}" name="6682" dataDxfId="9928"/>
    <tableColumn id="6463" xr3:uid="{C0F2249F-35CD-45F6-BEC6-AC806E7F06A6}" name="6683" dataDxfId="9927"/>
    <tableColumn id="6464" xr3:uid="{1248064C-CEBA-4B85-AFD8-8C2E46E2F0B7}" name="6684" dataDxfId="9926"/>
    <tableColumn id="6465" xr3:uid="{BF3E8113-C2A3-4E2D-8CCA-BE0F9CBE5A03}" name="6685" dataDxfId="9925"/>
    <tableColumn id="6466" xr3:uid="{B9B6B186-78AE-45E6-BD27-9705B63704BE}" name="6686" dataDxfId="9924"/>
    <tableColumn id="6467" xr3:uid="{B78E06F7-7273-4A2F-90E4-11F0910FCF81}" name="6687" dataDxfId="9923"/>
    <tableColumn id="6468" xr3:uid="{978FCBFB-26B2-43F1-97C2-3F2808F1BE7B}" name="6688" dataDxfId="9922"/>
    <tableColumn id="6469" xr3:uid="{D24E0EF8-C0DD-42B6-A00E-E6A037B9BB69}" name="6689" dataDxfId="9921"/>
    <tableColumn id="6470" xr3:uid="{F41A4454-723B-4EE8-84E5-BE0FE78B72A9}" name="6690" dataDxfId="9920"/>
    <tableColumn id="6471" xr3:uid="{F4993F21-47B1-4454-9A56-75B637FEC9F7}" name="6691" dataDxfId="9919"/>
    <tableColumn id="6472" xr3:uid="{440816EA-FD59-4E1B-97EE-163448BD4CD8}" name="6692" dataDxfId="9918"/>
    <tableColumn id="6473" xr3:uid="{B65A5864-4A78-487D-8CD0-9B7DEFD9FCE3}" name="6693" dataDxfId="9917"/>
    <tableColumn id="6474" xr3:uid="{C56C04E4-06C0-480B-AF55-00F2AA3D560C}" name="6694" dataDxfId="9916"/>
    <tableColumn id="6475" xr3:uid="{56204484-4B8E-42C8-A2FF-7E2E9C01D4EA}" name="6695" dataDxfId="9915"/>
    <tableColumn id="6476" xr3:uid="{AB65154D-9C0A-4566-93EF-C56B4CC0BA7C}" name="6696" dataDxfId="9914"/>
    <tableColumn id="6477" xr3:uid="{D5A2CD64-4B0F-4557-9834-298AE0353839}" name="6697" dataDxfId="9913"/>
    <tableColumn id="6478" xr3:uid="{1132D11D-2CD8-4BC6-96CE-AE3B7D5532F3}" name="6698" dataDxfId="9912"/>
    <tableColumn id="6479" xr3:uid="{01C99AD4-D613-445F-8497-438168612588}" name="6699" dataDxfId="9911"/>
    <tableColumn id="6480" xr3:uid="{995AA11C-2F53-4EA0-8B6E-8BAF8A91496E}" name="6700" dataDxfId="9910"/>
    <tableColumn id="6481" xr3:uid="{EA520A2F-E899-4371-9A0B-DCEC5F3245DD}" name="6701" dataDxfId="9909"/>
    <tableColumn id="6482" xr3:uid="{0849FE3F-BB07-428F-A995-D2C2FED4090C}" name="6702" dataDxfId="9908"/>
    <tableColumn id="6483" xr3:uid="{6FFC8FC6-99CA-48CA-9D10-21A3CF124589}" name="6703" dataDxfId="9907"/>
    <tableColumn id="6484" xr3:uid="{0B24ADEC-FED7-49D2-9D05-2536D4428E7E}" name="6704" dataDxfId="9906"/>
    <tableColumn id="6485" xr3:uid="{F283C865-8EF5-4BAD-A20F-B22BB60BCCCF}" name="6705" dataDxfId="9905"/>
    <tableColumn id="6486" xr3:uid="{DA9147F2-AF73-4D87-90BE-DB06FD85257E}" name="6706" dataDxfId="9904"/>
    <tableColumn id="6487" xr3:uid="{53666EFA-05F8-4244-AE05-352F3B7318D7}" name="6707" dataDxfId="9903"/>
    <tableColumn id="6488" xr3:uid="{D7796166-8DE8-4170-BC12-400E83758BCA}" name="6708" dataDxfId="9902"/>
    <tableColumn id="6489" xr3:uid="{0594FC59-5AA8-4795-90AF-BDA6EE179C18}" name="6709" dataDxfId="9901"/>
    <tableColumn id="6490" xr3:uid="{FEF963CB-98F2-4B63-A464-127B9FDBC123}" name="6710" dataDxfId="9900"/>
    <tableColumn id="6491" xr3:uid="{22C0A85F-2C72-4B03-9189-97A4CEC38ABA}" name="6711" dataDxfId="9899"/>
    <tableColumn id="6492" xr3:uid="{AF196267-356C-4890-A9E3-858255EC29C8}" name="6712" dataDxfId="9898"/>
    <tableColumn id="6493" xr3:uid="{2F53EAFC-609C-47C7-AEF7-66E3BCAE7F99}" name="6713" dataDxfId="9897"/>
    <tableColumn id="6494" xr3:uid="{F04EF827-F28F-41B0-B471-F36CDC9F2610}" name="6714" dataDxfId="9896"/>
    <tableColumn id="6495" xr3:uid="{8BB204F4-992A-4DF9-9FA6-680366CC8EEF}" name="6715" dataDxfId="9895"/>
    <tableColumn id="6496" xr3:uid="{7DFD1FAF-0119-41A3-9ADB-F7549D9F3262}" name="6716" dataDxfId="9894"/>
    <tableColumn id="6497" xr3:uid="{BF8F7730-1DE3-4833-8974-0E96B39211CC}" name="6717" dataDxfId="9893"/>
    <tableColumn id="6498" xr3:uid="{E7C60B02-52C7-4CE4-97A4-0A7EE5866B8B}" name="6718" dataDxfId="9892"/>
    <tableColumn id="6499" xr3:uid="{9EC1BBA4-4711-4A0D-8455-6B48033CEE18}" name="6719" dataDxfId="9891"/>
    <tableColumn id="6500" xr3:uid="{B644DB0B-1E80-4EE2-AB89-4A921ABC5D8B}" name="6720" dataDxfId="9890"/>
    <tableColumn id="6501" xr3:uid="{3238C2D2-1004-4DC5-A19B-A3E5EFED6F70}" name="6721" dataDxfId="9889"/>
    <tableColumn id="6502" xr3:uid="{DDBA10DF-0601-47B6-8AD8-3A596FF9F87B}" name="6722" dataDxfId="9888"/>
    <tableColumn id="6503" xr3:uid="{E1FBB0A7-6B61-4D71-AB9F-421463EDE974}" name="6723" dataDxfId="9887"/>
    <tableColumn id="6504" xr3:uid="{D889C0D1-5B22-4180-B3A5-4FD0BB91059C}" name="6724" dataDxfId="9886"/>
    <tableColumn id="6505" xr3:uid="{A4A86BF8-3000-4D04-8DF6-EAF61880CF80}" name="6725" dataDxfId="9885"/>
    <tableColumn id="6506" xr3:uid="{FEFEDEF9-06D6-4494-982A-33E1D60891BC}" name="6726" dataDxfId="9884"/>
    <tableColumn id="6507" xr3:uid="{AA23114F-DD39-4F06-A142-2F5356FD75CD}" name="6727" dataDxfId="9883"/>
    <tableColumn id="6508" xr3:uid="{4BB6586E-606E-47BE-8A44-6004B421E503}" name="6728" dataDxfId="9882"/>
    <tableColumn id="6509" xr3:uid="{A8AAE6CB-CB68-4F15-8AFA-9E8BB810C7D8}" name="6729" dataDxfId="9881"/>
    <tableColumn id="6510" xr3:uid="{A40131FE-3542-408D-82E2-480965C3B3F6}" name="6730" dataDxfId="9880"/>
    <tableColumn id="6511" xr3:uid="{7A73095E-C261-4307-855F-7D97B1C69ABE}" name="6731" dataDxfId="9879"/>
    <tableColumn id="6512" xr3:uid="{ADA3A640-3782-4047-ADDA-1CC2EDDD92D6}" name="6732" dataDxfId="9878"/>
    <tableColumn id="6513" xr3:uid="{C6C3E7B2-27A5-4CBE-93EE-DF644819BF5A}" name="6733" dataDxfId="9877"/>
    <tableColumn id="6514" xr3:uid="{DE739467-DE82-46B7-A8FD-BFB1AF4A7CFD}" name="6734" dataDxfId="9876"/>
    <tableColumn id="6515" xr3:uid="{C702B386-304E-47FA-936E-A3B41E42D971}" name="6735" dataDxfId="9875"/>
    <tableColumn id="6516" xr3:uid="{4FA977A6-ED9D-41EC-BFEF-535EBF5F9B38}" name="6736" dataDxfId="9874"/>
    <tableColumn id="6517" xr3:uid="{42879209-C812-42EE-B05D-9B081D519A71}" name="6737" dataDxfId="9873"/>
    <tableColumn id="6518" xr3:uid="{C483BED8-607E-4A90-8156-723F184FEEB5}" name="6738" dataDxfId="9872"/>
    <tableColumn id="6519" xr3:uid="{F2CC1755-4868-4712-A047-477F2BAB29BE}" name="6739" dataDxfId="9871"/>
    <tableColumn id="6520" xr3:uid="{9B64DD0E-EB04-4FC1-94EF-EC5E3F85BD1A}" name="6740" dataDxfId="9870"/>
    <tableColumn id="6521" xr3:uid="{57FEA85A-E9D9-4B4D-88C6-04416FA3A929}" name="6741" dataDxfId="9869"/>
    <tableColumn id="6522" xr3:uid="{2B7FD35E-565A-4667-AF14-F7543EEE412E}" name="6742" dataDxfId="9868"/>
    <tableColumn id="6523" xr3:uid="{BBECEB22-8D6A-48D4-A61A-3801BF6DB6D5}" name="6743" dataDxfId="9867"/>
    <tableColumn id="6524" xr3:uid="{F9E7C8DE-BA1D-4E8B-8647-C79C58DAC9AF}" name="6744" dataDxfId="9866"/>
    <tableColumn id="6525" xr3:uid="{626ED312-8EC0-4309-82BD-A15B6486627C}" name="6745" dataDxfId="9865"/>
    <tableColumn id="6526" xr3:uid="{D0034FB4-DB0B-4F11-9D59-4756F1CCD087}" name="6746" dataDxfId="9864"/>
    <tableColumn id="6527" xr3:uid="{15400B7A-279C-4865-A958-7720375F12B9}" name="6747" dataDxfId="9863"/>
    <tableColumn id="6528" xr3:uid="{EA994062-4C91-4F01-BF6F-2130DE0A2ECD}" name="6748" dataDxfId="9862"/>
    <tableColumn id="6529" xr3:uid="{F1EA603D-20DF-42C1-9C4C-FAE964C57835}" name="6749" dataDxfId="9861"/>
    <tableColumn id="6530" xr3:uid="{41ECB256-08F9-4B50-B07A-75850D692CAF}" name="6750" dataDxfId="9860"/>
    <tableColumn id="6531" xr3:uid="{F38724C1-4CAB-467B-AF9F-56AED5037555}" name="6751" dataDxfId="9859"/>
    <tableColumn id="6532" xr3:uid="{9B86A379-C652-42EE-9537-F5D78E7EFA15}" name="6752" dataDxfId="9858"/>
    <tableColumn id="6533" xr3:uid="{3208A121-FBCC-4A9F-AEA3-F6BB8F8533B5}" name="6753" dataDxfId="9857"/>
    <tableColumn id="6534" xr3:uid="{9D77ECB9-5707-47AB-A2DA-02603C5AB1E8}" name="6754" dataDxfId="9856"/>
    <tableColumn id="6535" xr3:uid="{D97D550F-A46C-482A-8107-60EE227A8ABB}" name="6755" dataDxfId="9855"/>
    <tableColumn id="6536" xr3:uid="{6FF9A5CE-1FEE-4043-B144-485892BB451E}" name="6756" dataDxfId="9854"/>
    <tableColumn id="6537" xr3:uid="{33CCB255-60BB-434A-AA3A-0DFE81917AB0}" name="6757" dataDxfId="9853"/>
    <tableColumn id="6538" xr3:uid="{67DF06EF-1495-4922-AB08-FEE09237A57B}" name="6758" dataDxfId="9852"/>
    <tableColumn id="6539" xr3:uid="{82139184-3A2F-4C27-9510-0E51644BF1EE}" name="6759" dataDxfId="9851"/>
    <tableColumn id="6540" xr3:uid="{E04D233F-5193-450A-BA46-14D412868E31}" name="6760" dataDxfId="9850"/>
    <tableColumn id="6541" xr3:uid="{F17FC2E3-CC4E-4565-9B2C-4415CFCC08D8}" name="6761" dataDxfId="9849"/>
    <tableColumn id="6542" xr3:uid="{82AE0309-CE11-443B-B32D-E7C29799B104}" name="6762" dataDxfId="9848"/>
    <tableColumn id="6543" xr3:uid="{1C567215-BDA6-43AE-9FF1-308BF9AE13BD}" name="6763" dataDxfId="9847"/>
    <tableColumn id="6544" xr3:uid="{F2C95EE1-755B-4A71-AB60-5E68DC3AD411}" name="6764" dataDxfId="9846"/>
    <tableColumn id="6545" xr3:uid="{D50F939F-D307-4427-8577-FD587448B95E}" name="6765" dataDxfId="9845"/>
    <tableColumn id="6546" xr3:uid="{F87FF062-445F-4B63-98E0-53FDA62F14DB}" name="6766" dataDxfId="9844"/>
    <tableColumn id="6547" xr3:uid="{9A68CCA4-C86D-4923-92EB-E6BF27475CDF}" name="6767" dataDxfId="9843"/>
    <tableColumn id="6548" xr3:uid="{2D2F5506-5FA2-47DF-AD07-B22472431AFF}" name="6768" dataDxfId="9842"/>
    <tableColumn id="6549" xr3:uid="{A943BDB4-79C7-472D-B7D5-E7BD07866D04}" name="6769" dataDxfId="9841"/>
    <tableColumn id="6550" xr3:uid="{6D8AA972-2FB6-436E-9AAA-6F69E1782E20}" name="6770" dataDxfId="9840"/>
    <tableColumn id="6551" xr3:uid="{154B209B-7303-4535-A893-1CA2C63C0AB5}" name="6771" dataDxfId="9839"/>
    <tableColumn id="6552" xr3:uid="{D7F62612-2B28-47B9-A07C-E9EF79B2F176}" name="6772" dataDxfId="9838"/>
    <tableColumn id="6553" xr3:uid="{6B11D519-97DA-4855-92C5-4496FFA3445E}" name="6773" dataDxfId="9837"/>
    <tableColumn id="6554" xr3:uid="{7EDB4C1A-57DB-4BC1-AC52-E68E02B901FB}" name="6774" dataDxfId="9836"/>
    <tableColumn id="6555" xr3:uid="{6398B64B-5553-4B3E-85BE-F98D152F211B}" name="6775" dataDxfId="9835"/>
    <tableColumn id="6556" xr3:uid="{E2D57605-694B-46BF-B600-276C2EB09087}" name="6776" dataDxfId="9834"/>
    <tableColumn id="6557" xr3:uid="{71CB3295-EF3F-4EC9-AC16-F16A5CEB00E9}" name="6777" dataDxfId="9833"/>
    <tableColumn id="6558" xr3:uid="{B4F1BD57-634E-4732-85A9-A5916C07A57C}" name="6778" dataDxfId="9832"/>
    <tableColumn id="6559" xr3:uid="{C1B1DFB6-9B09-44FF-9221-40ADAB7E845B}" name="6779" dataDxfId="9831"/>
    <tableColumn id="6560" xr3:uid="{BB8A021C-CB17-47F6-A81C-F4AEE2E7BD85}" name="6780" dataDxfId="9830"/>
    <tableColumn id="6561" xr3:uid="{9A4CE609-6E26-4269-B30B-598E20A6F740}" name="6781" dataDxfId="9829"/>
    <tableColumn id="6562" xr3:uid="{C3035329-41FD-4021-9C33-CD97E2D659F2}" name="6782" dataDxfId="9828"/>
    <tableColumn id="6563" xr3:uid="{8B0921C0-CB79-4582-9D8E-383C11740DEB}" name="6783" dataDxfId="9827"/>
    <tableColumn id="6564" xr3:uid="{EBA10314-2280-4B7C-9C11-992BC4B4EFAC}" name="6784" dataDxfId="9826"/>
    <tableColumn id="6565" xr3:uid="{93F97A6D-4BF8-484F-B564-4F61D89E20F4}" name="6785" dataDxfId="9825"/>
    <tableColumn id="6566" xr3:uid="{02525BFE-8789-4EBC-968E-8C87D52D438D}" name="6786" dataDxfId="9824"/>
    <tableColumn id="6567" xr3:uid="{40C7B1CF-742D-43C0-9B41-83F7E2AB3834}" name="6787" dataDxfId="9823"/>
    <tableColumn id="6568" xr3:uid="{6E63BCA5-9575-41A5-8965-FE14346344A9}" name="6788" dataDxfId="9822"/>
    <tableColumn id="6569" xr3:uid="{B6D46CDB-2560-4B43-A1A3-97239D8DCE00}" name="6789" dataDxfId="9821"/>
    <tableColumn id="6570" xr3:uid="{10AA4000-459F-4A12-B2CF-355A1B67E9BA}" name="6790" dataDxfId="9820"/>
    <tableColumn id="6571" xr3:uid="{587FD110-1551-4DD5-AACA-49307C942064}" name="6791" dataDxfId="9819"/>
    <tableColumn id="6572" xr3:uid="{60CBC0C1-C626-43D9-9007-4B5122479E46}" name="6792" dataDxfId="9818"/>
    <tableColumn id="6573" xr3:uid="{95D4682A-660F-4F85-BD0E-BD7503776773}" name="6793" dataDxfId="9817"/>
    <tableColumn id="6574" xr3:uid="{DDA58930-9BA5-4585-9BDB-3B8F8D4CEB1D}" name="6794" dataDxfId="9816"/>
    <tableColumn id="6575" xr3:uid="{2AC190CA-81AE-4318-9568-19E888D85974}" name="6795" dataDxfId="9815"/>
    <tableColumn id="6576" xr3:uid="{9A5E8657-56CF-4720-975C-37C8C0FC23E8}" name="6796" dataDxfId="9814"/>
    <tableColumn id="6577" xr3:uid="{9EB0277A-5009-4ABC-ACC6-923B0ED75A2B}" name="6797" dataDxfId="9813"/>
    <tableColumn id="6578" xr3:uid="{DDC0B3F2-2810-4354-8D8F-3EB601C7E992}" name="6798" dataDxfId="9812"/>
    <tableColumn id="6579" xr3:uid="{7F6C47D8-D797-4231-B9F3-4121BBDF92F1}" name="6799" dataDxfId="9811"/>
    <tableColumn id="6580" xr3:uid="{45EE0646-E6C2-4FBD-95A5-40A126B15CF7}" name="6800" dataDxfId="9810"/>
    <tableColumn id="6581" xr3:uid="{F5C4E486-664B-4C35-97B5-2FC592F742B0}" name="6801" dataDxfId="9809"/>
    <tableColumn id="6582" xr3:uid="{897E46C3-1894-4F6F-9F1F-57BAA37862EE}" name="6802" dataDxfId="9808"/>
    <tableColumn id="6583" xr3:uid="{1D521CB6-E5BD-4A2D-A1A8-D4B96E4DBE6B}" name="6803" dataDxfId="9807"/>
    <tableColumn id="6584" xr3:uid="{CBDB9A2A-6AA5-45DD-A2D6-136D52F20CAF}" name="6804" dataDxfId="9806"/>
    <tableColumn id="6585" xr3:uid="{9EDB50CB-46FE-4527-9EEC-9698C3E3644C}" name="6805" dataDxfId="9805"/>
    <tableColumn id="6586" xr3:uid="{D4A06B31-467D-457F-B19C-C9E2435440DF}" name="6806" dataDxfId="9804"/>
    <tableColumn id="6587" xr3:uid="{02D99F1F-294D-4E8F-B790-F422D78D385D}" name="6807" dataDxfId="9803"/>
    <tableColumn id="6588" xr3:uid="{AFFC24FD-2362-4DFE-81EB-07F740C7679A}" name="6808" dataDxfId="9802"/>
    <tableColumn id="6589" xr3:uid="{4C3731B5-85E5-4D91-9D4F-8F13B558F243}" name="6809" dataDxfId="9801"/>
    <tableColumn id="6590" xr3:uid="{53894EFD-4428-40A5-8B57-071814B507C3}" name="6810" dataDxfId="9800"/>
    <tableColumn id="6591" xr3:uid="{32DCF829-63EA-4094-824A-62B21075A2B8}" name="6811" dataDxfId="9799"/>
    <tableColumn id="6592" xr3:uid="{A4CEEB9B-F651-47A9-ACB7-9C671056F0D6}" name="6812" dataDxfId="9798"/>
    <tableColumn id="6593" xr3:uid="{DD008D36-4D56-4F1B-B220-833A13FB2B5D}" name="6813" dataDxfId="9797"/>
    <tableColumn id="6594" xr3:uid="{78B80078-C139-412C-9CD1-F3505AEA45B1}" name="6814" dataDxfId="9796"/>
    <tableColumn id="6595" xr3:uid="{CE6BFE39-A8A5-4EB1-9315-96E2BF2D33A3}" name="6815" dataDxfId="9795"/>
    <tableColumn id="6596" xr3:uid="{49AFC464-512E-4335-A075-68A45D32D194}" name="6816" dataDxfId="9794"/>
    <tableColumn id="6597" xr3:uid="{3E8C9B70-0742-41F3-A76E-7DBD47CD8AF8}" name="6817" dataDxfId="9793"/>
    <tableColumn id="6598" xr3:uid="{F63C9CCA-535F-489C-BE56-3FF3886910CA}" name="6818" dataDxfId="9792"/>
    <tableColumn id="6599" xr3:uid="{24948A23-C077-4A62-8E82-4D24505B4E45}" name="6819" dataDxfId="9791"/>
    <tableColumn id="6600" xr3:uid="{F96A6A7D-B169-4DFD-9596-92138B798996}" name="6820" dataDxfId="9790"/>
    <tableColumn id="6601" xr3:uid="{917D693B-0116-4AEA-A636-4FFE8AE4ED19}" name="6821" dataDxfId="9789"/>
    <tableColumn id="6602" xr3:uid="{867D023A-026D-4BF7-8E2F-1E3DDE72DD48}" name="6822" dataDxfId="9788"/>
    <tableColumn id="6603" xr3:uid="{F6557EC7-CB56-492C-BE1C-EC23090C23A3}" name="6823" dataDxfId="9787"/>
    <tableColumn id="6604" xr3:uid="{5CA11EFA-A5D5-4981-AC47-5C3C44FC57CD}" name="6824" dataDxfId="9786"/>
    <tableColumn id="6605" xr3:uid="{7403DED2-1A05-4FCB-9662-E9F5335AE75D}" name="6825" dataDxfId="9785"/>
    <tableColumn id="6606" xr3:uid="{86121841-8E2E-43DC-82EE-9D2301F86079}" name="6826" dataDxfId="9784"/>
    <tableColumn id="6607" xr3:uid="{52DCE695-8BFF-4FE6-8F30-5E1430C3E5CD}" name="6827" dataDxfId="9783"/>
    <tableColumn id="6608" xr3:uid="{54A8BD47-36AB-4231-BFD4-2E66463C1E1D}" name="6828" dataDxfId="9782"/>
    <tableColumn id="6609" xr3:uid="{6F2FB5A5-5FC3-4EC9-9409-9F42678DBE17}" name="6829" dataDxfId="9781"/>
    <tableColumn id="6610" xr3:uid="{A02F7703-5CCB-4782-87E7-F430DC537377}" name="6830" dataDxfId="9780"/>
    <tableColumn id="6611" xr3:uid="{B5208E87-DE28-4C57-BBCD-FC2E565A7E0F}" name="6831" dataDxfId="9779"/>
    <tableColumn id="6612" xr3:uid="{E56B912B-A908-4358-9F23-A8309D719DDD}" name="6832" dataDxfId="9778"/>
    <tableColumn id="6613" xr3:uid="{26A8D8D3-B9C7-4D2C-8185-5349BB6B3BB0}" name="6833" dataDxfId="9777"/>
    <tableColumn id="6614" xr3:uid="{23D46165-E9D1-4D91-BFCC-76AA74F7787D}" name="6834" dataDxfId="9776"/>
    <tableColumn id="6615" xr3:uid="{8D285AFC-53B9-4886-9DB8-7CAF58C1173B}" name="6835" dataDxfId="9775"/>
    <tableColumn id="6616" xr3:uid="{AE847964-3100-4B97-B29F-E120D15AFFF1}" name="6836" dataDxfId="9774"/>
    <tableColumn id="6617" xr3:uid="{B933E76A-9041-4080-B5BE-D6B59BAB92E4}" name="6837" dataDxfId="9773"/>
    <tableColumn id="6618" xr3:uid="{9862ADE0-DD52-4029-8C92-9BB2F4B27BD8}" name="6838" dataDxfId="9772"/>
    <tableColumn id="6619" xr3:uid="{00A4E27A-FC14-4A70-809E-43A0B7F3DAE5}" name="6839" dataDxfId="9771"/>
    <tableColumn id="6620" xr3:uid="{484C08B5-6F4E-4D0A-A2D2-ECDE4A0857B2}" name="6840" dataDxfId="9770"/>
    <tableColumn id="6621" xr3:uid="{B0373CBD-EE93-4E5C-9CB9-883C57FCAE4C}" name="6841" dataDxfId="9769"/>
    <tableColumn id="6622" xr3:uid="{245DBEAA-147D-4FF9-B9D3-D91BFBF79076}" name="6842" dataDxfId="9768"/>
    <tableColumn id="6623" xr3:uid="{4013D42B-198B-473D-A38A-446E39A7DAE3}" name="6843" dataDxfId="9767"/>
    <tableColumn id="6624" xr3:uid="{F0D19C86-E49E-4CC0-A213-66208236388C}" name="6844" dataDxfId="9766"/>
    <tableColumn id="6625" xr3:uid="{B2EF79F1-D5AA-4A1B-B50E-B9C64D78ACA6}" name="6845" dataDxfId="9765"/>
    <tableColumn id="6626" xr3:uid="{26F87073-AAFC-4552-B480-D761AFF21E44}" name="6846" dataDxfId="9764"/>
    <tableColumn id="6627" xr3:uid="{04716ED3-3DF4-4EE0-B490-9031522E28CB}" name="6847" dataDxfId="9763"/>
    <tableColumn id="6628" xr3:uid="{22717431-169B-4CA2-AC28-9B5123BFBB2F}" name="6848" dataDxfId="9762"/>
    <tableColumn id="6629" xr3:uid="{3BD20D23-5E38-4568-ACE5-1FFA56385B43}" name="6849" dataDxfId="9761"/>
    <tableColumn id="6630" xr3:uid="{75B958EF-4BD8-4B79-8EE7-47EEA65B6C8F}" name="6850" dataDxfId="9760"/>
    <tableColumn id="6631" xr3:uid="{2EE301C1-4546-4DC0-881C-8196F2F8D2BB}" name="6851" dataDxfId="9759"/>
    <tableColumn id="6632" xr3:uid="{E7E8C945-7674-466D-BBEF-75B279D603F1}" name="6852" dataDxfId="9758"/>
    <tableColumn id="6633" xr3:uid="{973C98D0-A4AC-46B8-94C2-6BC3E5407EEC}" name="6853" dataDxfId="9757"/>
    <tableColumn id="6634" xr3:uid="{C97E45A0-9A00-42FE-A6D2-9F38EDBAAB68}" name="6854" dataDxfId="9756"/>
    <tableColumn id="6635" xr3:uid="{6E089B37-E57D-42E0-8270-31189CA27D43}" name="6855" dataDxfId="9755"/>
    <tableColumn id="6636" xr3:uid="{A8ED0734-7B38-4A04-8119-5FA10D8342E4}" name="6856" dataDxfId="9754"/>
    <tableColumn id="6637" xr3:uid="{39CE7D2E-A43B-4354-A0E2-B3772C65A47F}" name="6857" dataDxfId="9753"/>
    <tableColumn id="6638" xr3:uid="{908E53C8-D9AB-41D3-A87F-28F8C809E34D}" name="6858" dataDxfId="9752"/>
    <tableColumn id="6639" xr3:uid="{A4D1B28D-AACA-4218-8938-CA5B51268A86}" name="6859" dataDxfId="9751"/>
    <tableColumn id="6640" xr3:uid="{EF320A23-1B86-4AC9-99CE-13FBB066C22E}" name="6860" dataDxfId="9750"/>
    <tableColumn id="6641" xr3:uid="{7700737A-F638-4337-BB49-25AC441E8B1B}" name="6861" dataDxfId="9749"/>
    <tableColumn id="6642" xr3:uid="{5F9A8097-12CC-46FE-BFA9-768E360F0571}" name="6862" dataDxfId="9748"/>
    <tableColumn id="6643" xr3:uid="{B483105B-CEF3-48A9-904A-CAE47A97E9AC}" name="6863" dataDxfId="9747"/>
    <tableColumn id="6644" xr3:uid="{94691005-8098-49D3-918E-1C63FB10A8C5}" name="6864" dataDxfId="9746"/>
    <tableColumn id="6645" xr3:uid="{A54C5CD7-4C7F-409C-945E-54A5C312949F}" name="6865" dataDxfId="9745"/>
    <tableColumn id="6646" xr3:uid="{27EC28FC-26F8-4A59-9474-5345DE97C831}" name="6866" dataDxfId="9744"/>
    <tableColumn id="6647" xr3:uid="{29E70C54-5A59-432C-B207-F723EFED37A0}" name="6867" dataDxfId="9743"/>
    <tableColumn id="6648" xr3:uid="{B9EA7803-3B88-436A-B382-2BC70595609E}" name="6868" dataDxfId="9742"/>
    <tableColumn id="6649" xr3:uid="{46E0E767-B13E-425C-AEE3-33D94D84ED2D}" name="6869" dataDxfId="9741"/>
    <tableColumn id="6650" xr3:uid="{AF64011E-3577-46FB-857C-26EBFB19D89A}" name="6870" dataDxfId="9740"/>
    <tableColumn id="6651" xr3:uid="{5C4B1867-6B57-437B-B187-F61551EF6E54}" name="6871" dataDxfId="9739"/>
    <tableColumn id="6652" xr3:uid="{9C572DC0-DE71-4F20-A64F-6FB961981035}" name="6872" dataDxfId="9738"/>
    <tableColumn id="6653" xr3:uid="{19FCE2B3-A8DA-4CB3-B0AD-9C665D200211}" name="6873" dataDxfId="9737"/>
    <tableColumn id="6654" xr3:uid="{283C28FF-4B25-45C1-A565-19466CFA921C}" name="6874" dataDxfId="9736"/>
    <tableColumn id="6655" xr3:uid="{B269BEE8-FE5A-4839-9D9F-8ED61C8F594F}" name="6875" dataDxfId="9735"/>
    <tableColumn id="6656" xr3:uid="{166E8B06-EB9D-449A-809F-1DF3DAAED815}" name="6876" dataDxfId="9734"/>
    <tableColumn id="6657" xr3:uid="{A0C91599-B553-4C24-87A7-BBC088D91C9F}" name="6877" dataDxfId="9733"/>
    <tableColumn id="6658" xr3:uid="{8E216AA7-EE08-4C67-A9F5-D7B909B283CF}" name="6878" dataDxfId="9732"/>
    <tableColumn id="6659" xr3:uid="{6C23F46A-2E26-4E1B-B74C-1E47F2C04C7B}" name="6879" dataDxfId="9731"/>
    <tableColumn id="6660" xr3:uid="{B852C65D-616E-4B40-8568-A8925726FD56}" name="6880" dataDxfId="9730"/>
    <tableColumn id="6661" xr3:uid="{DA2618C5-BA71-4EBD-84D2-3164C06BE621}" name="6881" dataDxfId="9729"/>
    <tableColumn id="6662" xr3:uid="{D6B351A4-6C0B-4970-8691-B81200E8AF71}" name="6882" dataDxfId="9728"/>
    <tableColumn id="6663" xr3:uid="{1D3AE541-FA4C-4AC1-A618-5E8D10FF15E5}" name="6883" dataDxfId="9727"/>
    <tableColumn id="6664" xr3:uid="{5319813F-B5E5-47EE-8CAE-761BE0E4661F}" name="6884" dataDxfId="9726"/>
    <tableColumn id="6665" xr3:uid="{4E07C008-F2DA-489F-89F5-DF5D74F63A87}" name="6885" dataDxfId="9725"/>
    <tableColumn id="6666" xr3:uid="{0E4E1B6D-53F3-4321-8942-E45BC21E3DE9}" name="6886" dataDxfId="9724"/>
    <tableColumn id="6667" xr3:uid="{C1BA35E2-BDBD-457B-90B7-F471B6CA95A4}" name="6887" dataDxfId="9723"/>
    <tableColumn id="6668" xr3:uid="{0E583EC5-CF11-4FDB-ACC0-AF9CBD50F93F}" name="6888" dataDxfId="9722"/>
    <tableColumn id="6669" xr3:uid="{C1EF514F-B9AC-425B-9FE3-2A349E5BE045}" name="6889" dataDxfId="9721"/>
    <tableColumn id="6670" xr3:uid="{F5816392-6625-4376-A815-4237D913C39C}" name="6890" dataDxfId="9720"/>
    <tableColumn id="6671" xr3:uid="{1181A228-672C-4BB5-80AE-FD0B9E6C9A9F}" name="6891" dataDxfId="9719"/>
    <tableColumn id="6672" xr3:uid="{77A7AE0B-8C72-43B8-82BE-565CF899E0FE}" name="6892" dataDxfId="9718"/>
    <tableColumn id="6673" xr3:uid="{F289C56E-66B5-4F89-8311-64C53D786C36}" name="6893" dataDxfId="9717"/>
    <tableColumn id="6674" xr3:uid="{E066B5E8-BE41-4379-8D27-4B34B02F51DD}" name="6894" dataDxfId="9716"/>
    <tableColumn id="6675" xr3:uid="{BABBCA04-AD49-454C-BA7E-394AC6ACB4E0}" name="6895" dataDxfId="9715"/>
    <tableColumn id="6676" xr3:uid="{56CE980F-0B7A-4D07-88E9-A84C968C21E9}" name="6896" dataDxfId="9714"/>
    <tableColumn id="6677" xr3:uid="{36DB2E25-9792-41CA-912F-29F5EDF4912F}" name="6897" dataDxfId="9713"/>
    <tableColumn id="6678" xr3:uid="{9801072C-3DAC-441A-AAB4-65011FD0C43E}" name="6898" dataDxfId="9712"/>
    <tableColumn id="6679" xr3:uid="{A88C03E8-D98D-4AC6-83F4-BC884C50641E}" name="6899" dataDxfId="9711"/>
    <tableColumn id="6680" xr3:uid="{39FC70A1-550D-4F37-8E9C-4341CB24B9CA}" name="6900" dataDxfId="9710"/>
    <tableColumn id="6681" xr3:uid="{6C1402B2-AF4D-42BD-B4D3-A8A221406FA3}" name="6901" dataDxfId="9709"/>
    <tableColumn id="6682" xr3:uid="{342C1B52-EADE-46EA-AA37-A0413D3B1941}" name="6902" dataDxfId="9708"/>
    <tableColumn id="6683" xr3:uid="{65277571-B02A-4D6C-B79E-BE5999ED7124}" name="6903" dataDxfId="9707"/>
    <tableColumn id="6684" xr3:uid="{68861C1B-B1C0-42A1-8576-072AEA014FAF}" name="6904" dataDxfId="9706"/>
    <tableColumn id="6685" xr3:uid="{45C25081-762C-4221-9F32-7210CB935801}" name="6905" dataDxfId="9705"/>
    <tableColumn id="6686" xr3:uid="{D69B1CBF-852A-469A-B044-ED8EA116C1C7}" name="6906" dataDxfId="9704"/>
    <tableColumn id="6687" xr3:uid="{B1BD335E-66EE-4304-A588-32FFC069494A}" name="6907" dataDxfId="9703"/>
    <tableColumn id="6688" xr3:uid="{41C60140-6C3F-41DA-86D7-B81CDBB77693}" name="6908" dataDxfId="9702"/>
    <tableColumn id="6689" xr3:uid="{CFC04DD1-08B6-4CAD-96D7-3C9A955415B8}" name="6909" dataDxfId="9701"/>
    <tableColumn id="6690" xr3:uid="{147F8FE2-C25C-4521-A3CB-9CEAB94577F6}" name="6910" dataDxfId="9700"/>
    <tableColumn id="6691" xr3:uid="{ABADFFCF-3B27-4227-B52E-D3025AC7CD43}" name="6911" dataDxfId="9699"/>
    <tableColumn id="6692" xr3:uid="{6051521F-42AA-4945-BEE3-69E674D2DEA7}" name="6912" dataDxfId="9698"/>
    <tableColumn id="6693" xr3:uid="{E10C134D-BDA1-47C0-93DD-FEC25EEF819D}" name="6913" dataDxfId="9697"/>
    <tableColumn id="6694" xr3:uid="{0EA5CDA0-67DE-4941-A911-EACEE0F253EF}" name="6914" dataDxfId="9696"/>
    <tableColumn id="6695" xr3:uid="{889A0C1B-A37F-440F-9635-312A3415187A}" name="6915" dataDxfId="9695"/>
    <tableColumn id="6696" xr3:uid="{16057B0A-211E-4BED-BFFB-101F18B73DDE}" name="6916" dataDxfId="9694"/>
    <tableColumn id="6697" xr3:uid="{113B89FF-AF1A-4E03-BB1E-1CD1923D645D}" name="6917" dataDxfId="9693"/>
    <tableColumn id="6698" xr3:uid="{4AC24D23-752F-4567-B490-8B2930C53449}" name="6918" dataDxfId="9692"/>
    <tableColumn id="6699" xr3:uid="{C9607941-7259-4E60-A277-3F9D282E64AC}" name="6919" dataDxfId="9691"/>
    <tableColumn id="6700" xr3:uid="{9C6F6E2D-4F96-4DEF-8350-E77C7ABA4EB0}" name="6920" dataDxfId="9690"/>
    <tableColumn id="6701" xr3:uid="{5958A9CB-D32F-46FC-AB36-1C7A5AD34613}" name="6921" dataDxfId="9689"/>
    <tableColumn id="6702" xr3:uid="{23137FDC-41EB-4250-8334-BF036696A114}" name="6922" dataDxfId="9688"/>
    <tableColumn id="6703" xr3:uid="{2D105B7B-4E98-4624-B06C-32ADDAACE6CD}" name="6923" dataDxfId="9687"/>
    <tableColumn id="6704" xr3:uid="{C399CB22-25DE-42E9-AD9B-90AFA9EA4F09}" name="6924" dataDxfId="9686"/>
    <tableColumn id="6705" xr3:uid="{007E3BE6-26E5-43D4-8DBA-A2F0881ECB97}" name="6925" dataDxfId="9685"/>
    <tableColumn id="6706" xr3:uid="{E1A3E09C-619C-4F86-9846-9A3C888317C9}" name="6926" dataDxfId="9684"/>
    <tableColumn id="6707" xr3:uid="{F7FDDCFD-E257-444A-91DA-C525650B6B8A}" name="6927" dataDxfId="9683"/>
    <tableColumn id="6708" xr3:uid="{0FBF3F3C-0EFD-4981-8DA9-EA3D4EE6F486}" name="6928" dataDxfId="9682"/>
    <tableColumn id="6709" xr3:uid="{5FD6AD04-92B3-43F7-8A59-B0C48C7D9031}" name="6929" dataDxfId="9681"/>
    <tableColumn id="6710" xr3:uid="{78455620-866D-4C0C-9A19-418F4B7781C7}" name="6930" dataDxfId="9680"/>
    <tableColumn id="6711" xr3:uid="{69D71FDF-B250-42FD-95E4-84ED15187C64}" name="6931" dataDxfId="9679"/>
    <tableColumn id="6712" xr3:uid="{9A70AC41-9460-42AE-970A-90A827725097}" name="6932" dataDxfId="9678"/>
    <tableColumn id="6713" xr3:uid="{B7440B37-249D-4847-B590-3686ECB7AE13}" name="6933" dataDxfId="9677"/>
    <tableColumn id="6714" xr3:uid="{A2E63757-6F23-4B44-B7D2-531BE95F2B36}" name="6934" dataDxfId="9676"/>
    <tableColumn id="6715" xr3:uid="{2E5E097E-43C5-444F-8190-BC6F898A88FE}" name="6935" dataDxfId="9675"/>
    <tableColumn id="6716" xr3:uid="{5B38F126-AD9C-4B12-B61E-687DB8A66D86}" name="6936" dataDxfId="9674"/>
    <tableColumn id="6717" xr3:uid="{64E9221C-B77E-4BFC-B426-64D6F1349CAD}" name="6937" dataDxfId="9673"/>
    <tableColumn id="6718" xr3:uid="{2D2ACBC5-49C0-4904-83FA-C086A16FB367}" name="6938" dataDxfId="9672"/>
    <tableColumn id="6719" xr3:uid="{7252A516-5561-458B-81D4-50D09479D671}" name="6939" dataDxfId="9671"/>
    <tableColumn id="6720" xr3:uid="{70DE57F8-A15B-496B-8EC8-CD7530FEDF07}" name="6940" dataDxfId="9670"/>
    <tableColumn id="6721" xr3:uid="{C32BE488-667F-43E3-9342-440BADACF721}" name="6941" dataDxfId="9669"/>
    <tableColumn id="6722" xr3:uid="{08FD78C4-7680-49F1-AAEE-FE670AFD7E67}" name="6942" dataDxfId="9668"/>
    <tableColumn id="6723" xr3:uid="{1046078E-13DB-4F0D-982A-9788C6FAD8A1}" name="6943" dataDxfId="9667"/>
    <tableColumn id="6724" xr3:uid="{53D3540E-F27B-482E-90FE-4A9C7EA15AF4}" name="6944" dataDxfId="9666"/>
    <tableColumn id="6725" xr3:uid="{FDBF47BA-9AAD-428C-B1F3-08AEAF6BA761}" name="6945" dataDxfId="9665"/>
    <tableColumn id="6726" xr3:uid="{1F5DB0AB-4C5D-4E1B-863C-9E82D1E6B719}" name="6946" dataDxfId="9664"/>
    <tableColumn id="6727" xr3:uid="{BE93E1E8-E72E-4F01-AD6C-AE71B6EBAB1B}" name="6947" dataDxfId="9663"/>
    <tableColumn id="6728" xr3:uid="{E66414DA-3382-4588-B893-64719CA7D593}" name="6948" dataDxfId="9662"/>
    <tableColumn id="6729" xr3:uid="{FD0CE582-74D2-4330-88FB-05D8280C9C97}" name="6949" dataDxfId="9661"/>
    <tableColumn id="6730" xr3:uid="{8AE7B6FF-7C2A-4A55-9C38-5B3D8B1A8E0E}" name="6950" dataDxfId="9660"/>
    <tableColumn id="6731" xr3:uid="{3454752D-5947-4793-8B8D-D13A3DF0BB1D}" name="6951" dataDxfId="9659"/>
    <tableColumn id="6732" xr3:uid="{AD220A6A-F016-4A07-8B1D-0D3F63589DE6}" name="6952" dataDxfId="9658"/>
    <tableColumn id="6733" xr3:uid="{F41FD68E-9135-4680-BBB7-A924DD0C2E6B}" name="6953" dataDxfId="9657"/>
    <tableColumn id="6734" xr3:uid="{668108FF-732A-44C6-9F3A-55ABCF8D0A74}" name="6954" dataDxfId="9656"/>
    <tableColumn id="6735" xr3:uid="{EBC12B95-F64C-4045-BB7F-35EA255F46D6}" name="6955" dataDxfId="9655"/>
    <tableColumn id="6736" xr3:uid="{DEC77042-663A-40C3-BF85-59B5144D7DAD}" name="6956" dataDxfId="9654"/>
    <tableColumn id="6737" xr3:uid="{C2DE63D6-920E-4FAC-85F6-74611A7906F0}" name="6957" dataDxfId="9653"/>
    <tableColumn id="6738" xr3:uid="{15F3BE0F-E997-4879-A1F6-401C4A7E0871}" name="6958" dataDxfId="9652"/>
    <tableColumn id="6739" xr3:uid="{7E8EB735-3E03-45DD-901E-79D26D69FD21}" name="6959" dataDxfId="9651"/>
    <tableColumn id="6740" xr3:uid="{111894A6-8318-4A50-BF74-80A571711407}" name="6960" dataDxfId="9650"/>
    <tableColumn id="6741" xr3:uid="{DF4318F1-1128-4F48-B8FA-C13EEA3CD920}" name="6961" dataDxfId="9649"/>
    <tableColumn id="6742" xr3:uid="{257FB007-25D1-414F-A50A-B5876FA38B41}" name="6962" dataDxfId="9648"/>
    <tableColumn id="6743" xr3:uid="{AD0EBA99-5942-49C5-8DAF-BF0ABC23528B}" name="6963" dataDxfId="9647"/>
    <tableColumn id="6744" xr3:uid="{E587321E-E74D-4D87-BAF1-0D7D8B4D71A2}" name="6964" dataDxfId="9646"/>
    <tableColumn id="6745" xr3:uid="{CF6D7285-B070-4167-B21F-A9CCA39A8836}" name="6965" dataDxfId="9645"/>
    <tableColumn id="6746" xr3:uid="{495CA2A1-7969-4F5D-AFB4-419017D6262C}" name="6966" dataDxfId="9644"/>
    <tableColumn id="6747" xr3:uid="{B0A6F23B-9557-4889-A304-E4FD5CABAF55}" name="6967" dataDxfId="9643"/>
    <tableColumn id="6748" xr3:uid="{AD4ED2AC-B8F3-4938-A4B9-3E6E326B1FCB}" name="6968" dataDxfId="9642"/>
    <tableColumn id="6749" xr3:uid="{BE4BA228-A777-459A-8989-73890C027DF9}" name="6969" dataDxfId="9641"/>
    <tableColumn id="6750" xr3:uid="{305A01E5-FFDD-4969-A137-7E9E4887301A}" name="6970" dataDxfId="9640"/>
    <tableColumn id="6751" xr3:uid="{FA832905-7285-4005-9E30-1A8C399E24A0}" name="6971" dataDxfId="9639"/>
    <tableColumn id="6752" xr3:uid="{9B4E56FF-ABBF-4462-A85F-D3345DB8AFAF}" name="6972" dataDxfId="9638"/>
    <tableColumn id="6753" xr3:uid="{83D16B15-FC34-41B8-B877-0DCB0FACF063}" name="6973" dataDxfId="9637"/>
    <tableColumn id="6754" xr3:uid="{92B914AD-BA21-4D24-88B1-921BC02436B5}" name="6974" dataDxfId="9636"/>
    <tableColumn id="6755" xr3:uid="{CE3D070E-4B47-41A2-A050-0864CC49A021}" name="6975" dataDxfId="9635"/>
    <tableColumn id="6756" xr3:uid="{132BF3F4-3089-4658-A4C4-050CCB3AA31D}" name="6976" dataDxfId="9634"/>
    <tableColumn id="6757" xr3:uid="{D3B9A367-6AE6-4643-B3B9-D0CC3182D445}" name="6977" dataDxfId="9633"/>
    <tableColumn id="6758" xr3:uid="{3F4EBA30-B659-4C71-8FB6-0CD975ADCE91}" name="6978" dataDxfId="9632"/>
    <tableColumn id="6759" xr3:uid="{8BF65FA2-E317-4FDC-968E-0C6242232419}" name="6979" dataDxfId="9631"/>
    <tableColumn id="6760" xr3:uid="{ACD8E085-A8C4-42A0-A995-19882F4E539B}" name="6980" dataDxfId="9630"/>
    <tableColumn id="6761" xr3:uid="{2472663B-F816-495D-9904-5B82D03C6B9E}" name="6981" dataDxfId="9629"/>
    <tableColumn id="6762" xr3:uid="{2E331045-9879-4677-9ACF-FF6845E8C9C1}" name="6982" dataDxfId="9628"/>
    <tableColumn id="6763" xr3:uid="{E35D5199-DF30-48AE-BEE5-5069C0D493DF}" name="6983" dataDxfId="9627"/>
    <tableColumn id="6764" xr3:uid="{AEAB2275-8E0B-40EB-AB0D-F2C7FB9049C5}" name="6984" dataDxfId="9626"/>
    <tableColumn id="6765" xr3:uid="{69584BEE-47DC-4D2D-8339-C3BE1F8C40F0}" name="6985" dataDxfId="9625"/>
    <tableColumn id="6766" xr3:uid="{882B8018-9459-4F43-BA1F-59E53E8E1124}" name="6986" dataDxfId="9624"/>
    <tableColumn id="6767" xr3:uid="{D3B984C6-3F18-4AE4-936B-A96D4EB729B5}" name="6987" dataDxfId="9623"/>
    <tableColumn id="6768" xr3:uid="{CE4F4CCE-0FD5-46CA-B66F-3320EFBA9136}" name="6988" dataDxfId="9622"/>
    <tableColumn id="6769" xr3:uid="{B3E43D9F-CDC4-410B-AB59-E8F11741DF34}" name="6989" dataDxfId="9621"/>
    <tableColumn id="6770" xr3:uid="{3EF580D4-538E-4557-BBD3-74F23587FF26}" name="6990" dataDxfId="9620"/>
    <tableColumn id="6771" xr3:uid="{727DAF8A-88DA-4A7F-A6F7-6290D5B71EC8}" name="6991" dataDxfId="9619"/>
    <tableColumn id="6772" xr3:uid="{00FE2CFA-1DBB-417B-BACE-8B8FE085ACA3}" name="6992" dataDxfId="9618"/>
    <tableColumn id="6773" xr3:uid="{050D3CD7-8349-4CC9-864B-BC3384352BCB}" name="6993" dataDxfId="9617"/>
    <tableColumn id="6774" xr3:uid="{76AECEB7-DFD8-4689-BDEC-03E86C0B2C49}" name="6994" dataDxfId="9616"/>
    <tableColumn id="6775" xr3:uid="{A585E479-B2B8-4DE7-ABAB-D420F649F234}" name="6995" dataDxfId="9615"/>
    <tableColumn id="6776" xr3:uid="{200FFB68-BD84-4AC2-83E9-CAC9FEEC8FC0}" name="6996" dataDxfId="9614"/>
    <tableColumn id="6777" xr3:uid="{673FA6DD-726F-464A-843B-E02CA45B6623}" name="6997" dataDxfId="9613"/>
    <tableColumn id="6778" xr3:uid="{306D1804-E7BE-4638-AD59-26AC185692B1}" name="6998" dataDxfId="9612"/>
    <tableColumn id="6779" xr3:uid="{9FF24DD3-C31B-4ED5-8D79-1F2915AF6B89}" name="6999" dataDxfId="9611"/>
    <tableColumn id="6780" xr3:uid="{2E724BF8-506C-463B-AE7F-5D88DCF22763}" name="7000" dataDxfId="9610"/>
    <tableColumn id="6781" xr3:uid="{44FD35AC-6848-49FA-9E42-54BFC4D2EA63}" name="7001" dataDxfId="9609"/>
    <tableColumn id="6782" xr3:uid="{969343D2-6D79-48F1-BEE0-4533C457E1A1}" name="7002" dataDxfId="9608"/>
    <tableColumn id="6783" xr3:uid="{FE902280-81D4-4BDD-97E8-0F29804D7D16}" name="7003" dataDxfId="9607"/>
    <tableColumn id="6784" xr3:uid="{48D215C6-0FC5-4B07-90D7-8B61C26F3FAB}" name="7004" dataDxfId="9606"/>
    <tableColumn id="6785" xr3:uid="{6BEA6C7C-A967-487C-992C-CD00C158A26F}" name="7005" dataDxfId="9605"/>
    <tableColumn id="6786" xr3:uid="{5EC32C20-5C41-4B2A-93A9-270CCF9D8CDF}" name="7006" dataDxfId="9604"/>
    <tableColumn id="6787" xr3:uid="{0681DAB1-D66E-4A3E-A633-0A4C3AEA139E}" name="7007" dataDxfId="9603"/>
    <tableColumn id="6788" xr3:uid="{95C3B6FB-100A-43B1-BB9F-B48C6AD13760}" name="7008" dataDxfId="9602"/>
    <tableColumn id="6789" xr3:uid="{589A63F8-E8AA-4642-B78C-74E8628EA2BF}" name="7009" dataDxfId="9601"/>
    <tableColumn id="6790" xr3:uid="{F61D7244-D8BD-4227-8704-E4BF2B8A703A}" name="7010" dataDxfId="9600"/>
    <tableColumn id="6791" xr3:uid="{97D1D6EE-19B3-4069-8E79-4C0876377E46}" name="7011" dataDxfId="9599"/>
    <tableColumn id="6792" xr3:uid="{7757C933-4FB7-4C01-8C65-A27A88A91393}" name="7012" dataDxfId="9598"/>
    <tableColumn id="6793" xr3:uid="{21B9457B-06D9-4D1C-B3C9-84F29F2ED1B3}" name="7013" dataDxfId="9597"/>
    <tableColumn id="6794" xr3:uid="{92D1CFAF-0031-4DDF-B67E-231162D0904C}" name="7014" dataDxfId="9596"/>
    <tableColumn id="6795" xr3:uid="{0FDF19F8-5D25-45C5-8211-BBE7C105FED9}" name="7015" dataDxfId="9595"/>
    <tableColumn id="6796" xr3:uid="{303BCCF7-8F5D-419E-9BC1-3207EEF73F6C}" name="7016" dataDxfId="9594"/>
    <tableColumn id="6797" xr3:uid="{47C77333-3ADF-42E2-A2ED-243CB882E26C}" name="7017" dataDxfId="9593"/>
    <tableColumn id="6798" xr3:uid="{12ACA410-6163-4285-8C0F-843D7AFF2D54}" name="7018" dataDxfId="9592"/>
    <tableColumn id="6799" xr3:uid="{26A7ACDD-07B0-41DB-9229-B997C5353CF5}" name="7019" dataDxfId="9591"/>
    <tableColumn id="6800" xr3:uid="{0A313BE3-A607-4E2D-AA33-0002D681B8F6}" name="7020" dataDxfId="9590"/>
    <tableColumn id="6801" xr3:uid="{B411F347-2692-4064-A73F-586D2A06B4B9}" name="7021" dataDxfId="9589"/>
    <tableColumn id="6802" xr3:uid="{BD7E6415-780A-4618-AEF0-B348DE52E19F}" name="7022" dataDxfId="9588"/>
    <tableColumn id="6803" xr3:uid="{DF2ECCA3-7D5A-448E-B64F-3CDD54BDFDA6}" name="7023" dataDxfId="9587"/>
    <tableColumn id="6804" xr3:uid="{FE2D5236-D544-4B6F-8BA5-D9F23D3A14B4}" name="7024" dataDxfId="9586"/>
    <tableColumn id="6805" xr3:uid="{450405AE-EEE4-44B0-BEC1-B519A463DC5F}" name="7025" dataDxfId="9585"/>
    <tableColumn id="6806" xr3:uid="{A2B1A427-D01E-44BC-95A2-C08A0B48FB60}" name="7026" dataDxfId="9584"/>
    <tableColumn id="6807" xr3:uid="{15C362F5-8A23-4EF4-9970-D83BC080BA37}" name="7027" dataDxfId="9583"/>
    <tableColumn id="6808" xr3:uid="{298E560C-AE41-4F9D-824B-5B0F60F91D0C}" name="7028" dataDxfId="9582"/>
    <tableColumn id="6809" xr3:uid="{E9D10CFB-8968-4FA4-BED0-B701273B8871}" name="7029" dataDxfId="9581"/>
    <tableColumn id="6810" xr3:uid="{9BC6AE70-7C15-4B96-B3C4-BB63D8278B9B}" name="7030" dataDxfId="9580"/>
    <tableColumn id="6811" xr3:uid="{4C122D3F-22F6-4F66-A098-B5E00642FC58}" name="7031" dataDxfId="9579"/>
    <tableColumn id="6812" xr3:uid="{016E5896-16A0-4A10-94B0-056AAA1B214B}" name="7032" dataDxfId="9578"/>
    <tableColumn id="6813" xr3:uid="{D0868823-11A3-4AD8-9B1A-17C624119A91}" name="7033" dataDxfId="9577"/>
    <tableColumn id="6814" xr3:uid="{016109D2-3726-4B29-B791-E409040B52F0}" name="7034" dataDxfId="9576"/>
    <tableColumn id="6815" xr3:uid="{9FD46C56-3FF0-45B9-9849-B6EBEDDC436D}" name="7035" dataDxfId="9575"/>
    <tableColumn id="6816" xr3:uid="{1914ED15-03F1-400E-9925-28294338B173}" name="7036" dataDxfId="9574"/>
    <tableColumn id="6817" xr3:uid="{401207F4-9E10-4202-BFCF-30174B06352D}" name="7037" dataDxfId="9573"/>
    <tableColumn id="6818" xr3:uid="{4C744D73-3E99-4715-BEA1-6EDC45739058}" name="7038" dataDxfId="9572"/>
    <tableColumn id="6819" xr3:uid="{EAA6916A-DCFC-408F-811F-6440734F1024}" name="7039" dataDxfId="9571"/>
    <tableColumn id="6820" xr3:uid="{01C46996-6D58-4102-8C1E-00B865C7D55C}" name="7040" dataDxfId="9570"/>
    <tableColumn id="6821" xr3:uid="{585D5608-3280-4567-A610-1DFA7026503C}" name="7041" dataDxfId="9569"/>
    <tableColumn id="6822" xr3:uid="{62DE4069-2AD9-46C3-A083-822BDBE8CA4A}" name="7042" dataDxfId="9568"/>
    <tableColumn id="6823" xr3:uid="{BD486DDE-687E-4ED0-B166-50EF7023F100}" name="7043" dataDxfId="9567"/>
    <tableColumn id="6824" xr3:uid="{47969528-1CF0-4D5D-9933-26091E071DFE}" name="7044" dataDxfId="9566"/>
    <tableColumn id="6825" xr3:uid="{6C7C4D83-465E-4832-B7C6-4C8528DFB49D}" name="7045" dataDxfId="9565"/>
    <tableColumn id="6826" xr3:uid="{939C4745-561B-48BC-B459-C301F6074A20}" name="7046" dataDxfId="9564"/>
    <tableColumn id="6827" xr3:uid="{D98E15F5-B916-4ECE-B321-66FDB83BADEA}" name="7047" dataDxfId="9563"/>
    <tableColumn id="6828" xr3:uid="{76E22CC0-454B-452A-9E61-F37D16E766D0}" name="7048" dataDxfId="9562"/>
    <tableColumn id="6829" xr3:uid="{3D6577F6-569F-4D8F-B0A9-4A23CD8580F4}" name="7049" dataDxfId="9561"/>
    <tableColumn id="6830" xr3:uid="{A035F09A-3C7C-4F5D-8421-888B7A6EC894}" name="7050" dataDxfId="9560"/>
    <tableColumn id="6831" xr3:uid="{2A943D9E-0311-45CB-9F57-4305951FF955}" name="7051" dataDxfId="9559"/>
    <tableColumn id="6832" xr3:uid="{5587C87E-F1F7-40FF-B690-99544EA6841F}" name="7052" dataDxfId="9558"/>
    <tableColumn id="6833" xr3:uid="{D0200CE1-3652-4A40-85F2-50F66AA241F4}" name="7053" dataDxfId="9557"/>
    <tableColumn id="6834" xr3:uid="{9F8BD8DD-0508-4F10-9C24-F47AB4701CCE}" name="7054" dataDxfId="9556"/>
    <tableColumn id="6835" xr3:uid="{56062DFC-B4DE-4854-852B-D0C66BCFD637}" name="7055" dataDxfId="9555"/>
    <tableColumn id="6836" xr3:uid="{A952F33E-74BD-44CD-B29C-2F805F3F39E6}" name="7056" dataDxfId="9554"/>
    <tableColumn id="6837" xr3:uid="{3053B5CB-9037-4A40-8E17-E046CF4FE7CD}" name="7057" dataDxfId="9553"/>
    <tableColumn id="6838" xr3:uid="{54DFDEA5-4FAA-462C-91E3-9F9B041A4D74}" name="7058" dataDxfId="9552"/>
    <tableColumn id="6839" xr3:uid="{5361D189-705C-4D08-8060-75E1A8759B8E}" name="7059" dataDxfId="9551"/>
    <tableColumn id="6840" xr3:uid="{2DA92AA2-DED2-4AB9-A2E5-382622C2E85D}" name="7060" dataDxfId="9550"/>
    <tableColumn id="6841" xr3:uid="{B8FEFCD8-B529-4D54-B634-81766F91F7A0}" name="7061" dataDxfId="9549"/>
    <tableColumn id="6842" xr3:uid="{71971A54-7515-4640-ACAD-F636471A3C20}" name="7062" dataDxfId="9548"/>
    <tableColumn id="6843" xr3:uid="{DD367C3A-84EB-4828-BD72-CD69CF5DAB1B}" name="7063" dataDxfId="9547"/>
    <tableColumn id="6844" xr3:uid="{C1DAA7CE-7494-40A3-A023-457C983CFEC6}" name="7064" dataDxfId="9546"/>
    <tableColumn id="6845" xr3:uid="{CE1E3295-B57F-4270-81B8-0BD54E7D4489}" name="7065" dataDxfId="9545"/>
    <tableColumn id="6846" xr3:uid="{C927D582-01D6-4A37-A326-572C1B23E0D7}" name="7066" dataDxfId="9544"/>
    <tableColumn id="6847" xr3:uid="{EEDBB347-6778-489F-9241-77AD7E295A99}" name="7067" dataDxfId="9543"/>
    <tableColumn id="6848" xr3:uid="{33D1079F-CA13-4BCB-9B86-9C919039703F}" name="7068" dataDxfId="9542"/>
    <tableColumn id="6849" xr3:uid="{BB454421-6990-4CA9-B10D-01A818FAD36D}" name="7069" dataDxfId="9541"/>
    <tableColumn id="6850" xr3:uid="{0FB25E54-8471-478F-99BB-B717F66FB582}" name="7070" dataDxfId="9540"/>
    <tableColumn id="6851" xr3:uid="{BE33782B-C256-4B66-B186-57BB963E9AFC}" name="7071" dataDxfId="9539"/>
    <tableColumn id="6852" xr3:uid="{A9E5A85F-6BCE-4044-BB6E-DB4D8836B367}" name="7072" dataDxfId="9538"/>
    <tableColumn id="6853" xr3:uid="{2B116258-045D-4860-9955-B23051490759}" name="7073" dataDxfId="9537"/>
    <tableColumn id="6854" xr3:uid="{2B584D20-3EBF-4FB9-8ED4-F61AF1131BAC}" name="7074" dataDxfId="9536"/>
    <tableColumn id="6855" xr3:uid="{F5C1F9E9-48EC-44C5-AC24-13ED72BE3098}" name="7075" dataDxfId="9535"/>
    <tableColumn id="6856" xr3:uid="{6371887A-64AA-4F47-BD53-7F37A0590971}" name="7076" dataDxfId="9534"/>
    <tableColumn id="6857" xr3:uid="{193FAD11-A54F-47E8-B7A0-0AD7B16C2E83}" name="7077" dataDxfId="9533"/>
    <tableColumn id="6858" xr3:uid="{73927C4B-93AF-41A9-B803-F350F8CD4563}" name="7078" dataDxfId="9532"/>
    <tableColumn id="6859" xr3:uid="{8499A79D-7FFE-4B97-9DF9-58F9F1D6C195}" name="7079" dataDxfId="9531"/>
    <tableColumn id="6860" xr3:uid="{601616C9-D0DF-4F35-9960-728C72BCD1B3}" name="7080" dataDxfId="9530"/>
    <tableColumn id="6861" xr3:uid="{54834E0E-A747-489F-B125-A5E596D75FDC}" name="7081" dataDxfId="9529"/>
    <tableColumn id="6862" xr3:uid="{11B02042-9104-47ED-997A-5D8A0DED6E4A}" name="7082" dataDxfId="9528"/>
    <tableColumn id="6863" xr3:uid="{41609CC7-C9C2-40C0-A794-49D3060B9AD0}" name="7083" dataDxfId="9527"/>
    <tableColumn id="6864" xr3:uid="{4676F10E-C1DD-4481-92F1-59E5EF149034}" name="7084" dataDxfId="9526"/>
    <tableColumn id="6865" xr3:uid="{6FDE9380-A7E4-4592-A306-20C04CEC7897}" name="7085" dataDxfId="9525"/>
    <tableColumn id="6866" xr3:uid="{3721AA1F-C337-4DDB-B77C-ECD74BB184F1}" name="7086" dataDxfId="9524"/>
    <tableColumn id="6867" xr3:uid="{FFEA5DFE-3D5B-4B15-8537-C7E376B6CF42}" name="7087" dataDxfId="9523"/>
    <tableColumn id="6868" xr3:uid="{A23DB4A6-4DC9-46CC-927C-638BCD7E3870}" name="7088" dataDxfId="9522"/>
    <tableColumn id="6869" xr3:uid="{FD38D52C-2C96-41FE-A177-8D85DC18A4AF}" name="7089" dataDxfId="9521"/>
    <tableColumn id="6870" xr3:uid="{EEB11ACE-AE5E-46C0-B439-6F680F04FB66}" name="7090" dataDxfId="9520"/>
    <tableColumn id="6871" xr3:uid="{6DC63DDF-9DCC-4DFF-BB84-7916DFC81B40}" name="7091" dataDxfId="9519"/>
    <tableColumn id="6872" xr3:uid="{766A03B3-8806-4ED0-9BDC-73926EF2AFDD}" name="7092" dataDxfId="9518"/>
    <tableColumn id="6873" xr3:uid="{17DDD623-E864-488E-91E0-1EFA05D8586F}" name="7093" dataDxfId="9517"/>
    <tableColumn id="6874" xr3:uid="{DCA79C1B-1FEE-4FCC-8DBD-F2062A3C70A0}" name="7094" dataDxfId="9516"/>
    <tableColumn id="6875" xr3:uid="{041E78FC-9DE0-4586-8E45-5445FDDFBF0F}" name="7095" dataDxfId="9515"/>
    <tableColumn id="6876" xr3:uid="{46EA96A1-531B-4DFB-A590-C8FE9156C2CE}" name="7096" dataDxfId="9514"/>
    <tableColumn id="6877" xr3:uid="{B19049E4-2E9D-42D7-AA75-AB7BF33042C2}" name="7097" dataDxfId="9513"/>
    <tableColumn id="6878" xr3:uid="{D7CC32DA-2DC7-4F71-878F-C98C38EB43D1}" name="7098" dataDxfId="9512"/>
    <tableColumn id="6879" xr3:uid="{C654220D-63B7-43F1-9FE0-1420D3501EF8}" name="7099" dataDxfId="9511"/>
    <tableColumn id="6880" xr3:uid="{2DE4C81D-6639-40CA-BD5B-E06CC8355D14}" name="7100" dataDxfId="9510"/>
    <tableColumn id="6881" xr3:uid="{100C2776-FB9C-46F1-8950-7DA8EC71E139}" name="7101" dataDxfId="9509"/>
    <tableColumn id="6882" xr3:uid="{9954BF52-B87E-47E5-8DC8-904F1DE82A82}" name="7102" dataDxfId="9508"/>
    <tableColumn id="6883" xr3:uid="{8ABD772B-F172-4CE2-863F-2DE16BEFCF80}" name="7103" dataDxfId="9507"/>
    <tableColumn id="6884" xr3:uid="{79DA80D9-7C78-42C9-B05F-09D0DD497509}" name="7104" dataDxfId="9506"/>
    <tableColumn id="6885" xr3:uid="{E60D886C-05F3-4BE7-97C1-2B4E0CBA0383}" name="7105" dataDxfId="9505"/>
    <tableColumn id="6886" xr3:uid="{826AD249-F18B-47C2-9846-78499789DE81}" name="7106" dataDxfId="9504"/>
    <tableColumn id="6887" xr3:uid="{6786B246-DE16-4955-B551-0B001B180DC2}" name="7107" dataDxfId="9503"/>
    <tableColumn id="6888" xr3:uid="{E5906C28-9FA9-4709-B485-81FA54731EA5}" name="7108" dataDxfId="9502"/>
    <tableColumn id="6889" xr3:uid="{EA9FEC10-5912-41C8-9EDC-5405E046131D}" name="7109" dataDxfId="9501"/>
    <tableColumn id="6890" xr3:uid="{9D4822CA-2A8F-46ED-B387-B979583C35F7}" name="7110" dataDxfId="9500"/>
    <tableColumn id="6891" xr3:uid="{8226890B-7639-47B2-8A45-65BF63193EB6}" name="7111" dataDxfId="9499"/>
    <tableColumn id="6892" xr3:uid="{71DF2D88-C41A-412C-800C-9D07EE406F1A}" name="7112" dataDxfId="9498"/>
    <tableColumn id="6893" xr3:uid="{2A7B147F-9390-44D2-BBD0-B62AF5C621FD}" name="7113" dataDxfId="9497"/>
    <tableColumn id="6894" xr3:uid="{05F5C062-797B-4BD7-9D7C-B64925B88713}" name="7114" dataDxfId="9496"/>
    <tableColumn id="6895" xr3:uid="{D913F707-03C5-45C4-8AFB-063FACAE2D06}" name="7115" dataDxfId="9495"/>
    <tableColumn id="6896" xr3:uid="{C0970134-24ED-486C-B8DC-A0D4D6E2F47D}" name="7116" dataDxfId="9494"/>
    <tableColumn id="6897" xr3:uid="{0B27AAE4-4BB0-43A8-8676-97C5AB859EF4}" name="7117" dataDxfId="9493"/>
    <tableColumn id="6898" xr3:uid="{823EE7F0-9796-49A8-A377-2A8F34642DAC}" name="7118" dataDxfId="9492"/>
    <tableColumn id="6899" xr3:uid="{683BDED3-A014-42AC-9D86-08FF45619104}" name="7119" dataDxfId="9491"/>
    <tableColumn id="6900" xr3:uid="{D612BFDF-CCC1-477E-84AB-4856127AD86E}" name="7120" dataDxfId="9490"/>
    <tableColumn id="6901" xr3:uid="{D04EFC34-5D62-4107-B3D6-CB00F156C21D}" name="7121" dataDxfId="9489"/>
    <tableColumn id="6902" xr3:uid="{2013429F-D97F-41A5-BD3A-3858F47897CE}" name="7122" dataDxfId="9488"/>
    <tableColumn id="6903" xr3:uid="{016A84C9-5522-4864-8ABC-B98DE9D19231}" name="7123" dataDxfId="9487"/>
    <tableColumn id="6904" xr3:uid="{EC012295-D340-4C2D-9C0B-51809433F7E3}" name="7124" dataDxfId="9486"/>
    <tableColumn id="6905" xr3:uid="{A9ED7E3C-7713-4EBF-ADD0-BA0F46991198}" name="7125" dataDxfId="9485"/>
    <tableColumn id="6906" xr3:uid="{F041A488-31A7-45BD-8C16-1DB7F8F8176F}" name="7126" dataDxfId="9484"/>
    <tableColumn id="6907" xr3:uid="{35CA0B3F-6EF0-4554-A0AB-85332247D805}" name="7127" dataDxfId="9483"/>
    <tableColumn id="6908" xr3:uid="{B5B7DF51-4BF6-468B-B521-02292D0A0DDE}" name="7128" dataDxfId="9482"/>
    <tableColumn id="6909" xr3:uid="{6E9E8790-A2E1-43FE-AA21-425972520643}" name="7129" dataDxfId="9481"/>
    <tableColumn id="6910" xr3:uid="{4AEB4801-701F-457D-8F7B-21D3CC56BE0D}" name="7130" dataDxfId="9480"/>
    <tableColumn id="6911" xr3:uid="{8B351A3D-4364-4806-A66B-9A1E85698282}" name="7131" dataDxfId="9479"/>
    <tableColumn id="6912" xr3:uid="{E762A396-B379-4E49-A943-35B043930620}" name="7132" dataDxfId="9478"/>
    <tableColumn id="6913" xr3:uid="{38256F3E-9B73-496B-89A5-94DB5F3B2C97}" name="7133" dataDxfId="9477"/>
    <tableColumn id="6914" xr3:uid="{A1F2A81D-7125-4844-AA87-5C9D9B6A9D99}" name="7134" dataDxfId="9476"/>
    <tableColumn id="6915" xr3:uid="{FAB49BF4-C1A8-488F-AFC1-A6E7B547A918}" name="7135" dataDxfId="9475"/>
    <tableColumn id="6916" xr3:uid="{6C682C3B-5220-4F78-BFD2-492A6011D2A0}" name="7136" dataDxfId="9474"/>
    <tableColumn id="6917" xr3:uid="{D88DDA27-8B67-4AD1-9A38-EE0687D77C7F}" name="7137" dataDxfId="9473"/>
    <tableColumn id="6918" xr3:uid="{6024F7CF-C352-46B6-BA21-A14709DE0C32}" name="7138" dataDxfId="9472"/>
    <tableColumn id="6919" xr3:uid="{117E415F-2DAA-46AB-BC75-50CEF4CC12EC}" name="7139" dataDxfId="9471"/>
    <tableColumn id="6920" xr3:uid="{F4026861-360D-4300-96C7-63A846A7097D}" name="7140" dataDxfId="9470"/>
    <tableColumn id="6921" xr3:uid="{026E1413-3650-47FD-964C-0814133DF18E}" name="7141" dataDxfId="9469"/>
    <tableColumn id="6922" xr3:uid="{DB3915C6-6755-4D7D-9A0F-71CB45D9F79F}" name="7142" dataDxfId="9468"/>
    <tableColumn id="6923" xr3:uid="{DCE86C92-30C4-4C6A-91C2-8D966F02CEC6}" name="7143" dataDxfId="9467"/>
    <tableColumn id="6924" xr3:uid="{08FF0084-4254-493E-97E9-9972FA9A8E78}" name="7144" dataDxfId="9466"/>
    <tableColumn id="6925" xr3:uid="{3D1EA47D-D7A7-4E36-9192-D726FAD61DB6}" name="7145" dataDxfId="9465"/>
    <tableColumn id="6926" xr3:uid="{F6DB8AD7-93AB-43FC-95AE-4F0D0E4B664C}" name="7146" dataDxfId="9464"/>
    <tableColumn id="6927" xr3:uid="{B693F308-4299-4614-81C3-F121E1C2972E}" name="7147" dataDxfId="9463"/>
    <tableColumn id="6928" xr3:uid="{804FD6E6-B4C0-41BA-A40A-9F30BBC09BB9}" name="7148" dataDxfId="9462"/>
    <tableColumn id="6929" xr3:uid="{6F10959E-D9BA-4BC7-822E-89A7A5701FE3}" name="7149" dataDxfId="9461"/>
    <tableColumn id="6930" xr3:uid="{577091E7-A9E5-408B-967D-5B1E5719678E}" name="7150" dataDxfId="9460"/>
    <tableColumn id="6931" xr3:uid="{DC7CAD6C-28E6-4998-B014-FDD7CF37428E}" name="7151" dataDxfId="9459"/>
    <tableColumn id="6932" xr3:uid="{23D03347-BED8-45F7-B43F-396AA1255603}" name="7152" dataDxfId="9458"/>
    <tableColumn id="6933" xr3:uid="{527D1BAA-5E33-47F1-8F67-522454537D62}" name="7153" dataDxfId="9457"/>
    <tableColumn id="6934" xr3:uid="{59069F86-7ADE-472F-B1A0-34906F5B1715}" name="7154" dataDxfId="9456"/>
    <tableColumn id="6935" xr3:uid="{91C7F9C4-A59D-43F4-9634-B7EAF84DFF05}" name="7155" dataDxfId="9455"/>
    <tableColumn id="6936" xr3:uid="{2C603A07-DCAD-41E4-A823-E7DDB9426B3F}" name="7156" dataDxfId="9454"/>
    <tableColumn id="6937" xr3:uid="{908168F4-BB28-4A60-8350-AD8FA855CB3F}" name="7157" dataDxfId="9453"/>
    <tableColumn id="6938" xr3:uid="{3776DD32-8D9B-4E8A-B8B3-73BC4D5ED3DD}" name="7158" dataDxfId="9452"/>
    <tableColumn id="6939" xr3:uid="{35BF666E-8243-40D1-AE60-3F479F63C24A}" name="7159" dataDxfId="9451"/>
    <tableColumn id="6940" xr3:uid="{DC3A7723-FA8E-45BC-9ADF-69B294C19CBD}" name="7160" dataDxfId="9450"/>
    <tableColumn id="6941" xr3:uid="{0C509AC6-10BE-4663-86BC-651013A083CA}" name="7161" dataDxfId="9449"/>
    <tableColumn id="6942" xr3:uid="{9AB95D95-629B-4317-88B4-9E0C19789704}" name="7162" dataDxfId="9448"/>
    <tableColumn id="6943" xr3:uid="{C8784775-CE47-4B65-A914-7B02C4645E26}" name="7163" dataDxfId="9447"/>
    <tableColumn id="6944" xr3:uid="{1C9434DE-C25E-41E0-B831-8121B17084E6}" name="7164" dataDxfId="9446"/>
    <tableColumn id="6945" xr3:uid="{DC171129-AB00-4427-B839-1057DD080208}" name="7165" dataDxfId="9445"/>
    <tableColumn id="6946" xr3:uid="{3E2B794A-AFC1-418D-A56A-7C583C67DA10}" name="7166" dataDxfId="9444"/>
    <tableColumn id="6947" xr3:uid="{334ADE10-CED0-4004-B8AB-2E3E00C7E062}" name="7167" dataDxfId="9443"/>
    <tableColumn id="6948" xr3:uid="{71AAAF92-63D2-4F91-8A47-107162E79339}" name="7168" dataDxfId="9442"/>
    <tableColumn id="6949" xr3:uid="{70A193B6-42C1-4BD0-8D56-5A1DD388276C}" name="7169" dataDxfId="9441"/>
    <tableColumn id="6950" xr3:uid="{DC62BABE-B85A-45AE-85BB-FCB49F52A4E6}" name="7170" dataDxfId="9440"/>
    <tableColumn id="6951" xr3:uid="{F83295E3-89C8-438B-AA34-21EE8B215CF4}" name="7171" dataDxfId="9439"/>
    <tableColumn id="6952" xr3:uid="{FF1A4D59-1EFD-4728-AE40-9B01FF127BCC}" name="7172" dataDxfId="9438"/>
    <tableColumn id="6953" xr3:uid="{E6800993-B3D9-4583-9744-D8E517919397}" name="7173" dataDxfId="9437"/>
    <tableColumn id="6954" xr3:uid="{A05541F7-DD15-40F8-82AF-C890B21A8C06}" name="7174" dataDxfId="9436"/>
    <tableColumn id="6955" xr3:uid="{9F4EE63D-BBEB-43F2-9A06-C1C407321AE4}" name="7175" dataDxfId="9435"/>
    <tableColumn id="6956" xr3:uid="{5324074F-38D1-40A1-AF0E-4D7314764945}" name="7176" dataDxfId="9434"/>
    <tableColumn id="6957" xr3:uid="{C5DB1965-F1EA-4F03-80CE-DC4B3FFE64BE}" name="7177" dataDxfId="9433"/>
    <tableColumn id="6958" xr3:uid="{9FD4EFBD-23DD-4DD6-92E0-50C8FEBD01A8}" name="7178" dataDxfId="9432"/>
    <tableColumn id="6959" xr3:uid="{6209751A-CE53-4238-A99F-E55E48CECD0E}" name="7179" dataDxfId="9431"/>
    <tableColumn id="6960" xr3:uid="{4CBADDCD-95FD-434D-93B6-E31CAA0F7213}" name="7180" dataDxfId="9430"/>
    <tableColumn id="6961" xr3:uid="{878DA5CD-DCD4-4757-8EB4-A81ECB45D725}" name="7181" dataDxfId="9429"/>
    <tableColumn id="6962" xr3:uid="{E8DE6B3F-F44A-4DE3-92C7-4FF276B58CF5}" name="7182" dataDxfId="9428"/>
    <tableColumn id="6963" xr3:uid="{F6C2FD07-D4D2-47D9-832F-4FBD34537897}" name="7183" dataDxfId="9427"/>
    <tableColumn id="6964" xr3:uid="{BECBE484-2758-40AC-8CD2-32E1EAF33CA3}" name="7184" dataDxfId="9426"/>
    <tableColumn id="6965" xr3:uid="{0A01FB59-F809-42AD-95F3-92BF67BD747A}" name="7185" dataDxfId="9425"/>
    <tableColumn id="6966" xr3:uid="{75385C92-E56F-4EB3-8B93-8A072DFCE0D6}" name="7186" dataDxfId="9424"/>
    <tableColumn id="6967" xr3:uid="{BA3E23FF-704C-43D6-A9F5-79F10CD39FDC}" name="7187" dataDxfId="9423"/>
    <tableColumn id="6968" xr3:uid="{3D5DF1BE-C27A-4B4B-B953-18E0B06E26CC}" name="7188" dataDxfId="9422"/>
    <tableColumn id="6969" xr3:uid="{F011A4A9-CD89-485B-98A6-17F41F9702E9}" name="7189" dataDxfId="9421"/>
    <tableColumn id="6970" xr3:uid="{0B2D5E94-8885-406F-96DC-BCF4E079C9E2}" name="7190" dataDxfId="9420"/>
    <tableColumn id="6971" xr3:uid="{87E5F46C-5F06-48EC-B7A8-FA89999FFD74}" name="7191" dataDxfId="9419"/>
    <tableColumn id="6972" xr3:uid="{A2012DE3-532F-467E-B7A7-1F0ADCF831E6}" name="7192" dataDxfId="9418"/>
    <tableColumn id="6973" xr3:uid="{99C7C216-E672-47B1-8780-2329B626FE4E}" name="7193" dataDxfId="9417"/>
    <tableColumn id="6974" xr3:uid="{9916FBC8-7BC5-45EB-81CA-90A83BF2918B}" name="7194" dataDxfId="9416"/>
    <tableColumn id="6975" xr3:uid="{D0673977-A2C3-4D76-A516-F4B5BAD1462B}" name="7195" dataDxfId="9415"/>
    <tableColumn id="6976" xr3:uid="{98A4650F-CB67-422E-87D8-ED884BCACB0F}" name="7196" dataDxfId="9414"/>
    <tableColumn id="6977" xr3:uid="{39A2CB6F-A4C8-4CF7-978F-AEF534F1792E}" name="7197" dataDxfId="9413"/>
    <tableColumn id="6978" xr3:uid="{F526B3DD-5BCA-4739-A5D4-7C20D078A74F}" name="7198" dataDxfId="9412"/>
    <tableColumn id="6979" xr3:uid="{B94A4DDB-44BD-4242-8702-2902C0E8458F}" name="7199" dataDxfId="9411"/>
    <tableColumn id="6980" xr3:uid="{AB3B7AE5-ED7F-42FB-84AC-50B05CB7C57F}" name="7200" dataDxfId="9410"/>
    <tableColumn id="6981" xr3:uid="{C3D8F810-DD4B-4606-9210-6343D4A54CE1}" name="7201" dataDxfId="9409"/>
    <tableColumn id="6982" xr3:uid="{BFEA2331-06AD-4793-AE94-E20C407F818C}" name="7202" dataDxfId="9408"/>
    <tableColumn id="6983" xr3:uid="{5ACA1B5B-0E11-42DC-9EC2-5685E4E6F7EE}" name="7203" dataDxfId="9407"/>
    <tableColumn id="6984" xr3:uid="{F5E45007-74D7-4D91-9A96-F8F4335853C4}" name="7204" dataDxfId="9406"/>
    <tableColumn id="6985" xr3:uid="{C8A3A2BD-D5EA-49AE-8492-864DB91D8C8C}" name="7205" dataDxfId="9405"/>
    <tableColumn id="6986" xr3:uid="{3EE44DB6-9A4F-4626-B21D-31F7A523CA49}" name="7206" dataDxfId="9404"/>
    <tableColumn id="6987" xr3:uid="{1D6BEA98-C34D-41D2-B52E-FD4405E3F7C2}" name="7207" dataDxfId="9403"/>
    <tableColumn id="6988" xr3:uid="{73BE923C-9DF6-4FCA-847E-758C2FA0A359}" name="7208" dataDxfId="9402"/>
    <tableColumn id="6989" xr3:uid="{7F079211-32FE-4EAC-B323-5C3D7E0468A8}" name="7209" dataDxfId="9401"/>
    <tableColumn id="6990" xr3:uid="{D174D822-C21B-43F0-9A92-190D3E4B73F0}" name="7210" dataDxfId="9400"/>
    <tableColumn id="6991" xr3:uid="{F7A0137F-7D6A-43FF-BDBF-5DE8ED3B93BD}" name="7211" dataDxfId="9399"/>
    <tableColumn id="6992" xr3:uid="{A6793E21-2AEA-45C1-9270-699E679B8A9E}" name="7212" dataDxfId="9398"/>
    <tableColumn id="6993" xr3:uid="{DBEEA1BA-9656-4DEC-A4DA-DE23D6431914}" name="7213" dataDxfId="9397"/>
    <tableColumn id="6994" xr3:uid="{31D3CADD-4C45-4035-8A4B-6EDB33407413}" name="7214" dataDxfId="9396"/>
    <tableColumn id="6995" xr3:uid="{C1E688FD-58EF-4CE2-9A37-21EEDB890E9B}" name="7215" dataDxfId="9395"/>
    <tableColumn id="6996" xr3:uid="{169A2253-ED20-4F5E-85DF-04C8B530C39A}" name="7216" dataDxfId="9394"/>
    <tableColumn id="6997" xr3:uid="{575D75B0-BFA8-4C44-AA3D-6F55AC0B7F5A}" name="7217" dataDxfId="9393"/>
    <tableColumn id="6998" xr3:uid="{47F92D0C-EFB0-4D9C-85CB-9F55B836A968}" name="7218" dataDxfId="9392"/>
    <tableColumn id="6999" xr3:uid="{88ADAB0C-780F-444B-A99C-FA5A37D95835}" name="7219" dataDxfId="9391"/>
    <tableColumn id="7000" xr3:uid="{8230003B-0901-4AEF-851E-35E9DB97BA1E}" name="7220" dataDxfId="9390"/>
    <tableColumn id="7001" xr3:uid="{032A51F1-757E-428C-8F17-DD2321D0A653}" name="7221" dataDxfId="9389"/>
    <tableColumn id="7002" xr3:uid="{9CD8527B-219A-446D-962E-6CB130BB9935}" name="7222" dataDxfId="9388"/>
    <tableColumn id="7003" xr3:uid="{2EC4FBCB-9246-42D8-9417-FC0C378D3625}" name="7223" dataDxfId="9387"/>
    <tableColumn id="7004" xr3:uid="{4D49F2A1-800F-49A7-9E78-E2B986484FDA}" name="7224" dataDxfId="9386"/>
    <tableColumn id="7005" xr3:uid="{FF81E00B-ADDF-4F87-A18D-302ECBAC6286}" name="7225" dataDxfId="9385"/>
    <tableColumn id="7006" xr3:uid="{45A08C33-57DE-4F8E-9797-64D37114FE3F}" name="7226" dataDxfId="9384"/>
    <tableColumn id="7007" xr3:uid="{6CBC94B3-3E76-4F5A-8C12-F5F04F64CC04}" name="7227" dataDxfId="9383"/>
    <tableColumn id="7008" xr3:uid="{10C7F37B-EA7F-40AD-9E28-7E9D06754669}" name="7228" dataDxfId="9382"/>
    <tableColumn id="7009" xr3:uid="{026C55B0-ACFB-48E0-AD42-DA9D9C9EB95E}" name="7229" dataDxfId="9381"/>
    <tableColumn id="7010" xr3:uid="{CD489B2D-0B48-41E8-9E4E-A738E8051516}" name="7230" dataDxfId="9380"/>
    <tableColumn id="7011" xr3:uid="{B90F02EC-C171-4088-BA96-FFFACBF31643}" name="7231" dataDxfId="9379"/>
    <tableColumn id="7012" xr3:uid="{2BDE8DB6-AFE2-4225-8388-AA248959C4E7}" name="7232" dataDxfId="9378"/>
    <tableColumn id="7013" xr3:uid="{D80D0879-A8CB-4D5E-B466-9B207F0B5989}" name="7233" dataDxfId="9377"/>
    <tableColumn id="7014" xr3:uid="{52973FCA-12E4-4021-A68D-CBB30B2E7377}" name="7234" dataDxfId="9376"/>
    <tableColumn id="7015" xr3:uid="{77B0A5F0-4B9E-4F16-BCD7-0CFF6F99B006}" name="7235" dataDxfId="9375"/>
    <tableColumn id="7016" xr3:uid="{9B8F0B99-48B6-43F4-B03A-D367B43EC025}" name="7236" dataDxfId="9374"/>
    <tableColumn id="7017" xr3:uid="{E627CEFA-50CE-4A43-BC6A-4F03B38BA426}" name="7237" dataDxfId="9373"/>
    <tableColumn id="7018" xr3:uid="{0837EEFD-06A2-4E68-BD0C-AFF248CA3CE7}" name="7238" dataDxfId="9372"/>
    <tableColumn id="7019" xr3:uid="{5B2DB4BC-CEEC-4A40-95D5-1E394FA8CCD2}" name="7239" dataDxfId="9371"/>
    <tableColumn id="7020" xr3:uid="{5628D818-56E2-4DE8-97B9-1FAD379517F4}" name="7240" dataDxfId="9370"/>
    <tableColumn id="7021" xr3:uid="{3AD63612-7DEE-4DF1-9B74-EF594F3F235D}" name="7241" dataDxfId="9369"/>
    <tableColumn id="7022" xr3:uid="{A7B4DA53-E98E-40F0-8E24-3D987E66B030}" name="7242" dataDxfId="9368"/>
    <tableColumn id="7023" xr3:uid="{723020FC-60BA-4246-94DD-C075C46BD387}" name="7243" dataDxfId="9367"/>
    <tableColumn id="7024" xr3:uid="{56983076-A5A5-4FE7-9DFB-CB9FBC24795B}" name="7244" dataDxfId="9366"/>
    <tableColumn id="7025" xr3:uid="{A72B0A52-DAC7-4B42-83D1-F7E3D9207276}" name="7245" dataDxfId="9365"/>
    <tableColumn id="7026" xr3:uid="{FA210074-6BA5-408E-B1BA-CF0AA7236320}" name="7246" dataDxfId="9364"/>
    <tableColumn id="7027" xr3:uid="{084A8C6C-54B1-44D8-A90B-89E9BD9C0432}" name="7247" dataDxfId="9363"/>
    <tableColumn id="7028" xr3:uid="{A2E92291-A426-4CCD-B180-D50BFF6EB81B}" name="7248" dataDxfId="9362"/>
    <tableColumn id="7029" xr3:uid="{A4E562DB-38CC-4FBE-A032-CAAA0A0A1E5A}" name="7249" dataDxfId="9361"/>
    <tableColumn id="7030" xr3:uid="{FB65B412-F832-4B35-9A95-229C959BF431}" name="7250" dataDxfId="9360"/>
    <tableColumn id="7031" xr3:uid="{D1930118-1F1F-4EBB-9D9D-45AFB2F3BF73}" name="7251" dataDxfId="9359"/>
    <tableColumn id="7032" xr3:uid="{602E5BC5-88DD-4B95-91EE-9A8941BA19F0}" name="7252" dataDxfId="9358"/>
    <tableColumn id="7033" xr3:uid="{A9784BE2-9508-4722-BA2D-1072DA88C404}" name="7253" dataDxfId="9357"/>
    <tableColumn id="7034" xr3:uid="{C29547A0-5405-4314-BB41-00E89709FA0D}" name="7254" dataDxfId="9356"/>
    <tableColumn id="7035" xr3:uid="{AFC17870-4C84-4E78-8668-FECA44268E00}" name="7255" dataDxfId="9355"/>
    <tableColumn id="7036" xr3:uid="{48FA5BD7-F1D2-40CB-A5D6-2E235AD8F372}" name="7256" dataDxfId="9354"/>
    <tableColumn id="7037" xr3:uid="{ED6739A7-E3A4-40C2-BFD4-847FFA52B938}" name="7257" dataDxfId="9353"/>
    <tableColumn id="7038" xr3:uid="{A44949DC-8084-448A-A68A-C53811E96023}" name="7258" dataDxfId="9352"/>
    <tableColumn id="7039" xr3:uid="{B552B8D9-3F4F-47CF-8969-C84CBD261857}" name="7259" dataDxfId="9351"/>
    <tableColumn id="7040" xr3:uid="{AF0C996F-815A-4D91-8B61-8FE619EDF099}" name="7260" dataDxfId="9350"/>
    <tableColumn id="7041" xr3:uid="{0B3F9642-0089-440C-A35E-D1C5FF70BC5D}" name="7261" dataDxfId="9349"/>
    <tableColumn id="7042" xr3:uid="{9E2FCF0F-B534-4545-B7FF-9E8D185172CE}" name="7262" dataDxfId="9348"/>
    <tableColumn id="7043" xr3:uid="{03903D2A-4AF5-43B6-BFB8-DF2D9030D30E}" name="7263" dataDxfId="9347"/>
    <tableColumn id="7044" xr3:uid="{2B963F49-A30B-4956-A7E2-AFEC40465050}" name="7264" dataDxfId="9346"/>
    <tableColumn id="7045" xr3:uid="{3B44EEE4-AC4C-488C-A6FD-4EEA9FB68570}" name="7265" dataDxfId="9345"/>
    <tableColumn id="7046" xr3:uid="{85B1C6E2-EBAF-4B5D-8CE0-BB1F44AED418}" name="7266" dataDxfId="9344"/>
    <tableColumn id="7047" xr3:uid="{51660067-E371-4CD5-BFFC-DA7CC8E5B099}" name="7267" dataDxfId="9343"/>
    <tableColumn id="7048" xr3:uid="{F2EB5DD5-5A53-464D-8C2A-D86D6FED52D4}" name="7268" dataDxfId="9342"/>
    <tableColumn id="7049" xr3:uid="{1AB4C85F-491A-4037-A0AA-54E4BE191BA3}" name="7269" dataDxfId="9341"/>
    <tableColumn id="7050" xr3:uid="{55C15442-FE09-417E-91D2-07D3E1EFE535}" name="7270" dataDxfId="9340"/>
    <tableColumn id="7051" xr3:uid="{075BCE28-6356-455B-BC8E-871F3AD60027}" name="7271" dataDxfId="9339"/>
    <tableColumn id="7052" xr3:uid="{4CAE9B8C-6288-4BDA-A89E-5AEBCA036F35}" name="7272" dataDxfId="9338"/>
    <tableColumn id="7053" xr3:uid="{B45D2938-925D-481B-AE22-9EDF95207605}" name="7273" dataDxfId="9337"/>
    <tableColumn id="7054" xr3:uid="{B42512E1-DB37-4B34-BC9D-C09194B1448A}" name="7274" dataDxfId="9336"/>
    <tableColumn id="7055" xr3:uid="{24DE4B18-EE3B-4220-BFF7-0FDD4D19BB13}" name="7275" dataDxfId="9335"/>
    <tableColumn id="7056" xr3:uid="{5FC7F87E-114B-4C2F-9340-4CA4EEC7118F}" name="7276" dataDxfId="9334"/>
    <tableColumn id="7057" xr3:uid="{BC390881-314E-45D6-9601-D93BB0F83EB3}" name="7277" dataDxfId="9333"/>
    <tableColumn id="7058" xr3:uid="{262404B1-903E-4740-97DA-537E74B6A5BA}" name="7278" dataDxfId="9332"/>
    <tableColumn id="7059" xr3:uid="{36CAC48A-C44E-42EB-A166-D19C21EB5654}" name="7279" dataDxfId="9331"/>
    <tableColumn id="7060" xr3:uid="{6E5677E4-BAF6-4BC0-9108-65008664FEE2}" name="7280" dataDxfId="9330"/>
    <tableColumn id="7061" xr3:uid="{60BC7035-3268-4563-9B1D-3179074615B7}" name="7281" dataDxfId="9329"/>
    <tableColumn id="7062" xr3:uid="{1F2A0772-7520-4118-A4BF-1A8B02AC5867}" name="7282" dataDxfId="9328"/>
    <tableColumn id="7063" xr3:uid="{594FAE6B-4E7D-46F4-9665-9B53167119C8}" name="7283" dataDxfId="9327"/>
    <tableColumn id="7064" xr3:uid="{5506D618-6BF6-44A6-94E8-535DF81CA6D1}" name="7284" dataDxfId="9326"/>
    <tableColumn id="7065" xr3:uid="{762F7294-55AC-4B78-A7B9-13338721C16F}" name="7285" dataDxfId="9325"/>
    <tableColumn id="7066" xr3:uid="{41240118-AB5C-4220-8630-7CC051BEA789}" name="7286" dataDxfId="9324"/>
    <tableColumn id="7067" xr3:uid="{63A033B8-AF32-4E02-885D-245004E96DED}" name="7287" dataDxfId="9323"/>
    <tableColumn id="7068" xr3:uid="{30B06C3D-3873-4A81-A838-585532C18D23}" name="7288" dataDxfId="9322"/>
    <tableColumn id="7069" xr3:uid="{9F29CF53-905E-4E25-89F3-07ADB7B0D22F}" name="7289" dataDxfId="9321"/>
    <tableColumn id="7070" xr3:uid="{9C1E6370-1911-4CC3-9B29-65AF607ABCB4}" name="7290" dataDxfId="9320"/>
    <tableColumn id="7071" xr3:uid="{6C584FEF-7099-488F-8B3D-B71BD61F3FDC}" name="7291" dataDxfId="9319"/>
    <tableColumn id="7072" xr3:uid="{39AF34AC-1ED4-4998-A9E6-F2BC2813C34E}" name="7292" dataDxfId="9318"/>
    <tableColumn id="7073" xr3:uid="{8550A446-6790-4FCD-B953-5E3B99840D8B}" name="7293" dataDxfId="9317"/>
    <tableColumn id="7074" xr3:uid="{D345048D-97E9-4C96-904C-165054E8BB69}" name="7294" dataDxfId="9316"/>
    <tableColumn id="7075" xr3:uid="{6F7AC628-F6B4-44E8-8A5E-957D6280B1F4}" name="7295" dataDxfId="9315"/>
    <tableColumn id="7076" xr3:uid="{288E1F7F-EEA3-4405-ACB1-FB984AE4D37F}" name="7296" dataDxfId="9314"/>
    <tableColumn id="7077" xr3:uid="{CA31C706-9F1F-4BB6-9673-C7F13EE0DEA3}" name="7297" dataDxfId="9313"/>
    <tableColumn id="7078" xr3:uid="{8D165C8D-3DD5-4F90-9BB0-2AFCC789C2B5}" name="7298" dataDxfId="9312"/>
    <tableColumn id="7079" xr3:uid="{A4D06455-37D9-424B-910D-D1F46D59DB67}" name="7299" dataDxfId="9311"/>
    <tableColumn id="7080" xr3:uid="{C413959F-8960-44E0-B9DF-0E31DD50525A}" name="7300" dataDxfId="9310"/>
    <tableColumn id="7081" xr3:uid="{00B33777-5CED-401C-8D37-D5EBFB7C8B24}" name="7301" dataDxfId="9309"/>
    <tableColumn id="7082" xr3:uid="{3C31CAA7-779F-4AFF-BFFA-53148A72BA2B}" name="7302" dataDxfId="9308"/>
    <tableColumn id="7083" xr3:uid="{20BE0FC9-EB6C-4BDC-990A-5554767EDAF6}" name="7303" dataDxfId="9307"/>
    <tableColumn id="7084" xr3:uid="{3EE141F6-52F6-4EFF-B374-AB0837BD3CA7}" name="7304" dataDxfId="9306"/>
    <tableColumn id="7085" xr3:uid="{81E5C5E9-6EF7-4083-868D-44C0F3B9E666}" name="7305" dataDxfId="9305"/>
    <tableColumn id="7086" xr3:uid="{1DD2E4E5-51DD-419B-9667-79F8DAEC6DB1}" name="7306" dataDxfId="9304"/>
    <tableColumn id="7087" xr3:uid="{943E3EDE-A791-406C-A8A9-1D61F823DE8E}" name="7307" dataDxfId="9303"/>
    <tableColumn id="7088" xr3:uid="{B28EBF90-ED21-45DA-A968-F6D95FB1F05C}" name="7308" dataDxfId="9302"/>
    <tableColumn id="7089" xr3:uid="{07178398-684F-47FA-A77F-0E9AFA7056B9}" name="7309" dataDxfId="9301"/>
    <tableColumn id="7090" xr3:uid="{2EA4E0F9-BCBE-4B92-8196-B5D52F3E9A0C}" name="7310" dataDxfId="9300"/>
    <tableColumn id="7091" xr3:uid="{E8E63FE1-9DC4-4928-A7FA-8446540A0D61}" name="7311" dataDxfId="9299"/>
    <tableColumn id="7092" xr3:uid="{F18869F4-0859-4609-BA7A-67655BE02E2C}" name="7312" dataDxfId="9298"/>
    <tableColumn id="7093" xr3:uid="{1040284C-04B0-49A4-8E63-2EC3E1E86A1F}" name="7313" dataDxfId="9297"/>
    <tableColumn id="7094" xr3:uid="{258FF888-02CB-4DE9-B98E-B9E58EE2E91D}" name="7314" dataDxfId="9296"/>
    <tableColumn id="7095" xr3:uid="{F3FFBD05-DCD1-4831-9363-14E195354031}" name="7315" dataDxfId="9295"/>
    <tableColumn id="7096" xr3:uid="{C833C993-F09C-4015-B6B6-4B5DB2742BF6}" name="7316" dataDxfId="9294"/>
    <tableColumn id="7097" xr3:uid="{E441A909-A025-4E4B-8324-BD7E9AF8E256}" name="7317" dataDxfId="9293"/>
    <tableColumn id="7098" xr3:uid="{5DFAE293-2E33-47B2-8699-D43A5819C8FB}" name="7318" dataDxfId="9292"/>
    <tableColumn id="7099" xr3:uid="{261E2E8E-355F-411F-BDB9-0CD6E18BBFFD}" name="7319" dataDxfId="9291"/>
    <tableColumn id="7100" xr3:uid="{3A43372A-3ED8-4C8B-8D6F-5F2B310F7B19}" name="7320" dataDxfId="9290"/>
    <tableColumn id="7101" xr3:uid="{750626ED-5B66-42DE-B13F-C6C8BC79166C}" name="7321" dataDxfId="9289"/>
    <tableColumn id="7102" xr3:uid="{552E3F30-2DD9-4997-A4EE-C03447E903F8}" name="7322" dataDxfId="9288"/>
    <tableColumn id="7103" xr3:uid="{FDE120DC-1188-472E-A281-2EFEC30BE6B6}" name="7323" dataDxfId="9287"/>
    <tableColumn id="7104" xr3:uid="{CA2A08F6-E7F0-44FA-B883-8194B000DC9B}" name="7324" dataDxfId="9286"/>
    <tableColumn id="7105" xr3:uid="{0F344AFF-05BD-4BF5-8FEA-0774B517ACCB}" name="7325" dataDxfId="9285"/>
    <tableColumn id="7106" xr3:uid="{757630B2-C529-4567-BF12-079A5723E367}" name="7326" dataDxfId="9284"/>
    <tableColumn id="7107" xr3:uid="{BD969524-0190-4866-9288-45AFF2351C26}" name="7327" dataDxfId="9283"/>
    <tableColumn id="7108" xr3:uid="{807873A0-F306-42B6-9B96-0F3A4F95EC2D}" name="7328" dataDxfId="9282"/>
    <tableColumn id="7109" xr3:uid="{D090E10C-35B5-46C9-AEF4-CFD86E8C00CB}" name="7329" dataDxfId="9281"/>
    <tableColumn id="7110" xr3:uid="{D96FC33C-63E5-42C2-BACF-FC72AF92DC8D}" name="7330" dataDxfId="9280"/>
    <tableColumn id="7111" xr3:uid="{4F79E0BB-B747-45E1-B30E-E9C4F47C230C}" name="7331" dataDxfId="9279"/>
    <tableColumn id="7112" xr3:uid="{AFDB2D2C-D609-4453-BBD0-56EDEA92F2CB}" name="7332" dataDxfId="9278"/>
    <tableColumn id="7113" xr3:uid="{679504B1-7E97-4920-966F-29ABB4585D76}" name="7333" dataDxfId="9277"/>
    <tableColumn id="7114" xr3:uid="{BEB80C67-5CB5-41BE-815B-FAEEFF17F507}" name="7334" dataDxfId="9276"/>
    <tableColumn id="7115" xr3:uid="{B469C564-9F79-4F83-932A-A39BE7722116}" name="7335" dataDxfId="9275"/>
    <tableColumn id="7116" xr3:uid="{021794A2-1B46-4519-A2C5-F81A16A2F030}" name="7336" dataDxfId="9274"/>
    <tableColumn id="7117" xr3:uid="{CEFAFDDF-7E3A-49E9-84B0-6DC2CE8BF1EE}" name="7337" dataDxfId="9273"/>
    <tableColumn id="7118" xr3:uid="{5F872BF0-27EF-4BB2-82E7-35334A624A75}" name="7338" dataDxfId="9272"/>
    <tableColumn id="7119" xr3:uid="{3B7E36A3-762E-4357-A129-C1538F22C854}" name="7339" dataDxfId="9271"/>
    <tableColumn id="7120" xr3:uid="{FEFF2517-2310-4F75-8DEF-100E333A4F7C}" name="7340" dataDxfId="9270"/>
    <tableColumn id="7121" xr3:uid="{21521A23-F3E9-4989-A4DE-58465E50CEC8}" name="7341" dataDxfId="9269"/>
    <tableColumn id="7122" xr3:uid="{7325435A-7BAD-448E-B577-C7609B5D7F70}" name="7342" dataDxfId="9268"/>
    <tableColumn id="7123" xr3:uid="{3E815B44-8204-4DE7-BA4D-4B83DA1AEDDB}" name="7343" dataDxfId="9267"/>
    <tableColumn id="7124" xr3:uid="{F306D5D3-FD7D-453B-9F63-F05B34DE88F3}" name="7344" dataDxfId="9266"/>
    <tableColumn id="7125" xr3:uid="{F432FA41-2F9F-4F07-9851-5FF604F4129D}" name="7345" dataDxfId="9265"/>
    <tableColumn id="7126" xr3:uid="{67DDD7AA-B1CE-4569-B268-4997110833B9}" name="7346" dataDxfId="9264"/>
    <tableColumn id="7127" xr3:uid="{0A66BD21-3E96-405B-9D90-837E1E5D66C7}" name="7347" dataDxfId="9263"/>
    <tableColumn id="7128" xr3:uid="{099B9CB4-96A1-4AAF-9B2D-7D0D08C0F2F4}" name="7348" dataDxfId="9262"/>
    <tableColumn id="7129" xr3:uid="{F06FEC84-1E47-478D-B88D-A29BC9671759}" name="7349" dataDxfId="9261"/>
    <tableColumn id="7130" xr3:uid="{6ECBB16C-1192-469F-B0ED-55731911810D}" name="7350" dataDxfId="9260"/>
    <tableColumn id="7131" xr3:uid="{3C34CD13-3072-4AF9-B488-2071DE4AB8C7}" name="7351" dataDxfId="9259"/>
    <tableColumn id="7132" xr3:uid="{3F489630-117C-41CF-ADB2-48425E127555}" name="7352" dataDxfId="9258"/>
    <tableColumn id="7133" xr3:uid="{B317E9FE-35AE-405F-AFA5-CEAB5757AD40}" name="7353" dataDxfId="9257"/>
    <tableColumn id="7134" xr3:uid="{E055726B-37A9-4944-849F-3E565851CE79}" name="7354" dataDxfId="9256"/>
    <tableColumn id="7135" xr3:uid="{E9BB4219-9ECC-48C0-B7D6-A99D40AE26CD}" name="7355" dataDxfId="9255"/>
    <tableColumn id="7136" xr3:uid="{FA3354D9-60BB-4462-A527-7D2C6CA41910}" name="7356" dataDxfId="9254"/>
    <tableColumn id="7137" xr3:uid="{15AAF835-F8EC-44DC-A3F2-F3DD1C49BE5F}" name="7357" dataDxfId="9253"/>
    <tableColumn id="7138" xr3:uid="{EB0C2AF2-BD64-4B91-89B0-AB1FC48E909A}" name="7358" dataDxfId="9252"/>
    <tableColumn id="7139" xr3:uid="{F074A614-17CE-4A95-8431-3E417AD80E21}" name="7359" dataDxfId="9251"/>
    <tableColumn id="7140" xr3:uid="{F8808683-1103-45F8-99E2-415EE7ABAF49}" name="7360" dataDxfId="9250"/>
    <tableColumn id="7141" xr3:uid="{C57072E3-8FFD-4057-9652-59D6CC23661C}" name="7361" dataDxfId="9249"/>
    <tableColumn id="7142" xr3:uid="{5CC16026-C8AB-4688-8D68-ACDA3E24E174}" name="7362" dataDxfId="9248"/>
    <tableColumn id="7143" xr3:uid="{998B664C-6153-4C0D-8573-5B429DC75FD2}" name="7363" dataDxfId="9247"/>
    <tableColumn id="7144" xr3:uid="{52119062-9132-4D8F-ACEA-0B6BB6F47CC1}" name="7364" dataDxfId="9246"/>
    <tableColumn id="7145" xr3:uid="{2AB994A4-172A-4970-B5AB-2ACF1C504DCF}" name="7365" dataDxfId="9245"/>
    <tableColumn id="7146" xr3:uid="{836C51D7-2462-48A8-ABE9-CCD6B9E0A699}" name="7366" dataDxfId="9244"/>
    <tableColumn id="7147" xr3:uid="{A0118202-A795-4BEB-9818-9B36C400A3DD}" name="7367" dataDxfId="9243"/>
    <tableColumn id="7148" xr3:uid="{ABAFE09E-A7CD-41FD-98F9-C0020C2E73AD}" name="7368" dataDxfId="9242"/>
    <tableColumn id="7149" xr3:uid="{50FD58F3-52E6-4BD3-8F04-BA40333E18DB}" name="7369" dataDxfId="9241"/>
    <tableColumn id="7150" xr3:uid="{0928E1C3-E6FE-4EFB-B7EE-E9FDE427A228}" name="7370" dataDxfId="9240"/>
    <tableColumn id="7151" xr3:uid="{420AB3BE-3DCA-476C-A4AF-0B18846DAA06}" name="7371" dataDxfId="9239"/>
    <tableColumn id="7152" xr3:uid="{D211A025-BFCF-44DE-B09F-EFAAC2BBE60F}" name="7372" dataDxfId="9238"/>
    <tableColumn id="7153" xr3:uid="{8A0D3E92-F7F3-4AAF-859B-DA33E00078FE}" name="7373" dataDxfId="9237"/>
    <tableColumn id="7154" xr3:uid="{9D04A345-C19D-4373-8F8B-7B536B074598}" name="7374" dataDxfId="9236"/>
    <tableColumn id="7155" xr3:uid="{E0D93FA6-CF0F-406B-8B96-B9EA37A0C961}" name="7375" dataDxfId="9235"/>
    <tableColumn id="7156" xr3:uid="{CEC39297-F3D9-48FE-9E1B-820206D691B1}" name="7376" dataDxfId="9234"/>
    <tableColumn id="7157" xr3:uid="{436C8993-BC2C-46D2-9AE3-D8C78668ABFE}" name="7377" dataDxfId="9233"/>
    <tableColumn id="7158" xr3:uid="{5B4FB749-CDF8-4C05-826D-264862A6655E}" name="7378" dataDxfId="9232"/>
    <tableColumn id="7159" xr3:uid="{5109CFC1-88B2-4CC1-BD51-EDFF2AEE4C9B}" name="7379" dataDxfId="9231"/>
    <tableColumn id="7160" xr3:uid="{233F8662-0153-4A9F-8677-65B500327193}" name="7380" dataDxfId="9230"/>
    <tableColumn id="7161" xr3:uid="{23B069EA-0BB7-4DB6-AA4A-8490DAAB273B}" name="7381" dataDxfId="9229"/>
    <tableColumn id="7162" xr3:uid="{F79B51B7-14CF-4B95-927D-3DCABBBC878D}" name="7382" dataDxfId="9228"/>
    <tableColumn id="7163" xr3:uid="{6E528599-8B09-4BC2-A04E-B3AE2D44C872}" name="7383" dataDxfId="9227"/>
    <tableColumn id="7164" xr3:uid="{A61ECEA1-748E-4947-942A-80D6C9DF5A57}" name="7384" dataDxfId="9226"/>
    <tableColumn id="7165" xr3:uid="{175B507E-7D7E-4D20-93B7-3708E987D327}" name="7385" dataDxfId="9225"/>
    <tableColumn id="7166" xr3:uid="{B6121032-D117-45EA-B87A-AE72BF5EEA44}" name="7386" dataDxfId="9224"/>
    <tableColumn id="7167" xr3:uid="{4140B129-5C46-460A-83E3-025A27F0EA8B}" name="7387" dataDxfId="9223"/>
    <tableColumn id="7168" xr3:uid="{F92F3E3F-5195-472E-AD46-BFD0E72B85A7}" name="7388" dataDxfId="9222"/>
    <tableColumn id="7169" xr3:uid="{58861270-DD24-4F68-B3F4-8531A17DC5C7}" name="7389" dataDxfId="9221"/>
    <tableColumn id="7170" xr3:uid="{C32DC476-876C-4A1D-9B74-09A04AACA1E4}" name="7390" dataDxfId="9220"/>
    <tableColumn id="7171" xr3:uid="{600810AC-0FFC-439F-8201-5B6BDB66BE0A}" name="7391" dataDxfId="9219"/>
    <tableColumn id="7172" xr3:uid="{FABCF6B9-520C-4834-8784-FAC5654BDD52}" name="7392" dataDxfId="9218"/>
    <tableColumn id="7173" xr3:uid="{F935026E-65D0-4AFD-A816-CB206728DB0E}" name="7393" dataDxfId="9217"/>
    <tableColumn id="7174" xr3:uid="{97B0FA00-6BF8-4B85-85F9-6881B069695A}" name="7394" dataDxfId="9216"/>
    <tableColumn id="7175" xr3:uid="{7314AB2A-4BB9-499E-AC92-BE3A79AC6E93}" name="7395" dataDxfId="9215"/>
    <tableColumn id="7176" xr3:uid="{69A5EB72-1455-420C-AD75-5868110F5470}" name="7396" dataDxfId="9214"/>
    <tableColumn id="7177" xr3:uid="{4CF13745-B1AF-41FA-A445-F6644ED0635C}" name="7397" dataDxfId="9213"/>
    <tableColumn id="7178" xr3:uid="{EF82ED2A-0C84-4C7A-B1E1-280D342AD1AA}" name="7398" dataDxfId="9212"/>
    <tableColumn id="7179" xr3:uid="{BA37989A-7039-4A2D-B15E-E88D32728D3E}" name="7399" dataDxfId="9211"/>
    <tableColumn id="7180" xr3:uid="{71E1B38E-8C81-490D-91AD-2EF19E5C1F7D}" name="7400" dataDxfId="9210"/>
    <tableColumn id="7181" xr3:uid="{06E0D212-3DBA-4D62-AAA0-0202CF02A33E}" name="7401" dataDxfId="9209"/>
    <tableColumn id="7182" xr3:uid="{05BBEDFA-3E13-40C0-B830-6928EF4F1196}" name="7402" dataDxfId="9208"/>
    <tableColumn id="7183" xr3:uid="{0B6C05C4-0614-4E3F-AE3D-5EB30D1F84F1}" name="7403" dataDxfId="9207"/>
    <tableColumn id="7184" xr3:uid="{280CB156-4EB1-40B7-B2C0-C4BD5B935ACB}" name="7404" dataDxfId="9206"/>
    <tableColumn id="7185" xr3:uid="{72774B99-8190-408E-A8E8-C440613C5A14}" name="7405" dataDxfId="9205"/>
    <tableColumn id="7186" xr3:uid="{50ACD5EF-DB93-4C5E-B145-0C7EE5E55F6E}" name="7406" dataDxfId="9204"/>
    <tableColumn id="7187" xr3:uid="{0C1805E8-8B10-4EC5-9C0A-E0AF45014FA6}" name="7407" dataDxfId="9203"/>
    <tableColumn id="7188" xr3:uid="{656FA072-5C99-4B99-8F72-0E4AAE255375}" name="7408" dataDxfId="9202"/>
    <tableColumn id="7189" xr3:uid="{5C86C751-4891-482D-B4D1-3528420BD58A}" name="7409" dataDxfId="9201"/>
    <tableColumn id="7190" xr3:uid="{188A27DB-1819-443D-8796-E36F5046139E}" name="7410" dataDxfId="9200"/>
    <tableColumn id="7191" xr3:uid="{2A5CCFC2-EC0C-48AE-8CB1-841E5E1BDD56}" name="7411" dataDxfId="9199"/>
    <tableColumn id="7192" xr3:uid="{241CB2B8-0BD4-4A32-B10A-2FE729B591B0}" name="7412" dataDxfId="9198"/>
    <tableColumn id="7193" xr3:uid="{620DAC11-C031-4F2D-9950-6C4DD40E6DE3}" name="7413" dataDxfId="9197"/>
    <tableColumn id="7194" xr3:uid="{313CBC35-5145-4C70-9680-54B22034FC26}" name="7414" dataDxfId="9196"/>
    <tableColumn id="7195" xr3:uid="{6D85E359-6A5B-42B8-9780-855567AC1279}" name="7415" dataDxfId="9195"/>
    <tableColumn id="7196" xr3:uid="{13096EEA-F500-4062-B907-9455F4CEA0E5}" name="7416" dataDxfId="9194"/>
    <tableColumn id="7197" xr3:uid="{481D022B-7DE1-486D-AA43-DB2CB472BA8D}" name="7417" dataDxfId="9193"/>
    <tableColumn id="7198" xr3:uid="{1F4EEEA9-06C0-43AA-B39A-F67D99F6581A}" name="7418" dataDxfId="9192"/>
    <tableColumn id="7199" xr3:uid="{5100F263-EB50-4255-A500-CE11B72D939B}" name="7419" dataDxfId="9191"/>
    <tableColumn id="7200" xr3:uid="{799EEF83-8615-4C72-895E-3D868B8ADBC2}" name="7420" dataDxfId="9190"/>
    <tableColumn id="7201" xr3:uid="{9B2DFF31-F153-4E90-92B8-02906DE4A0AA}" name="7421" dataDxfId="9189"/>
    <tableColumn id="7202" xr3:uid="{A5FC9F00-7566-48C3-BD72-83FA0975C511}" name="7422" dataDxfId="9188"/>
    <tableColumn id="7203" xr3:uid="{473661D9-3B81-4666-A0A5-AE9DDF5A5528}" name="7423" dataDxfId="9187"/>
    <tableColumn id="7204" xr3:uid="{185D61CA-78A5-48E5-884B-2D0007416301}" name="7424" dataDxfId="9186"/>
    <tableColumn id="7205" xr3:uid="{813E867D-D854-4F10-8B45-CAEC7EF10481}" name="7425" dataDxfId="9185"/>
    <tableColumn id="7206" xr3:uid="{79093A3E-3066-40E1-93A9-FFE5D02F1FE8}" name="7426" dataDxfId="9184"/>
    <tableColumn id="7207" xr3:uid="{8F1C6E75-6535-4620-852A-C032F9FB55F9}" name="7427" dataDxfId="9183"/>
    <tableColumn id="7208" xr3:uid="{6251DB5A-6BE5-4C1B-9E30-93CF89344562}" name="7428" dataDxfId="9182"/>
    <tableColumn id="7209" xr3:uid="{B2333285-E3B8-4EB1-8C2A-18228E81DF70}" name="7429" dataDxfId="9181"/>
    <tableColumn id="7210" xr3:uid="{96D9F947-034A-48F5-B4EB-BED184542999}" name="7430" dataDxfId="9180"/>
    <tableColumn id="7211" xr3:uid="{ABC1E76B-F29C-4261-86F8-84770A4E8CDF}" name="7431" dataDxfId="9179"/>
    <tableColumn id="7212" xr3:uid="{69A5D53D-5985-4C0C-919A-3113669B37C0}" name="7432" dataDxfId="9178"/>
    <tableColumn id="7213" xr3:uid="{EF687443-AF83-46F4-A11A-7AACBD5C4A0C}" name="7433" dataDxfId="9177"/>
    <tableColumn id="7214" xr3:uid="{D9315695-FBCB-4192-9922-0FD290B28314}" name="7434" dataDxfId="9176"/>
    <tableColumn id="7215" xr3:uid="{6A6ACB74-C7A4-439A-B3BE-3F2D94E88DB8}" name="7435" dataDxfId="9175"/>
    <tableColumn id="7216" xr3:uid="{14EFACAC-5806-4B8F-8AEA-3116E4991C05}" name="7436" dataDxfId="9174"/>
    <tableColumn id="7217" xr3:uid="{18D775B9-83AF-4A94-A9B0-6CAD2E15A6F9}" name="7437" dataDxfId="9173"/>
    <tableColumn id="7218" xr3:uid="{370F2A10-3432-4A0C-A946-664423E98553}" name="7438" dataDxfId="9172"/>
    <tableColumn id="7219" xr3:uid="{1EAC8F3F-73A9-4D3E-A908-49EECAF70885}" name="7439" dataDxfId="9171"/>
    <tableColumn id="7220" xr3:uid="{75C1F3D7-801C-4CAF-9CD4-26874663C458}" name="7440" dataDxfId="9170"/>
    <tableColumn id="7221" xr3:uid="{6046C05A-F474-47F0-AD26-A35286937757}" name="7441" dataDxfId="9169"/>
    <tableColumn id="7222" xr3:uid="{EEBCE92D-A9B4-4298-8788-C7705F3478BC}" name="7442" dataDxfId="9168"/>
    <tableColumn id="7223" xr3:uid="{D59AFEB4-4E86-4B80-9C52-AAAADADED389}" name="7443" dataDxfId="9167"/>
    <tableColumn id="7224" xr3:uid="{0CD84F00-6920-4575-98DA-83ECCB6173B7}" name="7444" dataDxfId="9166"/>
    <tableColumn id="7225" xr3:uid="{A4AAE113-F522-4369-938B-EE12872AA54C}" name="7445" dataDxfId="9165"/>
    <tableColumn id="7226" xr3:uid="{536937AE-4913-430E-B6E2-CB036C84C1B4}" name="7446" dataDxfId="9164"/>
    <tableColumn id="7227" xr3:uid="{E6ED0A09-3CF1-4A7E-BD06-3AEAC3072D9E}" name="7447" dataDxfId="9163"/>
    <tableColumn id="7228" xr3:uid="{470A8E31-636F-4549-A5FC-22242329DB22}" name="7448" dataDxfId="9162"/>
    <tableColumn id="7229" xr3:uid="{0B9AFDF6-4457-4104-B7DD-AEAA8A69F694}" name="7449" dataDxfId="9161"/>
    <tableColumn id="7230" xr3:uid="{F82974C1-77E0-4335-94C0-36346AA62A18}" name="7450" dataDxfId="9160"/>
    <tableColumn id="7231" xr3:uid="{60456B5B-2040-43E1-87D7-D6414E395A39}" name="7451" dataDxfId="9159"/>
    <tableColumn id="7232" xr3:uid="{AA0DF620-B090-441F-BC0B-6F83B64D9E62}" name="7452" dataDxfId="9158"/>
    <tableColumn id="7233" xr3:uid="{679B4948-6B48-414D-91F2-8BC5B5BBDE58}" name="7453" dataDxfId="9157"/>
    <tableColumn id="7234" xr3:uid="{92751085-D8ED-496B-BE8A-C07C80204C95}" name="7454" dataDxfId="9156"/>
    <tableColumn id="7235" xr3:uid="{6C3B0BCD-6421-44F2-90AA-2064E4FE5170}" name="7455" dataDxfId="9155"/>
    <tableColumn id="7236" xr3:uid="{96838859-DDD9-4707-95EE-B088112D2432}" name="7456" dataDxfId="9154"/>
    <tableColumn id="7237" xr3:uid="{1BD1CE5C-AD31-4366-BEEE-3CFB5F71C9B1}" name="7457" dataDxfId="9153"/>
    <tableColumn id="7238" xr3:uid="{7C9E6059-22F9-4813-8CB7-DAB16225EFA6}" name="7458" dataDxfId="9152"/>
    <tableColumn id="7239" xr3:uid="{8BDFDF0A-E385-40AA-8298-ED21F62BC776}" name="7459" dataDxfId="9151"/>
    <tableColumn id="7240" xr3:uid="{3052CCCD-C9FD-476D-8E85-F64141A7CCA9}" name="7460" dataDxfId="9150"/>
    <tableColumn id="7241" xr3:uid="{3EC88CB5-CDDA-4736-99AF-03722EED93B4}" name="7461" dataDxfId="9149"/>
    <tableColumn id="7242" xr3:uid="{232ACE48-BB54-4ECA-914B-DED3738225DE}" name="7462" dataDxfId="9148"/>
    <tableColumn id="7243" xr3:uid="{2A450EF0-9E14-4F21-A493-9C636FEBBE2C}" name="7463" dataDxfId="9147"/>
    <tableColumn id="7244" xr3:uid="{B6975C31-1225-4B7D-B784-7802E548BA3B}" name="7464" dataDxfId="9146"/>
    <tableColumn id="7245" xr3:uid="{462814FE-689D-4436-9CDC-44DD5B9FD7E0}" name="7465" dataDxfId="9145"/>
    <tableColumn id="7246" xr3:uid="{8A3C06DE-73CD-47D1-816E-E893790A5224}" name="7466" dataDxfId="9144"/>
    <tableColumn id="7247" xr3:uid="{343A82F8-A2A1-4F74-BD2B-3B60B095FC08}" name="7467" dataDxfId="9143"/>
    <tableColumn id="7248" xr3:uid="{14B80ADC-8CE5-4F99-8B2D-2140581DEF15}" name="7468" dataDxfId="9142"/>
    <tableColumn id="7249" xr3:uid="{976A834B-5553-428F-941E-FC80E3CB6E1C}" name="7469" dataDxfId="9141"/>
    <tableColumn id="7250" xr3:uid="{5D88C2A8-68E5-4EDC-A3E5-8385815AA72D}" name="7470" dataDxfId="9140"/>
    <tableColumn id="7251" xr3:uid="{AE6921AF-E930-4238-A4D9-212D80145405}" name="7471" dataDxfId="9139"/>
    <tableColumn id="7252" xr3:uid="{7389EBE1-8231-4BA1-924C-B1A5FBAED978}" name="7472" dataDxfId="9138"/>
    <tableColumn id="7253" xr3:uid="{00B3F348-842A-4A4C-B679-5EE4207A6A98}" name="7473" dataDxfId="9137"/>
    <tableColumn id="7254" xr3:uid="{768D6EE2-7FDC-4179-B0EA-529DF2B3C845}" name="7474" dataDxfId="9136"/>
    <tableColumn id="7255" xr3:uid="{4683087C-2DF5-4440-85B9-89AA70063352}" name="7475" dataDxfId="9135"/>
    <tableColumn id="7256" xr3:uid="{7ABD266F-44D5-46EE-A4C9-6E6C73E664E2}" name="7476" dataDxfId="9134"/>
    <tableColumn id="7257" xr3:uid="{A15AA3ED-ABE1-4A6D-B7C8-470D5398EA79}" name="7477" dataDxfId="9133"/>
    <tableColumn id="7258" xr3:uid="{18B4A990-BA13-433F-B023-CB72DBBFFADF}" name="7478" dataDxfId="9132"/>
    <tableColumn id="7259" xr3:uid="{7A057C65-3F8D-4DFF-A44F-7657283FF949}" name="7479" dataDxfId="9131"/>
    <tableColumn id="7260" xr3:uid="{271FE0CE-2AE1-4CA2-99D5-046D6172C8CF}" name="7480" dataDxfId="9130"/>
    <tableColumn id="7261" xr3:uid="{6070B02E-3780-4AB1-8CBD-407DD24053CA}" name="7481" dataDxfId="9129"/>
    <tableColumn id="7262" xr3:uid="{BEBB0A75-9F58-4FBC-951B-8645EB2D34EC}" name="7482" dataDxfId="9128"/>
    <tableColumn id="7263" xr3:uid="{4EAAC20A-9844-4749-821D-2C7AD8672AD2}" name="7483" dataDxfId="9127"/>
    <tableColumn id="7264" xr3:uid="{5A4BF9A0-503F-47E6-99E7-D201148D3D86}" name="7484" dataDxfId="9126"/>
    <tableColumn id="7265" xr3:uid="{2CA0E393-4953-461A-8378-D098C1039C7D}" name="7485" dataDxfId="9125"/>
    <tableColumn id="7266" xr3:uid="{91EE78A0-17CF-4648-BAA1-532C81EBF358}" name="7486" dataDxfId="9124"/>
    <tableColumn id="7267" xr3:uid="{E0AA8CE6-7E8D-47CF-962C-90088FF47848}" name="7487" dataDxfId="9123"/>
    <tableColumn id="7268" xr3:uid="{9E709445-8A13-4481-B4E3-8D552378C120}" name="7488" dataDxfId="9122"/>
    <tableColumn id="7269" xr3:uid="{8C5D46D9-D7A3-424F-8811-14FDBB21113F}" name="7489" dataDxfId="9121"/>
    <tableColumn id="7270" xr3:uid="{B8E61175-C4DB-4535-BF26-0D5D2FAC65A8}" name="7490" dataDxfId="9120"/>
    <tableColumn id="7271" xr3:uid="{BEFA1450-B91D-45A5-B0FE-F00B5307FBD1}" name="7491" dataDxfId="9119"/>
    <tableColumn id="7272" xr3:uid="{D3472973-0040-4182-BBCA-B7F3B54410ED}" name="7492" dataDxfId="9118"/>
    <tableColumn id="7273" xr3:uid="{F1E499C5-113C-4D4F-BC0E-899585A25994}" name="7493" dataDxfId="9117"/>
    <tableColumn id="7274" xr3:uid="{7A327282-356E-40F6-A0D0-8778F6C9A2D9}" name="7494" dataDxfId="9116"/>
    <tableColumn id="7275" xr3:uid="{3312E570-953E-4844-83B0-A27E72FA4608}" name="7495" dataDxfId="9115"/>
    <tableColumn id="7276" xr3:uid="{E6DF7097-174E-45E5-97C8-99CDC9CE63D2}" name="7496" dataDxfId="9114"/>
    <tableColumn id="7277" xr3:uid="{5B127C71-C574-43BD-A720-131C611ACF14}" name="7497" dataDxfId="9113"/>
    <tableColumn id="7278" xr3:uid="{C70CEBD9-2B0B-48A5-8417-BE3BD48F9EBE}" name="7498" dataDxfId="9112"/>
    <tableColumn id="7279" xr3:uid="{25002B93-6AB3-454E-8032-B17958C50F7B}" name="7499" dataDxfId="9111"/>
    <tableColumn id="7280" xr3:uid="{76571051-D9B3-432C-8463-49A9A02A5012}" name="7500" dataDxfId="9110"/>
    <tableColumn id="7281" xr3:uid="{E9652964-D16C-4EB9-812F-238ED94A703D}" name="7501" dataDxfId="9109"/>
    <tableColumn id="7282" xr3:uid="{2B0FE960-DB87-4585-B2DA-B4EA523C3A57}" name="7502" dataDxfId="9108"/>
    <tableColumn id="7283" xr3:uid="{13C42B39-C0AE-447E-8256-65E423010D2F}" name="7503" dataDxfId="9107"/>
    <tableColumn id="7284" xr3:uid="{8383D2D4-84C3-47A2-B6B3-CB82362A7CB2}" name="7504" dataDxfId="9106"/>
    <tableColumn id="7285" xr3:uid="{B3D162CB-FFAC-474F-84EE-83D92E55B094}" name="7505" dataDxfId="9105"/>
    <tableColumn id="7286" xr3:uid="{1B3AC0D2-FE51-4D63-B493-4701A59EF12F}" name="7506" dataDxfId="9104"/>
    <tableColumn id="7287" xr3:uid="{EFF2F7F2-6775-45A6-94F5-90AEE2AC2805}" name="7507" dataDxfId="9103"/>
    <tableColumn id="7288" xr3:uid="{8D6BA2AC-C767-492D-9085-4655E4772444}" name="7508" dataDxfId="9102"/>
    <tableColumn id="7289" xr3:uid="{F6EB4A44-04D3-4BB9-BBC1-B805A075E4BF}" name="7509" dataDxfId="9101"/>
    <tableColumn id="7290" xr3:uid="{2B0EF37E-25F4-411A-B50E-B32EA9F5A4A0}" name="7510" dataDxfId="9100"/>
    <tableColumn id="7291" xr3:uid="{D9F149AF-7147-40B9-9946-4FC68E692D5A}" name="7511" dataDxfId="9099"/>
    <tableColumn id="7292" xr3:uid="{AA37F13B-6163-4B95-9F4B-B878F76E7533}" name="7512" dataDxfId="9098"/>
    <tableColumn id="7293" xr3:uid="{F5BE4DC9-07B4-48F1-9AAA-DD06C262C225}" name="7513" dataDxfId="9097"/>
    <tableColumn id="7294" xr3:uid="{355A3E3A-6FA8-431A-8270-302FBBD67C06}" name="7514" dataDxfId="9096"/>
    <tableColumn id="7295" xr3:uid="{41064656-42B4-4921-B410-6F04C12F77BE}" name="7515" dataDxfId="9095"/>
    <tableColumn id="7296" xr3:uid="{44016633-314A-4045-8651-8592C84D64F6}" name="7516" dataDxfId="9094"/>
    <tableColumn id="7297" xr3:uid="{62AEE413-EAF4-4B48-B003-5664E5D51C18}" name="7517" dataDxfId="9093"/>
    <tableColumn id="7298" xr3:uid="{F277939D-DD33-44EF-B654-854C9378956C}" name="7518" dataDxfId="9092"/>
    <tableColumn id="7299" xr3:uid="{37B79C43-223A-4C6B-BA3E-2CE3C319EBC2}" name="7519" dataDxfId="9091"/>
    <tableColumn id="7300" xr3:uid="{8619BDFA-CA60-4D5C-BBA8-D8C921D8D46A}" name="7520" dataDxfId="9090"/>
    <tableColumn id="7301" xr3:uid="{708CFF06-F2D6-453E-9CCA-0CF295573D8B}" name="7521" dataDxfId="9089"/>
    <tableColumn id="7302" xr3:uid="{52DF3B1A-32CA-43DB-9A53-64DE0E5D34DD}" name="7522" dataDxfId="9088"/>
    <tableColumn id="7303" xr3:uid="{B244B3F1-62BA-474C-A081-E06296628327}" name="7523" dataDxfId="9087"/>
    <tableColumn id="7304" xr3:uid="{DC2B9109-E880-4D94-AB01-0CBD4F760CFF}" name="7524" dataDxfId="9086"/>
    <tableColumn id="7305" xr3:uid="{42D12C75-57CB-4650-96BC-3090C7BE2EE5}" name="7525" dataDxfId="9085"/>
    <tableColumn id="7306" xr3:uid="{6CA6E5B8-48D4-47AE-B218-5E12BFE9496B}" name="7526" dataDxfId="9084"/>
    <tableColumn id="7307" xr3:uid="{BFDB6599-294B-4EF4-BFCD-EB64670AB343}" name="7527" dataDxfId="9083"/>
    <tableColumn id="7308" xr3:uid="{E1538FCB-1D42-4B5F-B156-402F0CCF1FE4}" name="7528" dataDxfId="9082"/>
    <tableColumn id="7309" xr3:uid="{8357F4E5-7F7C-4942-9068-AAB86267C523}" name="7529" dataDxfId="9081"/>
    <tableColumn id="7310" xr3:uid="{14C0016E-ECE2-4478-8D72-DB70E10E1103}" name="7530" dataDxfId="9080"/>
    <tableColumn id="7311" xr3:uid="{6DCD03DC-3A96-429A-8055-2602BE67F565}" name="7531" dataDxfId="9079"/>
    <tableColumn id="7312" xr3:uid="{989BB5D7-EE64-46D0-B06B-AFE6B7575E7E}" name="7532" dataDxfId="9078"/>
    <tableColumn id="7313" xr3:uid="{48D9E498-96C7-4CB8-955B-AFA27D43412B}" name="7533" dataDxfId="9077"/>
    <tableColumn id="7314" xr3:uid="{00A20B50-2FD5-4E92-9B1D-D7FDA104F2D6}" name="7534" dataDxfId="9076"/>
    <tableColumn id="7315" xr3:uid="{C0E00502-AD43-4D9A-A575-16F9CAA4D05C}" name="7535" dataDxfId="9075"/>
    <tableColumn id="7316" xr3:uid="{EBB8679D-7E8C-4CAF-9D72-EFEC6CC920CF}" name="7536" dataDxfId="9074"/>
    <tableColumn id="7317" xr3:uid="{031C1F03-1F62-44F1-B215-F12FCB56E50F}" name="7537" dataDxfId="9073"/>
    <tableColumn id="7318" xr3:uid="{6DCA90C2-A34A-47EC-9AE7-64CB1D432314}" name="7538" dataDxfId="9072"/>
    <tableColumn id="7319" xr3:uid="{BA1C2937-D048-478A-BFDB-AA7777F00E8F}" name="7539" dataDxfId="9071"/>
    <tableColumn id="7320" xr3:uid="{27EAA6ED-1E3E-47ED-A920-CB5F4FF22847}" name="7540" dataDxfId="9070"/>
    <tableColumn id="7321" xr3:uid="{D8283166-93A9-430E-96E1-7707BF052361}" name="7541" dataDxfId="9069"/>
    <tableColumn id="7322" xr3:uid="{8961138E-B0DA-466A-AEEA-9792FE721A41}" name="7542" dataDxfId="9068"/>
    <tableColumn id="7323" xr3:uid="{72E96E23-CCEC-4268-A14F-96FC935E89B5}" name="7543" dataDxfId="9067"/>
    <tableColumn id="7324" xr3:uid="{C1B58C96-BF0C-432C-9778-305D450D2D5C}" name="7544" dataDxfId="9066"/>
    <tableColumn id="7325" xr3:uid="{98EDE7F7-664A-4BAE-B866-843D32671F69}" name="7545" dataDxfId="9065"/>
    <tableColumn id="7326" xr3:uid="{EACA8F3F-5019-4CA1-830F-E3DCFBD4168C}" name="7546" dataDxfId="9064"/>
    <tableColumn id="7327" xr3:uid="{5D695931-A319-4127-90AE-895E1E7AC507}" name="7547" dataDxfId="9063"/>
    <tableColumn id="7328" xr3:uid="{81648028-A863-4024-9794-0045BB216E7E}" name="7548" dataDxfId="9062"/>
    <tableColumn id="7329" xr3:uid="{E97A1176-1F66-4D81-BBC4-5F9386668F28}" name="7549" dataDxfId="9061"/>
    <tableColumn id="7330" xr3:uid="{33832AFE-CE4C-4BEF-AD64-58EEDF1FEBB8}" name="7550" dataDxfId="9060"/>
    <tableColumn id="7331" xr3:uid="{52628DD9-376F-46BA-8204-28DA1A3F108C}" name="7551" dataDxfId="9059"/>
    <tableColumn id="7332" xr3:uid="{40D8D7F3-8F7F-4376-BEAD-3B30CE28BDFE}" name="7552" dataDxfId="9058"/>
    <tableColumn id="7333" xr3:uid="{CBD23DC4-B5C0-4D67-8DAE-46E3FA10A7FA}" name="7553" dataDxfId="9057"/>
    <tableColumn id="7334" xr3:uid="{62B83717-396C-4FD2-99AA-37D0F614CD1A}" name="7554" dataDxfId="9056"/>
    <tableColumn id="7335" xr3:uid="{7B41595B-DC5D-4212-BC1D-62A93FF91A61}" name="7555" dataDxfId="9055"/>
    <tableColumn id="7336" xr3:uid="{86DED301-BAFC-460D-821E-9D7970233232}" name="7556" dataDxfId="9054"/>
    <tableColumn id="7337" xr3:uid="{DF56874E-D814-4C88-82B7-4D5F8B075DCA}" name="7557" dataDxfId="9053"/>
    <tableColumn id="7338" xr3:uid="{FC8C6B57-9823-42F0-BDB3-1B9D970D9219}" name="7558" dataDxfId="9052"/>
    <tableColumn id="7339" xr3:uid="{C843E38F-73BE-4152-B8CA-FFDA1F61D014}" name="7559" dataDxfId="9051"/>
    <tableColumn id="7340" xr3:uid="{81EA1D32-C246-4F1B-A843-B0E4F1535928}" name="7560" dataDxfId="9050"/>
    <tableColumn id="7341" xr3:uid="{C950C8FA-5922-474A-A7F5-C3A9026AD4AD}" name="7561" dataDxfId="9049"/>
    <tableColumn id="7342" xr3:uid="{648EB346-BAAB-4FEB-9F32-CE955C35FF74}" name="7562" dataDxfId="9048"/>
    <tableColumn id="7343" xr3:uid="{86298187-A4C9-457B-BBA1-E3CEDE4783E3}" name="7563" dataDxfId="9047"/>
    <tableColumn id="7344" xr3:uid="{CB822E25-4608-495B-989D-4E62F863751E}" name="7564" dataDxfId="9046"/>
    <tableColumn id="7345" xr3:uid="{73FDC0D5-2400-40D1-849F-5C1C66001DAF}" name="7565" dataDxfId="9045"/>
    <tableColumn id="7346" xr3:uid="{0B09423B-A072-4203-8E44-458A9CFE0E6B}" name="7566" dataDxfId="9044"/>
    <tableColumn id="7347" xr3:uid="{2D225E3F-A562-4660-A196-1069ADB1BDD9}" name="7567" dataDxfId="9043"/>
    <tableColumn id="7348" xr3:uid="{07429004-A36F-4085-884B-77CAEB78935B}" name="7568" dataDxfId="9042"/>
    <tableColumn id="7349" xr3:uid="{18562D36-8714-4330-A51F-96F491633E44}" name="7569" dataDxfId="9041"/>
    <tableColumn id="7350" xr3:uid="{5FD4EF27-5072-43DB-97C5-7EE410236C46}" name="7570" dataDxfId="9040"/>
    <tableColumn id="7351" xr3:uid="{6D0FEAE6-D967-49A0-85DF-A0202247B605}" name="7571" dataDxfId="9039"/>
    <tableColumn id="7352" xr3:uid="{C741C7AE-8E0D-45D5-88E8-5A49FDBEA041}" name="7572" dataDxfId="9038"/>
    <tableColumn id="7353" xr3:uid="{0EDCF774-8EB7-4201-8B96-0CDAC9538F1D}" name="7573" dataDxfId="9037"/>
    <tableColumn id="7354" xr3:uid="{008AFB3F-D263-40EB-B53F-FB96C50F7253}" name="7574" dataDxfId="9036"/>
    <tableColumn id="7355" xr3:uid="{B170507A-7C0D-40F9-A679-66CF9EEF9720}" name="7575" dataDxfId="9035"/>
    <tableColumn id="7356" xr3:uid="{55DFE782-B830-4544-AEB6-C266AA7A509D}" name="7576" dataDxfId="9034"/>
    <tableColumn id="7357" xr3:uid="{D82A4538-64B1-4117-8455-5BBA17F4A259}" name="7577" dataDxfId="9033"/>
    <tableColumn id="7358" xr3:uid="{3C82B0DC-CF5E-4670-B3B3-8BB6B57FAB8C}" name="7578" dataDxfId="9032"/>
    <tableColumn id="7359" xr3:uid="{33B4A2FD-CA87-41C1-B535-F99A9E7AC6EA}" name="7579" dataDxfId="9031"/>
    <tableColumn id="7360" xr3:uid="{4E0CA39E-A651-4082-946C-7D2403668D75}" name="7580" dataDxfId="9030"/>
    <tableColumn id="7361" xr3:uid="{AA4BF63F-AB75-4543-937E-8B16DB77C073}" name="7581" dataDxfId="9029"/>
    <tableColumn id="7362" xr3:uid="{95BB6653-8EDA-42A3-B7C0-FF6687EEB798}" name="7582" dataDxfId="9028"/>
    <tableColumn id="7363" xr3:uid="{8945ADAF-C569-4F72-A830-62742A3F099C}" name="7583" dataDxfId="9027"/>
    <tableColumn id="7364" xr3:uid="{20FD3DF3-1342-4219-ADC1-8C53588EB698}" name="7584" dataDxfId="9026"/>
    <tableColumn id="7365" xr3:uid="{CD374858-3B3D-4472-9C68-519F74CC83B4}" name="7585" dataDxfId="9025"/>
    <tableColumn id="7366" xr3:uid="{3209FEF3-71EE-4AC1-993D-51184A6F7681}" name="7586" dataDxfId="9024"/>
    <tableColumn id="7367" xr3:uid="{BDDFFDD4-A145-457F-A681-AF22B66EF18F}" name="7587" dataDxfId="9023"/>
    <tableColumn id="7368" xr3:uid="{8CA92D67-77AC-4FB7-A5FA-44744C7CF84D}" name="7588" dataDxfId="9022"/>
    <tableColumn id="7369" xr3:uid="{A5254575-B126-40F2-A09D-A651EFE162C0}" name="7589" dataDxfId="9021"/>
    <tableColumn id="7370" xr3:uid="{16BFF0F3-060C-4E39-BC24-00D742C7E00E}" name="7590" dataDxfId="9020"/>
    <tableColumn id="7371" xr3:uid="{ABBE0AAC-B7CB-43A4-BE2E-072D60B9904D}" name="7591" dataDxfId="9019"/>
    <tableColumn id="7372" xr3:uid="{0A5FB0D4-22C4-4138-80D8-32908E6F8F37}" name="7592" dataDxfId="9018"/>
    <tableColumn id="7373" xr3:uid="{9B234CE9-149C-4E81-90C3-C802F8C15235}" name="7593" dataDxfId="9017"/>
    <tableColumn id="7374" xr3:uid="{D4D1AC01-82CA-4339-A51A-80D5C3978BC0}" name="7594" dataDxfId="9016"/>
    <tableColumn id="7375" xr3:uid="{9B82034B-8574-4D4A-B4B2-67BE2E811BEC}" name="7595" dataDxfId="9015"/>
    <tableColumn id="7376" xr3:uid="{17E562A0-C5EC-4EE8-8B74-4A7F37BC4C05}" name="7596" dataDxfId="9014"/>
    <tableColumn id="7377" xr3:uid="{3B0CF6F2-B77A-4077-B075-2CE82BC229D9}" name="7597" dataDxfId="9013"/>
    <tableColumn id="7378" xr3:uid="{8E2EE43B-13C5-4013-8B33-6F0FD92EC614}" name="7598" dataDxfId="9012"/>
    <tableColumn id="7379" xr3:uid="{C53E157D-2D46-4F4D-9A0B-D34D24A19859}" name="7599" dataDxfId="9011"/>
    <tableColumn id="7380" xr3:uid="{597D1D7A-1630-4A64-A923-6740CDC3BEF5}" name="7600" dataDxfId="9010"/>
    <tableColumn id="7381" xr3:uid="{3301CD71-0A0C-4873-8FF6-CDB614FB5461}" name="7601" dataDxfId="9009"/>
    <tableColumn id="7382" xr3:uid="{DCC52D3C-88FD-4633-9D94-DC8E8CB4726E}" name="7602" dataDxfId="9008"/>
    <tableColumn id="7383" xr3:uid="{3700E423-F513-48EC-9FD9-B1682FA05086}" name="7603" dataDxfId="9007"/>
    <tableColumn id="7384" xr3:uid="{6AB07449-CC44-45BE-A044-9FD3BF5D9930}" name="7604" dataDxfId="9006"/>
    <tableColumn id="7385" xr3:uid="{E63656DD-B1CC-4C51-993A-E81ABE71963A}" name="7605" dataDxfId="9005"/>
    <tableColumn id="7386" xr3:uid="{3B288BB7-8980-4564-86C9-25ED7EE049B1}" name="7606" dataDxfId="9004"/>
    <tableColumn id="7387" xr3:uid="{3F1DD049-8B96-4011-A0C7-C8ECEACFB50D}" name="7607" dataDxfId="9003"/>
    <tableColumn id="7388" xr3:uid="{DDDCB06A-53B6-4394-A94F-3645230E644C}" name="7608" dataDxfId="9002"/>
    <tableColumn id="7389" xr3:uid="{9CF1F3A1-9D5B-4D1C-A575-16F28A24A7E4}" name="7609" dataDxfId="9001"/>
    <tableColumn id="7390" xr3:uid="{4887A884-14A7-4A03-9698-23589C1D65AD}" name="7610" dataDxfId="9000"/>
    <tableColumn id="7391" xr3:uid="{F783F126-1542-446A-A0C4-DCF1E7D182BD}" name="7611" dataDxfId="8999"/>
    <tableColumn id="7392" xr3:uid="{9FBEB236-BDA7-4CC7-92E6-0BA710BAA08B}" name="7612" dataDxfId="8998"/>
    <tableColumn id="7393" xr3:uid="{07B5E9E0-1948-43E6-A270-EBCEA98EF0D7}" name="7613" dataDxfId="8997"/>
    <tableColumn id="7394" xr3:uid="{6EEC7985-D435-4E32-A6B7-FAC20E704C24}" name="7614" dataDxfId="8996"/>
    <tableColumn id="7395" xr3:uid="{3F483579-A44A-4F74-85DF-ECB93049410D}" name="7615" dataDxfId="8995"/>
    <tableColumn id="7396" xr3:uid="{0E1EBBDD-9BF5-4EA5-8961-25B9AB115926}" name="7616" dataDxfId="8994"/>
    <tableColumn id="7397" xr3:uid="{4EF89834-FD57-4543-A70E-192F0E33246F}" name="7617" dataDxfId="8993"/>
    <tableColumn id="7398" xr3:uid="{96B0A808-A27E-48F5-8A4D-6593B16DE466}" name="7618" dataDxfId="8992"/>
    <tableColumn id="7399" xr3:uid="{C749F8EF-1A3E-44A8-A915-87D3C3E31906}" name="7619" dataDxfId="8991"/>
    <tableColumn id="7400" xr3:uid="{5D9A9C08-62F9-40B0-B9F9-B1CA9A01F503}" name="7620" dataDxfId="8990"/>
    <tableColumn id="7401" xr3:uid="{A0768EEE-8B6B-4563-9592-9A06572575B1}" name="7621" dataDxfId="8989"/>
    <tableColumn id="7402" xr3:uid="{337EC952-A57C-4FDA-B50C-5EEE0E5FBE15}" name="7622" dataDxfId="8988"/>
    <tableColumn id="7403" xr3:uid="{48945346-2CEB-4976-B401-FA8804599ECC}" name="7623" dataDxfId="8987"/>
    <tableColumn id="7404" xr3:uid="{FD3CACA8-3FDF-4AF9-BB35-30890EB33409}" name="7624" dataDxfId="8986"/>
    <tableColumn id="7405" xr3:uid="{22BDB9E8-C6DF-4C77-A2F3-6AC2CACA0E32}" name="7625" dataDxfId="8985"/>
    <tableColumn id="7406" xr3:uid="{9C41290D-8D18-455D-8056-556392A07C77}" name="7626" dataDxfId="8984"/>
    <tableColumn id="7407" xr3:uid="{875D2A1D-A4D8-4296-858F-02488778EBF6}" name="7627" dataDxfId="8983"/>
    <tableColumn id="7408" xr3:uid="{57A1AB01-A007-40FB-B161-C8A1E289251F}" name="7628" dataDxfId="8982"/>
    <tableColumn id="7409" xr3:uid="{A9F7B625-E915-43EE-B5EF-483F561F8704}" name="7629" dataDxfId="8981"/>
    <tableColumn id="7410" xr3:uid="{2BB11D94-1655-4DC1-835F-47D79DD3FC93}" name="7630" dataDxfId="8980"/>
    <tableColumn id="7411" xr3:uid="{67A099DB-8CEF-47E5-B4EE-E9F5E7A5E1F1}" name="7631" dataDxfId="8979"/>
    <tableColumn id="7412" xr3:uid="{84F3C702-0A62-421E-B1DA-90E05DD46AEA}" name="7632" dataDxfId="8978"/>
    <tableColumn id="7413" xr3:uid="{AC1C1E46-975C-4267-958D-7593C3279D5C}" name="7633" dataDxfId="8977"/>
    <tableColumn id="7414" xr3:uid="{93FDC025-FECD-44A4-ACE8-48A659984EF4}" name="7634" dataDxfId="8976"/>
    <tableColumn id="7415" xr3:uid="{C9068DFF-5E59-492B-82BE-210BD410BD53}" name="7635" dataDxfId="8975"/>
    <tableColumn id="7416" xr3:uid="{BBAEBD5F-1E83-40DF-80C6-2B6FC91AB202}" name="7636" dataDxfId="8974"/>
    <tableColumn id="7417" xr3:uid="{9CAED00D-DD17-4189-BA2D-BC059F281F29}" name="7637" dataDxfId="8973"/>
    <tableColumn id="7418" xr3:uid="{919483DB-8552-420C-ADA2-079226DB9A48}" name="7638" dataDxfId="8972"/>
    <tableColumn id="7419" xr3:uid="{FBD3942B-788A-47A4-A1A6-B41F680BFDEF}" name="7639" dataDxfId="8971"/>
    <tableColumn id="7420" xr3:uid="{6589AB22-FF7A-40A8-9CCC-C3BEC016BD7A}" name="7640" dataDxfId="8970"/>
    <tableColumn id="7421" xr3:uid="{EDF8275E-9812-41A9-8170-3701AD235A87}" name="7641" dataDxfId="8969"/>
    <tableColumn id="7422" xr3:uid="{3D2CB802-E681-4511-A023-9CF94D8849B3}" name="7642" dataDxfId="8968"/>
    <tableColumn id="7423" xr3:uid="{501B73D4-5DCA-4F1D-9EF5-E0A875F87520}" name="7643" dataDxfId="8967"/>
    <tableColumn id="7424" xr3:uid="{27558FEE-6F8E-4AEB-AEC9-C921FF42C6CE}" name="7644" dataDxfId="8966"/>
    <tableColumn id="7425" xr3:uid="{63F54F5E-BB85-4133-B497-E232BD0F17CB}" name="7645" dataDxfId="8965"/>
    <tableColumn id="7426" xr3:uid="{4B3BC5C1-066E-4E85-AC72-20CC11AF785A}" name="7646" dataDxfId="8964"/>
    <tableColumn id="7427" xr3:uid="{F2C10D68-B78D-4EDD-98BA-46726C8B2C60}" name="7647" dataDxfId="8963"/>
    <tableColumn id="7428" xr3:uid="{AC20FA71-C9B1-40F6-BD41-4AAFF0E2C0F5}" name="7648" dataDxfId="8962"/>
    <tableColumn id="7429" xr3:uid="{12E12117-1EFD-4ED4-8087-32BF3E67DB57}" name="7649" dataDxfId="8961"/>
    <tableColumn id="7430" xr3:uid="{AC58A451-1B80-482F-B139-8B8296F5E88F}" name="7650" dataDxfId="8960"/>
    <tableColumn id="7431" xr3:uid="{A8EEB057-4C28-434E-96BA-00BFE2A88F45}" name="7651" dataDxfId="8959"/>
    <tableColumn id="7432" xr3:uid="{6954FE9D-BC3C-4878-9EF9-EAA7C18BEC1C}" name="7652" dataDxfId="8958"/>
    <tableColumn id="7433" xr3:uid="{787BE4EF-7FF9-4D35-8268-6E74F2D5BEF2}" name="7653" dataDxfId="8957"/>
    <tableColumn id="7434" xr3:uid="{9C007706-C9B9-4E27-A103-61F541996744}" name="7654" dataDxfId="8956"/>
    <tableColumn id="7435" xr3:uid="{38B11A3A-C0AB-4CAA-BE3A-0E55080B43ED}" name="7655" dataDxfId="8955"/>
    <tableColumn id="7436" xr3:uid="{935595CD-72C6-49EC-9709-58C0618D74FF}" name="7656" dataDxfId="8954"/>
    <tableColumn id="7437" xr3:uid="{015F9446-5D9B-42E6-B088-085862117D4F}" name="7657" dataDxfId="8953"/>
    <tableColumn id="7438" xr3:uid="{1A7CD16B-5B42-4BB6-83DF-171753EBAEF2}" name="7658" dataDxfId="8952"/>
    <tableColumn id="7439" xr3:uid="{2D6C5424-8603-432A-93C2-376C0CBB1058}" name="7659" dataDxfId="8951"/>
    <tableColumn id="7440" xr3:uid="{300D4122-0B03-4527-A312-9A8D9C0FF7F0}" name="7660" dataDxfId="8950"/>
    <tableColumn id="7441" xr3:uid="{57E50C2B-4C0D-446C-AFC9-EC4E00B834D6}" name="7661" dataDxfId="8949"/>
    <tableColumn id="7442" xr3:uid="{744AE170-A4B4-4556-A5A1-36D769D5440B}" name="7662" dataDxfId="8948"/>
    <tableColumn id="7443" xr3:uid="{76EF51D4-2158-4BE6-A54A-26E7FD60FD93}" name="7663" dataDxfId="8947"/>
    <tableColumn id="7444" xr3:uid="{0D5BE184-B12C-4492-9E4D-7212290C710E}" name="7664" dataDxfId="8946"/>
    <tableColumn id="7445" xr3:uid="{45ACAE81-7806-410C-B144-D39747F07491}" name="7665" dataDxfId="8945"/>
    <tableColumn id="7446" xr3:uid="{6DEA6C93-99B8-4054-9312-201F2BF8E3EF}" name="7666" dataDxfId="8944"/>
    <tableColumn id="7447" xr3:uid="{D3B60246-9E23-4807-B176-51CFE7AA98DC}" name="7667" dataDxfId="8943"/>
    <tableColumn id="7448" xr3:uid="{9632C4E6-A8A1-468F-B154-9EBE02A6D0FB}" name="7668" dataDxfId="8942"/>
    <tableColumn id="7449" xr3:uid="{974C8C58-EF21-44E0-B61D-85E2D86043B2}" name="7669" dataDxfId="8941"/>
    <tableColumn id="7450" xr3:uid="{41D0E789-67BC-44FB-9AFF-D9614ECD162C}" name="7670" dataDxfId="8940"/>
    <tableColumn id="7451" xr3:uid="{F1E5ADC4-CA7A-4FEE-BFBB-7EC59D3684CA}" name="7671" dataDxfId="8939"/>
    <tableColumn id="7452" xr3:uid="{15372B48-7063-4B5A-84CE-6C4635E6CEE4}" name="7672" dataDxfId="8938"/>
    <tableColumn id="7453" xr3:uid="{B70F2E62-6DF2-49C2-80F7-F7EC5DB68C40}" name="7673" dataDxfId="8937"/>
    <tableColumn id="7454" xr3:uid="{1A744D6D-536B-4CA1-B7D9-3718161C3BC5}" name="7674" dataDxfId="8936"/>
    <tableColumn id="7455" xr3:uid="{64B80DDC-DB12-442F-82A0-E96DE53E5F98}" name="7675" dataDxfId="8935"/>
    <tableColumn id="7456" xr3:uid="{9909DEC4-0A8D-4392-B23F-A6A9D8EDAD25}" name="7676" dataDxfId="8934"/>
    <tableColumn id="7457" xr3:uid="{B27C3387-98A3-4585-9A0F-86081B3C124C}" name="7677" dataDxfId="8933"/>
    <tableColumn id="7458" xr3:uid="{F910D63D-9927-4C5A-A18F-842F1E657DA1}" name="7678" dataDxfId="8932"/>
    <tableColumn id="7459" xr3:uid="{A9B0C832-0BD8-4CFD-9E0E-CDB995F4EBB3}" name="7679" dataDxfId="8931"/>
    <tableColumn id="7460" xr3:uid="{BD17D079-C446-42BF-A8DE-09BEC5C77E67}" name="7680" dataDxfId="8930"/>
    <tableColumn id="7461" xr3:uid="{E8834BB9-3039-4264-9284-EA0173FCF9A2}" name="7681" dataDxfId="8929"/>
    <tableColumn id="7462" xr3:uid="{34F0CE0E-4FD1-4B07-A3BA-9A52F18C5EBD}" name="7682" dataDxfId="8928"/>
    <tableColumn id="7463" xr3:uid="{13D5ED1C-5B59-4EB6-B1A8-BCC97A864659}" name="7683" dataDxfId="8927"/>
    <tableColumn id="7464" xr3:uid="{AB5D61BD-2666-4EF9-8FEA-3DFB19F370DA}" name="7684" dataDxfId="8926"/>
    <tableColumn id="7465" xr3:uid="{018D2E6F-E684-4090-8ED1-4E8F7C7CE138}" name="7685" dataDxfId="8925"/>
    <tableColumn id="7466" xr3:uid="{95E1F469-1FB9-4EF7-9B32-ABD817B6783B}" name="7686" dataDxfId="8924"/>
    <tableColumn id="7467" xr3:uid="{4904B7A6-F994-4AAB-84D6-4F292261AC9D}" name="7687" dataDxfId="8923"/>
    <tableColumn id="7468" xr3:uid="{6D1ABFD0-0D1B-47B2-96CC-416D8653B873}" name="7688" dataDxfId="8922"/>
    <tableColumn id="7469" xr3:uid="{AB4A91F4-B167-4442-9911-8B0B2CB225F1}" name="7689" dataDxfId="8921"/>
    <tableColumn id="7470" xr3:uid="{C0A5AFC9-1901-467E-8D6B-AD82884F6386}" name="7690" dataDxfId="8920"/>
    <tableColumn id="7471" xr3:uid="{98F44BC9-D78B-40BA-AD48-2EFC1047B65B}" name="7691" dataDxfId="8919"/>
    <tableColumn id="7472" xr3:uid="{2632299B-0DC9-46DA-A555-A98ECF38E38F}" name="7692" dataDxfId="8918"/>
    <tableColumn id="7473" xr3:uid="{7C5B1D1E-C2F1-48A7-8531-066B8C142F2D}" name="7693" dataDxfId="8917"/>
    <tableColumn id="7474" xr3:uid="{FDADD703-D032-4729-9B01-F474669102DF}" name="7694" dataDxfId="8916"/>
    <tableColumn id="7475" xr3:uid="{A27CE90A-7A35-4CD7-B1AA-F009021F4C6A}" name="7695" dataDxfId="8915"/>
    <tableColumn id="7476" xr3:uid="{32006DA6-FC61-4EDD-A367-AEA62341A536}" name="7696" dataDxfId="8914"/>
    <tableColumn id="7477" xr3:uid="{1AAAEE77-36E4-4873-B696-F1C1DA0A7B31}" name="7697" dataDxfId="8913"/>
    <tableColumn id="7478" xr3:uid="{75CA2DB1-37C6-4185-9A6D-795017F7E1E5}" name="7698" dataDxfId="8912"/>
    <tableColumn id="7479" xr3:uid="{2FC030A9-A311-44F1-9E6A-A77DA873D827}" name="7699" dataDxfId="8911"/>
    <tableColumn id="7480" xr3:uid="{42DFE3F9-883A-4DE7-B6C7-4AA0C93E4265}" name="7700" dataDxfId="8910"/>
    <tableColumn id="7481" xr3:uid="{C94696DD-C927-4338-A858-4115BC6151FF}" name="7701" dataDxfId="8909"/>
    <tableColumn id="7482" xr3:uid="{97B7D146-5271-4FC9-9121-72C03C3C5EC1}" name="7702" dataDxfId="8908"/>
    <tableColumn id="7483" xr3:uid="{8541E2F9-389C-4545-A887-2F5124570632}" name="7703" dataDxfId="8907"/>
    <tableColumn id="7484" xr3:uid="{38B3FB9A-76EA-47BB-9177-545688DF2517}" name="7704" dataDxfId="8906"/>
    <tableColumn id="7485" xr3:uid="{2125B92E-908F-4535-9D1C-BACD45EFC794}" name="7705" dataDxfId="8905"/>
    <tableColumn id="7486" xr3:uid="{C853BDFD-88AF-40C6-86CE-32A3D417F7CC}" name="7706" dataDxfId="8904"/>
    <tableColumn id="7487" xr3:uid="{F2141684-D67C-4857-A5C5-16944136B252}" name="7707" dataDxfId="8903"/>
    <tableColumn id="7488" xr3:uid="{CA0E7CC0-4247-4FC6-BFB0-B533B66D18E5}" name="7708" dataDxfId="8902"/>
    <tableColumn id="7489" xr3:uid="{677AF3DB-1A1E-497E-9759-AF700E6A7228}" name="7709" dataDxfId="8901"/>
    <tableColumn id="7490" xr3:uid="{AC7C9A4B-CB9E-47CD-8396-2E48B88BA0E8}" name="7710" dataDxfId="8900"/>
    <tableColumn id="7491" xr3:uid="{A03B857B-78EF-43CA-80F0-69BE2C6909DD}" name="7711" dataDxfId="8899"/>
    <tableColumn id="7492" xr3:uid="{F1728151-0FF2-4346-ADD8-3A3829B3B6DF}" name="7712" dataDxfId="8898"/>
    <tableColumn id="7493" xr3:uid="{BE616066-B340-4845-81D2-017BED1853BC}" name="7713" dataDxfId="8897"/>
    <tableColumn id="7494" xr3:uid="{6D25A6AA-5251-4244-9E71-A5E730ABCA8B}" name="7714" dataDxfId="8896"/>
    <tableColumn id="7495" xr3:uid="{4326D297-C55B-4B5F-8D3E-77F9FCA32381}" name="7715" dataDxfId="8895"/>
    <tableColumn id="7496" xr3:uid="{575DF039-C78D-44A9-89C5-878DCDAF4B56}" name="7716" dataDxfId="8894"/>
    <tableColumn id="7497" xr3:uid="{E46DCE74-0A36-4129-925F-28623826CE5C}" name="7717" dataDxfId="8893"/>
    <tableColumn id="7498" xr3:uid="{15437BBC-D8AB-4DA4-ACF1-CA8D9408CFBB}" name="7718" dataDxfId="8892"/>
    <tableColumn id="7499" xr3:uid="{305151F5-5947-4105-B1CF-DB6FB2A6DF64}" name="7719" dataDxfId="8891"/>
    <tableColumn id="7500" xr3:uid="{888AC2B2-ABCD-4101-9FA6-7203EF651F73}" name="7720" dataDxfId="8890"/>
    <tableColumn id="7501" xr3:uid="{E569DDD1-58AB-46C7-8CDA-2193508AEA56}" name="7721" dataDxfId="8889"/>
    <tableColumn id="7502" xr3:uid="{BCD6CC7E-0BE4-4BC4-9E72-1CA5BCD3FD9C}" name="7722" dataDxfId="8888"/>
    <tableColumn id="7503" xr3:uid="{BBCDBA6B-C4DE-4449-8C77-018201621027}" name="7723" dataDxfId="8887"/>
    <tableColumn id="7504" xr3:uid="{2F6C2DFD-7F12-4730-9E5B-1FC873F1E8D8}" name="7724" dataDxfId="8886"/>
    <tableColumn id="7505" xr3:uid="{587B4AD2-D33F-4D4D-8571-63409A5314D3}" name="7725" dataDxfId="8885"/>
    <tableColumn id="7506" xr3:uid="{83FD414A-4614-4DF3-9C8B-006189ACC032}" name="7726" dataDxfId="8884"/>
    <tableColumn id="7507" xr3:uid="{A7E104DE-C346-4DE6-8A3C-ABD5C9E2111B}" name="7727" dataDxfId="8883"/>
    <tableColumn id="7508" xr3:uid="{04C560A7-A3F5-46F6-817C-1A9E08441D52}" name="7728" dataDxfId="8882"/>
    <tableColumn id="7509" xr3:uid="{1CDF11B4-1AAF-41C4-8DF7-4CAB6C3491CA}" name="7729" dataDxfId="8881"/>
    <tableColumn id="7510" xr3:uid="{10E7323F-FD43-466F-8A59-12E724413A17}" name="7730" dataDxfId="8880"/>
    <tableColumn id="7511" xr3:uid="{5619F663-BAB9-4AC1-8B91-61A5627B3DDD}" name="7731" dataDxfId="8879"/>
    <tableColumn id="7512" xr3:uid="{4DD9F216-10D0-4B3A-B7F8-3DABE9CF3320}" name="7732" dataDxfId="8878"/>
    <tableColumn id="7513" xr3:uid="{72BCFF11-1245-47D2-B8F1-0674887F89D4}" name="7733" dataDxfId="8877"/>
    <tableColumn id="7514" xr3:uid="{8348B2C0-B58F-472F-BBE6-846947BC2C81}" name="7734" dataDxfId="8876"/>
    <tableColumn id="7515" xr3:uid="{4EFFB73C-3F91-4D99-AF8F-09692C4F808D}" name="7735" dataDxfId="8875"/>
    <tableColumn id="7516" xr3:uid="{8461A868-D5B4-4A19-BF43-84FEE90D9253}" name="7736" dataDxfId="8874"/>
    <tableColumn id="7517" xr3:uid="{47DC2790-5B74-4440-93D7-75863B34CE56}" name="7737" dataDxfId="8873"/>
    <tableColumn id="7518" xr3:uid="{511FF89F-4276-419D-A99B-2E50F20E9096}" name="7738" dataDxfId="8872"/>
    <tableColumn id="7519" xr3:uid="{063F78F4-93EC-4BAE-8140-848BEF4BC079}" name="7739" dataDxfId="8871"/>
    <tableColumn id="7520" xr3:uid="{3AED2F92-A586-4BF3-93D5-65F5A9F6D6DD}" name="7740" dataDxfId="8870"/>
    <tableColumn id="7521" xr3:uid="{2B9D4DD3-2F12-47CC-B66A-533541554AE7}" name="7741" dataDxfId="8869"/>
    <tableColumn id="7522" xr3:uid="{840B7708-15BB-46B1-A5E0-70C60296B39A}" name="7742" dataDxfId="8868"/>
    <tableColumn id="7523" xr3:uid="{94DDF8F3-A1BB-455D-AC4A-FFDEC81637D7}" name="7743" dataDxfId="8867"/>
    <tableColumn id="7524" xr3:uid="{C77DC1B4-46D4-47C7-A1DF-AE425059FCD0}" name="7744" dataDxfId="8866"/>
    <tableColumn id="7525" xr3:uid="{3218B7F1-592E-4021-9D4F-B4138B2B99E3}" name="7745" dataDxfId="8865"/>
    <tableColumn id="7526" xr3:uid="{8E8A70CA-A2B0-43EC-98FC-F353739096A8}" name="7746" dataDxfId="8864"/>
    <tableColumn id="7527" xr3:uid="{A5ED22A6-2913-4994-8723-0A062FFC4C80}" name="7747" dataDxfId="8863"/>
    <tableColumn id="7528" xr3:uid="{225AB1EF-2E4C-4B52-99F0-38B977E203B1}" name="7748" dataDxfId="8862"/>
    <tableColumn id="7529" xr3:uid="{5D63901D-B30B-41D7-BDEE-CC9EE377976A}" name="7749" dataDxfId="8861"/>
    <tableColumn id="7530" xr3:uid="{A3598DC2-DDC3-4EEC-A7D2-7B419A5778E3}" name="7750" dataDxfId="8860"/>
    <tableColumn id="7531" xr3:uid="{3778EB04-EDD5-4347-835E-1BC009026801}" name="7751" dataDxfId="8859"/>
    <tableColumn id="7532" xr3:uid="{2B8AFFDF-BDEC-45B8-8856-7DE0F46D064F}" name="7752" dataDxfId="8858"/>
    <tableColumn id="7533" xr3:uid="{F3AAEA35-03C9-4EBA-8CDD-7484F3F9FC62}" name="7753" dataDxfId="8857"/>
    <tableColumn id="7534" xr3:uid="{55E09917-1273-42AE-B621-8B4C9A71DC5A}" name="7754" dataDxfId="8856"/>
    <tableColumn id="7535" xr3:uid="{09F4FDE1-B1B5-4D19-AC8D-19CD13BB6BDB}" name="7755" dataDxfId="8855"/>
    <tableColumn id="7536" xr3:uid="{6C9E5DC0-4523-4D5E-B698-8436F66C26D0}" name="7756" dataDxfId="8854"/>
    <tableColumn id="7537" xr3:uid="{4196CBC1-EBA4-4D0D-9476-FE3B4FF7996E}" name="7757" dataDxfId="8853"/>
    <tableColumn id="7538" xr3:uid="{D90E86F7-A50C-4B29-B09C-33166BC5FF8C}" name="7758" dataDxfId="8852"/>
    <tableColumn id="7539" xr3:uid="{8979AF0A-403C-4787-B289-82902E712715}" name="7759" dataDxfId="8851"/>
    <tableColumn id="7540" xr3:uid="{52D2E17D-E934-4C83-9BAC-04C483254050}" name="7760" dataDxfId="8850"/>
    <tableColumn id="7541" xr3:uid="{D195AA15-D642-4CEE-AC5C-69F8D013A6CB}" name="7761" dataDxfId="8849"/>
    <tableColumn id="7542" xr3:uid="{0EEEB67C-B300-4775-B551-FFC8C1966C32}" name="7762" dataDxfId="8848"/>
    <tableColumn id="7543" xr3:uid="{525FB403-A7E9-48FA-8499-F87815732AC3}" name="7763" dataDxfId="8847"/>
    <tableColumn id="7544" xr3:uid="{DFF94D26-3CAA-47D4-961B-FBEF13EF197E}" name="7764" dataDxfId="8846"/>
    <tableColumn id="7545" xr3:uid="{935F3631-2DD8-489E-98E3-7A2D4AF848AF}" name="7765" dataDxfId="8845"/>
    <tableColumn id="7546" xr3:uid="{86EF8BC5-3EEB-4232-95AD-1EF18EDA11EF}" name="7766" dataDxfId="8844"/>
    <tableColumn id="7547" xr3:uid="{FBB0392E-1052-4245-BF28-60B49936776E}" name="7767" dataDxfId="8843"/>
    <tableColumn id="7548" xr3:uid="{663A4494-D7BA-44C2-8FF7-2EC5EAAF1E0A}" name="7768" dataDxfId="8842"/>
    <tableColumn id="7549" xr3:uid="{060C75F5-8CE7-4D4E-B149-34C441586E4E}" name="7769" dataDxfId="8841"/>
    <tableColumn id="7550" xr3:uid="{A86F5B30-ECDA-4F11-8AFA-C0EE0A8C390E}" name="7770" dataDxfId="8840"/>
    <tableColumn id="7551" xr3:uid="{1E164B76-327A-42BA-8032-4DF7163A774C}" name="7771" dataDxfId="8839"/>
    <tableColumn id="7552" xr3:uid="{082D8C6F-564E-4E4C-997A-2C9CF1D2A8C2}" name="7772" dataDxfId="8838"/>
    <tableColumn id="7553" xr3:uid="{9073BBB7-9B7E-49FE-ADAD-F60EF017DEED}" name="7773" dataDxfId="8837"/>
    <tableColumn id="7554" xr3:uid="{CD64AD79-3DAA-42F7-A4C7-A23680D2984F}" name="7774" dataDxfId="8836"/>
    <tableColumn id="7555" xr3:uid="{50C0DBEF-4029-466F-8566-B8D6ABB6DC01}" name="7775" dataDxfId="8835"/>
    <tableColumn id="7556" xr3:uid="{03EB4934-C6C0-4882-970C-C0744F4804F0}" name="7776" dataDxfId="8834"/>
    <tableColumn id="7557" xr3:uid="{9A54643E-7856-4189-AFEA-83DAE3A4C2D2}" name="7777" dataDxfId="8833"/>
    <tableColumn id="7558" xr3:uid="{FCAF2761-8CB1-4CC6-BB7F-A222B680A98C}" name="7778" dataDxfId="8832"/>
    <tableColumn id="7559" xr3:uid="{5E0A1D02-47AC-439A-9E9B-ABACD977073D}" name="7779" dataDxfId="8831"/>
    <tableColumn id="7560" xr3:uid="{6BA95D1B-A2D2-465F-A4A7-60FD2D24E70B}" name="7780" dataDxfId="8830"/>
    <tableColumn id="7561" xr3:uid="{FD19C2F0-AF0D-43B7-AB4D-5C2868A733EE}" name="7781" dataDxfId="8829"/>
    <tableColumn id="7562" xr3:uid="{257FA503-0915-4850-BEB1-79D2A706DD46}" name="7782" dataDxfId="8828"/>
    <tableColumn id="7563" xr3:uid="{1A06B51A-142B-44D2-99E7-F470C50E3645}" name="7783" dataDxfId="8827"/>
    <tableColumn id="7564" xr3:uid="{EDE609D1-4E47-461B-866A-8E728C6A6303}" name="7784" dataDxfId="8826"/>
    <tableColumn id="7565" xr3:uid="{D9BDCE8F-5902-4C80-8747-AA26052492C1}" name="7785" dataDxfId="8825"/>
    <tableColumn id="7566" xr3:uid="{00DE060E-6608-4A36-B801-A55C7F6304C9}" name="7786" dataDxfId="8824"/>
    <tableColumn id="7567" xr3:uid="{0FF4C3B3-5014-4CBE-B822-8D48BE90FF64}" name="7787" dataDxfId="8823"/>
    <tableColumn id="7568" xr3:uid="{26032A14-AFDC-484F-810E-92A7A2224AFF}" name="7788" dataDxfId="8822"/>
    <tableColumn id="7569" xr3:uid="{BF129730-3962-4A0D-B1BC-EF70E9A7E54C}" name="7789" dataDxfId="8821"/>
    <tableColumn id="7570" xr3:uid="{E9961751-4A95-4CE7-892D-F233AD079DA0}" name="7790" dataDxfId="8820"/>
    <tableColumn id="7571" xr3:uid="{E3BD1F6B-F876-40F4-9838-65C09F73E834}" name="7791" dataDxfId="8819"/>
    <tableColumn id="7572" xr3:uid="{C7B679B0-B8B9-4AAC-A2F1-CA5B4C7E0749}" name="7792" dataDxfId="8818"/>
    <tableColumn id="7573" xr3:uid="{385994C4-5BD8-44C3-BA1B-947C9E93B11E}" name="7793" dataDxfId="8817"/>
    <tableColumn id="7574" xr3:uid="{AEF9395C-D4FC-4F5C-9412-A96FAF85EF20}" name="7794" dataDxfId="8816"/>
    <tableColumn id="7575" xr3:uid="{39A1B32F-2A3C-4178-B03F-3F6D8C488355}" name="7795" dataDxfId="8815"/>
    <tableColumn id="7576" xr3:uid="{18472E83-0ED2-42CD-87F3-441B15A995E0}" name="7796" dataDxfId="8814"/>
    <tableColumn id="7577" xr3:uid="{719BBD4D-E160-425B-8B2A-8ECE5754E9C6}" name="7797" dataDxfId="8813"/>
    <tableColumn id="7578" xr3:uid="{5EC29A70-1D03-4284-9949-505DA76CF710}" name="7798" dataDxfId="8812"/>
    <tableColumn id="7579" xr3:uid="{5B4E5085-5957-4827-8587-6D506C7DC5E0}" name="7799" dataDxfId="8811"/>
    <tableColumn id="7580" xr3:uid="{92220C9F-8FB2-45FD-AE7D-1E6045BA63B0}" name="7800" dataDxfId="8810"/>
    <tableColumn id="7581" xr3:uid="{D6850B51-A0B1-475D-A6BC-F51C92F45767}" name="7801" dataDxfId="8809"/>
    <tableColumn id="7582" xr3:uid="{17C55839-79BD-46DB-BCA8-540DA5ADE8D0}" name="7802" dataDxfId="8808"/>
    <tableColumn id="7583" xr3:uid="{66ABC3A9-6123-4E95-B8EF-8C0480527DE2}" name="7803" dataDxfId="8807"/>
    <tableColumn id="7584" xr3:uid="{44235F4F-2EDA-4757-9B0E-96E210E6CA61}" name="7804" dataDxfId="8806"/>
    <tableColumn id="7585" xr3:uid="{27A6D8A6-7749-414F-ACD2-1F3ACF9F1485}" name="7805" dataDxfId="8805"/>
    <tableColumn id="7586" xr3:uid="{0595AA3D-74D5-4CC2-B4B0-916564177A0D}" name="7806" dataDxfId="8804"/>
    <tableColumn id="7587" xr3:uid="{79B80BA8-6D6C-41CA-B576-06612BBEBBCB}" name="7807" dataDxfId="8803"/>
    <tableColumn id="7588" xr3:uid="{C79E9280-9A60-45D0-8B04-1832E1BDC968}" name="7808" dataDxfId="8802"/>
    <tableColumn id="7589" xr3:uid="{8DC50A24-A6AD-4899-82FE-C426DE61C9AC}" name="7809" dataDxfId="8801"/>
    <tableColumn id="7590" xr3:uid="{55CF157D-24EB-4687-8EC9-59E5A771D4AD}" name="7810" dataDxfId="8800"/>
    <tableColumn id="7591" xr3:uid="{00AF07CD-7D32-4447-A9C0-D0C122FA9052}" name="7811" dataDxfId="8799"/>
    <tableColumn id="7592" xr3:uid="{C85DFDFB-664B-488D-B4D7-942370B00974}" name="7812" dataDxfId="8798"/>
    <tableColumn id="7593" xr3:uid="{7CF8192C-83EF-4843-9770-5E2DD0C4858A}" name="7813" dataDxfId="8797"/>
    <tableColumn id="7594" xr3:uid="{5586F730-EBB3-470F-9A49-FABD4129F5A0}" name="7814" dataDxfId="8796"/>
    <tableColumn id="7595" xr3:uid="{925F54DB-9559-48CC-9CD8-2F30D454301C}" name="7815" dataDxfId="8795"/>
    <tableColumn id="7596" xr3:uid="{6FFE8784-D59B-470F-9636-6873C7DB51AC}" name="7816" dataDxfId="8794"/>
    <tableColumn id="7597" xr3:uid="{7D5853B6-4B99-4B5A-8E5C-3B6752F40A61}" name="7817" dataDxfId="8793"/>
    <tableColumn id="7598" xr3:uid="{9EA376FA-F54B-4F49-964B-E6AA41152E32}" name="7818" dataDxfId="8792"/>
    <tableColumn id="7599" xr3:uid="{C70F05BA-3935-4CAE-A566-5D4EE4FA62D4}" name="7819" dataDxfId="8791"/>
    <tableColumn id="7600" xr3:uid="{BAF98BA3-209C-48E8-8060-E05D0AB6D248}" name="7820" dataDxfId="8790"/>
    <tableColumn id="7601" xr3:uid="{3CD07D14-5B0B-49F2-896E-DD78E5B59431}" name="7821" dataDxfId="8789"/>
    <tableColumn id="7602" xr3:uid="{1DF3A0B1-235E-4A61-AB1A-AEF0C15A5994}" name="7822" dataDxfId="8788"/>
    <tableColumn id="7603" xr3:uid="{C99EE752-7FB5-42DD-847F-D9946D15A007}" name="7823" dataDxfId="8787"/>
    <tableColumn id="7604" xr3:uid="{005E6453-0B3D-49B0-828A-4D70C205C123}" name="7824" dataDxfId="8786"/>
    <tableColumn id="7605" xr3:uid="{0F8C1AC9-B738-44C9-B1CB-CCEF4421804F}" name="7825" dataDxfId="8785"/>
    <tableColumn id="7606" xr3:uid="{1D4F5E14-C0E4-4BA2-8D4E-3DA63BDF2F89}" name="7826" dataDxfId="8784"/>
    <tableColumn id="7607" xr3:uid="{45F901AF-E001-4601-8FAD-C579EBC4F7E2}" name="7827" dataDxfId="8783"/>
    <tableColumn id="7608" xr3:uid="{E1D1405E-A339-43E6-AEA9-EA227AF045DA}" name="7828" dataDxfId="8782"/>
    <tableColumn id="7609" xr3:uid="{E407E68E-CF7C-4694-AE5F-4CEF4421A78B}" name="7829" dataDxfId="8781"/>
    <tableColumn id="7610" xr3:uid="{40B62062-DFE7-415F-9F03-60311AE953AB}" name="7830" dataDxfId="8780"/>
    <tableColumn id="7611" xr3:uid="{AF283110-E7A4-4519-B401-B1939E460B21}" name="7831" dataDxfId="8779"/>
    <tableColumn id="7612" xr3:uid="{CD69117F-0915-4B7E-8A71-C117E64D2F44}" name="7832" dataDxfId="8778"/>
    <tableColumn id="7613" xr3:uid="{F07593C5-F4CA-432C-B7AD-5DFA33B51CE3}" name="7833" dataDxfId="8777"/>
    <tableColumn id="7614" xr3:uid="{CB98327A-3772-4488-B82F-BF02A51CA347}" name="7834" dataDxfId="8776"/>
    <tableColumn id="7615" xr3:uid="{F9BDB15A-DB0C-4323-B89E-E33770B4FAC8}" name="7835" dataDxfId="8775"/>
    <tableColumn id="7616" xr3:uid="{5302022E-F1CA-4FBB-8A9A-515E55FBAD28}" name="7836" dataDxfId="8774"/>
    <tableColumn id="7617" xr3:uid="{A2BC67AE-7C7F-45C2-B876-A07ECD5FF493}" name="7837" dataDxfId="8773"/>
    <tableColumn id="7618" xr3:uid="{B3CE72FA-8BE0-4921-9073-9BBB2B8DAC0F}" name="7838" dataDxfId="8772"/>
    <tableColumn id="7619" xr3:uid="{7C9864D5-14DE-47E7-992D-78FDEFD5BF85}" name="7839" dataDxfId="8771"/>
    <tableColumn id="7620" xr3:uid="{B804714B-5DF4-444E-8991-B1FA8F118054}" name="7840" dataDxfId="8770"/>
    <tableColumn id="7621" xr3:uid="{E7F031BC-D37A-4425-9D0A-34282CF2DE1E}" name="7841" dataDxfId="8769"/>
    <tableColumn id="7622" xr3:uid="{34BF6004-6A94-4384-B1B1-39A7E724F706}" name="7842" dataDxfId="8768"/>
    <tableColumn id="7623" xr3:uid="{68E08DA9-4329-4213-828F-0A8639028FCA}" name="7843" dataDxfId="8767"/>
    <tableColumn id="7624" xr3:uid="{37081C93-3993-43B7-8299-B048807BAB63}" name="7844" dataDxfId="8766"/>
    <tableColumn id="7625" xr3:uid="{C934B2A5-27B5-421A-8EB1-7CD081045E48}" name="7845" dataDxfId="8765"/>
    <tableColumn id="7626" xr3:uid="{D7DE78E2-CACB-49DE-8FF4-9BBEDF22A7C5}" name="7846" dataDxfId="8764"/>
    <tableColumn id="7627" xr3:uid="{B26EC468-BBC2-45B5-93F1-9E4037568910}" name="7847" dataDxfId="8763"/>
    <tableColumn id="7628" xr3:uid="{AB155B9B-EC2F-4A4D-9AC3-30E70A0360F9}" name="7848" dataDxfId="8762"/>
    <tableColumn id="7629" xr3:uid="{5ED80AC1-1B24-41E0-8855-138AF9CC4A78}" name="7849" dataDxfId="8761"/>
    <tableColumn id="7630" xr3:uid="{D52093DA-A6B1-4279-AAE1-878E24A21992}" name="7850" dataDxfId="8760"/>
    <tableColumn id="7631" xr3:uid="{766335DB-DC7A-4002-B7F7-2044538CAB1D}" name="7851" dataDxfId="8759"/>
    <tableColumn id="7632" xr3:uid="{9F6CDF42-0514-44B3-B684-130A320B54BF}" name="7852" dataDxfId="8758"/>
    <tableColumn id="7633" xr3:uid="{2A8987B6-F953-4234-B668-9783919AE4B1}" name="7853" dataDxfId="8757"/>
    <tableColumn id="7634" xr3:uid="{069254F1-BFAF-4C43-9C8B-EDA2FF117842}" name="7854" dataDxfId="8756"/>
    <tableColumn id="7635" xr3:uid="{2FDE40FA-2007-4CFC-A259-36ACE9271B77}" name="7855" dataDxfId="8755"/>
    <tableColumn id="7636" xr3:uid="{BE05FEFA-F082-49A4-A380-E4BBE8921CDF}" name="7856" dataDxfId="8754"/>
    <tableColumn id="7637" xr3:uid="{17F88BDF-739B-450C-BAAF-7D0D82626231}" name="7857" dataDxfId="8753"/>
    <tableColumn id="7638" xr3:uid="{48D26E94-3820-40D2-AC32-42BC5AD0F148}" name="7858" dataDxfId="8752"/>
    <tableColumn id="7639" xr3:uid="{5B50074A-8216-475B-9050-2978B1EF3B7E}" name="7859" dataDxfId="8751"/>
    <tableColumn id="7640" xr3:uid="{C21C388A-5971-4343-8FD6-EF3E0DCD0FFA}" name="7860" dataDxfId="8750"/>
    <tableColumn id="7641" xr3:uid="{D3C43618-4747-4A2B-8DA6-A6D34FA0C144}" name="7861" dataDxfId="8749"/>
    <tableColumn id="7642" xr3:uid="{A7BF2CB8-5C17-43BE-8DC8-038DF8D6CB64}" name="7862" dataDxfId="8748"/>
    <tableColumn id="7643" xr3:uid="{FF165C80-84FE-4FAF-9FEB-ED584827DC46}" name="7863" dataDxfId="8747"/>
    <tableColumn id="7644" xr3:uid="{603CD49C-AF49-4ED8-AB5C-01DBE63FEEF6}" name="7864" dataDxfId="8746"/>
    <tableColumn id="7645" xr3:uid="{46FD821A-4132-4E41-98C4-4A70E5EE2521}" name="7865" dataDxfId="8745"/>
    <tableColumn id="7646" xr3:uid="{D25C0847-C448-4458-8057-16C168B02332}" name="7866" dataDxfId="8744"/>
    <tableColumn id="7647" xr3:uid="{1DD23266-1902-4226-8236-D025817BEA2B}" name="7867" dataDxfId="8743"/>
    <tableColumn id="7648" xr3:uid="{DCE91724-AA06-4B64-9C15-1D86BD170129}" name="7868" dataDxfId="8742"/>
    <tableColumn id="7649" xr3:uid="{6246374F-45FA-4D06-9572-7C489F38965D}" name="7869" dataDxfId="8741"/>
    <tableColumn id="7650" xr3:uid="{71433DD8-481B-47F7-8BE2-8B99ECBFC194}" name="7870" dataDxfId="8740"/>
    <tableColumn id="7651" xr3:uid="{8F76CD6D-C2B7-42CB-BD80-DCF55B0EDD3C}" name="7871" dataDxfId="8739"/>
    <tableColumn id="7652" xr3:uid="{171E43FF-4A4C-4E1B-AF5A-DBD1B5EA296B}" name="7872" dataDxfId="8738"/>
    <tableColumn id="7653" xr3:uid="{8FB87D82-DE6C-4E39-8C4A-AD4F8B69F369}" name="7873" dataDxfId="8737"/>
    <tableColumn id="7654" xr3:uid="{D4428CEA-A9E3-42C8-9EEE-1A042EDF3C26}" name="7874" dataDxfId="8736"/>
    <tableColumn id="7655" xr3:uid="{1C844C5F-AA20-46D2-8D92-48E1187B39B5}" name="7875" dataDxfId="8735"/>
    <tableColumn id="7656" xr3:uid="{70786ECE-25E2-4C56-B1DC-643055D851B4}" name="7876" dataDxfId="8734"/>
    <tableColumn id="7657" xr3:uid="{EBE9AB49-DD91-4C3A-B081-A4E9566C40E8}" name="7877" dataDxfId="8733"/>
    <tableColumn id="7658" xr3:uid="{A920DF7B-E8C7-4503-BA4F-97627B3CB966}" name="7878" dataDxfId="8732"/>
    <tableColumn id="7659" xr3:uid="{6E6B6ED8-DD69-44C3-9656-4A2DE883E15E}" name="7879" dataDxfId="8731"/>
    <tableColumn id="7660" xr3:uid="{26F357DE-BC1B-43E2-8F34-BC7ECE4E0EDA}" name="7880" dataDxfId="8730"/>
    <tableColumn id="7661" xr3:uid="{04E7860D-B444-4AE9-B51B-10B2064E80B4}" name="7881" dataDxfId="8729"/>
    <tableColumn id="7662" xr3:uid="{3C6500F8-533B-4D7F-8624-B01CDEE80C3E}" name="7882" dataDxfId="8728"/>
    <tableColumn id="7663" xr3:uid="{ED6B9F65-F578-48BE-9980-8EB219506B39}" name="7883" dataDxfId="8727"/>
    <tableColumn id="7664" xr3:uid="{395A109B-1B78-43F3-A4DB-F763F03EE47B}" name="7884" dataDxfId="8726"/>
    <tableColumn id="7665" xr3:uid="{D3A5DAAA-6977-4BE8-8181-DBE15C7C977D}" name="7885" dataDxfId="8725"/>
    <tableColumn id="7666" xr3:uid="{F8ECCE5B-539A-49A7-A0C2-19BFF5493520}" name="7886" dataDxfId="8724"/>
    <tableColumn id="7667" xr3:uid="{903FFF3B-C165-49C4-B0B9-6A68CD3BB336}" name="7887" dataDxfId="8723"/>
    <tableColumn id="7668" xr3:uid="{A469257B-98B4-4FCC-8F8B-0CC088BFA44F}" name="7888" dataDxfId="8722"/>
    <tableColumn id="7669" xr3:uid="{67B5B8F9-53C0-4AC1-AE52-93E321A93EE3}" name="7889" dataDxfId="8721"/>
    <tableColumn id="7670" xr3:uid="{24C4F409-CA98-49FC-B566-28AC2A427FB8}" name="7890" dataDxfId="8720"/>
    <tableColumn id="7671" xr3:uid="{CF75416F-AE9D-4CAD-B4DB-B1737BE01650}" name="7891" dataDxfId="8719"/>
    <tableColumn id="7672" xr3:uid="{437D6779-8BB0-4AA3-B246-05FB9D203882}" name="7892" dataDxfId="8718"/>
    <tableColumn id="7673" xr3:uid="{F4BC2BD4-42EF-4E97-BDC7-884473C30435}" name="7893" dataDxfId="8717"/>
    <tableColumn id="7674" xr3:uid="{FCCE5754-3CAC-4DDA-B49F-0415D771AB6B}" name="7894" dataDxfId="8716"/>
    <tableColumn id="7675" xr3:uid="{ED69DD79-827C-4646-B672-46179908C09A}" name="7895" dataDxfId="8715"/>
    <tableColumn id="7676" xr3:uid="{BEB35223-FE39-4361-9A13-AEA88E1E589B}" name="7896" dataDxfId="8714"/>
    <tableColumn id="7677" xr3:uid="{B04172E0-89B2-4A23-8465-FA74B79E9773}" name="7897" dataDxfId="8713"/>
    <tableColumn id="7678" xr3:uid="{E463D28F-8E84-468E-9D07-C9A603C074DF}" name="7898" dataDxfId="8712"/>
    <tableColumn id="7679" xr3:uid="{6843BDD1-FE86-430F-AB78-E09A112AF435}" name="7899" dataDxfId="8711"/>
    <tableColumn id="7680" xr3:uid="{305000F2-79ED-4DD4-9EBB-1FD672F3A624}" name="7900" dataDxfId="8710"/>
    <tableColumn id="7681" xr3:uid="{C2C014A6-3750-4DEA-B869-1CD26AD19D4F}" name="7901" dataDxfId="8709"/>
    <tableColumn id="7682" xr3:uid="{9329FF36-F845-4C5B-AF12-1B6358A9595A}" name="7902" dataDxfId="8708"/>
    <tableColumn id="7683" xr3:uid="{3F707274-8C04-43CC-98C1-9EDA7923CD6B}" name="7903" dataDxfId="8707"/>
    <tableColumn id="7684" xr3:uid="{D21EF06D-15CB-427B-8A0E-148E5CFEDFA9}" name="7904" dataDxfId="8706"/>
    <tableColumn id="7685" xr3:uid="{52F6D440-6F71-43F1-B110-FDA26341C42B}" name="7905" dataDxfId="8705"/>
    <tableColumn id="7686" xr3:uid="{E9F164A5-BD3D-4289-A033-4D2C6C43EEB4}" name="7906" dataDxfId="8704"/>
    <tableColumn id="7687" xr3:uid="{FF892AB8-024F-482D-A719-7D7AC1435540}" name="7907" dataDxfId="8703"/>
    <tableColumn id="7688" xr3:uid="{942108DB-8BCB-44B4-B45F-905EFD82DEB9}" name="7908" dataDxfId="8702"/>
    <tableColumn id="7689" xr3:uid="{4FA575F4-4AE2-4D00-BBAE-245262CBC7B1}" name="7909" dataDxfId="8701"/>
    <tableColumn id="7690" xr3:uid="{E7C9906E-C0CB-4391-B251-D35A32055845}" name="7910" dataDxfId="8700"/>
    <tableColumn id="7691" xr3:uid="{1FA7B460-A7F0-489B-8D43-712003B1DF62}" name="7911" dataDxfId="8699"/>
    <tableColumn id="7692" xr3:uid="{67ACD8BC-B362-4F32-992A-DE1812395931}" name="7912" dataDxfId="8698"/>
    <tableColumn id="7693" xr3:uid="{DB7CC189-E877-4AFA-82AC-F3BCDEEA9ED1}" name="7913" dataDxfId="8697"/>
    <tableColumn id="7694" xr3:uid="{84A8F20F-F258-4313-9930-2DDBB3CB4EE6}" name="7914" dataDxfId="8696"/>
    <tableColumn id="7695" xr3:uid="{0D3F2CB2-296A-423B-AFD9-AE5CF305AC6E}" name="7915" dataDxfId="8695"/>
    <tableColumn id="7696" xr3:uid="{C319DCA7-DE14-4B3A-B263-B528114EE2BF}" name="7916" dataDxfId="8694"/>
    <tableColumn id="7697" xr3:uid="{4179F0F7-8857-4D4B-9B34-66322D5746C6}" name="7917" dataDxfId="8693"/>
    <tableColumn id="7698" xr3:uid="{D5B80C16-6503-41E9-B955-55AC3A2FC8C3}" name="7918" dataDxfId="8692"/>
    <tableColumn id="7699" xr3:uid="{428F69AE-E860-4006-93C4-ECF56DFE1388}" name="7919" dataDxfId="8691"/>
    <tableColumn id="7700" xr3:uid="{E1F68D56-B66E-49AE-94DB-AAE76F72E917}" name="7920" dataDxfId="8690"/>
    <tableColumn id="7701" xr3:uid="{751805DB-F430-4787-B869-CDFEF1F40658}" name="7921" dataDxfId="8689"/>
    <tableColumn id="7702" xr3:uid="{BCA68423-D217-4D04-9510-FBBAAF7A6693}" name="7922" dataDxfId="8688"/>
    <tableColumn id="7703" xr3:uid="{F2C33065-E7E0-4217-ABB3-5831A7176012}" name="7923" dataDxfId="8687"/>
    <tableColumn id="7704" xr3:uid="{30718BAE-FC11-4CD1-A37A-9F192EF4A90F}" name="7924" dataDxfId="8686"/>
    <tableColumn id="7705" xr3:uid="{60BDD10A-F07F-47EA-9A25-53CD70B54957}" name="7925" dataDxfId="8685"/>
    <tableColumn id="7706" xr3:uid="{63355440-A52F-4555-9A6A-E22B947AD6B7}" name="7926" dataDxfId="8684"/>
    <tableColumn id="7707" xr3:uid="{C155FF4D-9EBF-47DF-8386-0FE4CA3D8CD0}" name="7927" dataDxfId="8683"/>
    <tableColumn id="7708" xr3:uid="{269B9AD4-1A3E-441F-80EF-1631074F4ED6}" name="7928" dataDxfId="8682"/>
    <tableColumn id="7709" xr3:uid="{D1216F09-9E1E-4911-ABE0-07B35B478EED}" name="7929" dataDxfId="8681"/>
    <tableColumn id="7710" xr3:uid="{BFD5E17A-D059-4C3B-B2AF-DB1E1759B2D6}" name="7930" dataDxfId="8680"/>
    <tableColumn id="7711" xr3:uid="{D598D6F9-A678-41D1-92D8-CB9935178B22}" name="7931" dataDxfId="8679"/>
    <tableColumn id="7712" xr3:uid="{A1B7CE48-4B8A-449E-870F-8CA79A7E77B5}" name="7932" dataDxfId="8678"/>
    <tableColumn id="7713" xr3:uid="{8B6E7F60-7D2D-4415-B706-827DB80A9A24}" name="7933" dataDxfId="8677"/>
    <tableColumn id="7714" xr3:uid="{F2EB5F65-4ED6-45B4-A39F-298B770E6818}" name="7934" dataDxfId="8676"/>
    <tableColumn id="7715" xr3:uid="{16EF4FC6-F607-4CEA-9F6D-3DE737801B9D}" name="7935" dataDxfId="8675"/>
    <tableColumn id="7716" xr3:uid="{CF9669D2-E8DA-4440-B175-95ACAF343EB8}" name="7936" dataDxfId="8674"/>
    <tableColumn id="7717" xr3:uid="{956EE6FC-C610-477D-BF58-AA6E9B6EF92D}" name="7937" dataDxfId="8673"/>
    <tableColumn id="7718" xr3:uid="{2E6B7518-8657-4130-917E-31DAC5469589}" name="7938" dataDxfId="8672"/>
    <tableColumn id="7719" xr3:uid="{A3061C64-B4FF-43A8-A9FA-D7D501360343}" name="7939" dataDxfId="8671"/>
    <tableColumn id="7720" xr3:uid="{E59D858B-6AE8-48BA-9F15-15B2898D3ED4}" name="7940" dataDxfId="8670"/>
    <tableColumn id="7721" xr3:uid="{703CEA90-DC92-4326-8A02-3947AECE150F}" name="7941" dataDxfId="8669"/>
    <tableColumn id="7722" xr3:uid="{EEF6B0DB-9A03-4D1C-8A30-6D29DA4850AB}" name="7942" dataDxfId="8668"/>
    <tableColumn id="7723" xr3:uid="{79A55990-17AB-4AEB-A223-21BF3BB99A70}" name="7943" dataDxfId="8667"/>
    <tableColumn id="7724" xr3:uid="{3203DE3A-380C-4C30-9254-EB876515AF09}" name="7944" dataDxfId="8666"/>
    <tableColumn id="7725" xr3:uid="{C747F8FF-3680-4DD7-8C59-497350147683}" name="7945" dataDxfId="8665"/>
    <tableColumn id="7726" xr3:uid="{E4665B46-D6CC-4028-8BC3-826E77347D46}" name="7946" dataDxfId="8664"/>
    <tableColumn id="7727" xr3:uid="{BFC00034-0554-4D98-9021-96BCD7AB4A31}" name="7947" dataDxfId="8663"/>
    <tableColumn id="7728" xr3:uid="{567F1406-16D2-48D4-9CF1-7BBEC5E2B471}" name="7948" dataDxfId="8662"/>
    <tableColumn id="7729" xr3:uid="{9855D714-DAC8-45A7-AF79-2CC7C8564308}" name="7949" dataDxfId="8661"/>
    <tableColumn id="7730" xr3:uid="{EDD8ED65-5064-496A-9D3E-9CBA8727ECFE}" name="7950" dataDxfId="8660"/>
    <tableColumn id="7731" xr3:uid="{B30F8D2F-B678-4162-AB1A-9557D4F920F6}" name="7951" dataDxfId="8659"/>
    <tableColumn id="7732" xr3:uid="{B5915B48-F7D8-4B9E-BEC9-6F4C1E2410B9}" name="7952" dataDxfId="8658"/>
    <tableColumn id="7733" xr3:uid="{FF3FCC97-9247-4A75-9DCD-65EF7F4ED4D6}" name="7953" dataDxfId="8657"/>
    <tableColumn id="7734" xr3:uid="{464F6A3F-A958-42F8-8A59-72ED0B15BC34}" name="7954" dataDxfId="8656"/>
    <tableColumn id="7735" xr3:uid="{6BC6AA71-F6F0-4C2C-B81C-7377A0675BDA}" name="7955" dataDxfId="8655"/>
    <tableColumn id="7736" xr3:uid="{1D2F8E17-005E-4A95-9525-B17DCD390005}" name="7956" dataDxfId="8654"/>
    <tableColumn id="7737" xr3:uid="{C89695BF-9F1F-4A83-9941-328F293E62B7}" name="7957" dataDxfId="8653"/>
    <tableColumn id="7738" xr3:uid="{12281669-F3AA-4778-B099-F93A84834759}" name="7958" dataDxfId="8652"/>
    <tableColumn id="7739" xr3:uid="{B7C15EEF-EEB0-4CD0-9DA2-A9CDC5D9A5DA}" name="7959" dataDxfId="8651"/>
    <tableColumn id="7740" xr3:uid="{797499E7-7FD1-4C6F-BBD5-CE9E54D0A889}" name="7960" dataDxfId="8650"/>
    <tableColumn id="7741" xr3:uid="{F0231DC5-A05D-44F0-BC94-0BFBB0A02DB0}" name="7961" dataDxfId="8649"/>
    <tableColumn id="7742" xr3:uid="{10CD49E4-C380-442D-A4E3-72CC89A9FE2E}" name="7962" dataDxfId="8648"/>
    <tableColumn id="7743" xr3:uid="{44324C97-85FD-4542-AF23-47E09166999B}" name="7963" dataDxfId="8647"/>
    <tableColumn id="7744" xr3:uid="{9720D388-3387-4A7D-BC0B-CCE9AF795A6D}" name="7964" dataDxfId="8646"/>
    <tableColumn id="7745" xr3:uid="{869B12A2-F861-43D1-A59F-1BA7F477A33B}" name="7965" dataDxfId="8645"/>
    <tableColumn id="7746" xr3:uid="{CDDAAEF8-B0A7-44E8-A8D1-D79BF57787B4}" name="7966" dataDxfId="8644"/>
    <tableColumn id="7747" xr3:uid="{B899D8BF-155A-417B-A5A1-07C771DDFDBE}" name="7967" dataDxfId="8643"/>
    <tableColumn id="7748" xr3:uid="{062D5BAA-A1FC-42BF-BA4C-501514843092}" name="7968" dataDxfId="8642"/>
    <tableColumn id="7749" xr3:uid="{BFBD8FFF-1ED9-405B-A883-28F560E64ECA}" name="7969" dataDxfId="8641"/>
    <tableColumn id="7750" xr3:uid="{E4EB95F1-7F2F-4F41-96A8-5008A4B5E8FE}" name="7970" dataDxfId="8640"/>
    <tableColumn id="7751" xr3:uid="{E04D795B-BB69-4596-806E-4B7695A14E63}" name="7971" dataDxfId="8639"/>
    <tableColumn id="7752" xr3:uid="{F55E76F4-AF4C-4DA5-B026-EE5E895C3556}" name="7972" dataDxfId="8638"/>
    <tableColumn id="7753" xr3:uid="{A9E39A26-FA55-4ECF-8F0E-49E7A98E6683}" name="7973" dataDxfId="8637"/>
    <tableColumn id="7754" xr3:uid="{3AA67496-9DA1-4857-997B-A4D1EE7D8B64}" name="7974" dataDxfId="8636"/>
    <tableColumn id="7755" xr3:uid="{20F9C3FA-D748-4C83-BD29-A1D476BFA45C}" name="7975" dataDxfId="8635"/>
    <tableColumn id="7756" xr3:uid="{4B518668-F8C4-477E-A7A2-79C1619C96C6}" name="7976" dataDxfId="8634"/>
    <tableColumn id="7757" xr3:uid="{F10CE705-1EAA-4DBB-8B65-A2B61BD7A6E3}" name="7977" dataDxfId="8633"/>
    <tableColumn id="7758" xr3:uid="{6DDE8E25-5999-4B8B-B305-9F8B8A060E22}" name="7978" dataDxfId="8632"/>
    <tableColumn id="7759" xr3:uid="{AC1C7620-A553-427D-84C0-2C967A96B86D}" name="7979" dataDxfId="8631"/>
    <tableColumn id="7760" xr3:uid="{47C7E243-3FB6-496C-B599-119A55924238}" name="7980" dataDxfId="8630"/>
    <tableColumn id="7761" xr3:uid="{5F3AF46D-5BA2-4E18-B743-442B499FC576}" name="7981" dataDxfId="8629"/>
    <tableColumn id="7762" xr3:uid="{F8C5018D-CB99-4AB2-B76D-0E011965E356}" name="7982" dataDxfId="8628"/>
    <tableColumn id="7763" xr3:uid="{8ED69B90-6634-412B-8C87-85525F05E3DB}" name="7983" dataDxfId="8627"/>
    <tableColumn id="7764" xr3:uid="{87DC3721-65CD-428F-8580-34CCEE5ED9C9}" name="7984" dataDxfId="8626"/>
    <tableColumn id="7765" xr3:uid="{60ED1E92-D8DC-45E9-9C84-4FC1CAEEB0CB}" name="7985" dataDxfId="8625"/>
    <tableColumn id="7766" xr3:uid="{119FA56D-C891-4AE4-8F00-DEF79D1871D9}" name="7986" dataDxfId="8624"/>
    <tableColumn id="7767" xr3:uid="{71374140-8DBB-49EF-B151-03DE907E3FD4}" name="7987" dataDxfId="8623"/>
    <tableColumn id="7768" xr3:uid="{05640B28-68AF-4871-8DE4-AC4F0CF746A4}" name="7988" dataDxfId="8622"/>
    <tableColumn id="7769" xr3:uid="{D1535C16-2797-4D22-AB79-9494256A8175}" name="7989" dataDxfId="8621"/>
    <tableColumn id="7770" xr3:uid="{301602B3-37BC-4105-839D-9690A229BA62}" name="7990" dataDxfId="8620"/>
    <tableColumn id="7771" xr3:uid="{C337FAED-C43F-4B60-BED5-E077AD0E85EC}" name="7991" dataDxfId="8619"/>
    <tableColumn id="7772" xr3:uid="{C94501B2-C715-4038-9307-FF782B450F22}" name="7992" dataDxfId="8618"/>
    <tableColumn id="7773" xr3:uid="{7BAB44C5-9FCF-4525-9776-839FFD77F7CE}" name="7993" dataDxfId="8617"/>
    <tableColumn id="7774" xr3:uid="{E288DB92-A483-493D-9C36-2C4281721591}" name="7994" dataDxfId="8616"/>
    <tableColumn id="7775" xr3:uid="{61960648-0777-4955-BF53-3FFC4556D68B}" name="7995" dataDxfId="8615"/>
    <tableColumn id="7776" xr3:uid="{2FCB5BDF-F9EB-472F-A548-0F65E2BFE9A2}" name="7996" dataDxfId="8614"/>
    <tableColumn id="7777" xr3:uid="{91DEB640-DB60-4956-A648-283BAD4AF58C}" name="7997" dataDxfId="8613"/>
    <tableColumn id="7778" xr3:uid="{D39D77FF-B622-416E-AC8E-A79796B46073}" name="7998" dataDxfId="8612"/>
    <tableColumn id="7779" xr3:uid="{825E38D0-EA93-4DDA-B10F-745E5BC1111A}" name="7999" dataDxfId="8611"/>
    <tableColumn id="7780" xr3:uid="{BFD41898-D6ED-4AD0-AFE0-8FB314D04A66}" name="8000" dataDxfId="8610"/>
    <tableColumn id="7781" xr3:uid="{FD78C47E-A0DC-4D26-8ECF-AAE5BB353846}" name="8001" dataDxfId="8609"/>
    <tableColumn id="7782" xr3:uid="{150386AE-F1CB-47AF-BC94-BE9C805A2C57}" name="8002" dataDxfId="8608"/>
    <tableColumn id="7783" xr3:uid="{A82F6919-C7D5-4420-AFDC-026A578B1E1B}" name="8003" dataDxfId="8607"/>
    <tableColumn id="7784" xr3:uid="{F31B47C4-51D3-4959-8229-ECD1CE7A099B}" name="8004" dataDxfId="8606"/>
    <tableColumn id="7785" xr3:uid="{96BC2562-6FEA-4639-8BC3-91F3D1F54D99}" name="8005" dataDxfId="8605"/>
    <tableColumn id="7786" xr3:uid="{701B790A-F929-473C-9B14-D01C8655872F}" name="8006" dataDxfId="8604"/>
    <tableColumn id="7787" xr3:uid="{5ECA71BF-EBD1-4B3D-A708-9019373C3012}" name="8007" dataDxfId="8603"/>
    <tableColumn id="7788" xr3:uid="{761C3F92-4A63-41CE-942C-0F529E6101CF}" name="8008" dataDxfId="8602"/>
    <tableColumn id="7789" xr3:uid="{01B24844-CC04-41AE-B41E-055A525E83EF}" name="8009" dataDxfId="8601"/>
    <tableColumn id="7790" xr3:uid="{47589221-29CF-4096-8305-57ADABAF73AD}" name="8010" dataDxfId="8600"/>
    <tableColumn id="7791" xr3:uid="{EEF77FBF-CF21-4297-B6E7-4B2535C2717F}" name="8011" dataDxfId="8599"/>
    <tableColumn id="7792" xr3:uid="{6B2A6A84-A709-453E-8DE9-F6958E4FE03B}" name="8012" dataDxfId="8598"/>
    <tableColumn id="7793" xr3:uid="{A24C8351-E1F0-469E-9BDC-40BE53745B75}" name="8013" dataDxfId="8597"/>
    <tableColumn id="7794" xr3:uid="{CDAC2F00-BF5F-4B4B-AA14-2FF4ED733EAE}" name="8014" dataDxfId="8596"/>
    <tableColumn id="7795" xr3:uid="{D544F2AA-48E4-4128-9D89-DBB6B1F47C0F}" name="8015" dataDxfId="8595"/>
    <tableColumn id="7796" xr3:uid="{373045FB-4953-4230-9841-BF2A079E3044}" name="8016" dataDxfId="8594"/>
    <tableColumn id="7797" xr3:uid="{66C47ED5-CBA2-4D56-A625-E98DCA9C280B}" name="8017" dataDxfId="8593"/>
    <tableColumn id="7798" xr3:uid="{2A82D563-2337-4944-9B86-727BE1DCFB6E}" name="8018" dataDxfId="8592"/>
    <tableColumn id="7799" xr3:uid="{09AFC274-1603-40BC-82D3-6AF25A6ED691}" name="8019" dataDxfId="8591"/>
    <tableColumn id="7800" xr3:uid="{DD4902DC-3402-4F9D-B2CE-C082E44813E8}" name="8020" dataDxfId="8590"/>
    <tableColumn id="7801" xr3:uid="{CA756C95-7B14-423F-B6B7-14CCE6CF1D01}" name="8021" dataDxfId="8589"/>
    <tableColumn id="7802" xr3:uid="{ECCF841D-C48E-472F-8557-389972F82D3E}" name="8022" dataDxfId="8588"/>
    <tableColumn id="7803" xr3:uid="{7097AAA2-C66E-4295-A5F2-B2D19CBC6025}" name="8023" dataDxfId="8587"/>
    <tableColumn id="7804" xr3:uid="{63A78198-610E-42D9-A034-4EE699D7E8E0}" name="8024" dataDxfId="8586"/>
    <tableColumn id="7805" xr3:uid="{9ED58F63-AFE7-4B95-AB6F-36A265B74E21}" name="8025" dataDxfId="8585"/>
    <tableColumn id="7806" xr3:uid="{D3E4B0EC-3E2B-46AC-B389-92CAEC3BDBCB}" name="8026" dataDxfId="8584"/>
    <tableColumn id="7807" xr3:uid="{539D0549-F673-40D7-A6C6-8B5DCF9D9977}" name="8027" dataDxfId="8583"/>
    <tableColumn id="7808" xr3:uid="{D14705DF-A259-47BD-93F6-ECEAC2E40459}" name="8028" dataDxfId="8582"/>
    <tableColumn id="7809" xr3:uid="{F4897CD5-3E76-4BE4-ACCD-83625F53CB60}" name="8029" dataDxfId="8581"/>
    <tableColumn id="7810" xr3:uid="{89730547-B187-48EF-9E20-8FCEB5379573}" name="8030" dataDxfId="8580"/>
    <tableColumn id="7811" xr3:uid="{95470DCA-2ADF-4283-BBA6-96D09A371850}" name="8031" dataDxfId="8579"/>
    <tableColumn id="7812" xr3:uid="{92446785-46AF-492A-88AD-766F25163F6E}" name="8032" dataDxfId="8578"/>
    <tableColumn id="7813" xr3:uid="{812D713B-6D69-49DE-8481-EA78DB94DC28}" name="8033" dataDxfId="8577"/>
    <tableColumn id="7814" xr3:uid="{41369C97-03C4-4D4B-B631-E9026A9B855E}" name="8034" dataDxfId="8576"/>
    <tableColumn id="7815" xr3:uid="{7877ED3B-0EAA-4389-B646-08F0FE65394B}" name="8035" dataDxfId="8575"/>
    <tableColumn id="7816" xr3:uid="{9EBEF3A0-BA15-49A5-91B3-00ADA1C6A905}" name="8036" dataDxfId="8574"/>
    <tableColumn id="7817" xr3:uid="{486C0585-F96A-4FE1-99FD-FA14DC7C6E07}" name="8037" dataDxfId="8573"/>
    <tableColumn id="7818" xr3:uid="{F7ECE1DD-C339-407D-AD31-8A75D10605A9}" name="8038" dataDxfId="8572"/>
    <tableColumn id="7819" xr3:uid="{7520A731-9D64-4B13-9478-DAAC20768BFC}" name="8039" dataDxfId="8571"/>
    <tableColumn id="7820" xr3:uid="{E0144203-8B8C-4B79-A3A4-B62E224C0B86}" name="8040" dataDxfId="8570"/>
    <tableColumn id="7821" xr3:uid="{79897A56-7838-4019-BC9D-20A910A2E0A2}" name="8041" dataDxfId="8569"/>
    <tableColumn id="7822" xr3:uid="{7B24C291-1BFB-41E6-93C4-34A65274A955}" name="8042" dataDxfId="8568"/>
    <tableColumn id="7823" xr3:uid="{38F98061-5093-4EFF-8358-BB4363E59336}" name="8043" dataDxfId="8567"/>
    <tableColumn id="7824" xr3:uid="{12C642B9-01F6-4A43-A15E-F19FC16C12EF}" name="8044" dataDxfId="8566"/>
    <tableColumn id="7825" xr3:uid="{06A9CDC4-63CE-4E54-9D40-623C891DB083}" name="8045" dataDxfId="8565"/>
    <tableColumn id="7826" xr3:uid="{36DEC855-F5A8-4424-873C-B7BAA05177C5}" name="8046" dataDxfId="8564"/>
    <tableColumn id="7827" xr3:uid="{ED805708-8DC1-4E91-9F3D-4AD137DDCA6F}" name="8047" dataDxfId="8563"/>
    <tableColumn id="7828" xr3:uid="{11027EA8-C83A-4B60-B58A-9B14CB394DD7}" name="8048" dataDxfId="8562"/>
    <tableColumn id="7829" xr3:uid="{C8035F26-1542-4F68-85E1-1CB8AA034D5D}" name="8049" dataDxfId="8561"/>
    <tableColumn id="7830" xr3:uid="{EEDD7DE2-4F80-4A6C-8D07-9C5592391C2D}" name="8050" dataDxfId="8560"/>
    <tableColumn id="7831" xr3:uid="{01DB8F9E-768C-4BFD-8A0E-F9F9519BDF31}" name="8051" dataDxfId="8559"/>
    <tableColumn id="7832" xr3:uid="{A4BF87AE-D179-412B-9A46-D840D41A0E3A}" name="8052" dataDxfId="8558"/>
    <tableColumn id="7833" xr3:uid="{BF44E929-3C9C-405F-9A6C-3F00AB379C45}" name="8053" dataDxfId="8557"/>
    <tableColumn id="7834" xr3:uid="{6F1F6240-37AC-4C8E-9425-DAC85EA37F69}" name="8054" dataDxfId="8556"/>
    <tableColumn id="7835" xr3:uid="{A737E934-4D1C-48A6-BB79-AC26EB1741E6}" name="8055" dataDxfId="8555"/>
    <tableColumn id="7836" xr3:uid="{CBB81E07-E784-4252-AA36-89ADADEFCEFF}" name="8056" dataDxfId="8554"/>
    <tableColumn id="7837" xr3:uid="{2D286996-78B6-4A4A-99E1-03494A6689AC}" name="8057" dataDxfId="8553"/>
    <tableColumn id="7838" xr3:uid="{71A358A4-918D-4E4C-940A-D3C58B2E8BD5}" name="8058" dataDxfId="8552"/>
    <tableColumn id="7839" xr3:uid="{7532498D-345F-4DE7-8764-3FAAECABCAF8}" name="8059" dataDxfId="8551"/>
    <tableColumn id="7840" xr3:uid="{3884D399-1557-4062-8249-E11FDDDBAB3E}" name="8060" dataDxfId="8550"/>
    <tableColumn id="7841" xr3:uid="{9F264069-D14F-4002-8462-346317991C14}" name="8061" dataDxfId="8549"/>
    <tableColumn id="7842" xr3:uid="{1620948D-DE0C-4871-A7F9-5D753F0B7786}" name="8062" dataDxfId="8548"/>
    <tableColumn id="7843" xr3:uid="{49EBDDF6-710C-497A-A5C5-F5A920928829}" name="8063" dataDxfId="8547"/>
    <tableColumn id="7844" xr3:uid="{E7855C82-D30E-4D9D-81D9-413EDA3A3633}" name="8064" dataDxfId="8546"/>
    <tableColumn id="7845" xr3:uid="{BA600BD9-725D-48AD-9547-955412E08F34}" name="8065" dataDxfId="8545"/>
    <tableColumn id="7846" xr3:uid="{8895C779-A6EF-4FE8-AAEC-2BB0B925B52B}" name="8066" dataDxfId="8544"/>
    <tableColumn id="7847" xr3:uid="{704EF71B-4902-4A5D-A4D9-706EF2A10B74}" name="8067" dataDxfId="8543"/>
    <tableColumn id="7848" xr3:uid="{744234BE-F6B9-4BFD-9EAB-73EB1BAB5B89}" name="8068" dataDxfId="8542"/>
    <tableColumn id="7849" xr3:uid="{F5ECBFDD-B582-4267-B113-EE7CAE12D4B5}" name="8069" dataDxfId="8541"/>
    <tableColumn id="7850" xr3:uid="{0DBF0030-AFD2-4A5A-9C55-906F0F22BB77}" name="8070" dataDxfId="8540"/>
    <tableColumn id="7851" xr3:uid="{7B2146D0-3DF7-440D-832B-15A29BCA93E6}" name="8071" dataDxfId="8539"/>
    <tableColumn id="7852" xr3:uid="{49AEF297-DDAF-4015-919F-82D23412E810}" name="8072" dataDxfId="8538"/>
    <tableColumn id="7853" xr3:uid="{E786B1B0-5EE7-4D8E-8CFB-01E232AAE52F}" name="8073" dataDxfId="8537"/>
    <tableColumn id="7854" xr3:uid="{BD19CEA7-D238-4B27-84AD-319B826D3891}" name="8074" dataDxfId="8536"/>
    <tableColumn id="7855" xr3:uid="{9AE1EDE6-3405-41D4-900A-6907A461F5C6}" name="8075" dataDxfId="8535"/>
    <tableColumn id="7856" xr3:uid="{E12C8AA4-BD24-49DA-8F35-8C3E8FAA8656}" name="8076" dataDxfId="8534"/>
    <tableColumn id="7857" xr3:uid="{22267A9C-7F53-42BA-BFA9-26581275B721}" name="8077" dataDxfId="8533"/>
    <tableColumn id="7858" xr3:uid="{9F183FA8-BBB7-4A32-B14F-90963B80E703}" name="8078" dataDxfId="8532"/>
    <tableColumn id="7859" xr3:uid="{DB6D7B6A-05E4-4469-BB6D-EFFF6EA232A5}" name="8079" dataDxfId="8531"/>
    <tableColumn id="7860" xr3:uid="{3B542A43-B0B4-4816-AB59-5B2A8BABEBCB}" name="8080" dataDxfId="8530"/>
    <tableColumn id="7861" xr3:uid="{4D87992F-4E73-458A-A403-5873A5CF0BC1}" name="8081" dataDxfId="8529"/>
    <tableColumn id="7862" xr3:uid="{D05E2418-9ABF-4554-8C6C-8A02D18A1646}" name="8082" dataDxfId="8528"/>
    <tableColumn id="7863" xr3:uid="{276D77C4-4678-4E11-8F21-07117E264397}" name="8083" dataDxfId="8527"/>
    <tableColumn id="7864" xr3:uid="{72C2C321-FBFE-4D0A-A4EA-819E0806D5F4}" name="8084" dataDxfId="8526"/>
    <tableColumn id="7865" xr3:uid="{B178B368-8496-4F20-9131-FF3F89C93C18}" name="8085" dataDxfId="8525"/>
    <tableColumn id="7866" xr3:uid="{77758A8F-907E-4C2F-9EBA-98876FC757FA}" name="8086" dataDxfId="8524"/>
    <tableColumn id="7867" xr3:uid="{35454DAD-3CE6-4994-BC87-162785A8003F}" name="8087" dataDxfId="8523"/>
    <tableColumn id="7868" xr3:uid="{47BF6EA0-C1A3-41CD-A3F7-F4C9F60C0704}" name="8088" dataDxfId="8522"/>
    <tableColumn id="7869" xr3:uid="{6AB78393-9B24-4CF4-BC77-D6C368D82ED0}" name="8089" dataDxfId="8521"/>
    <tableColumn id="7870" xr3:uid="{FD3776CA-85D9-4907-981F-D1A03E29A4D5}" name="8090" dataDxfId="8520"/>
    <tableColumn id="7871" xr3:uid="{B3438643-EC98-4C3F-9B65-5774C9D89B9A}" name="8091" dataDxfId="8519"/>
    <tableColumn id="7872" xr3:uid="{6273C1F6-30E6-4135-AF85-80EA1B806AF5}" name="8092" dataDxfId="8518"/>
    <tableColumn id="7873" xr3:uid="{AC7613CE-5192-48CD-B3CC-FFF24A4E9D72}" name="8093" dataDxfId="8517"/>
    <tableColumn id="7874" xr3:uid="{AD9B0621-C3F6-466F-BA5D-9A34934A8EED}" name="8094" dataDxfId="8516"/>
    <tableColumn id="7875" xr3:uid="{9B53DF42-28F8-4902-84CF-241719B8E960}" name="8095" dataDxfId="8515"/>
    <tableColumn id="7876" xr3:uid="{EAD8E78B-B7BA-4776-B633-0B83CBA1F848}" name="8096" dataDxfId="8514"/>
    <tableColumn id="7877" xr3:uid="{51E37F63-9F50-4BC1-B675-8E19EB580BD0}" name="8097" dataDxfId="8513"/>
    <tableColumn id="7878" xr3:uid="{30F247AE-3490-43E8-9157-DC86309E0DD0}" name="8098" dataDxfId="8512"/>
    <tableColumn id="7879" xr3:uid="{C3F9C956-360B-49AB-A4DC-565FC229E23F}" name="8099" dataDxfId="8511"/>
    <tableColumn id="7880" xr3:uid="{8D4AA41D-42C6-44A1-8913-87F6C90B9C88}" name="8100" dataDxfId="8510"/>
    <tableColumn id="7881" xr3:uid="{C4CD40CA-59A5-422C-B375-372CA48CC6BC}" name="8101" dataDxfId="8509"/>
    <tableColumn id="7882" xr3:uid="{80590516-51C5-4531-B515-F4B953E3CADE}" name="8102" dataDxfId="8508"/>
    <tableColumn id="7883" xr3:uid="{7A4EA2E1-3F4A-41F0-B62A-4C3D67DA14A4}" name="8103" dataDxfId="8507"/>
    <tableColumn id="7884" xr3:uid="{CEDAF106-2B23-4357-B17E-9DF2A8E15B12}" name="8104" dataDxfId="8506"/>
    <tableColumn id="7885" xr3:uid="{C0FFEFC3-85FC-4D19-B3E9-63347239F9C6}" name="8105" dataDxfId="8505"/>
    <tableColumn id="7886" xr3:uid="{9F5EE76D-ED07-430E-947C-15CF8A36451C}" name="8106" dataDxfId="8504"/>
    <tableColumn id="7887" xr3:uid="{7844A7B7-8590-4808-A138-552BCF12D458}" name="8107" dataDxfId="8503"/>
    <tableColumn id="7888" xr3:uid="{87447558-85B3-4D3E-8545-8D8E9D4F1712}" name="8108" dataDxfId="8502"/>
    <tableColumn id="7889" xr3:uid="{956E1959-1D8C-4524-AD67-6741E8595718}" name="8109" dataDxfId="8501"/>
    <tableColumn id="7890" xr3:uid="{27E11C92-4CBE-4007-996C-A3CE674A5951}" name="8110" dataDxfId="8500"/>
    <tableColumn id="7891" xr3:uid="{22A3C364-74A5-4CF4-87AB-61C699B83980}" name="8111" dataDxfId="8499"/>
    <tableColumn id="7892" xr3:uid="{6B52A4BB-1326-458F-8DB0-EB7B2E949B14}" name="8112" dataDxfId="8498"/>
    <tableColumn id="7893" xr3:uid="{68C24080-E5F8-40E2-B4EB-1C7B733807BD}" name="8113" dataDxfId="8497"/>
    <tableColumn id="7894" xr3:uid="{0DB9BEA4-2D49-41CD-9BB6-9E7BBF29BF04}" name="8114" dataDxfId="8496"/>
    <tableColumn id="7895" xr3:uid="{B356F29B-0A09-4444-A975-374CC549261E}" name="8115" dataDxfId="8495"/>
    <tableColumn id="7896" xr3:uid="{0CCC8F44-EDDA-48F3-BF44-7B4D158FABB9}" name="8116" dataDxfId="8494"/>
    <tableColumn id="7897" xr3:uid="{CD28F3B4-2348-4EAA-A19C-A84AFDEE457B}" name="8117" dataDxfId="8493"/>
    <tableColumn id="7898" xr3:uid="{BB994751-5951-4BE9-A617-5D3386882C26}" name="8118" dataDxfId="8492"/>
    <tableColumn id="7899" xr3:uid="{18FF7933-5E94-4D13-8D02-9C4D8493A35B}" name="8119" dataDxfId="8491"/>
    <tableColumn id="7900" xr3:uid="{E0388E31-FC0B-4FAC-B50B-ED8BEA0AED14}" name="8120" dataDxfId="8490"/>
    <tableColumn id="7901" xr3:uid="{6EDAD1C9-D2B8-4F7C-8B70-A33F079DE810}" name="8121" dataDxfId="8489"/>
    <tableColumn id="7902" xr3:uid="{BCBD4C42-DC26-49C1-A189-8E1A5FF91DBF}" name="8122" dataDxfId="8488"/>
    <tableColumn id="7903" xr3:uid="{036D5B98-E24B-4147-81E2-FA6CAF9049C9}" name="8123" dataDxfId="8487"/>
    <tableColumn id="7904" xr3:uid="{B38ADC1A-FC4B-44E9-91A3-D374447D195B}" name="8124" dataDxfId="8486"/>
    <tableColumn id="7905" xr3:uid="{BF6932D7-4E18-484B-AD0D-C16FCD56D734}" name="8125" dataDxfId="8485"/>
    <tableColumn id="7906" xr3:uid="{9583140B-37BD-429E-985A-C18AC09344CE}" name="8126" dataDxfId="8484"/>
    <tableColumn id="7907" xr3:uid="{E12F5D88-E938-47C8-B7B6-13273514651E}" name="8127" dataDxfId="8483"/>
    <tableColumn id="7908" xr3:uid="{DB3698FE-A78A-422C-BFC6-3F8235D70E95}" name="8128" dataDxfId="8482"/>
    <tableColumn id="7909" xr3:uid="{5BFC015E-8129-475C-9D7E-99AACE3EC1E2}" name="8129" dataDxfId="8481"/>
    <tableColumn id="7910" xr3:uid="{A4186D40-0B13-4906-8087-7EEE99DF1C2A}" name="8130" dataDxfId="8480"/>
    <tableColumn id="7911" xr3:uid="{1392895F-86E9-42FD-8FB1-6A0A9C0823B3}" name="8131" dataDxfId="8479"/>
    <tableColumn id="7912" xr3:uid="{6C174F13-350D-4FB2-832A-D0227B23C089}" name="8132" dataDxfId="8478"/>
    <tableColumn id="7913" xr3:uid="{E293AD65-87D5-4B8E-8F73-65B5CDBD8FDB}" name="8133" dataDxfId="8477"/>
    <tableColumn id="7914" xr3:uid="{B1B45FE3-5A9B-4875-989E-7168AF7BE966}" name="8134" dataDxfId="8476"/>
    <tableColumn id="7915" xr3:uid="{5237A9A1-6101-41CD-A72D-3C97A96CBD10}" name="8135" dataDxfId="8475"/>
    <tableColumn id="7916" xr3:uid="{D62C8FE3-8BFE-4CFF-89B6-FED652DEF1CE}" name="8136" dataDxfId="8474"/>
    <tableColumn id="7917" xr3:uid="{7D01C8F4-57E6-44F8-B447-E15811049EAA}" name="8137" dataDxfId="8473"/>
    <tableColumn id="7918" xr3:uid="{E7A95760-E327-4043-ADFE-2D9F7C16CBE1}" name="8138" dataDxfId="8472"/>
    <tableColumn id="7919" xr3:uid="{D23C8AA8-B44C-4C30-9644-75C9933F1C88}" name="8139" dataDxfId="8471"/>
    <tableColumn id="7920" xr3:uid="{72684055-BB34-4BA6-B880-BC55D8677ACB}" name="8140" dataDxfId="8470"/>
    <tableColumn id="7921" xr3:uid="{30DF84AC-498E-44C1-9D5B-78E813D73023}" name="8141" dataDxfId="8469"/>
    <tableColumn id="7922" xr3:uid="{5A2105E8-C5A0-4C52-B3CC-2E61926771D5}" name="8142" dataDxfId="8468"/>
    <tableColumn id="7923" xr3:uid="{22BB97D2-D798-448E-800E-C2BD39FBF3D6}" name="8143" dataDxfId="8467"/>
    <tableColumn id="7924" xr3:uid="{9B0EBED1-3D7E-48C9-96F5-E0DFBB6E435C}" name="8144" dataDxfId="8466"/>
    <tableColumn id="7925" xr3:uid="{F4B818BD-9B41-416B-8E48-0ED0EE5D6912}" name="8145" dataDxfId="8465"/>
    <tableColumn id="7926" xr3:uid="{D96AF302-7BD9-4C62-983C-588209866B14}" name="8146" dataDxfId="8464"/>
    <tableColumn id="7927" xr3:uid="{7FE747C3-659C-4D3C-A247-FC7A5D1502BD}" name="8147" dataDxfId="8463"/>
    <tableColumn id="7928" xr3:uid="{5CD6085B-2D04-4562-9D97-2B26CF601190}" name="8148" dataDxfId="8462"/>
    <tableColumn id="7929" xr3:uid="{3527F39E-8232-4681-81A0-FE457A7F3827}" name="8149" dataDxfId="8461"/>
    <tableColumn id="7930" xr3:uid="{092F08B8-0CCE-4571-8F54-B56E93C43DDB}" name="8150" dataDxfId="8460"/>
    <tableColumn id="7931" xr3:uid="{9822A4BC-7322-4095-AFB8-BAEAC0717396}" name="8151" dataDxfId="8459"/>
    <tableColumn id="7932" xr3:uid="{28F10379-E5CE-4B53-8854-1E6D4781E6E7}" name="8152" dataDxfId="8458"/>
    <tableColumn id="7933" xr3:uid="{E1B36E32-BC8C-41BF-83FF-DF2DADFB9883}" name="8153" dataDxfId="8457"/>
    <tableColumn id="7934" xr3:uid="{42437355-F943-48FA-8BA9-E5A481BE5766}" name="8154" dataDxfId="8456"/>
    <tableColumn id="7935" xr3:uid="{05473740-3916-4E54-ADD0-5DC2488A1EB7}" name="8155" dataDxfId="8455"/>
    <tableColumn id="7936" xr3:uid="{F8B38DA4-9084-4922-AFA1-2C0EF4985189}" name="8156" dataDxfId="8454"/>
    <tableColumn id="7937" xr3:uid="{00562591-C131-40C9-A32A-ECB7675C9759}" name="8157" dataDxfId="8453"/>
    <tableColumn id="7938" xr3:uid="{D675CEE6-E8AC-485E-AA5A-5E2928057507}" name="8158" dataDxfId="8452"/>
    <tableColumn id="7939" xr3:uid="{DBDDF742-B9B8-4B1F-849F-C5F1F0D4CD2D}" name="8159" dataDxfId="8451"/>
    <tableColumn id="7940" xr3:uid="{03E01C31-3DDB-4656-B927-93B381EB29D2}" name="8160" dataDxfId="8450"/>
    <tableColumn id="7941" xr3:uid="{472F6F2F-448E-4A26-9537-E94A1D6F8FFD}" name="8161" dataDxfId="8449"/>
    <tableColumn id="7942" xr3:uid="{6888232A-C060-4C1C-ACA2-C124C1588A07}" name="8162" dataDxfId="8448"/>
    <tableColumn id="7943" xr3:uid="{FD4142E3-45D2-4355-B84A-56423AEF9B4C}" name="8163" dataDxfId="8447"/>
    <tableColumn id="7944" xr3:uid="{86036E4E-D494-4EDC-BECC-D170CB7F3CB4}" name="8164" dataDxfId="8446"/>
    <tableColumn id="7945" xr3:uid="{D0C269B9-E2D9-4204-8745-E519A0925C01}" name="8165" dataDxfId="8445"/>
    <tableColumn id="7946" xr3:uid="{82B84205-388B-43B9-80CF-AB82660BE8C5}" name="8166" dataDxfId="8444"/>
    <tableColumn id="7947" xr3:uid="{B9BEDF04-EB49-4CEA-AB71-DCA39C3AA29A}" name="8167" dataDxfId="8443"/>
    <tableColumn id="7948" xr3:uid="{9D0F205D-7CF9-439B-B981-660A5C6207EE}" name="8168" dataDxfId="8442"/>
    <tableColumn id="7949" xr3:uid="{B9BEB7DD-1BE7-40BA-8B24-E39D87DB864D}" name="8169" dataDxfId="8441"/>
    <tableColumn id="7950" xr3:uid="{CD6193A8-B423-41B9-9C76-3B2301F6A725}" name="8170" dataDxfId="8440"/>
    <tableColumn id="7951" xr3:uid="{444F056F-8D49-4B24-B611-B185AD43873B}" name="8171" dataDxfId="8439"/>
    <tableColumn id="7952" xr3:uid="{243A6116-2811-45B5-B119-215B1CAC1A5E}" name="8172" dataDxfId="8438"/>
    <tableColumn id="7953" xr3:uid="{6996C60D-68F8-4F45-A12C-6D163D21A7DC}" name="8173" dataDxfId="8437"/>
    <tableColumn id="7954" xr3:uid="{BE628651-6A11-439D-9C62-BE95C1826A50}" name="8174" dataDxfId="8436"/>
    <tableColumn id="7955" xr3:uid="{E5533EB3-6524-4590-8FB7-A358118D5CFC}" name="8175" dataDxfId="8435"/>
    <tableColumn id="7956" xr3:uid="{645076C5-45A2-4707-9994-EAD43DAF0A82}" name="8176" dataDxfId="8434"/>
    <tableColumn id="7957" xr3:uid="{534BC83F-1962-4233-83BE-6091AF5B2583}" name="8177" dataDxfId="8433"/>
    <tableColumn id="7958" xr3:uid="{248AA38E-9D42-431D-A562-66794D8339F6}" name="8178" dataDxfId="8432"/>
    <tableColumn id="7959" xr3:uid="{A371E038-0A9B-4376-9F31-65F722B81E1B}" name="8179" dataDxfId="8431"/>
    <tableColumn id="7960" xr3:uid="{D08B4CF4-CA49-4234-8470-3DCF9041F1A6}" name="8180" dataDxfId="8430"/>
    <tableColumn id="7961" xr3:uid="{6B930AE2-E792-4257-9B28-FD0D03AB9BCD}" name="8181" dataDxfId="8429"/>
    <tableColumn id="7962" xr3:uid="{6905DBF5-2E58-4539-AC3D-2A073C2F8EBA}" name="8182" dataDxfId="8428"/>
    <tableColumn id="7963" xr3:uid="{55BAB842-37DD-4401-A2B4-BFD2FFF90366}" name="8183" dataDxfId="8427"/>
    <tableColumn id="7964" xr3:uid="{73E14C88-8D5B-4508-9BCE-2090CD0C3CCD}" name="8184" dataDxfId="8426"/>
    <tableColumn id="7965" xr3:uid="{627913E3-FF44-4C62-B56A-DB143995B035}" name="8185" dataDxfId="8425"/>
    <tableColumn id="7966" xr3:uid="{F1E46418-31B7-482A-A573-CB472E06D6F1}" name="8186" dataDxfId="8424"/>
    <tableColumn id="7967" xr3:uid="{D38EF966-F930-40A3-B65B-F96B599FFEAE}" name="8187" dataDxfId="8423"/>
    <tableColumn id="7968" xr3:uid="{D0D3DEAC-4B42-4D4B-88BB-C4CCBE0DF097}" name="8188" dataDxfId="8422"/>
    <tableColumn id="7969" xr3:uid="{E036DAC8-69E9-45F9-B853-C5D815A3F1A2}" name="8189" dataDxfId="8421"/>
    <tableColumn id="7970" xr3:uid="{25A62C09-E272-4276-B35B-28F8CA9E65EF}" name="8190" dataDxfId="8420"/>
    <tableColumn id="7971" xr3:uid="{C1203FEA-78C3-4ED1-8C70-8765E8C8AAFE}" name="8191" dataDxfId="8419"/>
    <tableColumn id="7972" xr3:uid="{9397021A-9CD5-4F32-882B-DABEEDA7FF79}" name="8192" dataDxfId="8418"/>
    <tableColumn id="7973" xr3:uid="{793EF516-CB0A-403E-AC75-B89DDFD4F862}" name="8193" dataDxfId="8417"/>
    <tableColumn id="7974" xr3:uid="{36612E47-623D-4609-9A53-D8F3F3753AFF}" name="8194" dataDxfId="8416"/>
    <tableColumn id="7975" xr3:uid="{A095431D-1097-4A7B-B09F-3C21F31337A7}" name="8195" dataDxfId="8415"/>
    <tableColumn id="7976" xr3:uid="{206A1DA5-7EA9-48AF-9336-57FE80B51EDA}" name="8196" dataDxfId="8414"/>
    <tableColumn id="7977" xr3:uid="{858B47FD-E03B-486F-B93F-10EEDFD7F0AB}" name="8197" dataDxfId="8413"/>
    <tableColumn id="7978" xr3:uid="{9AD7E496-E652-42D9-82F8-ED57FC525EEE}" name="8198" dataDxfId="8412"/>
    <tableColumn id="7979" xr3:uid="{2212B77F-D363-4007-A415-D178D910E81D}" name="8199" dataDxfId="8411"/>
    <tableColumn id="7980" xr3:uid="{9C619EBD-311D-4354-9561-46EEBA0D1791}" name="8200" dataDxfId="8410"/>
    <tableColumn id="7981" xr3:uid="{1E6CCFE2-6CC0-4E73-9FFA-C84FD9185668}" name="8201" dataDxfId="8409"/>
    <tableColumn id="7982" xr3:uid="{A4F88F43-1E7B-49C6-A4EC-FBEC2EB54DBB}" name="8202" dataDxfId="8408"/>
    <tableColumn id="7983" xr3:uid="{5F7DEE35-590A-414A-A5F0-BA614C0104B7}" name="8203" dataDxfId="8407"/>
    <tableColumn id="7984" xr3:uid="{FBF7AEAA-7BF1-4D5E-8B64-94E16A6BA959}" name="8204" dataDxfId="8406"/>
    <tableColumn id="7985" xr3:uid="{0805316B-BA85-46B1-8412-B3EAC7BF9F48}" name="8205" dataDxfId="8405"/>
    <tableColumn id="7986" xr3:uid="{1B948561-6625-4ADF-BEEC-D9BA4F78A738}" name="8206" dataDxfId="8404"/>
    <tableColumn id="7987" xr3:uid="{62741486-F734-4274-BEF2-41B8EE1148B5}" name="8207" dataDxfId="8403"/>
    <tableColumn id="7988" xr3:uid="{A84A48AE-8AA4-4A1E-A9D0-972AD2130D52}" name="8208" dataDxfId="8402"/>
    <tableColumn id="7989" xr3:uid="{D107B69F-B656-4240-AFED-9FD4FEFCC9E4}" name="8209" dataDxfId="8401"/>
    <tableColumn id="7990" xr3:uid="{B134B983-2B9A-4A27-B1BD-4A88DBA5652A}" name="8210" dataDxfId="8400"/>
    <tableColumn id="7991" xr3:uid="{51BEB8D2-0DB6-43A2-8CF6-247E9B53FB84}" name="8211" dataDxfId="8399"/>
    <tableColumn id="7992" xr3:uid="{44662C85-1615-49EB-9DA1-B22D8B8E849E}" name="8212" dataDxfId="8398"/>
    <tableColumn id="7993" xr3:uid="{EE88DC46-4831-416D-B659-3A4F4435B051}" name="8213" dataDxfId="8397"/>
    <tableColumn id="7994" xr3:uid="{2A5382E0-5C55-44C0-9729-F3EF3D58F631}" name="8214" dataDxfId="8396"/>
    <tableColumn id="7995" xr3:uid="{D7D28C9D-EB79-48B2-B5D5-F4711CBF1D6F}" name="8215" dataDxfId="8395"/>
    <tableColumn id="7996" xr3:uid="{43613E65-E8B7-4985-A2CD-8ABD6211D674}" name="8216" dataDxfId="8394"/>
    <tableColumn id="7997" xr3:uid="{DDF8779C-35F3-461B-8FEA-B96D33C523CC}" name="8217" dataDxfId="8393"/>
    <tableColumn id="7998" xr3:uid="{76B75719-04EA-463F-8332-16CCCE812C44}" name="8218" dataDxfId="8392"/>
    <tableColumn id="7999" xr3:uid="{95BB51D0-A97A-48B3-9526-C72C6ADBB4BC}" name="8219" dataDxfId="8391"/>
    <tableColumn id="8000" xr3:uid="{5B67D69B-78E7-4E19-9271-C0F2896BCDF9}" name="8220" dataDxfId="8390"/>
    <tableColumn id="8001" xr3:uid="{ECA7E982-974F-415A-AA34-A1C1AD0C5856}" name="8221" dataDxfId="8389"/>
    <tableColumn id="8002" xr3:uid="{4D4BCC82-A0C3-403E-8F23-3E5930FE8EB5}" name="8222" dataDxfId="8388"/>
    <tableColumn id="8003" xr3:uid="{02B90BC8-4B46-4A81-A50C-1B294A78F170}" name="8223" dataDxfId="8387"/>
    <tableColumn id="8004" xr3:uid="{638CD201-E4B7-4099-BE89-712AB6571A02}" name="8224" dataDxfId="8386"/>
    <tableColumn id="8005" xr3:uid="{718B009C-5DE4-4E1C-9BB1-DF22F7638EEB}" name="8225" dataDxfId="8385"/>
    <tableColumn id="8006" xr3:uid="{554623D4-4DB0-444E-9B58-6A8A23CB6FF9}" name="8226" dataDxfId="8384"/>
    <tableColumn id="8007" xr3:uid="{1291D023-8BE3-48D2-A144-840E39B39DA4}" name="8227" dataDxfId="8383"/>
    <tableColumn id="8008" xr3:uid="{3B3D0E97-2503-42A5-BB5B-F53E8B6C7B31}" name="8228" dataDxfId="8382"/>
    <tableColumn id="8009" xr3:uid="{C9602774-F31B-4EE9-9AD7-45F2556F6A36}" name="8229" dataDxfId="8381"/>
    <tableColumn id="8010" xr3:uid="{9089A80C-FDB8-4C6E-9812-AB5F055FDF9B}" name="8230" dataDxfId="8380"/>
    <tableColumn id="8011" xr3:uid="{8F5AE96C-88E7-43B0-A25D-FD77E1D63519}" name="8231" dataDxfId="8379"/>
    <tableColumn id="8012" xr3:uid="{AD7BBFC5-A893-41FB-BE30-ECF3F708FA1B}" name="8232" dataDxfId="8378"/>
    <tableColumn id="8013" xr3:uid="{4F9E7C66-B75F-4BE8-AF3F-9F7C1BEC0862}" name="8233" dataDxfId="8377"/>
    <tableColumn id="8014" xr3:uid="{92264E33-9904-4CD7-9AF6-E32A16576E38}" name="8234" dataDxfId="8376"/>
    <tableColumn id="8015" xr3:uid="{EB191B8B-6987-4D2A-90F5-D47FF066A7F0}" name="8235" dataDxfId="8375"/>
    <tableColumn id="8016" xr3:uid="{538D4D9F-EFD8-49C7-A902-31DC9823A85A}" name="8236" dataDxfId="8374"/>
    <tableColumn id="8017" xr3:uid="{88210D5D-409E-4E85-B3F2-C4C7B92B7748}" name="8237" dataDxfId="8373"/>
    <tableColumn id="8018" xr3:uid="{281921EC-A29D-4F8E-AB56-13B53F6EF548}" name="8238" dataDxfId="8372"/>
    <tableColumn id="8019" xr3:uid="{D8EA99F7-D2D2-4DEA-A53C-850AAAE2C1A2}" name="8239" dataDxfId="8371"/>
    <tableColumn id="8020" xr3:uid="{2F3B888C-7DBA-4B92-8FAC-3EC45C0BC011}" name="8240" dataDxfId="8370"/>
    <tableColumn id="8021" xr3:uid="{9B1B9E16-2ABA-4AAA-8BE6-4AE473FEF3D1}" name="8241" dataDxfId="8369"/>
    <tableColumn id="8022" xr3:uid="{0D9ED77B-8D58-421C-B46C-87944623F71E}" name="8242" dataDxfId="8368"/>
    <tableColumn id="8023" xr3:uid="{4BF7A390-7E58-401F-B466-442C03FFEF94}" name="8243" dataDxfId="8367"/>
    <tableColumn id="8024" xr3:uid="{BCF3827D-CA49-44E1-BA57-D358C7B906D4}" name="8244" dataDxfId="8366"/>
    <tableColumn id="8025" xr3:uid="{2486B9E3-8FAA-44A2-89A2-5F9864B0D3C5}" name="8245" dataDxfId="8365"/>
    <tableColumn id="8026" xr3:uid="{71E9B3FF-13E7-4EE6-9AD7-61BCDCFBCB15}" name="8246" dataDxfId="8364"/>
    <tableColumn id="8027" xr3:uid="{AA2A76A6-0111-4BC2-967C-4BFB4BD1E3CC}" name="8247" dataDxfId="8363"/>
    <tableColumn id="8028" xr3:uid="{8392D30E-A082-418A-A542-50F5CF6E1E9C}" name="8248" dataDxfId="8362"/>
    <tableColumn id="8029" xr3:uid="{6DA41F7B-DB40-4A2F-ACA1-7BC133163E23}" name="8249" dataDxfId="8361"/>
    <tableColumn id="8030" xr3:uid="{FCB5591A-809A-4A6E-A42E-12D0CAECBE79}" name="8250" dataDxfId="8360"/>
    <tableColumn id="8031" xr3:uid="{15AC75E5-51DA-44E5-BC8E-0676A2122764}" name="8251" dataDxfId="8359"/>
    <tableColumn id="8032" xr3:uid="{9F4673AF-E2FE-4613-8864-2E2836DBD1AD}" name="8252" dataDxfId="8358"/>
    <tableColumn id="8033" xr3:uid="{683682C8-8669-44A0-AF0E-661564C0564F}" name="8253" dataDxfId="8357"/>
    <tableColumn id="8034" xr3:uid="{97E4D4F1-5CCA-4E80-B6A5-E4DBAC82C819}" name="8254" dataDxfId="8356"/>
    <tableColumn id="8035" xr3:uid="{6C91E99D-465C-4A8F-B0CA-E7FA5AC75E35}" name="8255" dataDxfId="8355"/>
    <tableColumn id="8036" xr3:uid="{812BF168-65FA-4E8C-B83A-619B05AE8C24}" name="8256" dataDxfId="8354"/>
    <tableColumn id="8037" xr3:uid="{EC83D6F8-47CD-4087-B879-0CCE22AB5431}" name="8257" dataDxfId="8353"/>
    <tableColumn id="8038" xr3:uid="{4877D46E-5890-4AAD-9A12-F381A1324846}" name="8258" dataDxfId="8352"/>
    <tableColumn id="8039" xr3:uid="{4AA58B1C-A25E-4736-81D7-98453E2252A2}" name="8259" dataDxfId="8351"/>
    <tableColumn id="8040" xr3:uid="{DF59A4D6-D237-44B7-9294-D608DCF88930}" name="8260" dataDxfId="8350"/>
    <tableColumn id="8041" xr3:uid="{16F58871-70EA-4A8B-BF05-46691FB2AF18}" name="8261" dataDxfId="8349"/>
    <tableColumn id="8042" xr3:uid="{2B7A5D3C-798E-4371-8689-DAB5C0066D1F}" name="8262" dataDxfId="8348"/>
    <tableColumn id="8043" xr3:uid="{55D25233-4856-4B78-A6D1-EC377A5A003B}" name="8263" dataDxfId="8347"/>
    <tableColumn id="8044" xr3:uid="{97B43E17-6CA0-453F-8298-B02690E51800}" name="8264" dataDxfId="8346"/>
    <tableColumn id="8045" xr3:uid="{F13C71E5-80FE-4903-A831-670987C6BAD0}" name="8265" dataDxfId="8345"/>
    <tableColumn id="8046" xr3:uid="{17BC9D88-701C-4711-9582-E96164A2752E}" name="8266" dataDxfId="8344"/>
    <tableColumn id="8047" xr3:uid="{1D8AFDF5-A751-4536-B399-4CC0AE949409}" name="8267" dataDxfId="8343"/>
    <tableColumn id="8048" xr3:uid="{5564B853-5305-4843-9486-6505959A9118}" name="8268" dataDxfId="8342"/>
    <tableColumn id="8049" xr3:uid="{591E2E88-FCD9-420F-8670-ABB3C0FB7F49}" name="8269" dataDxfId="8341"/>
    <tableColumn id="8050" xr3:uid="{C57BD8AF-6395-41EF-9990-3D919BD13E78}" name="8270" dataDxfId="8340"/>
    <tableColumn id="8051" xr3:uid="{D78536D3-7357-42DA-8A7C-533699FEB3F6}" name="8271" dataDxfId="8339"/>
    <tableColumn id="8052" xr3:uid="{FCB3CDE0-0560-4A18-ADDF-B7857F62BA5C}" name="8272" dataDxfId="8338"/>
    <tableColumn id="8053" xr3:uid="{6A681B1D-6EEF-4B4F-94CB-46B5FF9F1082}" name="8273" dataDxfId="8337"/>
    <tableColumn id="8054" xr3:uid="{A9713E07-B6FB-4D59-8D1C-C3DA7FFE703F}" name="8274" dataDxfId="8336"/>
    <tableColumn id="8055" xr3:uid="{3A2C28C3-D509-42B5-8B47-76662E77047F}" name="8275" dataDxfId="8335"/>
    <tableColumn id="8056" xr3:uid="{6731B602-23D6-4818-9500-7A081BD47C35}" name="8276" dataDxfId="8334"/>
    <tableColumn id="8057" xr3:uid="{952BB056-7C83-4D4E-8D45-FB005624A622}" name="8277" dataDxfId="8333"/>
    <tableColumn id="8058" xr3:uid="{5BB32CB8-3D53-49AC-B59E-ED2F5CC47AE8}" name="8278" dataDxfId="8332"/>
    <tableColumn id="8059" xr3:uid="{7B5403A3-774E-4556-B628-04E2D46F59B7}" name="8279" dataDxfId="8331"/>
    <tableColumn id="8060" xr3:uid="{8767B7C4-ED80-44BE-B4AD-776657108AD3}" name="8280" dataDxfId="8330"/>
    <tableColumn id="8061" xr3:uid="{0FC12D19-F037-43FA-B50D-0B03E610C22D}" name="8281" dataDxfId="8329"/>
    <tableColumn id="8062" xr3:uid="{9B54DA4B-87C2-4FDB-BF9D-A31E2F9DBC72}" name="8282" dataDxfId="8328"/>
    <tableColumn id="8063" xr3:uid="{9144DA4B-6294-4404-B08B-85E37B269CE0}" name="8283" dataDxfId="8327"/>
    <tableColumn id="8064" xr3:uid="{C33E6793-BC66-47F0-A267-F701429ACDC3}" name="8284" dataDxfId="8326"/>
    <tableColumn id="8065" xr3:uid="{51E19951-439F-4AC8-ADAE-78305557FBA0}" name="8285" dataDxfId="8325"/>
    <tableColumn id="8066" xr3:uid="{49458357-5970-4CC3-BDE6-D4D73E4FB881}" name="8286" dataDxfId="8324"/>
    <tableColumn id="8067" xr3:uid="{4DD1F40C-C19F-4025-A242-F7A1C41B7A05}" name="8287" dataDxfId="8323"/>
    <tableColumn id="8068" xr3:uid="{4B2DBC88-55C3-4E8D-93C0-4A5050CE805B}" name="8288" dataDxfId="8322"/>
    <tableColumn id="8069" xr3:uid="{2F6CDA83-028E-409B-8F7E-45297D8A903F}" name="8289" dataDxfId="8321"/>
    <tableColumn id="8070" xr3:uid="{C53ABD56-2167-4F1F-80FE-F18A762CCFF8}" name="8290" dataDxfId="8320"/>
    <tableColumn id="8071" xr3:uid="{26BF2BC9-0EDB-44ED-AE1E-49893991E78C}" name="8291" dataDxfId="8319"/>
    <tableColumn id="8072" xr3:uid="{6C855DCE-CA49-41BC-B4E6-93F1BE9494C1}" name="8292" dataDxfId="8318"/>
    <tableColumn id="8073" xr3:uid="{ED41227C-60F2-463E-9EDA-AA6CB6238AC9}" name="8293" dataDxfId="8317"/>
    <tableColumn id="8074" xr3:uid="{A020B886-CC1F-412D-A527-7CEF4E0E4309}" name="8294" dataDxfId="8316"/>
    <tableColumn id="8075" xr3:uid="{033798C6-7AA5-4FD0-AE08-A470C8402B57}" name="8295" dataDxfId="8315"/>
    <tableColumn id="8076" xr3:uid="{06A64008-C7FD-4C00-8135-6BD00AECE606}" name="8296" dataDxfId="8314"/>
    <tableColumn id="8077" xr3:uid="{C602A90D-29F9-40C4-92F6-AD8F304E2431}" name="8297" dataDxfId="8313"/>
    <tableColumn id="8078" xr3:uid="{301E687F-3A27-44B2-9F80-83CA17BD240A}" name="8298" dataDxfId="8312"/>
    <tableColumn id="8079" xr3:uid="{6F33579B-75A0-482A-90ED-73F01F588B0C}" name="8299" dataDxfId="8311"/>
    <tableColumn id="8080" xr3:uid="{4E7DDD25-4F6E-46CB-AFE7-31A6D137BF3D}" name="8300" dataDxfId="8310"/>
    <tableColumn id="8081" xr3:uid="{C32EAE06-B18C-49D9-8865-3DA981AE658B}" name="8301" dataDxfId="8309"/>
    <tableColumn id="8082" xr3:uid="{8B3EC285-FCFB-4183-BFC3-CD8FA504566C}" name="8302" dataDxfId="8308"/>
    <tableColumn id="8083" xr3:uid="{B354D20E-C0E9-4334-B617-FB884556F837}" name="8303" dataDxfId="8307"/>
    <tableColumn id="8084" xr3:uid="{8FFBE84C-09F5-4749-A188-4BACF19BB531}" name="8304" dataDxfId="8306"/>
    <tableColumn id="8085" xr3:uid="{A495DD1D-DFA1-4CA6-85AD-119DAA1ED88F}" name="8305" dataDxfId="8305"/>
    <tableColumn id="8086" xr3:uid="{2DDC788D-0E55-49EF-A44C-9A8CDB4134C7}" name="8306" dataDxfId="8304"/>
    <tableColumn id="8087" xr3:uid="{0C4A9F79-345B-447D-9A5B-BA479ADFD794}" name="8307" dataDxfId="8303"/>
    <tableColumn id="8088" xr3:uid="{425F37B2-57F9-4297-8361-A78C3B87ABCC}" name="8308" dataDxfId="8302"/>
    <tableColumn id="8089" xr3:uid="{0CB0745A-4EFD-456B-BC27-04FC05D958F3}" name="8309" dataDxfId="8301"/>
    <tableColumn id="8090" xr3:uid="{000B11CC-44F7-4558-8DA3-88983F6196F9}" name="8310" dataDxfId="8300"/>
    <tableColumn id="8091" xr3:uid="{22573C5A-72F0-4F10-B121-018170026EBC}" name="8311" dataDxfId="8299"/>
    <tableColumn id="8092" xr3:uid="{93FE8C1C-0081-43D9-8964-928FD9A7B93C}" name="8312" dataDxfId="8298"/>
    <tableColumn id="8093" xr3:uid="{2178AF3D-150E-4BC2-9C6A-1A4B8C9A053F}" name="8313" dataDxfId="8297"/>
    <tableColumn id="8094" xr3:uid="{8AFB20A2-6E02-4A88-98B1-F130D89E1198}" name="8314" dataDxfId="8296"/>
    <tableColumn id="8095" xr3:uid="{B695D811-51E2-4EC5-BFB2-9C101F7E0E48}" name="8315" dataDxfId="8295"/>
    <tableColumn id="8096" xr3:uid="{0BD10C05-B7D9-4AC8-84D4-93A0B84199D4}" name="8316" dataDxfId="8294"/>
    <tableColumn id="8097" xr3:uid="{15A69ACC-5880-491C-BE01-457583E516A7}" name="8317" dataDxfId="8293"/>
    <tableColumn id="8098" xr3:uid="{A2151467-90A2-4AC9-A414-7820A6DDF638}" name="8318" dataDxfId="8292"/>
    <tableColumn id="8099" xr3:uid="{6CAA384A-4E50-4DC8-ACE6-E44AE63A4CD1}" name="8319" dataDxfId="8291"/>
    <tableColumn id="8100" xr3:uid="{B2C6A074-06FD-4F1D-A725-C8B1C682C761}" name="8320" dataDxfId="8290"/>
    <tableColumn id="8101" xr3:uid="{BF1ABB2E-EF94-4D57-BF16-87FAE54CFFBA}" name="8321" dataDxfId="8289"/>
    <tableColumn id="8102" xr3:uid="{58B4E433-1C21-45EA-9922-293F5727EF25}" name="8322" dataDxfId="8288"/>
    <tableColumn id="8103" xr3:uid="{5F711AB8-158B-4942-AE87-42256C21C596}" name="8323" dataDxfId="8287"/>
    <tableColumn id="8104" xr3:uid="{9800B000-EA3E-45F0-8AAE-C04FFBCFB28D}" name="8324" dataDxfId="8286"/>
    <tableColumn id="8105" xr3:uid="{91846D81-FE4D-4F33-8B68-A476EAA86651}" name="8325" dataDxfId="8285"/>
    <tableColumn id="8106" xr3:uid="{885F4BD0-B6C5-4C7D-BF4A-5D99014A7C23}" name="8326" dataDxfId="8284"/>
    <tableColumn id="8107" xr3:uid="{0D53654B-EEF7-45BA-A180-B8AEC6064E6C}" name="8327" dataDxfId="8283"/>
    <tableColumn id="8108" xr3:uid="{E3BC6F21-28F9-4E2B-A862-003CA362D0B6}" name="8328" dataDxfId="8282"/>
    <tableColumn id="8109" xr3:uid="{E012A6C7-90C6-4A4E-9DDA-C19F7F30FF37}" name="8329" dataDxfId="8281"/>
    <tableColumn id="8110" xr3:uid="{A4E42CFF-A5EC-487C-AF15-E5F65E4A306A}" name="8330" dataDxfId="8280"/>
    <tableColumn id="8111" xr3:uid="{5C067C6B-34E3-453C-9A7E-E3488A3977A0}" name="8331" dataDxfId="8279"/>
    <tableColumn id="8112" xr3:uid="{DAE28511-C193-42B4-BEE9-996F1CA4567E}" name="8332" dataDxfId="8278"/>
    <tableColumn id="8113" xr3:uid="{2E9CB2E0-E28C-4AA1-9581-DF7D1B8B28B6}" name="8333" dataDxfId="8277"/>
    <tableColumn id="8114" xr3:uid="{186C98CB-46B0-4A7B-BDBD-AC9ACA34650A}" name="8334" dataDxfId="8276"/>
    <tableColumn id="8115" xr3:uid="{BDA24557-CF09-4880-9AA1-D3B84FA1DDD2}" name="8335" dataDxfId="8275"/>
    <tableColumn id="8116" xr3:uid="{BA7B38BB-3931-44C5-9C35-D5C9E4CC858D}" name="8336" dataDxfId="8274"/>
    <tableColumn id="8117" xr3:uid="{AE6D5E20-AB41-4508-BAE1-11527BDEEA21}" name="8337" dataDxfId="8273"/>
    <tableColumn id="8118" xr3:uid="{AAE84189-57DB-44D4-A0FA-0E7377ABB046}" name="8338" dataDxfId="8272"/>
    <tableColumn id="8119" xr3:uid="{42CC0A53-95D0-4A66-93B6-CBDDE42DC655}" name="8339" dataDxfId="8271"/>
    <tableColumn id="8120" xr3:uid="{A4372D42-E8ED-4AE1-AE06-FA12E554BFDD}" name="8340" dataDxfId="8270"/>
    <tableColumn id="8121" xr3:uid="{CF84DBFB-B04D-47F3-8784-6BEBE5307D11}" name="8341" dataDxfId="8269"/>
    <tableColumn id="8122" xr3:uid="{B04CFFCD-4899-4F92-8BC7-B94B7D9A2BA2}" name="8342" dataDxfId="8268"/>
    <tableColumn id="8123" xr3:uid="{4F0BD22B-D308-4327-AD4E-29244DAD6451}" name="8343" dataDxfId="8267"/>
    <tableColumn id="8124" xr3:uid="{E52881C7-C821-4FE5-BF8E-411BEDEEAEA0}" name="8344" dataDxfId="8266"/>
    <tableColumn id="8125" xr3:uid="{B06034EB-E4DB-4344-AF47-129D09E68103}" name="8345" dataDxfId="8265"/>
    <tableColumn id="8126" xr3:uid="{D795B362-8AC1-4F98-ACED-FC86AF6554B0}" name="8346" dataDxfId="8264"/>
    <tableColumn id="8127" xr3:uid="{3A9685C2-9D0E-41C2-B579-93ADC119DC40}" name="8347" dataDxfId="8263"/>
    <tableColumn id="8128" xr3:uid="{7C779757-39CD-4F17-8D33-5A8F4A0738BC}" name="8348" dataDxfId="8262"/>
    <tableColumn id="8129" xr3:uid="{4024D136-0C7B-4379-9C7A-5F05A6DF25EE}" name="8349" dataDxfId="8261"/>
    <tableColumn id="8130" xr3:uid="{8E4806D2-F06F-4055-AB4B-AA9EA6D88D19}" name="8350" dataDxfId="8260"/>
    <tableColumn id="8131" xr3:uid="{7448A7E2-A8B9-4790-B494-01338E26DDFF}" name="8351" dataDxfId="8259"/>
    <tableColumn id="8132" xr3:uid="{0D47D39B-7247-4E52-8537-D3D75795674C}" name="8352" dataDxfId="8258"/>
    <tableColumn id="8133" xr3:uid="{5A57D601-11D8-498C-A53A-90FE8F24CA95}" name="8353" dataDxfId="8257"/>
    <tableColumn id="8134" xr3:uid="{6048B675-033A-4EA6-8AAF-721C6610414F}" name="8354" dataDxfId="8256"/>
    <tableColumn id="8135" xr3:uid="{FCE958BF-1099-48EB-9993-CE31D9F94EDC}" name="8355" dataDxfId="8255"/>
    <tableColumn id="8136" xr3:uid="{29678DF3-F398-4165-B863-7C5F0087599A}" name="8356" dataDxfId="8254"/>
    <tableColumn id="8137" xr3:uid="{607DE4B9-2533-4637-B1D9-330B71C304D2}" name="8357" dataDxfId="8253"/>
    <tableColumn id="8138" xr3:uid="{36166016-BFD9-4810-831B-090D844A2B6A}" name="8358" dataDxfId="8252"/>
    <tableColumn id="8139" xr3:uid="{FBBC7CB2-C1C0-4404-AEE7-A55C6A34A3C9}" name="8359" dataDxfId="8251"/>
    <tableColumn id="8140" xr3:uid="{287409B8-1F0E-43BD-89D0-D13928DF7DD1}" name="8360" dataDxfId="8250"/>
    <tableColumn id="8141" xr3:uid="{200A570E-4961-42BA-AFE8-83C853B6E58E}" name="8361" dataDxfId="8249"/>
    <tableColumn id="8142" xr3:uid="{3813B30C-CB45-4C98-8170-7CF6CB299289}" name="8362" dataDxfId="8248"/>
    <tableColumn id="8143" xr3:uid="{0AD50DBE-E674-4E2A-930F-A43D69FAB617}" name="8363" dataDxfId="8247"/>
    <tableColumn id="8144" xr3:uid="{4DB660A9-6E2E-47FC-A011-C79E255A6893}" name="8364" dataDxfId="8246"/>
    <tableColumn id="8145" xr3:uid="{B9FCF4E1-D57E-44F3-8E6B-1CCB7D58FE9A}" name="8365" dataDxfId="8245"/>
    <tableColumn id="8146" xr3:uid="{F72225A4-24C3-472C-AE07-1EA8F4C82562}" name="8366" dataDxfId="8244"/>
    <tableColumn id="8147" xr3:uid="{446961C9-076B-4928-BB22-09F1865184F9}" name="8367" dataDxfId="8243"/>
    <tableColumn id="8148" xr3:uid="{080E55E9-D7DE-41DC-AD9C-1331F749A16C}" name="8368" dataDxfId="8242"/>
    <tableColumn id="8149" xr3:uid="{4B294E2E-FAEE-4562-8D20-D7129DE7BF53}" name="8369" dataDxfId="8241"/>
    <tableColumn id="8150" xr3:uid="{D3A1A6AA-B3F1-46B6-A3D7-4939E53AF907}" name="8370" dataDxfId="8240"/>
    <tableColumn id="8151" xr3:uid="{CC73DC6F-F28D-46D9-9AFB-AB3FC4393A55}" name="8371" dataDxfId="8239"/>
    <tableColumn id="8152" xr3:uid="{0191BDB7-D3FB-41C9-A8C6-B62DB6DB2047}" name="8372" dataDxfId="8238"/>
    <tableColumn id="8153" xr3:uid="{736A058A-D540-4B06-B858-CF71D5EC172A}" name="8373" dataDxfId="8237"/>
    <tableColumn id="8154" xr3:uid="{5717B7C0-63BD-49B0-A606-FB82820C9B13}" name="8374" dataDxfId="8236"/>
    <tableColumn id="8155" xr3:uid="{2931AAAB-694A-4526-8E92-7FD3A6D97CE9}" name="8375" dataDxfId="8235"/>
    <tableColumn id="8156" xr3:uid="{FC2E3255-1513-4760-A0E3-C3CF88BE08AA}" name="8376" dataDxfId="8234"/>
    <tableColumn id="8157" xr3:uid="{2405066D-9726-4768-9241-A5242EE5D0D1}" name="8377" dataDxfId="8233"/>
    <tableColumn id="8158" xr3:uid="{125C7033-6395-4A7C-ABA0-C3AA4E09E4B4}" name="8378" dataDxfId="8232"/>
    <tableColumn id="8159" xr3:uid="{7200944C-8B3F-45F4-9838-5DF14C1105BA}" name="8379" dataDxfId="8231"/>
    <tableColumn id="8160" xr3:uid="{AE662218-B77D-430E-8334-5DCE0B6D01A7}" name="8380" dataDxfId="8230"/>
    <tableColumn id="8161" xr3:uid="{C8EFBA12-BE23-4891-96EB-B5C8C1658B31}" name="8381" dataDxfId="8229"/>
    <tableColumn id="8162" xr3:uid="{218D3E4C-9CC0-4A92-8554-1D5F264D2019}" name="8382" dataDxfId="8228"/>
    <tableColumn id="8163" xr3:uid="{969D4F7D-47B1-4FDE-AB44-9783DB66F312}" name="8383" dataDxfId="8227"/>
    <tableColumn id="8164" xr3:uid="{39459C78-16E8-4E05-876C-4ADD40340ED6}" name="8384" dataDxfId="8226"/>
    <tableColumn id="8165" xr3:uid="{941FC20E-A8DC-4D9F-AC95-9EDF68D3CBAB}" name="8385" dataDxfId="8225"/>
    <tableColumn id="8166" xr3:uid="{9CD24DB9-9ACC-4D93-ABD9-B46C356BE0A5}" name="8386" dataDxfId="8224"/>
    <tableColumn id="8167" xr3:uid="{EB3E6C4A-E00B-42CE-8C4C-37F91B14868B}" name="8387" dataDxfId="8223"/>
    <tableColumn id="8168" xr3:uid="{A4750553-8BF4-4A68-A25A-CE5988AA2D40}" name="8388" dataDxfId="8222"/>
    <tableColumn id="8169" xr3:uid="{8CBE8D1B-F6B5-46EB-BCD4-FA8D89C4A045}" name="8389" dataDxfId="8221"/>
    <tableColumn id="8170" xr3:uid="{C9E04051-AC14-4BA5-B542-4DBCBE59C0B3}" name="8390" dataDxfId="8220"/>
    <tableColumn id="8171" xr3:uid="{D91164A4-1B72-4B7B-B8E6-5055D5E75155}" name="8391" dataDxfId="8219"/>
    <tableColumn id="8172" xr3:uid="{8A856D85-668A-46EE-8C32-D23EA5558ED0}" name="8392" dataDxfId="8218"/>
    <tableColumn id="8173" xr3:uid="{9049104E-6118-4BCF-B773-B6D76F3EC7AF}" name="8393" dataDxfId="8217"/>
    <tableColumn id="8174" xr3:uid="{F28D13A6-B598-47CA-9EF2-3EB0E23CCA82}" name="8394" dataDxfId="8216"/>
    <tableColumn id="8175" xr3:uid="{777A158C-F80A-4050-80FD-6639BABA4393}" name="8395" dataDxfId="8215"/>
    <tableColumn id="8176" xr3:uid="{7E9B7F5C-DF17-44BD-AF91-9CD6E6413736}" name="8396" dataDxfId="8214"/>
    <tableColumn id="8177" xr3:uid="{DDA51CFC-B3F7-4343-83F0-910A8D62B366}" name="8397" dataDxfId="8213"/>
    <tableColumn id="8178" xr3:uid="{48A08DE9-4063-4772-A0FC-0E8371FB6462}" name="8398" dataDxfId="8212"/>
    <tableColumn id="8179" xr3:uid="{0E8CEA33-6C77-4370-81BF-1990C01257DD}" name="8399" dataDxfId="8211"/>
    <tableColumn id="8180" xr3:uid="{85EE33CC-1009-4D92-B008-69569EC8C0F0}" name="8400" dataDxfId="8210"/>
    <tableColumn id="8181" xr3:uid="{C28F1AAE-F769-4451-AA94-2564A441753D}" name="8401" dataDxfId="8209"/>
    <tableColumn id="8182" xr3:uid="{1D50A976-151A-499D-90A7-AB3D6F0FD937}" name="8402" dataDxfId="8208"/>
    <tableColumn id="8183" xr3:uid="{30B1B053-24E4-47E6-B297-9F06E3BA0847}" name="8403" dataDxfId="8207"/>
    <tableColumn id="8184" xr3:uid="{3259E6FE-DA98-429A-82AD-C8605A6244CF}" name="8404" dataDxfId="8206"/>
    <tableColumn id="8185" xr3:uid="{5AAAA378-7AEB-42A9-BE35-B9F2B5424E77}" name="8405" dataDxfId="8205"/>
    <tableColumn id="8186" xr3:uid="{4BB6CE3A-17C7-4535-83D3-78C6AC44E04E}" name="8406" dataDxfId="8204"/>
    <tableColumn id="8187" xr3:uid="{AA195FDF-797C-4D15-944C-3575967C5774}" name="8407" dataDxfId="8203"/>
    <tableColumn id="8188" xr3:uid="{C0F9B33D-A585-4D61-A71F-6F773F06060F}" name="8408" dataDxfId="8202"/>
    <tableColumn id="8189" xr3:uid="{ED4C2E85-88D0-4001-BB96-BBE880385AD2}" name="8409" dataDxfId="8201"/>
    <tableColumn id="8190" xr3:uid="{267FB0B8-2281-4325-A1FE-F6B3B5DF4BB2}" name="8410" dataDxfId="8200"/>
    <tableColumn id="8191" xr3:uid="{B77A8C20-F344-4ABF-AD0E-C5B62FBD3ABB}" name="8411" dataDxfId="8199"/>
    <tableColumn id="8192" xr3:uid="{E34820F6-3F34-4082-A369-116D00E79340}" name="8412" dataDxfId="8198"/>
    <tableColumn id="8193" xr3:uid="{072C2BBB-09E1-40D6-8BBD-4ED204F0CC07}" name="8413" dataDxfId="8197"/>
    <tableColumn id="8194" xr3:uid="{998E7F1A-82FC-4958-A8A1-A04D0A6FECCE}" name="8414" dataDxfId="8196"/>
    <tableColumn id="8195" xr3:uid="{4C95331D-E532-4AA0-B5B2-E9366D7C1F43}" name="8415" dataDxfId="8195"/>
    <tableColumn id="8196" xr3:uid="{C46FF099-F192-433F-B87E-7604B532D4AE}" name="8416" dataDxfId="8194"/>
    <tableColumn id="8197" xr3:uid="{14E3980D-88D1-4D47-9E26-FDDC7D45C93A}" name="8417" dataDxfId="8193"/>
    <tableColumn id="8198" xr3:uid="{FDC6570F-3818-4CD6-8816-08072A61B61E}" name="8418" dataDxfId="8192"/>
    <tableColumn id="8199" xr3:uid="{416F483B-349E-4A76-BD22-B7BBA5544A7A}" name="8419" dataDxfId="8191"/>
    <tableColumn id="8200" xr3:uid="{0916C448-071E-4D16-AC1B-2AFE1796B48C}" name="8420" dataDxfId="8190"/>
    <tableColumn id="8201" xr3:uid="{446A785A-9E3B-4EF5-9A49-142A9B4061A8}" name="8421" dataDxfId="8189"/>
    <tableColumn id="8202" xr3:uid="{C331D69F-7C3E-4E03-814A-01AE2C61031E}" name="8422" dataDxfId="8188"/>
    <tableColumn id="8203" xr3:uid="{7DBEBC8E-F8C7-479E-9F0D-42BBA558626E}" name="8423" dataDxfId="8187"/>
    <tableColumn id="8204" xr3:uid="{5A94A88F-6929-4115-87AA-7BF73827E63F}" name="8424" dataDxfId="8186"/>
    <tableColumn id="8205" xr3:uid="{33C2A10B-F3EF-49C7-9A46-A527A7A6DDB0}" name="8425" dataDxfId="8185"/>
    <tableColumn id="8206" xr3:uid="{C8204CCB-4664-490C-87B1-3780BAEE3700}" name="8426" dataDxfId="8184"/>
    <tableColumn id="8207" xr3:uid="{B58BE5B7-7C36-4010-B0B8-7A3F995C40C4}" name="8427" dataDxfId="8183"/>
    <tableColumn id="8208" xr3:uid="{7DF6C4F7-1FE9-4B28-8B3E-C945DDF09DBC}" name="8428" dataDxfId="8182"/>
    <tableColumn id="8209" xr3:uid="{CEEFE34F-EB8B-46EF-941A-4175BA9EF182}" name="8429" dataDxfId="8181"/>
    <tableColumn id="8210" xr3:uid="{F62E48CD-007D-4369-8DBF-88FD7E2BC763}" name="8430" dataDxfId="8180"/>
    <tableColumn id="8211" xr3:uid="{D374E515-0C41-4DFC-8010-308DD0D91E17}" name="8431" dataDxfId="8179"/>
    <tableColumn id="8212" xr3:uid="{7E4AC04B-21CC-4749-9717-94841A19220B}" name="8432" dataDxfId="8178"/>
    <tableColumn id="8213" xr3:uid="{E5C66CC3-3A73-47E3-AF44-801417C52B39}" name="8433" dataDxfId="8177"/>
    <tableColumn id="8214" xr3:uid="{99FFFD9B-9AB5-447A-A095-B122CAAE126E}" name="8434" dataDxfId="8176"/>
    <tableColumn id="8215" xr3:uid="{13ED02C0-E8CD-4F6D-A250-E693D8B244C9}" name="8435" dataDxfId="8175"/>
    <tableColumn id="8216" xr3:uid="{5E009143-26E8-40FE-B477-9FC4BBCAB08B}" name="8436" dataDxfId="8174"/>
    <tableColumn id="8217" xr3:uid="{44091A1A-C9FA-41CD-B239-798D6B032AC0}" name="8437" dataDxfId="8173"/>
    <tableColumn id="8218" xr3:uid="{D9B17E73-4B20-45A8-AB89-AEF30B8BDD01}" name="8438" dataDxfId="8172"/>
    <tableColumn id="8219" xr3:uid="{586FD9CB-43A7-4AAF-8B7E-8888840D5E82}" name="8439" dataDxfId="8171"/>
    <tableColumn id="8220" xr3:uid="{A45BFD63-797F-40F6-984B-0CCD3B36DC1B}" name="8440" dataDxfId="8170"/>
    <tableColumn id="8221" xr3:uid="{DE3BCB3F-1447-4D56-BA78-B4938C9EE6FB}" name="8441" dataDxfId="8169"/>
    <tableColumn id="8222" xr3:uid="{EA1734CE-8B8E-4862-97EF-14A8894B544E}" name="8442" dataDxfId="8168"/>
    <tableColumn id="8223" xr3:uid="{EBCD5012-E4FC-4557-8ECF-CD762FCA1BB6}" name="8443" dataDxfId="8167"/>
    <tableColumn id="8224" xr3:uid="{6E2AAACD-4E8B-4FF5-A039-C876AB39DF30}" name="8444" dataDxfId="8166"/>
    <tableColumn id="8225" xr3:uid="{34B72276-9790-4555-8ADC-3C1CCD567040}" name="8445" dataDxfId="8165"/>
    <tableColumn id="8226" xr3:uid="{0B6883D8-DBF6-442E-AD83-BCC1745F02DD}" name="8446" dataDxfId="8164"/>
    <tableColumn id="8227" xr3:uid="{3AFE684F-0385-479E-842B-F240BB8B62AD}" name="8447" dataDxfId="8163"/>
    <tableColumn id="8228" xr3:uid="{A98804E3-677E-43DA-903B-599967026E90}" name="8448" dataDxfId="8162"/>
    <tableColumn id="8229" xr3:uid="{47C1036F-A7E6-4CA9-A7A8-CD99316C840F}" name="8449" dataDxfId="8161"/>
    <tableColumn id="8230" xr3:uid="{519BC748-FC9C-4224-B1DA-EE05E4DC62CB}" name="8450" dataDxfId="8160"/>
    <tableColumn id="8231" xr3:uid="{9A0CC297-CB45-4757-8E30-7ECBC2222BF0}" name="8451" dataDxfId="8159"/>
    <tableColumn id="8232" xr3:uid="{04D6E18B-A88B-409C-8350-62E9E5E8747D}" name="8452" dataDxfId="8158"/>
    <tableColumn id="8233" xr3:uid="{9BB3E2E5-5E7B-4201-965D-24B2AFE859F6}" name="8453" dataDxfId="8157"/>
    <tableColumn id="8234" xr3:uid="{9CA194D8-940D-4F24-BAC6-1F411B060B2E}" name="8454" dataDxfId="8156"/>
    <tableColumn id="8235" xr3:uid="{8E734E0E-7304-4B8F-8367-56A3B63F43FA}" name="8455" dataDxfId="8155"/>
    <tableColumn id="8236" xr3:uid="{6F29C73B-8482-44E4-BC0B-580D206DFE88}" name="8456" dataDxfId="8154"/>
    <tableColumn id="8237" xr3:uid="{6492F2BA-984C-4316-AEAF-4D3E9F0E9D14}" name="8457" dataDxfId="8153"/>
    <tableColumn id="8238" xr3:uid="{F22A136D-B1D7-4425-81AC-87DAE2964584}" name="8458" dataDxfId="8152"/>
    <tableColumn id="8239" xr3:uid="{A2A04C11-A489-49BB-8694-C88C74553D53}" name="8459" dataDxfId="8151"/>
    <tableColumn id="8240" xr3:uid="{18038B7E-019D-4731-80EC-3B95B7A58546}" name="8460" dataDxfId="8150"/>
    <tableColumn id="8241" xr3:uid="{E9A810E7-86B2-43B3-BE8F-33A4E580B4AC}" name="8461" dataDxfId="8149"/>
    <tableColumn id="8242" xr3:uid="{E072365B-5A60-4C28-BD4B-C7C0B195F5B9}" name="8462" dataDxfId="8148"/>
    <tableColumn id="8243" xr3:uid="{DF856BA4-4D80-4820-BBF7-FE4ACF3128CC}" name="8463" dataDxfId="8147"/>
    <tableColumn id="8244" xr3:uid="{5E70A9DB-1CD5-4A1A-AAE1-7DA31738F51B}" name="8464" dataDxfId="8146"/>
    <tableColumn id="8245" xr3:uid="{6C7F3776-7964-4EE7-99F9-6F9B37C6DA30}" name="8465" dataDxfId="8145"/>
    <tableColumn id="8246" xr3:uid="{D735C14F-662C-4EFE-B366-73154688B2D3}" name="8466" dataDxfId="8144"/>
    <tableColumn id="8247" xr3:uid="{0E4595F4-8DC9-4B83-81B1-D117330F504C}" name="8467" dataDxfId="8143"/>
    <tableColumn id="8248" xr3:uid="{B23B500F-8674-4852-8767-420387180505}" name="8468" dataDxfId="8142"/>
    <tableColumn id="8249" xr3:uid="{D27152AF-7C14-4B1B-8248-99B772CDB94B}" name="8469" dataDxfId="8141"/>
    <tableColumn id="8250" xr3:uid="{D64C84DC-5404-4F02-A6A8-A3B99995DA3E}" name="8470" dataDxfId="8140"/>
    <tableColumn id="8251" xr3:uid="{42BA8449-DCF0-4276-8A69-0E663ED38121}" name="8471" dataDxfId="8139"/>
    <tableColumn id="8252" xr3:uid="{C336960E-A60F-4829-90C5-FC31866055EF}" name="8472" dataDxfId="8138"/>
    <tableColumn id="8253" xr3:uid="{EEEFFF28-0917-4010-B841-857B26A93EA2}" name="8473" dataDxfId="8137"/>
    <tableColumn id="8254" xr3:uid="{99761F1D-5BA3-4A6C-BFF4-9D23D2301B1D}" name="8474" dataDxfId="8136"/>
    <tableColumn id="8255" xr3:uid="{B4B9651F-627A-4F31-AF4C-BC5D42109AC9}" name="8475" dataDxfId="8135"/>
    <tableColumn id="8256" xr3:uid="{1ADAE1CE-97BC-4906-B4C0-606443510E49}" name="8476" dataDxfId="8134"/>
    <tableColumn id="8257" xr3:uid="{DBBA1325-164C-4FA3-B827-B828127D5B3D}" name="8477" dataDxfId="8133"/>
    <tableColumn id="8258" xr3:uid="{D51D41D9-B7AD-4D18-A7E2-CE8C83C43F48}" name="8478" dataDxfId="8132"/>
    <tableColumn id="8259" xr3:uid="{157D9178-8D8D-49AE-A3D5-3BCE53438A2F}" name="8479" dataDxfId="8131"/>
    <tableColumn id="8260" xr3:uid="{E180B017-1B26-4E8F-BB15-33D38D83FF2D}" name="8480" dataDxfId="8130"/>
    <tableColumn id="8261" xr3:uid="{EAF86FE7-0F27-4F81-A0F9-DC68DEAF36E9}" name="8481" dataDxfId="8129"/>
    <tableColumn id="8262" xr3:uid="{4E05977F-6282-4553-8715-E3E708A24566}" name="8482" dataDxfId="8128"/>
    <tableColumn id="8263" xr3:uid="{6539CAA4-0C36-4F01-8CE5-2A55BB807329}" name="8483" dataDxfId="8127"/>
    <tableColumn id="8264" xr3:uid="{B0215028-CE8A-4C66-B190-181097AA1D36}" name="8484" dataDxfId="8126"/>
    <tableColumn id="8265" xr3:uid="{9F9C31B0-F2F4-400A-9B87-F73BE333F983}" name="8485" dataDxfId="8125"/>
    <tableColumn id="8266" xr3:uid="{FE9AA4EF-350E-4988-9774-F2A55EA1A099}" name="8486" dataDxfId="8124"/>
    <tableColumn id="8267" xr3:uid="{666533F5-30EC-497C-9014-EA1C38A40F2B}" name="8487" dataDxfId="8123"/>
    <tableColumn id="8268" xr3:uid="{3C56269C-D011-4B40-8682-FA4706512DA5}" name="8488" dataDxfId="8122"/>
    <tableColumn id="8269" xr3:uid="{9A99EFD6-1047-4996-963D-4DB4234107FD}" name="8489" dataDxfId="8121"/>
    <tableColumn id="8270" xr3:uid="{DE8BCBE5-2B12-48F3-BDFF-9A79C117AF53}" name="8490" dataDxfId="8120"/>
    <tableColumn id="8271" xr3:uid="{6466C34C-016A-4A8D-89B6-A44689205068}" name="8491" dataDxfId="8119"/>
    <tableColumn id="8272" xr3:uid="{333ABE9B-1CAB-462C-BA2E-18E6B8D2CC16}" name="8492" dataDxfId="8118"/>
    <tableColumn id="8273" xr3:uid="{E4AB7AD5-F287-40E3-83E5-AD971EA0F32B}" name="8493" dataDxfId="8117"/>
    <tableColumn id="8274" xr3:uid="{06A556D0-A1EE-4FAD-80AD-3BABD5E33794}" name="8494" dataDxfId="8116"/>
    <tableColumn id="8275" xr3:uid="{970E61FA-5DEE-479A-A3E7-1F8A1C319EED}" name="8495" dataDxfId="8115"/>
    <tableColumn id="8276" xr3:uid="{1185F227-5465-4F0E-BE47-8E460286AB47}" name="8496" dataDxfId="8114"/>
    <tableColumn id="8277" xr3:uid="{FCF3FA1A-C008-4E7F-B2AB-544A7FEE8356}" name="8497" dataDxfId="8113"/>
    <tableColumn id="8278" xr3:uid="{8855F178-0E6E-4A5A-9154-732117BD1F2E}" name="8498" dataDxfId="8112"/>
    <tableColumn id="8279" xr3:uid="{B15C3899-ABCB-43F5-A6CF-C934A60E3329}" name="8499" dataDxfId="8111"/>
    <tableColumn id="8280" xr3:uid="{320C5F72-C0E1-4783-B32C-AC465FCE8362}" name="8500" dataDxfId="8110"/>
    <tableColumn id="8281" xr3:uid="{23D1CEFD-1E08-4A35-BE6D-DDA6F2AF3D6C}" name="8501" dataDxfId="8109"/>
    <tableColumn id="8282" xr3:uid="{964ECA9D-DF2E-4CEB-9E74-F5D036D906C4}" name="8502" dataDxfId="8108"/>
    <tableColumn id="8283" xr3:uid="{B62528B0-1E03-425B-924F-0CEB760FB7B9}" name="8503" dataDxfId="8107"/>
    <tableColumn id="8284" xr3:uid="{F114BF67-E721-4E78-8242-8B4C0FB304EA}" name="8504" dataDxfId="8106"/>
    <tableColumn id="8285" xr3:uid="{4CB6E1CE-2328-4BDF-9A03-45020782287A}" name="8505" dataDxfId="8105"/>
    <tableColumn id="8286" xr3:uid="{DC8567C6-1784-4B13-B55F-630D37B880F5}" name="8506" dataDxfId="8104"/>
    <tableColumn id="8287" xr3:uid="{50BA0EA1-0D1E-4B09-9DC9-BD5204B299E9}" name="8507" dataDxfId="8103"/>
    <tableColumn id="8288" xr3:uid="{1AE880B5-5C2A-4061-B440-B038FFFBBAD5}" name="8508" dataDxfId="8102"/>
    <tableColumn id="8289" xr3:uid="{7DCF0FD1-FA9D-4B27-9B03-7C83E5EEDE66}" name="8509" dataDxfId="8101"/>
    <tableColumn id="8290" xr3:uid="{25E70EB7-6246-400E-BB6E-CB6B2E976D29}" name="8510" dataDxfId="8100"/>
    <tableColumn id="8291" xr3:uid="{6F08B662-BBD1-4F33-8A74-B2595B231C0E}" name="8511" dataDxfId="8099"/>
    <tableColumn id="8292" xr3:uid="{9C78B1FC-D4FF-4601-ACB8-070EB742031B}" name="8512" dataDxfId="8098"/>
    <tableColumn id="8293" xr3:uid="{E0A3F281-AD63-46B6-BD43-A28B315F90DF}" name="8513" dataDxfId="8097"/>
    <tableColumn id="8294" xr3:uid="{B8CA5C7E-5D20-4E73-97BD-69313E7E06FF}" name="8514" dataDxfId="8096"/>
    <tableColumn id="8295" xr3:uid="{939FE555-7952-4F78-92F2-DC69425C944B}" name="8515" dataDxfId="8095"/>
    <tableColumn id="8296" xr3:uid="{F169F80E-8E74-439D-8464-345184FCD117}" name="8516" dataDxfId="8094"/>
    <tableColumn id="8297" xr3:uid="{24D150FB-7EE9-49B5-A084-CC336FC6264A}" name="8517" dataDxfId="8093"/>
    <tableColumn id="8298" xr3:uid="{C2B9B1BB-452B-4EE1-8A70-E2319876201C}" name="8518" dataDxfId="8092"/>
    <tableColumn id="8299" xr3:uid="{167D121B-9C8A-45A3-A442-F2CEEC519D74}" name="8519" dataDxfId="8091"/>
    <tableColumn id="8300" xr3:uid="{3AE3D0FB-0D15-4C53-89FB-DAA8E61F2A62}" name="8520" dataDxfId="8090"/>
    <tableColumn id="8301" xr3:uid="{E9D5F976-C109-4576-8482-DC6813652893}" name="8521" dataDxfId="8089"/>
    <tableColumn id="8302" xr3:uid="{31B855C6-FD7E-46DF-80CC-AAE46C5C607C}" name="8522" dataDxfId="8088"/>
    <tableColumn id="8303" xr3:uid="{FD1888BB-273F-4A55-9792-9DBBEFA79967}" name="8523" dataDxfId="8087"/>
    <tableColumn id="8304" xr3:uid="{50A034F4-6D78-497E-8B75-EC0AE3A1A20A}" name="8524" dataDxfId="8086"/>
    <tableColumn id="8305" xr3:uid="{3C2BAAC9-FF76-4725-8C69-BAAF34ED66A6}" name="8525" dataDxfId="8085"/>
    <tableColumn id="8306" xr3:uid="{31435D4D-22D7-434F-A5F5-8DF917F50CA5}" name="8526" dataDxfId="8084"/>
    <tableColumn id="8307" xr3:uid="{319F02A9-8B36-4E7F-BEFA-E81A9BBEA595}" name="8527" dataDxfId="8083"/>
    <tableColumn id="8308" xr3:uid="{12BA7A55-C312-4D60-AED2-73AE474DC419}" name="8528" dataDxfId="8082"/>
    <tableColumn id="8309" xr3:uid="{843B268D-3072-4A6C-9CFF-947CEE0CA96B}" name="8529" dataDxfId="8081"/>
    <tableColumn id="8310" xr3:uid="{47AA634E-4641-4E08-A80A-06F21ED05C89}" name="8530" dataDxfId="8080"/>
    <tableColumn id="8311" xr3:uid="{CEBEC8C8-2F66-4C0D-BEAE-F37B95BBE119}" name="8531" dataDxfId="8079"/>
    <tableColumn id="8312" xr3:uid="{F728F67E-1266-4B9D-84B6-C636B0AFE435}" name="8532" dataDxfId="8078"/>
    <tableColumn id="8313" xr3:uid="{CF9AC48B-5920-4F35-B73A-47B53FC9C13D}" name="8533" dataDxfId="8077"/>
    <tableColumn id="8314" xr3:uid="{DB8B4C56-BAA6-46C0-A1CD-3DFDFAA52296}" name="8534" dataDxfId="8076"/>
    <tableColumn id="8315" xr3:uid="{1C07B104-561C-4610-9E6F-0BFD7399B68D}" name="8535" dataDxfId="8075"/>
    <tableColumn id="8316" xr3:uid="{0EBAA06F-8EDD-49AA-93DA-01E131FC6778}" name="8536" dataDxfId="8074"/>
    <tableColumn id="8317" xr3:uid="{B1D04D03-0D63-4B90-85E5-963AB022DC2E}" name="8537" dataDxfId="8073"/>
    <tableColumn id="8318" xr3:uid="{48EF669E-A746-488C-95B6-DF147631D46F}" name="8538" dataDxfId="8072"/>
    <tableColumn id="8319" xr3:uid="{5F5AEFA9-80DE-4ACE-ABD8-D69B366BB03B}" name="8539" dataDxfId="8071"/>
    <tableColumn id="8320" xr3:uid="{5C40B48F-C9D4-481C-A454-10BC20B32B97}" name="8540" dataDxfId="8070"/>
    <tableColumn id="8321" xr3:uid="{5A81F9A2-D4F9-4551-B80A-00E50C2200DA}" name="8541" dataDxfId="8069"/>
    <tableColumn id="8322" xr3:uid="{2963D4E2-1254-42BF-9A72-CC0944C155FC}" name="8542" dataDxfId="8068"/>
    <tableColumn id="8323" xr3:uid="{5075C874-0DBA-4CFE-A284-DFE3DFB18201}" name="8543" dataDxfId="8067"/>
    <tableColumn id="8324" xr3:uid="{F6A3AB34-3CCB-4636-91B6-90A75393CE02}" name="8544" dataDxfId="8066"/>
    <tableColumn id="8325" xr3:uid="{E40FBD9D-4234-4501-9EF3-521DA2B45DEE}" name="8545" dataDxfId="8065"/>
    <tableColumn id="8326" xr3:uid="{F195830D-21F6-4348-88E2-DE5AEC20B3DC}" name="8546" dataDxfId="8064"/>
    <tableColumn id="8327" xr3:uid="{C919388C-535F-460C-98F0-C6197642CF3A}" name="8547" dataDxfId="8063"/>
    <tableColumn id="8328" xr3:uid="{8DC0137A-964E-4822-B832-FFA7E07A5E64}" name="8548" dataDxfId="8062"/>
    <tableColumn id="8329" xr3:uid="{7FCAF3B6-E79B-4685-87DD-EB5E43AC3E37}" name="8549" dataDxfId="8061"/>
    <tableColumn id="8330" xr3:uid="{779A961B-FCAC-4692-A6D1-D5226FFDC208}" name="8550" dataDxfId="8060"/>
    <tableColumn id="8331" xr3:uid="{D08862BF-7DD4-4F3A-AD87-F625A7F6F5D5}" name="8551" dataDxfId="8059"/>
    <tableColumn id="8332" xr3:uid="{766E9646-6318-44F0-87D6-3BC6B2F90EB9}" name="8552" dataDxfId="8058"/>
    <tableColumn id="8333" xr3:uid="{6487B848-8F56-4CC7-ACC5-862476A096AF}" name="8553" dataDxfId="8057"/>
    <tableColumn id="8334" xr3:uid="{0BA97480-2289-42E2-BF63-3D1BD4A50F57}" name="8554" dataDxfId="8056"/>
    <tableColumn id="8335" xr3:uid="{5C0D8059-944F-4B11-8CAA-4B61ACA36F0F}" name="8555" dataDxfId="8055"/>
    <tableColumn id="8336" xr3:uid="{0572D380-3A2A-412A-B4A7-DA846C2B91A9}" name="8556" dataDxfId="8054"/>
    <tableColumn id="8337" xr3:uid="{B1C517C8-F12C-4A54-90F7-7DAC32BA2A0C}" name="8557" dataDxfId="8053"/>
    <tableColumn id="8338" xr3:uid="{4577389B-4D0C-425B-8FCC-ABDF71A812DA}" name="8558" dataDxfId="8052"/>
    <tableColumn id="8339" xr3:uid="{3F0D2324-0231-47E2-B97D-BEA6B01E576D}" name="8559" dataDxfId="8051"/>
    <tableColumn id="8340" xr3:uid="{471510AA-9E3A-4A6D-A0B5-26DE428B8E89}" name="8560" dataDxfId="8050"/>
    <tableColumn id="8341" xr3:uid="{2EC8B017-7FD7-42E4-BD56-1FC902729605}" name="8561" dataDxfId="8049"/>
    <tableColumn id="8342" xr3:uid="{6E19064F-02A6-4048-8E21-D37C7C1DA6E0}" name="8562" dataDxfId="8048"/>
    <tableColumn id="8343" xr3:uid="{CB78E797-3F98-422F-BBB5-7A625D644C51}" name="8563" dataDxfId="8047"/>
    <tableColumn id="8344" xr3:uid="{14E1CADE-F150-412E-A725-122E1140CBA1}" name="8564" dataDxfId="8046"/>
    <tableColumn id="8345" xr3:uid="{C8EDDD3D-BC37-46D8-981D-2C5FC98FA6BB}" name="8565" dataDxfId="8045"/>
    <tableColumn id="8346" xr3:uid="{1C4D0005-FE5B-4A7C-AF2E-21B0F1F6404E}" name="8566" dataDxfId="8044"/>
    <tableColumn id="8347" xr3:uid="{4CA810B3-FDF9-4A78-9FAC-5178FE998C4F}" name="8567" dataDxfId="8043"/>
    <tableColumn id="8348" xr3:uid="{D03DD225-B3B5-4AEB-AC96-5E175F390A47}" name="8568" dataDxfId="8042"/>
    <tableColumn id="8349" xr3:uid="{1580553F-6E92-41CD-B554-3787C03A74CF}" name="8569" dataDxfId="8041"/>
    <tableColumn id="8350" xr3:uid="{FE4EDACA-FF56-4DF6-8112-89ACB4FAD74C}" name="8570" dataDxfId="8040"/>
    <tableColumn id="8351" xr3:uid="{E6D051DC-A371-40C8-9A98-ADCBA4139E72}" name="8571" dataDxfId="8039"/>
    <tableColumn id="8352" xr3:uid="{BE39F614-9C38-4DF4-BABF-4DFBC53F3A3F}" name="8572" dataDxfId="8038"/>
    <tableColumn id="8353" xr3:uid="{5AEEA687-1155-457F-98EB-5164D7F87512}" name="8573" dataDxfId="8037"/>
    <tableColumn id="8354" xr3:uid="{67526A4A-664C-4279-8077-75C3B00CC3FA}" name="8574" dataDxfId="8036"/>
    <tableColumn id="8355" xr3:uid="{C945CDB2-F0B1-4DA3-9EE5-DB57235977D1}" name="8575" dataDxfId="8035"/>
    <tableColumn id="8356" xr3:uid="{9E9610EF-953C-47B3-BC50-30E42621D6DC}" name="8576" dataDxfId="8034"/>
    <tableColumn id="8357" xr3:uid="{70E7D442-E70C-4C67-B93E-DD193629A336}" name="8577" dataDxfId="8033"/>
    <tableColumn id="8358" xr3:uid="{CB804C79-ABDB-46F5-9A91-DA28BE5B2B2F}" name="8578" dataDxfId="8032"/>
    <tableColumn id="8359" xr3:uid="{B43DF516-EA33-40E0-9AFD-E1CE49AB6F05}" name="8579" dataDxfId="8031"/>
    <tableColumn id="8360" xr3:uid="{8ECE4BF1-B5D3-4866-9690-BBA911AE4A32}" name="8580" dataDxfId="8030"/>
    <tableColumn id="8361" xr3:uid="{07175B2C-FD43-4DFD-BBB5-A0AB8B6A446D}" name="8581" dataDxfId="8029"/>
    <tableColumn id="8362" xr3:uid="{C8A6C505-59EB-4516-B3EA-0C55DDBAF4B3}" name="8582" dataDxfId="8028"/>
    <tableColumn id="8363" xr3:uid="{3773EE6A-345F-4C2B-A6DE-D154ABCCD390}" name="8583" dataDxfId="8027"/>
    <tableColumn id="8364" xr3:uid="{8D8278EC-93E9-4516-82EC-9FFB931853FC}" name="8584" dataDxfId="8026"/>
    <tableColumn id="8365" xr3:uid="{14D4EB4D-C20B-4837-A333-6EC5E20511AF}" name="8585" dataDxfId="8025"/>
    <tableColumn id="8366" xr3:uid="{F5301A13-3084-43AF-86EB-0E8E473ED651}" name="8586" dataDxfId="8024"/>
    <tableColumn id="8367" xr3:uid="{5D00CD3A-5763-4F74-9682-BC2C188A7D9E}" name="8587" dataDxfId="8023"/>
    <tableColumn id="8368" xr3:uid="{83240BF2-4C42-495D-925E-8F1324DFE349}" name="8588" dataDxfId="8022"/>
    <tableColumn id="8369" xr3:uid="{B3B78036-7D82-49FC-AABB-C5A8713827BF}" name="8589" dataDxfId="8021"/>
    <tableColumn id="8370" xr3:uid="{992E78B7-0028-4245-A2CF-948583E359A4}" name="8590" dataDxfId="8020"/>
    <tableColumn id="8371" xr3:uid="{1598DE17-4C59-466F-889C-959961533E3F}" name="8591" dataDxfId="8019"/>
    <tableColumn id="8372" xr3:uid="{FBCADE00-118F-4916-872E-9B512AB187F6}" name="8592" dataDxfId="8018"/>
    <tableColumn id="8373" xr3:uid="{5E9393A6-BF58-4B09-972E-919697FFC8EE}" name="8593" dataDxfId="8017"/>
    <tableColumn id="8374" xr3:uid="{76046989-13E7-44E7-BA7B-DDC1E149CC29}" name="8594" dataDxfId="8016"/>
    <tableColumn id="8375" xr3:uid="{5490BD15-FA45-486A-9FEB-BFA9E09810CD}" name="8595" dataDxfId="8015"/>
    <tableColumn id="8376" xr3:uid="{BFC3D06B-1801-4140-89CF-5C870A3BCF15}" name="8596" dataDxfId="8014"/>
    <tableColumn id="8377" xr3:uid="{CC48CE1F-7657-49AB-B57D-5558F0C81F12}" name="8597" dataDxfId="8013"/>
    <tableColumn id="8378" xr3:uid="{7DC1243C-1A74-4F6C-BA49-C97A847D134B}" name="8598" dataDxfId="8012"/>
    <tableColumn id="8379" xr3:uid="{0612D5AA-2748-4A74-9E09-051A9FE67AD2}" name="8599" dataDxfId="8011"/>
    <tableColumn id="8380" xr3:uid="{9AA2DCAA-80B9-4BCE-B04B-E38E7A3A00FC}" name="8600" dataDxfId="8010"/>
    <tableColumn id="8381" xr3:uid="{68A5CA34-519A-4FA1-B069-A3D1E9CCBDA6}" name="8601" dataDxfId="8009"/>
    <tableColumn id="8382" xr3:uid="{3DB7CF85-198D-4FAA-947F-3DC4609BD189}" name="8602" dataDxfId="8008"/>
    <tableColumn id="8383" xr3:uid="{22E5EBCC-C104-4604-928B-D929DE408C98}" name="8603" dataDxfId="8007"/>
    <tableColumn id="8384" xr3:uid="{D04B1E75-950A-4B50-A1DE-A0017ADC8719}" name="8604" dataDxfId="8006"/>
    <tableColumn id="8385" xr3:uid="{C4A0CD50-B156-43EB-A779-E1C9E3D761A1}" name="8605" dataDxfId="8005"/>
    <tableColumn id="8386" xr3:uid="{43FBA1EE-1E42-4204-823D-04238408E5F8}" name="8606" dataDxfId="8004"/>
    <tableColumn id="8387" xr3:uid="{3A63B34F-3FBC-4D02-900B-6C5EE0BD53C8}" name="8607" dataDxfId="8003"/>
    <tableColumn id="8388" xr3:uid="{B3570A0A-31C5-4E8D-879E-88271971B3C8}" name="8608" dataDxfId="8002"/>
    <tableColumn id="8389" xr3:uid="{A46511F9-F25B-4493-A5D9-789C2ECE9E98}" name="8609" dataDxfId="8001"/>
    <tableColumn id="8390" xr3:uid="{274EA425-BDE1-4059-BD56-93E5772ACD42}" name="8610" dataDxfId="8000"/>
    <tableColumn id="8391" xr3:uid="{322579A8-5FE4-411E-9E59-23837268CC40}" name="8611" dataDxfId="7999"/>
    <tableColumn id="8392" xr3:uid="{1CF3E4A6-82E9-4097-B161-300ECEECA6A4}" name="8612" dataDxfId="7998"/>
    <tableColumn id="8393" xr3:uid="{56F7788E-AE1C-4FBD-B1AE-29B708C17A4F}" name="8613" dataDxfId="7997"/>
    <tableColumn id="8394" xr3:uid="{6F6D4152-666D-4F2A-A036-2EBE298CCA7F}" name="8614" dataDxfId="7996"/>
    <tableColumn id="8395" xr3:uid="{5277E8FE-6F87-48D4-AF4A-BB1CC0AE455C}" name="8615" dataDxfId="7995"/>
    <tableColumn id="8396" xr3:uid="{5E6E328C-9CC9-46F1-94AD-FBA18C4170C8}" name="8616" dataDxfId="7994"/>
    <tableColumn id="8397" xr3:uid="{4DE3EDE3-D188-4F5D-9501-C33061FF6B2B}" name="8617" dataDxfId="7993"/>
    <tableColumn id="8398" xr3:uid="{15A107F1-DDC7-4D81-BC73-7F70304B22AF}" name="8618" dataDxfId="7992"/>
    <tableColumn id="8399" xr3:uid="{A0E948AF-534F-4C25-8D36-891D7BDABE8D}" name="8619" dataDxfId="7991"/>
    <tableColumn id="8400" xr3:uid="{6FB6BA3F-9107-49B3-BE4F-AB8800EDCDFA}" name="8620" dataDxfId="7990"/>
    <tableColumn id="8401" xr3:uid="{01B6F14B-3017-4965-B01F-DB3BD13E35D4}" name="8621" dataDxfId="7989"/>
    <tableColumn id="8402" xr3:uid="{89475E2A-2CF7-4FBF-860A-EBBC4C950CCE}" name="8622" dataDxfId="7988"/>
    <tableColumn id="8403" xr3:uid="{9CAA69DB-B83E-4A80-BA2E-9B36B2940B72}" name="8623" dataDxfId="7987"/>
    <tableColumn id="8404" xr3:uid="{63E29A7B-5614-4762-A213-7EE3C602421B}" name="8624" dataDxfId="7986"/>
    <tableColumn id="8405" xr3:uid="{F29383BC-2C6E-4EB2-B861-898384E27EC9}" name="8625" dataDxfId="7985"/>
    <tableColumn id="8406" xr3:uid="{FC34C5E8-973E-4223-9BF1-E7AC8560F646}" name="8626" dataDxfId="7984"/>
    <tableColumn id="8407" xr3:uid="{27D26BDF-2837-4282-B7F8-A2E6C569B2C3}" name="8627" dataDxfId="7983"/>
    <tableColumn id="8408" xr3:uid="{F88CCE37-8C00-426B-8555-CFEB2F7825D8}" name="8628" dataDxfId="7982"/>
    <tableColumn id="8409" xr3:uid="{2CCC4120-CD58-445E-B054-2ABA8FCBA782}" name="8629" dataDxfId="7981"/>
    <tableColumn id="8410" xr3:uid="{D9E01E5C-AB7E-47C2-893C-BB4D973CC5ED}" name="8630" dataDxfId="7980"/>
    <tableColumn id="8411" xr3:uid="{95E9E974-28D3-4421-ACBD-1099D495B463}" name="8631" dataDxfId="7979"/>
    <tableColumn id="8412" xr3:uid="{7EECE425-5855-40A9-AC40-0EFB196EA427}" name="8632" dataDxfId="7978"/>
    <tableColumn id="8413" xr3:uid="{B1342153-292A-41F4-8BD9-E9CF766A5CE1}" name="8633" dataDxfId="7977"/>
    <tableColumn id="8414" xr3:uid="{EB3DEB45-4D6F-4678-B8EF-5D24460068DC}" name="8634" dataDxfId="7976"/>
    <tableColumn id="8415" xr3:uid="{9820C597-A2CD-4F04-8E45-6BC56A89F7D6}" name="8635" dataDxfId="7975"/>
    <tableColumn id="8416" xr3:uid="{1291EE12-8891-4346-8243-04C811B46CF5}" name="8636" dataDxfId="7974"/>
    <tableColumn id="8417" xr3:uid="{3B907887-8AE7-4E8A-8D02-63A08B08C100}" name="8637" dataDxfId="7973"/>
    <tableColumn id="8418" xr3:uid="{4E51F97A-E6D5-4D9C-940C-D7F8C65BFFF2}" name="8638" dataDxfId="7972"/>
    <tableColumn id="8419" xr3:uid="{65EBCBF2-ECA4-4EAC-BD93-AADB9F148D33}" name="8639" dataDxfId="7971"/>
    <tableColumn id="8420" xr3:uid="{F32D9569-60C8-42C5-8B2E-808B8FB91ED1}" name="8640" dataDxfId="7970"/>
    <tableColumn id="8421" xr3:uid="{F693736A-F0CA-4C69-8A58-7EE88C9742DA}" name="8641" dataDxfId="7969"/>
    <tableColumn id="8422" xr3:uid="{EA31F2ED-8DA7-4972-B043-A4A449A686AE}" name="8642" dataDxfId="7968"/>
    <tableColumn id="8423" xr3:uid="{7A7760E8-0E95-4E2F-963E-E94187368B57}" name="8643" dataDxfId="7967"/>
    <tableColumn id="8424" xr3:uid="{B0E733BE-3356-4058-9DD9-F0EE6BEB07D2}" name="8644" dataDxfId="7966"/>
    <tableColumn id="8425" xr3:uid="{10D94C21-A3F3-4E12-9992-3217F5ABA4E3}" name="8645" dataDxfId="7965"/>
    <tableColumn id="8426" xr3:uid="{B469AA96-5555-4F95-90E7-F7DCCD60E07E}" name="8646" dataDxfId="7964"/>
    <tableColumn id="8427" xr3:uid="{CE8858BB-6CD8-4C0E-8536-957108CB365A}" name="8647" dataDxfId="7963"/>
    <tableColumn id="8428" xr3:uid="{E1F95285-F568-43DB-82A1-C8212DC77058}" name="8648" dataDxfId="7962"/>
    <tableColumn id="8429" xr3:uid="{95F5AE3E-0191-4482-9359-5AF76778A99E}" name="8649" dataDxfId="7961"/>
    <tableColumn id="8430" xr3:uid="{95911E46-54F3-466E-AF9D-1E312D123045}" name="8650" dataDxfId="7960"/>
    <tableColumn id="8431" xr3:uid="{E3DE4D0F-D470-4728-A071-54CEBD613811}" name="8651" dataDxfId="7959"/>
    <tableColumn id="8432" xr3:uid="{620007C7-0834-4076-9B64-0F6935EECC88}" name="8652" dataDxfId="7958"/>
    <tableColumn id="8433" xr3:uid="{810A05B1-FDBD-4B6E-A0D6-0BFE98BC4DC2}" name="8653" dataDxfId="7957"/>
    <tableColumn id="8434" xr3:uid="{B86D1DF3-C9B1-4260-8D13-A2F0F2BA222E}" name="8654" dataDxfId="7956"/>
    <tableColumn id="8435" xr3:uid="{E9BC11CC-BEE4-4F3C-804A-9C7A44104CFB}" name="8655" dataDxfId="7955"/>
    <tableColumn id="8436" xr3:uid="{EE691B0B-080F-475D-AF62-77E6256A2775}" name="8656" dataDxfId="7954"/>
    <tableColumn id="8437" xr3:uid="{28B5254A-A8F4-4695-AB83-2B68D1242558}" name="8657" dataDxfId="7953"/>
    <tableColumn id="8438" xr3:uid="{CB911231-858C-4CF5-A0A0-349DFA7D6617}" name="8658" dataDxfId="7952"/>
    <tableColumn id="8439" xr3:uid="{A635C3DA-D9AC-40BE-AEC7-DC65F12E74E5}" name="8659" dataDxfId="7951"/>
    <tableColumn id="8440" xr3:uid="{38AAF0B2-4E40-42E3-B63C-16E27FC010E4}" name="8660" dataDxfId="7950"/>
    <tableColumn id="8441" xr3:uid="{A7216FBC-4EC0-47C4-887E-88BBADA469DF}" name="8661" dataDxfId="7949"/>
    <tableColumn id="8442" xr3:uid="{7A265328-0902-445A-AD99-9C3940331FA3}" name="8662" dataDxfId="7948"/>
    <tableColumn id="8443" xr3:uid="{4988F6F5-6CFC-401D-8475-6F3C6C84DA79}" name="8663" dataDxfId="7947"/>
    <tableColumn id="8444" xr3:uid="{4056D914-0186-4B91-9771-8D19F5273A0D}" name="8664" dataDxfId="7946"/>
    <tableColumn id="8445" xr3:uid="{C29BBA33-F0E7-4F06-B2DB-48CF99133021}" name="8665" dataDxfId="7945"/>
    <tableColumn id="8446" xr3:uid="{8887C579-A033-4421-9562-B27E077557A0}" name="8666" dataDxfId="7944"/>
    <tableColumn id="8447" xr3:uid="{070BEE43-59A1-4647-8684-B9257153BCF4}" name="8667" dataDxfId="7943"/>
    <tableColumn id="8448" xr3:uid="{655C0860-65F8-4224-8586-19A108DDE1CB}" name="8668" dataDxfId="7942"/>
    <tableColumn id="8449" xr3:uid="{AB0C05F7-A401-4A85-A0C8-4072BBA10931}" name="8669" dataDxfId="7941"/>
    <tableColumn id="8450" xr3:uid="{9D5B71B3-C1F5-49A7-BC12-0D2907EBD764}" name="8670" dataDxfId="7940"/>
    <tableColumn id="8451" xr3:uid="{BEA0E396-4605-495C-AE90-D86025458CBB}" name="8671" dataDxfId="7939"/>
    <tableColumn id="8452" xr3:uid="{B5C58C2C-3E0A-4E2D-A957-3D1A7A70F243}" name="8672" dataDxfId="7938"/>
    <tableColumn id="8453" xr3:uid="{D8DB6F3D-658D-4DFC-A76E-8579387FBDEE}" name="8673" dataDxfId="7937"/>
    <tableColumn id="8454" xr3:uid="{14EA495C-543B-4D51-8927-B3920545EE5B}" name="8674" dataDxfId="7936"/>
    <tableColumn id="8455" xr3:uid="{3CCA0B75-2750-4DD0-B996-38BBAD903025}" name="8675" dataDxfId="7935"/>
    <tableColumn id="8456" xr3:uid="{3909DF10-EA51-49D1-A60B-3E4CC1663A2D}" name="8676" dataDxfId="7934"/>
    <tableColumn id="8457" xr3:uid="{D54E5306-8E06-43CA-8121-A47596A9D6FA}" name="8677" dataDxfId="7933"/>
    <tableColumn id="8458" xr3:uid="{D5844A56-B99C-402C-BB89-6308C92148AD}" name="8678" dataDxfId="7932"/>
    <tableColumn id="8459" xr3:uid="{ECF73F21-0443-4F23-8215-952F3589AA0B}" name="8679" dataDxfId="7931"/>
    <tableColumn id="8460" xr3:uid="{E73ED6D0-8A02-4E44-BE95-D30F9A3EE41B}" name="8680" dataDxfId="7930"/>
    <tableColumn id="8461" xr3:uid="{2AA8C754-D49F-4195-B35E-078CB1E23AB4}" name="8681" dataDxfId="7929"/>
    <tableColumn id="8462" xr3:uid="{807D7CF3-B48D-4F30-A70A-354244001392}" name="8682" dataDxfId="7928"/>
    <tableColumn id="8463" xr3:uid="{1167F772-57DA-4CCE-A106-B2BED7832278}" name="8683" dataDxfId="7927"/>
    <tableColumn id="8464" xr3:uid="{4F829DFA-C63F-44F2-82C7-0E1A207939CC}" name="8684" dataDxfId="7926"/>
    <tableColumn id="8465" xr3:uid="{8A70D455-F874-4F05-A05E-A06BBC7B4286}" name="8685" dataDxfId="7925"/>
    <tableColumn id="8466" xr3:uid="{D156D398-75C8-45C2-830C-62B1DCD26E48}" name="8686" dataDxfId="7924"/>
    <tableColumn id="8467" xr3:uid="{2C42C7AA-9205-451D-AC23-5186A963376B}" name="8687" dataDxfId="7923"/>
    <tableColumn id="8468" xr3:uid="{FA92094C-168A-4CB6-BB82-2A9C836C189D}" name="8688" dataDxfId="7922"/>
    <tableColumn id="8469" xr3:uid="{4A7FE5F1-249D-4EC8-884A-74C0E348B406}" name="8689" dataDxfId="7921"/>
    <tableColumn id="8470" xr3:uid="{87CD345D-844D-4C3D-8467-9FD9143C12B4}" name="8690" dataDxfId="7920"/>
    <tableColumn id="8471" xr3:uid="{0AE276E6-7B3C-4EB3-9AA7-78B471B9544E}" name="8691" dataDxfId="7919"/>
    <tableColumn id="8472" xr3:uid="{D965809E-CA87-4F21-8481-15706E88AB37}" name="8692" dataDxfId="7918"/>
    <tableColumn id="8473" xr3:uid="{FCF98631-6B8A-473F-B2E2-53D0F7B847F3}" name="8693" dataDxfId="7917"/>
    <tableColumn id="8474" xr3:uid="{7D7E706F-935C-49F7-8264-330160B66496}" name="8694" dataDxfId="7916"/>
    <tableColumn id="8475" xr3:uid="{ECFFAF2F-D9DE-48AA-A9C5-52CFD57DFA69}" name="8695" dataDxfId="7915"/>
    <tableColumn id="8476" xr3:uid="{7E0BD6CE-AC17-4C1E-A8D3-B0D4D4E2AC94}" name="8696" dataDxfId="7914"/>
    <tableColumn id="8477" xr3:uid="{A14D1C45-45BC-47F7-9CCD-3E3166F5F6D0}" name="8697" dataDxfId="7913"/>
    <tableColumn id="8478" xr3:uid="{27732499-0ED6-4AF9-B2E7-65554F503E35}" name="8698" dataDxfId="7912"/>
    <tableColumn id="8479" xr3:uid="{B8A6C745-6199-400C-8E5C-8C5723B2905E}" name="8699" dataDxfId="7911"/>
    <tableColumn id="8480" xr3:uid="{20D275AD-3DBD-4BF1-8524-4CB608E5BFB7}" name="8700" dataDxfId="7910"/>
    <tableColumn id="8481" xr3:uid="{96D37828-05F7-492F-9F65-23B39FF80329}" name="8701" dataDxfId="7909"/>
    <tableColumn id="8482" xr3:uid="{55D5F31D-72C9-4D5B-AFC1-A71EE746B8D7}" name="8702" dataDxfId="7908"/>
    <tableColumn id="8483" xr3:uid="{3CF33CBD-EACC-4B3C-835C-BB268E922E98}" name="8703" dataDxfId="7907"/>
    <tableColumn id="8484" xr3:uid="{A94305F8-BE6A-4DAF-91CE-94017B3D0E28}" name="8704" dataDxfId="7906"/>
    <tableColumn id="8485" xr3:uid="{7EA1D420-1C2A-4887-9EF9-04D1F6C23F51}" name="8705" dataDxfId="7905"/>
    <tableColumn id="8486" xr3:uid="{B94FD989-AA7B-4DFB-A1DA-7734C5DD2D99}" name="8706" dataDxfId="7904"/>
    <tableColumn id="8487" xr3:uid="{3A8030B0-78AE-407A-A860-C1FA752E9040}" name="8707" dataDxfId="7903"/>
    <tableColumn id="8488" xr3:uid="{2EA0AA0F-D29C-4833-8C58-988FA8047279}" name="8708" dataDxfId="7902"/>
    <tableColumn id="8489" xr3:uid="{72115D36-D2DB-4F61-ADDE-1BA7AFECC1B9}" name="8709" dataDxfId="7901"/>
    <tableColumn id="8490" xr3:uid="{948F5D2E-D071-48CF-BBFB-07CAFBEE9BA8}" name="8710" dataDxfId="7900"/>
    <tableColumn id="8491" xr3:uid="{BDA6E990-00DB-45ED-B209-8BE43EBD5B2F}" name="8711" dataDxfId="7899"/>
    <tableColumn id="8492" xr3:uid="{8612EE6D-B8F4-4B90-AA56-27BD6829544F}" name="8712" dataDxfId="7898"/>
    <tableColumn id="8493" xr3:uid="{7E535DCC-2EC1-42BE-9563-389B58DA5380}" name="8713" dataDxfId="7897"/>
    <tableColumn id="8494" xr3:uid="{9A47524B-664E-4B88-A893-16D44A7FE276}" name="8714" dataDxfId="7896"/>
    <tableColumn id="8495" xr3:uid="{88D96EBC-BE89-4B5E-9A90-88C589FE3A40}" name="8715" dataDxfId="7895"/>
    <tableColumn id="8496" xr3:uid="{D5A3A30D-6E2A-40B8-A714-744E4FD3F9E1}" name="8716" dataDxfId="7894"/>
    <tableColumn id="8497" xr3:uid="{238AC040-9197-45DC-A898-CCE033D690C1}" name="8717" dataDxfId="7893"/>
    <tableColumn id="8498" xr3:uid="{C17808B0-2776-4DC3-BCF2-D0C342FFA877}" name="8718" dataDxfId="7892"/>
    <tableColumn id="8499" xr3:uid="{863639BA-2590-481D-A8FC-0213CC9B3B0B}" name="8719" dataDxfId="7891"/>
    <tableColumn id="8500" xr3:uid="{4C262FFF-1D8D-4F1E-9EF2-BD83E485B3F2}" name="8720" dataDxfId="7890"/>
    <tableColumn id="8501" xr3:uid="{02C5D909-7B50-4198-BB18-0115A639BB13}" name="8721" dataDxfId="7889"/>
    <tableColumn id="8502" xr3:uid="{A3EEDF16-4362-40FB-838F-1C71EA1B974C}" name="8722" dataDxfId="7888"/>
    <tableColumn id="8503" xr3:uid="{615A232B-E7D2-4D31-9000-3AB38CAF6123}" name="8723" dataDxfId="7887"/>
    <tableColumn id="8504" xr3:uid="{3C008AAE-0508-4F33-996E-C856EF1C0D80}" name="8724" dataDxfId="7886"/>
    <tableColumn id="8505" xr3:uid="{19CA89B7-FA33-432A-8A90-88D68FE3842E}" name="8725" dataDxfId="7885"/>
    <tableColumn id="8506" xr3:uid="{56497C6B-5BFA-4FEF-9A9D-46B3A45AF57C}" name="8726" dataDxfId="7884"/>
    <tableColumn id="8507" xr3:uid="{19ADB2AF-B650-469C-81C6-C2384C394CE2}" name="8727" dataDxfId="7883"/>
    <tableColumn id="8508" xr3:uid="{65611C8D-31F9-4193-AA71-D226C1374FC9}" name="8728" dataDxfId="7882"/>
    <tableColumn id="8509" xr3:uid="{947988E2-59AD-4D75-8F79-D24BBC49776A}" name="8729" dataDxfId="7881"/>
    <tableColumn id="8510" xr3:uid="{790BE3CB-1465-48FB-B6E2-2356D4636C72}" name="8730" dataDxfId="7880"/>
    <tableColumn id="8511" xr3:uid="{B2321885-DD71-43EC-B4F8-3E57E0A3808D}" name="8731" dataDxfId="7879"/>
    <tableColumn id="8512" xr3:uid="{20BF7152-E6DD-4AA9-ADCD-D3F5B5D05C4F}" name="8732" dataDxfId="7878"/>
    <tableColumn id="8513" xr3:uid="{77CA0ED4-D048-448E-8380-41F6FCE31D1B}" name="8733" dataDxfId="7877"/>
    <tableColumn id="8514" xr3:uid="{A712D7FB-2564-4EFC-9166-F2E9B5EC1744}" name="8734" dataDxfId="7876"/>
    <tableColumn id="8515" xr3:uid="{142F9804-23C6-4E87-BFEE-41E99114D6D1}" name="8735" dataDxfId="7875"/>
    <tableColumn id="8516" xr3:uid="{149E550B-4CB5-4D57-BD7E-BACF13DF3B77}" name="8736" dataDxfId="7874"/>
    <tableColumn id="8517" xr3:uid="{081ACF0D-DF76-4BBE-AC4B-BC7105B86A8B}" name="8737" dataDxfId="7873"/>
    <tableColumn id="8518" xr3:uid="{98F43B8A-6F38-4C09-9B66-B7CF7D6A93C2}" name="8738" dataDxfId="7872"/>
    <tableColumn id="8519" xr3:uid="{7A6A151B-7044-4FD2-93C1-61112145C33A}" name="8739" dataDxfId="7871"/>
    <tableColumn id="8520" xr3:uid="{3906E356-E5BE-4AE0-A5AB-9C2C269CA1FA}" name="8740" dataDxfId="7870"/>
    <tableColumn id="8521" xr3:uid="{8FEE973C-08D5-48E0-B167-DB3F1C7C33B6}" name="8741" dataDxfId="7869"/>
    <tableColumn id="8522" xr3:uid="{7C606CAE-D497-4E51-997A-DF9AAB537B96}" name="8742" dataDxfId="7868"/>
    <tableColumn id="8523" xr3:uid="{7BB436C8-E814-468C-B6A1-33EBDA2F496A}" name="8743" dataDxfId="7867"/>
    <tableColumn id="8524" xr3:uid="{2902A65E-524D-498F-A375-B966BDB2647C}" name="8744" dataDxfId="7866"/>
    <tableColumn id="8525" xr3:uid="{7F13A624-9795-47E1-93B7-E21FE03A696D}" name="8745" dataDxfId="7865"/>
    <tableColumn id="8526" xr3:uid="{5AE6B503-B50A-4199-8EF1-7396C047D4B2}" name="8746" dataDxfId="7864"/>
    <tableColumn id="8527" xr3:uid="{0C40037E-DBD9-40CD-9378-D4CDC21D4F04}" name="8747" dataDxfId="7863"/>
    <tableColumn id="8528" xr3:uid="{3895EC5C-EEB4-4D64-AFF7-A8D64969EA71}" name="8748" dataDxfId="7862"/>
    <tableColumn id="8529" xr3:uid="{650357CD-BC6D-4A0B-86FC-10191A247DD7}" name="8749" dataDxfId="7861"/>
    <tableColumn id="8530" xr3:uid="{B9F2337A-DFF1-4574-8EDF-F1EFE219CBC9}" name="8750" dataDxfId="7860"/>
    <tableColumn id="8531" xr3:uid="{A183269C-D3D0-4D5B-B7BB-A2CFD21D8ADA}" name="8751" dataDxfId="7859"/>
    <tableColumn id="8532" xr3:uid="{014DDEDE-4471-440E-BFE1-6598B70CAE5C}" name="8752" dataDxfId="7858"/>
    <tableColumn id="8533" xr3:uid="{8200CCCA-C2DF-40D0-899C-D18E07E7A289}" name="8753" dataDxfId="7857"/>
    <tableColumn id="8534" xr3:uid="{B0A33E79-B6DF-46A6-9217-25EA1741AB46}" name="8754" dataDxfId="7856"/>
    <tableColumn id="8535" xr3:uid="{23756308-EF46-406B-80CC-402CD79FD375}" name="8755" dataDxfId="7855"/>
    <tableColumn id="8536" xr3:uid="{13C6724D-08DB-4DE2-81FE-45015B325B64}" name="8756" dataDxfId="7854"/>
    <tableColumn id="8537" xr3:uid="{238E91A2-66A9-49C5-9A5F-7407427C16B7}" name="8757" dataDxfId="7853"/>
    <tableColumn id="8538" xr3:uid="{1ED9B08F-DB1F-4800-94FC-CA631EAA3C06}" name="8758" dataDxfId="7852"/>
    <tableColumn id="8539" xr3:uid="{C6AB519D-9B67-42D9-9A83-FF1814A062D9}" name="8759" dataDxfId="7851"/>
    <tableColumn id="8540" xr3:uid="{20CD100A-A73F-49BE-82BE-D9B75E1DC4E9}" name="8760" dataDxfId="7850"/>
    <tableColumn id="8541" xr3:uid="{6C9C1E16-6A8F-4B8D-BC3F-779A82804D5D}" name="8761" dataDxfId="7849"/>
    <tableColumn id="8542" xr3:uid="{45390325-9392-4F29-8FE0-C9BA09540B76}" name="8762" dataDxfId="7848"/>
    <tableColumn id="8543" xr3:uid="{6B181206-17F0-4037-9A83-F1AE81C71D5F}" name="8763" dataDxfId="7847"/>
    <tableColumn id="8544" xr3:uid="{80C9093B-A9E8-4B72-B811-0B669078187E}" name="8764" dataDxfId="7846"/>
    <tableColumn id="8545" xr3:uid="{9302D6CD-8A9B-41BD-99DC-9A33B49AB1E2}" name="8765" dataDxfId="7845"/>
    <tableColumn id="8546" xr3:uid="{79FDE65A-1D5A-4483-AB73-BAE0C1CC9FDB}" name="8766" dataDxfId="7844"/>
    <tableColumn id="8547" xr3:uid="{AAD01D1D-AEC6-4544-A949-1B7678D0EF68}" name="8767" dataDxfId="7843"/>
    <tableColumn id="8548" xr3:uid="{A99B6DF4-128D-4B50-94F8-2A542AC694F5}" name="8768" dataDxfId="7842"/>
    <tableColumn id="8549" xr3:uid="{F989FB5E-9474-43D9-9D7F-9E9B615C885F}" name="8769" dataDxfId="7841"/>
    <tableColumn id="8550" xr3:uid="{110BC0CE-CB6A-45AD-BAAA-436CA9247B80}" name="8770" dataDxfId="7840"/>
    <tableColumn id="8551" xr3:uid="{9793E6E3-B18B-482A-B557-BA5BEB94C539}" name="8771" dataDxfId="7839"/>
    <tableColumn id="8552" xr3:uid="{D0823D23-C5B8-4307-961B-C0AA5BF5235B}" name="8772" dataDxfId="7838"/>
    <tableColumn id="8553" xr3:uid="{1098D9DD-80D1-46D5-93F3-FE11B91F56E4}" name="8773" dataDxfId="7837"/>
    <tableColumn id="8554" xr3:uid="{E536FFF7-48C8-4BCF-957B-741BF5D95420}" name="8774" dataDxfId="7836"/>
    <tableColumn id="8555" xr3:uid="{376F2FEA-540F-4DC4-9356-101048280136}" name="8775" dataDxfId="7835"/>
    <tableColumn id="8556" xr3:uid="{84202269-B1A1-46F6-946D-188DB185483D}" name="8776" dataDxfId="7834"/>
    <tableColumn id="8557" xr3:uid="{372EA4A1-1668-4CE2-9BA3-716A889DB99B}" name="8777" dataDxfId="7833"/>
    <tableColumn id="8558" xr3:uid="{41816B09-6EB5-4A07-B1EF-C84C4F263C1F}" name="8778" dataDxfId="7832"/>
    <tableColumn id="8559" xr3:uid="{AB48FC0C-1B38-4AFA-9D1F-52F910B38140}" name="8779" dataDxfId="7831"/>
    <tableColumn id="8560" xr3:uid="{8ADB6706-575A-4FD1-B6AF-6E7C04BB0FA0}" name="8780" dataDxfId="7830"/>
    <tableColumn id="8561" xr3:uid="{78B22751-B538-4D62-BBE3-28339EB82B0B}" name="8781" dataDxfId="7829"/>
    <tableColumn id="8562" xr3:uid="{B4FDC22A-E23D-47E3-997F-DBC674729013}" name="8782" dataDxfId="7828"/>
    <tableColumn id="8563" xr3:uid="{1A22A5DB-3979-4A34-A172-6AAFB6A5AD9D}" name="8783" dataDxfId="7827"/>
    <tableColumn id="8564" xr3:uid="{25A187F3-F1ED-4766-9454-523209F75320}" name="8784" dataDxfId="7826"/>
    <tableColumn id="8565" xr3:uid="{9CB5CF4D-9DD3-4862-8789-0069F12CF836}" name="8785" dataDxfId="7825"/>
    <tableColumn id="8566" xr3:uid="{CA91D99E-5AD2-4DB1-8C80-EC35C22E7EDF}" name="8786" dataDxfId="7824"/>
    <tableColumn id="8567" xr3:uid="{14388F53-E41C-44CD-A771-8A8067EB6223}" name="8787" dataDxfId="7823"/>
    <tableColumn id="8568" xr3:uid="{733EEFBF-BE49-4672-9E46-19125DCEEC30}" name="8788" dataDxfId="7822"/>
    <tableColumn id="8569" xr3:uid="{85B2F43E-FD17-4EC5-AC0E-47580D48F12B}" name="8789" dataDxfId="7821"/>
    <tableColumn id="8570" xr3:uid="{3B6F7657-306A-40CB-AC60-E4CF1FEDBB38}" name="8790" dataDxfId="7820"/>
    <tableColumn id="8571" xr3:uid="{8B79EB3D-5FEA-4654-86F9-C404F6A6699D}" name="8791" dataDxfId="7819"/>
    <tableColumn id="8572" xr3:uid="{A58D8417-07F0-4F16-A43E-F0741828844E}" name="8792" dataDxfId="7818"/>
    <tableColumn id="8573" xr3:uid="{52D8163D-FBC4-468B-A02F-2145C80604ED}" name="8793" dataDxfId="7817"/>
    <tableColumn id="8574" xr3:uid="{835BB09C-C3B8-4DF7-AE07-10AF2D9BA2F4}" name="8794" dataDxfId="7816"/>
    <tableColumn id="8575" xr3:uid="{12E0DDFD-8677-49A8-8C45-311D99912AAC}" name="8795" dataDxfId="7815"/>
    <tableColumn id="8576" xr3:uid="{31ECFC9F-CF4E-45B9-A146-FA4C02252DAE}" name="8796" dataDxfId="7814"/>
    <tableColumn id="8577" xr3:uid="{C6FC7876-9137-4950-A1BC-311F4F22CE26}" name="8797" dataDxfId="7813"/>
    <tableColumn id="8578" xr3:uid="{C9E22ABA-DB91-4D73-B9C2-215038D35200}" name="8798" dataDxfId="7812"/>
    <tableColumn id="8579" xr3:uid="{82B7BAB1-7BFF-4AD4-A928-258BA34E216F}" name="8799" dataDxfId="7811"/>
    <tableColumn id="8580" xr3:uid="{F6101240-9B1D-4D34-A74F-2DF13C85B539}" name="8800" dataDxfId="7810"/>
    <tableColumn id="8581" xr3:uid="{29EFE13F-8C1B-4D3F-B47A-08143F3FE42E}" name="8801" dataDxfId="7809"/>
    <tableColumn id="8582" xr3:uid="{57DADAAA-851A-4A00-B9B3-3D1CEADBED04}" name="8802" dataDxfId="7808"/>
    <tableColumn id="8583" xr3:uid="{4E9ECFAC-3345-4B41-A92F-ABB0F941D4CA}" name="8803" dataDxfId="7807"/>
    <tableColumn id="8584" xr3:uid="{E7B92E51-F495-493E-A471-DE4D8D91EDCA}" name="8804" dataDxfId="7806"/>
    <tableColumn id="8585" xr3:uid="{2E23AF1A-7032-4C89-A09C-C075041A8394}" name="8805" dataDxfId="7805"/>
    <tableColumn id="8586" xr3:uid="{FD220264-66CA-4F07-B73B-E62F72C6BE58}" name="8806" dataDxfId="7804"/>
    <tableColumn id="8587" xr3:uid="{2192E2D3-8250-467C-A74F-45C48CCF1693}" name="8807" dataDxfId="7803"/>
    <tableColumn id="8588" xr3:uid="{36F1BB9B-7225-464B-8AD7-FEF263421E79}" name="8808" dataDxfId="7802"/>
    <tableColumn id="8589" xr3:uid="{1CA1DF58-73CA-4E2C-8DC5-4ABDB3D5F79E}" name="8809" dataDxfId="7801"/>
    <tableColumn id="8590" xr3:uid="{E62DA292-6DC8-479A-A31D-D96EA5066B03}" name="8810" dataDxfId="7800"/>
    <tableColumn id="8591" xr3:uid="{20EBAB5E-3894-44CA-9BEF-F77A016DAF4E}" name="8811" dataDxfId="7799"/>
    <tableColumn id="8592" xr3:uid="{A8C23997-D749-4736-B9EC-D0E41AAF1305}" name="8812" dataDxfId="7798"/>
    <tableColumn id="8593" xr3:uid="{5E40036E-B57D-49E0-80AC-A2C501549AFE}" name="8813" dataDxfId="7797"/>
    <tableColumn id="8594" xr3:uid="{C5AC53B5-1C40-46A8-A74A-3FD9081D8216}" name="8814" dataDxfId="7796"/>
    <tableColumn id="8595" xr3:uid="{86C287D8-33AB-4A46-9D41-38957BB6D993}" name="8815" dataDxfId="7795"/>
    <tableColumn id="8596" xr3:uid="{B710C075-3843-46F4-869B-6B81155C20CF}" name="8816" dataDxfId="7794"/>
    <tableColumn id="8597" xr3:uid="{0BAAAE87-855C-44E1-A821-7BF08E29AE22}" name="8817" dataDxfId="7793"/>
    <tableColumn id="8598" xr3:uid="{820A53E5-F449-490C-B68F-832D60776DEA}" name="8818" dataDxfId="7792"/>
    <tableColumn id="8599" xr3:uid="{8D209485-8F42-4F9C-9A6E-E23DF45C903D}" name="8819" dataDxfId="7791"/>
    <tableColumn id="8600" xr3:uid="{1197184B-3C0D-4FCC-B0AE-92C1BBF16541}" name="8820" dataDxfId="7790"/>
    <tableColumn id="8601" xr3:uid="{840DC5BE-ACC6-46BF-ABC0-0CCC198BF6F0}" name="8821" dataDxfId="7789"/>
    <tableColumn id="8602" xr3:uid="{0E4BF82B-CB76-4F5B-BCBD-45804857EB50}" name="8822" dataDxfId="7788"/>
    <tableColumn id="8603" xr3:uid="{AFEEA1D3-D38B-4449-9F65-DCB33B8AE134}" name="8823" dataDxfId="7787"/>
    <tableColumn id="8604" xr3:uid="{3A90FE60-90D5-49FB-B57C-96C2E9209611}" name="8824" dataDxfId="7786"/>
    <tableColumn id="8605" xr3:uid="{72F0E6B9-53A8-4A5F-BD91-DA500BF4AD84}" name="8825" dataDxfId="7785"/>
    <tableColumn id="8606" xr3:uid="{C3B7D5C5-3FCF-43EB-AC74-771B3F8DB0F1}" name="8826" dataDxfId="7784"/>
    <tableColumn id="8607" xr3:uid="{574F6ADF-FED8-46A9-9ED0-CFE2CAC06359}" name="8827" dataDxfId="7783"/>
    <tableColumn id="8608" xr3:uid="{4F39BF31-95C5-4123-AA08-060BB4898648}" name="8828" dataDxfId="7782"/>
    <tableColumn id="8609" xr3:uid="{A9C895AD-52B6-4AAE-A702-935B2A122445}" name="8829" dataDxfId="7781"/>
    <tableColumn id="8610" xr3:uid="{E80C18CE-4BF0-4498-BBD2-F189F40C8238}" name="8830" dataDxfId="7780"/>
    <tableColumn id="8611" xr3:uid="{8EC7F222-2534-4EFB-905D-02BA70FC8321}" name="8831" dataDxfId="7779"/>
    <tableColumn id="8612" xr3:uid="{8C6EC175-A73E-4E3C-96FA-B0101808006E}" name="8832" dataDxfId="7778"/>
    <tableColumn id="8613" xr3:uid="{D0E8673C-55D0-4F68-9668-818ADC9A9F73}" name="8833" dataDxfId="7777"/>
    <tableColumn id="8614" xr3:uid="{E11532E1-9F66-4F5F-AEE1-F6106A089A9C}" name="8834" dataDxfId="7776"/>
    <tableColumn id="8615" xr3:uid="{D6FEEB2B-4CEA-4EE8-82D9-A0FB9671C5B9}" name="8835" dataDxfId="7775"/>
    <tableColumn id="8616" xr3:uid="{D0CB56A2-8A41-4883-94AE-8FBC048A2659}" name="8836" dataDxfId="7774"/>
    <tableColumn id="8617" xr3:uid="{A70E8DC3-6682-4417-B7D2-E4AE1E159BB8}" name="8837" dataDxfId="7773"/>
    <tableColumn id="8618" xr3:uid="{9C964622-9A94-4934-BE37-AD84ACEF32B8}" name="8838" dataDxfId="7772"/>
    <tableColumn id="8619" xr3:uid="{B2EDFCE9-0394-44A5-8742-4C59D1658C16}" name="8839" dataDxfId="7771"/>
    <tableColumn id="8620" xr3:uid="{712EB6E0-438D-4AC8-AC3C-6AF058318275}" name="8840" dataDxfId="7770"/>
    <tableColumn id="8621" xr3:uid="{A356D7BD-A7A0-4EEE-9CBB-67F0CEFDD4D0}" name="8841" dataDxfId="7769"/>
    <tableColumn id="8622" xr3:uid="{CF34D0D7-F1F1-4233-A1D7-0EC9E01C84B4}" name="8842" dataDxfId="7768"/>
    <tableColumn id="8623" xr3:uid="{3F60DEB4-8EFD-4E94-B4C6-9C305531ECCF}" name="8843" dataDxfId="7767"/>
    <tableColumn id="8624" xr3:uid="{A5716008-A643-4656-9EA1-2BC4A695C357}" name="8844" dataDxfId="7766"/>
    <tableColumn id="8625" xr3:uid="{2BF8A4CC-B9BA-4500-B602-B403C414AE14}" name="8845" dataDxfId="7765"/>
    <tableColumn id="8626" xr3:uid="{706E4D0B-45BC-4E93-8ACE-DFD011A6DD9C}" name="8846" dataDxfId="7764"/>
    <tableColumn id="8627" xr3:uid="{415DA7B8-E6CF-4080-8E6B-9298CF8AF466}" name="8847" dataDxfId="7763"/>
    <tableColumn id="8628" xr3:uid="{EC6D54AD-665B-4E42-9066-7D39355734C1}" name="8848" dataDxfId="7762"/>
    <tableColumn id="8629" xr3:uid="{5DCB63F4-BAA8-4C8C-96BC-EAE476719BAF}" name="8849" dataDxfId="7761"/>
    <tableColumn id="8630" xr3:uid="{256A46E6-6997-4388-87CD-08C6537B7937}" name="8850" dataDxfId="7760"/>
    <tableColumn id="8631" xr3:uid="{C0E2CB05-A2DF-45B5-8530-ABD3F58FCEAD}" name="8851" dataDxfId="7759"/>
    <tableColumn id="8632" xr3:uid="{4218F156-D3D0-4B95-8E85-9035EABEF284}" name="8852" dataDxfId="7758"/>
    <tableColumn id="8633" xr3:uid="{C878AB40-2949-4D72-A31D-2A235E604321}" name="8853" dataDxfId="7757"/>
    <tableColumn id="8634" xr3:uid="{2B674B85-4C59-41FE-9601-FD9F71A3E4EE}" name="8854" dataDxfId="7756"/>
    <tableColumn id="8635" xr3:uid="{F55047EF-BEAD-4C92-8B2C-DBEE866D630B}" name="8855" dataDxfId="7755"/>
    <tableColumn id="8636" xr3:uid="{6E1ECC4A-E5CB-4276-B352-3EE927B59DB5}" name="8856" dataDxfId="7754"/>
    <tableColumn id="8637" xr3:uid="{625D27A1-1835-420F-AB4F-66E7F111634E}" name="8857" dataDxfId="7753"/>
    <tableColumn id="8638" xr3:uid="{19A7BC0D-BBE5-4A3E-BED7-DEFBE14BF50B}" name="8858" dataDxfId="7752"/>
    <tableColumn id="8639" xr3:uid="{9E3F5390-F480-4AC9-9BBF-BE8424E697AF}" name="8859" dataDxfId="7751"/>
    <tableColumn id="8640" xr3:uid="{12D8B0F6-DD04-4968-BB7F-78D4FF1A15FF}" name="8860" dataDxfId="7750"/>
    <tableColumn id="8641" xr3:uid="{68A7D254-808E-4D2C-9DB2-C5DDCA1317D7}" name="8861" dataDxfId="7749"/>
    <tableColumn id="8642" xr3:uid="{9F686F3F-6A3E-456E-957F-54AB92AA2590}" name="8862" dataDxfId="7748"/>
    <tableColumn id="8643" xr3:uid="{7C8AB731-99D2-4C23-9B02-FCA2F849BA1B}" name="8863" dataDxfId="7747"/>
    <tableColumn id="8644" xr3:uid="{5AA77F07-0ABD-4FD6-8DA1-0E4930AEF829}" name="8864" dataDxfId="7746"/>
    <tableColumn id="8645" xr3:uid="{A96ADCA1-75F5-45B1-B4AE-E008C4F17A4F}" name="8865" dataDxfId="7745"/>
    <tableColumn id="8646" xr3:uid="{F9127772-55DA-4EF0-AD04-722206EC815B}" name="8866" dataDxfId="7744"/>
    <tableColumn id="8647" xr3:uid="{9193F79F-1442-4773-B275-4F7181AF4502}" name="8867" dataDxfId="7743"/>
    <tableColumn id="8648" xr3:uid="{7DADA464-99DD-44C5-B488-C4E9543E57D6}" name="8868" dataDxfId="7742"/>
    <tableColumn id="8649" xr3:uid="{8FA562A6-20BF-4907-B3B6-5D0394A36838}" name="8869" dataDxfId="7741"/>
    <tableColumn id="8650" xr3:uid="{C3653F4A-2113-495A-8FC2-91214E125F4B}" name="8870" dataDxfId="7740"/>
    <tableColumn id="8651" xr3:uid="{AF556369-D893-438D-B874-2355450407A1}" name="8871" dataDxfId="7739"/>
    <tableColumn id="8652" xr3:uid="{F87CF85D-83FB-46D1-8153-C3790F812310}" name="8872" dataDxfId="7738"/>
    <tableColumn id="8653" xr3:uid="{C8838979-76E3-4BAA-B5B0-D2AE2C1A35A0}" name="8873" dataDxfId="7737"/>
    <tableColumn id="8654" xr3:uid="{09D32D59-53DA-42F2-AC47-B26E4DDE4135}" name="8874" dataDxfId="7736"/>
    <tableColumn id="8655" xr3:uid="{EAC3DD00-B462-4A4E-BA27-4DBAEB819A7F}" name="8875" dataDxfId="7735"/>
    <tableColumn id="8656" xr3:uid="{746E5249-F975-4548-A31C-3AFF17755341}" name="8876" dataDxfId="7734"/>
    <tableColumn id="8657" xr3:uid="{4FA62B86-E423-46C1-88A2-9DDDA96B2337}" name="8877" dataDxfId="7733"/>
    <tableColumn id="8658" xr3:uid="{28930C33-A477-49F9-A1B8-629845176334}" name="8878" dataDxfId="7732"/>
    <tableColumn id="8659" xr3:uid="{38A04F04-B0A9-425B-9BCD-BA6E36214952}" name="8879" dataDxfId="7731"/>
    <tableColumn id="8660" xr3:uid="{DFE14964-0B66-4D11-A0B6-D572AD606156}" name="8880" dataDxfId="7730"/>
    <tableColumn id="8661" xr3:uid="{57819FAA-C312-4F15-8F1D-E890AC3E2F4C}" name="8881" dataDxfId="7729"/>
    <tableColumn id="8662" xr3:uid="{89918FD9-B5AE-44D6-B244-02707206A806}" name="8882" dataDxfId="7728"/>
    <tableColumn id="8663" xr3:uid="{B689C7C3-5162-43E5-83FD-54E5363FA9EF}" name="8883" dataDxfId="7727"/>
    <tableColumn id="8664" xr3:uid="{A9DEFD63-A040-4330-912D-1A494D19D3B2}" name="8884" dataDxfId="7726"/>
    <tableColumn id="8665" xr3:uid="{8FC803C3-DCB3-4EC3-9D40-C431AFA1B8AB}" name="8885" dataDxfId="7725"/>
    <tableColumn id="8666" xr3:uid="{94D646B3-1587-44D1-AD26-BE50350E7642}" name="8886" dataDxfId="7724"/>
    <tableColumn id="8667" xr3:uid="{CE34218B-ADD5-425F-A982-7843AF6E0D53}" name="8887" dataDxfId="7723"/>
    <tableColumn id="8668" xr3:uid="{584DE101-6FFB-498C-ABEF-7E4D9A41970D}" name="8888" dataDxfId="7722"/>
    <tableColumn id="8669" xr3:uid="{985DBCEB-8C3D-4935-9A9E-3E0A68153810}" name="8889" dataDxfId="7721"/>
    <tableColumn id="8670" xr3:uid="{946F9DDC-CD69-472C-BC1D-381171A34A78}" name="8890" dataDxfId="7720"/>
    <tableColumn id="8671" xr3:uid="{67C66E16-00E0-43EB-ACAC-2F855CF6738E}" name="8891" dataDxfId="7719"/>
    <tableColumn id="8672" xr3:uid="{66EE2252-BE8A-46EE-B692-587C0BF2DF2C}" name="8892" dataDxfId="7718"/>
    <tableColumn id="8673" xr3:uid="{F37A9511-314A-404D-BBD5-E1D9818EB3DE}" name="8893" dataDxfId="7717"/>
    <tableColumn id="8674" xr3:uid="{B0121DB7-0474-4EA9-8003-700A9E8A6B1A}" name="8894" dataDxfId="7716"/>
    <tableColumn id="8675" xr3:uid="{04A48F71-4851-4791-9712-605E10850127}" name="8895" dataDxfId="7715"/>
    <tableColumn id="8676" xr3:uid="{E8E970E3-22F2-46C2-BD1A-03AEF43FCD75}" name="8896" dataDxfId="7714"/>
    <tableColumn id="8677" xr3:uid="{776B7650-30A8-41AD-8FAB-51A9BFCD5EEE}" name="8897" dataDxfId="7713"/>
    <tableColumn id="8678" xr3:uid="{08284241-2782-4264-8603-030F422E85C0}" name="8898" dataDxfId="7712"/>
    <tableColumn id="8679" xr3:uid="{EA432682-4411-4690-9DBC-E0FF580BA46D}" name="8899" dataDxfId="7711"/>
    <tableColumn id="8680" xr3:uid="{3756A927-178F-49A8-B95F-6187A5999789}" name="8900" dataDxfId="7710"/>
    <tableColumn id="8681" xr3:uid="{4659D525-1CCB-4D1E-9071-810D1AD7CB3D}" name="8901" dataDxfId="7709"/>
    <tableColumn id="8682" xr3:uid="{E7F00786-DBE1-43C0-A1D3-17983845B05B}" name="8902" dataDxfId="7708"/>
    <tableColumn id="8683" xr3:uid="{AFBE966F-6523-4A78-9D8F-CED5B65B4BAA}" name="8903" dataDxfId="7707"/>
    <tableColumn id="8684" xr3:uid="{FA6DF12A-26A0-4046-9A78-5FBECA020B29}" name="8904" dataDxfId="7706"/>
    <tableColumn id="8685" xr3:uid="{D4DBE082-A235-47D1-9F16-0EAB576CD4D9}" name="8905" dataDxfId="7705"/>
    <tableColumn id="8686" xr3:uid="{F071777E-CB21-457C-A6E1-D91B1D5BBF7A}" name="8906" dataDxfId="7704"/>
    <tableColumn id="8687" xr3:uid="{7071FE65-8346-45F4-AA64-8A567B1AAF60}" name="8907" dataDxfId="7703"/>
    <tableColumn id="8688" xr3:uid="{29D6B9A9-8414-4313-B18A-C64F4D479CE0}" name="8908" dataDxfId="7702"/>
    <tableColumn id="8689" xr3:uid="{5741E3D2-77CE-4C31-82D7-BB7E62B58B56}" name="8909" dataDxfId="7701"/>
    <tableColumn id="8690" xr3:uid="{E35DA4BC-3B83-41F2-8BEE-5C0AF8DF5D16}" name="8910" dataDxfId="7700"/>
    <tableColumn id="8691" xr3:uid="{933D656F-CBFD-467C-AC75-5576371AF746}" name="8911" dataDxfId="7699"/>
    <tableColumn id="8692" xr3:uid="{2015385F-78EC-4DCD-9997-DAA4360EE4A0}" name="8912" dataDxfId="7698"/>
    <tableColumn id="8693" xr3:uid="{53A600F4-0196-4349-85EE-3D7A13572F69}" name="8913" dataDxfId="7697"/>
    <tableColumn id="8694" xr3:uid="{7DF2F86C-252A-4954-8CDD-208DCF8AE5FD}" name="8914" dataDxfId="7696"/>
    <tableColumn id="8695" xr3:uid="{4AC8F849-77C4-4BBC-AF2B-BCEC31DF544B}" name="8915" dataDxfId="7695"/>
    <tableColumn id="8696" xr3:uid="{20913D75-F1B8-47B2-85F3-A2126E5E583A}" name="8916" dataDxfId="7694"/>
    <tableColumn id="8697" xr3:uid="{23BDF17C-7A03-42E6-AF31-5973E9369226}" name="8917" dataDxfId="7693"/>
    <tableColumn id="8698" xr3:uid="{8BF42A15-07A6-48FB-995F-E0EA0A4BCD4E}" name="8918" dataDxfId="7692"/>
    <tableColumn id="8699" xr3:uid="{7EA35BAB-67E0-4ABD-BFE7-397FDCB352CD}" name="8919" dataDxfId="7691"/>
    <tableColumn id="8700" xr3:uid="{F8074FE0-20F8-48BB-9B84-CA0B2CB2860A}" name="8920" dataDxfId="7690"/>
    <tableColumn id="8701" xr3:uid="{9A3DD66F-1D04-40E8-861B-AD5E738663EC}" name="8921" dataDxfId="7689"/>
    <tableColumn id="8702" xr3:uid="{F19CDC5A-95A9-430E-8EE6-2C15A98FC082}" name="8922" dataDxfId="7688"/>
    <tableColumn id="8703" xr3:uid="{B4F7A570-44D1-45E4-95AC-C8689CE8881A}" name="8923" dataDxfId="7687"/>
    <tableColumn id="8704" xr3:uid="{6522352C-417A-42BD-9EC3-3F764A6B2FFE}" name="8924" dataDxfId="7686"/>
    <tableColumn id="8705" xr3:uid="{D4DFDCB3-61FC-4E87-A911-DE02F31E8C3B}" name="8925" dataDxfId="7685"/>
    <tableColumn id="8706" xr3:uid="{20B11E73-B123-4BF6-A499-7F75510A4E05}" name="8926" dataDxfId="7684"/>
    <tableColumn id="8707" xr3:uid="{C20CF0B5-E85A-4394-9FE0-913BD1D61E31}" name="8927" dataDxfId="7683"/>
    <tableColumn id="8708" xr3:uid="{44058A12-6E08-4D71-A87A-58F69FF46318}" name="8928" dataDxfId="7682"/>
    <tableColumn id="8709" xr3:uid="{99EC9C57-905B-43D9-8C86-784C58689A36}" name="8929" dataDxfId="7681"/>
    <tableColumn id="8710" xr3:uid="{F966027C-62FA-4FB5-8900-757AFE648A2C}" name="8930" dataDxfId="7680"/>
    <tableColumn id="8711" xr3:uid="{9568DBB1-10AF-4489-91D8-E14E1BEC86FE}" name="8931" dataDxfId="7679"/>
    <tableColumn id="8712" xr3:uid="{15958F93-13A8-45A2-9783-0A8A58A3B3AB}" name="8932" dataDxfId="7678"/>
    <tableColumn id="8713" xr3:uid="{9DA6A09F-BBA0-4302-B238-AAEE13EB5129}" name="8933" dataDxfId="7677"/>
    <tableColumn id="8714" xr3:uid="{A335E5CA-1BC4-4076-8AE9-745C961912F9}" name="8934" dataDxfId="7676"/>
    <tableColumn id="8715" xr3:uid="{C5556E34-CC56-4A01-92BC-8C6D6116C4EF}" name="8935" dataDxfId="7675"/>
    <tableColumn id="8716" xr3:uid="{CEAB6A64-AA52-4D3D-B91C-0F12638E6DEE}" name="8936" dataDxfId="7674"/>
    <tableColumn id="8717" xr3:uid="{70585C69-5406-402D-8187-0B600F513AE3}" name="8937" dataDxfId="7673"/>
    <tableColumn id="8718" xr3:uid="{11E7A13A-414F-4FB7-8E3E-E5BA30710956}" name="8938" dataDxfId="7672"/>
    <tableColumn id="8719" xr3:uid="{D84E9664-465C-4F08-8FFE-F2C5960BA536}" name="8939" dataDxfId="7671"/>
    <tableColumn id="8720" xr3:uid="{D4F6A6EA-B25A-4E22-9510-1874330D91D5}" name="8940" dataDxfId="7670"/>
    <tableColumn id="8721" xr3:uid="{100583A9-85C3-4DEE-AEEC-4DC1F56CB54D}" name="8941" dataDxfId="7669"/>
    <tableColumn id="8722" xr3:uid="{8981C2BE-7075-4990-B5A4-384CA24984C2}" name="8942" dataDxfId="7668"/>
    <tableColumn id="8723" xr3:uid="{819DEFD3-01E7-41AB-A772-8455D0C1DD19}" name="8943" dataDxfId="7667"/>
    <tableColumn id="8724" xr3:uid="{9AEE0BE3-F5CC-47C6-B10F-4C660B13292E}" name="8944" dataDxfId="7666"/>
    <tableColumn id="8725" xr3:uid="{F3013826-EA17-40EA-BB7A-CDDF63726A6D}" name="8945" dataDxfId="7665"/>
    <tableColumn id="8726" xr3:uid="{E55C9FDC-87D8-41E0-B9DB-7B9749A12180}" name="8946" dataDxfId="7664"/>
    <tableColumn id="8727" xr3:uid="{122FC5FA-664B-4C9F-82F7-F331FE3BC189}" name="8947" dataDxfId="7663"/>
    <tableColumn id="8728" xr3:uid="{6721D20C-0223-482D-9A95-69888B3AB664}" name="8948" dataDxfId="7662"/>
    <tableColumn id="8729" xr3:uid="{BE03B2E3-2E90-499C-94F2-66A26E1F054B}" name="8949" dataDxfId="7661"/>
    <tableColumn id="8730" xr3:uid="{3FACDD9D-BFAD-4AC3-A8E5-AA7DB9005679}" name="8950" dataDxfId="7660"/>
    <tableColumn id="8731" xr3:uid="{0A6B75C7-2768-4A29-B568-9E675E2E20C0}" name="8951" dataDxfId="7659"/>
    <tableColumn id="8732" xr3:uid="{261E7438-83D1-4BC8-BBAF-7CE76508A15E}" name="8952" dataDxfId="7658"/>
    <tableColumn id="8733" xr3:uid="{24CC2CD8-2C1F-4E77-B307-DFF4CBCBF1F5}" name="8953" dataDxfId="7657"/>
    <tableColumn id="8734" xr3:uid="{F0743FF4-CC0B-4595-BDD1-AACBE42CCC52}" name="8954" dataDxfId="7656"/>
    <tableColumn id="8735" xr3:uid="{073B02D0-CB03-4E5A-BE1F-CCC5F3F2F6B6}" name="8955" dataDxfId="7655"/>
    <tableColumn id="8736" xr3:uid="{78FDB779-FCBD-404B-A3AC-73FEF42C432B}" name="8956" dataDxfId="7654"/>
    <tableColumn id="8737" xr3:uid="{403F3F9A-07FB-4FAE-A9F0-F15E5FDC994C}" name="8957" dataDxfId="7653"/>
    <tableColumn id="8738" xr3:uid="{C7AC7477-8EDA-4B83-8638-209A26303040}" name="8958" dataDxfId="7652"/>
    <tableColumn id="8739" xr3:uid="{D5765FA1-990F-4E44-A9D4-C45335A46F5F}" name="8959" dataDxfId="7651"/>
    <tableColumn id="8740" xr3:uid="{C827B3EA-567B-477C-A905-9FA552D7AEE3}" name="8960" dataDxfId="7650"/>
    <tableColumn id="8741" xr3:uid="{78219929-1F29-4C4D-9BEF-65A06DC2D790}" name="8961" dataDxfId="7649"/>
    <tableColumn id="8742" xr3:uid="{D2561AEB-9A15-41D2-8E57-6AC9B4D9F00B}" name="8962" dataDxfId="7648"/>
    <tableColumn id="8743" xr3:uid="{0F991F82-2D77-437F-80D2-259940D3D547}" name="8963" dataDxfId="7647"/>
    <tableColumn id="8744" xr3:uid="{5AC7D648-18BB-451E-A627-7E6A515C8D35}" name="8964" dataDxfId="7646"/>
    <tableColumn id="8745" xr3:uid="{00EBAA20-F74A-459D-BBD7-72458BA94F6A}" name="8965" dataDxfId="7645"/>
    <tableColumn id="8746" xr3:uid="{47B1BB43-7385-4D9A-8BA7-33B469E1E132}" name="8966" dataDxfId="7644"/>
    <tableColumn id="8747" xr3:uid="{0F8F43AB-D1FC-462B-AA76-F5A98680CF42}" name="8967" dataDxfId="7643"/>
    <tableColumn id="8748" xr3:uid="{081AD26B-4518-4D17-BBE6-6B277EC99AA4}" name="8968" dataDxfId="7642"/>
    <tableColumn id="8749" xr3:uid="{1CF1DAAA-6254-4B5A-802A-9EA4C5978E13}" name="8969" dataDxfId="7641"/>
    <tableColumn id="8750" xr3:uid="{316A3579-3F19-4219-8D2C-E67BD0B1B67B}" name="8970" dataDxfId="7640"/>
    <tableColumn id="8751" xr3:uid="{2CA272BC-DF0C-4B42-83F6-7F01F488DBF2}" name="8971" dataDxfId="7639"/>
    <tableColumn id="8752" xr3:uid="{49A0BC2D-E561-4075-B126-79B9F5DF32CB}" name="8972" dataDxfId="7638"/>
    <tableColumn id="8753" xr3:uid="{C9B5A586-5F9C-406D-8993-25E1B69FDCB3}" name="8973" dataDxfId="7637"/>
    <tableColumn id="8754" xr3:uid="{17BFFE03-4B10-4C39-A039-A55656C3502C}" name="8974" dataDxfId="7636"/>
    <tableColumn id="8755" xr3:uid="{76BCA39E-7F05-465C-8AB5-244592D14322}" name="8975" dataDxfId="7635"/>
    <tableColumn id="8756" xr3:uid="{C270EB47-487F-426B-84BC-B04C353725CD}" name="8976" dataDxfId="7634"/>
    <tableColumn id="8757" xr3:uid="{BE26B49F-D2CB-4A71-9E15-D4C4D5C3B287}" name="8977" dataDxfId="7633"/>
    <tableColumn id="8758" xr3:uid="{75E02B8D-EF2B-4EBE-8F9E-318F3A8CA2D0}" name="8978" dataDxfId="7632"/>
    <tableColumn id="8759" xr3:uid="{85736C78-DF37-456E-A187-DF9EEF4FC5FD}" name="8979" dataDxfId="7631"/>
    <tableColumn id="8760" xr3:uid="{75160CDB-6A7B-44A9-8DC8-F39C11C171B9}" name="8980" dataDxfId="7630"/>
    <tableColumn id="8761" xr3:uid="{78C2F7CD-6537-401F-917F-9347C2F4071F}" name="8981" dataDxfId="7629"/>
    <tableColumn id="8762" xr3:uid="{E1E158AE-ABA3-46D0-8C62-AB431A54D5CF}" name="8982" dataDxfId="7628"/>
    <tableColumn id="8763" xr3:uid="{BA992E5F-EE65-455E-B38D-4DE9CEAFEF0F}" name="8983" dataDxfId="7627"/>
    <tableColumn id="8764" xr3:uid="{442214A7-7D13-427B-B942-7B44AECB71B5}" name="8984" dataDxfId="7626"/>
    <tableColumn id="8765" xr3:uid="{34B58EEE-4F24-4CCB-AEF7-E1E9872B61D6}" name="8985" dataDxfId="7625"/>
    <tableColumn id="8766" xr3:uid="{6602E2A7-8E55-4A08-8FD1-2A633BB3E580}" name="8986" dataDxfId="7624"/>
    <tableColumn id="8767" xr3:uid="{EDEA1360-A315-4F51-94C8-CF1D06086F2A}" name="8987" dataDxfId="7623"/>
    <tableColumn id="8768" xr3:uid="{7E9612D6-216F-4A26-BE11-3270EF155A07}" name="8988" dataDxfId="7622"/>
    <tableColumn id="8769" xr3:uid="{17001BF6-DECD-47AF-B632-036C80544D6A}" name="8989" dataDxfId="7621"/>
    <tableColumn id="8770" xr3:uid="{EE724E9B-AD14-49B3-95C8-7F4F845DB381}" name="8990" dataDxfId="7620"/>
    <tableColumn id="8771" xr3:uid="{3F791DDC-1063-403C-A567-F508CA1162F9}" name="8991" dataDxfId="7619"/>
    <tableColumn id="8772" xr3:uid="{0E167CEB-B4BD-4B08-AD29-740B32CE7EE6}" name="8992" dataDxfId="7618"/>
    <tableColumn id="8773" xr3:uid="{7CFA20B6-2A0E-4B27-A9BA-101D1A5E9F42}" name="8993" dataDxfId="7617"/>
    <tableColumn id="8774" xr3:uid="{26CDD4B5-118F-4105-A87D-0E93850643C2}" name="8994" dataDxfId="7616"/>
    <tableColumn id="8775" xr3:uid="{03598455-3342-4848-B1B8-BA04E110036F}" name="8995" dataDxfId="7615"/>
    <tableColumn id="8776" xr3:uid="{F255FC24-1BEC-4C30-84A7-EE2004013719}" name="8996" dataDxfId="7614"/>
    <tableColumn id="8777" xr3:uid="{CE7E8826-3292-485C-B281-79B5543ED018}" name="8997" dataDxfId="7613"/>
    <tableColumn id="8778" xr3:uid="{44FB9959-9EC5-4A20-9923-1186E98DB789}" name="8998" dataDxfId="7612"/>
    <tableColumn id="8779" xr3:uid="{81D2B62D-5CC5-4DC7-B90E-42BD642150A2}" name="8999" dataDxfId="7611"/>
    <tableColumn id="8780" xr3:uid="{DF2FA57C-B7CB-4829-B5D2-D4EC9DE99F16}" name="9000" dataDxfId="7610"/>
    <tableColumn id="8781" xr3:uid="{6BA5B5F7-B451-40AE-89CD-DA0A1A193D8B}" name="9001" dataDxfId="7609"/>
    <tableColumn id="8782" xr3:uid="{5017D099-7CC2-4F0F-834C-6E44E5FD409D}" name="9002" dataDxfId="7608"/>
    <tableColumn id="8783" xr3:uid="{FD5D9349-C13B-40A0-A242-09BE2F645095}" name="9003" dataDxfId="7607"/>
    <tableColumn id="8784" xr3:uid="{0CC2E241-8CFF-44A4-A276-69563C708E38}" name="9004" dataDxfId="7606"/>
    <tableColumn id="8785" xr3:uid="{527D737A-BCED-4F5F-8D97-FEA0374CAAAD}" name="9005" dataDxfId="7605"/>
    <tableColumn id="8786" xr3:uid="{1F32A105-1DCB-45DB-8AC7-40BAC9D3FB85}" name="9006" dataDxfId="7604"/>
    <tableColumn id="8787" xr3:uid="{17589065-BA88-4F84-8E90-5A872610D4C3}" name="9007" dataDxfId="7603"/>
    <tableColumn id="8788" xr3:uid="{24A50ADA-E61C-4D9E-A16F-4F2E5FDAD28A}" name="9008" dataDxfId="7602"/>
    <tableColumn id="8789" xr3:uid="{6D80ABE4-226D-4420-AE4F-3EEB61FC1747}" name="9009" dataDxfId="7601"/>
    <tableColumn id="8790" xr3:uid="{15D080DF-F3FC-4AB3-86E9-4D706AF9E511}" name="9010" dataDxfId="7600"/>
    <tableColumn id="8791" xr3:uid="{7AE326CA-203C-4443-831B-D61DE453A79B}" name="9011" dataDxfId="7599"/>
    <tableColumn id="8792" xr3:uid="{BBB25AC8-AD5C-49DF-A6DF-EF0B6C2ECA73}" name="9012" dataDxfId="7598"/>
    <tableColumn id="8793" xr3:uid="{AB6E34CA-A1B7-4E61-95E2-95C07B45B371}" name="9013" dataDxfId="7597"/>
    <tableColumn id="8794" xr3:uid="{CFE9AB77-3857-4EBB-9909-CC21A43A4E51}" name="9014" dataDxfId="7596"/>
    <tableColumn id="8795" xr3:uid="{338BB686-04D7-44D5-9DB1-AC2A04FEABB3}" name="9015" dataDxfId="7595"/>
    <tableColumn id="8796" xr3:uid="{B31F61EE-8DBB-4D65-BE93-46A9B9F5AB82}" name="9016" dataDxfId="7594"/>
    <tableColumn id="8797" xr3:uid="{292D2A41-A4D1-421A-80F3-8E7185BD8B6C}" name="9017" dataDxfId="7593"/>
    <tableColumn id="8798" xr3:uid="{5EB8F85D-3A2F-45B7-BF2D-A3CE0ACA7DBA}" name="9018" dataDxfId="7592"/>
    <tableColumn id="8799" xr3:uid="{C25ABDD6-10D8-4042-8357-A8D1D8CAA6FA}" name="9019" dataDxfId="7591"/>
    <tableColumn id="8800" xr3:uid="{9CE84849-881F-494A-B244-59B59E48024D}" name="9020" dataDxfId="7590"/>
    <tableColumn id="8801" xr3:uid="{D8B0A88F-E750-471E-8570-7CF5E7CB14AC}" name="9021" dataDxfId="7589"/>
    <tableColumn id="8802" xr3:uid="{222C340E-6C76-4831-9788-083DE108DB9F}" name="9022" dataDxfId="7588"/>
    <tableColumn id="8803" xr3:uid="{8B62F75B-1474-4D68-B9E5-96998BD1147B}" name="9023" dataDxfId="7587"/>
    <tableColumn id="8804" xr3:uid="{1D9730E5-0E6F-4FFD-9A48-A84AD5C1CCD7}" name="9024" dataDxfId="7586"/>
    <tableColumn id="8805" xr3:uid="{37809406-9624-4103-9B37-7E804C3A908C}" name="9025" dataDxfId="7585"/>
    <tableColumn id="8806" xr3:uid="{05B45850-6A4D-4569-831E-41FA2B8EBFB8}" name="9026" dataDxfId="7584"/>
    <tableColumn id="8807" xr3:uid="{60E511CA-41F9-4267-AFE1-2E2E8C6DEF57}" name="9027" dataDxfId="7583"/>
    <tableColumn id="8808" xr3:uid="{FE0DAF63-F47C-4F91-8684-62F89563A1CF}" name="9028" dataDxfId="7582"/>
    <tableColumn id="8809" xr3:uid="{EF345D6E-4A1E-4B8A-AF3C-B146AD203E23}" name="9029" dataDxfId="7581"/>
    <tableColumn id="8810" xr3:uid="{34E603E7-7B9F-4806-BDD0-AC2F8E0E45DD}" name="9030" dataDxfId="7580"/>
    <tableColumn id="8811" xr3:uid="{8810A93B-642E-4892-8F4A-8A34CCEF71FB}" name="9031" dataDxfId="7579"/>
    <tableColumn id="8812" xr3:uid="{470EE83C-1965-4139-81EE-CD72B7901C38}" name="9032" dataDxfId="7578"/>
    <tableColumn id="8813" xr3:uid="{6F8CF5B7-528A-43F0-934D-7983FBD1725E}" name="9033" dataDxfId="7577"/>
    <tableColumn id="8814" xr3:uid="{442CA343-5182-4663-81F1-3291303C34E1}" name="9034" dataDxfId="7576"/>
    <tableColumn id="8815" xr3:uid="{0AD7A522-7B4A-436C-A30E-499E566117BB}" name="9035" dataDxfId="7575"/>
    <tableColumn id="8816" xr3:uid="{73932AF0-6A94-4330-AF43-80BABBADA422}" name="9036" dataDxfId="7574"/>
    <tableColumn id="8817" xr3:uid="{5BD53E4A-1BEB-4627-8BA8-5E79347ACCF3}" name="9037" dataDxfId="7573"/>
    <tableColumn id="8818" xr3:uid="{1FFF7EAE-80BC-4140-891F-C94D4E356653}" name="9038" dataDxfId="7572"/>
    <tableColumn id="8819" xr3:uid="{A3D9D566-E68D-470A-84B8-9A615C124734}" name="9039" dataDxfId="7571"/>
    <tableColumn id="8820" xr3:uid="{51517E54-4B08-4A6A-92ED-2F5DF1E7109D}" name="9040" dataDxfId="7570"/>
    <tableColumn id="8821" xr3:uid="{B35E4A9B-CDCF-4BEE-B1F9-46254A804E06}" name="9041" dataDxfId="7569"/>
    <tableColumn id="8822" xr3:uid="{000F4656-4D07-43B8-87FC-BD887F383683}" name="9042" dataDxfId="7568"/>
    <tableColumn id="8823" xr3:uid="{68F73C3B-CC65-4293-A6D8-7BD9FA23D4C4}" name="9043" dataDxfId="7567"/>
    <tableColumn id="8824" xr3:uid="{680C24EC-DB76-4F3C-81AF-536AD0311A4C}" name="9044" dataDxfId="7566"/>
    <tableColumn id="8825" xr3:uid="{69D3755F-2325-42D0-ACE0-4FA4EC92C4BE}" name="9045" dataDxfId="7565"/>
    <tableColumn id="8826" xr3:uid="{2147EC9A-5380-4A77-B0DE-BDF31DF74BC3}" name="9046" dataDxfId="7564"/>
    <tableColumn id="8827" xr3:uid="{3784824F-4EA5-4408-976E-63484359D345}" name="9047" dataDxfId="7563"/>
    <tableColumn id="8828" xr3:uid="{0B476A55-44F2-497D-9740-D66FBC926763}" name="9048" dataDxfId="7562"/>
    <tableColumn id="8829" xr3:uid="{4EFCD273-90C5-4EA0-AEC4-4CEC7767E71A}" name="9049" dataDxfId="7561"/>
    <tableColumn id="8830" xr3:uid="{32B3F962-49BD-4AC2-A2A6-EE65497FD753}" name="9050" dataDxfId="7560"/>
    <tableColumn id="8831" xr3:uid="{F79501F8-431A-4328-902E-E38E9375488B}" name="9051" dataDxfId="7559"/>
    <tableColumn id="8832" xr3:uid="{C11951D0-1823-44EF-A0C9-D96D3F9FBE94}" name="9052" dataDxfId="7558"/>
    <tableColumn id="8833" xr3:uid="{D9E2E3EF-8A6D-4FBF-8850-753DF771C78A}" name="9053" dataDxfId="7557"/>
    <tableColumn id="8834" xr3:uid="{3895D9BA-58EB-4727-AC2E-F7A02D500162}" name="9054" dataDxfId="7556"/>
    <tableColumn id="8835" xr3:uid="{F0C229D0-D6E4-46DC-BA7D-E62C17951DF5}" name="9055" dataDxfId="7555"/>
    <tableColumn id="8836" xr3:uid="{31041FC0-F7B7-426F-964A-FD2A97912008}" name="9056" dataDxfId="7554"/>
    <tableColumn id="8837" xr3:uid="{BC49E8DB-3B22-4353-BC4C-F6C088087DA1}" name="9057" dataDxfId="7553"/>
    <tableColumn id="8838" xr3:uid="{69D4CF1D-9552-4A48-A933-C7A9A68D9D91}" name="9058" dataDxfId="7552"/>
    <tableColumn id="8839" xr3:uid="{02C96880-740E-4713-B1F8-3FCD9969BB4F}" name="9059" dataDxfId="7551"/>
    <tableColumn id="8840" xr3:uid="{D75E8253-6868-462F-B5D6-515F087CC4BD}" name="9060" dataDxfId="7550"/>
    <tableColumn id="8841" xr3:uid="{72702DB5-4063-4166-956A-70E370800628}" name="9061" dataDxfId="7549"/>
    <tableColumn id="8842" xr3:uid="{95CDF313-9167-4166-AF54-0124EA234E99}" name="9062" dataDxfId="7548"/>
    <tableColumn id="8843" xr3:uid="{7D32945D-D27C-4391-80D8-BAF7B3424853}" name="9063" dataDxfId="7547"/>
    <tableColumn id="8844" xr3:uid="{59A4981B-03E1-4E99-9695-618F066F1ADA}" name="9064" dataDxfId="7546"/>
    <tableColumn id="8845" xr3:uid="{AA816C44-7FBC-4089-8AD8-27A56B26B388}" name="9065" dataDxfId="7545"/>
    <tableColumn id="8846" xr3:uid="{8A486DB3-BB89-4CAA-B818-BEF2E9FA37F0}" name="9066" dataDxfId="7544"/>
    <tableColumn id="8847" xr3:uid="{C4CBB125-73A3-408B-ABB7-703C2ABBE51C}" name="9067" dataDxfId="7543"/>
    <tableColumn id="8848" xr3:uid="{0149B7E6-D160-4BF3-9728-637ED91D6083}" name="9068" dataDxfId="7542"/>
    <tableColumn id="8849" xr3:uid="{6D6DA2E2-57E0-4E18-8233-8D68EEB1ABB9}" name="9069" dataDxfId="7541"/>
    <tableColumn id="8850" xr3:uid="{BB104144-737D-4329-BCD2-1567BD5442F1}" name="9070" dataDxfId="7540"/>
    <tableColumn id="8851" xr3:uid="{6714896A-6754-4DBA-8C36-17AC2257901D}" name="9071" dataDxfId="7539"/>
    <tableColumn id="8852" xr3:uid="{A791AB94-26F9-4178-8B84-6F20B6A21C62}" name="9072" dataDxfId="7538"/>
    <tableColumn id="8853" xr3:uid="{B5466A94-B824-4AE5-A030-C3566C436956}" name="9073" dataDxfId="7537"/>
    <tableColumn id="8854" xr3:uid="{06978C17-5D6B-4901-B1AA-57FA3A3CF8C8}" name="9074" dataDxfId="7536"/>
    <tableColumn id="8855" xr3:uid="{D6879FCE-CC7E-4EB4-BE75-7BD3DE151ED1}" name="9075" dataDxfId="7535"/>
    <tableColumn id="8856" xr3:uid="{BD2672A7-6A1F-41A6-AEE4-981E8967FA13}" name="9076" dataDxfId="7534"/>
    <tableColumn id="8857" xr3:uid="{2D3F9BC4-D4E9-4E74-AB9F-9534585F7314}" name="9077" dataDxfId="7533"/>
    <tableColumn id="8858" xr3:uid="{EE65AEF9-8928-4826-8C41-FE8926303DC3}" name="9078" dataDxfId="7532"/>
    <tableColumn id="8859" xr3:uid="{B07742CA-16C7-4AA4-8297-8FEE0B442A89}" name="9079" dataDxfId="7531"/>
    <tableColumn id="8860" xr3:uid="{5E5689FF-137A-4754-A58D-34CA8B53D0BB}" name="9080" dataDxfId="7530"/>
    <tableColumn id="8861" xr3:uid="{59019E34-86E7-4D7C-8DFB-C76EE56CDCEC}" name="9081" dataDxfId="7529"/>
    <tableColumn id="8862" xr3:uid="{E0AA8D83-ECE5-4A17-A32D-093F93ECCD69}" name="9082" dataDxfId="7528"/>
    <tableColumn id="8863" xr3:uid="{1A0C9AF0-D60C-45C4-8BBE-E996D990D668}" name="9083" dataDxfId="7527"/>
    <tableColumn id="8864" xr3:uid="{08D88D39-8DA2-40C2-824A-F7039BF7B536}" name="9084" dataDxfId="7526"/>
    <tableColumn id="8865" xr3:uid="{A55BE00B-384E-4EA6-B8AD-62C638A5940B}" name="9085" dataDxfId="7525"/>
    <tableColumn id="8866" xr3:uid="{5370C83F-EC7C-4EDB-9E3B-5DF33B8CAE00}" name="9086" dataDxfId="7524"/>
    <tableColumn id="8867" xr3:uid="{851C4847-DEA9-4569-9048-BC8B0581D73B}" name="9087" dataDxfId="7523"/>
    <tableColumn id="8868" xr3:uid="{C51320D0-A092-4747-BE42-00FD8088D9F1}" name="9088" dataDxfId="7522"/>
    <tableColumn id="8869" xr3:uid="{338B45C7-19AA-4381-9388-8738F0A757E8}" name="9089" dataDxfId="7521"/>
    <tableColumn id="8870" xr3:uid="{ABE62934-40B5-4CD7-9B4F-8ACB049D58A6}" name="9090" dataDxfId="7520"/>
    <tableColumn id="8871" xr3:uid="{20785FF8-FF43-46FD-BB60-4343CB0DCA5E}" name="9091" dataDxfId="7519"/>
    <tableColumn id="8872" xr3:uid="{29328201-A1A2-497A-A5A6-96D2F5F54B78}" name="9092" dataDxfId="7518"/>
    <tableColumn id="8873" xr3:uid="{9553B9ED-E6F6-4467-AB75-22A2E39A0DD7}" name="9093" dataDxfId="7517"/>
    <tableColumn id="8874" xr3:uid="{D9229E12-623C-466B-A827-62B941D88B90}" name="9094" dataDxfId="7516"/>
    <tableColumn id="8875" xr3:uid="{3223E819-A519-4C66-83D2-86D529F7C2CA}" name="9095" dataDxfId="7515"/>
    <tableColumn id="8876" xr3:uid="{8A448145-7DE8-42D2-A2F4-8F48E8DD6F99}" name="9096" dataDxfId="7514"/>
    <tableColumn id="8877" xr3:uid="{A087F32A-49C1-49A5-AEE5-0254FA70015D}" name="9097" dataDxfId="7513"/>
    <tableColumn id="8878" xr3:uid="{8E9C5099-CCB8-4864-A137-009533AA91E2}" name="9098" dataDxfId="7512"/>
    <tableColumn id="8879" xr3:uid="{73A4AD2F-F0F4-4D84-BEE4-BD8FCA09CA6F}" name="9099" dataDxfId="7511"/>
    <tableColumn id="8880" xr3:uid="{FC22C606-1DC8-4E49-A0BC-9B01711E4F8D}" name="9100" dataDxfId="7510"/>
    <tableColumn id="8881" xr3:uid="{CD3926EC-D539-45DB-90D5-C249CC02CB0F}" name="9101" dataDxfId="7509"/>
    <tableColumn id="8882" xr3:uid="{B30F265D-3D61-494C-B669-52FE672A1352}" name="9102" dataDxfId="7508"/>
    <tableColumn id="8883" xr3:uid="{C786865D-B483-47F2-9BE3-A207973AD4A6}" name="9103" dataDxfId="7507"/>
    <tableColumn id="8884" xr3:uid="{B7CB9181-347B-44CF-B4BF-1605433DC000}" name="9104" dataDxfId="7506"/>
    <tableColumn id="8885" xr3:uid="{0B85A759-4839-406D-9ED0-15DBB29C3BED}" name="9105" dataDxfId="7505"/>
    <tableColumn id="8886" xr3:uid="{9F74EA48-D5FF-461B-9EA3-FC8668842AC6}" name="9106" dataDxfId="7504"/>
    <tableColumn id="8887" xr3:uid="{78BB6362-A539-4D3E-829E-2D065A7375CB}" name="9107" dataDxfId="7503"/>
    <tableColumn id="8888" xr3:uid="{85AB9EC3-B192-4E3B-BDFD-EF1132655613}" name="9108" dataDxfId="7502"/>
    <tableColumn id="8889" xr3:uid="{306C6772-F1E3-423B-A26E-09088D73B7FF}" name="9109" dataDxfId="7501"/>
    <tableColumn id="8890" xr3:uid="{5C442A51-46B8-46BE-A0DA-A26414B70168}" name="9110" dataDxfId="7500"/>
    <tableColumn id="8891" xr3:uid="{3E1F9882-9991-4E2A-B55B-3FD66713C31A}" name="9111" dataDxfId="7499"/>
    <tableColumn id="8892" xr3:uid="{1CB0AE3A-3091-48FA-83A8-7B6E97D23D19}" name="9112" dataDxfId="7498"/>
    <tableColumn id="8893" xr3:uid="{E15A124B-98EB-4D6E-B5AC-8517599DC937}" name="9113" dataDxfId="7497"/>
    <tableColumn id="8894" xr3:uid="{C52FFF1D-B4CC-4D28-8224-4957FB51EAC4}" name="9114" dataDxfId="7496"/>
    <tableColumn id="8895" xr3:uid="{46E9BE73-799A-46F1-8ECA-BE7B28CE3220}" name="9115" dataDxfId="7495"/>
    <tableColumn id="8896" xr3:uid="{2125548F-EBDB-4D90-B202-A076A89FA4DD}" name="9116" dataDxfId="7494"/>
    <tableColumn id="8897" xr3:uid="{13061ACA-9359-45D0-B846-65B689FC35A5}" name="9117" dataDxfId="7493"/>
    <tableColumn id="8898" xr3:uid="{E7907DD3-5098-4023-9845-479AE7880161}" name="9118" dataDxfId="7492"/>
    <tableColumn id="8899" xr3:uid="{EA381E98-3438-48E3-A8CB-28D552B8CBCC}" name="9119" dataDxfId="7491"/>
    <tableColumn id="8900" xr3:uid="{BE1E91EC-8483-4433-A480-4520DF993C04}" name="9120" dataDxfId="7490"/>
    <tableColumn id="8901" xr3:uid="{3EC4BEE9-EF6C-4200-A67B-7496A95A1BE3}" name="9121" dataDxfId="7489"/>
    <tableColumn id="8902" xr3:uid="{21CA823F-8D17-45F1-97F4-9893B4698A5C}" name="9122" dataDxfId="7488"/>
    <tableColumn id="8903" xr3:uid="{B39603DE-8531-4152-9DEB-11876DF66C6F}" name="9123" dataDxfId="7487"/>
    <tableColumn id="8904" xr3:uid="{89CAC513-FDB6-4AD3-8A12-798F67A33319}" name="9124" dataDxfId="7486"/>
    <tableColumn id="8905" xr3:uid="{0992723B-D5AA-458B-8FF8-7C7AF420D67D}" name="9125" dataDxfId="7485"/>
    <tableColumn id="8906" xr3:uid="{0091A777-FFE9-4B2E-9E1C-118CA2644951}" name="9126" dataDxfId="7484"/>
    <tableColumn id="8907" xr3:uid="{2EB3A279-520E-4CFF-8B3A-849BEC327BAC}" name="9127" dataDxfId="7483"/>
    <tableColumn id="8908" xr3:uid="{7FC01084-B853-49F6-9595-1D7823922A5B}" name="9128" dataDxfId="7482"/>
    <tableColumn id="8909" xr3:uid="{FD4EF88F-F1B6-4111-B33D-A2434A22CC82}" name="9129" dataDxfId="7481"/>
    <tableColumn id="8910" xr3:uid="{C418A978-2D82-4599-A522-21F5022B9D01}" name="9130" dataDxfId="7480"/>
    <tableColumn id="8911" xr3:uid="{679587B9-36AE-4D76-BBB0-CFF2ABC6BFF2}" name="9131" dataDxfId="7479"/>
    <tableColumn id="8912" xr3:uid="{C44EA6C2-86DE-41A0-B791-F2FE52D34651}" name="9132" dataDxfId="7478"/>
    <tableColumn id="8913" xr3:uid="{469A44FD-1949-4AF7-8732-2F764671DF48}" name="9133" dataDxfId="7477"/>
    <tableColumn id="8914" xr3:uid="{56F62DB3-F491-4507-8D8D-E699A84CF354}" name="9134" dataDxfId="7476"/>
    <tableColumn id="8915" xr3:uid="{505D6A96-CDE4-4244-AFF8-E8CE61E7387A}" name="9135" dataDxfId="7475"/>
    <tableColumn id="8916" xr3:uid="{0F129460-2F76-4D4A-B278-852824BABF50}" name="9136" dataDxfId="7474"/>
    <tableColumn id="8917" xr3:uid="{8D919EF3-C0EA-45FB-9496-8B86AE9272B9}" name="9137" dataDxfId="7473"/>
    <tableColumn id="8918" xr3:uid="{93E57038-F603-4A55-B3B9-36E0D00D3716}" name="9138" dataDxfId="7472"/>
    <tableColumn id="8919" xr3:uid="{FD6D410E-20ED-4B74-BE27-B18C94E24EC1}" name="9139" dataDxfId="7471"/>
    <tableColumn id="8920" xr3:uid="{141C46BC-27FA-4B80-9B63-64C5A0AFF840}" name="9140" dataDxfId="7470"/>
    <tableColumn id="8921" xr3:uid="{19E437CC-3F9F-450F-A316-1876F3138F8B}" name="9141" dataDxfId="7469"/>
    <tableColumn id="8922" xr3:uid="{AAD33568-73E3-4DD1-8C7F-D4240360391D}" name="9142" dataDxfId="7468"/>
    <tableColumn id="8923" xr3:uid="{EC67555F-1EC0-403A-9447-5EB49EE19FE1}" name="9143" dataDxfId="7467"/>
    <tableColumn id="8924" xr3:uid="{5BBA6525-D8AA-467A-9F01-0066866E1F8B}" name="9144" dataDxfId="7466"/>
    <tableColumn id="8925" xr3:uid="{9A5D1A15-86C0-4A22-9E0B-53C251D31526}" name="9145" dataDxfId="7465"/>
    <tableColumn id="8926" xr3:uid="{07B900A9-D8A6-4E9E-92F9-46F377A70EAF}" name="9146" dataDxfId="7464"/>
    <tableColumn id="8927" xr3:uid="{234B30DE-8F5B-463B-BC9D-3465B6846F9C}" name="9147" dataDxfId="7463"/>
    <tableColumn id="8928" xr3:uid="{A3BCD657-2A20-45D7-8B4C-23A305C136CB}" name="9148" dataDxfId="7462"/>
    <tableColumn id="8929" xr3:uid="{6A6A015D-0BF9-4292-8938-671F9AF45E43}" name="9149" dataDxfId="7461"/>
    <tableColumn id="8930" xr3:uid="{DA343FE3-E8FA-4E27-9292-6E241A395ADC}" name="9150" dataDxfId="7460"/>
    <tableColumn id="8931" xr3:uid="{34CB1BA9-A14F-4A39-8E8E-D300FCC57FF4}" name="9151" dataDxfId="7459"/>
    <tableColumn id="8932" xr3:uid="{949FF4B8-E29C-4835-8094-67E8B6367B03}" name="9152" dataDxfId="7458"/>
    <tableColumn id="8933" xr3:uid="{4D004869-C8D6-4DED-82B8-D3F13D48AAA0}" name="9153" dataDxfId="7457"/>
    <tableColumn id="8934" xr3:uid="{F38E79C0-9FE2-4A73-AEB8-020D78941E9F}" name="9154" dataDxfId="7456"/>
    <tableColumn id="8935" xr3:uid="{3FF3343F-D33E-47A7-ACA8-8227DE97D115}" name="9155" dataDxfId="7455"/>
    <tableColumn id="8936" xr3:uid="{9F31F92B-0398-42F1-BCE3-8EDC0B3CC54E}" name="9156" dataDxfId="7454"/>
    <tableColumn id="8937" xr3:uid="{D6982FEA-09C1-4C25-92B6-05BFE7378E41}" name="9157" dataDxfId="7453"/>
    <tableColumn id="8938" xr3:uid="{F4421205-26DF-4F7C-8DE0-8D3CA2343226}" name="9158" dataDxfId="7452"/>
    <tableColumn id="8939" xr3:uid="{745A080F-9E3A-4812-88E2-D1050B303FBD}" name="9159" dataDxfId="7451"/>
    <tableColumn id="8940" xr3:uid="{B0F41DEB-4381-4ED5-B239-30A8F13434AD}" name="9160" dataDxfId="7450"/>
    <tableColumn id="8941" xr3:uid="{0E65EB0D-C4CD-47C4-BB0D-35695ED1A811}" name="9161" dataDxfId="7449"/>
    <tableColumn id="8942" xr3:uid="{9CC833B4-07A6-4A38-8CD4-929C09B962F1}" name="9162" dataDxfId="7448"/>
    <tableColumn id="8943" xr3:uid="{9451D85C-FF4B-4207-ADA8-BFC1946D6D92}" name="9163" dataDxfId="7447"/>
    <tableColumn id="8944" xr3:uid="{20FA05FA-41B4-4C18-94DC-6440A2512D8B}" name="9164" dataDxfId="7446"/>
    <tableColumn id="8945" xr3:uid="{4131B6EC-932D-40BD-B157-BFBCB4135048}" name="9165" dataDxfId="7445"/>
    <tableColumn id="8946" xr3:uid="{616BC748-8EB6-402D-8580-BD450F0C4B66}" name="9166" dataDxfId="7444"/>
    <tableColumn id="8947" xr3:uid="{EBA984DE-CA7E-4F9F-8673-31757D655067}" name="9167" dataDxfId="7443"/>
    <tableColumn id="8948" xr3:uid="{7CBDC6CE-1A7C-48C8-AD5F-F99121A4B4B7}" name="9168" dataDxfId="7442"/>
    <tableColumn id="8949" xr3:uid="{CE7E5194-54D9-4256-8FAA-2C1AF0915D5F}" name="9169" dataDxfId="7441"/>
    <tableColumn id="8950" xr3:uid="{CDEDE12A-9171-4BE0-9EFB-8DF4F28EA9D4}" name="9170" dataDxfId="7440"/>
    <tableColumn id="8951" xr3:uid="{D96D6C82-B2C9-4994-B6E6-A622260A996F}" name="9171" dataDxfId="7439"/>
    <tableColumn id="8952" xr3:uid="{31B2A318-B413-4758-86DD-0B0935EA9140}" name="9172" dataDxfId="7438"/>
    <tableColumn id="8953" xr3:uid="{784A6CB0-C05B-4595-85BD-AF26E96509B6}" name="9173" dataDxfId="7437"/>
    <tableColumn id="8954" xr3:uid="{F00F0EB6-3D91-43E6-AED9-E799F6470FC2}" name="9174" dataDxfId="7436"/>
    <tableColumn id="8955" xr3:uid="{6D77CDF9-CB25-48C2-B257-E8069468C75B}" name="9175" dataDxfId="7435"/>
    <tableColumn id="8956" xr3:uid="{0D43E8D5-8C65-455F-9706-05FF9A6F87DF}" name="9176" dataDxfId="7434"/>
    <tableColumn id="8957" xr3:uid="{39F90672-750C-4E87-96E6-291969411DFD}" name="9177" dataDxfId="7433"/>
    <tableColumn id="8958" xr3:uid="{A914E6F0-E5B4-4C52-AEBA-1D9635C298F7}" name="9178" dataDxfId="7432"/>
    <tableColumn id="8959" xr3:uid="{CC6F8B4B-DFBD-46D2-A72E-AFEA6FB1DDAA}" name="9179" dataDxfId="7431"/>
    <tableColumn id="8960" xr3:uid="{46748ED8-0569-4A7E-8308-0422FB098EF5}" name="9180" dataDxfId="7430"/>
    <tableColumn id="8961" xr3:uid="{E6CDCFC9-4EAA-47DC-9129-27DC63BA232C}" name="9181" dataDxfId="7429"/>
    <tableColumn id="8962" xr3:uid="{94760659-C7D6-4222-8FA6-FB1C6AAAC5E1}" name="9182" dataDxfId="7428"/>
    <tableColumn id="8963" xr3:uid="{0CEB31B3-0013-4DCB-8803-FDEAC6027721}" name="9183" dataDxfId="7427"/>
    <tableColumn id="8964" xr3:uid="{6D4D2D78-F2E2-4A8A-AB08-3891BC466F8F}" name="9184" dataDxfId="7426"/>
    <tableColumn id="8965" xr3:uid="{C6D27250-A562-41FB-A8D4-D7FFEC9305A9}" name="9185" dataDxfId="7425"/>
    <tableColumn id="8966" xr3:uid="{0830D349-92E8-4287-AA1B-DE6D66A394B2}" name="9186" dataDxfId="7424"/>
    <tableColumn id="8967" xr3:uid="{381A415C-460C-41F0-88BC-463FE2BD8790}" name="9187" dataDxfId="7423"/>
    <tableColumn id="8968" xr3:uid="{48C7DBC8-DA82-4C16-AD6E-4011E6F96F60}" name="9188" dataDxfId="7422"/>
    <tableColumn id="8969" xr3:uid="{27F8C017-757E-4D9A-A54D-8A02A8280BCA}" name="9189" dataDxfId="7421"/>
    <tableColumn id="8970" xr3:uid="{A0C5B061-F26E-415A-B242-BE3D2B471A62}" name="9190" dataDxfId="7420"/>
    <tableColumn id="8971" xr3:uid="{E5AB2385-7D98-4F41-B560-7A29823D16E3}" name="9191" dataDxfId="7419"/>
    <tableColumn id="8972" xr3:uid="{96C49B2C-3586-49E7-B24D-A7C7F09A9494}" name="9192" dataDxfId="7418"/>
    <tableColumn id="8973" xr3:uid="{73C9F2F8-27CF-4624-9D97-8B388E2B8C04}" name="9193" dataDxfId="7417"/>
    <tableColumn id="8974" xr3:uid="{1911D425-20BF-4BB3-AA59-696741205758}" name="9194" dataDxfId="7416"/>
    <tableColumn id="8975" xr3:uid="{C4403CE4-A898-43AF-919B-B2299205C764}" name="9195" dataDxfId="7415"/>
    <tableColumn id="8976" xr3:uid="{25D91059-6111-41F4-B299-E53C5CAE0F8F}" name="9196" dataDxfId="7414"/>
    <tableColumn id="8977" xr3:uid="{E1DB1CFF-AD82-43DB-9A25-624833E9CF0D}" name="9197" dataDxfId="7413"/>
    <tableColumn id="8978" xr3:uid="{09213ED0-5DD5-4376-850C-0C700B1DB41B}" name="9198" dataDxfId="7412"/>
    <tableColumn id="8979" xr3:uid="{564623A2-344A-4880-B784-5AAF353CDD5B}" name="9199" dataDxfId="7411"/>
    <tableColumn id="8980" xr3:uid="{3768E79B-C4E3-4CB8-8DB0-00E798457629}" name="9200" dataDxfId="7410"/>
    <tableColumn id="8981" xr3:uid="{B543ECC0-BD87-446C-AE5F-B17FE108CF55}" name="9201" dataDxfId="7409"/>
    <tableColumn id="8982" xr3:uid="{4C4EB96B-1969-4A1A-8448-2CF0E1F5AA38}" name="9202" dataDxfId="7408"/>
    <tableColumn id="8983" xr3:uid="{F7297FF5-8DD3-4757-99E0-A4F4036984A1}" name="9203" dataDxfId="7407"/>
    <tableColumn id="8984" xr3:uid="{87E9BA3B-9F0F-4CBA-9236-48D50AD0C96D}" name="9204" dataDxfId="7406"/>
    <tableColumn id="8985" xr3:uid="{77A0C1E1-22EC-4DB0-A1FA-CC4859394BBE}" name="9205" dataDxfId="7405"/>
    <tableColumn id="8986" xr3:uid="{F85341C7-093C-4ACE-B477-FEE222DFDED9}" name="9206" dataDxfId="7404"/>
    <tableColumn id="8987" xr3:uid="{6E35342B-3F3F-4E3F-9991-A7FBB45C0024}" name="9207" dataDxfId="7403"/>
    <tableColumn id="8988" xr3:uid="{3241EC5B-DBC6-42C4-92FD-360AFE70F4F2}" name="9208" dataDxfId="7402"/>
    <tableColumn id="8989" xr3:uid="{CF39381A-BDD2-441D-A8C5-57F7CFFE7C9E}" name="9209" dataDxfId="7401"/>
    <tableColumn id="8990" xr3:uid="{AD05A093-4768-4A8A-800F-3EE86D4E1271}" name="9210" dataDxfId="7400"/>
    <tableColumn id="8991" xr3:uid="{77CFEA44-BF79-48CD-86C3-F8E7EA01DE52}" name="9211" dataDxfId="7399"/>
    <tableColumn id="8992" xr3:uid="{464FACD8-1E71-4889-91EC-5DF80E2C74E4}" name="9212" dataDxfId="7398"/>
    <tableColumn id="8993" xr3:uid="{9C2AC6DB-236A-4A93-B1DA-14A4060449E7}" name="9213" dataDxfId="7397"/>
    <tableColumn id="8994" xr3:uid="{6E9C83F9-BEB2-4462-8A23-E87556BC9085}" name="9214" dataDxfId="7396"/>
    <tableColumn id="8995" xr3:uid="{E6BBBB43-0250-4B8E-941E-13A3C921E1F0}" name="9215" dataDxfId="7395"/>
    <tableColumn id="8996" xr3:uid="{8AD3CAFB-995E-4AE0-B334-DF1E6942AE46}" name="9216" dataDxfId="7394"/>
    <tableColumn id="8997" xr3:uid="{FCF9FAC8-5898-4047-B943-71FEB2ABB404}" name="9217" dataDxfId="7393"/>
    <tableColumn id="8998" xr3:uid="{08948595-BDCB-45CE-833F-D3D0687665CF}" name="9218" dataDxfId="7392"/>
    <tableColumn id="8999" xr3:uid="{8DEC3297-FB59-411E-8285-57BD5560BF8D}" name="9219" dataDxfId="7391"/>
    <tableColumn id="9000" xr3:uid="{24D42B6D-3AE5-42B7-9F36-03735B646396}" name="9220" dataDxfId="7390"/>
    <tableColumn id="9001" xr3:uid="{0D8FE512-31D2-4806-B984-D0CF72DEC0D6}" name="9221" dataDxfId="7389"/>
    <tableColumn id="9002" xr3:uid="{9DBBA90A-76DA-4EFE-8EA7-DC9AFA9D4947}" name="9222" dataDxfId="7388"/>
    <tableColumn id="9003" xr3:uid="{8EBE9DBA-DD59-4F6D-A671-38201E0131B5}" name="9223" dataDxfId="7387"/>
    <tableColumn id="9004" xr3:uid="{95283244-FF9B-497F-89BB-C22CC3678C4D}" name="9224" dataDxfId="7386"/>
    <tableColumn id="9005" xr3:uid="{E1B20D37-EB09-448D-B4E9-EFB7DE1B1CA8}" name="9225" dataDxfId="7385"/>
    <tableColumn id="9006" xr3:uid="{E0B57DC9-6CE5-46CF-AE3F-6F2712A6E0F8}" name="9226" dataDxfId="7384"/>
    <tableColumn id="9007" xr3:uid="{A906210F-458A-4D18-8EF7-4D5A076FED69}" name="9227" dataDxfId="7383"/>
    <tableColumn id="9008" xr3:uid="{2CA10EC6-1FB2-43E6-93BA-C7D1C942E909}" name="9228" dataDxfId="7382"/>
    <tableColumn id="9009" xr3:uid="{EFEA1877-5457-4CD7-82F9-7D2A414D6BF7}" name="9229" dataDxfId="7381"/>
    <tableColumn id="9010" xr3:uid="{E571CC13-1396-46F0-A24C-6F145B998083}" name="9230" dataDxfId="7380"/>
    <tableColumn id="9011" xr3:uid="{930CBF33-577B-48F0-95C3-EE89B8188E05}" name="9231" dataDxfId="7379"/>
    <tableColumn id="9012" xr3:uid="{D9576696-8D34-4BC4-A420-5C3D9455B646}" name="9232" dataDxfId="7378"/>
    <tableColumn id="9013" xr3:uid="{56553200-573E-4A7B-83FF-E1900965B915}" name="9233" dataDxfId="7377"/>
    <tableColumn id="9014" xr3:uid="{7DB165BD-2B6E-4320-BF1C-15311057F220}" name="9234" dataDxfId="7376"/>
    <tableColumn id="9015" xr3:uid="{1CB70C40-38D7-4D08-AB39-F9B7F9E8E1A3}" name="9235" dataDxfId="7375"/>
    <tableColumn id="9016" xr3:uid="{4804DB86-D26B-4ADD-A4D7-05D9C3876BCE}" name="9236" dataDxfId="7374"/>
    <tableColumn id="9017" xr3:uid="{6153010A-60BB-47A4-944E-FC20ACA2D008}" name="9237" dataDxfId="7373"/>
    <tableColumn id="9018" xr3:uid="{6645D7FD-F0E4-4771-B65A-60A5E3BD3D16}" name="9238" dataDxfId="7372"/>
    <tableColumn id="9019" xr3:uid="{62C8DC84-FA3A-42D6-9C73-D45E80CD7358}" name="9239" dataDxfId="7371"/>
    <tableColumn id="9020" xr3:uid="{E922ECD6-DCAF-4621-87BB-6B81E91ACBDB}" name="9240" dataDxfId="7370"/>
    <tableColumn id="9021" xr3:uid="{FA80D759-CF22-4C82-9151-120477222057}" name="9241" dataDxfId="7369"/>
    <tableColumn id="9022" xr3:uid="{337335D9-CA70-4644-8E0E-7E0C928E690F}" name="9242" dataDxfId="7368"/>
    <tableColumn id="9023" xr3:uid="{9A10B907-A6DE-475D-A8DE-3675D7B7A109}" name="9243" dataDxfId="7367"/>
    <tableColumn id="9024" xr3:uid="{B51E968B-4B8A-4C67-9D90-E1C838AA302D}" name="9244" dataDxfId="7366"/>
    <tableColumn id="9025" xr3:uid="{571FB967-90A1-4E54-B5D8-04D456107C5C}" name="9245" dataDxfId="7365"/>
    <tableColumn id="9026" xr3:uid="{266C63DF-25D1-4682-8DDC-30FFACA7B5A2}" name="9246" dataDxfId="7364"/>
    <tableColumn id="9027" xr3:uid="{A3C5391B-EBD4-4CAA-8E99-3A2EB04A79FC}" name="9247" dataDxfId="7363"/>
    <tableColumn id="9028" xr3:uid="{621FD022-5D4E-46DB-B1FA-0950D148E7EF}" name="9248" dataDxfId="7362"/>
    <tableColumn id="9029" xr3:uid="{345D0228-F17B-4961-A92D-38EC45DE4299}" name="9249" dataDxfId="7361"/>
    <tableColumn id="9030" xr3:uid="{6DD4F81A-1F13-4374-A3DF-DE2F639B269C}" name="9250" dataDxfId="7360"/>
    <tableColumn id="9031" xr3:uid="{5E8BA739-9B00-463F-B463-1B976B87CB3A}" name="9251" dataDxfId="7359"/>
    <tableColumn id="9032" xr3:uid="{0F413A62-AACD-4630-8358-59BFB1F5528E}" name="9252" dataDxfId="7358"/>
    <tableColumn id="9033" xr3:uid="{EBF7A6C7-F4C2-4AC9-966E-14675065FC17}" name="9253" dataDxfId="7357"/>
    <tableColumn id="9034" xr3:uid="{68F4F2B4-DB77-49EB-A85F-D86A987065E6}" name="9254" dataDxfId="7356"/>
    <tableColumn id="9035" xr3:uid="{899C890C-425B-450B-851D-707D6E704D91}" name="9255" dataDxfId="7355"/>
    <tableColumn id="9036" xr3:uid="{21FEE175-53A2-4539-BEFA-6401C6C18931}" name="9256" dataDxfId="7354"/>
    <tableColumn id="9037" xr3:uid="{018BD69E-8899-4A29-ABAE-A9521A3F4F5B}" name="9257" dataDxfId="7353"/>
    <tableColumn id="9038" xr3:uid="{2E785105-B7EB-4245-A782-E0C8AB262D4D}" name="9258" dataDxfId="7352"/>
    <tableColumn id="9039" xr3:uid="{54E6DF2F-33FD-4BB3-B4E0-D51A55440208}" name="9259" dataDxfId="7351"/>
    <tableColumn id="9040" xr3:uid="{AC28A66C-84A7-463A-8135-55494D48C2D0}" name="9260" dataDxfId="7350"/>
    <tableColumn id="9041" xr3:uid="{095BF98D-7306-41C1-A09E-604C38849D9F}" name="9261" dataDxfId="7349"/>
    <tableColumn id="9042" xr3:uid="{2E3B80FF-20D8-477A-A4FE-A692556FA97E}" name="9262" dataDxfId="7348"/>
    <tableColumn id="9043" xr3:uid="{C1043C72-2E22-4CA5-BF9D-1A3F6F786779}" name="9263" dataDxfId="7347"/>
    <tableColumn id="9044" xr3:uid="{10635D45-B2F8-4AEE-955E-648B59783617}" name="9264" dataDxfId="7346"/>
    <tableColumn id="9045" xr3:uid="{A4C393CD-1395-4EA9-9036-080D8129081D}" name="9265" dataDxfId="7345"/>
    <tableColumn id="9046" xr3:uid="{6577A555-44DB-4649-AED8-C4FD1AB80B8A}" name="9266" dataDxfId="7344"/>
    <tableColumn id="9047" xr3:uid="{A215D265-5860-4F68-85EC-4440C3A56F82}" name="9267" dataDxfId="7343"/>
    <tableColumn id="9048" xr3:uid="{431B89E9-DFD7-4FDB-8846-98A02DD1FBD5}" name="9268" dataDxfId="7342"/>
    <tableColumn id="9049" xr3:uid="{4120BD1C-8427-4008-9B7E-ECA598546845}" name="9269" dataDxfId="7341"/>
    <tableColumn id="9050" xr3:uid="{72EEDB52-214C-4619-BD23-DA0A43F30586}" name="9270" dataDxfId="7340"/>
    <tableColumn id="9051" xr3:uid="{904C65AC-DA95-4B59-953D-056530271653}" name="9271" dataDxfId="7339"/>
    <tableColumn id="9052" xr3:uid="{DC7B745C-EB7A-4F58-8076-228454FCE963}" name="9272" dataDxfId="7338"/>
    <tableColumn id="9053" xr3:uid="{3F28E666-F89B-4EE3-B532-4620E8987B1A}" name="9273" dataDxfId="7337"/>
    <tableColumn id="9054" xr3:uid="{2FF3E294-5A56-41F7-B0E3-84661CC8F61D}" name="9274" dataDxfId="7336"/>
    <tableColumn id="9055" xr3:uid="{F7563434-A1C1-4696-813F-3DDB3BD75235}" name="9275" dataDxfId="7335"/>
    <tableColumn id="9056" xr3:uid="{1B073E39-2E2E-4D29-93BE-FAC763F8BA0C}" name="9276" dataDxfId="7334"/>
    <tableColumn id="9057" xr3:uid="{10115BAA-8330-495A-950D-6BF304A752F8}" name="9277" dataDxfId="7333"/>
    <tableColumn id="9058" xr3:uid="{C3431B38-1FC2-4846-87A6-4302A73337C6}" name="9278" dataDxfId="7332"/>
    <tableColumn id="9059" xr3:uid="{728DCCBE-E5EA-4BE0-AACE-D7CF5D846BBC}" name="9279" dataDxfId="7331"/>
    <tableColumn id="9060" xr3:uid="{D847E2B2-6773-4B92-9783-A5B8CE2DA270}" name="9280" dataDxfId="7330"/>
    <tableColumn id="9061" xr3:uid="{B2B0A40E-1CD8-4CE1-8B5B-B0E407325FC2}" name="9281" dataDxfId="7329"/>
    <tableColumn id="9062" xr3:uid="{FA76746D-D077-4535-87BD-BC3F21AB2379}" name="9282" dataDxfId="7328"/>
    <tableColumn id="9063" xr3:uid="{D28E2DAF-E935-4CC7-83A6-FF1E59631B36}" name="9283" dataDxfId="7327"/>
    <tableColumn id="9064" xr3:uid="{3A490130-7252-43F9-ACC6-BE5E0968C0A5}" name="9284" dataDxfId="7326"/>
    <tableColumn id="9065" xr3:uid="{8A251E92-2837-455F-BEFE-A85FD4013651}" name="9285" dataDxfId="7325"/>
    <tableColumn id="9066" xr3:uid="{9D0B7DD2-3003-4BF4-873E-C0064D6B44C7}" name="9286" dataDxfId="7324"/>
    <tableColumn id="9067" xr3:uid="{7B23AFF4-E6F0-4778-929C-88C719E442B4}" name="9287" dataDxfId="7323"/>
    <tableColumn id="9068" xr3:uid="{9EA74E94-B629-4F2E-B486-6F5F7456AD06}" name="9288" dataDxfId="7322"/>
    <tableColumn id="9069" xr3:uid="{59EACD76-3740-499A-9F7A-1A1E313BBAAF}" name="9289" dataDxfId="7321"/>
    <tableColumn id="9070" xr3:uid="{A449ED3F-94EB-4609-B313-C23FFB39D7FF}" name="9290" dataDxfId="7320"/>
    <tableColumn id="9071" xr3:uid="{4D781F8C-C758-4BAA-9DE0-15A1C0C6B726}" name="9291" dataDxfId="7319"/>
    <tableColumn id="9072" xr3:uid="{AE9EFD72-859A-4C0D-8700-AF0BCD98FCDB}" name="9292" dataDxfId="7318"/>
    <tableColumn id="9073" xr3:uid="{988F9900-6DDE-403F-8657-D2CAB9A464F6}" name="9293" dataDxfId="7317"/>
    <tableColumn id="9074" xr3:uid="{D70E0020-FE26-4825-8AF1-98BAFE0E4827}" name="9294" dataDxfId="7316"/>
    <tableColumn id="9075" xr3:uid="{5741162F-9B5E-47D4-8573-38745B9FAAC5}" name="9295" dataDxfId="7315"/>
    <tableColumn id="9076" xr3:uid="{BC4DFEA9-1883-48F2-99E6-937B4B5682E3}" name="9296" dataDxfId="7314"/>
    <tableColumn id="9077" xr3:uid="{B52E8AC0-BBA8-4473-BD90-D4F2DEDD8E39}" name="9297" dataDxfId="7313"/>
    <tableColumn id="9078" xr3:uid="{7B1C6955-38FB-4210-83B7-05395C2CC4BE}" name="9298" dataDxfId="7312"/>
    <tableColumn id="9079" xr3:uid="{48F07B34-D8E6-4FDA-9714-EF726DEA469E}" name="9299" dataDxfId="7311"/>
    <tableColumn id="9080" xr3:uid="{016A0909-F197-4489-997B-8DCA92160396}" name="9300" dataDxfId="7310"/>
    <tableColumn id="9081" xr3:uid="{E37CCA25-C952-4750-BA72-0C44D61EC6A7}" name="9301" dataDxfId="7309"/>
    <tableColumn id="9082" xr3:uid="{E19DFD8E-78D9-47E0-9B4A-9FB1C83557F2}" name="9302" dataDxfId="7308"/>
    <tableColumn id="9083" xr3:uid="{A262EE22-0A74-4E75-B1EA-CFD1A95C3229}" name="9303" dataDxfId="7307"/>
    <tableColumn id="9084" xr3:uid="{C764551D-974D-4089-B3F8-E2BF6D67DD45}" name="9304" dataDxfId="7306"/>
    <tableColumn id="9085" xr3:uid="{FACFF1B0-DFBA-4812-B6B0-EC6B143EC2A3}" name="9305" dataDxfId="7305"/>
    <tableColumn id="9086" xr3:uid="{0B89EE65-59DE-4558-8D9D-7F0FB49ECA4F}" name="9306" dataDxfId="7304"/>
    <tableColumn id="9087" xr3:uid="{B967A779-5A1F-40BD-B797-107C57409B68}" name="9307" dataDxfId="7303"/>
    <tableColumn id="9088" xr3:uid="{C8477D9F-7AE1-40C3-8D79-70A045945865}" name="9308" dataDxfId="7302"/>
    <tableColumn id="9089" xr3:uid="{168173ED-97F9-4704-A7B7-A6E9FB253560}" name="9309" dataDxfId="7301"/>
    <tableColumn id="9090" xr3:uid="{8F4206F4-88A3-40E2-800D-4F111D2CED25}" name="9310" dataDxfId="7300"/>
    <tableColumn id="9091" xr3:uid="{CBB15C74-6AB5-463B-ACD4-BABC2740C67C}" name="9311" dataDxfId="7299"/>
    <tableColumn id="9092" xr3:uid="{B58F45FD-5BF4-41C7-9C39-50C8B327402A}" name="9312" dataDxfId="7298"/>
    <tableColumn id="9093" xr3:uid="{B16E361D-18DF-4C40-9218-E3BE354293E6}" name="9313" dataDxfId="7297"/>
    <tableColumn id="9094" xr3:uid="{CBEA0C60-7C04-4747-AD87-B6B2CBB8EAF2}" name="9314" dataDxfId="7296"/>
    <tableColumn id="9095" xr3:uid="{E2580DCD-BC1A-44CA-945A-A2EE448D1A8A}" name="9315" dataDxfId="7295"/>
    <tableColumn id="9096" xr3:uid="{0DB45EF1-88D4-43E4-93E3-318B19D3F0FA}" name="9316" dataDxfId="7294"/>
    <tableColumn id="9097" xr3:uid="{DF928D7B-366D-4C5B-979B-8241CA52C7B8}" name="9317" dataDxfId="7293"/>
    <tableColumn id="9098" xr3:uid="{F62BD62D-2248-4414-BBCA-A8B4D1FF3FD5}" name="9318" dataDxfId="7292"/>
    <tableColumn id="9099" xr3:uid="{DC02D842-D38B-4FDD-B746-DD9749653D02}" name="9319" dataDxfId="7291"/>
    <tableColumn id="9100" xr3:uid="{941A4057-0EE6-4B32-ADA1-AD34FECA2D15}" name="9320" dataDxfId="7290"/>
    <tableColumn id="9101" xr3:uid="{10BE42D6-0436-4103-B17F-95C9CFD25A0E}" name="9321" dataDxfId="7289"/>
    <tableColumn id="9102" xr3:uid="{E16F328F-509E-4C75-BCC2-62E018B7EDE6}" name="9322" dataDxfId="7288"/>
    <tableColumn id="9103" xr3:uid="{FFFCC01E-ED28-4F53-970F-858F5E2664CB}" name="9323" dataDxfId="7287"/>
    <tableColumn id="9104" xr3:uid="{248F0401-B3EF-4BFE-BF00-1E260EB8AB9E}" name="9324" dataDxfId="7286"/>
    <tableColumn id="9105" xr3:uid="{0E039473-9B89-4312-B2A7-FF62CBBA4E57}" name="9325" dataDxfId="7285"/>
    <tableColumn id="9106" xr3:uid="{B1C1B3DD-ECC1-4C88-AF3F-46F02F8D103E}" name="9326" dataDxfId="7284"/>
    <tableColumn id="9107" xr3:uid="{1F50F9E6-359E-454A-B484-10C0BAFD5BCA}" name="9327" dataDxfId="7283"/>
    <tableColumn id="9108" xr3:uid="{2412C682-3060-4A20-BAD4-D737A9D0FC56}" name="9328" dataDxfId="7282"/>
    <tableColumn id="9109" xr3:uid="{7EE27255-7267-4E52-8CAC-1E7E9FDF0B58}" name="9329" dataDxfId="7281"/>
    <tableColumn id="9110" xr3:uid="{8AF41877-9D47-483A-BCD8-0B39EDC5D2BD}" name="9330" dataDxfId="7280"/>
    <tableColumn id="9111" xr3:uid="{34BBB9BE-7AF7-4109-BE02-E6BB785B3A59}" name="9331" dataDxfId="7279"/>
    <tableColumn id="9112" xr3:uid="{DF34D712-8B59-483A-9E1C-3DF1EE1AA74E}" name="9332" dataDxfId="7278"/>
    <tableColumn id="9113" xr3:uid="{1912AE0C-F2A9-4E81-912F-C6139E7B953C}" name="9333" dataDxfId="7277"/>
    <tableColumn id="9114" xr3:uid="{501F6750-C932-4D7B-8CF0-973A3D3A8987}" name="9334" dataDxfId="7276"/>
    <tableColumn id="9115" xr3:uid="{927B7081-8ABE-4656-AE0F-B26AF9C3B8DA}" name="9335" dataDxfId="7275"/>
    <tableColumn id="9116" xr3:uid="{1F6C6292-C37A-41F1-8448-6CF48D1C46B2}" name="9336" dataDxfId="7274"/>
    <tableColumn id="9117" xr3:uid="{FA55A078-08DF-46A8-A00B-AF5AC5FA4753}" name="9337" dataDxfId="7273"/>
    <tableColumn id="9118" xr3:uid="{EF6FEEE2-EE67-4D99-ADB5-2590D6FF8D6F}" name="9338" dataDxfId="7272"/>
    <tableColumn id="9119" xr3:uid="{DBD97D9D-C40E-4606-8F4A-E5A2DF6AD851}" name="9339" dataDxfId="7271"/>
    <tableColumn id="9120" xr3:uid="{35AB6550-D0E0-4CCD-91F1-40BFF8220A0F}" name="9340" dataDxfId="7270"/>
    <tableColumn id="9121" xr3:uid="{DADED67A-0696-4D65-BD3B-D495CE242D13}" name="9341" dataDxfId="7269"/>
    <tableColumn id="9122" xr3:uid="{00E8D935-7B02-4AD4-B001-1C8EE4DF3EE9}" name="9342" dataDxfId="7268"/>
    <tableColumn id="9123" xr3:uid="{70E1C3B3-B057-49F1-864F-2B06F4C9D861}" name="9343" dataDxfId="7267"/>
    <tableColumn id="9124" xr3:uid="{8DE67BBE-74B0-4A02-88C6-C2A0D13F4A02}" name="9344" dataDxfId="7266"/>
    <tableColumn id="9125" xr3:uid="{20EE1330-3E84-4986-8365-8365B813AD61}" name="9345" dataDxfId="7265"/>
    <tableColumn id="9126" xr3:uid="{B11D6CB2-C412-4C39-AE62-3CF463DA048B}" name="9346" dataDxfId="7264"/>
    <tableColumn id="9127" xr3:uid="{48966AA0-87F6-4E7A-9BC5-4BF6FE47FACF}" name="9347" dataDxfId="7263"/>
    <tableColumn id="9128" xr3:uid="{CFAF6739-9CA2-47F2-A92B-AEB7949AC51B}" name="9348" dataDxfId="7262"/>
    <tableColumn id="9129" xr3:uid="{35BB02C1-65B5-4C43-BF59-1CC939CB4602}" name="9349" dataDxfId="7261"/>
    <tableColumn id="9130" xr3:uid="{EA1FFFAD-403C-4EB9-BFDC-9A50E531B8EB}" name="9350" dataDxfId="7260"/>
    <tableColumn id="9131" xr3:uid="{427E5BAD-3D38-43F7-A50E-97B888CC8B6D}" name="9351" dataDxfId="7259"/>
    <tableColumn id="9132" xr3:uid="{8B4428BA-BE9D-4F7F-AA5D-8F69136C9922}" name="9352" dataDxfId="7258"/>
    <tableColumn id="9133" xr3:uid="{01F2D7B6-82BE-47F2-BFD9-75F487122219}" name="9353" dataDxfId="7257"/>
    <tableColumn id="9134" xr3:uid="{13007386-5E3E-4891-B369-2B6E1D4ADDEF}" name="9354" dataDxfId="7256"/>
    <tableColumn id="9135" xr3:uid="{7E830B24-FCD8-4E6D-A27F-83608380B506}" name="9355" dataDxfId="7255"/>
    <tableColumn id="9136" xr3:uid="{F2A870F7-3FE9-4EDF-84F5-074160DD73B9}" name="9356" dataDxfId="7254"/>
    <tableColumn id="9137" xr3:uid="{5A491842-98B0-403F-8121-8294E3E54D22}" name="9357" dataDxfId="7253"/>
    <tableColumn id="9138" xr3:uid="{F4FD7646-A182-4C3F-92F6-7B1A704A4442}" name="9358" dataDxfId="7252"/>
    <tableColumn id="9139" xr3:uid="{51E84DF0-9FF5-4831-B438-3BFC43AEB31C}" name="9359" dataDxfId="7251"/>
    <tableColumn id="9140" xr3:uid="{80FD0296-6552-4266-8696-CE43168A6D36}" name="9360" dataDxfId="7250"/>
    <tableColumn id="9141" xr3:uid="{456B5D2E-0555-4B2A-BA39-7D9AD509B448}" name="9361" dataDxfId="7249"/>
    <tableColumn id="9142" xr3:uid="{2FA51A10-44B1-4403-8001-8E07BF9F3D24}" name="9362" dataDxfId="7248"/>
    <tableColumn id="9143" xr3:uid="{5DB74914-1B47-4C3F-BB4A-979975987F8D}" name="9363" dataDxfId="7247"/>
    <tableColumn id="9144" xr3:uid="{08DDC646-00AD-4E10-9799-12BCEE381257}" name="9364" dataDxfId="7246"/>
    <tableColumn id="9145" xr3:uid="{8881872E-3865-4903-9F67-33C8CFBF4466}" name="9365" dataDxfId="7245"/>
    <tableColumn id="9146" xr3:uid="{A8AC9CA0-BA03-485B-B4B6-ECA6FC264C20}" name="9366" dataDxfId="7244"/>
    <tableColumn id="9147" xr3:uid="{DF065DF4-31B4-48A4-B76E-41CDE33ECBEA}" name="9367" dataDxfId="7243"/>
    <tableColumn id="9148" xr3:uid="{D474F765-7793-4A04-8560-CFDACCCE57DA}" name="9368" dataDxfId="7242"/>
    <tableColumn id="9149" xr3:uid="{2E00C4AC-2245-4D72-BDED-3422A02369C4}" name="9369" dataDxfId="7241"/>
    <tableColumn id="9150" xr3:uid="{E331B6EA-B515-49BE-8B11-BC7DA1301FA6}" name="9370" dataDxfId="7240"/>
    <tableColumn id="9151" xr3:uid="{71691E25-EF3D-4E94-801F-BDA4273BCD5A}" name="9371" dataDxfId="7239"/>
    <tableColumn id="9152" xr3:uid="{E704D938-202D-4FB1-82D2-EF869E398BCB}" name="9372" dataDxfId="7238"/>
    <tableColumn id="9153" xr3:uid="{A68B6555-79F0-46F0-8881-D8121A7328C6}" name="9373" dataDxfId="7237"/>
    <tableColumn id="9154" xr3:uid="{ABB1CBE8-7375-4D61-8FB8-EF4CA9D488D5}" name="9374" dataDxfId="7236"/>
    <tableColumn id="9155" xr3:uid="{840485AD-477B-4333-94F3-90C3A1F56C94}" name="9375" dataDxfId="7235"/>
    <tableColumn id="9156" xr3:uid="{3F03DD05-A866-4E53-9D42-D1FE0D21983F}" name="9376" dataDxfId="7234"/>
    <tableColumn id="9157" xr3:uid="{DBE6AEB4-5CED-485A-BC96-DBC645CF60BE}" name="9377" dataDxfId="7233"/>
    <tableColumn id="9158" xr3:uid="{8EA9563A-F1D8-4385-A5B5-C96E6429A52D}" name="9378" dataDxfId="7232"/>
    <tableColumn id="9159" xr3:uid="{9CEF913C-2974-43A6-A83A-64F6B79BCA63}" name="9379" dataDxfId="7231"/>
    <tableColumn id="9160" xr3:uid="{48E06E6F-45A4-483F-B4B5-2AFCCB7ADEDC}" name="9380" dataDxfId="7230"/>
    <tableColumn id="9161" xr3:uid="{97BCABE2-DF2C-46E0-AC4E-B906FACD230D}" name="9381" dataDxfId="7229"/>
    <tableColumn id="9162" xr3:uid="{F79A9D88-8529-4C66-8C1A-3874B77EE1EC}" name="9382" dataDxfId="7228"/>
    <tableColumn id="9163" xr3:uid="{50673E6F-1B7A-4EA9-BEB6-13DD581E8757}" name="9383" dataDxfId="7227"/>
    <tableColumn id="9164" xr3:uid="{3250A5AA-0EF4-4D40-BF85-B940A2FC61F2}" name="9384" dataDxfId="7226"/>
    <tableColumn id="9165" xr3:uid="{70760625-2C20-436B-9A48-BCE01F8F5219}" name="9385" dataDxfId="7225"/>
    <tableColumn id="9166" xr3:uid="{4EF2DFC6-FE59-4C56-A092-6B853D87C656}" name="9386" dataDxfId="7224"/>
    <tableColumn id="9167" xr3:uid="{B6EDBC01-5AD1-4D1A-AFB3-029A5870839D}" name="9387" dataDxfId="7223"/>
    <tableColumn id="9168" xr3:uid="{A2AD1425-25B1-44F6-980B-63D605CE5AC8}" name="9388" dataDxfId="7222"/>
    <tableColumn id="9169" xr3:uid="{6A785D49-29D6-4A3F-8EE6-7745D089899C}" name="9389" dataDxfId="7221"/>
    <tableColumn id="9170" xr3:uid="{4896529A-C139-47DA-9929-D6BCC816E33F}" name="9390" dataDxfId="7220"/>
    <tableColumn id="9171" xr3:uid="{BBA08607-A730-45F4-BBD8-200B650F2D6D}" name="9391" dataDxfId="7219"/>
    <tableColumn id="9172" xr3:uid="{83731083-0AF3-4494-A869-C5895334BD7A}" name="9392" dataDxfId="7218"/>
    <tableColumn id="9173" xr3:uid="{EEFBF4D0-738D-4C63-878B-A0855F34CF6C}" name="9393" dataDxfId="7217"/>
    <tableColumn id="9174" xr3:uid="{5BD0EA74-6BD5-436E-9E5C-8F35EE391D00}" name="9394" dataDxfId="7216"/>
    <tableColumn id="9175" xr3:uid="{24A8DC66-D537-4244-8732-8806DE39065F}" name="9395" dataDxfId="7215"/>
    <tableColumn id="9176" xr3:uid="{BFD01D7D-1E46-4662-9468-6464443DD94B}" name="9396" dataDxfId="7214"/>
    <tableColumn id="9177" xr3:uid="{C16BB32E-FCC9-4AC3-AEC7-0BECEF918A04}" name="9397" dataDxfId="7213"/>
    <tableColumn id="9178" xr3:uid="{8D53AD5E-838D-4726-AC7D-2E842055AF2B}" name="9398" dataDxfId="7212"/>
    <tableColumn id="9179" xr3:uid="{C9695B70-587E-44BF-96FD-11322ED3AA63}" name="9399" dataDxfId="7211"/>
    <tableColumn id="9180" xr3:uid="{9A7DDD89-0D8B-4CB8-9708-C9DFD55F0ED6}" name="9400" dataDxfId="7210"/>
    <tableColumn id="9181" xr3:uid="{C974F21E-139B-4481-B7F1-34DD3A1AD87D}" name="9401" dataDxfId="7209"/>
    <tableColumn id="9182" xr3:uid="{DD01B022-B232-4183-99B0-BB31B1E32F54}" name="9402" dataDxfId="7208"/>
    <tableColumn id="9183" xr3:uid="{5409955B-3143-44FF-96DE-E74A78624003}" name="9403" dataDxfId="7207"/>
    <tableColumn id="9184" xr3:uid="{5DBE0A4A-4080-46AD-B7DB-EF51B84EFDC4}" name="9404" dataDxfId="7206"/>
    <tableColumn id="9185" xr3:uid="{4F37ED14-0C14-4F7C-9388-CAAAEA731093}" name="9405" dataDxfId="7205"/>
    <tableColumn id="9186" xr3:uid="{93DFDAB6-378C-4B25-ABE2-004E9B9D4A53}" name="9406" dataDxfId="7204"/>
    <tableColumn id="9187" xr3:uid="{D7EF8BB6-A9CC-4E77-874B-2681022014B7}" name="9407" dataDxfId="7203"/>
    <tableColumn id="9188" xr3:uid="{445C167B-9D30-474D-BCBD-80E4C1BF5006}" name="9408" dataDxfId="7202"/>
    <tableColumn id="9189" xr3:uid="{D4C85001-BBA9-4A0C-ABB9-635DCD516A05}" name="9409" dataDxfId="7201"/>
    <tableColumn id="9190" xr3:uid="{A5AFA737-0855-4156-B4C3-F658813B7D20}" name="9410" dataDxfId="7200"/>
    <tableColumn id="9191" xr3:uid="{8D6CA21B-38EC-433F-B9C1-321EB04EA98D}" name="9411" dataDxfId="7199"/>
    <tableColumn id="9192" xr3:uid="{4E7E219F-F8B6-4442-9723-BD327C67EFC2}" name="9412" dataDxfId="7198"/>
    <tableColumn id="9193" xr3:uid="{D864CD25-36FF-4274-9A2F-B680D9F9E51C}" name="9413" dataDxfId="7197"/>
    <tableColumn id="9194" xr3:uid="{F03CAF77-5B74-4B45-91AD-659748C724F1}" name="9414" dataDxfId="7196"/>
    <tableColumn id="9195" xr3:uid="{349603E0-F8D3-4FD2-BB94-A6779E03F6C3}" name="9415" dataDxfId="7195"/>
    <tableColumn id="9196" xr3:uid="{862680BB-E3E0-42D7-A049-52B39204E822}" name="9416" dataDxfId="7194"/>
    <tableColumn id="9197" xr3:uid="{54732EF0-275D-4FCA-B89F-314B3A97A9DD}" name="9417" dataDxfId="7193"/>
    <tableColumn id="9198" xr3:uid="{5CDF5E58-553B-4C53-B1E6-CBD50F005266}" name="9418" dataDxfId="7192"/>
    <tableColumn id="9199" xr3:uid="{F71D9736-91E7-46BE-A0A6-2DE985BEC248}" name="9419" dataDxfId="7191"/>
    <tableColumn id="9200" xr3:uid="{FC255E4B-8A52-4997-8038-F03E02CB50E4}" name="9420" dataDxfId="7190"/>
    <tableColumn id="9201" xr3:uid="{5057B578-2397-4312-AA51-657A79F7BF6A}" name="9421" dataDxfId="7189"/>
    <tableColumn id="9202" xr3:uid="{B559EF4A-BBC9-41E5-9C49-CAE6A519D85A}" name="9422" dataDxfId="7188"/>
    <tableColumn id="9203" xr3:uid="{1F170AD7-D574-45E7-9969-9204125CD3E4}" name="9423" dataDxfId="7187"/>
    <tableColumn id="9204" xr3:uid="{FA35078B-A4FA-4EE4-8CAD-F4995FC9E8EC}" name="9424" dataDxfId="7186"/>
    <tableColumn id="9205" xr3:uid="{E34AF1DE-D64B-4FBC-BF55-015ECAED1494}" name="9425" dataDxfId="7185"/>
    <tableColumn id="9206" xr3:uid="{68B08461-D787-412F-9633-17C3BF5FD509}" name="9426" dataDxfId="7184"/>
    <tableColumn id="9207" xr3:uid="{4D3BEB7A-0694-43D1-9764-D3C5E5BD2D56}" name="9427" dataDxfId="7183"/>
    <tableColumn id="9208" xr3:uid="{AC9129BC-CB9B-4D64-A51A-A5964C0E8E35}" name="9428" dataDxfId="7182"/>
    <tableColumn id="9209" xr3:uid="{CF20B594-1575-41ED-9940-18B7A9317B5A}" name="9429" dataDxfId="7181"/>
    <tableColumn id="9210" xr3:uid="{5323EC33-2D9F-4EA8-9D59-ECF1622111B0}" name="9430" dataDxfId="7180"/>
    <tableColumn id="9211" xr3:uid="{C8D123D4-EE55-4571-B7D2-62557FE9E356}" name="9431" dataDxfId="7179"/>
    <tableColumn id="9212" xr3:uid="{3F924F10-75CD-4D2D-9C03-6CDA334508AF}" name="9432" dataDxfId="7178"/>
    <tableColumn id="9213" xr3:uid="{39EC135C-3286-4DBE-A394-29E28BE1C332}" name="9433" dataDxfId="7177"/>
    <tableColumn id="9214" xr3:uid="{A6F189E6-09E8-4F9E-97DA-A7C5625FF019}" name="9434" dataDxfId="7176"/>
    <tableColumn id="9215" xr3:uid="{7C50D80A-7EBF-4DB9-9D82-9DF9C3869E1F}" name="9435" dataDxfId="7175"/>
    <tableColumn id="9216" xr3:uid="{4E8A40A5-1B56-47D3-A472-7521A51504DC}" name="9436" dataDxfId="7174"/>
    <tableColumn id="9217" xr3:uid="{A9FA7DAB-68C7-458F-BA12-D08B597AD30A}" name="9437" dataDxfId="7173"/>
    <tableColumn id="9218" xr3:uid="{D54774CF-D72C-4B1D-8BFA-427A8946A76A}" name="9438" dataDxfId="7172"/>
    <tableColumn id="9219" xr3:uid="{380CD131-B5AC-4B5A-9D11-19F61FE9A018}" name="9439" dataDxfId="7171"/>
    <tableColumn id="9220" xr3:uid="{E441F0EA-A410-4292-AF8C-E754003FD49D}" name="9440" dataDxfId="7170"/>
    <tableColumn id="9221" xr3:uid="{8360A31D-D3F5-405F-A9E5-C82202A3CDFA}" name="9441" dataDxfId="7169"/>
    <tableColumn id="9222" xr3:uid="{04B48A27-9035-4583-BF05-882D00E21C8D}" name="9442" dataDxfId="7168"/>
    <tableColumn id="9223" xr3:uid="{9A0F3A9D-1BE8-482C-A52E-56B4B3FD5530}" name="9443" dataDxfId="7167"/>
    <tableColumn id="9224" xr3:uid="{F029F482-06E4-436A-BAC3-FD35BD5BA0C7}" name="9444" dataDxfId="7166"/>
    <tableColumn id="9225" xr3:uid="{4F9876D3-5B02-4AEC-A2C7-12A024A8F01C}" name="9445" dataDxfId="7165"/>
    <tableColumn id="9226" xr3:uid="{9A05F22F-B53C-4E49-B220-E4004FA46D4F}" name="9446" dataDxfId="7164"/>
    <tableColumn id="9227" xr3:uid="{FDDEF0A5-6203-485C-804B-7883695DAE0C}" name="9447" dataDxfId="7163"/>
    <tableColumn id="9228" xr3:uid="{BC7C5748-43A9-4613-BEE1-F9D895EE05D5}" name="9448" dataDxfId="7162"/>
    <tableColumn id="9229" xr3:uid="{7D8C6ED5-7460-4903-9704-4247EDDAA15D}" name="9449" dataDxfId="7161"/>
    <tableColumn id="9230" xr3:uid="{6E1279B1-63B4-42AE-8673-6719CD3252D1}" name="9450" dataDxfId="7160"/>
    <tableColumn id="9231" xr3:uid="{965CD2E6-2382-4DB9-9F8A-84B3A29E67BA}" name="9451" dataDxfId="7159"/>
    <tableColumn id="9232" xr3:uid="{DEB9317A-ECEF-427D-B921-F171FEAF1911}" name="9452" dataDxfId="7158"/>
    <tableColumn id="9233" xr3:uid="{5B0EE14D-CEF8-4B2D-ABA0-3D3AE4804BA8}" name="9453" dataDxfId="7157"/>
    <tableColumn id="9234" xr3:uid="{C57A44D4-7CC5-45F4-980E-14D682094821}" name="9454" dataDxfId="7156"/>
    <tableColumn id="9235" xr3:uid="{22D03DEB-D7E4-4D77-A2F0-8B642C87BC27}" name="9455" dataDxfId="7155"/>
    <tableColumn id="9236" xr3:uid="{5A9CBA9D-7124-4226-802D-8239F879B160}" name="9456" dataDxfId="7154"/>
    <tableColumn id="9237" xr3:uid="{4B82A9E6-C9A0-40B5-B4FF-F2167F8D733D}" name="9457" dataDxfId="7153"/>
    <tableColumn id="9238" xr3:uid="{5CC8331A-F09E-424F-B963-AAB80169B769}" name="9458" dataDxfId="7152"/>
    <tableColumn id="9239" xr3:uid="{74657634-E2F4-42A3-8434-396FC711D5E6}" name="9459" dataDxfId="7151"/>
    <tableColumn id="9240" xr3:uid="{1E5109F3-F921-48AF-BDF6-929D7B973EFB}" name="9460" dataDxfId="7150"/>
    <tableColumn id="9241" xr3:uid="{7AB636B8-6A61-4B8A-97AD-44A0177F7151}" name="9461" dataDxfId="7149"/>
    <tableColumn id="9242" xr3:uid="{CCD4622F-FD0D-4BBA-A3AC-EA801C13B7DB}" name="9462" dataDxfId="7148"/>
    <tableColumn id="9243" xr3:uid="{825DDABD-C4A2-49F6-9F3C-FCA2EEDBF297}" name="9463" dataDxfId="7147"/>
    <tableColumn id="9244" xr3:uid="{7BB34C4C-CA79-4460-AB8D-BCBDF42E01F2}" name="9464" dataDxfId="7146"/>
    <tableColumn id="9245" xr3:uid="{E519B9CC-4CC4-41A1-996D-4A1D15211A01}" name="9465" dataDxfId="7145"/>
    <tableColumn id="9246" xr3:uid="{B315DF52-0E96-4998-8C73-308BC8FCB04D}" name="9466" dataDxfId="7144"/>
    <tableColumn id="9247" xr3:uid="{8D3EB525-6D9E-4803-9448-2A2346F13715}" name="9467" dataDxfId="7143"/>
    <tableColumn id="9248" xr3:uid="{0135CD2E-BDA5-4B35-AE98-F104C3457686}" name="9468" dataDxfId="7142"/>
    <tableColumn id="9249" xr3:uid="{789803AE-471C-47FF-B67B-DC2D15384CD9}" name="9469" dataDxfId="7141"/>
    <tableColumn id="9250" xr3:uid="{B7898C26-78DD-4457-B077-1D44C2C2D64B}" name="9470" dataDxfId="7140"/>
    <tableColumn id="9251" xr3:uid="{80EA5C1E-7151-4470-B372-E318C104008B}" name="9471" dataDxfId="7139"/>
    <tableColumn id="9252" xr3:uid="{9711DB1E-86F0-4DAB-97A9-9B2539A2D67A}" name="9472" dataDxfId="7138"/>
    <tableColumn id="9253" xr3:uid="{34803FC3-28EF-4476-BEEA-F5B09F129741}" name="9473" dataDxfId="7137"/>
    <tableColumn id="9254" xr3:uid="{068258EF-5CFB-4AEC-BDA7-F813C8524DF9}" name="9474" dataDxfId="7136"/>
    <tableColumn id="9255" xr3:uid="{FF978207-7628-4789-968E-1954565D98BF}" name="9475" dataDxfId="7135"/>
    <tableColumn id="9256" xr3:uid="{D31DE5A1-2059-4972-A657-19DF63D8A328}" name="9476" dataDxfId="7134"/>
    <tableColumn id="9257" xr3:uid="{7FEB7147-3EC0-4F5E-A610-037459567E18}" name="9477" dataDxfId="7133"/>
    <tableColumn id="9258" xr3:uid="{6253FB8F-2255-466F-BA1B-3290063FDBC9}" name="9478" dataDxfId="7132"/>
    <tableColumn id="9259" xr3:uid="{C13FE0C3-9585-40E6-AC46-1AA02C7632EF}" name="9479" dataDxfId="7131"/>
    <tableColumn id="9260" xr3:uid="{0E2F5109-2522-42E2-8172-6F20309D4DA5}" name="9480" dataDxfId="7130"/>
    <tableColumn id="9261" xr3:uid="{08A84253-D65A-443B-B58B-3E2F02E93830}" name="9481" dataDxfId="7129"/>
    <tableColumn id="9262" xr3:uid="{32E41259-CCD1-45C9-B330-FF7777E04B20}" name="9482" dataDxfId="7128"/>
    <tableColumn id="9263" xr3:uid="{4C416DD8-E05E-4CBB-83AA-A3CBDA907A24}" name="9483" dataDxfId="7127"/>
    <tableColumn id="9264" xr3:uid="{51124463-CD38-4994-8041-A547646A2500}" name="9484" dataDxfId="7126"/>
    <tableColumn id="9265" xr3:uid="{0202DABF-D2A0-4B81-9926-AA28AB0A31C9}" name="9485" dataDxfId="7125"/>
    <tableColumn id="9266" xr3:uid="{01161036-5C47-4674-B63C-9A31EF158F75}" name="9486" dataDxfId="7124"/>
    <tableColumn id="9267" xr3:uid="{AD1595B5-B356-4CF7-83B5-F0F454F596A1}" name="9487" dataDxfId="7123"/>
    <tableColumn id="9268" xr3:uid="{41DB92F9-AA48-4FEE-B5F1-392E7FE3154E}" name="9488" dataDxfId="7122"/>
    <tableColumn id="9269" xr3:uid="{280DCFFA-764B-4BD3-A8DC-38CD9EF89A56}" name="9489" dataDxfId="7121"/>
    <tableColumn id="9270" xr3:uid="{C3E2A3E1-E246-4584-BDE4-BBDDDC7D2035}" name="9490" dataDxfId="7120"/>
    <tableColumn id="9271" xr3:uid="{75D9E01E-1544-4365-BD4A-07663E6220EC}" name="9491" dataDxfId="7119"/>
    <tableColumn id="9272" xr3:uid="{DB065ED9-AD38-44B1-A62E-667FC4947B33}" name="9492" dataDxfId="7118"/>
    <tableColumn id="9273" xr3:uid="{D8525405-5366-4274-AEB5-8673896B0A5F}" name="9493" dataDxfId="7117"/>
    <tableColumn id="9274" xr3:uid="{80C706FB-F61A-4BA4-A969-5AC5E817D876}" name="9494" dataDxfId="7116"/>
    <tableColumn id="9275" xr3:uid="{C767968C-0CA6-42F8-AE0D-50CEFC5D03A0}" name="9495" dataDxfId="7115"/>
    <tableColumn id="9276" xr3:uid="{3B8F3ED3-9280-41A4-A056-1AEF0EDB2884}" name="9496" dataDxfId="7114"/>
    <tableColumn id="9277" xr3:uid="{14A061AC-002A-416A-8CBE-9B08CF5B5C79}" name="9497" dataDxfId="7113"/>
    <tableColumn id="9278" xr3:uid="{E921A307-D3F6-4E81-9B6E-294B80F7D38D}" name="9498" dataDxfId="7112"/>
    <tableColumn id="9279" xr3:uid="{7F9505B9-B435-4978-9865-8DA3D18FEE27}" name="9499" dataDxfId="7111"/>
    <tableColumn id="9280" xr3:uid="{E1EE668B-9BCF-4DD1-9C9C-6CB5539B99E0}" name="9500" dataDxfId="7110"/>
    <tableColumn id="9281" xr3:uid="{13675585-F9C4-4F01-A3ED-7F9DD5714116}" name="9501" dataDxfId="7109"/>
    <tableColumn id="9282" xr3:uid="{49D2CBF2-99A1-4F37-8969-02F40C8AAB8E}" name="9502" dataDxfId="7108"/>
    <tableColumn id="9283" xr3:uid="{0D659F8E-C40E-4C11-A41E-2B8F65596744}" name="9503" dataDxfId="7107"/>
    <tableColumn id="9284" xr3:uid="{9F80684E-1B26-4678-BA9B-8E66577C5771}" name="9504" dataDxfId="7106"/>
    <tableColumn id="9285" xr3:uid="{C10EB2EF-E9AA-4C82-A3B2-B460513AA3DF}" name="9505" dataDxfId="7105"/>
    <tableColumn id="9286" xr3:uid="{4422B0D0-3E01-4609-82E5-0A74367BCFA8}" name="9506" dataDxfId="7104"/>
    <tableColumn id="9287" xr3:uid="{0E01767B-3FCF-4442-85E7-7C8B26EB61E7}" name="9507" dataDxfId="7103"/>
    <tableColumn id="9288" xr3:uid="{C9FE9060-B4DD-467E-83BA-4F8622840992}" name="9508" dataDxfId="7102"/>
    <tableColumn id="9289" xr3:uid="{2B3DF6EA-4237-448D-BE3B-68FC48D561CA}" name="9509" dataDxfId="7101"/>
    <tableColumn id="9290" xr3:uid="{19847B2B-4E2E-4C14-BB74-E8781E00D7AD}" name="9510" dataDxfId="7100"/>
    <tableColumn id="9291" xr3:uid="{80B4B5B7-7097-48EA-A37F-97C10E97A214}" name="9511" dataDxfId="7099"/>
    <tableColumn id="9292" xr3:uid="{64EE656C-6429-4AD5-BF6E-8F89A38E1F78}" name="9512" dataDxfId="7098"/>
    <tableColumn id="9293" xr3:uid="{3257DA9E-A956-476B-9ABE-1E66F8D966FE}" name="9513" dataDxfId="7097"/>
    <tableColumn id="9294" xr3:uid="{B307A898-8320-4172-99FD-FAE1D09EEBA1}" name="9514" dataDxfId="7096"/>
    <tableColumn id="9295" xr3:uid="{9F245F68-ED47-4689-9D5B-EF738DEAC581}" name="9515" dataDxfId="7095"/>
    <tableColumn id="9296" xr3:uid="{B6B8166C-8879-4D52-A377-E3208DA5C4E2}" name="9516" dataDxfId="7094"/>
    <tableColumn id="9297" xr3:uid="{6CB1008E-0EA1-4FAD-BB0E-61D5FC854296}" name="9517" dataDxfId="7093"/>
    <tableColumn id="9298" xr3:uid="{F9761432-3B44-4ED2-8F1C-610BF62EDF70}" name="9518" dataDxfId="7092"/>
    <tableColumn id="9299" xr3:uid="{D3277868-1B42-4CEC-AF19-2BFA9694776A}" name="9519" dataDxfId="7091"/>
    <tableColumn id="9300" xr3:uid="{809DA0EB-66D4-4AF0-BCA5-EAA0F09108A7}" name="9520" dataDxfId="7090"/>
    <tableColumn id="9301" xr3:uid="{1D2A1F9A-49C6-47B6-9678-5EA00F5110C6}" name="9521" dataDxfId="7089"/>
    <tableColumn id="9302" xr3:uid="{05AD4E96-1222-4FDA-8069-F1DEEFD2859F}" name="9522" dataDxfId="7088"/>
    <tableColumn id="9303" xr3:uid="{30825A0C-DDEB-442B-BBD2-571804AD26C1}" name="9523" dataDxfId="7087"/>
    <tableColumn id="9304" xr3:uid="{3B6CAE19-BC33-4A2E-BE33-9D112FFA7D56}" name="9524" dataDxfId="7086"/>
    <tableColumn id="9305" xr3:uid="{927A1157-0089-4CB2-8C41-2E105F46674C}" name="9525" dataDxfId="7085"/>
    <tableColumn id="9306" xr3:uid="{6C733F69-D48D-4F07-84EF-9D3D2E82EE41}" name="9526" dataDxfId="7084"/>
    <tableColumn id="9307" xr3:uid="{83161EB0-4E69-41C3-B502-3E417A9EAA7C}" name="9527" dataDxfId="7083"/>
    <tableColumn id="9308" xr3:uid="{7BC6476A-A68C-4942-9BBF-72336021FF64}" name="9528" dataDxfId="7082"/>
    <tableColumn id="9309" xr3:uid="{7E89B714-BA85-438C-A009-961E0092BB62}" name="9529" dataDxfId="7081"/>
    <tableColumn id="9310" xr3:uid="{1BC0F358-1D97-4443-9FE0-191EDAEFCF6D}" name="9530" dataDxfId="7080"/>
    <tableColumn id="9311" xr3:uid="{48BC202A-48C6-43AB-9138-5A325060B84B}" name="9531" dataDxfId="7079"/>
    <tableColumn id="9312" xr3:uid="{4C49BFDB-AE62-4250-935E-0D057D92D4AD}" name="9532" dataDxfId="7078"/>
    <tableColumn id="9313" xr3:uid="{5273753D-2725-4244-B953-AE4EC2144351}" name="9533" dataDxfId="7077"/>
    <tableColumn id="9314" xr3:uid="{00832E12-39DE-4E35-AE3C-5461ACE110E0}" name="9534" dataDxfId="7076"/>
    <tableColumn id="9315" xr3:uid="{402366E8-49B0-43F1-AEC0-532D00AA9C80}" name="9535" dataDxfId="7075"/>
    <tableColumn id="9316" xr3:uid="{073F7B4E-620C-4B30-AD0F-A2C21830F62D}" name="9536" dataDxfId="7074"/>
    <tableColumn id="9317" xr3:uid="{2628CFAD-0A35-4BAE-A56B-89AD1FD5DC3B}" name="9537" dataDxfId="7073"/>
    <tableColumn id="9318" xr3:uid="{CE943D59-5CF6-48DD-9EE0-F0995C3B08F7}" name="9538" dataDxfId="7072"/>
    <tableColumn id="9319" xr3:uid="{89C17987-5992-4F6C-8C82-9502BFD302EE}" name="9539" dataDxfId="7071"/>
    <tableColumn id="9320" xr3:uid="{D89E02C7-65FC-44F8-A414-A1207E2A4E4E}" name="9540" dataDxfId="7070"/>
    <tableColumn id="9321" xr3:uid="{11118EC5-D96C-4F02-8400-1DEEFD1A49FD}" name="9541" dataDxfId="7069"/>
    <tableColumn id="9322" xr3:uid="{986E0466-6D2B-42CB-93DA-4BE257B2B119}" name="9542" dataDxfId="7068"/>
    <tableColumn id="9323" xr3:uid="{BA26A2E5-C662-48D2-8754-BED3DB2795DA}" name="9543" dataDxfId="7067"/>
    <tableColumn id="9324" xr3:uid="{095310B5-05D1-4FD8-B569-859EFFB70C86}" name="9544" dataDxfId="7066"/>
    <tableColumn id="9325" xr3:uid="{0D3F25DE-E36A-4B87-A0B3-76B93E7E795E}" name="9545" dataDxfId="7065"/>
    <tableColumn id="9326" xr3:uid="{9B2C8A89-1B40-4B5A-8628-FD2D6526CBBE}" name="9546" dataDxfId="7064"/>
    <tableColumn id="9327" xr3:uid="{93E014CC-0663-4470-9FD1-F2101021DA84}" name="9547" dataDxfId="7063"/>
    <tableColumn id="9328" xr3:uid="{9436E496-E590-44B0-9861-BB72078FFDB9}" name="9548" dataDxfId="7062"/>
    <tableColumn id="9329" xr3:uid="{47D37726-35C7-4842-A712-BBB3D95C3CB0}" name="9549" dataDxfId="7061"/>
    <tableColumn id="9330" xr3:uid="{0052DA85-F43F-41E0-93B9-89A8341CE23A}" name="9550" dataDxfId="7060"/>
    <tableColumn id="9331" xr3:uid="{FF5CDC13-1719-4FAD-B8B9-E37E416F3156}" name="9551" dataDxfId="7059"/>
    <tableColumn id="9332" xr3:uid="{FABE1359-342A-4D09-98B4-865E3167C008}" name="9552" dataDxfId="7058"/>
    <tableColumn id="9333" xr3:uid="{2366D8DF-CAD5-46F1-A3EB-BCEA33E60AC1}" name="9553" dataDxfId="7057"/>
    <tableColumn id="9334" xr3:uid="{45B7DD84-6806-4349-B82F-AFA974FB7B3C}" name="9554" dataDxfId="7056"/>
    <tableColumn id="9335" xr3:uid="{A6BDCABB-DE5F-4DC5-A1E5-D9EDFECB86E2}" name="9555" dataDxfId="7055"/>
    <tableColumn id="9336" xr3:uid="{19948C87-3647-44DA-8B9A-7D0F1685A4D1}" name="9556" dataDxfId="7054"/>
    <tableColumn id="9337" xr3:uid="{FAFCE67C-4AE0-4919-B47D-D78D9E6D39E6}" name="9557" dataDxfId="7053"/>
    <tableColumn id="9338" xr3:uid="{C30C3523-8DE8-47ED-8B4C-B55772C7DB39}" name="9558" dataDxfId="7052"/>
    <tableColumn id="9339" xr3:uid="{BCDC5F73-4C6D-4F3D-8B10-9B97A5C6E94D}" name="9559" dataDxfId="7051"/>
    <tableColumn id="9340" xr3:uid="{DE37A08D-170A-4913-880B-D18661C06FE2}" name="9560" dataDxfId="7050"/>
    <tableColumn id="9341" xr3:uid="{3C75123A-EA9D-48FE-B0A7-98A7EEC76457}" name="9561" dataDxfId="7049"/>
    <tableColumn id="9342" xr3:uid="{FE62DDBC-EB01-40E6-B016-172C9E5E9E0A}" name="9562" dataDxfId="7048"/>
    <tableColumn id="9343" xr3:uid="{0A39B0CE-2E14-43D7-924F-207A8790FB78}" name="9563" dataDxfId="7047"/>
    <tableColumn id="9344" xr3:uid="{673E3611-1C7D-4CA1-B437-378BD7109A82}" name="9564" dataDxfId="7046"/>
    <tableColumn id="9345" xr3:uid="{2F4EB5A3-4617-4BD1-BE1D-B3E88747528E}" name="9565" dataDxfId="7045"/>
    <tableColumn id="9346" xr3:uid="{43AE175A-D1BF-4FD4-9AE4-4C06D5336934}" name="9566" dataDxfId="7044"/>
    <tableColumn id="9347" xr3:uid="{C029CA24-95EF-4756-95D1-F851D541E2FE}" name="9567" dataDxfId="7043"/>
    <tableColumn id="9348" xr3:uid="{AA794029-93BE-4933-9485-01F6716877FE}" name="9568" dataDxfId="7042"/>
    <tableColumn id="9349" xr3:uid="{B6F79328-AA46-4FB4-A31A-85FBD3EB4D68}" name="9569" dataDxfId="7041"/>
    <tableColumn id="9350" xr3:uid="{6925187B-81DC-431A-BCC6-29FEE38D9F47}" name="9570" dataDxfId="7040"/>
    <tableColumn id="9351" xr3:uid="{E1B67C42-2D3C-4FF5-85FA-09ED680C0523}" name="9571" dataDxfId="7039"/>
    <tableColumn id="9352" xr3:uid="{CFFA96A7-BBFD-467E-9C4D-9A0863725079}" name="9572" dataDxfId="7038"/>
    <tableColumn id="9353" xr3:uid="{0907FE25-8E52-4355-AD41-17D5A4AC1B44}" name="9573" dataDxfId="7037"/>
    <tableColumn id="9354" xr3:uid="{B4693657-620C-4B3B-80D7-1CFF5CF199B4}" name="9574" dataDxfId="7036"/>
    <tableColumn id="9355" xr3:uid="{773FDB40-2D3A-46CC-9A1A-3459CB79D57D}" name="9575" dataDxfId="7035"/>
    <tableColumn id="9356" xr3:uid="{542AE380-9304-446C-849E-A0FF0C33BC18}" name="9576" dataDxfId="7034"/>
    <tableColumn id="9357" xr3:uid="{1CF2EA8D-D991-4EE8-A263-BBC222845FC2}" name="9577" dataDxfId="7033"/>
    <tableColumn id="9358" xr3:uid="{67D2DF2C-9B5B-43DB-92B9-229CA3F34B0F}" name="9578" dataDxfId="7032"/>
    <tableColumn id="9359" xr3:uid="{5FEA7FB1-3103-408B-AE95-E9F2EF2AED69}" name="9579" dataDxfId="7031"/>
    <tableColumn id="9360" xr3:uid="{07C155D5-98AD-4F3E-8F40-27848A61FC6D}" name="9580" dataDxfId="7030"/>
    <tableColumn id="9361" xr3:uid="{06E4C292-C176-4BEE-A226-A1068E80FCB9}" name="9581" dataDxfId="7029"/>
    <tableColumn id="9362" xr3:uid="{5D0BA96C-0BD4-4495-88DB-B3ADEF9557E4}" name="9582" dataDxfId="7028"/>
    <tableColumn id="9363" xr3:uid="{52F64370-20BA-47CB-8E8D-0C28BC672967}" name="9583" dataDxfId="7027"/>
    <tableColumn id="9364" xr3:uid="{9E0C0422-4157-45E3-8A59-C3AA26CF87DA}" name="9584" dataDxfId="7026"/>
    <tableColumn id="9365" xr3:uid="{E1B8544A-9507-4532-97A7-AFE27CD40F5D}" name="9585" dataDxfId="7025"/>
    <tableColumn id="9366" xr3:uid="{F215A674-B581-492D-8C60-4D3946FD4398}" name="9586" dataDxfId="7024"/>
    <tableColumn id="9367" xr3:uid="{2F854415-FA60-4790-934A-C25E5A31DCAA}" name="9587" dataDxfId="7023"/>
    <tableColumn id="9368" xr3:uid="{3E994B94-6CB8-456C-8102-6CB4E633ECCC}" name="9588" dataDxfId="7022"/>
    <tableColumn id="9369" xr3:uid="{A3654AD4-DA97-4080-B365-479449B62D5F}" name="9589" dataDxfId="7021"/>
    <tableColumn id="9370" xr3:uid="{C79DDFEA-E95A-4CA0-9AF4-7EAA5C615A10}" name="9590" dataDxfId="7020"/>
    <tableColumn id="9371" xr3:uid="{1181312C-AFAD-4814-9820-B8C196CBA4AA}" name="9591" dataDxfId="7019"/>
    <tableColumn id="9372" xr3:uid="{E29C20E2-05BC-4336-AC6A-AF4F2D244159}" name="9592" dataDxfId="7018"/>
    <tableColumn id="9373" xr3:uid="{427BDBDA-B131-4EFC-9D56-B74202D0E32D}" name="9593" dataDxfId="7017"/>
    <tableColumn id="9374" xr3:uid="{0D2CECD9-A5BD-487F-867A-795A1803BE79}" name="9594" dataDxfId="7016"/>
    <tableColumn id="9375" xr3:uid="{77861706-24C3-4C67-BC2B-8535FABDE874}" name="9595" dataDxfId="7015"/>
    <tableColumn id="9376" xr3:uid="{01840FAF-CB9F-460D-A571-114BB63AF8E8}" name="9596" dataDxfId="7014"/>
    <tableColumn id="9377" xr3:uid="{770C98B3-FC73-48E3-9AC5-33A7B6A5588B}" name="9597" dataDxfId="7013"/>
    <tableColumn id="9378" xr3:uid="{D1CE537B-1D24-4B96-A2F5-20B55682DA38}" name="9598" dataDxfId="7012"/>
    <tableColumn id="9379" xr3:uid="{8FC8F913-C73B-4C69-81AB-AFE654E0FFDB}" name="9599" dataDxfId="7011"/>
    <tableColumn id="9380" xr3:uid="{71A1AF80-62E1-48D4-AECC-59E103161F77}" name="9600" dataDxfId="7010"/>
    <tableColumn id="9381" xr3:uid="{0425CCDB-BF08-4888-8E39-E9741FC426C1}" name="9601" dataDxfId="7009"/>
    <tableColumn id="9382" xr3:uid="{A50977B2-31E1-439C-B10D-42CC965BFA75}" name="9602" dataDxfId="7008"/>
    <tableColumn id="9383" xr3:uid="{6DD1F65F-2AF2-466D-B3EB-028DC846B787}" name="9603" dataDxfId="7007"/>
    <tableColumn id="9384" xr3:uid="{6D042B75-C3B6-40F2-BE23-B6A54180DAFB}" name="9604" dataDxfId="7006"/>
    <tableColumn id="9385" xr3:uid="{1CB8F556-47D4-4308-B67C-FF5F6F08E16F}" name="9605" dataDxfId="7005"/>
    <tableColumn id="9386" xr3:uid="{37FD0BCD-82DC-4C03-9D43-B062E5B17167}" name="9606" dataDxfId="7004"/>
    <tableColumn id="9387" xr3:uid="{303A8E0F-58D9-4D47-AC3D-E71883273731}" name="9607" dataDxfId="7003"/>
    <tableColumn id="9388" xr3:uid="{4E198A27-FA10-45E6-999B-8747D41DC1B7}" name="9608" dataDxfId="7002"/>
    <tableColumn id="9389" xr3:uid="{3AAC7D86-544B-477F-962E-F33C403A5B89}" name="9609" dataDxfId="7001"/>
    <tableColumn id="9390" xr3:uid="{9E482C5C-C997-4754-A5ED-29D8F2EE8352}" name="9610" dataDxfId="7000"/>
    <tableColumn id="9391" xr3:uid="{EBD971EE-B2C8-48EF-BACB-C3DD8C969555}" name="9611" dataDxfId="6999"/>
    <tableColumn id="9392" xr3:uid="{E3727A4A-02D6-418C-9734-80EE5C7E8D7D}" name="9612" dataDxfId="6998"/>
    <tableColumn id="9393" xr3:uid="{AEF93965-CE43-4780-9DF8-30BAD63CCF26}" name="9613" dataDxfId="6997"/>
    <tableColumn id="9394" xr3:uid="{5F2CBF60-1BB3-4174-B853-993DBEE30485}" name="9614" dataDxfId="6996"/>
    <tableColumn id="9395" xr3:uid="{458E09BA-F2CB-4D12-BD09-5C8F88DBA77C}" name="9615" dataDxfId="6995"/>
    <tableColumn id="9396" xr3:uid="{7D942772-655B-4A2D-A596-72B61254F656}" name="9616" dataDxfId="6994"/>
    <tableColumn id="9397" xr3:uid="{567A8F78-B4F5-4BCB-A8BF-7DE1F4437179}" name="9617" dataDxfId="6993"/>
    <tableColumn id="9398" xr3:uid="{80811DE0-C950-4D2B-9B93-23B220F736B4}" name="9618" dataDxfId="6992"/>
    <tableColumn id="9399" xr3:uid="{F8A755E7-0DFB-4D07-B7A0-AE82A9D5F4B1}" name="9619" dataDxfId="6991"/>
    <tableColumn id="9400" xr3:uid="{BC049010-A035-4F63-8841-C8173AB8E4F0}" name="9620" dataDxfId="6990"/>
    <tableColumn id="9401" xr3:uid="{E0BCF12E-7C64-4CAA-9B48-712C06DAC6D7}" name="9621" dataDxfId="6989"/>
    <tableColumn id="9402" xr3:uid="{5479D1C9-F941-4517-A8FC-269A9EF02FA8}" name="9622" dataDxfId="6988"/>
    <tableColumn id="9403" xr3:uid="{8A8BF740-1C48-407D-B295-D74D5F79CE7E}" name="9623" dataDxfId="6987"/>
    <tableColumn id="9404" xr3:uid="{65477136-4E8D-4B93-A4C8-7DC201510CD4}" name="9624" dataDxfId="6986"/>
    <tableColumn id="9405" xr3:uid="{74539DAE-BA04-47BE-A5F3-91886A0E4359}" name="9625" dataDxfId="6985"/>
    <tableColumn id="9406" xr3:uid="{6DA34390-2F4A-40D2-A676-136DC477CBC2}" name="9626" dataDxfId="6984"/>
    <tableColumn id="9407" xr3:uid="{282746E5-49FD-49F9-A373-078217169514}" name="9627" dataDxfId="6983"/>
    <tableColumn id="9408" xr3:uid="{56A9714C-23D3-4B27-BD02-AD7B8B896159}" name="9628" dataDxfId="6982"/>
    <tableColumn id="9409" xr3:uid="{22AA4E88-E7F0-4D55-ACD3-0E44C5D25F18}" name="9629" dataDxfId="6981"/>
    <tableColumn id="9410" xr3:uid="{5A4950E7-6202-468D-96A8-ABC865263715}" name="9630" dataDxfId="6980"/>
    <tableColumn id="9411" xr3:uid="{86FB956E-66AA-452E-8884-C5F7BE44791B}" name="9631" dataDxfId="6979"/>
    <tableColumn id="9412" xr3:uid="{FA6A947D-5C9B-41ED-B305-AD42EC0A2E92}" name="9632" dataDxfId="6978"/>
    <tableColumn id="9413" xr3:uid="{AE419E04-B603-4711-8AE1-B87459E3FFD9}" name="9633" dataDxfId="6977"/>
    <tableColumn id="9414" xr3:uid="{65620222-DD59-4D99-9325-3C6988BCCEA3}" name="9634" dataDxfId="6976"/>
    <tableColumn id="9415" xr3:uid="{103DB7F5-61FB-4EEA-A621-DE565AE16F9B}" name="9635" dataDxfId="6975"/>
    <tableColumn id="9416" xr3:uid="{FAEFD9FD-E0FC-4F8F-897B-F07540A1856A}" name="9636" dataDxfId="6974"/>
    <tableColumn id="9417" xr3:uid="{0DB6CB47-6450-4981-B00C-8AAD78B30BFC}" name="9637" dataDxfId="6973"/>
    <tableColumn id="9418" xr3:uid="{D8E1F3AB-CA5C-4F44-B8B8-A7DDD8C918BB}" name="9638" dataDxfId="6972"/>
    <tableColumn id="9419" xr3:uid="{6068B40F-46ED-4888-81D5-26604DF1A1A7}" name="9639" dataDxfId="6971"/>
    <tableColumn id="9420" xr3:uid="{DFD02587-18EE-4143-80F0-70995A1E7325}" name="9640" dataDxfId="6970"/>
    <tableColumn id="9421" xr3:uid="{95BD42CA-D277-45C3-9771-5CA78108249A}" name="9641" dataDxfId="6969"/>
    <tableColumn id="9422" xr3:uid="{BEEBBF28-2CD8-4E25-87BF-F71BF57D1315}" name="9642" dataDxfId="6968"/>
    <tableColumn id="9423" xr3:uid="{AD3DAF94-0FF8-4EE8-91F3-F94B321734DC}" name="9643" dataDxfId="6967"/>
    <tableColumn id="9424" xr3:uid="{DCFECD32-1C31-4305-BF25-51ED49F6F828}" name="9644" dataDxfId="6966"/>
    <tableColumn id="9425" xr3:uid="{7A10FD5B-F804-4C04-A2E0-1FFC6B696A47}" name="9645" dataDxfId="6965"/>
    <tableColumn id="9426" xr3:uid="{9DCC9E06-D3A2-41DD-9756-56F693CF173E}" name="9646" dataDxfId="6964"/>
    <tableColumn id="9427" xr3:uid="{FC687DF2-C37B-44F2-A0E8-C00F5F7A82F8}" name="9647" dataDxfId="6963"/>
    <tableColumn id="9428" xr3:uid="{3B9D8E91-0EEB-4D61-9770-E2AE5B17AF67}" name="9648" dataDxfId="6962"/>
    <tableColumn id="9429" xr3:uid="{72364A46-75CF-4725-BF74-037DDDB5937F}" name="9649" dataDxfId="6961"/>
    <tableColumn id="9430" xr3:uid="{099CFD24-A2A3-45D2-8C6F-13113612AA8F}" name="9650" dataDxfId="6960"/>
    <tableColumn id="9431" xr3:uid="{5F41557B-A3CC-43F7-BD91-6B5D1E514B8A}" name="9651" dataDxfId="6959"/>
    <tableColumn id="9432" xr3:uid="{2E2EF02A-FFCD-45C5-B592-D0343237EF52}" name="9652" dataDxfId="6958"/>
    <tableColumn id="9433" xr3:uid="{BE72FCA0-ED2D-4823-BECC-87521F969718}" name="9653" dataDxfId="6957"/>
    <tableColumn id="9434" xr3:uid="{ED3C83E1-B1CD-42DE-A012-179C4D8A522D}" name="9654" dataDxfId="6956"/>
    <tableColumn id="9435" xr3:uid="{2ABD1543-F6AE-40C0-89FC-1BF9A5E5ABE7}" name="9655" dataDxfId="6955"/>
    <tableColumn id="9436" xr3:uid="{31D33304-A3F3-437C-9249-90C7C4E1264B}" name="9656" dataDxfId="6954"/>
    <tableColumn id="9437" xr3:uid="{DA9D5F1C-8AD3-4FAE-83D7-7EF89A986D60}" name="9657" dataDxfId="6953"/>
    <tableColumn id="9438" xr3:uid="{DD213D5F-2EFF-48BD-A6C1-AE74E7ACBAF4}" name="9658" dataDxfId="6952"/>
    <tableColumn id="9439" xr3:uid="{1BA686FF-E264-441B-BC96-BFB8C67C623D}" name="9659" dataDxfId="6951"/>
    <tableColumn id="9440" xr3:uid="{73A7A0C5-3DB6-41E7-ADE2-C22A39EB2786}" name="9660" dataDxfId="6950"/>
    <tableColumn id="9441" xr3:uid="{950CE9E6-943C-4ED6-B55B-65BF76D7D24D}" name="9661" dataDxfId="6949"/>
    <tableColumn id="9442" xr3:uid="{ADAD5FBE-BF57-445B-B191-482473E48A96}" name="9662" dataDxfId="6948"/>
    <tableColumn id="9443" xr3:uid="{15E26D10-6407-4E32-B7D3-AEBE374E86BF}" name="9663" dataDxfId="6947"/>
    <tableColumn id="9444" xr3:uid="{D7EB476A-1B71-4BC7-8C05-333153C2A391}" name="9664" dataDxfId="6946"/>
    <tableColumn id="9445" xr3:uid="{50A88C79-4542-478F-90D5-2CD018C5B65B}" name="9665" dataDxfId="6945"/>
    <tableColumn id="9446" xr3:uid="{5029EACB-64C8-4F2A-9916-8F2408406D07}" name="9666" dataDxfId="6944"/>
    <tableColumn id="9447" xr3:uid="{4A3046AD-23E1-48F5-AEFD-AC39ECAF3442}" name="9667" dataDxfId="6943"/>
    <tableColumn id="9448" xr3:uid="{3C876CE2-E00D-4795-87A2-FD917B415829}" name="9668" dataDxfId="6942"/>
    <tableColumn id="9449" xr3:uid="{8E2595A4-9044-4EA8-B480-361D8B390B6E}" name="9669" dataDxfId="6941"/>
    <tableColumn id="9450" xr3:uid="{4C78B7E9-7ACC-40F8-B1BA-6146E1F8BC78}" name="9670" dataDxfId="6940"/>
    <tableColumn id="9451" xr3:uid="{B0474537-DBAB-41C1-AC00-70C45164607C}" name="9671" dataDxfId="6939"/>
    <tableColumn id="9452" xr3:uid="{05661BF4-EF2B-4699-B158-B66A1ABE72AE}" name="9672" dataDxfId="6938"/>
    <tableColumn id="9453" xr3:uid="{CC9B6FEB-B23F-45F7-9264-54C60F0119F8}" name="9673" dataDxfId="6937"/>
    <tableColumn id="9454" xr3:uid="{859955E9-3172-4655-9FC7-165EA51D5307}" name="9674" dataDxfId="6936"/>
    <tableColumn id="9455" xr3:uid="{B3AF31C9-56B8-494F-87E7-1D7E829F5764}" name="9675" dataDxfId="6935"/>
    <tableColumn id="9456" xr3:uid="{F9DD5BAC-1C39-4368-9E3F-417DB2B65ECA}" name="9676" dataDxfId="6934"/>
    <tableColumn id="9457" xr3:uid="{C334F615-2BA4-432E-BFF8-E2BACFCDE903}" name="9677" dataDxfId="6933"/>
    <tableColumn id="9458" xr3:uid="{74034AC2-18F3-45DB-967E-434B002B3B42}" name="9678" dataDxfId="6932"/>
    <tableColumn id="9459" xr3:uid="{F1055AFC-D0F7-42C4-9D74-2B19D9429411}" name="9679" dataDxfId="6931"/>
    <tableColumn id="9460" xr3:uid="{56D84CF8-A301-4099-A61A-EF7BE3DEB581}" name="9680" dataDxfId="6930"/>
    <tableColumn id="9461" xr3:uid="{9E834262-F2ED-453B-833D-2C0404C7A763}" name="9681" dataDxfId="6929"/>
    <tableColumn id="9462" xr3:uid="{740E1505-A7DB-4A40-A6B8-A3B5ABBFFE47}" name="9682" dataDxfId="6928"/>
    <tableColumn id="9463" xr3:uid="{4F583C9F-2633-47B3-A88D-A001CE0A7A4A}" name="9683" dataDxfId="6927"/>
    <tableColumn id="9464" xr3:uid="{39C9E33F-AF62-42FC-85CC-1CE9BB29D0E4}" name="9684" dataDxfId="6926"/>
    <tableColumn id="9465" xr3:uid="{BD792AE7-9444-4DA6-867F-A6710F8242DD}" name="9685" dataDxfId="6925"/>
    <tableColumn id="9466" xr3:uid="{9A226126-C2DD-4C5A-BB23-8B67407B0E81}" name="9686" dataDxfId="6924"/>
    <tableColumn id="9467" xr3:uid="{6B034A4F-B134-4638-A2D4-BABB8758FE3F}" name="9687" dataDxfId="6923"/>
    <tableColumn id="9468" xr3:uid="{C1FE48EC-8FAB-4E74-A796-D1657A1F689C}" name="9688" dataDxfId="6922"/>
    <tableColumn id="9469" xr3:uid="{220A8E35-4AF8-4A85-A071-1129090B6F42}" name="9689" dataDxfId="6921"/>
    <tableColumn id="9470" xr3:uid="{3DA2F50C-60F7-47C3-AE06-C82798914050}" name="9690" dataDxfId="6920"/>
    <tableColumn id="9471" xr3:uid="{712B84F6-4B2E-4D65-9FA1-FF40F9F8B9EE}" name="9691" dataDxfId="6919"/>
    <tableColumn id="9472" xr3:uid="{532027D0-60A0-4ACB-87D2-BA839C8DC0F0}" name="9692" dataDxfId="6918"/>
    <tableColumn id="9473" xr3:uid="{41FA69E3-BDCE-497B-80AD-2CDD0A8101CB}" name="9693" dataDxfId="6917"/>
    <tableColumn id="9474" xr3:uid="{AF4CAACE-FAE1-42D4-87F4-362C8681CF5F}" name="9694" dataDxfId="6916"/>
    <tableColumn id="9475" xr3:uid="{CC3F4DD3-A705-44C2-A064-396E0F61C2EA}" name="9695" dataDxfId="6915"/>
    <tableColumn id="9476" xr3:uid="{981A674C-51D6-4EB7-9F95-6CB9F87CB657}" name="9696" dataDxfId="6914"/>
    <tableColumn id="9477" xr3:uid="{3772C0E3-5BD5-430F-9F56-DC5875F5598D}" name="9697" dataDxfId="6913"/>
    <tableColumn id="9478" xr3:uid="{D2AC2335-60B5-4151-9D4A-B10EEE029673}" name="9698" dataDxfId="6912"/>
    <tableColumn id="9479" xr3:uid="{17765D00-B97C-4176-815D-C4F40C0ED09A}" name="9699" dataDxfId="6911"/>
    <tableColumn id="9480" xr3:uid="{01DEF853-E854-4608-8D37-9E88C80216BA}" name="9700" dataDxfId="6910"/>
    <tableColumn id="9481" xr3:uid="{1AD5A7E3-FFC0-4249-A419-52E0AC9E2E87}" name="9701" dataDxfId="6909"/>
    <tableColumn id="9482" xr3:uid="{DE9166F1-5B4E-487B-8686-541771F15625}" name="9702" dataDxfId="6908"/>
    <tableColumn id="9483" xr3:uid="{6D08A024-2FEE-4FD5-A284-30F43762E7B2}" name="9703" dataDxfId="6907"/>
    <tableColumn id="9484" xr3:uid="{E5874726-22BE-4CE0-9487-E1973A263657}" name="9704" dataDxfId="6906"/>
    <tableColumn id="9485" xr3:uid="{6417F284-03EA-46E8-8DA8-B47090977ADC}" name="9705" dataDxfId="6905"/>
    <tableColumn id="9486" xr3:uid="{941DE9E6-F09B-4A82-802A-51E6E568EA3C}" name="9706" dataDxfId="6904"/>
    <tableColumn id="9487" xr3:uid="{D58D7720-C239-41DD-8A98-D264296F1724}" name="9707" dataDxfId="6903"/>
    <tableColumn id="9488" xr3:uid="{077192FC-9727-413D-AD0A-B701DA464394}" name="9708" dataDxfId="6902"/>
    <tableColumn id="9489" xr3:uid="{626236B4-30F1-4369-A156-5CE618C93BFC}" name="9709" dataDxfId="6901"/>
    <tableColumn id="9490" xr3:uid="{9AEE76BF-4D18-4F80-BF82-DB5BE2E048F2}" name="9710" dataDxfId="6900"/>
    <tableColumn id="9491" xr3:uid="{0D88293F-18E9-46DE-B4C3-2F359BCF12D1}" name="9711" dataDxfId="6899"/>
    <tableColumn id="9492" xr3:uid="{4531973A-18B5-4224-8D38-305A61023444}" name="9712" dataDxfId="6898"/>
    <tableColumn id="9493" xr3:uid="{5A323572-819C-4222-A104-26816802928F}" name="9713" dataDxfId="6897"/>
    <tableColumn id="9494" xr3:uid="{8CCF6896-94DF-4E53-AD13-B478D4A1018E}" name="9714" dataDxfId="6896"/>
    <tableColumn id="9495" xr3:uid="{DFB2EE6F-C466-4615-A77A-BF423A5FEBC1}" name="9715" dataDxfId="6895"/>
    <tableColumn id="9496" xr3:uid="{6DF3CF25-B80C-480A-81EB-202DF6727387}" name="9716" dataDxfId="6894"/>
    <tableColumn id="9497" xr3:uid="{25DB1581-D7C0-4E19-AECF-C9849D3EDB3E}" name="9717" dataDxfId="6893"/>
    <tableColumn id="9498" xr3:uid="{E36C14F2-E9E1-4B27-8FE5-FFD37D2F58B8}" name="9718" dataDxfId="6892"/>
    <tableColumn id="9499" xr3:uid="{8A1E33DA-E62B-43D0-9496-76ABF512B153}" name="9719" dataDxfId="6891"/>
    <tableColumn id="9500" xr3:uid="{7FB1E91A-56BE-4674-A5FE-00A083096275}" name="9720" dataDxfId="6890"/>
    <tableColumn id="9501" xr3:uid="{C99BAB54-13BD-4C0F-B842-14B757144BD6}" name="9721" dataDxfId="6889"/>
    <tableColumn id="9502" xr3:uid="{79FDA1E0-8281-464E-9103-8F40D7E389DC}" name="9722" dataDxfId="6888"/>
    <tableColumn id="9503" xr3:uid="{4C1D952B-D571-40C9-8227-5BF68BC9BCE4}" name="9723" dataDxfId="6887"/>
    <tableColumn id="9504" xr3:uid="{719B256C-8649-4D8B-A4B9-D2F3C756B756}" name="9724" dataDxfId="6886"/>
    <tableColumn id="9505" xr3:uid="{403A6F3D-D088-4510-9439-A5CD05295D8D}" name="9725" dataDxfId="6885"/>
    <tableColumn id="9506" xr3:uid="{0A477B71-7B91-4F39-83A1-9E58F6813077}" name="9726" dataDxfId="6884"/>
    <tableColumn id="9507" xr3:uid="{21DFDC26-8DC9-4D5B-9DFA-95241B75D276}" name="9727" dataDxfId="6883"/>
    <tableColumn id="9508" xr3:uid="{32974567-D5D4-433E-ABCE-7BF20157CEC7}" name="9728" dataDxfId="6882"/>
    <tableColumn id="9509" xr3:uid="{F5520D3B-98F0-4199-B53E-787F71D72E67}" name="9729" dataDxfId="6881"/>
    <tableColumn id="9510" xr3:uid="{5D55DEB2-4C43-4A6E-9B78-FC99E090C841}" name="9730" dataDxfId="6880"/>
    <tableColumn id="9511" xr3:uid="{BD171DE3-F0B4-4C1D-BAE9-7E7F94AB91C4}" name="9731" dataDxfId="6879"/>
    <tableColumn id="9512" xr3:uid="{095395F1-DA98-483D-A82A-950429C6FF15}" name="9732" dataDxfId="6878"/>
    <tableColumn id="9513" xr3:uid="{07657AA3-2677-4051-88CF-5B48B69E77A9}" name="9733" dataDxfId="6877"/>
    <tableColumn id="9514" xr3:uid="{F8B036E3-4F17-4CC7-97BE-B29E34CD9F78}" name="9734" dataDxfId="6876"/>
    <tableColumn id="9515" xr3:uid="{CB8E5DB0-3F8E-4701-8F5B-683AD5ECFAA2}" name="9735" dataDxfId="6875"/>
    <tableColumn id="9516" xr3:uid="{D8464563-18E5-41EF-8591-62373CD5AC0E}" name="9736" dataDxfId="6874"/>
    <tableColumn id="9517" xr3:uid="{48600E99-95CE-4339-A779-CF459ABC9051}" name="9737" dataDxfId="6873"/>
    <tableColumn id="9518" xr3:uid="{D12F36D0-FC45-480E-A490-72E24DA81B8F}" name="9738" dataDxfId="6872"/>
    <tableColumn id="9519" xr3:uid="{3A860798-F6D7-481F-9A9D-0BA19D222C39}" name="9739" dataDxfId="6871"/>
    <tableColumn id="9520" xr3:uid="{BF435DE0-AD24-4971-8641-489819B01B8B}" name="9740" dataDxfId="6870"/>
    <tableColumn id="9521" xr3:uid="{D1C7F556-A871-4535-B3A1-979A86423DB5}" name="9741" dataDxfId="6869"/>
    <tableColumn id="9522" xr3:uid="{E3FAADC9-08AF-408D-B59B-798492B8B9FA}" name="9742" dataDxfId="6868"/>
    <tableColumn id="9523" xr3:uid="{75DA57A8-14D0-4EFD-98B4-8429B2725280}" name="9743" dataDxfId="6867"/>
    <tableColumn id="9524" xr3:uid="{6B5AF9DD-2806-49B8-A4FC-317A637B0B0E}" name="9744" dataDxfId="6866"/>
    <tableColumn id="9525" xr3:uid="{1DFDEA1B-F1BB-4D60-AE5D-577B8B7787D2}" name="9745" dataDxfId="6865"/>
    <tableColumn id="9526" xr3:uid="{E652A72B-DE19-4888-A65B-9B7097318CDE}" name="9746" dataDxfId="6864"/>
    <tableColumn id="9527" xr3:uid="{CD8B768A-4208-4F9F-8819-4827C2FA5172}" name="9747" dataDxfId="6863"/>
    <tableColumn id="9528" xr3:uid="{454E4245-04B7-4F75-8FE4-7B991225E351}" name="9748" dataDxfId="6862"/>
    <tableColumn id="9529" xr3:uid="{5FE3B546-4765-4F82-8730-C5221B1F3801}" name="9749" dataDxfId="6861"/>
    <tableColumn id="9530" xr3:uid="{FFC5F3C7-D5BE-428F-9074-DA3478C25E8A}" name="9750" dataDxfId="6860"/>
    <tableColumn id="9531" xr3:uid="{58644B60-A063-4146-98C8-D4E1D9D02D50}" name="9751" dataDxfId="6859"/>
    <tableColumn id="9532" xr3:uid="{4512A094-B2F6-4176-82F7-7636D3BA602D}" name="9752" dataDxfId="6858"/>
    <tableColumn id="9533" xr3:uid="{E96E1F27-0EFA-480E-8774-0F7D676250F0}" name="9753" dataDxfId="6857"/>
    <tableColumn id="9534" xr3:uid="{35F9C3FC-E6D3-425C-9D86-5AA94F9B35D1}" name="9754" dataDxfId="6856"/>
    <tableColumn id="9535" xr3:uid="{CD9EBBBD-9BA9-4F56-996E-86ABD0B119B9}" name="9755" dataDxfId="6855"/>
    <tableColumn id="9536" xr3:uid="{83314F07-A9BA-4B3A-8A17-FC458DDC58CA}" name="9756" dataDxfId="6854"/>
    <tableColumn id="9537" xr3:uid="{51672397-8D78-410E-8A34-C44EABA4D36A}" name="9757" dataDxfId="6853"/>
    <tableColumn id="9538" xr3:uid="{4A09C8B9-A709-484D-9DDC-1D221F7636A0}" name="9758" dataDxfId="6852"/>
    <tableColumn id="9539" xr3:uid="{BEC54CE3-76E3-4B0C-A92D-0F721B490240}" name="9759" dataDxfId="6851"/>
    <tableColumn id="9540" xr3:uid="{DADE5DD7-7641-4DB0-93E9-139E3E4D5A93}" name="9760" dataDxfId="6850"/>
    <tableColumn id="9541" xr3:uid="{CBB39E68-A948-42D1-9333-D8BF7E3C7073}" name="9761" dataDxfId="6849"/>
    <tableColumn id="9542" xr3:uid="{3398F6F7-7680-4436-8B97-7A7C81F62E24}" name="9762" dataDxfId="6848"/>
    <tableColumn id="9543" xr3:uid="{4132A252-05B5-4A98-94DE-350C3199DD0A}" name="9763" dataDxfId="6847"/>
    <tableColumn id="9544" xr3:uid="{2CCF6325-B802-45F1-8EBA-9EB80444C794}" name="9764" dataDxfId="6846"/>
    <tableColumn id="9545" xr3:uid="{19764286-3A07-42FB-9CB3-463F962837F0}" name="9765" dataDxfId="6845"/>
    <tableColumn id="9546" xr3:uid="{19900726-4AE1-45F9-AEE1-9119AE434AEF}" name="9766" dataDxfId="6844"/>
    <tableColumn id="9547" xr3:uid="{ECC2C1AD-770A-4022-BBA5-5E30F76ECE0F}" name="9767" dataDxfId="6843"/>
    <tableColumn id="9548" xr3:uid="{250B1CCC-E24D-4F1C-8A18-5F3AA79BE8A9}" name="9768" dataDxfId="6842"/>
    <tableColumn id="9549" xr3:uid="{E6C37D6D-EEB5-4898-A228-ABAACA838901}" name="9769" dataDxfId="6841"/>
    <tableColumn id="9550" xr3:uid="{8D80277D-82E5-4289-9D4F-926E4DE8056E}" name="9770" dataDxfId="6840"/>
    <tableColumn id="9551" xr3:uid="{A7DF95FA-9CC8-4449-8D66-A9EE69AFBAEE}" name="9771" dataDxfId="6839"/>
    <tableColumn id="9552" xr3:uid="{6CAD8DC0-7330-4ACB-BD07-7127312F083A}" name="9772" dataDxfId="6838"/>
    <tableColumn id="9553" xr3:uid="{606C319D-6669-4427-8EAD-1DD97D1E4250}" name="9773" dataDxfId="6837"/>
    <tableColumn id="9554" xr3:uid="{EE79FD87-DE2D-4FFC-ABAF-A16AF72CC6A7}" name="9774" dataDxfId="6836"/>
    <tableColumn id="9555" xr3:uid="{1F34F669-B820-4A5D-A69C-67F8C4CBFCE1}" name="9775" dataDxfId="6835"/>
    <tableColumn id="9556" xr3:uid="{DB7D61CC-4902-4414-9E6F-B37F1CAC2615}" name="9776" dataDxfId="6834"/>
    <tableColumn id="9557" xr3:uid="{218C2859-380A-4F32-B940-6B803C7A94E5}" name="9777" dataDxfId="6833"/>
    <tableColumn id="9558" xr3:uid="{EA99A747-0F77-4D12-997A-EB71E52223BE}" name="9778" dataDxfId="6832"/>
    <tableColumn id="9559" xr3:uid="{1D37BBD8-F065-4EC8-91AB-891037DA6086}" name="9779" dataDxfId="6831"/>
    <tableColumn id="9560" xr3:uid="{9B57DB9C-A86E-4E42-8ABD-E61B5EB5F35D}" name="9780" dataDxfId="6830"/>
    <tableColumn id="9561" xr3:uid="{9CCF138F-2988-4B8E-9CBC-BA04EC3D27B4}" name="9781" dataDxfId="6829"/>
    <tableColumn id="9562" xr3:uid="{31C22227-A528-413F-8992-8384D656A115}" name="9782" dataDxfId="6828"/>
    <tableColumn id="9563" xr3:uid="{4F562EA0-B3AC-412D-AA43-5A9CC9BDCA91}" name="9783" dataDxfId="6827"/>
    <tableColumn id="9564" xr3:uid="{A8A92017-3973-402E-8228-DBFB68F8E143}" name="9784" dataDxfId="6826"/>
    <tableColumn id="9565" xr3:uid="{639A76E4-0971-4AFD-AB11-8592724DDB0E}" name="9785" dataDxfId="6825"/>
    <tableColumn id="9566" xr3:uid="{C935C1C7-A8AE-4A6D-98E0-B37159D82E45}" name="9786" dataDxfId="6824"/>
    <tableColumn id="9567" xr3:uid="{F5E97DAD-00C3-435F-9C04-8AA8DC0A9F2E}" name="9787" dataDxfId="6823"/>
    <tableColumn id="9568" xr3:uid="{C1A2BC7E-44CA-43B5-B022-DF111EAA0039}" name="9788" dataDxfId="6822"/>
    <tableColumn id="9569" xr3:uid="{A7D9D1AF-EEDE-4AA3-8716-7091AF7A8F7D}" name="9789" dataDxfId="6821"/>
    <tableColumn id="9570" xr3:uid="{F380B444-06A9-4995-9CE8-EEAA05B5C206}" name="9790" dataDxfId="6820"/>
    <tableColumn id="9571" xr3:uid="{2D7988F3-3FE5-4F2D-8CD9-647C58150BB8}" name="9791" dataDxfId="6819"/>
    <tableColumn id="9572" xr3:uid="{44D2730D-D0A2-4663-8127-4D1BD4F4198B}" name="9792" dataDxfId="6818"/>
    <tableColumn id="9573" xr3:uid="{F82BE956-E506-4285-A863-D7586358C010}" name="9793" dataDxfId="6817"/>
    <tableColumn id="9574" xr3:uid="{816B022B-0FF0-49D2-9FB1-6B65AD53182A}" name="9794" dataDxfId="6816"/>
    <tableColumn id="9575" xr3:uid="{12C65FCA-944E-4570-BB5F-020432295B7A}" name="9795" dataDxfId="6815"/>
    <tableColumn id="9576" xr3:uid="{89DF428D-B01F-4B88-9609-0B48B81D7319}" name="9796" dataDxfId="6814"/>
    <tableColumn id="9577" xr3:uid="{C2BD6718-7529-49E6-9C46-40F43A5D3A3A}" name="9797" dataDxfId="6813"/>
    <tableColumn id="9578" xr3:uid="{5FC0334A-C43E-41B4-8DE7-1D9F95CBC556}" name="9798" dataDxfId="6812"/>
    <tableColumn id="9579" xr3:uid="{1DFF2697-DB12-4CA0-8F02-17C52A1992A0}" name="9799" dataDxfId="6811"/>
    <tableColumn id="9580" xr3:uid="{7FE70309-0EA9-41AF-A327-63221CBDE113}" name="9800" dataDxfId="6810"/>
    <tableColumn id="9581" xr3:uid="{F4303DA3-BEBF-4E2C-8386-C29C5962150A}" name="9801" dataDxfId="6809"/>
    <tableColumn id="9582" xr3:uid="{D9DB88DA-A0CF-4AF8-AC63-7C0723823175}" name="9802" dataDxfId="6808"/>
    <tableColumn id="9583" xr3:uid="{4E73FBA9-0D69-4F89-8AE7-4FE26BFF2926}" name="9803" dataDxfId="6807"/>
    <tableColumn id="9584" xr3:uid="{AEB8D7C1-D2D3-4412-8877-EC0B1698202E}" name="9804" dataDxfId="6806"/>
    <tableColumn id="9585" xr3:uid="{738A8CF9-9F11-4C43-AD1E-490EA59CC266}" name="9805" dataDxfId="6805"/>
    <tableColumn id="9586" xr3:uid="{3BF83220-6D12-4A15-899F-C0CE0318E931}" name="9806" dataDxfId="6804"/>
    <tableColumn id="9587" xr3:uid="{CE66AB6C-055A-4385-BCE8-666005CDD204}" name="9807" dataDxfId="6803"/>
    <tableColumn id="9588" xr3:uid="{907AF227-770E-4B59-A654-626E0D15E0DF}" name="9808" dataDxfId="6802"/>
    <tableColumn id="9589" xr3:uid="{85A3329B-47A6-4A8D-933E-A6F097CD60AB}" name="9809" dataDxfId="6801"/>
    <tableColumn id="9590" xr3:uid="{20B48B99-FBC2-4228-9C62-21A8E5019EA6}" name="9810" dataDxfId="6800"/>
    <tableColumn id="9591" xr3:uid="{0229AC77-DA8C-45B0-A2D4-AC312D1D8F36}" name="9811" dataDxfId="6799"/>
    <tableColumn id="9592" xr3:uid="{638BE7D1-D610-406C-9B28-DE3C0B98C53A}" name="9812" dataDxfId="6798"/>
    <tableColumn id="9593" xr3:uid="{E6ABF1E9-D37B-4330-B3F3-0F0030DB300D}" name="9813" dataDxfId="6797"/>
    <tableColumn id="9594" xr3:uid="{B5A71B2B-222B-4F32-9B1B-9127E4F133D9}" name="9814" dataDxfId="6796"/>
    <tableColumn id="9595" xr3:uid="{3B8DF109-50D6-44B8-A2C0-8F74B57F0048}" name="9815" dataDxfId="6795"/>
    <tableColumn id="9596" xr3:uid="{64B04290-8F42-49C2-8BB1-DD3C194FB352}" name="9816" dataDxfId="6794"/>
    <tableColumn id="9597" xr3:uid="{118EE2A8-87BB-42ED-A57B-6C7DD16B94BB}" name="9817" dataDxfId="6793"/>
    <tableColumn id="9598" xr3:uid="{8DF2313D-D8DC-4AF9-BDCB-FAA536B9D786}" name="9818" dataDxfId="6792"/>
    <tableColumn id="9599" xr3:uid="{C3971426-3ADA-47D2-9AC6-A3B4906E47FE}" name="9819" dataDxfId="6791"/>
    <tableColumn id="9600" xr3:uid="{6E65F4E5-3346-4A00-B666-099B4FC183BB}" name="9820" dataDxfId="6790"/>
    <tableColumn id="9601" xr3:uid="{CCC5CDB1-9841-4B6E-9E66-101214C11F46}" name="9821" dataDxfId="6789"/>
    <tableColumn id="9602" xr3:uid="{A7E8B02A-D4B9-4AE0-BC1A-803DDB301A9F}" name="9822" dataDxfId="6788"/>
    <tableColumn id="9603" xr3:uid="{9C9A81B4-8DE6-45ED-BDBD-44DAB656D41D}" name="9823" dataDxfId="6787"/>
    <tableColumn id="9604" xr3:uid="{EBDAB145-763C-4E0D-BA17-2BBB33A65469}" name="9824" dataDxfId="6786"/>
    <tableColumn id="9605" xr3:uid="{248A9977-52B9-4A99-BD12-45BFD28FC85A}" name="9825" dataDxfId="6785"/>
    <tableColumn id="9606" xr3:uid="{CC887262-B4B6-4D5E-AEFA-3D7112320232}" name="9826" dataDxfId="6784"/>
    <tableColumn id="9607" xr3:uid="{37712CA5-9461-4F2F-A464-0790D4F6AB82}" name="9827" dataDxfId="6783"/>
    <tableColumn id="9608" xr3:uid="{B41F58FF-36AF-49B1-9A60-CAA008F05A0B}" name="9828" dataDxfId="6782"/>
    <tableColumn id="9609" xr3:uid="{B85B5778-66B1-4876-93CF-FEC4A7BBE8CD}" name="9829" dataDxfId="6781"/>
    <tableColumn id="9610" xr3:uid="{7731A1E4-F910-41BA-8BC7-BD403DF305E3}" name="9830" dataDxfId="6780"/>
    <tableColumn id="9611" xr3:uid="{EDD8AB36-AAE7-4CD5-AEEA-E593D059E421}" name="9831" dataDxfId="6779"/>
    <tableColumn id="9612" xr3:uid="{1038E796-94AD-481F-88F3-2BE70F24921F}" name="9832" dataDxfId="6778"/>
    <tableColumn id="9613" xr3:uid="{4852825F-4A42-4643-ABB5-DBF9D53F6172}" name="9833" dataDxfId="6777"/>
    <tableColumn id="9614" xr3:uid="{707A68FC-4861-4A04-B3E8-801C6327F637}" name="9834" dataDxfId="6776"/>
    <tableColumn id="9615" xr3:uid="{B27C3591-15D7-4B69-8D8E-524CAE594F7A}" name="9835" dataDxfId="6775"/>
    <tableColumn id="9616" xr3:uid="{7096381C-9C5D-443D-B249-95291BC12056}" name="9836" dataDxfId="6774"/>
    <tableColumn id="9617" xr3:uid="{E096495B-3595-4430-9922-8B234368AFFD}" name="9837" dataDxfId="6773"/>
    <tableColumn id="9618" xr3:uid="{8D496FAA-0B1D-4F91-BDC0-F95F62D9A348}" name="9838" dataDxfId="6772"/>
    <tableColumn id="9619" xr3:uid="{8E08C95D-180B-4443-AE13-22CA45CC524A}" name="9839" dataDxfId="6771"/>
    <tableColumn id="9620" xr3:uid="{9BDAB3B5-A52D-4509-95FA-76B470152D2D}" name="9840" dataDxfId="6770"/>
    <tableColumn id="9621" xr3:uid="{642ABBE2-BFAC-462A-AA4D-755245B202A3}" name="9841" dataDxfId="6769"/>
    <tableColumn id="9622" xr3:uid="{D4948C46-F1D4-43D2-A905-FBA35C551AFE}" name="9842" dataDxfId="6768"/>
    <tableColumn id="9623" xr3:uid="{898051FF-E939-4865-9DA9-402EBC666F2B}" name="9843" dataDxfId="6767"/>
    <tableColumn id="9624" xr3:uid="{DC988A88-18C6-42BA-9B94-4479AFBBD3B1}" name="9844" dataDxfId="6766"/>
    <tableColumn id="9625" xr3:uid="{7DD8C971-B194-4AE1-B1D4-CB3AA96E4B11}" name="9845" dataDxfId="6765"/>
    <tableColumn id="9626" xr3:uid="{5BC1DC7E-9987-48B8-B544-ADDC53F88223}" name="9846" dataDxfId="6764"/>
    <tableColumn id="9627" xr3:uid="{E19BD80E-0EE1-449D-B876-F34CF80223BD}" name="9847" dataDxfId="6763"/>
    <tableColumn id="9628" xr3:uid="{308ED63C-93C9-484D-B739-A2BD09DD7B28}" name="9848" dataDxfId="6762"/>
    <tableColumn id="9629" xr3:uid="{983B955F-BEF5-405B-9E1D-8C4F05096F05}" name="9849" dataDxfId="6761"/>
    <tableColumn id="9630" xr3:uid="{76B3E312-9031-4F56-8CEF-E1182DF02969}" name="9850" dataDxfId="6760"/>
    <tableColumn id="9631" xr3:uid="{F5C0CC46-458A-4F8C-B51A-F9251A42C692}" name="9851" dataDxfId="6759"/>
    <tableColumn id="9632" xr3:uid="{4CA080B2-0D1C-48FE-8531-C77015B13DDC}" name="9852" dataDxfId="6758"/>
    <tableColumn id="9633" xr3:uid="{95127901-835B-4F84-B489-98427D45169E}" name="9853" dataDxfId="6757"/>
    <tableColumn id="9634" xr3:uid="{7C72D98A-BEC6-4445-B8C1-85070B3C4027}" name="9854" dataDxfId="6756"/>
    <tableColumn id="9635" xr3:uid="{AB69AA7A-CC49-43D4-9B1C-616D20FFD422}" name="9855" dataDxfId="6755"/>
    <tableColumn id="9636" xr3:uid="{29D3E3C0-68AE-4C0C-9E32-6A90210BF89B}" name="9856" dataDxfId="6754"/>
    <tableColumn id="9637" xr3:uid="{9FE78C27-CFC8-424E-B96B-83C03FCDDF37}" name="9857" dataDxfId="6753"/>
    <tableColumn id="9638" xr3:uid="{6ECB71B1-E92B-460C-9C77-82F2C00CC2AB}" name="9858" dataDxfId="6752"/>
    <tableColumn id="9639" xr3:uid="{FFE9D5F8-B679-4305-8915-EA1BAEA979EE}" name="9859" dataDxfId="6751"/>
    <tableColumn id="9640" xr3:uid="{29D270B8-E828-47A2-BF56-C14E30D614F1}" name="9860" dataDxfId="6750"/>
    <tableColumn id="9641" xr3:uid="{A18061F6-8CFB-40BA-A215-584F7B0E7CEB}" name="9861" dataDxfId="6749"/>
    <tableColumn id="9642" xr3:uid="{03A84F26-7310-4F2E-8ED4-FD74960F4523}" name="9862" dataDxfId="6748"/>
    <tableColumn id="9643" xr3:uid="{65C47CCD-A180-4A2E-8D93-D0E90A9FE81E}" name="9863" dataDxfId="6747"/>
    <tableColumn id="9644" xr3:uid="{DE10725F-A3BE-443C-8B41-9044B9CD693D}" name="9864" dataDxfId="6746"/>
    <tableColumn id="9645" xr3:uid="{F41C5155-7E43-4117-97E4-3CA1782DE1FE}" name="9865" dataDxfId="6745"/>
    <tableColumn id="9646" xr3:uid="{D4E8CFCA-2B21-423F-92FA-12CE86E94757}" name="9866" dataDxfId="6744"/>
    <tableColumn id="9647" xr3:uid="{275FC7BD-91A0-49AD-92FF-788CF3A3DBFD}" name="9867" dataDxfId="6743"/>
    <tableColumn id="9648" xr3:uid="{D0846BF4-A7B0-42BD-9AB8-DF08482355FB}" name="9868" dataDxfId="6742"/>
    <tableColumn id="9649" xr3:uid="{14412293-60D9-49FB-80F5-BC43850AEDA5}" name="9869" dataDxfId="6741"/>
    <tableColumn id="9650" xr3:uid="{239316DD-E459-4148-91EF-E96CDBAE7D0F}" name="9870" dataDxfId="6740"/>
    <tableColumn id="9651" xr3:uid="{10368DEA-AB66-45F1-A80A-F83D9F1E165E}" name="9871" dataDxfId="6739"/>
    <tableColumn id="9652" xr3:uid="{D6413E12-2D87-416C-B8E7-5B2DA67185A0}" name="9872" dataDxfId="6738"/>
    <tableColumn id="9653" xr3:uid="{E2C174A3-1B9F-40BA-86E5-6B75DD7A41AB}" name="9873" dataDxfId="6737"/>
    <tableColumn id="9654" xr3:uid="{BB9A6999-01C9-4ED1-ABFC-D7E663F74C40}" name="9874" dataDxfId="6736"/>
    <tableColumn id="9655" xr3:uid="{CCFDF821-F96B-40A6-B255-F569A13DB6AD}" name="9875" dataDxfId="6735"/>
    <tableColumn id="9656" xr3:uid="{B1412158-EB92-4809-972E-D1ACF701889B}" name="9876" dataDxfId="6734"/>
    <tableColumn id="9657" xr3:uid="{85417802-DB5F-4E4C-9775-3AC31D28E242}" name="9877" dataDxfId="6733"/>
    <tableColumn id="9658" xr3:uid="{C4F29F50-B259-4323-A806-FE26B3226D49}" name="9878" dataDxfId="6732"/>
    <tableColumn id="9659" xr3:uid="{1555CE28-ECB4-4DD6-8AF1-69E308650985}" name="9879" dataDxfId="6731"/>
    <tableColumn id="9660" xr3:uid="{BF554F16-18DC-4433-AC96-6F477AE650B9}" name="9880" dataDxfId="6730"/>
    <tableColumn id="9661" xr3:uid="{DBC0F570-E762-4E31-90E6-85CC7EEDFCA3}" name="9881" dataDxfId="6729"/>
    <tableColumn id="9662" xr3:uid="{298111B0-D24D-4C8E-85D1-D647632EEC77}" name="9882" dataDxfId="6728"/>
    <tableColumn id="9663" xr3:uid="{ACADDF1A-328C-46BC-8580-045C0DAC990F}" name="9883" dataDxfId="6727"/>
    <tableColumn id="9664" xr3:uid="{97F79D71-E713-471F-B34B-3DE7D0B1E3D9}" name="9884" dataDxfId="6726"/>
    <tableColumn id="9665" xr3:uid="{F7A97E6F-61D9-4893-8B47-924DBB5FE737}" name="9885" dataDxfId="6725"/>
    <tableColumn id="9666" xr3:uid="{D621D44A-E514-4ED3-A61A-E902FD77EC7A}" name="9886" dataDxfId="6724"/>
    <tableColumn id="9667" xr3:uid="{D4AD9033-107F-415A-AE98-85D3113EB510}" name="9887" dataDxfId="6723"/>
    <tableColumn id="9668" xr3:uid="{6E76EA2C-B23F-43EB-90DB-724CF316C6AC}" name="9888" dataDxfId="6722"/>
    <tableColumn id="9669" xr3:uid="{9C8152BD-C0B5-4C99-BBC0-84F7ADFE95E9}" name="9889" dataDxfId="6721"/>
    <tableColumn id="9670" xr3:uid="{562ED043-B84E-4915-9384-0DA03AD629D4}" name="9890" dataDxfId="6720"/>
    <tableColumn id="9671" xr3:uid="{AECDDF32-6140-436A-8BCA-4A6F97282D5B}" name="9891" dataDxfId="6719"/>
    <tableColumn id="9672" xr3:uid="{3389DF41-B3AE-4C5C-9553-36C5894C470B}" name="9892" dataDxfId="6718"/>
    <tableColumn id="9673" xr3:uid="{230E0BD6-D72E-4B58-97D2-07E8CECC7BE3}" name="9893" dataDxfId="6717"/>
    <tableColumn id="9674" xr3:uid="{C9097401-EFC2-400C-82D9-D54E48F8E18F}" name="9894" dataDxfId="6716"/>
    <tableColumn id="9675" xr3:uid="{B1BE42EF-DBE3-4DDB-8501-FDF965D301FA}" name="9895" dataDxfId="6715"/>
    <tableColumn id="9676" xr3:uid="{A4F15366-A845-4435-A179-7FABB422FCB6}" name="9896" dataDxfId="6714"/>
    <tableColumn id="9677" xr3:uid="{749D8706-02D3-45E1-AE53-CEB5C11E0A06}" name="9897" dataDxfId="6713"/>
    <tableColumn id="9678" xr3:uid="{118D601D-438E-4A30-A851-4F80B843795E}" name="9898" dataDxfId="6712"/>
    <tableColumn id="9679" xr3:uid="{7DE406F8-81AF-4C47-A610-39F260BE173E}" name="9899" dataDxfId="6711"/>
    <tableColumn id="9680" xr3:uid="{2F0F2CDD-14C0-4C11-A518-ACA12E854B62}" name="9900" dataDxfId="6710"/>
    <tableColumn id="9681" xr3:uid="{69533819-DA3C-4A1D-BCDF-E5D3C8CCA58D}" name="9901" dataDxfId="6709"/>
    <tableColumn id="9682" xr3:uid="{63CB6215-2189-4A9F-B686-256F0311502A}" name="9902" dataDxfId="6708"/>
    <tableColumn id="9683" xr3:uid="{E838671E-7A72-4B6B-8055-2C82C4CE605A}" name="9903" dataDxfId="6707"/>
    <tableColumn id="9684" xr3:uid="{90C9FF4E-C6AD-4C02-B57E-381F630C0661}" name="9904" dataDxfId="6706"/>
    <tableColumn id="9685" xr3:uid="{46F652F1-634A-4284-8502-FFFE600B03AA}" name="9905" dataDxfId="6705"/>
    <tableColumn id="9686" xr3:uid="{F8C6EF23-FA24-45C7-A919-C3346FA58695}" name="9906" dataDxfId="6704"/>
    <tableColumn id="9687" xr3:uid="{A9121EB7-8C2C-4DE7-AEBD-6FFE69E19F30}" name="9907" dataDxfId="6703"/>
    <tableColumn id="9688" xr3:uid="{885BE229-D15C-4143-9436-E614A074263C}" name="9908" dataDxfId="6702"/>
    <tableColumn id="9689" xr3:uid="{CD2BD723-6C32-4613-B4E0-7FF3EFD4EAE8}" name="9909" dataDxfId="6701"/>
    <tableColumn id="9690" xr3:uid="{A8A4DAF1-E6EA-4D9D-9728-2D6560880FDB}" name="9910" dataDxfId="6700"/>
    <tableColumn id="9691" xr3:uid="{F80CA89D-1B40-4C72-B0A9-A1837A08366A}" name="9911" dataDxfId="6699"/>
    <tableColumn id="9692" xr3:uid="{A8B28B82-8114-46ED-8C6D-B3B37B3BE15A}" name="9912" dataDxfId="6698"/>
    <tableColumn id="9693" xr3:uid="{468AA539-0744-4031-8579-A37D607220C0}" name="9913" dataDxfId="6697"/>
    <tableColumn id="9694" xr3:uid="{F7DB99E2-9AA0-4F0B-BE17-A03E1FA77746}" name="9914" dataDxfId="6696"/>
    <tableColumn id="9695" xr3:uid="{0EA78681-A8DC-47BA-A534-84475F6B519B}" name="9915" dataDxfId="6695"/>
    <tableColumn id="9696" xr3:uid="{D761341D-6B68-4483-8D0E-D4E7B918B8A0}" name="9916" dataDxfId="6694"/>
    <tableColumn id="9697" xr3:uid="{C76BEBAA-C017-47CD-97DD-E4A56C924B04}" name="9917" dataDxfId="6693"/>
    <tableColumn id="9698" xr3:uid="{1102A1A2-86F3-4C59-9A87-6624CC5394FD}" name="9918" dataDxfId="6692"/>
    <tableColumn id="9699" xr3:uid="{F53E4E97-0058-49EA-BDA0-014180D4253D}" name="9919" dataDxfId="6691"/>
    <tableColumn id="9700" xr3:uid="{CD621360-1E2F-4F81-A33D-3746306128DA}" name="9920" dataDxfId="6690"/>
    <tableColumn id="9701" xr3:uid="{91163779-AF5A-4673-9D21-A7BCF8FA1E85}" name="9921" dataDxfId="6689"/>
    <tableColumn id="9702" xr3:uid="{CBC71D8B-43A7-4C8D-AA04-E5528B7836BE}" name="9922" dataDxfId="6688"/>
    <tableColumn id="9703" xr3:uid="{36200950-CB3E-4893-9222-4E0A8A172FDD}" name="9923" dataDxfId="6687"/>
    <tableColumn id="9704" xr3:uid="{6CC9763B-5A3D-4687-A26C-3F7A1F37AE37}" name="9924" dataDxfId="6686"/>
    <tableColumn id="9705" xr3:uid="{A10862E7-7EE2-42D2-96CD-B151DCF7A08A}" name="9925" dataDxfId="6685"/>
    <tableColumn id="9706" xr3:uid="{A414DEF0-D354-4840-97B9-C4574E1738E0}" name="9926" dataDxfId="6684"/>
    <tableColumn id="9707" xr3:uid="{83652785-D264-4668-B4FD-1E262C71C256}" name="9927" dataDxfId="6683"/>
    <tableColumn id="9708" xr3:uid="{0AEB1852-3FE5-4E02-AD3A-94366804D9DA}" name="9928" dataDxfId="6682"/>
    <tableColumn id="9709" xr3:uid="{20C99C8C-6428-40B6-9FDC-8371FAC6EC87}" name="9929" dataDxfId="6681"/>
    <tableColumn id="9710" xr3:uid="{3DCCD5AD-60EA-42B6-B2D5-CABF432246B8}" name="9930" dataDxfId="6680"/>
    <tableColumn id="9711" xr3:uid="{F86EABDD-0BE6-4A0F-AE9A-BC4B678579B6}" name="9931" dataDxfId="6679"/>
    <tableColumn id="9712" xr3:uid="{2681B8B3-18BF-426B-86C3-FA3E2BC969DC}" name="9932" dataDxfId="6678"/>
    <tableColumn id="9713" xr3:uid="{957BF098-614F-40D0-99AD-0B8741142768}" name="9933" dataDxfId="6677"/>
    <tableColumn id="9714" xr3:uid="{F8E05703-E511-4A8A-939B-32393062C5D8}" name="9934" dataDxfId="6676"/>
    <tableColumn id="9715" xr3:uid="{1511EE6A-84D0-4D5C-A32E-BDB390B8B578}" name="9935" dataDxfId="6675"/>
    <tableColumn id="9716" xr3:uid="{2517B9B0-C55D-46BF-882C-455956876A7D}" name="9936" dataDxfId="6674"/>
    <tableColumn id="9717" xr3:uid="{D0D8C609-2E0C-49B4-9A45-0F7097A86A5D}" name="9937" dataDxfId="6673"/>
    <tableColumn id="9718" xr3:uid="{163193E3-F20B-475E-BAAB-75A5111F1F0B}" name="9938" dataDxfId="6672"/>
    <tableColumn id="9719" xr3:uid="{634EED7A-E972-4DF6-8F30-B3F6BE46657A}" name="9939" dataDxfId="6671"/>
    <tableColumn id="9720" xr3:uid="{671D189A-65A1-43D3-9652-797D6E462136}" name="9940" dataDxfId="6670"/>
    <tableColumn id="9721" xr3:uid="{80254A59-948F-48A2-B632-306130A60580}" name="9941" dataDxfId="6669"/>
    <tableColumn id="9722" xr3:uid="{F7A49C89-F51D-448F-B224-43E43C5C3079}" name="9942" dataDxfId="6668"/>
    <tableColumn id="9723" xr3:uid="{439B7423-02DA-46FF-BC58-A43EE579E5F2}" name="9943" dataDxfId="6667"/>
    <tableColumn id="9724" xr3:uid="{0656BF44-9107-489E-9AC3-B8EFDC45C03D}" name="9944" dataDxfId="6666"/>
    <tableColumn id="9725" xr3:uid="{DE5D2006-933A-428A-864B-2D1105AB5DE5}" name="9945" dataDxfId="6665"/>
    <tableColumn id="9726" xr3:uid="{C9E36745-9926-4E6B-B15A-998EBA1C0A61}" name="9946" dataDxfId="6664"/>
    <tableColumn id="9727" xr3:uid="{95579001-5027-4513-A228-78A3EE8A71C1}" name="9947" dataDxfId="6663"/>
    <tableColumn id="9728" xr3:uid="{2653E241-554C-4D38-AA36-5F722EC8F3C6}" name="9948" dataDxfId="6662"/>
    <tableColumn id="9729" xr3:uid="{4E8017D8-F488-498D-833F-41A03EDC5B1D}" name="9949" dataDxfId="6661"/>
    <tableColumn id="9730" xr3:uid="{0A2C1672-875B-40E0-9691-87FEC1B308A0}" name="9950" dataDxfId="6660"/>
    <tableColumn id="9731" xr3:uid="{AF77A96B-FDB0-486B-A52B-0080B55F4A9A}" name="9951" dataDxfId="6659"/>
    <tableColumn id="9732" xr3:uid="{97C017A4-4210-445D-AA3B-910443B267D6}" name="9952" dataDxfId="6658"/>
    <tableColumn id="9733" xr3:uid="{3C4B1D47-E10E-4E9D-B10E-B9C0803B8524}" name="9953" dataDxfId="6657"/>
    <tableColumn id="9734" xr3:uid="{81A8DDF9-E9BD-4BE1-8C9E-95FBE659219B}" name="9954" dataDxfId="6656"/>
    <tableColumn id="9735" xr3:uid="{D26F9561-E36C-4CB3-A6F2-A4F954B35351}" name="9955" dataDxfId="6655"/>
    <tableColumn id="9736" xr3:uid="{3A7BF416-6D0C-4114-85A2-4136EA162625}" name="9956" dataDxfId="6654"/>
    <tableColumn id="9737" xr3:uid="{D03DBC8B-8BA1-470E-997D-47577A181CE7}" name="9957" dataDxfId="6653"/>
    <tableColumn id="9738" xr3:uid="{71B7493D-C851-4CC5-ABA1-ED87B27CDB83}" name="9958" dataDxfId="6652"/>
    <tableColumn id="9739" xr3:uid="{1956D210-0B9C-48E4-A6B3-E9920B6262DA}" name="9959" dataDxfId="6651"/>
    <tableColumn id="9740" xr3:uid="{1786F96E-1451-4007-9A63-4276F77360B7}" name="9960" dataDxfId="6650"/>
    <tableColumn id="9741" xr3:uid="{7E49AB05-CEB1-4089-A2FE-3E79DDB2C188}" name="9961" dataDxfId="6649"/>
    <tableColumn id="9742" xr3:uid="{BC951FE8-9F84-4E3E-9DBB-0EF860FAB922}" name="9962" dataDxfId="6648"/>
    <tableColumn id="9743" xr3:uid="{122787B6-7A37-43C1-9EC6-4CA17CE5F85A}" name="9963" dataDxfId="6647"/>
    <tableColumn id="9744" xr3:uid="{4F4E9505-3006-4AC6-929A-7EA43D5D89F6}" name="9964" dataDxfId="6646"/>
    <tableColumn id="9745" xr3:uid="{B645ADFE-4C4C-48BA-910A-89F2B065F940}" name="9965" dataDxfId="6645"/>
    <tableColumn id="9746" xr3:uid="{E2FA6A65-FE74-4AD4-B9E7-227E91D75793}" name="9966" dataDxfId="6644"/>
    <tableColumn id="9747" xr3:uid="{4BAAE498-1091-4E93-BB07-A7D88882B5FB}" name="9967" dataDxfId="6643"/>
    <tableColumn id="9748" xr3:uid="{515AAFCA-5DD7-4B19-A30F-D7E8F8E2909C}" name="9968" dataDxfId="6642"/>
    <tableColumn id="9749" xr3:uid="{E18C931B-C858-4346-B34C-1D0804F8B7E8}" name="9969" dataDxfId="6641"/>
    <tableColumn id="9750" xr3:uid="{5FA9DE72-25EC-456C-8841-29ACDF5D17A9}" name="9970" dataDxfId="6640"/>
    <tableColumn id="9751" xr3:uid="{FBA643CF-3C97-48A8-986A-49E0BA62C5AE}" name="9971" dataDxfId="6639"/>
    <tableColumn id="9752" xr3:uid="{B2D7334C-4B45-4B6E-AA4B-2B34B5B51A08}" name="9972" dataDxfId="6638"/>
    <tableColumn id="9753" xr3:uid="{F0F251BD-E330-4D49-83D7-012F7BF2BD03}" name="9973" dataDxfId="6637"/>
    <tableColumn id="9754" xr3:uid="{495A8815-18D5-4609-BA71-8107EA808101}" name="9974" dataDxfId="6636"/>
    <tableColumn id="9755" xr3:uid="{9F79C6F7-FDE4-47C7-AACC-2B851FA91344}" name="9975" dataDxfId="6635"/>
    <tableColumn id="9756" xr3:uid="{BD52CE62-88CF-4535-9FC2-AA33E9B5097F}" name="9976" dataDxfId="6634"/>
    <tableColumn id="9757" xr3:uid="{0AE3D128-551E-40E4-AC23-F715D14EB9B4}" name="9977" dataDxfId="6633"/>
    <tableColumn id="9758" xr3:uid="{60ABA19C-AB29-49AF-A9C5-ED89D74E6B0D}" name="9978" dataDxfId="6632"/>
    <tableColumn id="9759" xr3:uid="{F94EDF34-F03D-44E5-BC53-6463567E126E}" name="9979" dataDxfId="6631"/>
    <tableColumn id="9760" xr3:uid="{CED15002-E5CB-4C1E-84F3-7C24E7BBAC35}" name="9980" dataDxfId="6630"/>
    <tableColumn id="9761" xr3:uid="{1892D6C7-0377-4346-9CDE-E109DCA95894}" name="9981" dataDxfId="6629"/>
    <tableColumn id="9762" xr3:uid="{502480EB-C5A6-41B3-923E-F8EE7EEF17A0}" name="9982" dataDxfId="6628"/>
    <tableColumn id="9763" xr3:uid="{F518CB3B-2D77-4485-A031-47EE507EB789}" name="9983" dataDxfId="6627"/>
    <tableColumn id="9764" xr3:uid="{0570C298-6A7C-4F63-B435-6C9E52D03150}" name="9984" dataDxfId="6626"/>
    <tableColumn id="9765" xr3:uid="{5C7E857F-0976-43B3-A21C-54C79AC91AE4}" name="9985" dataDxfId="6625"/>
    <tableColumn id="9766" xr3:uid="{F891BFC0-89BD-4357-8616-69127FCD270A}" name="9986" dataDxfId="6624"/>
    <tableColumn id="9767" xr3:uid="{6CF6F022-939D-4E88-9DE2-DBFB1A31C14F}" name="9987" dataDxfId="6623"/>
    <tableColumn id="9768" xr3:uid="{8F71A34B-1302-4D0F-B639-781089861D4D}" name="9988" dataDxfId="6622"/>
    <tableColumn id="9769" xr3:uid="{9AA6E0FF-52CE-4E46-B0F0-082A0B4B5420}" name="9989" dataDxfId="6621"/>
    <tableColumn id="9770" xr3:uid="{80EBA34B-4462-4E7E-A366-04E5C17164EA}" name="9990" dataDxfId="6620"/>
    <tableColumn id="9771" xr3:uid="{F6898D7B-D53F-4A64-9422-D51B930FDDE2}" name="9991" dataDxfId="6619"/>
    <tableColumn id="9772" xr3:uid="{843B4799-AAD9-4CFB-B007-DA1B1A07E30B}" name="9992" dataDxfId="6618"/>
    <tableColumn id="9773" xr3:uid="{3521F362-207C-48CB-869D-9A7CF914CE62}" name="9993" dataDxfId="6617"/>
    <tableColumn id="9774" xr3:uid="{9E12E653-F463-4856-A302-9B3271AA1809}" name="9994" dataDxfId="6616"/>
    <tableColumn id="9775" xr3:uid="{ED22E730-1961-4FCB-8A3B-17B1F4C9FCC7}" name="9995" dataDxfId="6615"/>
    <tableColumn id="9776" xr3:uid="{9611B75D-229D-4EB6-8642-692A84E22D4B}" name="9996" dataDxfId="6614"/>
    <tableColumn id="9777" xr3:uid="{31C4B7F4-6113-4841-A7E8-3BDD16C9821C}" name="9997" dataDxfId="6613"/>
    <tableColumn id="9778" xr3:uid="{6D2C8D2C-CDC4-473C-8276-4B182FCA87A4}" name="9998" dataDxfId="6612"/>
    <tableColumn id="9779" xr3:uid="{F2A97FBB-4372-4FA7-AB78-AD870DABC567}" name="9999" dataDxfId="6611"/>
    <tableColumn id="9780" xr3:uid="{C8D24BA5-78B8-4B06-9ED1-E343E492F696}" name="10000" dataDxfId="6610"/>
    <tableColumn id="9781" xr3:uid="{423492EE-8CDB-402F-9E6E-035868779412}" name="10001" dataDxfId="6609"/>
    <tableColumn id="9782" xr3:uid="{2614FF3E-BA85-488A-BD6F-281B3EE9329B}" name="10002" dataDxfId="6608"/>
    <tableColumn id="9783" xr3:uid="{865B5339-6978-4E65-A3CF-02F8802034CD}" name="10003" dataDxfId="6607"/>
    <tableColumn id="9784" xr3:uid="{A3088C33-A7AA-46BB-AB82-70F5970BFD66}" name="10004" dataDxfId="6606"/>
    <tableColumn id="9785" xr3:uid="{68490C99-FFCF-48AA-9700-E6A3A3FB8EB9}" name="10005" dataDxfId="6605"/>
    <tableColumn id="9786" xr3:uid="{2E8F5228-6BA3-4BCB-8D80-FE78541C5A4A}" name="10006" dataDxfId="6604"/>
    <tableColumn id="9787" xr3:uid="{B4DC0EAE-1850-4C76-BA10-11289C275041}" name="10007" dataDxfId="6603"/>
    <tableColumn id="9788" xr3:uid="{CE2879DE-08BA-40C7-8155-0AB2FDE4381C}" name="10008" dataDxfId="6602"/>
    <tableColumn id="9789" xr3:uid="{201B0484-80EB-4B3C-B637-D30D52F9DEF1}" name="10009" dataDxfId="6601"/>
    <tableColumn id="9790" xr3:uid="{F5404DAC-8693-47D1-B3AC-576E8B54F0CD}" name="10010" dataDxfId="6600"/>
    <tableColumn id="9791" xr3:uid="{DED362A8-4D64-406F-8CF2-54FE865A5FC8}" name="10011" dataDxfId="6599"/>
    <tableColumn id="9792" xr3:uid="{411BB615-F3CF-4D9D-904E-49F394CD3BC7}" name="10012" dataDxfId="6598"/>
    <tableColumn id="9793" xr3:uid="{F921FAB1-BB54-4DDB-8686-8BDC0175F6EE}" name="10013" dataDxfId="6597"/>
    <tableColumn id="9794" xr3:uid="{255B038E-0D99-4AA4-862D-7277701453B8}" name="10014" dataDxfId="6596"/>
    <tableColumn id="9795" xr3:uid="{9D3C7965-964E-4501-855D-2C20B75AEE34}" name="10015" dataDxfId="6595"/>
    <tableColumn id="9796" xr3:uid="{5229938D-864F-4F03-9DC2-D3E76BDC72AF}" name="10016" dataDxfId="6594"/>
    <tableColumn id="9797" xr3:uid="{7CB22820-2046-4E9D-BEF6-196B3702AFAC}" name="10017" dataDxfId="6593"/>
    <tableColumn id="9798" xr3:uid="{C2717627-1154-4C54-AAC1-0AECF6A3EE67}" name="10018" dataDxfId="6592"/>
    <tableColumn id="9799" xr3:uid="{58BABC91-C03C-4812-B46B-34E66DB22E2F}" name="10019" dataDxfId="6591"/>
    <tableColumn id="9800" xr3:uid="{C181E5E9-98DB-482E-A391-2F8EBE35E7E0}" name="10020" dataDxfId="6590"/>
    <tableColumn id="9801" xr3:uid="{85640409-A980-4BD4-8E81-C435CD1431F2}" name="10021" dataDxfId="6589"/>
    <tableColumn id="9802" xr3:uid="{45E3D1DD-58CA-4236-B900-79B8B9456498}" name="10022" dataDxfId="6588"/>
    <tableColumn id="9803" xr3:uid="{46749998-44EA-4677-B562-199173043DAA}" name="10023" dataDxfId="6587"/>
    <tableColumn id="9804" xr3:uid="{D3DFF3F8-8AB5-4430-82B6-CFCCD5AA5F1F}" name="10024" dataDxfId="6586"/>
    <tableColumn id="9805" xr3:uid="{FF45B48D-190B-430B-AF5C-05FC266A9CA2}" name="10025" dataDxfId="6585"/>
    <tableColumn id="9806" xr3:uid="{7804CDBA-028D-45D4-885E-459F803C45F5}" name="10026" dataDxfId="6584"/>
    <tableColumn id="9807" xr3:uid="{F58A6450-B64F-4BC7-8FB7-3174C00848A9}" name="10027" dataDxfId="6583"/>
    <tableColumn id="9808" xr3:uid="{223FE99F-8543-4496-90AE-32E97E5BEC8A}" name="10028" dataDxfId="6582"/>
    <tableColumn id="9809" xr3:uid="{A52C4452-7A35-4223-BF5E-9FAEBC1384E1}" name="10029" dataDxfId="6581"/>
    <tableColumn id="9810" xr3:uid="{B6535BA3-9970-4FA7-A885-287E501995BB}" name="10030" dataDxfId="6580"/>
    <tableColumn id="9811" xr3:uid="{9C35817D-8DBC-48C1-95D3-76FFD1B10DFF}" name="10031" dataDxfId="6579"/>
    <tableColumn id="9812" xr3:uid="{A2B8FEDC-F2EC-4C6B-AAB9-3F219C1A0B97}" name="10032" dataDxfId="6578"/>
    <tableColumn id="9813" xr3:uid="{521928E0-5B0D-4B7A-8C3D-113DC4667AEF}" name="10033" dataDxfId="6577"/>
    <tableColumn id="9814" xr3:uid="{35C392D5-CC9E-43F7-93DE-8408C2582F4C}" name="10034" dataDxfId="6576"/>
    <tableColumn id="9815" xr3:uid="{AD02C130-EEAC-40ED-9D36-1E1E78ECA304}" name="10035" dataDxfId="6575"/>
    <tableColumn id="9816" xr3:uid="{6F80541B-2759-4D90-A8F2-C17D33B9E426}" name="10036" dataDxfId="6574"/>
    <tableColumn id="9817" xr3:uid="{80EC480C-7929-4C33-958D-790FB4183AF8}" name="10037" dataDxfId="6573"/>
    <tableColumn id="9818" xr3:uid="{35B9B4DA-8FCC-4254-B525-05C1E3730848}" name="10038" dataDxfId="6572"/>
    <tableColumn id="9819" xr3:uid="{1D6A8093-2306-4296-AC11-3B181288503A}" name="10039" dataDxfId="6571"/>
    <tableColumn id="9820" xr3:uid="{CC88C617-915D-4E12-92EA-97FB8583BDEB}" name="10040" dataDxfId="6570"/>
    <tableColumn id="9821" xr3:uid="{50A85A5D-5844-469D-A51F-56BE90EBAD92}" name="10041" dataDxfId="6569"/>
    <tableColumn id="9822" xr3:uid="{376D788F-C10F-4679-8563-1D6F6D66C1DF}" name="10042" dataDxfId="6568"/>
    <tableColumn id="9823" xr3:uid="{3C9425AD-3D23-4B4C-B28C-B814B8AA84EF}" name="10043" dataDxfId="6567"/>
    <tableColumn id="9824" xr3:uid="{2C099135-9428-47B4-96B2-14BC7D8CE902}" name="10044" dataDxfId="6566"/>
    <tableColumn id="9825" xr3:uid="{1B942E41-4F24-4BEA-87F6-25325AC7E4F9}" name="10045" dataDxfId="6565"/>
    <tableColumn id="9826" xr3:uid="{A4A688C2-892C-4BE8-AEF3-27AED1A21A8B}" name="10046" dataDxfId="6564"/>
    <tableColumn id="9827" xr3:uid="{1018ADBE-A2E6-4255-AA37-BEA6853C21D7}" name="10047" dataDxfId="6563"/>
    <tableColumn id="9828" xr3:uid="{E2F065E3-D350-49D6-AC91-B3CF6431BC00}" name="10048" dataDxfId="6562"/>
    <tableColumn id="9829" xr3:uid="{0B3238F8-A0D9-4C6D-BBCA-BE3AB9624752}" name="10049" dataDxfId="6561"/>
    <tableColumn id="9830" xr3:uid="{E2A9D11E-EB19-4868-BD3A-AEFF89D920D9}" name="10050" dataDxfId="6560"/>
    <tableColumn id="9831" xr3:uid="{30E4EFE4-FB04-40A8-B266-5DF0176C1D50}" name="10051" dataDxfId="6559"/>
    <tableColumn id="9832" xr3:uid="{51B1B09D-92BB-488C-BBFE-9EBD2D4D8501}" name="10052" dataDxfId="6558"/>
    <tableColumn id="9833" xr3:uid="{6F706721-76F2-4CB3-97DE-02D8391EFE7F}" name="10053" dataDxfId="6557"/>
    <tableColumn id="9834" xr3:uid="{C8180614-03C0-4988-87BC-630504527B4C}" name="10054" dataDxfId="6556"/>
    <tableColumn id="9835" xr3:uid="{EDF23F60-9BC1-4535-BD98-A5EF8300E22A}" name="10055" dataDxfId="6555"/>
    <tableColumn id="9836" xr3:uid="{2F282032-6435-4946-AF41-86A4C0AA58AC}" name="10056" dataDxfId="6554"/>
    <tableColumn id="9837" xr3:uid="{2BE1B079-C62F-4189-85C5-19A74BF2E9F7}" name="10057" dataDxfId="6553"/>
    <tableColumn id="9838" xr3:uid="{3C95ED80-D38B-4610-BA8E-83BE540B6F82}" name="10058" dataDxfId="6552"/>
    <tableColumn id="9839" xr3:uid="{7E1D833C-6B5A-4061-8B6C-97CA759B0FF7}" name="10059" dataDxfId="6551"/>
    <tableColumn id="9840" xr3:uid="{420D6EB4-E893-42E5-ADE7-3CEFB66A6CE2}" name="10060" dataDxfId="6550"/>
    <tableColumn id="9841" xr3:uid="{F78B89FE-26E9-4093-BD36-E6C6CDC6E8BF}" name="10061" dataDxfId="6549"/>
    <tableColumn id="9842" xr3:uid="{16187D9D-A7DF-41D7-AB0E-AB27140626B3}" name="10062" dataDxfId="6548"/>
    <tableColumn id="9843" xr3:uid="{592C20AA-31B7-4E92-BEE5-AC8FD78AA400}" name="10063" dataDxfId="6547"/>
    <tableColumn id="9844" xr3:uid="{1A7BC4EE-2017-4B84-A691-28860AA63511}" name="10064" dataDxfId="6546"/>
    <tableColumn id="9845" xr3:uid="{379EF02C-562C-4D9B-927A-53FEB5F7B419}" name="10065" dataDxfId="6545"/>
    <tableColumn id="9846" xr3:uid="{A63CF208-7230-43AE-B6D7-0406B1358A61}" name="10066" dataDxfId="6544"/>
    <tableColumn id="9847" xr3:uid="{FD59EEEC-ABFB-48E3-B84C-2AF5CB65B5FC}" name="10067" dataDxfId="6543"/>
    <tableColumn id="9848" xr3:uid="{5981CEBF-B805-4803-973B-7A4F6B0BAFD7}" name="10068" dataDxfId="6542"/>
    <tableColumn id="9849" xr3:uid="{00464AD7-B801-4731-A731-410F93A61929}" name="10069" dataDxfId="6541"/>
    <tableColumn id="9850" xr3:uid="{194B968B-020D-46D5-AA93-6315C068DBF4}" name="10070" dataDxfId="6540"/>
    <tableColumn id="9851" xr3:uid="{116296F1-4E8C-4F19-BD27-DD3916CCD1D9}" name="10071" dataDxfId="6539"/>
    <tableColumn id="9852" xr3:uid="{AA79D7C6-BC21-4633-B1E7-1AF02B438A6C}" name="10072" dataDxfId="6538"/>
    <tableColumn id="9853" xr3:uid="{5CB4ACE0-0472-42A2-AAF3-DC6BE8D04D19}" name="10073" dataDxfId="6537"/>
    <tableColumn id="9854" xr3:uid="{A3CC1D61-CB6A-41D2-9B43-F8590C3797B9}" name="10074" dataDxfId="6536"/>
    <tableColumn id="9855" xr3:uid="{083D3B31-F14D-452C-AF5C-EA7219BC2773}" name="10075" dataDxfId="6535"/>
    <tableColumn id="9856" xr3:uid="{3BB82BD8-BBCC-4B2A-900F-8E7DA6E58DD9}" name="10076" dataDxfId="6534"/>
    <tableColumn id="9857" xr3:uid="{A7D4F48A-A73D-434F-9534-56A6E663118F}" name="10077" dataDxfId="6533"/>
    <tableColumn id="9858" xr3:uid="{7D72193F-0C4D-4A1F-ADDD-CA7A6B178776}" name="10078" dataDxfId="6532"/>
    <tableColumn id="9859" xr3:uid="{B2282FE3-89D4-4D64-811D-887B5BA7E391}" name="10079" dataDxfId="6531"/>
    <tableColumn id="9860" xr3:uid="{53BBFBB5-087E-45A8-9170-6F8EBAF77CEF}" name="10080" dataDxfId="6530"/>
    <tableColumn id="9861" xr3:uid="{B48FB51D-AFDB-4A3E-80D3-9D7C7DCA815A}" name="10081" dataDxfId="6529"/>
    <tableColumn id="9862" xr3:uid="{96E1C281-FED2-4625-9623-78ECEC19802E}" name="10082" dataDxfId="6528"/>
    <tableColumn id="9863" xr3:uid="{5664D036-739C-4950-BE0F-09656460C045}" name="10083" dataDxfId="6527"/>
    <tableColumn id="9864" xr3:uid="{BCCF97DE-A061-431C-B463-F2C7162FB99D}" name="10084" dataDxfId="6526"/>
    <tableColumn id="9865" xr3:uid="{62AA99E6-78E9-4724-9317-FA4CC0635DBD}" name="10085" dataDxfId="6525"/>
    <tableColumn id="9866" xr3:uid="{1CBE3089-25AF-4ACD-BC6C-086E7F6A415F}" name="10086" dataDxfId="6524"/>
    <tableColumn id="9867" xr3:uid="{858D2845-B735-427B-8F64-BE6B61B8B765}" name="10087" dataDxfId="6523"/>
    <tableColumn id="9868" xr3:uid="{FEEB5579-2C16-48B9-9159-A8B9ADC2FCF1}" name="10088" dataDxfId="6522"/>
    <tableColumn id="9869" xr3:uid="{28848C25-27A4-4ADB-AEAB-46D8DA922B9F}" name="10089" dataDxfId="6521"/>
    <tableColumn id="9870" xr3:uid="{5CE09A4D-9A9D-49E1-B227-317BA32DFC3D}" name="10090" dataDxfId="6520"/>
    <tableColumn id="9871" xr3:uid="{4B2BFC01-C49E-4875-8672-04C6414A6FE5}" name="10091" dataDxfId="6519"/>
    <tableColumn id="9872" xr3:uid="{F563252C-1A4C-406D-8170-464AF6F0AA18}" name="10092" dataDxfId="6518"/>
    <tableColumn id="9873" xr3:uid="{B36F11D3-939B-42BF-90FA-B94C1E7C6CD5}" name="10093" dataDxfId="6517"/>
    <tableColumn id="9874" xr3:uid="{AB8474F7-DD39-4ADE-85A2-C32861C6E488}" name="10094" dataDxfId="6516"/>
    <tableColumn id="9875" xr3:uid="{1F19E212-2693-481B-8C0B-E9F703A0CECF}" name="10095" dataDxfId="6515"/>
    <tableColumn id="9876" xr3:uid="{AE0A515D-E923-4888-A1CF-62EC0F179B15}" name="10096" dataDxfId="6514"/>
    <tableColumn id="9877" xr3:uid="{BC76408F-3C0A-41C5-AEDD-969FDA59997A}" name="10097" dataDxfId="6513"/>
    <tableColumn id="9878" xr3:uid="{9FDD7543-CB16-45DF-930C-82D3A549CEF6}" name="10098" dataDxfId="6512"/>
    <tableColumn id="9879" xr3:uid="{EA219F62-92D2-4A29-BE7E-0D9CE2C962C6}" name="10099" dataDxfId="6511"/>
    <tableColumn id="9880" xr3:uid="{C924B3CE-5A6D-47D2-BB6E-E7C55CB927E2}" name="10100" dataDxfId="6510"/>
    <tableColumn id="9881" xr3:uid="{2EE1B835-7363-48B5-8D8E-9F4447A35859}" name="10101" dataDxfId="6509"/>
    <tableColumn id="9882" xr3:uid="{00DF2518-7F9A-47DA-9CC1-7E56C478CAE9}" name="10102" dataDxfId="6508"/>
    <tableColumn id="9883" xr3:uid="{3C0DC067-B36C-4A29-B187-79121709309F}" name="10103" dataDxfId="6507"/>
    <tableColumn id="9884" xr3:uid="{D6F0EF21-F8D7-4A59-9B04-CE60A3269853}" name="10104" dataDxfId="6506"/>
    <tableColumn id="9885" xr3:uid="{332FC868-EB63-4436-A62A-6E06AB322679}" name="10105" dataDxfId="6505"/>
    <tableColumn id="9886" xr3:uid="{824372A1-68FF-421F-94D9-A50BE643FD70}" name="10106" dataDxfId="6504"/>
    <tableColumn id="9887" xr3:uid="{0CC2030A-D340-479C-939B-89337BECE3CB}" name="10107" dataDxfId="6503"/>
    <tableColumn id="9888" xr3:uid="{DBBD8BBB-1374-4723-BFA1-73F96B3F681A}" name="10108" dataDxfId="6502"/>
    <tableColumn id="9889" xr3:uid="{35161710-8F1D-43A0-BB06-BFA2B65744B5}" name="10109" dataDxfId="6501"/>
    <tableColumn id="9890" xr3:uid="{57115325-4AA1-45D0-914C-5579C986E9F2}" name="10110" dataDxfId="6500"/>
    <tableColumn id="9891" xr3:uid="{538278A5-02EA-4928-9DEC-F1A77FF3A4A2}" name="10111" dataDxfId="6499"/>
    <tableColumn id="9892" xr3:uid="{EC98C768-7D8D-49BE-B261-7C7D7376D45C}" name="10112" dataDxfId="6498"/>
    <tableColumn id="9893" xr3:uid="{BDA45A14-818E-491F-A11C-9D0897021179}" name="10113" dataDxfId="6497"/>
    <tableColumn id="9894" xr3:uid="{4118A2EF-A9C6-45BA-984B-1FC2979C63E1}" name="10114" dataDxfId="6496"/>
    <tableColumn id="9895" xr3:uid="{CCA66EAA-4767-4618-8C7F-7E747E9A18A4}" name="10115" dataDxfId="6495"/>
    <tableColumn id="9896" xr3:uid="{9020783B-8DA6-438A-837B-7DDB7D60059F}" name="10116" dataDxfId="6494"/>
    <tableColumn id="9897" xr3:uid="{E3C142D3-1F99-48D2-B8B6-387B93A2750F}" name="10117" dataDxfId="6493"/>
    <tableColumn id="9898" xr3:uid="{D57D16BA-4DA5-450D-B92B-B099F72D1DEF}" name="10118" dataDxfId="6492"/>
    <tableColumn id="9899" xr3:uid="{FBAFEB0D-3549-47A9-9C5C-BB48B3ADF5C0}" name="10119" dataDxfId="6491"/>
    <tableColumn id="9900" xr3:uid="{2230CFF6-6FD2-4838-BBB1-EA62CC5058BC}" name="10120" dataDxfId="6490"/>
    <tableColumn id="9901" xr3:uid="{FB423973-7AA7-4BB6-BC05-ECB7118F4B41}" name="10121" dataDxfId="6489"/>
    <tableColumn id="9902" xr3:uid="{809EF974-4B13-4DE7-9154-E9690EEFDB42}" name="10122" dataDxfId="6488"/>
    <tableColumn id="9903" xr3:uid="{E2D5A2B6-FEE5-4229-80D4-CBE9AD4D69E6}" name="10123" dataDxfId="6487"/>
    <tableColumn id="9904" xr3:uid="{3CBC172C-FDC5-4F88-B7FB-81B3E6F4868A}" name="10124" dataDxfId="6486"/>
    <tableColumn id="9905" xr3:uid="{FC8C321B-3C6C-40B1-8FF2-06A3195FDD10}" name="10125" dataDxfId="6485"/>
    <tableColumn id="9906" xr3:uid="{A591B64E-4B11-48A4-AD96-AA4BCBCDCE5A}" name="10126" dataDxfId="6484"/>
    <tableColumn id="9907" xr3:uid="{8F237680-7D2A-42AA-8FA5-8DFD653AA64C}" name="10127" dataDxfId="6483"/>
    <tableColumn id="9908" xr3:uid="{35240106-D607-4983-925C-681A50601DE5}" name="10128" dataDxfId="6482"/>
    <tableColumn id="9909" xr3:uid="{E233C293-3C1C-499A-8BB9-6C21795FEDBC}" name="10129" dataDxfId="6481"/>
    <tableColumn id="9910" xr3:uid="{A454CEE8-D9B4-4F92-BFD7-E45845D1138F}" name="10130" dataDxfId="6480"/>
    <tableColumn id="9911" xr3:uid="{2516B618-940F-473A-BD14-2F172C66FFB1}" name="10131" dataDxfId="6479"/>
    <tableColumn id="9912" xr3:uid="{ED3B7D35-B81F-44EF-A80F-0AAEFD2B7A4F}" name="10132" dataDxfId="6478"/>
    <tableColumn id="9913" xr3:uid="{B1D8FDFD-B061-4F1E-9961-25D3C765EBDA}" name="10133" dataDxfId="6477"/>
    <tableColumn id="9914" xr3:uid="{2BDF3157-29A4-404F-8B1F-872DD4719F24}" name="10134" dataDxfId="6476"/>
    <tableColumn id="9915" xr3:uid="{4CC2552E-71B0-4996-A03D-F9C2E301C88A}" name="10135" dataDxfId="6475"/>
    <tableColumn id="9916" xr3:uid="{75C4181E-FEF9-4712-B224-9E0A48625D5B}" name="10136" dataDxfId="6474"/>
    <tableColumn id="9917" xr3:uid="{26F4989A-4161-4237-ADE5-3C188515FF04}" name="10137" dataDxfId="6473"/>
    <tableColumn id="9918" xr3:uid="{F352B939-5A35-4031-ACF9-91E58172282B}" name="10138" dataDxfId="6472"/>
    <tableColumn id="9919" xr3:uid="{D04F1876-EAE7-4069-BD43-B3F92D3DDB65}" name="10139" dataDxfId="6471"/>
    <tableColumn id="9920" xr3:uid="{B0232725-3F48-474F-999A-8346797565B5}" name="10140" dataDxfId="6470"/>
    <tableColumn id="9921" xr3:uid="{600D1FBE-BB4D-46D0-B011-764002D2D0B0}" name="10141" dataDxfId="6469"/>
    <tableColumn id="9922" xr3:uid="{D48D6721-1DA2-4183-ACB0-0BA53D4D677E}" name="10142" dataDxfId="6468"/>
    <tableColumn id="9923" xr3:uid="{71A1C294-D182-4124-9931-B3FD7D1FD55D}" name="10143" dataDxfId="6467"/>
    <tableColumn id="9924" xr3:uid="{6617E1C0-E05F-4A8F-BA44-EEE672738EE7}" name="10144" dataDxfId="6466"/>
    <tableColumn id="9925" xr3:uid="{01E0F2B5-0678-4E7D-9884-17C012D75E19}" name="10145" dataDxfId="6465"/>
    <tableColumn id="9926" xr3:uid="{AD6F60E7-DD63-4FF8-85B6-AD4A7E9F00A9}" name="10146" dataDxfId="6464"/>
    <tableColumn id="9927" xr3:uid="{D9195A3F-5793-4454-8E26-A6340E7CB41D}" name="10147" dataDxfId="6463"/>
    <tableColumn id="9928" xr3:uid="{75BCD228-E284-417A-96F9-88FB25C1DD1C}" name="10148" dataDxfId="6462"/>
    <tableColumn id="9929" xr3:uid="{3629BA58-F292-4734-9895-CE7589CA2C25}" name="10149" dataDxfId="6461"/>
    <tableColumn id="9930" xr3:uid="{3E1DCED0-66BE-4B5E-926B-8DE4D187618C}" name="10150" dataDxfId="6460"/>
    <tableColumn id="9931" xr3:uid="{33BAF04E-17BE-437C-B9F2-9BEFFF9DE967}" name="10151" dataDxfId="6459"/>
    <tableColumn id="9932" xr3:uid="{DBCE32E1-0400-4485-B805-6C88622C9DFE}" name="10152" dataDxfId="6458"/>
    <tableColumn id="9933" xr3:uid="{DC96C6E3-D7A6-49DE-853F-344F2EB67B37}" name="10153" dataDxfId="6457"/>
    <tableColumn id="9934" xr3:uid="{64F88E74-9AB7-4AAF-B304-BAD5993C43B5}" name="10154" dataDxfId="6456"/>
    <tableColumn id="9935" xr3:uid="{6031932D-8F2F-4D02-9C22-7174802139B5}" name="10155" dataDxfId="6455"/>
    <tableColumn id="9936" xr3:uid="{C3759EAD-C54C-49E6-8DC4-B56E6534FDF6}" name="10156" dataDxfId="6454"/>
    <tableColumn id="9937" xr3:uid="{1A27EB58-9D5F-4F33-9197-AACC280E2E60}" name="10157" dataDxfId="6453"/>
    <tableColumn id="9938" xr3:uid="{AEB2BA3A-DF62-4832-962A-4D888806F2A9}" name="10158" dataDxfId="6452"/>
    <tableColumn id="9939" xr3:uid="{549B0C99-8BB0-47E3-AF3B-CE94F6D9CCC4}" name="10159" dataDxfId="6451"/>
    <tableColumn id="9940" xr3:uid="{D1726CD0-F430-4696-B9CA-D58BCE288164}" name="10160" dataDxfId="6450"/>
    <tableColumn id="9941" xr3:uid="{53325ECC-1871-474F-9767-45A7B99F5E40}" name="10161" dataDxfId="6449"/>
    <tableColumn id="9942" xr3:uid="{ADFD9139-4EE7-4E82-BA7D-57CBD9DFAE7E}" name="10162" dataDxfId="6448"/>
    <tableColumn id="9943" xr3:uid="{A64CC54B-DD20-44DE-995C-5EFDDD149D17}" name="10163" dataDxfId="6447"/>
    <tableColumn id="9944" xr3:uid="{6EA0F622-B80D-4DC5-BA7D-262BACCA0913}" name="10164" dataDxfId="6446"/>
    <tableColumn id="9945" xr3:uid="{98C727FB-507F-477F-920A-CD76FFACD8BA}" name="10165" dataDxfId="6445"/>
    <tableColumn id="9946" xr3:uid="{7C5B272B-A0E7-46AC-B516-D664A733B282}" name="10166" dataDxfId="6444"/>
    <tableColumn id="9947" xr3:uid="{153F2BAB-2C00-43D3-A758-0DFD0DA461A2}" name="10167" dataDxfId="6443"/>
    <tableColumn id="9948" xr3:uid="{E0256FCB-57A9-4F05-A4F4-9C7C0CD8C878}" name="10168" dataDxfId="6442"/>
    <tableColumn id="9949" xr3:uid="{C425DC53-231A-4DBA-8E0E-04EDE993D877}" name="10169" dataDxfId="6441"/>
    <tableColumn id="9950" xr3:uid="{0242AA86-D772-4C1B-86DB-1F859BEFB088}" name="10170" dataDxfId="6440"/>
    <tableColumn id="9951" xr3:uid="{037E2A57-F12A-4495-819B-90694DE0EF21}" name="10171" dataDxfId="6439"/>
    <tableColumn id="9952" xr3:uid="{891B823F-445F-430A-9E85-2E8DACFB6DAF}" name="10172" dataDxfId="6438"/>
    <tableColumn id="9953" xr3:uid="{DF22F06E-C051-4281-8834-18F89A6C2DE0}" name="10173" dataDxfId="6437"/>
    <tableColumn id="9954" xr3:uid="{144D181E-83BE-48E4-A618-C390F2394EC5}" name="10174" dataDxfId="6436"/>
    <tableColumn id="9955" xr3:uid="{F545A9C7-025A-4415-9794-C4ED659E88E2}" name="10175" dataDxfId="6435"/>
    <tableColumn id="9956" xr3:uid="{EB47FBBE-ACEE-4DE8-8D23-2C51D06946E2}" name="10176" dataDxfId="6434"/>
    <tableColumn id="9957" xr3:uid="{042E89D7-3188-4470-8D12-B4CBA70DFC5B}" name="10177" dataDxfId="6433"/>
    <tableColumn id="9958" xr3:uid="{CB5B27CF-0561-47A5-A29B-D492CBC8CBCD}" name="10178" dataDxfId="6432"/>
    <tableColumn id="9959" xr3:uid="{03A6E01B-0160-43F4-B019-1E93E9482888}" name="10179" dataDxfId="6431"/>
    <tableColumn id="9960" xr3:uid="{A116FA8D-CABC-4E6A-9B66-9A3E5F84C04B}" name="10180" dataDxfId="6430"/>
    <tableColumn id="9961" xr3:uid="{F48EA8BC-C24E-4937-84AE-327F5AB4AE96}" name="10181" dataDxfId="6429"/>
    <tableColumn id="9962" xr3:uid="{18674CA7-981E-4C3D-B887-7B695178DB1B}" name="10182" dataDxfId="6428"/>
    <tableColumn id="9963" xr3:uid="{C38EB92C-FB91-4CCF-A21D-B8E4F3C3A33D}" name="10183" dataDxfId="6427"/>
    <tableColumn id="9964" xr3:uid="{11D9BF82-FA2F-41D2-804E-9463C43191D1}" name="10184" dataDxfId="6426"/>
    <tableColumn id="9965" xr3:uid="{88093393-350B-41CF-90D6-D0A87EF0D7D4}" name="10185" dataDxfId="6425"/>
    <tableColumn id="9966" xr3:uid="{0D612996-CB9F-4FC0-A9E3-F436DFA7572A}" name="10186" dataDxfId="6424"/>
    <tableColumn id="9967" xr3:uid="{F2F251D5-F8FD-41AE-9ABD-0924BFB1594F}" name="10187" dataDxfId="6423"/>
    <tableColumn id="9968" xr3:uid="{DBA7D856-01FE-4130-945C-D0036FEA6EB6}" name="10188" dataDxfId="6422"/>
    <tableColumn id="9969" xr3:uid="{54A9320D-76F5-4EDB-AACA-7394A4D88994}" name="10189" dataDxfId="6421"/>
    <tableColumn id="9970" xr3:uid="{AE89C38C-8CD3-4928-97FC-E1C9DE76C3BF}" name="10190" dataDxfId="6420"/>
    <tableColumn id="9971" xr3:uid="{7ABF8D0D-4FD9-4431-BB66-5408C71DAC63}" name="10191" dataDxfId="6419"/>
    <tableColumn id="9972" xr3:uid="{9E6455F7-C9BE-40AC-8B8E-46BF4F34F56F}" name="10192" dataDxfId="6418"/>
    <tableColumn id="9973" xr3:uid="{6EA0CC1A-D303-47F5-A891-E71A6B22E5C0}" name="10193" dataDxfId="6417"/>
    <tableColumn id="9974" xr3:uid="{4EC7536A-4115-4F0F-B323-DF2C51E138E8}" name="10194" dataDxfId="6416"/>
    <tableColumn id="9975" xr3:uid="{084E4B68-510A-43CE-A785-EDF2E927DE5B}" name="10195" dataDxfId="6415"/>
    <tableColumn id="9976" xr3:uid="{A57DB9D1-845C-4F6E-A869-DE3D6326CE7C}" name="10196" dataDxfId="6414"/>
    <tableColumn id="9977" xr3:uid="{8947EE59-6796-4F88-8102-86046A0718EC}" name="10197" dataDxfId="6413"/>
    <tableColumn id="9978" xr3:uid="{49F04BF3-A692-4106-A92F-A368885DFD3E}" name="10198" dataDxfId="6412"/>
    <tableColumn id="9979" xr3:uid="{9CA81D8B-1CA0-4DD8-8C4F-3DCA76FF1EF4}" name="10199" dataDxfId="6411"/>
    <tableColumn id="9980" xr3:uid="{3653A14C-3488-48BF-A173-650EC1BAEE46}" name="10200" dataDxfId="6410"/>
    <tableColumn id="9981" xr3:uid="{33DE45A7-22F5-49EB-81CB-A20A386F1478}" name="10201" dataDxfId="6409"/>
    <tableColumn id="9982" xr3:uid="{CA1C4AAC-3B05-4127-A4AE-710DFF6647DD}" name="10202" dataDxfId="6408"/>
    <tableColumn id="9983" xr3:uid="{9F5921DF-00AD-4BE7-8F40-ED3FFEB95BE4}" name="10203" dataDxfId="6407"/>
    <tableColumn id="9984" xr3:uid="{E916012D-C57D-4516-99C2-A706071AA0CD}" name="10204" dataDxfId="6406"/>
    <tableColumn id="9985" xr3:uid="{A09F9B8C-D416-417A-B37B-DE8A7CA451EC}" name="10205" dataDxfId="6405"/>
    <tableColumn id="9986" xr3:uid="{13828696-CFBC-4120-904A-0083E7BC00A2}" name="10206" dataDxfId="6404"/>
    <tableColumn id="9987" xr3:uid="{FF1289A6-8982-4DA2-BDD8-F0781C382B39}" name="10207" dataDxfId="6403"/>
    <tableColumn id="9988" xr3:uid="{0B51328F-6CB9-47D1-9357-4ABFFA27744F}" name="10208" dataDxfId="6402"/>
    <tableColumn id="9989" xr3:uid="{D9F6F2CC-CE37-4340-9876-F0A94E92CDD2}" name="10209" dataDxfId="6401"/>
    <tableColumn id="9990" xr3:uid="{D902A20E-2BFD-4027-961A-57450C12B6C3}" name="10210" dataDxfId="6400"/>
    <tableColumn id="9991" xr3:uid="{68808C85-418C-4E8C-B30B-A40521C29990}" name="10211" dataDxfId="6399"/>
    <tableColumn id="9992" xr3:uid="{4CDFBF38-C525-4198-949B-BDB4350F370E}" name="10212" dataDxfId="6398"/>
    <tableColumn id="9993" xr3:uid="{3396BD49-ED52-42FB-94B8-067546263B37}" name="10213" dataDxfId="6397"/>
    <tableColumn id="9994" xr3:uid="{64EAF8A2-0177-4047-BE09-1CDA766B83E0}" name="10214" dataDxfId="6396"/>
    <tableColumn id="9995" xr3:uid="{1B9F97D8-E987-4EB7-8E46-91CBAEC51FE0}" name="10215" dataDxfId="6395"/>
    <tableColumn id="9996" xr3:uid="{89A3CC70-1666-4276-914E-C6E6A460749B}" name="10216" dataDxfId="6394"/>
    <tableColumn id="9997" xr3:uid="{BD16D7EB-3ADB-499B-AD4C-DB5751972435}" name="10217" dataDxfId="6393"/>
    <tableColumn id="9998" xr3:uid="{3D8DDB87-3356-4304-AEEE-217B55AD6186}" name="10218" dataDxfId="6392"/>
    <tableColumn id="9999" xr3:uid="{781A0D25-AE7B-433F-B54F-28841A935798}" name="10219" dataDxfId="6391"/>
    <tableColumn id="10000" xr3:uid="{6459F238-8B28-44EF-BB07-197BD82BB02C}" name="10220" dataDxfId="6390"/>
    <tableColumn id="10001" xr3:uid="{589199D8-0C1B-4B0F-A6B3-E10E4A48869F}" name="10221" dataDxfId="6389"/>
    <tableColumn id="10002" xr3:uid="{5B15388F-C620-4245-A076-EA03D95ACCD8}" name="10222" dataDxfId="6388"/>
    <tableColumn id="10003" xr3:uid="{5D5F73EF-BE7B-4187-9AF2-7246DA2F96CC}" name="10223" dataDxfId="6387"/>
    <tableColumn id="10004" xr3:uid="{6CD9E4E7-4DB5-496A-A662-557DA73876CC}" name="10224" dataDxfId="6386"/>
    <tableColumn id="10005" xr3:uid="{D6DA37E7-0E17-4D60-A8FF-D0D6EB6B8DAC}" name="10225" dataDxfId="6385"/>
    <tableColumn id="10006" xr3:uid="{1CC586FB-B345-478B-8A7B-A0CA04C59A94}" name="10226" dataDxfId="6384"/>
    <tableColumn id="10007" xr3:uid="{30F412DE-5500-4E86-92EF-317AE83EDBBA}" name="10227" dataDxfId="6383"/>
    <tableColumn id="10008" xr3:uid="{19D55C41-56EA-4BD4-89BB-60F7E6B9F32B}" name="10228" dataDxfId="6382"/>
    <tableColumn id="10009" xr3:uid="{529A537E-C563-4DA5-9DF6-B65F78A93485}" name="10229" dataDxfId="6381"/>
    <tableColumn id="10010" xr3:uid="{B7BDB30B-FA7B-4C94-B6BF-DC66120F0017}" name="10230" dataDxfId="6380"/>
    <tableColumn id="10011" xr3:uid="{10F902AE-DC9D-419D-BA7C-715F5184927C}" name="10231" dataDxfId="6379"/>
    <tableColumn id="10012" xr3:uid="{364E7E71-88C8-4B77-8156-CA038105E913}" name="10232" dataDxfId="6378"/>
    <tableColumn id="10013" xr3:uid="{B8A989E1-3E1B-4498-83B8-DFB9967CC85E}" name="10233" dataDxfId="6377"/>
    <tableColumn id="10014" xr3:uid="{ADD265A2-CC9E-4604-BBF7-29B4CD1E0506}" name="10234" dataDxfId="6376"/>
    <tableColumn id="10015" xr3:uid="{ECA5550E-FA44-4408-8045-1C52CEB27E01}" name="10235" dataDxfId="6375"/>
    <tableColumn id="10016" xr3:uid="{71A7B2B1-26F2-472D-AD00-1B2FC6D84197}" name="10236" dataDxfId="6374"/>
    <tableColumn id="10017" xr3:uid="{3E9278DA-325B-4D5C-9231-417AC5C7384C}" name="10237" dataDxfId="6373"/>
    <tableColumn id="10018" xr3:uid="{5E5A8D9D-2ED4-4110-9D8A-FFEA2409148D}" name="10238" dataDxfId="6372"/>
    <tableColumn id="10019" xr3:uid="{8B843D52-9EFE-4C0A-8CC9-4D581B256D1D}" name="10239" dataDxfId="6371"/>
    <tableColumn id="10020" xr3:uid="{C369DD67-74A9-49D8-B56A-911C54463644}" name="10240" dataDxfId="6370"/>
    <tableColumn id="10021" xr3:uid="{E97AF36F-592D-41BB-89B1-2C6C4614E0FC}" name="10241" dataDxfId="6369"/>
    <tableColumn id="10022" xr3:uid="{DA846E2E-A691-41AE-9BE4-EB1C56B4C0F1}" name="10242" dataDxfId="6368"/>
    <tableColumn id="10023" xr3:uid="{CD82132C-D570-4D7D-B318-ED1B2E7646D2}" name="10243" dataDxfId="6367"/>
    <tableColumn id="10024" xr3:uid="{FA3BAC49-729E-4334-A258-F72F48D5E561}" name="10244" dataDxfId="6366"/>
    <tableColumn id="10025" xr3:uid="{5FBD37EB-FEA7-47FD-BF52-48811B192B5B}" name="10245" dataDxfId="6365"/>
    <tableColumn id="10026" xr3:uid="{4DAB9E3E-23D5-4ECA-B5EF-726982745C30}" name="10246" dataDxfId="6364"/>
    <tableColumn id="10027" xr3:uid="{6B614016-EA64-47A9-8A72-032050469110}" name="10247" dataDxfId="6363"/>
    <tableColumn id="10028" xr3:uid="{ACF8F124-4B34-4DCB-9AC7-4F51CB0DEB25}" name="10248" dataDxfId="6362"/>
    <tableColumn id="10029" xr3:uid="{898A34F5-E305-4F8D-B916-15421981BBCA}" name="10249" dataDxfId="6361"/>
    <tableColumn id="10030" xr3:uid="{935342FF-5DE4-4282-AD3B-59138A5AAC64}" name="10250" dataDxfId="6360"/>
    <tableColumn id="10031" xr3:uid="{223BA39A-37F3-4052-A369-516AD533F937}" name="10251" dataDxfId="6359"/>
    <tableColumn id="10032" xr3:uid="{B3700D59-C580-463C-A945-BDB1D407A9F4}" name="10252" dataDxfId="6358"/>
    <tableColumn id="10033" xr3:uid="{B0CCD07E-1C2B-4774-9A83-9BCB9F5DACC9}" name="10253" dataDxfId="6357"/>
    <tableColumn id="10034" xr3:uid="{70E0E0A8-8FDF-4CEE-995F-0014A1E35753}" name="10254" dataDxfId="6356"/>
    <tableColumn id="10035" xr3:uid="{83AFC706-F199-4FDD-8295-FB44010B0E45}" name="10255" dataDxfId="6355"/>
    <tableColumn id="10036" xr3:uid="{3EA47038-5CB7-47B9-8769-A0EB42AF0F53}" name="10256" dataDxfId="6354"/>
    <tableColumn id="10037" xr3:uid="{6EA4435A-CBB0-4956-A588-D15B464D436D}" name="10257" dataDxfId="6353"/>
    <tableColumn id="10038" xr3:uid="{DE742920-C254-4BA2-A1BE-B816ED7C31D3}" name="10258" dataDxfId="6352"/>
    <tableColumn id="10039" xr3:uid="{2FEDD237-D748-47B7-ACCC-1C80535FE885}" name="10259" dataDxfId="6351"/>
    <tableColumn id="10040" xr3:uid="{511797CD-249B-4433-9431-142C547EBDB0}" name="10260" dataDxfId="6350"/>
    <tableColumn id="10041" xr3:uid="{F43A8F6A-981B-47BD-BE8F-0ECB0273D7E4}" name="10261" dataDxfId="6349"/>
    <tableColumn id="10042" xr3:uid="{406AEEA3-C432-430C-8524-5D3A86BA1834}" name="10262" dataDxfId="6348"/>
    <tableColumn id="10043" xr3:uid="{60B074B9-3D0F-4F31-92D9-30FFF3B0F09F}" name="10263" dataDxfId="6347"/>
    <tableColumn id="10044" xr3:uid="{5FCAF65D-1DC1-48F5-8784-F245A733E8EC}" name="10264" dataDxfId="6346"/>
    <tableColumn id="10045" xr3:uid="{A3A74E48-C2A3-45F6-A57F-D6AFC2A7E4E9}" name="10265" dataDxfId="6345"/>
    <tableColumn id="10046" xr3:uid="{0B2CFF29-55FF-48EC-A1EF-2DDC229D74BF}" name="10266" dataDxfId="6344"/>
    <tableColumn id="10047" xr3:uid="{534103E5-1B67-4B8E-A414-491893992257}" name="10267" dataDxfId="6343"/>
    <tableColumn id="10048" xr3:uid="{0FC3CA3E-AE85-4020-94A4-9F37F971E8B2}" name="10268" dataDxfId="6342"/>
    <tableColumn id="10049" xr3:uid="{1043AA4A-FAD3-40E1-BCCA-F23B2F4A52F0}" name="10269" dataDxfId="6341"/>
    <tableColumn id="10050" xr3:uid="{86FD957C-8CCB-4F30-A1EB-13DFC440C065}" name="10270" dataDxfId="6340"/>
    <tableColumn id="10051" xr3:uid="{BF9CF89A-22D2-4710-8829-57AAC73412C3}" name="10271" dataDxfId="6339"/>
    <tableColumn id="10052" xr3:uid="{E8BD7FD5-B839-41B7-8D27-32C52120CDF8}" name="10272" dataDxfId="6338"/>
    <tableColumn id="10053" xr3:uid="{DADDFCD6-6837-4F92-B2C2-C06C65A7B168}" name="10273" dataDxfId="6337"/>
    <tableColumn id="10054" xr3:uid="{AD204E56-2092-4B03-9CBC-7868996DE473}" name="10274" dataDxfId="6336"/>
    <tableColumn id="10055" xr3:uid="{AFB658E6-6ABF-4CB8-B06A-D6DCF711B133}" name="10275" dataDxfId="6335"/>
    <tableColumn id="10056" xr3:uid="{3615C7B6-76E4-40A4-AE59-E1267BD302E8}" name="10276" dataDxfId="6334"/>
    <tableColumn id="10057" xr3:uid="{698C75BF-27D9-42DC-A0B1-C16C194E534B}" name="10277" dataDxfId="6333"/>
    <tableColumn id="10058" xr3:uid="{33E68FA1-8753-48E0-A09B-650F77BADE45}" name="10278" dataDxfId="6332"/>
    <tableColumn id="10059" xr3:uid="{C1E07827-F124-4D4C-8E7B-63CEFDAF0EA1}" name="10279" dataDxfId="6331"/>
    <tableColumn id="10060" xr3:uid="{B078966B-323C-4C08-8BB7-E8EAB8ED1923}" name="10280" dataDxfId="6330"/>
    <tableColumn id="10061" xr3:uid="{A3063E88-5933-4BA9-B597-E0131671B3B7}" name="10281" dataDxfId="6329"/>
    <tableColumn id="10062" xr3:uid="{AFDDF8A7-70A5-4F32-B3DC-646B81BDAA6B}" name="10282" dataDxfId="6328"/>
    <tableColumn id="10063" xr3:uid="{26C7FD27-7219-4AB6-A9F2-936B0377EC8C}" name="10283" dataDxfId="6327"/>
    <tableColumn id="10064" xr3:uid="{178EBE25-FE33-40D7-B6A7-ED31CB4014FE}" name="10284" dataDxfId="6326"/>
    <tableColumn id="10065" xr3:uid="{742AA5A0-D0CD-4544-8339-5EBE9A597CF0}" name="10285" dataDxfId="6325"/>
    <tableColumn id="10066" xr3:uid="{9B81C66C-F664-46DE-9001-F7DB9D54307F}" name="10286" dataDxfId="6324"/>
    <tableColumn id="10067" xr3:uid="{CA3ADE53-7F6F-4E6B-B542-3B5E2DFA6E41}" name="10287" dataDxfId="6323"/>
    <tableColumn id="10068" xr3:uid="{618D5C4F-DAB2-4C99-9056-8B88CBAE98BA}" name="10288" dataDxfId="6322"/>
    <tableColumn id="10069" xr3:uid="{1C9C96C6-ED0F-41D2-8F9C-E2CBCA9F54F4}" name="10289" dataDxfId="6321"/>
    <tableColumn id="10070" xr3:uid="{45D5A2E1-53CB-4E70-A32F-CEC7A1834A9A}" name="10290" dataDxfId="6320"/>
    <tableColumn id="10071" xr3:uid="{5C6B8C73-BA16-4AB5-9A2B-FE224664BED5}" name="10291" dataDxfId="6319"/>
    <tableColumn id="10072" xr3:uid="{835412D0-8EFB-4B5D-BD7D-DCE892154CEB}" name="10292" dataDxfId="6318"/>
    <tableColumn id="10073" xr3:uid="{DE6EEFD5-08B8-434D-BEE8-FE2E53EAC008}" name="10293" dataDxfId="6317"/>
    <tableColumn id="10074" xr3:uid="{05CEA04E-30D1-4C9F-B1EA-1793A138FE9B}" name="10294" dataDxfId="6316"/>
    <tableColumn id="10075" xr3:uid="{2D8D5E50-9D66-4147-AC73-188A51678434}" name="10295" dataDxfId="6315"/>
    <tableColumn id="10076" xr3:uid="{C3D761F7-DF32-4192-A3B8-3CDC48E42452}" name="10296" dataDxfId="6314"/>
    <tableColumn id="10077" xr3:uid="{C4584AB0-E2E5-4B81-8B35-7BE216519B01}" name="10297" dataDxfId="6313"/>
    <tableColumn id="10078" xr3:uid="{AD9EE98A-0350-4D81-A396-5861930587B4}" name="10298" dataDxfId="6312"/>
    <tableColumn id="10079" xr3:uid="{DF82E300-5219-45FA-8427-49A81FAA3419}" name="10299" dataDxfId="6311"/>
    <tableColumn id="10080" xr3:uid="{5BA63C94-244B-44DD-AEBC-38D68B0F46F6}" name="10300" dataDxfId="6310"/>
    <tableColumn id="10081" xr3:uid="{1FF800F5-1366-4ECA-A559-5CCD568457A6}" name="10301" dataDxfId="6309"/>
    <tableColumn id="10082" xr3:uid="{7453ABC1-EE27-4A02-A57E-4FA94A9E0E8A}" name="10302" dataDxfId="6308"/>
    <tableColumn id="10083" xr3:uid="{FF18405A-127D-4082-9F11-F19A29FB14D5}" name="10303" dataDxfId="6307"/>
    <tableColumn id="10084" xr3:uid="{EA08A80D-9CAF-4673-86E8-DE40CF9F94B0}" name="10304" dataDxfId="6306"/>
    <tableColumn id="10085" xr3:uid="{1AFAC8A8-3ECB-4847-8E9F-0F0F595F0FB6}" name="10305" dataDxfId="6305"/>
    <tableColumn id="10086" xr3:uid="{1C2C1387-FFCF-435B-ACD8-60F0E0EDE217}" name="10306" dataDxfId="6304"/>
    <tableColumn id="10087" xr3:uid="{C97DE05C-BC33-4F47-AAFD-8A65AA25BA61}" name="10307" dataDxfId="6303"/>
    <tableColumn id="10088" xr3:uid="{31FD2036-A9E2-4508-BADB-2E782F776246}" name="10308" dataDxfId="6302"/>
    <tableColumn id="10089" xr3:uid="{5C1B4EFA-338A-4760-9102-775162230AD2}" name="10309" dataDxfId="6301"/>
    <tableColumn id="10090" xr3:uid="{EF6F3685-61D8-4943-A8F0-EBF8FA572E3B}" name="10310" dataDxfId="6300"/>
    <tableColumn id="10091" xr3:uid="{639FF643-F77A-4C94-860E-DA6E05A65C67}" name="10311" dataDxfId="6299"/>
    <tableColumn id="10092" xr3:uid="{2F18FAAA-BB4E-4E65-9F29-9618516B52EB}" name="10312" dataDxfId="6298"/>
    <tableColumn id="10093" xr3:uid="{902C41C0-6555-4127-AE20-1225848B68C9}" name="10313" dataDxfId="6297"/>
    <tableColumn id="10094" xr3:uid="{EEBCE209-625C-4E0D-A675-A662435E88A7}" name="10314" dataDxfId="6296"/>
    <tableColumn id="10095" xr3:uid="{5D6B02A7-B4D5-4E26-8320-28F1CC799DE1}" name="10315" dataDxfId="6295"/>
    <tableColumn id="10096" xr3:uid="{8FD0F379-A87B-4622-A80A-EC2083B00D15}" name="10316" dataDxfId="6294"/>
    <tableColumn id="10097" xr3:uid="{0F9C9EBA-2C89-4FBF-813F-C00CFE65B6CE}" name="10317" dataDxfId="6293"/>
    <tableColumn id="10098" xr3:uid="{3C7E6DA3-0402-4D28-A43A-F341E9CCE30D}" name="10318" dataDxfId="6292"/>
    <tableColumn id="10099" xr3:uid="{BAE2F237-E969-4190-B87E-C56034412C1D}" name="10319" dataDxfId="6291"/>
    <tableColumn id="10100" xr3:uid="{0402CDAD-6FD8-4E25-9CF8-FAC2E86E7276}" name="10320" dataDxfId="6290"/>
    <tableColumn id="10101" xr3:uid="{7E970122-DD33-433C-8D59-5C7451F5B37F}" name="10321" dataDxfId="6289"/>
    <tableColumn id="10102" xr3:uid="{D6852C45-557B-4491-A2FA-57E0149485C3}" name="10322" dataDxfId="6288"/>
    <tableColumn id="10103" xr3:uid="{0679E6C0-327F-4563-8BE5-1EC03AAA8CF1}" name="10323" dataDxfId="6287"/>
    <tableColumn id="10104" xr3:uid="{04BA7994-3A25-4FF0-9373-A1B194EB5741}" name="10324" dataDxfId="6286"/>
    <tableColumn id="10105" xr3:uid="{49E6F477-B0C1-4C1A-9122-344319E54E60}" name="10325" dataDxfId="6285"/>
    <tableColumn id="10106" xr3:uid="{977B2A0F-C514-4013-8231-D2F1EA24009C}" name="10326" dataDxfId="6284"/>
    <tableColumn id="10107" xr3:uid="{D4DB6BF5-6D13-4887-9588-285CD6DE75A8}" name="10327" dataDxfId="6283"/>
    <tableColumn id="10108" xr3:uid="{91B9CB56-9A1E-473B-9F87-11D829869872}" name="10328" dataDxfId="6282"/>
    <tableColumn id="10109" xr3:uid="{F003CA84-F743-4125-90A4-5CA0445AD569}" name="10329" dataDxfId="6281"/>
    <tableColumn id="10110" xr3:uid="{CFA3B5E3-734C-40B6-8EAA-61F5F3EB915D}" name="10330" dataDxfId="6280"/>
    <tableColumn id="10111" xr3:uid="{E001C28B-BA75-43B8-90BF-39A8F15C5373}" name="10331" dataDxfId="6279"/>
    <tableColumn id="10112" xr3:uid="{87279741-3DAE-4634-8B9F-CF6B38E4672C}" name="10332" dataDxfId="6278"/>
    <tableColumn id="10113" xr3:uid="{66125130-7C20-4011-BA28-90BFDBCFA6C8}" name="10333" dataDxfId="6277"/>
    <tableColumn id="10114" xr3:uid="{4F5E9865-E04C-4138-8CF0-B0DCD5BCD2CA}" name="10334" dataDxfId="6276"/>
    <tableColumn id="10115" xr3:uid="{14AD121B-AA79-4618-8CD8-BF989A54CDD9}" name="10335" dataDxfId="6275"/>
    <tableColumn id="10116" xr3:uid="{0FCCEAAB-7353-4637-AC25-61AE72374142}" name="10336" dataDxfId="6274"/>
    <tableColumn id="10117" xr3:uid="{37F63A3A-29FE-4A78-814B-1C02BF225F92}" name="10337" dataDxfId="6273"/>
    <tableColumn id="10118" xr3:uid="{2A619429-0A53-47E1-886A-3FC292A534F4}" name="10338" dataDxfId="6272"/>
    <tableColumn id="10119" xr3:uid="{B71E2A67-B38C-4E9A-B6CA-FA12798F810F}" name="10339" dataDxfId="6271"/>
    <tableColumn id="10120" xr3:uid="{18932013-13BA-4E3B-BB88-0330D2152493}" name="10340" dataDxfId="6270"/>
    <tableColumn id="10121" xr3:uid="{FACB1513-2C82-452E-8D01-54CE9CA668E5}" name="10341" dataDxfId="6269"/>
    <tableColumn id="10122" xr3:uid="{898EA9C4-5B96-4780-AF27-63B15E7B17C0}" name="10342" dataDxfId="6268"/>
    <tableColumn id="10123" xr3:uid="{88DC49BF-900D-436C-97D2-2D4B8E09D5C3}" name="10343" dataDxfId="6267"/>
    <tableColumn id="10124" xr3:uid="{FFD80A75-141A-4745-AC83-37852B8B3AAC}" name="10344" dataDxfId="6266"/>
    <tableColumn id="10125" xr3:uid="{0DB987F4-E797-41DA-9313-C434D03C1D08}" name="10345" dataDxfId="6265"/>
    <tableColumn id="10126" xr3:uid="{7F0307DF-6CA2-456E-873F-64E10362F9C0}" name="10346" dataDxfId="6264"/>
    <tableColumn id="10127" xr3:uid="{05646023-1556-4140-8CCD-3CC120A16F15}" name="10347" dataDxfId="6263"/>
    <tableColumn id="10128" xr3:uid="{7F55A9A4-D5CA-40C3-B714-9FB2CABEEC4E}" name="10348" dataDxfId="6262"/>
    <tableColumn id="10129" xr3:uid="{FD7249DB-C028-4CBA-85A3-81C3AD56C896}" name="10349" dataDxfId="6261"/>
    <tableColumn id="10130" xr3:uid="{C375B139-7953-4EEC-9096-9B1A745F3490}" name="10350" dataDxfId="6260"/>
    <tableColumn id="10131" xr3:uid="{1A48AAE5-ABBD-4CAF-A352-9C5156B6F8B9}" name="10351" dataDxfId="6259"/>
    <tableColumn id="10132" xr3:uid="{FA7E2F3A-DF75-4A2A-97D1-71853D73D000}" name="10352" dataDxfId="6258"/>
    <tableColumn id="10133" xr3:uid="{EB873832-E4D1-4535-A6E7-E6FD60902E5F}" name="10353" dataDxfId="6257"/>
    <tableColumn id="10134" xr3:uid="{D39CC95D-63CE-40C3-991C-4E8BF895D259}" name="10354" dataDxfId="6256"/>
    <tableColumn id="10135" xr3:uid="{5A6EE6DF-E38F-4F32-B15A-A9D6364E4D9D}" name="10355" dataDxfId="6255"/>
    <tableColumn id="10136" xr3:uid="{A745B870-1685-4C50-9F51-FC7751A66DDC}" name="10356" dataDxfId="6254"/>
    <tableColumn id="10137" xr3:uid="{43A767B2-918D-4C32-A69F-38FE005E86BB}" name="10357" dataDxfId="6253"/>
    <tableColumn id="10138" xr3:uid="{1F03A60D-FF31-4AF4-867C-2AE75864A730}" name="10358" dataDxfId="6252"/>
    <tableColumn id="10139" xr3:uid="{19EF6946-50E7-4ABA-9BC5-EA5A7AE44866}" name="10359" dataDxfId="6251"/>
    <tableColumn id="10140" xr3:uid="{DB2A3B7F-EBB6-4C6F-B2F3-98E66AFF2DFB}" name="10360" dataDxfId="6250"/>
    <tableColumn id="10141" xr3:uid="{69C6315F-EBE4-4CCE-93DA-C1E960A05EB9}" name="10361" dataDxfId="6249"/>
    <tableColumn id="10142" xr3:uid="{C78C0705-6BE4-4A54-88CE-7257F32CEE85}" name="10362" dataDxfId="6248"/>
    <tableColumn id="10143" xr3:uid="{D16662FB-0377-4C3C-85C8-1E8C4963C99A}" name="10363" dataDxfId="6247"/>
    <tableColumn id="10144" xr3:uid="{004E91AC-362C-4D9A-81DE-1F45468F328C}" name="10364" dataDxfId="6246"/>
    <tableColumn id="10145" xr3:uid="{1811381D-2A68-4224-A926-76F49C74B28F}" name="10365" dataDxfId="6245"/>
    <tableColumn id="10146" xr3:uid="{2AFD868A-D9FA-4B1A-8C22-0444FBA56663}" name="10366" dataDxfId="6244"/>
    <tableColumn id="10147" xr3:uid="{F3EBA187-D2C3-49A1-A81D-8C8393479CA1}" name="10367" dataDxfId="6243"/>
    <tableColumn id="10148" xr3:uid="{C3455B7C-98A0-4033-9A73-9CDF4D3FF468}" name="10368" dataDxfId="6242"/>
    <tableColumn id="10149" xr3:uid="{9C7163B2-6CAC-49AD-A6D5-F175D9162A33}" name="10369" dataDxfId="6241"/>
    <tableColumn id="10150" xr3:uid="{51572A0B-D3C1-4A9D-8322-1B60039B2AA0}" name="10370" dataDxfId="6240"/>
    <tableColumn id="10151" xr3:uid="{7BC424F4-F680-47DF-8771-D9B1C6918947}" name="10371" dataDxfId="6239"/>
    <tableColumn id="10152" xr3:uid="{F64F5EE0-6975-4DB7-B7C3-E0791817B94A}" name="10372" dataDxfId="6238"/>
    <tableColumn id="10153" xr3:uid="{270CFA52-A630-43B7-8E29-512306D7B033}" name="10373" dataDxfId="6237"/>
    <tableColumn id="10154" xr3:uid="{342EE650-0296-4459-AD32-A7917D5A5169}" name="10374" dataDxfId="6236"/>
    <tableColumn id="10155" xr3:uid="{5A9B0586-F535-4E40-9D4E-D1D78332C95A}" name="10375" dataDxfId="6235"/>
    <tableColumn id="10156" xr3:uid="{621C3766-31B2-4587-85D6-A0C18C999B5C}" name="10376" dataDxfId="6234"/>
    <tableColumn id="10157" xr3:uid="{37E55428-0758-4206-A2E8-78D081F9A857}" name="10377" dataDxfId="6233"/>
    <tableColumn id="10158" xr3:uid="{D7297A03-F7F0-4374-AC44-9331C08ED5D8}" name="10378" dataDxfId="6232"/>
    <tableColumn id="10159" xr3:uid="{296FCC4A-8609-46F7-BA3E-777A85C5F278}" name="10379" dataDxfId="6231"/>
    <tableColumn id="10160" xr3:uid="{E3E4DD54-DEBB-4E8D-9F4B-5986A0A96983}" name="10380" dataDxfId="6230"/>
    <tableColumn id="10161" xr3:uid="{1272DF53-B273-4632-868C-AF9E582B445A}" name="10381" dataDxfId="6229"/>
    <tableColumn id="10162" xr3:uid="{6692CC57-1567-4C18-B46C-A937F13B9468}" name="10382" dataDxfId="6228"/>
    <tableColumn id="10163" xr3:uid="{AB9A64BE-6636-43A2-8F8E-342E12470CAE}" name="10383" dataDxfId="6227"/>
    <tableColumn id="10164" xr3:uid="{06A1D130-0C72-4FE0-B78B-23C2B889CD37}" name="10384" dataDxfId="6226"/>
    <tableColumn id="10165" xr3:uid="{5D3049FA-EF6F-4430-AEFC-B1B9E33F8027}" name="10385" dataDxfId="6225"/>
    <tableColumn id="10166" xr3:uid="{2C7934A9-D2A4-4739-9D5D-DCC5690E36A6}" name="10386" dataDxfId="6224"/>
    <tableColumn id="10167" xr3:uid="{ED8948EB-E44E-4A0B-9679-8E78412B4CEE}" name="10387" dataDxfId="6223"/>
    <tableColumn id="10168" xr3:uid="{9D4A957F-0FD3-42D7-9921-BD32FE9859E0}" name="10388" dataDxfId="6222"/>
    <tableColumn id="10169" xr3:uid="{9D6F976B-6ECD-47B0-8DF5-7E2998C31E40}" name="10389" dataDxfId="6221"/>
    <tableColumn id="10170" xr3:uid="{56B40723-DAFB-4839-9DF6-796132DD43A3}" name="10390" dataDxfId="6220"/>
    <tableColumn id="10171" xr3:uid="{C217AA62-2C65-499F-BE89-C2CD041DEEEA}" name="10391" dataDxfId="6219"/>
    <tableColumn id="10172" xr3:uid="{72FCAF25-CA42-48D3-B5CC-4BEABD8A848E}" name="10392" dataDxfId="6218"/>
    <tableColumn id="10173" xr3:uid="{68EB50E2-5058-4994-B77D-5B0231F93B86}" name="10393" dataDxfId="6217"/>
    <tableColumn id="10174" xr3:uid="{308AC715-F86A-47CF-B093-8DCDF9CCC324}" name="10394" dataDxfId="6216"/>
    <tableColumn id="10175" xr3:uid="{83090AFF-83E7-430F-B015-5910FA493412}" name="10395" dataDxfId="6215"/>
    <tableColumn id="10176" xr3:uid="{6A7FAFF7-CA60-4593-8D2C-005429662E68}" name="10396" dataDxfId="6214"/>
    <tableColumn id="10177" xr3:uid="{52FC2609-AA64-40BF-8D59-06EE05CCB57A}" name="10397" dataDxfId="6213"/>
    <tableColumn id="10178" xr3:uid="{B0260202-C2E9-4815-8FF7-E18B493EC539}" name="10398" dataDxfId="6212"/>
    <tableColumn id="10179" xr3:uid="{F1342CDB-8470-451B-8E9F-86EC6B49E90C}" name="10399" dataDxfId="6211"/>
    <tableColumn id="10180" xr3:uid="{CE39045E-2E72-492E-B93F-9E03347BF2A5}" name="10400" dataDxfId="6210"/>
    <tableColumn id="10181" xr3:uid="{B671FD08-27F9-4A5A-84A7-AF4410A5F92C}" name="10401" dataDxfId="6209"/>
    <tableColumn id="10182" xr3:uid="{D5134931-027B-4A37-B3BF-4D708DC66A0C}" name="10402" dataDxfId="6208"/>
    <tableColumn id="10183" xr3:uid="{F3C64821-6EFD-4EE0-B668-B85EFF20C723}" name="10403" dataDxfId="6207"/>
    <tableColumn id="10184" xr3:uid="{EF839B9C-2715-4EC8-87E4-6BE511D62B62}" name="10404" dataDxfId="6206"/>
    <tableColumn id="10185" xr3:uid="{7027CE00-CE56-4054-8F87-14A1FB1364CC}" name="10405" dataDxfId="6205"/>
    <tableColumn id="10186" xr3:uid="{3C8A2E24-A77E-4E95-A6D1-87729833B003}" name="10406" dataDxfId="6204"/>
    <tableColumn id="10187" xr3:uid="{D74DF788-B41F-49D7-A0F0-93462E63ADC4}" name="10407" dataDxfId="6203"/>
    <tableColumn id="10188" xr3:uid="{1D2B2B70-578B-4FF5-AFC7-A34392F80B4B}" name="10408" dataDxfId="6202"/>
    <tableColumn id="10189" xr3:uid="{D357A1D4-8D55-4902-9531-485D6B0EBC77}" name="10409" dataDxfId="6201"/>
    <tableColumn id="10190" xr3:uid="{4C17E84E-3344-46EF-8B4D-E117418F4EE5}" name="10410" dataDxfId="6200"/>
    <tableColumn id="10191" xr3:uid="{750CDFEE-E446-48BA-8934-699F09FCABB0}" name="10411" dataDxfId="6199"/>
    <tableColumn id="10192" xr3:uid="{B5DFAA9E-3991-4580-8ED2-79088EF1B6A1}" name="10412" dataDxfId="6198"/>
    <tableColumn id="10193" xr3:uid="{06EAB4AB-10A9-45AE-8ACD-DCBA1D7B0E5F}" name="10413" dataDxfId="6197"/>
    <tableColumn id="10194" xr3:uid="{22D13581-61CC-4617-9F8F-A670365C091B}" name="10414" dataDxfId="6196"/>
    <tableColumn id="10195" xr3:uid="{34195309-32FF-4CC5-9E60-C7D67576AAC0}" name="10415" dataDxfId="6195"/>
    <tableColumn id="10196" xr3:uid="{8F409442-205A-4E8B-B3E1-2EC776284A41}" name="10416" dataDxfId="6194"/>
    <tableColumn id="10197" xr3:uid="{625B1B3A-F335-4B22-86B9-946075EAEB1D}" name="10417" dataDxfId="6193"/>
    <tableColumn id="10198" xr3:uid="{FAFCE5C6-A3CF-462C-B784-BE6BE370F1E6}" name="10418" dataDxfId="6192"/>
    <tableColumn id="10199" xr3:uid="{958A5357-1CC1-4AE4-85D8-3FDDB3008B5E}" name="10419" dataDxfId="6191"/>
    <tableColumn id="10200" xr3:uid="{02697833-5E25-456F-BED2-AC11829E372D}" name="10420" dataDxfId="6190"/>
    <tableColumn id="10201" xr3:uid="{99E7D11A-E00F-4FAC-9A38-3952B1DA6981}" name="10421" dataDxfId="6189"/>
    <tableColumn id="10202" xr3:uid="{04FC1C59-F0A0-4451-9D86-8A933FDD268F}" name="10422" dataDxfId="6188"/>
    <tableColumn id="10203" xr3:uid="{5CC9C581-19C1-44FA-981D-BC9063E88E19}" name="10423" dataDxfId="6187"/>
    <tableColumn id="10204" xr3:uid="{3559375A-4018-4443-93BC-721D9187EF62}" name="10424" dataDxfId="6186"/>
    <tableColumn id="10205" xr3:uid="{B5D7E03A-6BE5-4B2A-8003-6A7889A7D07A}" name="10425" dataDxfId="6185"/>
    <tableColumn id="10206" xr3:uid="{1BB75427-377D-4495-9C0B-89DD380F93BC}" name="10426" dataDxfId="6184"/>
    <tableColumn id="10207" xr3:uid="{36CEB940-6DF7-4B8A-A90E-AE9EC45BC696}" name="10427" dataDxfId="6183"/>
    <tableColumn id="10208" xr3:uid="{DE8A1CEB-F72C-4816-803D-F042ED91C157}" name="10428" dataDxfId="6182"/>
    <tableColumn id="10209" xr3:uid="{BED74B07-57E5-4E9B-A89B-3547E8056019}" name="10429" dataDxfId="6181"/>
    <tableColumn id="10210" xr3:uid="{7926317D-E391-44B1-81CA-6BF82B6E4E33}" name="10430" dataDxfId="6180"/>
    <tableColumn id="10211" xr3:uid="{450D76F8-89BE-4080-859C-29624B8D9940}" name="10431" dataDxfId="6179"/>
    <tableColumn id="10212" xr3:uid="{DF65A442-A00E-4433-90E8-B1FF982E6363}" name="10432" dataDxfId="6178"/>
    <tableColumn id="10213" xr3:uid="{8BAB4A91-AB1D-4346-805E-B7109FFCB2A5}" name="10433" dataDxfId="6177"/>
    <tableColumn id="10214" xr3:uid="{9DE76C27-5DEC-4B37-A777-1189BB76AE6B}" name="10434" dataDxfId="6176"/>
    <tableColumn id="10215" xr3:uid="{B06F8833-21F7-4725-870C-A2AAA78CD1A5}" name="10435" dataDxfId="6175"/>
    <tableColumn id="10216" xr3:uid="{2A4291D4-4F2F-40FE-8955-4EF1E4E5E68B}" name="10436" dataDxfId="6174"/>
    <tableColumn id="10217" xr3:uid="{DFD5C290-7CE0-4008-99C5-57CBC1F04496}" name="10437" dataDxfId="6173"/>
    <tableColumn id="10218" xr3:uid="{39695C00-9CFF-494C-8478-2E404D2FA5FC}" name="10438" dataDxfId="6172"/>
    <tableColumn id="10219" xr3:uid="{5E62C5D9-845F-41DF-85F9-89C9E704FBD4}" name="10439" dataDxfId="6171"/>
    <tableColumn id="10220" xr3:uid="{92D05719-58CA-40C5-8E9F-05793496116F}" name="10440" dataDxfId="6170"/>
    <tableColumn id="10221" xr3:uid="{2D367ECD-54F8-423A-AFC6-F453CAEF6918}" name="10441" dataDxfId="6169"/>
    <tableColumn id="10222" xr3:uid="{B10779D9-B71E-44F0-BFE7-BB1AAE825595}" name="10442" dataDxfId="6168"/>
    <tableColumn id="10223" xr3:uid="{A83B7529-C9D3-4DC4-A903-9E9EF90BA927}" name="10443" dataDxfId="6167"/>
    <tableColumn id="10224" xr3:uid="{34651E8E-DE1B-4B6C-8AB9-025FC8B5CD16}" name="10444" dataDxfId="6166"/>
    <tableColumn id="10225" xr3:uid="{192547DE-794D-473A-AC9A-0CAE26D991B1}" name="10445" dataDxfId="6165"/>
    <tableColumn id="10226" xr3:uid="{AE6A50C3-3482-4EEF-A7CA-933E2A536C70}" name="10446" dataDxfId="6164"/>
    <tableColumn id="10227" xr3:uid="{CD6BD70A-DEDD-4C6D-85CE-615AD912DDED}" name="10447" dataDxfId="6163"/>
    <tableColumn id="10228" xr3:uid="{CAFA625D-7104-48C0-B1B2-12F1EE7EC2BD}" name="10448" dataDxfId="6162"/>
    <tableColumn id="10229" xr3:uid="{257082F4-F19A-4C5E-A73C-A9554B14FFA5}" name="10449" dataDxfId="6161"/>
    <tableColumn id="10230" xr3:uid="{F00AC960-400C-4A0B-8323-DA286BC75DA1}" name="10450" dataDxfId="6160"/>
    <tableColumn id="10231" xr3:uid="{080964AE-DB2B-47AF-B830-852BC1811DCC}" name="10451" dataDxfId="6159"/>
    <tableColumn id="10232" xr3:uid="{8868F8A2-DC64-429C-8FE8-EFE906914593}" name="10452" dataDxfId="6158"/>
    <tableColumn id="10233" xr3:uid="{90EA7123-ABDF-429A-BA12-1B7C6A43650E}" name="10453" dataDxfId="6157"/>
    <tableColumn id="10234" xr3:uid="{D57A3E3F-4617-4BC6-8EE2-9FC95F656DC4}" name="10454" dataDxfId="6156"/>
    <tableColumn id="10235" xr3:uid="{46CA7408-53E4-44AD-ACF7-5F38F8B9D7DC}" name="10455" dataDxfId="6155"/>
    <tableColumn id="10236" xr3:uid="{EC2B73E4-3FBC-4D74-8EFB-CF5AFF4904AA}" name="10456" dataDxfId="6154"/>
    <tableColumn id="10237" xr3:uid="{7B9D2C27-5C6A-42C7-A6D0-F972E61C52FC}" name="10457" dataDxfId="6153"/>
    <tableColumn id="10238" xr3:uid="{CEA3FAC0-3D7A-4CB4-9DE3-C5C224F89660}" name="10458" dataDxfId="6152"/>
    <tableColumn id="10239" xr3:uid="{53ED0F52-915B-46A9-B402-CC05E504F18D}" name="10459" dataDxfId="6151"/>
    <tableColumn id="10240" xr3:uid="{A11C7DF1-DC1E-4326-BDA7-A93C46649952}" name="10460" dataDxfId="6150"/>
    <tableColumn id="10241" xr3:uid="{688442BB-41EA-4BD0-932E-9C350B0FAE9F}" name="10461" dataDxfId="6149"/>
    <tableColumn id="10242" xr3:uid="{7AB7F0B1-0095-46F4-B786-405407F30054}" name="10462" dataDxfId="6148"/>
    <tableColumn id="10243" xr3:uid="{C95727E0-AFE4-416A-85BE-E14AEE30D810}" name="10463" dataDxfId="6147"/>
    <tableColumn id="10244" xr3:uid="{437DA2CD-73D4-4F99-B51F-67A66A90501B}" name="10464" dataDxfId="6146"/>
    <tableColumn id="10245" xr3:uid="{0EEF7366-5042-443B-8FD0-E288ACC6E0C1}" name="10465" dataDxfId="6145"/>
    <tableColumn id="10246" xr3:uid="{556049C2-81CA-4BC5-A2C9-B545548B6B49}" name="10466" dataDxfId="6144"/>
    <tableColumn id="10247" xr3:uid="{DB8FA87C-88D0-471B-B64D-BA5DB5AE9E32}" name="10467" dataDxfId="6143"/>
    <tableColumn id="10248" xr3:uid="{6A0C249C-0557-4E52-9E3C-8A01288D98E1}" name="10468" dataDxfId="6142"/>
    <tableColumn id="10249" xr3:uid="{C80A41B3-34EB-482C-B532-07F16BEB4ADB}" name="10469" dataDxfId="6141"/>
    <tableColumn id="10250" xr3:uid="{ED7E89D7-E17A-4FD9-9724-50B4E285FC86}" name="10470" dataDxfId="6140"/>
    <tableColumn id="10251" xr3:uid="{25B0B7A3-191B-4EE0-A49E-A4541E5B7DEA}" name="10471" dataDxfId="6139"/>
    <tableColumn id="10252" xr3:uid="{38321C89-9A3B-4869-A47C-2B772955A5EF}" name="10472" dataDxfId="6138"/>
    <tableColumn id="10253" xr3:uid="{68120B1B-F506-4D65-B7BF-798C0EA56543}" name="10473" dataDxfId="6137"/>
    <tableColumn id="10254" xr3:uid="{937012FB-73DA-4968-81B0-FA2439DB05AF}" name="10474" dataDxfId="6136"/>
    <tableColumn id="10255" xr3:uid="{20D02020-1146-4CE9-AA51-7532830D6D67}" name="10475" dataDxfId="6135"/>
    <tableColumn id="10256" xr3:uid="{74DC04C1-7C36-443C-B7FF-D4259969A7E0}" name="10476" dataDxfId="6134"/>
    <tableColumn id="10257" xr3:uid="{3E131358-A4A5-4E2B-A6FC-5A1E990D915E}" name="10477" dataDxfId="6133"/>
    <tableColumn id="10258" xr3:uid="{DC06EC15-1894-416D-9301-BF71986C4C98}" name="10478" dataDxfId="6132"/>
    <tableColumn id="10259" xr3:uid="{58F35E84-75A7-4C15-88DF-1B1F83E82423}" name="10479" dataDxfId="6131"/>
    <tableColumn id="10260" xr3:uid="{EF286478-4CCB-43BE-8937-CBBA3535D9A8}" name="10480" dataDxfId="6130"/>
    <tableColumn id="10261" xr3:uid="{B1A7246A-820B-4F43-8888-95B74B502213}" name="10481" dataDxfId="6129"/>
    <tableColumn id="10262" xr3:uid="{32AE205A-4C48-45CC-85C9-4FB67D9A7ADF}" name="10482" dataDxfId="6128"/>
    <tableColumn id="10263" xr3:uid="{1FF76CAA-2F85-433B-8C80-B577DF268E46}" name="10483" dataDxfId="6127"/>
    <tableColumn id="10264" xr3:uid="{1FBD060C-3748-4F7B-B517-518363FAAE82}" name="10484" dataDxfId="6126"/>
    <tableColumn id="10265" xr3:uid="{2505D645-BD8E-4179-971B-B417D19EDAEC}" name="10485" dataDxfId="6125"/>
    <tableColumn id="10266" xr3:uid="{A1C5BD6B-A59A-40FF-A79D-D3D5BB50602A}" name="10486" dataDxfId="6124"/>
    <tableColumn id="10267" xr3:uid="{89EA944C-1F88-4100-AAD1-5BBDC9B4F6AD}" name="10487" dataDxfId="6123"/>
    <tableColumn id="10268" xr3:uid="{EFDF5243-7465-4354-94F0-FF74DC37A6B2}" name="10488" dataDxfId="6122"/>
    <tableColumn id="10269" xr3:uid="{86606615-20BD-4D0C-A917-0910BE5D0395}" name="10489" dataDxfId="6121"/>
    <tableColumn id="10270" xr3:uid="{4C0E58BB-AF44-4CE9-B6BC-1DF95F726DDE}" name="10490" dataDxfId="6120"/>
    <tableColumn id="10271" xr3:uid="{CC1C5B46-4097-4050-9573-9644BA287F4F}" name="10491" dataDxfId="6119"/>
    <tableColumn id="10272" xr3:uid="{066AB9AA-3E4A-44FA-8059-F86553BA28E1}" name="10492" dataDxfId="6118"/>
    <tableColumn id="10273" xr3:uid="{CFF5B5CF-EC20-47C6-86B5-E479AA9D0B06}" name="10493" dataDxfId="6117"/>
    <tableColumn id="10274" xr3:uid="{E6C6B244-E74C-42A9-98A7-64547B50BBB2}" name="10494" dataDxfId="6116"/>
    <tableColumn id="10275" xr3:uid="{E89EE5CA-FC60-44F6-8CE3-4EB1245305AB}" name="10495" dataDxfId="6115"/>
    <tableColumn id="10276" xr3:uid="{1576777D-3433-4AD8-8669-F0124EA3B799}" name="10496" dataDxfId="6114"/>
    <tableColumn id="10277" xr3:uid="{7A270AB2-7B8C-4D00-AB07-25C615694493}" name="10497" dataDxfId="6113"/>
    <tableColumn id="10278" xr3:uid="{2AE08AF2-61F3-4421-B610-BCEBE956904E}" name="10498" dataDxfId="6112"/>
    <tableColumn id="10279" xr3:uid="{158CC082-ACB5-4C0B-8420-2D664226E3DA}" name="10499" dataDxfId="6111"/>
    <tableColumn id="10280" xr3:uid="{2F33D15D-3AB0-4E59-8D27-63FA7E400B62}" name="10500" dataDxfId="6110"/>
    <tableColumn id="10281" xr3:uid="{2B32DEA8-D2E9-4349-A1D0-23EC714E23D0}" name="10501" dataDxfId="6109"/>
    <tableColumn id="10282" xr3:uid="{54907B34-A5D7-4327-9B58-13EF954BCBE3}" name="10502" dataDxfId="6108"/>
    <tableColumn id="10283" xr3:uid="{DEB2DE10-B390-4C9F-A770-1875354CE694}" name="10503" dataDxfId="6107"/>
    <tableColumn id="10284" xr3:uid="{6FB56C9A-4A27-47C8-8D25-0887E4709B2E}" name="10504" dataDxfId="6106"/>
    <tableColumn id="10285" xr3:uid="{3D57EDDF-631A-4CBB-96CF-7E3414F2E22F}" name="10505" dataDxfId="6105"/>
    <tableColumn id="10286" xr3:uid="{FF7B2FCA-F779-4FD3-B191-A95269A57580}" name="10506" dataDxfId="6104"/>
    <tableColumn id="10287" xr3:uid="{B185CC57-0FF6-4CD7-988F-14BB55D7224A}" name="10507" dataDxfId="6103"/>
    <tableColumn id="10288" xr3:uid="{E27F3A97-7D8E-4E83-BB59-E11FD4734635}" name="10508" dataDxfId="6102"/>
    <tableColumn id="10289" xr3:uid="{2581AD61-ABAD-4B08-A2CF-EB8A9B8E297B}" name="10509" dataDxfId="6101"/>
    <tableColumn id="10290" xr3:uid="{9C978DB1-779E-4F68-B283-792EB178A61E}" name="10510" dataDxfId="6100"/>
    <tableColumn id="10291" xr3:uid="{88983193-D594-4B43-A429-392EC0E397C6}" name="10511" dataDxfId="6099"/>
    <tableColumn id="10292" xr3:uid="{B85FC9A7-211C-4CF0-9DBA-0AE140784D0C}" name="10512" dataDxfId="6098"/>
    <tableColumn id="10293" xr3:uid="{51CBB059-1128-4241-9459-C9B051DF82E3}" name="10513" dataDxfId="6097"/>
    <tableColumn id="10294" xr3:uid="{CDCC7F99-E48A-4A72-93EE-4689DD00DEA9}" name="10514" dataDxfId="6096"/>
    <tableColumn id="10295" xr3:uid="{39B21140-397E-48A7-ACBB-2EBDEA87940D}" name="10515" dataDxfId="6095"/>
    <tableColumn id="10296" xr3:uid="{3ACD446B-00E5-4064-B574-36AE20F7D981}" name="10516" dataDxfId="6094"/>
    <tableColumn id="10297" xr3:uid="{D4696B0F-9422-4571-917C-06A1D4D4B856}" name="10517" dataDxfId="6093"/>
    <tableColumn id="10298" xr3:uid="{C1B1DD1D-4423-44F0-B168-D61486C2562D}" name="10518" dataDxfId="6092"/>
    <tableColumn id="10299" xr3:uid="{BEDB2977-FBF8-4E1A-9DFB-50CE4CAA01B8}" name="10519" dataDxfId="6091"/>
    <tableColumn id="10300" xr3:uid="{33CFDAE3-8692-4090-A2E1-9E38CAC47A2D}" name="10520" dataDxfId="6090"/>
    <tableColumn id="10301" xr3:uid="{D13F2E6A-2385-4360-9280-CA324F9E8F00}" name="10521" dataDxfId="6089"/>
    <tableColumn id="10302" xr3:uid="{CB04CB60-16EF-428C-81BB-5B071E625CE8}" name="10522" dataDxfId="6088"/>
    <tableColumn id="10303" xr3:uid="{F9E40E69-2BF8-4749-88E1-FB935E8B4E9D}" name="10523" dataDxfId="6087"/>
    <tableColumn id="10304" xr3:uid="{FE425EB0-A6AF-4E84-AEF9-60F505D0EA5C}" name="10524" dataDxfId="6086"/>
    <tableColumn id="10305" xr3:uid="{603E7E7E-44FB-49F8-A243-E2A4DF733C4C}" name="10525" dataDxfId="6085"/>
    <tableColumn id="10306" xr3:uid="{613F097B-838E-4FD9-8FA8-B4CF9D52E623}" name="10526" dataDxfId="6084"/>
    <tableColumn id="10307" xr3:uid="{1EE7F6E8-2489-419E-A051-2FAC0C899695}" name="10527" dataDxfId="6083"/>
    <tableColumn id="10308" xr3:uid="{385AFCDA-86DD-4366-A1E3-43A3103E2722}" name="10528" dataDxfId="6082"/>
    <tableColumn id="10309" xr3:uid="{78F502C5-4043-4BAD-B745-B308CC496AC7}" name="10529" dataDxfId="6081"/>
    <tableColumn id="10310" xr3:uid="{333C67B2-89D9-45BF-93A7-215E9C554E4D}" name="10530" dataDxfId="6080"/>
    <tableColumn id="10311" xr3:uid="{E566AF74-4922-473F-BBBF-E7330E2DEF39}" name="10531" dataDxfId="6079"/>
    <tableColumn id="10312" xr3:uid="{BB5D3B3D-018C-49B0-B015-D743474D7387}" name="10532" dataDxfId="6078"/>
    <tableColumn id="10313" xr3:uid="{37679D8A-2C44-49D3-B176-F471721EABDD}" name="10533" dataDxfId="6077"/>
    <tableColumn id="10314" xr3:uid="{3C441F83-937D-424E-9F75-BB5724258F1F}" name="10534" dataDxfId="6076"/>
    <tableColumn id="10315" xr3:uid="{7780C87B-3704-4A6B-831E-08C256036B3B}" name="10535" dataDxfId="6075"/>
    <tableColumn id="10316" xr3:uid="{442CD2A7-880F-4414-A568-B72F8C49A521}" name="10536" dataDxfId="6074"/>
    <tableColumn id="10317" xr3:uid="{B7E8F40F-9A22-4951-83FB-452C92BF5089}" name="10537" dataDxfId="6073"/>
    <tableColumn id="10318" xr3:uid="{252D372F-52B6-413F-AB42-F6E69ECCA010}" name="10538" dataDxfId="6072"/>
    <tableColumn id="10319" xr3:uid="{21274B26-FC46-4AF0-9947-FD5DE940CC35}" name="10539" dataDxfId="6071"/>
    <tableColumn id="10320" xr3:uid="{29D0057E-56DB-4B71-8E2E-991B1DE7C2EA}" name="10540" dataDxfId="6070"/>
    <tableColumn id="10321" xr3:uid="{71462A32-9744-4D02-A859-06207BF19C38}" name="10541" dataDxfId="6069"/>
    <tableColumn id="10322" xr3:uid="{E35373BF-F08E-4F80-BA00-655C838CBCF6}" name="10542" dataDxfId="6068"/>
    <tableColumn id="10323" xr3:uid="{5EF8706A-3F4B-431F-ACF5-F71F0DA06174}" name="10543" dataDxfId="6067"/>
    <tableColumn id="10324" xr3:uid="{CF031A4D-BC2C-4781-9DD6-CFFFD213E008}" name="10544" dataDxfId="6066"/>
    <tableColumn id="10325" xr3:uid="{303B834C-1824-43DE-9724-EE01F96E486A}" name="10545" dataDxfId="6065"/>
    <tableColumn id="10326" xr3:uid="{E8293986-0B4F-4C09-8B47-7F02D4310877}" name="10546" dataDxfId="6064"/>
    <tableColumn id="10327" xr3:uid="{866F3713-B7E3-42DF-A49A-112FF0EE3FEA}" name="10547" dataDxfId="6063"/>
    <tableColumn id="10328" xr3:uid="{086C10E1-E62B-47C8-BBD9-4627C1526227}" name="10548" dataDxfId="6062"/>
    <tableColumn id="10329" xr3:uid="{8985BBFD-9E7F-4AA2-ABBC-403429EB1219}" name="10549" dataDxfId="6061"/>
    <tableColumn id="10330" xr3:uid="{6E1051E9-2E93-447E-93F4-9A601F758903}" name="10550" dataDxfId="6060"/>
    <tableColumn id="10331" xr3:uid="{0507687B-45E3-4434-B3C8-C6A5354E0B30}" name="10551" dataDxfId="6059"/>
    <tableColumn id="10332" xr3:uid="{1962E7C9-EAD7-4CC5-A15B-FED597C7AEAE}" name="10552" dataDxfId="6058"/>
    <tableColumn id="10333" xr3:uid="{3E0B1D32-B3A8-42F4-A0F6-DC5440DEA38C}" name="10553" dataDxfId="6057"/>
    <tableColumn id="10334" xr3:uid="{757A7F6A-AC74-49F0-BFC0-54F08618B936}" name="10554" dataDxfId="6056"/>
    <tableColumn id="10335" xr3:uid="{33E42A9F-18E5-450A-8628-395885371314}" name="10555" dataDxfId="6055"/>
    <tableColumn id="10336" xr3:uid="{8B81DB7B-36B3-42B5-B29D-58195F2F34CF}" name="10556" dataDxfId="6054"/>
    <tableColumn id="10337" xr3:uid="{88983DC3-44CD-44FE-9F1C-688514F68F13}" name="10557" dataDxfId="6053"/>
    <tableColumn id="10338" xr3:uid="{8C2C5890-2DD9-4736-9C09-2CBD5CF17260}" name="10558" dataDxfId="6052"/>
    <tableColumn id="10339" xr3:uid="{4941A7D1-CECC-4B3C-8648-5ADCC858A377}" name="10559" dataDxfId="6051"/>
    <tableColumn id="10340" xr3:uid="{2AF036EE-2092-49A5-B97D-F055FE12A964}" name="10560" dataDxfId="6050"/>
    <tableColumn id="10341" xr3:uid="{FAD76C26-6C9A-49E6-A241-C51708D30076}" name="10561" dataDxfId="6049"/>
    <tableColumn id="10342" xr3:uid="{791E025B-BC49-407E-B034-A6D4EC151FB6}" name="10562" dataDxfId="6048"/>
    <tableColumn id="10343" xr3:uid="{7B611F61-C62D-4251-87A6-C2A3B5506120}" name="10563" dataDxfId="6047"/>
    <tableColumn id="10344" xr3:uid="{3D6259FD-E101-4DCB-A637-01BDD4B8A46F}" name="10564" dataDxfId="6046"/>
    <tableColumn id="10345" xr3:uid="{5F487DB3-BAE5-41DF-940A-A097B280299D}" name="10565" dataDxfId="6045"/>
    <tableColumn id="10346" xr3:uid="{3B5806D6-9736-4F12-B104-723ABC102AAF}" name="10566" dataDxfId="6044"/>
    <tableColumn id="10347" xr3:uid="{912D09A4-90F1-43EC-9C01-682CAFFCB0BE}" name="10567" dataDxfId="6043"/>
    <tableColumn id="10348" xr3:uid="{FD0C0F3F-81A4-496D-92C0-DBA331A0AF19}" name="10568" dataDxfId="6042"/>
    <tableColumn id="10349" xr3:uid="{19C75E06-E4A8-4435-B330-B4ADEAACC5EC}" name="10569" dataDxfId="6041"/>
    <tableColumn id="10350" xr3:uid="{E2F7896F-B402-4096-826C-615F1B440C1F}" name="10570" dataDxfId="6040"/>
    <tableColumn id="10351" xr3:uid="{7034668F-593E-4509-89E1-327C76951A60}" name="10571" dataDxfId="6039"/>
    <tableColumn id="10352" xr3:uid="{2E856463-A48F-497C-ABED-2C928D8B8374}" name="10572" dataDxfId="6038"/>
    <tableColumn id="10353" xr3:uid="{0C8B8C4E-76E1-4AE1-9744-6D8A692061FF}" name="10573" dataDxfId="6037"/>
    <tableColumn id="10354" xr3:uid="{404D8DA7-21F2-4969-8396-E7DC44403386}" name="10574" dataDxfId="6036"/>
    <tableColumn id="10355" xr3:uid="{0DACE728-1120-4718-A939-B10DE4882BDC}" name="10575" dataDxfId="6035"/>
    <tableColumn id="10356" xr3:uid="{AEBA6259-EA32-4224-BB70-BA35599E436C}" name="10576" dataDxfId="6034"/>
    <tableColumn id="10357" xr3:uid="{0AD0C2DB-31F6-4D0D-B15D-03222756B98A}" name="10577" dataDxfId="6033"/>
    <tableColumn id="10358" xr3:uid="{B4952D50-F237-4299-9649-9A64FB1DF80D}" name="10578" dataDxfId="6032"/>
    <tableColumn id="10359" xr3:uid="{666F8829-4A16-4C87-BFB1-847025A467C0}" name="10579" dataDxfId="6031"/>
    <tableColumn id="10360" xr3:uid="{164FD9D7-2731-4308-8389-ED72C7037A55}" name="10580" dataDxfId="6030"/>
    <tableColumn id="10361" xr3:uid="{8DFAB63D-2E11-4D72-A86F-DC28ABEB44AB}" name="10581" dataDxfId="6029"/>
    <tableColumn id="10362" xr3:uid="{20FE94DB-D40B-4BAA-B1D0-42C8BBECAAC3}" name="10582" dataDxfId="6028"/>
    <tableColumn id="10363" xr3:uid="{658B13CC-A86C-4905-BE29-51A4650291C8}" name="10583" dataDxfId="6027"/>
    <tableColumn id="10364" xr3:uid="{6BDDC902-54BE-4351-9CEB-0BF5C11E7C38}" name="10584" dataDxfId="6026"/>
    <tableColumn id="10365" xr3:uid="{A74624D2-FFCB-4B56-B6A9-3167F03F02FD}" name="10585" dataDxfId="6025"/>
    <tableColumn id="10366" xr3:uid="{BA9EEDA0-7CB2-452E-A3B1-D5F122357D60}" name="10586" dataDxfId="6024"/>
    <tableColumn id="10367" xr3:uid="{055C09E7-E1A9-4FD6-BCCB-BC633F893BC6}" name="10587" dataDxfId="6023"/>
    <tableColumn id="10368" xr3:uid="{C8C3C647-06D5-4CBB-9DBA-4EEA939758A2}" name="10588" dataDxfId="6022"/>
    <tableColumn id="10369" xr3:uid="{225B874B-B292-45E3-8CE7-F09B873DD3EB}" name="10589" dataDxfId="6021"/>
    <tableColumn id="10370" xr3:uid="{129BF19C-EAB4-4AEC-AF62-4286729D2547}" name="10590" dataDxfId="6020"/>
    <tableColumn id="10371" xr3:uid="{7E12DFED-4C38-4EC4-88C0-C1D76BDB7DC5}" name="10591" dataDxfId="6019"/>
    <tableColumn id="10372" xr3:uid="{D75A2279-99E3-4961-8898-A6E99D1990DD}" name="10592" dataDxfId="6018"/>
    <tableColumn id="10373" xr3:uid="{D63733A5-2A6F-4D51-9DC1-6199143C5680}" name="10593" dataDxfId="6017"/>
    <tableColumn id="10374" xr3:uid="{575E969D-40A3-44CD-ABA3-CB49266724F1}" name="10594" dataDxfId="6016"/>
    <tableColumn id="10375" xr3:uid="{233E5D16-6E63-4AA3-A413-DEB2A3F4A077}" name="10595" dataDxfId="6015"/>
    <tableColumn id="10376" xr3:uid="{D7C5F9FE-4397-40C0-9B4F-17466769C649}" name="10596" dataDxfId="6014"/>
    <tableColumn id="10377" xr3:uid="{C1A560CE-A339-4DBF-96A9-0514BDABB2BF}" name="10597" dataDxfId="6013"/>
    <tableColumn id="10378" xr3:uid="{9B249348-485D-4118-959A-4564FD174DD0}" name="10598" dataDxfId="6012"/>
    <tableColumn id="10379" xr3:uid="{45BAE070-89DC-48CA-BE7F-D19D0245BD0D}" name="10599" dataDxfId="6011"/>
    <tableColumn id="10380" xr3:uid="{78ED12A1-6A5A-421D-9C5D-369B0C253BF7}" name="10600" dataDxfId="6010"/>
    <tableColumn id="10381" xr3:uid="{2998F064-3208-442D-A98C-E016EA78B3FE}" name="10601" dataDxfId="6009"/>
    <tableColumn id="10382" xr3:uid="{3D69CACD-A7DD-458D-B256-9515981E4F34}" name="10602" dataDxfId="6008"/>
    <tableColumn id="10383" xr3:uid="{55ED1836-B211-41A6-B046-BA68BEDC5E69}" name="10603" dataDxfId="6007"/>
    <tableColumn id="10384" xr3:uid="{DA470B1F-8137-4DD4-BDCB-F80A73E56C66}" name="10604" dataDxfId="6006"/>
    <tableColumn id="10385" xr3:uid="{59C4527D-8B78-4BCB-9EA9-E0F20C6CC978}" name="10605" dataDxfId="6005"/>
    <tableColumn id="10386" xr3:uid="{06798685-0BBA-4F62-8ECF-AD2E91E56EE8}" name="10606" dataDxfId="6004"/>
    <tableColumn id="10387" xr3:uid="{D694A5C8-8DD2-4A58-A888-0A383574B520}" name="10607" dataDxfId="6003"/>
    <tableColumn id="10388" xr3:uid="{8BA513C4-B3CB-4F1A-907B-53FFCE1CDD2B}" name="10608" dataDxfId="6002"/>
    <tableColumn id="10389" xr3:uid="{F55E22B6-1FCE-486C-B0CA-CC61BCD46AC4}" name="10609" dataDxfId="6001"/>
    <tableColumn id="10390" xr3:uid="{99E18800-D4AC-4601-8ADB-FCFA28F56455}" name="10610" dataDxfId="6000"/>
    <tableColumn id="10391" xr3:uid="{7FA24B14-8148-4A88-B325-C23BC8278707}" name="10611" dataDxfId="5999"/>
    <tableColumn id="10392" xr3:uid="{5267C560-509A-4310-9058-C0AFD0F7CE76}" name="10612" dataDxfId="5998"/>
    <tableColumn id="10393" xr3:uid="{0CB28202-BE83-4CE2-8551-FEF7DB44A325}" name="10613" dataDxfId="5997"/>
    <tableColumn id="10394" xr3:uid="{BCA94C3D-5172-4E35-BE4D-6DEAFEA22790}" name="10614" dataDxfId="5996"/>
    <tableColumn id="10395" xr3:uid="{389FA2A8-016F-4B8B-8D9A-7FA14EE4DD12}" name="10615" dataDxfId="5995"/>
    <tableColumn id="10396" xr3:uid="{0B9923A8-3992-4A47-A377-D7996515AE4C}" name="10616" dataDxfId="5994"/>
    <tableColumn id="10397" xr3:uid="{795352B8-C394-47AA-ABF0-CD82781EB1B2}" name="10617" dataDxfId="5993"/>
    <tableColumn id="10398" xr3:uid="{98BE2372-CEE2-48FE-B1B9-3F3EA342C7C4}" name="10618" dataDxfId="5992"/>
    <tableColumn id="10399" xr3:uid="{CF4055C9-BAAB-48FC-AEAA-8D89B52D1C83}" name="10619" dataDxfId="5991"/>
    <tableColumn id="10400" xr3:uid="{B27146CB-D287-4433-BF28-774FE01F5104}" name="10620" dataDxfId="5990"/>
    <tableColumn id="10401" xr3:uid="{7BB7D6FA-B394-4E53-B5D3-A02311F91B27}" name="10621" dataDxfId="5989"/>
    <tableColumn id="10402" xr3:uid="{E908E30F-C4E3-443B-A579-3B87861B6C70}" name="10622" dataDxfId="5988"/>
    <tableColumn id="10403" xr3:uid="{69DB4FE3-45ED-4AD4-991B-6D22BEB31C59}" name="10623" dataDxfId="5987"/>
    <tableColumn id="10404" xr3:uid="{8CFFD3D6-4BF7-4326-94EB-30F1596CB39C}" name="10624" dataDxfId="5986"/>
    <tableColumn id="10405" xr3:uid="{61F03C9F-714B-4A96-AC50-6B6CA50F924F}" name="10625" dataDxfId="5985"/>
    <tableColumn id="10406" xr3:uid="{0D22F9E7-14B2-4012-AB0A-0C5CE0FBAA24}" name="10626" dataDxfId="5984"/>
    <tableColumn id="10407" xr3:uid="{4A45852C-D43D-4A22-B0C2-A9ACCDB016BB}" name="10627" dataDxfId="5983"/>
    <tableColumn id="10408" xr3:uid="{5163DCB7-E627-4A65-86ED-5A89385F4A5F}" name="10628" dataDxfId="5982"/>
    <tableColumn id="10409" xr3:uid="{D57C588E-9425-4678-9234-D8599F7A0E7A}" name="10629" dataDxfId="5981"/>
    <tableColumn id="10410" xr3:uid="{DD8ED7BB-7534-4E18-A188-2331130B2058}" name="10630" dataDxfId="5980"/>
    <tableColumn id="10411" xr3:uid="{B65FBE87-ABE8-41C0-A772-8F71CE91A899}" name="10631" dataDxfId="5979"/>
    <tableColumn id="10412" xr3:uid="{37C5E9CB-3F13-4C1B-8356-A27D7C349C29}" name="10632" dataDxfId="5978"/>
    <tableColumn id="10413" xr3:uid="{3364C666-F067-48D4-B0EB-0A4C74C6AE3E}" name="10633" dataDxfId="5977"/>
    <tableColumn id="10414" xr3:uid="{B4399F16-9360-423F-AFAE-F039E8BCA90F}" name="10634" dataDxfId="5976"/>
    <tableColumn id="10415" xr3:uid="{42BAB5A7-1631-4407-8EF8-26F204E5B927}" name="10635" dataDxfId="5975"/>
    <tableColumn id="10416" xr3:uid="{B064CEC4-1E3C-496E-92EF-3438499E21DD}" name="10636" dataDxfId="5974"/>
    <tableColumn id="10417" xr3:uid="{2FCE115B-1118-43A1-AEFB-44295EDCB668}" name="10637" dataDxfId="5973"/>
    <tableColumn id="10418" xr3:uid="{C6BF7FCD-99EB-4209-B7C7-B80AD8DF39E1}" name="10638" dataDxfId="5972"/>
    <tableColumn id="10419" xr3:uid="{A2B74BC9-C546-4D3C-A47B-33EC8296B924}" name="10639" dataDxfId="5971"/>
    <tableColumn id="10420" xr3:uid="{D7849D83-AC28-4095-8DF9-69F9DE5CE55F}" name="10640" dataDxfId="5970"/>
    <tableColumn id="10421" xr3:uid="{FCBEBD92-D97F-4B30-A73B-1312126B8998}" name="10641" dataDxfId="5969"/>
    <tableColumn id="10422" xr3:uid="{745AAB6E-8EFC-4651-8829-07B41F22FB79}" name="10642" dataDxfId="5968"/>
    <tableColumn id="10423" xr3:uid="{87A3091C-6F7E-4992-B286-DCA16D8F7A36}" name="10643" dataDxfId="5967"/>
    <tableColumn id="10424" xr3:uid="{04F00F66-513F-4EC1-9DE3-398D79662608}" name="10644" dataDxfId="5966"/>
    <tableColumn id="10425" xr3:uid="{9F8470B5-44A5-4C8C-A830-7F89743547BF}" name="10645" dataDxfId="5965"/>
    <tableColumn id="10426" xr3:uid="{5EEC33AB-CB58-4C0F-9290-1C17BE4A15A3}" name="10646" dataDxfId="5964"/>
    <tableColumn id="10427" xr3:uid="{4A066A80-3A22-4D86-A5B8-7E9E670723F3}" name="10647" dataDxfId="5963"/>
    <tableColumn id="10428" xr3:uid="{3FE91C62-9E5C-443C-80C8-F53777526C57}" name="10648" dataDxfId="5962"/>
    <tableColumn id="10429" xr3:uid="{3EDF7150-37A4-44AB-85AD-A40B5E5672F8}" name="10649" dataDxfId="5961"/>
    <tableColumn id="10430" xr3:uid="{F4185C42-8039-4DAE-AB03-A2115417E9B5}" name="10650" dataDxfId="5960"/>
    <tableColumn id="10431" xr3:uid="{68F04219-DA33-4CEF-BBF2-10770C445F23}" name="10651" dataDxfId="5959"/>
    <tableColumn id="10432" xr3:uid="{061D9E36-E00F-41FF-8CC1-4287F8B17DA3}" name="10652" dataDxfId="5958"/>
    <tableColumn id="10433" xr3:uid="{6EF899B1-CE69-48DD-9FA9-C76EEB779AA7}" name="10653" dataDxfId="5957"/>
    <tableColumn id="10434" xr3:uid="{F16DF3E7-122F-4BDD-BFB6-619DD6195765}" name="10654" dataDxfId="5956"/>
    <tableColumn id="10435" xr3:uid="{ACC8AF06-21F2-41DA-A446-D2ACA84E7688}" name="10655" dataDxfId="5955"/>
    <tableColumn id="10436" xr3:uid="{99131076-87E7-4BE2-A78A-6C552987F640}" name="10656" dataDxfId="5954"/>
    <tableColumn id="10437" xr3:uid="{BB913B1A-2B77-4A84-9ECE-2807D061DBBE}" name="10657" dataDxfId="5953"/>
    <tableColumn id="10438" xr3:uid="{25DC26CE-ADA7-4827-9638-038D4E7F3769}" name="10658" dataDxfId="5952"/>
    <tableColumn id="10439" xr3:uid="{6F6B54D6-1E78-4573-9D13-F2164F8C2892}" name="10659" dataDxfId="5951"/>
    <tableColumn id="10440" xr3:uid="{51F25EDE-7371-47AC-8E30-7291E6327108}" name="10660" dataDxfId="5950"/>
    <tableColumn id="10441" xr3:uid="{CFAB926D-8EA0-486C-8468-5041915CE3B4}" name="10661" dataDxfId="5949"/>
    <tableColumn id="10442" xr3:uid="{FFCBF7D1-F212-44C1-9EDD-2F2522A531CD}" name="10662" dataDxfId="5948"/>
    <tableColumn id="10443" xr3:uid="{28980617-45F8-42B2-9AE6-C66C894D46DC}" name="10663" dataDxfId="5947"/>
    <tableColumn id="10444" xr3:uid="{F1CD4425-EB34-4655-9211-BD38DC92091B}" name="10664" dataDxfId="5946"/>
    <tableColumn id="10445" xr3:uid="{A8C44D40-4C2B-4CFF-9933-2BD4B70B366B}" name="10665" dataDxfId="5945"/>
    <tableColumn id="10446" xr3:uid="{47019141-0E70-4BFB-9F96-4E32EDD353E2}" name="10666" dataDxfId="5944"/>
    <tableColumn id="10447" xr3:uid="{3011CDCC-359E-485E-B669-04D88976E2C5}" name="10667" dataDxfId="5943"/>
    <tableColumn id="10448" xr3:uid="{B6EC530E-B121-476D-8417-8CB4E8D0EF00}" name="10668" dataDxfId="5942"/>
    <tableColumn id="10449" xr3:uid="{9998C8E7-C874-4340-8F88-8CBAC05B2A05}" name="10669" dataDxfId="5941"/>
    <tableColumn id="10450" xr3:uid="{B34D119A-C499-46C8-934C-3D76DB2354EF}" name="10670" dataDxfId="5940"/>
    <tableColumn id="10451" xr3:uid="{E077F630-ECCB-4C04-B0A0-7BD3550CB017}" name="10671" dataDxfId="5939"/>
    <tableColumn id="10452" xr3:uid="{0A1C5471-12FA-4FAA-9835-E60FD8F1731B}" name="10672" dataDxfId="5938"/>
    <tableColumn id="10453" xr3:uid="{ABF353BB-0F1A-48DB-9BB7-BB24661CE8A9}" name="10673" dataDxfId="5937"/>
    <tableColumn id="10454" xr3:uid="{9147BF11-F631-4B70-A7B0-2476857265D7}" name="10674" dataDxfId="5936"/>
    <tableColumn id="10455" xr3:uid="{47534536-D76D-443B-929B-0EE6A287DB8D}" name="10675" dataDxfId="5935"/>
    <tableColumn id="10456" xr3:uid="{0B7C9351-28F5-433B-8993-4C35D7A06312}" name="10676" dataDxfId="5934"/>
    <tableColumn id="10457" xr3:uid="{8783B6BE-5FFD-4469-95B6-3100357DD8C3}" name="10677" dataDxfId="5933"/>
    <tableColumn id="10458" xr3:uid="{58B8F8EC-60F4-407C-83A3-FA4436D11D97}" name="10678" dataDxfId="5932"/>
    <tableColumn id="10459" xr3:uid="{ABBADDA5-4C9C-42AC-8605-E66966016C32}" name="10679" dataDxfId="5931"/>
    <tableColumn id="10460" xr3:uid="{EA042D80-DE96-422A-BDC4-2F8C15D85E35}" name="10680" dataDxfId="5930"/>
    <tableColumn id="10461" xr3:uid="{27C2CF68-EBD4-4AA2-90C4-4088B5DECE5A}" name="10681" dataDxfId="5929"/>
    <tableColumn id="10462" xr3:uid="{0A376D9B-6EA5-4F18-AB8E-33325E0EEA9E}" name="10682" dataDxfId="5928"/>
    <tableColumn id="10463" xr3:uid="{AF456718-A3F7-4129-92F4-634DF1240267}" name="10683" dataDxfId="5927"/>
    <tableColumn id="10464" xr3:uid="{9DD96230-F3F9-4444-88A5-BEA31885C0D4}" name="10684" dataDxfId="5926"/>
    <tableColumn id="10465" xr3:uid="{C0F192BF-6C85-40AC-9CF1-BB4C5DA259F0}" name="10685" dataDxfId="5925"/>
    <tableColumn id="10466" xr3:uid="{B7E7FE1E-FF75-4AF0-AEDE-BB8D54CF1CD9}" name="10686" dataDxfId="5924"/>
    <tableColumn id="10467" xr3:uid="{20935EBB-0533-42CF-B6A3-229965309204}" name="10687" dataDxfId="5923"/>
    <tableColumn id="10468" xr3:uid="{5E8FACCC-F4F5-4008-B522-A5DA536E9BA8}" name="10688" dataDxfId="5922"/>
    <tableColumn id="10469" xr3:uid="{D2FF88C3-E186-4E50-81FA-A98A46B2B2D7}" name="10689" dataDxfId="5921"/>
    <tableColumn id="10470" xr3:uid="{AA514362-BC71-479D-A839-E9F0C99F1A96}" name="10690" dataDxfId="5920"/>
    <tableColumn id="10471" xr3:uid="{7F2B043A-A2EB-4FD1-A0F7-5EAF6E7CEBAB}" name="10691" dataDxfId="5919"/>
    <tableColumn id="10472" xr3:uid="{1FAB21DD-7B97-44DA-B837-2C53A5264009}" name="10692" dataDxfId="5918"/>
    <tableColumn id="10473" xr3:uid="{7AC1EC2D-49C9-4E36-AB62-222B563DC7B8}" name="10693" dataDxfId="5917"/>
    <tableColumn id="10474" xr3:uid="{013D3A3C-0193-4EE2-878A-1809894B361E}" name="10694" dataDxfId="5916"/>
    <tableColumn id="10475" xr3:uid="{73D027A4-60E2-4466-A286-41004539A995}" name="10695" dataDxfId="5915"/>
    <tableColumn id="10476" xr3:uid="{5DAB59E6-5AF4-4E73-A917-3F605738312D}" name="10696" dataDxfId="5914"/>
    <tableColumn id="10477" xr3:uid="{1C08D767-CD1F-438A-8DBB-37441AB24747}" name="10697" dataDxfId="5913"/>
    <tableColumn id="10478" xr3:uid="{072025DF-DA0F-4A15-959C-E40CFA6F9B21}" name="10698" dataDxfId="5912"/>
    <tableColumn id="10479" xr3:uid="{ABC2E310-EF41-4480-ACE2-713FB1230E2A}" name="10699" dataDxfId="5911"/>
    <tableColumn id="10480" xr3:uid="{38462117-4F1D-49CD-8B79-FA2F128838F7}" name="10700" dataDxfId="5910"/>
    <tableColumn id="10481" xr3:uid="{3A17BE31-0C05-45B4-997F-234C2FF7EF44}" name="10701" dataDxfId="5909"/>
    <tableColumn id="10482" xr3:uid="{9ADBCD3D-4667-463A-88F0-83B778BE3FE6}" name="10702" dataDxfId="5908"/>
    <tableColumn id="10483" xr3:uid="{DCC2B318-C372-492B-BD55-922BEB912C76}" name="10703" dataDxfId="5907"/>
    <tableColumn id="10484" xr3:uid="{F9C56FC3-C886-4FF5-972F-81E9E004A963}" name="10704" dataDxfId="5906"/>
    <tableColumn id="10485" xr3:uid="{42B4E07C-9B9C-43E7-9090-6EBE5B0A0FD6}" name="10705" dataDxfId="5905"/>
    <tableColumn id="10486" xr3:uid="{25AC009E-BF1C-4A7B-A933-AF6062E8B39C}" name="10706" dataDxfId="5904"/>
    <tableColumn id="10487" xr3:uid="{5066C652-5EB8-4549-824D-74161A0B2DDD}" name="10707" dataDxfId="5903"/>
    <tableColumn id="10488" xr3:uid="{786F16B3-54E0-4871-B3A4-0234238F71C1}" name="10708" dataDxfId="5902"/>
    <tableColumn id="10489" xr3:uid="{E9172F8F-2632-4249-82AA-163730BFA2BC}" name="10709" dataDxfId="5901"/>
    <tableColumn id="10490" xr3:uid="{B3C7B946-701D-4613-B612-A7FBDE733919}" name="10710" dataDxfId="5900"/>
    <tableColumn id="10491" xr3:uid="{71C32B7C-060D-493E-B103-950A52A3D1CD}" name="10711" dataDxfId="5899"/>
    <tableColumn id="10492" xr3:uid="{97E6866A-5483-414D-B5F9-7FAF08FACE72}" name="10712" dataDxfId="5898"/>
    <tableColumn id="10493" xr3:uid="{03730D3D-5DF7-4A93-AF5A-EA8DEACD67D8}" name="10713" dataDxfId="5897"/>
    <tableColumn id="10494" xr3:uid="{E33AB8C8-FD60-4E47-8C19-656885361756}" name="10714" dataDxfId="5896"/>
    <tableColumn id="10495" xr3:uid="{721DA39D-AEC9-4350-AA58-7C93894EA732}" name="10715" dataDxfId="5895"/>
    <tableColumn id="10496" xr3:uid="{BE1C2F4D-F84F-48D9-9BFB-51B5AD26CEA2}" name="10716" dataDxfId="5894"/>
    <tableColumn id="10497" xr3:uid="{37362EE0-EF5C-48BF-960B-0FC288ED462C}" name="10717" dataDxfId="5893"/>
    <tableColumn id="10498" xr3:uid="{84FC4781-98E6-42CF-A06C-9685379655F7}" name="10718" dataDxfId="5892"/>
    <tableColumn id="10499" xr3:uid="{E6B36E78-189F-41E9-8F97-33FBE4233E24}" name="10719" dataDxfId="5891"/>
    <tableColumn id="10500" xr3:uid="{C4A0752E-5EA4-4235-A69F-A87AD4094E10}" name="10720" dataDxfId="5890"/>
    <tableColumn id="10501" xr3:uid="{9CFE05C6-23B7-4251-A274-4EA8B7DB7EFA}" name="10721" dataDxfId="5889"/>
    <tableColumn id="10502" xr3:uid="{FAD93120-CFD4-46F2-A390-F85917B585F8}" name="10722" dataDxfId="5888"/>
    <tableColumn id="10503" xr3:uid="{74FDC248-3825-40AE-90B2-6A5658DA1D32}" name="10723" dataDxfId="5887"/>
    <tableColumn id="10504" xr3:uid="{6E01D676-C305-444C-B9A2-4E6BA488D3D6}" name="10724" dataDxfId="5886"/>
    <tableColumn id="10505" xr3:uid="{D44A1221-557A-4A09-AE89-4F8A0F4973B4}" name="10725" dataDxfId="5885"/>
    <tableColumn id="10506" xr3:uid="{61680145-ED2C-42A4-8958-53FA37B637AD}" name="10726" dataDxfId="5884"/>
    <tableColumn id="10507" xr3:uid="{5994E7D9-39DB-4BF9-9992-F45DE9421D2E}" name="10727" dataDxfId="5883"/>
    <tableColumn id="10508" xr3:uid="{8FA6C057-845A-42B2-A095-D87382625847}" name="10728" dataDxfId="5882"/>
    <tableColumn id="10509" xr3:uid="{7D97724E-F701-4D36-BA7A-A0C900E86DDD}" name="10729" dataDxfId="5881"/>
    <tableColumn id="10510" xr3:uid="{89468862-A8C7-464E-9439-B01FB2864929}" name="10730" dataDxfId="5880"/>
    <tableColumn id="10511" xr3:uid="{59AE29B4-099A-4E5A-8EE9-6A6940C3437D}" name="10731" dataDxfId="5879"/>
    <tableColumn id="10512" xr3:uid="{C6545E47-8E9C-4B4C-BD37-612D34293B1D}" name="10732" dataDxfId="5878"/>
    <tableColumn id="10513" xr3:uid="{74B90E72-7FA5-4A4A-AD4B-40190DEAD9B7}" name="10733" dataDxfId="5877"/>
    <tableColumn id="10514" xr3:uid="{22156AEF-66BD-43A5-8343-C5489A7B81FE}" name="10734" dataDxfId="5876"/>
    <tableColumn id="10515" xr3:uid="{5369E0FD-CE72-4D3D-997F-3EEA07F765A7}" name="10735" dataDxfId="5875"/>
    <tableColumn id="10516" xr3:uid="{5220C090-447D-4418-A929-79882E6E9733}" name="10736" dataDxfId="5874"/>
    <tableColumn id="10517" xr3:uid="{84D0A109-7503-4E66-A241-884733DE0FCF}" name="10737" dataDxfId="5873"/>
    <tableColumn id="10518" xr3:uid="{4E254215-71CB-49EC-83D9-B812B4BD4D6F}" name="10738" dataDxfId="5872"/>
    <tableColumn id="10519" xr3:uid="{6517A66C-026A-47BE-89C0-62150C18A1A7}" name="10739" dataDxfId="5871"/>
    <tableColumn id="10520" xr3:uid="{FD7F0AE3-7D11-46BA-9A50-E7D008DC6BF7}" name="10740" dataDxfId="5870"/>
    <tableColumn id="10521" xr3:uid="{B4FC3077-6C7B-48F8-8799-6BE6581B5D60}" name="10741" dataDxfId="5869"/>
    <tableColumn id="10522" xr3:uid="{949E039D-7DCF-4478-92F7-D9D27FCC6F42}" name="10742" dataDxfId="5868"/>
    <tableColumn id="10523" xr3:uid="{71F26205-3CF3-4D7D-82F1-30FF17EB3B2D}" name="10743" dataDxfId="5867"/>
    <tableColumn id="10524" xr3:uid="{F201755A-0D57-4ADD-A76B-17B306EEB7D6}" name="10744" dataDxfId="5866"/>
    <tableColumn id="10525" xr3:uid="{C7355F58-2B02-44DD-81D7-D004D729C801}" name="10745" dataDxfId="5865"/>
    <tableColumn id="10526" xr3:uid="{BDF9902E-E616-498B-9D1A-D666BD35F04E}" name="10746" dataDxfId="5864"/>
    <tableColumn id="10527" xr3:uid="{E0C5DCD7-5723-463F-9D3E-EF311B97B640}" name="10747" dataDxfId="5863"/>
    <tableColumn id="10528" xr3:uid="{3FB3DD2D-1282-4C55-9A50-4894D478B31E}" name="10748" dataDxfId="5862"/>
    <tableColumn id="10529" xr3:uid="{B7D9CC2F-43B0-45A0-86F2-C6C831845FE0}" name="10749" dataDxfId="5861"/>
    <tableColumn id="10530" xr3:uid="{60511107-FD80-4EF9-B025-0F9521B4AB94}" name="10750" dataDxfId="5860"/>
    <tableColumn id="10531" xr3:uid="{914F693F-1CAF-48B5-AACA-DA2188F459CD}" name="10751" dataDxfId="5859"/>
    <tableColumn id="10532" xr3:uid="{D277D28A-40AE-4300-BE8A-E6BB8019E310}" name="10752" dataDxfId="5858"/>
    <tableColumn id="10533" xr3:uid="{1E93A6F2-7A79-456E-9A5A-BF7476E9FC1B}" name="10753" dataDxfId="5857"/>
    <tableColumn id="10534" xr3:uid="{8010B07B-35B5-4F12-B085-A08F4B1D12C3}" name="10754" dataDxfId="5856"/>
    <tableColumn id="10535" xr3:uid="{47FF157A-C3E8-43C9-AFC6-D48F2BEFE37F}" name="10755" dataDxfId="5855"/>
    <tableColumn id="10536" xr3:uid="{11170F13-5072-4C4E-BB5A-CA06D6BF03EA}" name="10756" dataDxfId="5854"/>
    <tableColumn id="10537" xr3:uid="{9644BA49-8116-4FF9-AB95-AEB1E16F3173}" name="10757" dataDxfId="5853"/>
    <tableColumn id="10538" xr3:uid="{357225E0-80AC-4293-B87D-5A39583C3C54}" name="10758" dataDxfId="5852"/>
    <tableColumn id="10539" xr3:uid="{94452B4B-7CE0-49F8-A455-B103F9D25DD6}" name="10759" dataDxfId="5851"/>
    <tableColumn id="10540" xr3:uid="{93FB7FF0-2A5B-410B-ABD1-D4B1DB641A04}" name="10760" dataDxfId="5850"/>
    <tableColumn id="10541" xr3:uid="{2B48510E-3F44-49FC-B1E8-4DC8EF023899}" name="10761" dataDxfId="5849"/>
    <tableColumn id="10542" xr3:uid="{4E174980-CB40-4459-B6FB-DF404D5B12ED}" name="10762" dataDxfId="5848"/>
    <tableColumn id="10543" xr3:uid="{FC4310E1-0306-435E-B4F8-1427835CC95B}" name="10763" dataDxfId="5847"/>
    <tableColumn id="10544" xr3:uid="{9476625C-09CE-4ECE-A64E-FA155EB1C09C}" name="10764" dataDxfId="5846"/>
    <tableColumn id="10545" xr3:uid="{309FCCF8-31D9-4BA7-9697-F86F9B33F408}" name="10765" dataDxfId="5845"/>
    <tableColumn id="10546" xr3:uid="{A53AF12E-DA0D-4094-BB83-1C289CABEB1B}" name="10766" dataDxfId="5844"/>
    <tableColumn id="10547" xr3:uid="{4482277C-B51F-4914-A9B3-5CBEA211061A}" name="10767" dataDxfId="5843"/>
    <tableColumn id="10548" xr3:uid="{BEC61700-07B2-4850-852F-D221CB33E0F9}" name="10768" dataDxfId="5842"/>
    <tableColumn id="10549" xr3:uid="{56581958-1EC9-4945-B5FE-2CD2C2C03EBB}" name="10769" dataDxfId="5841"/>
    <tableColumn id="10550" xr3:uid="{64A168E8-884D-4B93-934B-D38AF1F40CFA}" name="10770" dataDxfId="5840"/>
    <tableColumn id="10551" xr3:uid="{6F1DAC0F-2684-4CE5-9476-3D0CED590EAD}" name="10771" dataDxfId="5839"/>
    <tableColumn id="10552" xr3:uid="{EB5EDC3E-229B-4C1A-9527-1B7089BE2783}" name="10772" dataDxfId="5838"/>
    <tableColumn id="10553" xr3:uid="{D6012A7B-0824-4BD5-84BC-129710539439}" name="10773" dataDxfId="5837"/>
    <tableColumn id="10554" xr3:uid="{C2C41DDC-381E-4C38-BE36-D275F4C2D444}" name="10774" dataDxfId="5836"/>
    <tableColumn id="10555" xr3:uid="{B8D894D5-54F7-446F-B05C-9F7A252118BC}" name="10775" dataDxfId="5835"/>
    <tableColumn id="10556" xr3:uid="{DA5836A5-52A0-406F-8EE3-EFAF8C2D1680}" name="10776" dataDxfId="5834"/>
    <tableColumn id="10557" xr3:uid="{A93EF51C-449B-4AFC-B508-A03BE91FDF46}" name="10777" dataDxfId="5833"/>
    <tableColumn id="10558" xr3:uid="{29DCC773-E402-4A25-B5F0-3156DCA957F7}" name="10778" dataDxfId="5832"/>
    <tableColumn id="10559" xr3:uid="{90661F9D-F21B-46BF-98D0-AE59B4A30F81}" name="10779" dataDxfId="5831"/>
    <tableColumn id="10560" xr3:uid="{E660BA29-476B-4620-9924-5B7A6BE6D53D}" name="10780" dataDxfId="5830"/>
    <tableColumn id="10561" xr3:uid="{37834326-0BD4-4CAB-B521-FC56115E34FC}" name="10781" dataDxfId="5829"/>
    <tableColumn id="10562" xr3:uid="{043C302E-0411-4C5C-A6A7-356DC1E08A7A}" name="10782" dataDxfId="5828"/>
    <tableColumn id="10563" xr3:uid="{A4C2B9BF-5730-41A2-A914-B389F65F4B03}" name="10783" dataDxfId="5827"/>
    <tableColumn id="10564" xr3:uid="{19E8ADCA-B632-4451-8070-013B69EADA3B}" name="10784" dataDxfId="5826"/>
    <tableColumn id="10565" xr3:uid="{02F129C5-05E8-4794-8AFF-46FE6393C14D}" name="10785" dataDxfId="5825"/>
    <tableColumn id="10566" xr3:uid="{FD7359E7-9DA4-4BCC-A61B-870C32D9CEBA}" name="10786" dataDxfId="5824"/>
    <tableColumn id="10567" xr3:uid="{92E2A176-4B45-4EE2-9A45-A9E97E575777}" name="10787" dataDxfId="5823"/>
    <tableColumn id="10568" xr3:uid="{18942F9D-DD05-435B-ACC6-7B8149CC213E}" name="10788" dataDxfId="5822"/>
    <tableColumn id="10569" xr3:uid="{F964CAB8-CAAA-49D9-9CFC-F094782AB989}" name="10789" dataDxfId="5821"/>
    <tableColumn id="10570" xr3:uid="{3377C315-41F3-4496-9660-D462A546B2F6}" name="10790" dataDxfId="5820"/>
    <tableColumn id="10571" xr3:uid="{F2A48B16-44D1-46B4-AC03-41AE6BB3E4E7}" name="10791" dataDxfId="5819"/>
    <tableColumn id="10572" xr3:uid="{FB98AA2E-0FA8-4FEA-92D6-93C7038BF540}" name="10792" dataDxfId="5818"/>
    <tableColumn id="10573" xr3:uid="{E500B0E3-D6D2-40EA-B09A-1A15CE74FB8D}" name="10793" dataDxfId="5817"/>
    <tableColumn id="10574" xr3:uid="{00146C08-7C37-4887-AD28-E82805714CEA}" name="10794" dataDxfId="5816"/>
    <tableColumn id="10575" xr3:uid="{11358E49-494D-4208-911E-3644AAD730A2}" name="10795" dataDxfId="5815"/>
    <tableColumn id="10576" xr3:uid="{A20AE4CA-748C-4BB3-8A6D-754E7AB7A525}" name="10796" dataDxfId="5814"/>
    <tableColumn id="10577" xr3:uid="{0FE41878-D274-436E-8150-3CF55B614994}" name="10797" dataDxfId="5813"/>
    <tableColumn id="10578" xr3:uid="{D6C1321D-4892-458F-B53F-06EA11504C39}" name="10798" dataDxfId="5812"/>
    <tableColumn id="10579" xr3:uid="{51E2B606-2F8A-4368-ABD4-1E1CE28F3CEF}" name="10799" dataDxfId="5811"/>
    <tableColumn id="10580" xr3:uid="{5FD00AB7-FB75-4C29-8CB8-5ED5816DBACD}" name="10800" dataDxfId="5810"/>
    <tableColumn id="10581" xr3:uid="{B2E709FF-3E7D-4E2E-8693-EA75857F40B0}" name="10801" dataDxfId="5809"/>
    <tableColumn id="10582" xr3:uid="{B5564FFD-AF40-4A63-9045-4ED5D799E6FB}" name="10802" dataDxfId="5808"/>
    <tableColumn id="10583" xr3:uid="{E677AC37-24FC-4489-B8C5-587BCC2F1977}" name="10803" dataDxfId="5807"/>
    <tableColumn id="10584" xr3:uid="{0CE6596D-A183-4D20-8CCE-11C8F32A2148}" name="10804" dataDxfId="5806"/>
    <tableColumn id="10585" xr3:uid="{E8DD938E-1503-42F6-BA10-23EDB158F337}" name="10805" dataDxfId="5805"/>
    <tableColumn id="10586" xr3:uid="{7E4CBDFC-D939-4AD9-ADA7-219907730967}" name="10806" dataDxfId="5804"/>
    <tableColumn id="10587" xr3:uid="{8C7070B1-251C-4412-B6FB-9823B85E245A}" name="10807" dataDxfId="5803"/>
    <tableColumn id="10588" xr3:uid="{C5E1060E-F063-4946-90FF-E4BCB6C7CAC8}" name="10808" dataDxfId="5802"/>
    <tableColumn id="10589" xr3:uid="{1906B96A-A7AC-4422-AFE5-99687EE37C50}" name="10809" dataDxfId="5801"/>
    <tableColumn id="10590" xr3:uid="{E96B2136-F5FD-47BA-9923-2A41A0AF1F38}" name="10810" dataDxfId="5800"/>
    <tableColumn id="10591" xr3:uid="{A9582E3C-FDBE-4AD8-BECE-79E0389E31CF}" name="10811" dataDxfId="5799"/>
    <tableColumn id="10592" xr3:uid="{2CC84D76-240A-4A2C-B27B-5D6CBC6F3602}" name="10812" dataDxfId="5798"/>
    <tableColumn id="10593" xr3:uid="{BD9FE78A-97B3-40CC-A11A-1F67F7E12C77}" name="10813" dataDxfId="5797"/>
    <tableColumn id="10594" xr3:uid="{0CEB1175-161D-412D-8620-ACE156F9439C}" name="10814" dataDxfId="5796"/>
    <tableColumn id="10595" xr3:uid="{3ED41633-CAA9-49D9-9958-E90CB3AB0567}" name="10815" dataDxfId="5795"/>
    <tableColumn id="10596" xr3:uid="{822C8FAE-3BFD-4D6A-949F-07790B7E293D}" name="10816" dataDxfId="5794"/>
    <tableColumn id="10597" xr3:uid="{B982DDD1-175F-49BD-BDDC-BC2E7B4ACFDB}" name="10817" dataDxfId="5793"/>
    <tableColumn id="10598" xr3:uid="{B315FE79-B95A-4EE1-8D5B-221B5C3AC747}" name="10818" dataDxfId="5792"/>
    <tableColumn id="10599" xr3:uid="{7F904E18-827F-4F4C-A9DD-B6E88E1982B8}" name="10819" dataDxfId="5791"/>
    <tableColumn id="10600" xr3:uid="{899EBCCA-DF05-4B81-B1C0-C0652220CE7C}" name="10820" dataDxfId="5790"/>
    <tableColumn id="10601" xr3:uid="{43F052CD-C93B-4AA3-9EA3-8698064EDA33}" name="10821" dataDxfId="5789"/>
    <tableColumn id="10602" xr3:uid="{F76E2652-8AF3-49C8-B0E4-7F56D0DA3B73}" name="10822" dataDxfId="5788"/>
    <tableColumn id="10603" xr3:uid="{AF2A683A-E96A-40C3-984F-82AF93166D8E}" name="10823" dataDxfId="5787"/>
    <tableColumn id="10604" xr3:uid="{CDD7CB79-DBC1-456D-99AB-270F15C15D33}" name="10824" dataDxfId="5786"/>
    <tableColumn id="10605" xr3:uid="{F532CF99-D98F-4981-8EF5-F9F48B99FC87}" name="10825" dataDxfId="5785"/>
    <tableColumn id="10606" xr3:uid="{65A63BD6-261C-4C4A-B531-8E7579216EE8}" name="10826" dataDxfId="5784"/>
    <tableColumn id="10607" xr3:uid="{E2355DB6-9E09-46BF-BCD2-C2E77DB125F3}" name="10827" dataDxfId="5783"/>
    <tableColumn id="10608" xr3:uid="{7E04AE45-E62A-4AA1-9CB4-65DA6AEA7D0A}" name="10828" dataDxfId="5782"/>
    <tableColumn id="10609" xr3:uid="{E3BA2154-3871-4092-88D5-964064C43B3E}" name="10829" dataDxfId="5781"/>
    <tableColumn id="10610" xr3:uid="{DD86E634-D894-43F8-AF20-8719BB9B84D7}" name="10830" dataDxfId="5780"/>
    <tableColumn id="10611" xr3:uid="{57C64742-CCA2-4831-9DC3-83E36548F347}" name="10831" dataDxfId="5779"/>
    <tableColumn id="10612" xr3:uid="{C4AA9864-950C-45EA-AE08-AE516E817339}" name="10832" dataDxfId="5778"/>
    <tableColumn id="10613" xr3:uid="{393868BE-F030-4BAA-B9E5-82C90CC13A5C}" name="10833" dataDxfId="5777"/>
    <tableColumn id="10614" xr3:uid="{B1B236B2-6B61-46B6-94A6-4F2F70F7F6C2}" name="10834" dataDxfId="5776"/>
    <tableColumn id="10615" xr3:uid="{105E8C6F-0476-4629-9E15-3B60D0D91C1F}" name="10835" dataDxfId="5775"/>
    <tableColumn id="10616" xr3:uid="{64A2C6D2-395F-4ACC-8F17-FE1677564B21}" name="10836" dataDxfId="5774"/>
    <tableColumn id="10617" xr3:uid="{FE30E0B8-26F0-49D5-B9A3-3D4CECCC6970}" name="10837" dataDxfId="5773"/>
    <tableColumn id="10618" xr3:uid="{7EAB3FB0-FF7B-4AFA-A885-59C1AB39DBD0}" name="10838" dataDxfId="5772"/>
    <tableColumn id="10619" xr3:uid="{0A046F56-68D6-4B55-804D-860351B6CCC1}" name="10839" dataDxfId="5771"/>
    <tableColumn id="10620" xr3:uid="{A0867B59-3574-4052-8231-977D9B06B1C6}" name="10840" dataDxfId="5770"/>
    <tableColumn id="10621" xr3:uid="{63C6762C-C817-4D51-BCBC-EED54969239C}" name="10841" dataDxfId="5769"/>
    <tableColumn id="10622" xr3:uid="{A6DE867E-95B5-4EFD-BE66-34CA9E1619E0}" name="10842" dataDxfId="5768"/>
    <tableColumn id="10623" xr3:uid="{7E980B71-6093-444A-9DF9-EF7FD3DBB2D7}" name="10843" dataDxfId="5767"/>
    <tableColumn id="10624" xr3:uid="{D5D4F646-3F1B-41D9-BF15-F714D6D9BDB5}" name="10844" dataDxfId="5766"/>
    <tableColumn id="10625" xr3:uid="{87D6A66F-9064-4003-92BE-2AF9A7A93E62}" name="10845" dataDxfId="5765"/>
    <tableColumn id="10626" xr3:uid="{B878E7C2-F767-47F3-8F39-D0F04EC69FEF}" name="10846" dataDxfId="5764"/>
    <tableColumn id="10627" xr3:uid="{3AEC5C46-94FC-4149-8D60-428899CBF35C}" name="10847" dataDxfId="5763"/>
    <tableColumn id="10628" xr3:uid="{660970BA-2142-4D80-B773-035A0DBEC217}" name="10848" dataDxfId="5762"/>
    <tableColumn id="10629" xr3:uid="{B9505657-FE8E-40C2-A82B-88C9BEBBD0D4}" name="10849" dataDxfId="5761"/>
    <tableColumn id="10630" xr3:uid="{AA529E61-763C-4E25-B744-3F9E719BBA96}" name="10850" dataDxfId="5760"/>
    <tableColumn id="10631" xr3:uid="{14783D84-5BDF-4248-83DD-6B8D55D3B286}" name="10851" dataDxfId="5759"/>
    <tableColumn id="10632" xr3:uid="{8BB5E72F-FDF5-4627-B5D9-ED0C2160B921}" name="10852" dataDxfId="5758"/>
    <tableColumn id="10633" xr3:uid="{1A66A7C7-8F15-49D7-A903-1FB7EB646BF5}" name="10853" dataDxfId="5757"/>
    <tableColumn id="10634" xr3:uid="{626B3605-6E06-4D7F-B4D5-D20BE96DCDB5}" name="10854" dataDxfId="5756"/>
    <tableColumn id="10635" xr3:uid="{9BA33E65-CD71-4463-B16E-28E2A86681E3}" name="10855" dataDxfId="5755"/>
    <tableColumn id="10636" xr3:uid="{E4EAAB77-4AB8-47DE-A20D-D362F314F4D6}" name="10856" dataDxfId="5754"/>
    <tableColumn id="10637" xr3:uid="{73C2D488-EC3D-4009-BF2F-0D9CB26EDCAE}" name="10857" dataDxfId="5753"/>
    <tableColumn id="10638" xr3:uid="{1F26E533-FD3F-4B04-ABB1-E1F2DAEC23DD}" name="10858" dataDxfId="5752"/>
    <tableColumn id="10639" xr3:uid="{9581D596-8F35-4378-8468-6CDCF5111668}" name="10859" dataDxfId="5751"/>
    <tableColumn id="10640" xr3:uid="{912607A9-02A6-49AC-BAB6-294371D1129A}" name="10860" dataDxfId="5750"/>
    <tableColumn id="10641" xr3:uid="{C1B35E07-5E6A-4FDE-AB0B-4390236274CA}" name="10861" dataDxfId="5749"/>
    <tableColumn id="10642" xr3:uid="{9AA07A74-1827-49DA-9142-2B8A1D5B93FF}" name="10862" dataDxfId="5748"/>
    <tableColumn id="10643" xr3:uid="{56F73C40-8221-466A-B97F-604E4D39F248}" name="10863" dataDxfId="5747"/>
    <tableColumn id="10644" xr3:uid="{8F404E56-90F9-4E10-A053-3A3968CA89AC}" name="10864" dataDxfId="5746"/>
    <tableColumn id="10645" xr3:uid="{2E962329-D05F-4589-B387-A10F6BC1A16B}" name="10865" dataDxfId="5745"/>
    <tableColumn id="10646" xr3:uid="{37BD6188-FF15-4B1E-B166-DF9B8DF7795C}" name="10866" dataDxfId="5744"/>
    <tableColumn id="10647" xr3:uid="{CF586E96-3DC3-45FC-8DD4-BF106CB04D05}" name="10867" dataDxfId="5743"/>
    <tableColumn id="10648" xr3:uid="{110ED795-9C93-4366-BDAC-419DC460C9FA}" name="10868" dataDxfId="5742"/>
    <tableColumn id="10649" xr3:uid="{B899ADC2-B00B-49FC-8227-4D5808CAF8CC}" name="10869" dataDxfId="5741"/>
    <tableColumn id="10650" xr3:uid="{95FB7615-A8EC-4D40-99C8-94C57597EBAC}" name="10870" dataDxfId="5740"/>
    <tableColumn id="10651" xr3:uid="{127A4D08-0B3C-4F7C-AF49-816293ACAF75}" name="10871" dataDxfId="5739"/>
    <tableColumn id="10652" xr3:uid="{36154D3E-E6F7-48CC-9690-3A34D758B575}" name="10872" dataDxfId="5738"/>
    <tableColumn id="10653" xr3:uid="{36095623-A62A-4222-AF20-E8887D307C70}" name="10873" dataDxfId="5737"/>
    <tableColumn id="10654" xr3:uid="{8CC13667-D2F0-4088-B912-FF8B1C1E43C6}" name="10874" dataDxfId="5736"/>
    <tableColumn id="10655" xr3:uid="{E7ED3DD4-07D9-44F9-AE63-34B12DDD4A41}" name="10875" dataDxfId="5735"/>
    <tableColumn id="10656" xr3:uid="{0A055619-EFF5-41A5-B4DB-275EDA3F0C8A}" name="10876" dataDxfId="5734"/>
    <tableColumn id="10657" xr3:uid="{0EB3C89B-2670-4C91-B7B3-732A92224B18}" name="10877" dataDxfId="5733"/>
    <tableColumn id="10658" xr3:uid="{BC7DC112-E8A9-4C6C-BA5D-F3038EB6FE80}" name="10878" dataDxfId="5732"/>
    <tableColumn id="10659" xr3:uid="{093EC93D-A5F2-4989-BE1A-812FE5467A4E}" name="10879" dataDxfId="5731"/>
    <tableColumn id="10660" xr3:uid="{7B68C1C0-F325-45D4-B645-CC1AD58C15B2}" name="10880" dataDxfId="5730"/>
    <tableColumn id="10661" xr3:uid="{D5523A3A-81FE-4EDF-87D2-6AE72D6E4E76}" name="10881" dataDxfId="5729"/>
    <tableColumn id="10662" xr3:uid="{63DD3CED-FD34-4C80-A94B-C29DB21F39A4}" name="10882" dataDxfId="5728"/>
    <tableColumn id="10663" xr3:uid="{B7F355EB-3CF7-4CBF-8111-E001A16F610A}" name="10883" dataDxfId="5727"/>
    <tableColumn id="10664" xr3:uid="{1BD461CF-AF8B-48BC-B499-84E6A0BF4BA0}" name="10884" dataDxfId="5726"/>
    <tableColumn id="10665" xr3:uid="{A55796E7-FE6A-4923-8252-6AB4956D7681}" name="10885" dataDxfId="5725"/>
    <tableColumn id="10666" xr3:uid="{900E3FB0-93E9-4B70-A863-69B098D3CA24}" name="10886" dataDxfId="5724"/>
    <tableColumn id="10667" xr3:uid="{32BC1A2C-07EF-49AD-B170-B8BFA0A94BE0}" name="10887" dataDxfId="5723"/>
    <tableColumn id="10668" xr3:uid="{485509FE-2E72-412F-936C-AE084268A2DF}" name="10888" dataDxfId="5722"/>
    <tableColumn id="10669" xr3:uid="{EA05997F-AB15-4703-94CC-72408D802A0A}" name="10889" dataDxfId="5721"/>
    <tableColumn id="10670" xr3:uid="{85795D53-9040-4DC5-856C-FB8C0B3092EB}" name="10890" dataDxfId="5720"/>
    <tableColumn id="10671" xr3:uid="{ECA7810F-8D49-41C9-9C05-03B6F61F8DC6}" name="10891" dataDxfId="5719"/>
    <tableColumn id="10672" xr3:uid="{F1C717A3-DD34-4D36-8914-0FE47A409619}" name="10892" dataDxfId="5718"/>
    <tableColumn id="10673" xr3:uid="{4558C145-409B-4979-BB82-86E9822DC7F5}" name="10893" dataDxfId="5717"/>
    <tableColumn id="10674" xr3:uid="{A5AE5F5F-598C-4C2C-A21B-56831E62C49E}" name="10894" dataDxfId="5716"/>
    <tableColumn id="10675" xr3:uid="{089E0B1E-8C65-4338-B8AB-07281DF6B19F}" name="10895" dataDxfId="5715"/>
    <tableColumn id="10676" xr3:uid="{BCF82E83-5AA5-4AC8-A7D3-D3523535CFB2}" name="10896" dataDxfId="5714"/>
    <tableColumn id="10677" xr3:uid="{465258BD-3C53-4718-8379-4B7A244072F4}" name="10897" dataDxfId="5713"/>
    <tableColumn id="10678" xr3:uid="{5FB4E2F7-DD95-4CD1-9DEE-DC7392529C61}" name="10898" dataDxfId="5712"/>
    <tableColumn id="10679" xr3:uid="{C40C9278-40F4-410F-91AE-E371F2A820AF}" name="10899" dataDxfId="5711"/>
    <tableColumn id="10680" xr3:uid="{471B092B-2A13-412D-ABBA-96905F669AF7}" name="10900" dataDxfId="5710"/>
    <tableColumn id="10681" xr3:uid="{1561E1D0-3381-4050-AFA9-B66C8A1E9312}" name="10901" dataDxfId="5709"/>
    <tableColumn id="10682" xr3:uid="{95AF04E0-F603-4D8E-81FC-5FB0FBDE205A}" name="10902" dataDxfId="5708"/>
    <tableColumn id="10683" xr3:uid="{B045020F-9098-46CF-93C0-6661F865B50F}" name="10903" dataDxfId="5707"/>
    <tableColumn id="10684" xr3:uid="{2FD91B50-DFAB-4CC7-A8D7-59F8AD432095}" name="10904" dataDxfId="5706"/>
    <tableColumn id="10685" xr3:uid="{FBADCF07-E83F-4AB8-A7F4-899814D7CB7E}" name="10905" dataDxfId="5705"/>
    <tableColumn id="10686" xr3:uid="{30021B25-2956-4B4A-A2EC-D8A701FBE2C0}" name="10906" dataDxfId="5704"/>
    <tableColumn id="10687" xr3:uid="{C757AAA7-25EA-46E1-9D4A-AE2928082D2E}" name="10907" dataDxfId="5703"/>
    <tableColumn id="10688" xr3:uid="{DFD613CB-A308-4B20-BE3D-2868137367B1}" name="10908" dataDxfId="5702"/>
    <tableColumn id="10689" xr3:uid="{AC6B753C-58FC-48BA-8713-7F163539AD4E}" name="10909" dataDxfId="5701"/>
    <tableColumn id="10690" xr3:uid="{C0119B6D-6F55-4686-B0DC-275776E074DD}" name="10910" dataDxfId="5700"/>
    <tableColumn id="10691" xr3:uid="{8745C257-4BB8-4C9B-B45F-A54BA94C1A39}" name="10911" dataDxfId="5699"/>
    <tableColumn id="10692" xr3:uid="{268AE091-A231-48D0-9C96-FE44CD9FEC45}" name="10912" dataDxfId="5698"/>
    <tableColumn id="10693" xr3:uid="{436F5969-F44E-4F20-8E44-3EDFD677E76B}" name="10913" dataDxfId="5697"/>
    <tableColumn id="10694" xr3:uid="{8CB9002F-AD4B-4311-9B6A-EB806D35F793}" name="10914" dataDxfId="5696"/>
    <tableColumn id="10695" xr3:uid="{9DA56345-EC32-457F-92C6-0B358B3C01D8}" name="10915" dataDxfId="5695"/>
    <tableColumn id="10696" xr3:uid="{545CC5C2-6F66-4222-9742-6038D0CBCD8B}" name="10916" dataDxfId="5694"/>
    <tableColumn id="10697" xr3:uid="{1B7E4367-2B9C-492D-B4A9-4B2A28D51634}" name="10917" dataDxfId="5693"/>
    <tableColumn id="10698" xr3:uid="{B8A0DD77-5A6E-4345-8136-49FBF9B96B28}" name="10918" dataDxfId="5692"/>
    <tableColumn id="10699" xr3:uid="{64AD5B95-FD3D-4BC2-940B-0DB0B0BDB960}" name="10919" dataDxfId="5691"/>
    <tableColumn id="10700" xr3:uid="{9509B074-017B-4B3F-A5C9-05F8CFCEA17F}" name="10920" dataDxfId="5690"/>
    <tableColumn id="10701" xr3:uid="{8870155C-FABB-4040-996E-42729DC69182}" name="10921" dataDxfId="5689"/>
    <tableColumn id="10702" xr3:uid="{317B27B7-7DF1-4AE4-8C3E-1D9B41F39052}" name="10922" dataDxfId="5688"/>
    <tableColumn id="10703" xr3:uid="{675C4187-65CF-4D4C-B3A3-4E26F5E2EAC9}" name="10923" dataDxfId="5687"/>
    <tableColumn id="10704" xr3:uid="{F80B034C-837A-4AC5-A410-5E85D99DF4F8}" name="10924" dataDxfId="5686"/>
    <tableColumn id="10705" xr3:uid="{269D848B-4CAF-43B3-8ECA-66941FB0B12C}" name="10925" dataDxfId="5685"/>
    <tableColumn id="10706" xr3:uid="{D35AB0AF-A480-42A4-AF50-22373E47B7D2}" name="10926" dataDxfId="5684"/>
    <tableColumn id="10707" xr3:uid="{E35449B9-94E8-433B-B61D-3FD0971AED47}" name="10927" dataDxfId="5683"/>
    <tableColumn id="10708" xr3:uid="{B35F759D-8CF3-49FB-A732-1DD53B7CA46C}" name="10928" dataDxfId="5682"/>
    <tableColumn id="10709" xr3:uid="{78D36B83-B996-448B-B7E4-41A56846376F}" name="10929" dataDxfId="5681"/>
    <tableColumn id="10710" xr3:uid="{84EF6117-ECC9-4023-BB5B-C17F13ACAE26}" name="10930" dataDxfId="5680"/>
    <tableColumn id="10711" xr3:uid="{29150F4D-0831-4298-8A9B-B6EF18A6DB98}" name="10931" dataDxfId="5679"/>
    <tableColumn id="10712" xr3:uid="{EECB0370-B675-4370-BE78-D1A1AE1B3642}" name="10932" dataDxfId="5678"/>
    <tableColumn id="10713" xr3:uid="{1F725288-51E1-450C-B142-9DBE3CC60677}" name="10933" dataDxfId="5677"/>
    <tableColumn id="10714" xr3:uid="{A3CFC3FA-A053-4DD9-8BCA-D22AA20A2EEE}" name="10934" dataDxfId="5676"/>
    <tableColumn id="10715" xr3:uid="{4C3C207B-A43D-422C-B2BA-D7452860EE41}" name="10935" dataDxfId="5675"/>
    <tableColumn id="10716" xr3:uid="{41026907-B137-4F85-B3B8-B7C42BC06449}" name="10936" dataDxfId="5674"/>
    <tableColumn id="10717" xr3:uid="{F0655716-EC64-4EE1-B19E-3BF5A29D2C22}" name="10937" dataDxfId="5673"/>
    <tableColumn id="10718" xr3:uid="{F49FF4F6-F629-4C24-95FD-35D577EC1A15}" name="10938" dataDxfId="5672"/>
    <tableColumn id="10719" xr3:uid="{8DC09A82-15C9-4700-BADA-F3CB99BF93BD}" name="10939" dataDxfId="5671"/>
    <tableColumn id="10720" xr3:uid="{CE172A02-2FF2-4F2F-BB56-096C217E0AE6}" name="10940" dataDxfId="5670"/>
    <tableColumn id="10721" xr3:uid="{968015E3-6EEC-47E0-AE3A-248B3F0CD600}" name="10941" dataDxfId="5669"/>
    <tableColumn id="10722" xr3:uid="{20F49358-36E0-417E-AD31-9040A55EDFC1}" name="10942" dataDxfId="5668"/>
    <tableColumn id="10723" xr3:uid="{3A7536BA-8DB6-417F-9050-686A15D6172D}" name="10943" dataDxfId="5667"/>
    <tableColumn id="10724" xr3:uid="{2BAB3612-6964-42A6-BEEB-F620ABD991D1}" name="10944" dataDxfId="5666"/>
    <tableColumn id="10725" xr3:uid="{C92622E7-8138-40C0-AD70-B3CD9B9CD9DB}" name="10945" dataDxfId="5665"/>
    <tableColumn id="10726" xr3:uid="{51BEBCF0-47EB-465E-AD30-4ABF22058873}" name="10946" dataDxfId="5664"/>
    <tableColumn id="10727" xr3:uid="{96F7CFD6-04D6-47C5-B26C-07656C26635B}" name="10947" dataDxfId="5663"/>
    <tableColumn id="10728" xr3:uid="{41AF6779-7FEE-4AEB-86AA-957E15AB0730}" name="10948" dataDxfId="5662"/>
    <tableColumn id="10729" xr3:uid="{1E4D06FD-7701-4166-BF38-247D744BFBF8}" name="10949" dataDxfId="5661"/>
    <tableColumn id="10730" xr3:uid="{4F4B0023-0C42-45AF-A71D-A2C3712A03CD}" name="10950" dataDxfId="5660"/>
    <tableColumn id="10731" xr3:uid="{4F02F4B7-384B-4D43-AA16-99B2A276A446}" name="10951" dataDxfId="5659"/>
    <tableColumn id="10732" xr3:uid="{7B8DF70D-7F64-41BE-A93C-EED5E2E55EEB}" name="10952" dataDxfId="5658"/>
    <tableColumn id="10733" xr3:uid="{4861DFCF-591D-4482-A8F9-6F354EA599BF}" name="10953" dataDxfId="5657"/>
    <tableColumn id="10734" xr3:uid="{35DC7C36-69D4-4EDA-9F0A-73EFF9BD7789}" name="10954" dataDxfId="5656"/>
    <tableColumn id="10735" xr3:uid="{78C45CB8-3BA9-4527-B943-C7B6BA1AC3E5}" name="10955" dataDxfId="5655"/>
    <tableColumn id="10736" xr3:uid="{010FEDE5-40B9-449D-8774-18CA790D20E6}" name="10956" dataDxfId="5654"/>
    <tableColumn id="10737" xr3:uid="{A0E96FBA-3F80-4581-B008-D513B578E6B4}" name="10957" dataDxfId="5653"/>
    <tableColumn id="10738" xr3:uid="{4F459399-ABEE-4A32-BEEA-24F1AA823448}" name="10958" dataDxfId="5652"/>
    <tableColumn id="10739" xr3:uid="{C10BD27C-2439-49FA-B941-0400676A8B61}" name="10959" dataDxfId="5651"/>
    <tableColumn id="10740" xr3:uid="{D48E7829-D806-4557-B11B-205D406E7496}" name="10960" dataDxfId="5650"/>
    <tableColumn id="10741" xr3:uid="{7BBF8B48-2EC6-4A96-B7F6-150A3CF0D6DD}" name="10961" dataDxfId="5649"/>
    <tableColumn id="10742" xr3:uid="{BD2547EC-00BC-46E7-9D37-8F853CB0E724}" name="10962" dataDxfId="5648"/>
    <tableColumn id="10743" xr3:uid="{67D03689-D02C-45E6-8CD4-98206F52241B}" name="10963" dataDxfId="5647"/>
    <tableColumn id="10744" xr3:uid="{95FA4BF0-357C-4369-9016-A3D5208F5E5F}" name="10964" dataDxfId="5646"/>
    <tableColumn id="10745" xr3:uid="{9DFF4460-16BC-4C3F-9BF4-B25EB6FDD6C2}" name="10965" dataDxfId="5645"/>
    <tableColumn id="10746" xr3:uid="{8C2B0476-EA5A-42D9-A476-675D17303DDD}" name="10966" dataDxfId="5644"/>
    <tableColumn id="10747" xr3:uid="{7A7DE708-33A5-4953-B2DE-7E17903B3B80}" name="10967" dataDxfId="5643"/>
    <tableColumn id="10748" xr3:uid="{993B38C5-539D-438D-B957-34557C8E64CA}" name="10968" dataDxfId="5642"/>
    <tableColumn id="10749" xr3:uid="{E5941423-81C7-4635-A51C-E24571F1195E}" name="10969" dataDxfId="5641"/>
    <tableColumn id="10750" xr3:uid="{19C78138-EC35-4D60-A991-6174AC3B7034}" name="10970" dataDxfId="5640"/>
    <tableColumn id="10751" xr3:uid="{9ED96184-1406-496A-BAC6-3FFC75510D9A}" name="10971" dataDxfId="5639"/>
    <tableColumn id="10752" xr3:uid="{F61A0103-94C1-436F-802A-172A9CA70D78}" name="10972" dataDxfId="5638"/>
    <tableColumn id="10753" xr3:uid="{7325D2DE-6841-41BE-A501-A27207F53A5D}" name="10973" dataDxfId="5637"/>
    <tableColumn id="10754" xr3:uid="{F8108C4E-71E1-4855-B033-31A47D7E406C}" name="10974" dataDxfId="5636"/>
    <tableColumn id="10755" xr3:uid="{66F338C4-0330-4B33-BB68-F96709C77F3A}" name="10975" dataDxfId="5635"/>
    <tableColumn id="10756" xr3:uid="{FECB2EAC-6CA5-43A1-A936-903222A6444D}" name="10976" dataDxfId="5634"/>
    <tableColumn id="10757" xr3:uid="{0878E3F3-5E3A-41D1-A635-11762FEBC1E7}" name="10977" dataDxfId="5633"/>
    <tableColumn id="10758" xr3:uid="{B4301304-547F-4082-A1B6-483D017B5B63}" name="10978" dataDxfId="5632"/>
    <tableColumn id="10759" xr3:uid="{8B02D1F2-A6A2-46E5-B060-5FD38DF33040}" name="10979" dataDxfId="5631"/>
    <tableColumn id="10760" xr3:uid="{FE50C636-DE29-4B32-A034-9F95CD5E49A5}" name="10980" dataDxfId="5630"/>
    <tableColumn id="10761" xr3:uid="{69AB7AD7-0537-4368-B17F-FC98461D11DB}" name="10981" dataDxfId="5629"/>
    <tableColumn id="10762" xr3:uid="{85B2141E-D110-404E-BB6F-CEA34DBD522D}" name="10982" dataDxfId="5628"/>
    <tableColumn id="10763" xr3:uid="{DA17B63F-2BC4-4FCA-9EC2-D0502E41C7D0}" name="10983" dataDxfId="5627"/>
    <tableColumn id="10764" xr3:uid="{0C29DEC3-F8A0-417A-A448-E980EDFA583F}" name="10984" dataDxfId="5626"/>
    <tableColumn id="10765" xr3:uid="{89EDE89E-11FB-45D4-8451-888674869891}" name="10985" dataDxfId="5625"/>
    <tableColumn id="10766" xr3:uid="{24EC076E-D7EC-439D-B352-07A2D35040CF}" name="10986" dataDxfId="5624"/>
    <tableColumn id="10767" xr3:uid="{00043EC4-7780-44EE-BA65-015C6243FF3D}" name="10987" dataDxfId="5623"/>
    <tableColumn id="10768" xr3:uid="{E60D1C23-210E-4EED-A789-D0D10A78F5F7}" name="10988" dataDxfId="5622"/>
    <tableColumn id="10769" xr3:uid="{CD4F243E-55AE-4D42-9345-7C67577055B9}" name="10989" dataDxfId="5621"/>
    <tableColumn id="10770" xr3:uid="{FF36256D-D997-49DB-BCF7-12024F771E7B}" name="10990" dataDxfId="5620"/>
    <tableColumn id="10771" xr3:uid="{C07B78D0-297C-473E-AAFF-2EFC14D68F7B}" name="10991" dataDxfId="5619"/>
    <tableColumn id="10772" xr3:uid="{DCA7EA8F-6EBD-480E-AC64-1AB4DE2E13BD}" name="10992" dataDxfId="5618"/>
    <tableColumn id="10773" xr3:uid="{8E8F7092-5993-440B-BA37-C5908E505816}" name="10993" dataDxfId="5617"/>
    <tableColumn id="10774" xr3:uid="{8D499A23-8244-444B-B8A1-E3B0CF73770F}" name="10994" dataDxfId="5616"/>
    <tableColumn id="10775" xr3:uid="{01427E41-52DF-4DC4-AB11-343D4622C563}" name="10995" dataDxfId="5615"/>
    <tableColumn id="10776" xr3:uid="{BE3714A5-81FB-4270-A092-B8F61FA6293F}" name="10996" dataDxfId="5614"/>
    <tableColumn id="10777" xr3:uid="{DF6E6FB6-4C60-4914-919F-6C7A62019BC6}" name="10997" dataDxfId="5613"/>
    <tableColumn id="10778" xr3:uid="{C4C6BD32-E66E-4399-B6E3-1E71AF26A267}" name="10998" dataDxfId="5612"/>
    <tableColumn id="10779" xr3:uid="{07D41F05-4AD9-49E1-9EB0-A9FE8F2D74AF}" name="10999" dataDxfId="5611"/>
    <tableColumn id="10780" xr3:uid="{0BFEC53E-7C1E-4117-A2BE-21D9E70FC347}" name="11000" dataDxfId="5610"/>
    <tableColumn id="10781" xr3:uid="{05D7C816-DAF1-4295-BF83-116A0C125203}" name="11001" dataDxfId="5609"/>
    <tableColumn id="10782" xr3:uid="{EBCD58B3-774F-4B69-9CEB-D7D5B48784B4}" name="11002" dataDxfId="5608"/>
    <tableColumn id="10783" xr3:uid="{6F8B2500-EDBB-426D-8BB0-7E0F1BD52A56}" name="11003" dataDxfId="5607"/>
    <tableColumn id="10784" xr3:uid="{17BA5B42-9663-4675-91A5-CAF250B78D16}" name="11004" dataDxfId="5606"/>
    <tableColumn id="10785" xr3:uid="{2E5318F5-4DBF-4D3C-AA66-4F8D32DFDE59}" name="11005" dataDxfId="5605"/>
    <tableColumn id="10786" xr3:uid="{217F735B-182F-40F9-91B1-84260767A3FB}" name="11006" dataDxfId="5604"/>
    <tableColumn id="10787" xr3:uid="{E8527CE4-3E9E-41C5-8D45-DBFC6F68B1D8}" name="11007" dataDxfId="5603"/>
    <tableColumn id="10788" xr3:uid="{9B870D40-E0FA-40E3-A552-2A04BCC403DB}" name="11008" dataDxfId="5602"/>
    <tableColumn id="10789" xr3:uid="{A00295DE-C43D-49F3-BDD2-462ADAB13D5C}" name="11009" dataDxfId="5601"/>
    <tableColumn id="10790" xr3:uid="{A2EBB313-18BF-4573-BCB4-E81DBDC83C38}" name="11010" dataDxfId="5600"/>
    <tableColumn id="10791" xr3:uid="{E3B95C7C-652A-41A2-8DDD-AE2AD78A6232}" name="11011" dataDxfId="5599"/>
    <tableColumn id="10792" xr3:uid="{0D4C51D4-A137-447A-B7CD-F389F2299378}" name="11012" dataDxfId="5598"/>
    <tableColumn id="10793" xr3:uid="{BD3BAAA8-A95D-4EE1-BB1B-8F8CF761F7AF}" name="11013" dataDxfId="5597"/>
    <tableColumn id="10794" xr3:uid="{D2E5ED63-B01B-409D-82D3-8E72936F9C46}" name="11014" dataDxfId="5596"/>
    <tableColumn id="10795" xr3:uid="{4C3473DA-D676-4A14-9984-02E95C4B3867}" name="11015" dataDxfId="5595"/>
    <tableColumn id="10796" xr3:uid="{6D88A947-A55F-439F-BDF1-79706B3B1BCF}" name="11016" dataDxfId="5594"/>
    <tableColumn id="10797" xr3:uid="{27F4F7D4-F66C-4DF1-9A03-BA487797F8D8}" name="11017" dataDxfId="5593"/>
    <tableColumn id="10798" xr3:uid="{23FE58B0-B864-45B3-86CA-3BB9016C77AA}" name="11018" dataDxfId="5592"/>
    <tableColumn id="10799" xr3:uid="{226D0B05-56E5-4F95-8CDB-541D631C4F15}" name="11019" dataDxfId="5591"/>
    <tableColumn id="10800" xr3:uid="{0FC481CD-AD85-4A86-93CA-A82D360951F0}" name="11020" dataDxfId="5590"/>
    <tableColumn id="10801" xr3:uid="{02EA3C83-94EE-4B95-B812-B13FF2F955D9}" name="11021" dataDxfId="5589"/>
    <tableColumn id="10802" xr3:uid="{62EF1CA1-C0FD-42B1-BBAF-C1757ACC0DF5}" name="11022" dataDxfId="5588"/>
    <tableColumn id="10803" xr3:uid="{BC508640-0B50-4011-83B1-79DF80931A4D}" name="11023" dataDxfId="5587"/>
    <tableColumn id="10804" xr3:uid="{19333ADA-0D5D-4FFE-8F0F-CAA9D23209DC}" name="11024" dataDxfId="5586"/>
    <tableColumn id="10805" xr3:uid="{BF76F1AE-C80A-46B7-8982-82F5289A6D42}" name="11025" dataDxfId="5585"/>
    <tableColumn id="10806" xr3:uid="{4AA9A5C6-C6DC-4ED9-9726-F1CD2DADF5D6}" name="11026" dataDxfId="5584"/>
    <tableColumn id="10807" xr3:uid="{55CDDE04-D3AA-4637-822F-C85967ED668B}" name="11027" dataDxfId="5583"/>
    <tableColumn id="10808" xr3:uid="{5991E550-BDBF-45D2-883B-B21ED7006135}" name="11028" dataDxfId="5582"/>
    <tableColumn id="10809" xr3:uid="{59B790D8-B5AF-43F9-A617-6E8B7A940B26}" name="11029" dataDxfId="5581"/>
    <tableColumn id="10810" xr3:uid="{8C01F2FF-7C21-464B-A8E3-038CE22838CA}" name="11030" dataDxfId="5580"/>
    <tableColumn id="10811" xr3:uid="{FA9D0139-99F0-4448-A117-6A07FDD497C4}" name="11031" dataDxfId="5579"/>
    <tableColumn id="10812" xr3:uid="{299B8AAC-2BE3-45C2-9074-3C422D6B883F}" name="11032" dataDxfId="5578"/>
    <tableColumn id="10813" xr3:uid="{31462B57-0FFE-46BB-9CDE-BB3CF78A9EE1}" name="11033" dataDxfId="5577"/>
    <tableColumn id="10814" xr3:uid="{06DFF8F3-DE59-49F7-95AB-6EAEEF9347A7}" name="11034" dataDxfId="5576"/>
    <tableColumn id="10815" xr3:uid="{F53CB9A0-F247-49DA-B650-279D12826BA5}" name="11035" dataDxfId="5575"/>
    <tableColumn id="10816" xr3:uid="{8BCCA340-B36C-4503-ACC2-12581BFE6610}" name="11036" dataDxfId="5574"/>
    <tableColumn id="10817" xr3:uid="{BD66E195-5137-44C8-A140-889B8C6CE63E}" name="11037" dataDxfId="5573"/>
    <tableColumn id="10818" xr3:uid="{E3ACE26F-15F1-4CDD-B188-E07055C2E8FC}" name="11038" dataDxfId="5572"/>
    <tableColumn id="10819" xr3:uid="{C36D8D6A-148B-45E0-AA57-2C42F770EFAC}" name="11039" dataDxfId="5571"/>
    <tableColumn id="10820" xr3:uid="{94258392-58A7-43E3-A069-174D7A50DAA7}" name="11040" dataDxfId="5570"/>
    <tableColumn id="10821" xr3:uid="{7DE85CFC-04C0-424B-A472-8B39A2BC4FAE}" name="11041" dataDxfId="5569"/>
    <tableColumn id="10822" xr3:uid="{8D1BAC0F-A04D-48B2-AA15-8F6AA0F1838C}" name="11042" dataDxfId="5568"/>
    <tableColumn id="10823" xr3:uid="{969053A5-6E32-4C44-B668-DCC64160F463}" name="11043" dataDxfId="5567"/>
    <tableColumn id="10824" xr3:uid="{C5C96BDA-19B5-4B60-9FC7-023E411613F0}" name="11044" dataDxfId="5566"/>
    <tableColumn id="10825" xr3:uid="{626CC75B-9DBB-46F8-803B-F03A7A46EC73}" name="11045" dataDxfId="5565"/>
    <tableColumn id="10826" xr3:uid="{8837FFB2-256C-46FE-8BAE-17BCB2CDFFBA}" name="11046" dataDxfId="5564"/>
    <tableColumn id="10827" xr3:uid="{354B75AB-DA4D-466F-9908-8890D8287E29}" name="11047" dataDxfId="5563"/>
    <tableColumn id="10828" xr3:uid="{623D36D9-DE27-4068-907B-4E6BD8B1E8F2}" name="11048" dataDxfId="5562"/>
    <tableColumn id="10829" xr3:uid="{497D8059-5BD6-41EA-BD10-C2D35E649CE9}" name="11049" dataDxfId="5561"/>
    <tableColumn id="10830" xr3:uid="{A00F8403-5847-46B9-B878-586FA34AA3E8}" name="11050" dataDxfId="5560"/>
    <tableColumn id="10831" xr3:uid="{2ADA3755-D89A-4BA3-B73F-419FC959B29F}" name="11051" dataDxfId="5559"/>
    <tableColumn id="10832" xr3:uid="{F209137C-D9EB-4D07-AAE7-DCB144BD5D2C}" name="11052" dataDxfId="5558"/>
    <tableColumn id="10833" xr3:uid="{E34E6695-D82E-4611-9F55-973CF66C5FA1}" name="11053" dataDxfId="5557"/>
    <tableColumn id="10834" xr3:uid="{67923B9E-0F87-4546-8B66-BDF42DB46BEF}" name="11054" dataDxfId="5556"/>
    <tableColumn id="10835" xr3:uid="{79FAA9F8-D257-43AC-B946-8E84A2FCFFD9}" name="11055" dataDxfId="5555"/>
    <tableColumn id="10836" xr3:uid="{5374787C-33FB-49D1-84E6-EEAAD048B320}" name="11056" dataDxfId="5554"/>
    <tableColumn id="10837" xr3:uid="{BB433A47-E823-4F81-B56F-41C84D1416F5}" name="11057" dataDxfId="5553"/>
    <tableColumn id="10838" xr3:uid="{9E377DA2-01B1-4D28-A98A-EE52BFE723BB}" name="11058" dataDxfId="5552"/>
    <tableColumn id="10839" xr3:uid="{9AA3F87A-85B9-48FA-BA0C-B94919D63668}" name="11059" dataDxfId="5551"/>
    <tableColumn id="10840" xr3:uid="{A26E7FC9-B4E0-4738-8DC7-FE041DF2B426}" name="11060" dataDxfId="5550"/>
    <tableColumn id="10841" xr3:uid="{868D9612-CC46-4CE9-B038-EA2CADFFE9FF}" name="11061" dataDxfId="5549"/>
    <tableColumn id="10842" xr3:uid="{2409DBA2-1BCB-496E-88A1-612D92E66317}" name="11062" dataDxfId="5548"/>
    <tableColumn id="10843" xr3:uid="{E5FE81B2-8354-40FC-835B-E3D755627164}" name="11063" dataDxfId="5547"/>
    <tableColumn id="10844" xr3:uid="{057630E2-F7B5-4270-9235-13E36B7D03BC}" name="11064" dataDxfId="5546"/>
    <tableColumn id="10845" xr3:uid="{C6E5D15B-DE49-4573-A203-0F16A10276FB}" name="11065" dataDxfId="5545"/>
    <tableColumn id="10846" xr3:uid="{F94A4370-665C-461D-BB9E-4560592541E2}" name="11066" dataDxfId="5544"/>
    <tableColumn id="10847" xr3:uid="{B37C4ACF-B975-497F-BF1D-DB147770F506}" name="11067" dataDxfId="5543"/>
    <tableColumn id="10848" xr3:uid="{2EA9CF39-1D35-4365-B597-64AE40937890}" name="11068" dataDxfId="5542"/>
    <tableColumn id="10849" xr3:uid="{89294238-C5F8-4548-8AEA-36B5FE444F34}" name="11069" dataDxfId="5541"/>
    <tableColumn id="10850" xr3:uid="{B07BDB6B-4838-4083-AB59-F841A05BC98F}" name="11070" dataDxfId="5540"/>
    <tableColumn id="10851" xr3:uid="{E393A73A-E516-4D19-85F8-EA152B732092}" name="11071" dataDxfId="5539"/>
    <tableColumn id="10852" xr3:uid="{29B37217-A826-49B4-9B1E-989FB360E711}" name="11072" dataDxfId="5538"/>
    <tableColumn id="10853" xr3:uid="{0B7DA60A-11F2-4EE7-8B91-262144AB3414}" name="11073" dataDxfId="5537"/>
    <tableColumn id="10854" xr3:uid="{9371599F-E56B-4ACB-B678-E6C282D21885}" name="11074" dataDxfId="5536"/>
    <tableColumn id="10855" xr3:uid="{7968393A-B70D-4167-B149-E4D83C5EBA72}" name="11075" dataDxfId="5535"/>
    <tableColumn id="10856" xr3:uid="{A2219B96-3698-4DF5-BB03-6C5DBF620198}" name="11076" dataDxfId="5534"/>
    <tableColumn id="10857" xr3:uid="{68E978AB-568B-44C0-A1DF-A39173DF40D7}" name="11077" dataDxfId="5533"/>
    <tableColumn id="10858" xr3:uid="{7EC79F4B-74A1-4CCC-A21B-9228FF75FA21}" name="11078" dataDxfId="5532"/>
    <tableColumn id="10859" xr3:uid="{F4BECBD8-F7CA-4D19-B465-28DAA270AF63}" name="11079" dataDxfId="5531"/>
    <tableColumn id="10860" xr3:uid="{50B52364-81C4-4899-8FDF-C22398CA86DF}" name="11080" dataDxfId="5530"/>
    <tableColumn id="10861" xr3:uid="{958652A6-8F3E-4D3D-AE88-557949D3A799}" name="11081" dataDxfId="5529"/>
    <tableColumn id="10862" xr3:uid="{1D096305-15F0-44FB-AAD2-6F85A9FD87FA}" name="11082" dataDxfId="5528"/>
    <tableColumn id="10863" xr3:uid="{09FE092D-F4EC-4F6D-921E-C703867E0A3B}" name="11083" dataDxfId="5527"/>
    <tableColumn id="10864" xr3:uid="{10C64236-B6F6-4387-8E21-98C83634261E}" name="11084" dataDxfId="5526"/>
    <tableColumn id="10865" xr3:uid="{7E606A95-04D5-4174-A549-27B3472BDCE1}" name="11085" dataDxfId="5525"/>
    <tableColumn id="10866" xr3:uid="{773C6C37-C292-4D81-A071-78EDC544F92A}" name="11086" dataDxfId="5524"/>
    <tableColumn id="10867" xr3:uid="{17783FBC-8805-4541-950F-CF1B459929C7}" name="11087" dataDxfId="5523"/>
    <tableColumn id="10868" xr3:uid="{84DC97C3-912C-4894-BD51-BD21006D8F87}" name="11088" dataDxfId="5522"/>
    <tableColumn id="10869" xr3:uid="{A70A351B-F506-447A-B14D-D69C01355195}" name="11089" dataDxfId="5521"/>
    <tableColumn id="10870" xr3:uid="{2FC843C2-9548-4366-854E-7E246569DDA0}" name="11090" dataDxfId="5520"/>
    <tableColumn id="10871" xr3:uid="{17699D83-B0DB-42E2-BA48-F4BB1AFE9135}" name="11091" dataDxfId="5519"/>
    <tableColumn id="10872" xr3:uid="{047EFFAF-1E2E-4270-BCFB-2E21462E8D82}" name="11092" dataDxfId="5518"/>
    <tableColumn id="10873" xr3:uid="{51B5C812-2F30-4800-8102-306B1075C2B1}" name="11093" dataDxfId="5517"/>
    <tableColumn id="10874" xr3:uid="{6E887EE9-ED95-43A5-946F-046F7FC76A5D}" name="11094" dataDxfId="5516"/>
    <tableColumn id="10875" xr3:uid="{13F0C5B3-2B13-4BDE-8D52-71DBB544939F}" name="11095" dataDxfId="5515"/>
    <tableColumn id="10876" xr3:uid="{BE5E3805-E96F-41EF-A8E5-CE2339156F6F}" name="11096" dataDxfId="5514"/>
    <tableColumn id="10877" xr3:uid="{5645AC6A-BCF3-448A-B7CA-4011A1B0DC2D}" name="11097" dataDxfId="5513"/>
    <tableColumn id="10878" xr3:uid="{F1DA1519-3940-424B-9835-19D1D96F27C5}" name="11098" dataDxfId="5512"/>
    <tableColumn id="10879" xr3:uid="{4693CBF0-82FB-4E3C-ACD9-120921454801}" name="11099" dataDxfId="5511"/>
    <tableColumn id="10880" xr3:uid="{6A5830E4-1F41-4126-A4DD-7812E29979EC}" name="11100" dataDxfId="5510"/>
    <tableColumn id="10881" xr3:uid="{915F0DE2-C8B6-4890-976C-9220A3892E61}" name="11101" dataDxfId="5509"/>
    <tableColumn id="10882" xr3:uid="{FF3FDCF8-8C89-44BB-B264-70C64EB4C579}" name="11102" dataDxfId="5508"/>
    <tableColumn id="10883" xr3:uid="{8E6E4F53-F47E-49C6-B9A4-6B262F136176}" name="11103" dataDxfId="5507"/>
    <tableColumn id="10884" xr3:uid="{27D9A260-7B9D-412D-B705-948367F7D903}" name="11104" dataDxfId="5506"/>
    <tableColumn id="10885" xr3:uid="{A71E8074-512F-4676-883B-C545B65C8F65}" name="11105" dataDxfId="5505"/>
    <tableColumn id="10886" xr3:uid="{167F3F6B-6487-46AD-B231-B6A93B62A0D3}" name="11106" dataDxfId="5504"/>
    <tableColumn id="10887" xr3:uid="{C1B7C75E-53C0-4C62-B717-79E3C68EFB49}" name="11107" dataDxfId="5503"/>
    <tableColumn id="10888" xr3:uid="{E05461C2-27E4-4CAC-BD04-D7FE757B4A03}" name="11108" dataDxfId="5502"/>
    <tableColumn id="10889" xr3:uid="{E30F9F3E-956A-4307-B8B1-A66A0F96C34C}" name="11109" dataDxfId="5501"/>
    <tableColumn id="10890" xr3:uid="{7BF3D38D-7041-4B49-AF6D-0D4F57CC42FC}" name="11110" dataDxfId="5500"/>
    <tableColumn id="10891" xr3:uid="{A690BA24-5744-478C-85D7-41E26E2B1401}" name="11111" dataDxfId="5499"/>
    <tableColumn id="10892" xr3:uid="{BA9CCE4C-A34A-421E-B7CB-207A8E2335A9}" name="11112" dataDxfId="5498"/>
    <tableColumn id="10893" xr3:uid="{AA69C661-6552-48A9-889D-9C076B80BAE8}" name="11113" dataDxfId="5497"/>
    <tableColumn id="10894" xr3:uid="{254CC5E9-8AF2-4CF9-A67F-43B975CBB2FC}" name="11114" dataDxfId="5496"/>
    <tableColumn id="10895" xr3:uid="{A5B2A911-C8AB-4061-A70A-8B653B6C09BD}" name="11115" dataDxfId="5495"/>
    <tableColumn id="10896" xr3:uid="{94099E1B-C276-46AC-AB6A-707D1521887E}" name="11116" dataDxfId="5494"/>
    <tableColumn id="10897" xr3:uid="{8D999E1D-34A7-4704-8CA1-F01555CA5C02}" name="11117" dataDxfId="5493"/>
    <tableColumn id="10898" xr3:uid="{5C245A86-9488-4FEC-BFBB-EB44ACAD7974}" name="11118" dataDxfId="5492"/>
    <tableColumn id="10899" xr3:uid="{5710E243-11C3-44FC-8135-1A17ABB3E8E4}" name="11119" dataDxfId="5491"/>
    <tableColumn id="10900" xr3:uid="{DD2AA4EE-5BE8-4CF9-8984-953C65A22C6F}" name="11120" dataDxfId="5490"/>
    <tableColumn id="10901" xr3:uid="{40B5C467-261B-4D10-AC2D-1CADBC413F64}" name="11121" dataDxfId="5489"/>
    <tableColumn id="10902" xr3:uid="{3DFD7CA2-62EB-42F1-A40B-E811A68042FA}" name="11122" dataDxfId="5488"/>
    <tableColumn id="10903" xr3:uid="{80C0D4DB-D128-4061-88C6-6D3DCAE391EA}" name="11123" dataDxfId="5487"/>
    <tableColumn id="10904" xr3:uid="{7BA8876B-962C-4353-BBA2-1ECBEE5F709E}" name="11124" dataDxfId="5486"/>
    <tableColumn id="10905" xr3:uid="{D127D306-B662-476C-9B90-7FC2AFE5ADEC}" name="11125" dataDxfId="5485"/>
    <tableColumn id="10906" xr3:uid="{E55BF7D6-C832-4649-98A5-FC62DFAF6984}" name="11126" dataDxfId="5484"/>
    <tableColumn id="10907" xr3:uid="{535693B7-E4C1-49E4-B0BA-741C7B39E450}" name="11127" dataDxfId="5483"/>
    <tableColumn id="10908" xr3:uid="{6048F411-A75F-48EF-B852-0E15E65666DB}" name="11128" dataDxfId="5482"/>
    <tableColumn id="10909" xr3:uid="{E50A3A70-9BC6-4C74-8929-FF2EB0D90C88}" name="11129" dataDxfId="5481"/>
    <tableColumn id="10910" xr3:uid="{DA83C60A-B1FF-4923-8E76-83EF0E49CAEB}" name="11130" dataDxfId="5480"/>
    <tableColumn id="10911" xr3:uid="{65476C07-4325-4E58-86E8-8A38C2233513}" name="11131" dataDxfId="5479"/>
    <tableColumn id="10912" xr3:uid="{E6BDEAE1-6054-40A3-9924-9FB1A5E28F4B}" name="11132" dataDxfId="5478"/>
    <tableColumn id="10913" xr3:uid="{4EFE633C-9FA5-4E46-A85F-7F5B24FAC598}" name="11133" dataDxfId="5477"/>
    <tableColumn id="10914" xr3:uid="{2E384EAC-30F3-404D-B92B-B5FF39C42520}" name="11134" dataDxfId="5476"/>
    <tableColumn id="10915" xr3:uid="{DEDFAA5E-3F5F-4197-9C1B-B5E75DB31858}" name="11135" dataDxfId="5475"/>
    <tableColumn id="10916" xr3:uid="{A967F326-AAE1-4583-87E3-1F22894E864F}" name="11136" dataDxfId="5474"/>
    <tableColumn id="10917" xr3:uid="{4E469E88-4D00-457F-A4CD-F4187E497B5D}" name="11137" dataDxfId="5473"/>
    <tableColumn id="10918" xr3:uid="{9246B645-9CB1-4C65-AE36-10C36EB26C48}" name="11138" dataDxfId="5472"/>
    <tableColumn id="10919" xr3:uid="{11EFACC8-6E48-43E5-AC15-DE0D24AE960E}" name="11139" dataDxfId="5471"/>
    <tableColumn id="10920" xr3:uid="{3BF27BF7-61E7-4DD1-9597-86B59AD1F453}" name="11140" dataDxfId="5470"/>
    <tableColumn id="10921" xr3:uid="{F7804ED5-B6EB-4340-9039-6B6BDF6E5CCB}" name="11141" dataDxfId="5469"/>
    <tableColumn id="10922" xr3:uid="{3781E46D-836C-4AA0-A56E-CD5ED81705E1}" name="11142" dataDxfId="5468"/>
    <tableColumn id="10923" xr3:uid="{CECB97F0-A103-4E28-81B1-4B4A7A41A34B}" name="11143" dataDxfId="5467"/>
    <tableColumn id="10924" xr3:uid="{5630E86B-13A7-4976-906A-884927FC090D}" name="11144" dataDxfId="5466"/>
    <tableColumn id="10925" xr3:uid="{3F2D4666-5DA5-44EA-B8C2-0ED05B51991F}" name="11145" dataDxfId="5465"/>
    <tableColumn id="10926" xr3:uid="{00C9CA33-4BF1-4F92-9BFC-073F69F35816}" name="11146" dataDxfId="5464"/>
    <tableColumn id="10927" xr3:uid="{8A1D5B0D-AD93-4187-BEF9-D2A947A63705}" name="11147" dataDxfId="5463"/>
    <tableColumn id="10928" xr3:uid="{8759D1DA-107F-4EDF-81D0-DEA6F48B4A68}" name="11148" dataDxfId="5462"/>
    <tableColumn id="10929" xr3:uid="{A1E70EDE-8A86-455B-A158-6C2E5F4B5119}" name="11149" dataDxfId="5461"/>
    <tableColumn id="10930" xr3:uid="{37E68E73-AB4C-4F29-B663-223EC7CAFDD5}" name="11150" dataDxfId="5460"/>
    <tableColumn id="10931" xr3:uid="{05D8D5F4-D338-4A4E-BCE1-179F381E1CD3}" name="11151" dataDxfId="5459"/>
    <tableColumn id="10932" xr3:uid="{5DB7A99B-DF35-49B0-9A17-275FD4FF07FC}" name="11152" dataDxfId="5458"/>
    <tableColumn id="10933" xr3:uid="{77770909-F8F0-415F-B0A7-3579DB155736}" name="11153" dataDxfId="5457"/>
    <tableColumn id="10934" xr3:uid="{BB322231-D69C-413B-9E9D-E87D67C8CA13}" name="11154" dataDxfId="5456"/>
    <tableColumn id="10935" xr3:uid="{7B0A264A-CD92-480A-9219-01D12872D414}" name="11155" dataDxfId="5455"/>
    <tableColumn id="10936" xr3:uid="{088255BC-9853-4FAD-AA87-10A8B49E275F}" name="11156" dataDxfId="5454"/>
    <tableColumn id="10937" xr3:uid="{8FD63B0C-A42B-441D-990C-A9AD4B949B2B}" name="11157" dataDxfId="5453"/>
    <tableColumn id="10938" xr3:uid="{9A6AFD6C-8569-427E-8EA7-C11521586900}" name="11158" dataDxfId="5452"/>
    <tableColumn id="10939" xr3:uid="{B06C41DC-99EE-4DB6-A6B5-2B8C5E00F1A0}" name="11159" dataDxfId="5451"/>
    <tableColumn id="10940" xr3:uid="{32E559E0-389F-4D71-AA77-3C98ACE38E15}" name="11160" dataDxfId="5450"/>
    <tableColumn id="10941" xr3:uid="{22EDC64F-970E-42DF-AEEB-908DAB1F6282}" name="11161" dataDxfId="5449"/>
    <tableColumn id="10942" xr3:uid="{3313A383-A32F-47C7-A7DD-0B42B44062FE}" name="11162" dataDxfId="5448"/>
    <tableColumn id="10943" xr3:uid="{6FB037FC-1BBD-4685-AF04-9C2DA8C5E7C0}" name="11163" dataDxfId="5447"/>
    <tableColumn id="10944" xr3:uid="{9E8D8DFF-CAC0-4DD5-A7C0-EB0EC1AEAF78}" name="11164" dataDxfId="5446"/>
    <tableColumn id="10945" xr3:uid="{4262C266-8052-4021-869D-9C6EE67C8CB4}" name="11165" dataDxfId="5445"/>
    <tableColumn id="10946" xr3:uid="{D3B8BDA5-AFC1-4F9A-AB28-D908A1D7B206}" name="11166" dataDxfId="5444"/>
    <tableColumn id="10947" xr3:uid="{9B064F1C-EBC1-47D5-8735-4FEEB3F29600}" name="11167" dataDxfId="5443"/>
    <tableColumn id="10948" xr3:uid="{BBE2E4CB-9E07-4EE5-8309-F05CD6F77227}" name="11168" dataDxfId="5442"/>
    <tableColumn id="10949" xr3:uid="{2F7C0FF7-3E24-4505-9590-5636EAD269BE}" name="11169" dataDxfId="5441"/>
    <tableColumn id="10950" xr3:uid="{BF8969A2-C75F-46F1-ABFF-8EBC60E1FE3E}" name="11170" dataDxfId="5440"/>
    <tableColumn id="10951" xr3:uid="{6113882A-E6BE-447B-864E-3D248F5DA841}" name="11171" dataDxfId="5439"/>
    <tableColumn id="10952" xr3:uid="{62D91249-CCB3-431D-B8D6-36F4A47F2CB6}" name="11172" dataDxfId="5438"/>
    <tableColumn id="10953" xr3:uid="{0DA7934E-15BD-43FB-AB67-8BEDECD474A7}" name="11173" dataDxfId="5437"/>
    <tableColumn id="10954" xr3:uid="{055779E9-EE4B-4834-8677-A61163FDA483}" name="11174" dataDxfId="5436"/>
    <tableColumn id="10955" xr3:uid="{5360A575-4B67-43FA-A248-F42CD34BF1E8}" name="11175" dataDxfId="5435"/>
    <tableColumn id="10956" xr3:uid="{73C5D3A7-8D44-4CB0-B272-3EDF19C4C5AB}" name="11176" dataDxfId="5434"/>
    <tableColumn id="10957" xr3:uid="{63FBCB78-9856-46E3-B970-22962E8BC458}" name="11177" dataDxfId="5433"/>
    <tableColumn id="10958" xr3:uid="{4A2E2EF4-1426-4B9C-99FF-025B1667A8DD}" name="11178" dataDxfId="5432"/>
    <tableColumn id="10959" xr3:uid="{418D4590-04B4-4520-B703-53FA5F08F804}" name="11179" dataDxfId="5431"/>
    <tableColumn id="10960" xr3:uid="{72AD2223-01D8-4154-A8CC-407BC4A2173D}" name="11180" dataDxfId="5430"/>
    <tableColumn id="10961" xr3:uid="{01DEB33A-FFEC-476E-A364-A37DE4F6571B}" name="11181" dataDxfId="5429"/>
    <tableColumn id="10962" xr3:uid="{AA4CE395-AFF0-4370-8D57-D4ACA8A2A08D}" name="11182" dataDxfId="5428"/>
    <tableColumn id="10963" xr3:uid="{0E27F7C7-F1FB-4A95-BF34-8811B5A5C909}" name="11183" dataDxfId="5427"/>
    <tableColumn id="10964" xr3:uid="{82284BCE-0403-4FAF-8AE3-482F59BE0C5E}" name="11184" dataDxfId="5426"/>
    <tableColumn id="10965" xr3:uid="{87552829-6476-4A4E-AC88-6A5B74BFE2E2}" name="11185" dataDxfId="5425"/>
    <tableColumn id="10966" xr3:uid="{B9AF2EC4-640E-4A29-BE4A-8F16FCC8B488}" name="11186" dataDxfId="5424"/>
    <tableColumn id="10967" xr3:uid="{B7452A5E-5140-475E-B2F2-3F2DE0FE6A06}" name="11187" dataDxfId="5423"/>
    <tableColumn id="10968" xr3:uid="{8A2577F4-E548-43B8-9FF0-EDC7FED57EBA}" name="11188" dataDxfId="5422"/>
    <tableColumn id="10969" xr3:uid="{97384C06-B672-42CB-BFB5-B755A9D0F47A}" name="11189" dataDxfId="5421"/>
    <tableColumn id="10970" xr3:uid="{BE258180-A546-4759-A3F3-C48A6D8C852C}" name="11190" dataDxfId="5420"/>
    <tableColumn id="10971" xr3:uid="{0115E0AC-7E3E-40ED-B5A8-D39E393E2928}" name="11191" dataDxfId="5419"/>
    <tableColumn id="10972" xr3:uid="{A8A10756-5135-4868-90B3-C4B4D5740139}" name="11192" dataDxfId="5418"/>
    <tableColumn id="10973" xr3:uid="{1865A4CE-9B30-45EA-87F3-D933F98D70C9}" name="11193" dataDxfId="5417"/>
    <tableColumn id="10974" xr3:uid="{48F0CA7A-5D62-476A-B9AA-CF013EA5B324}" name="11194" dataDxfId="5416"/>
    <tableColumn id="10975" xr3:uid="{71BF34C3-4B49-4DAA-A95C-09D8A576BCDE}" name="11195" dataDxfId="5415"/>
    <tableColumn id="10976" xr3:uid="{27D9A0F9-411E-4CCC-91A8-C37CFA238DF3}" name="11196" dataDxfId="5414"/>
    <tableColumn id="10977" xr3:uid="{3F07D375-1E02-4C0F-BE47-A642C54F3695}" name="11197" dataDxfId="5413"/>
    <tableColumn id="10978" xr3:uid="{243A5FD0-2F96-45D3-AC9C-19C9AE802A85}" name="11198" dataDxfId="5412"/>
    <tableColumn id="10979" xr3:uid="{42562E17-F420-4A79-ABBC-90172F09C791}" name="11199" dataDxfId="5411"/>
    <tableColumn id="10980" xr3:uid="{5D7C6A35-621E-4B64-BFA1-0C3C8385AEA0}" name="11200" dataDxfId="5410"/>
    <tableColumn id="10981" xr3:uid="{CB9A6E16-EEC1-48CA-B82D-C6461FEBE0B7}" name="11201" dataDxfId="5409"/>
    <tableColumn id="10982" xr3:uid="{F1CC333D-BBDC-4EF8-BDD2-06867AE136D7}" name="11202" dataDxfId="5408"/>
    <tableColumn id="10983" xr3:uid="{46DACDCE-8D46-4251-B0AA-51AF8875EC85}" name="11203" dataDxfId="5407"/>
    <tableColumn id="10984" xr3:uid="{70A51465-0450-4838-93CB-4F8004B2AD2E}" name="11204" dataDxfId="5406"/>
    <tableColumn id="10985" xr3:uid="{F85007A5-C066-46ED-8B89-6BB6FCEAAD10}" name="11205" dataDxfId="5405"/>
    <tableColumn id="10986" xr3:uid="{BA1DC807-43DF-4420-8EA2-624FF434DFDA}" name="11206" dataDxfId="5404"/>
    <tableColumn id="10987" xr3:uid="{15F63D50-22CD-4CB3-BDE2-51E5C96D9402}" name="11207" dataDxfId="5403"/>
    <tableColumn id="10988" xr3:uid="{93C9EC14-C832-4752-8021-EA5198AA237C}" name="11208" dataDxfId="5402"/>
    <tableColumn id="10989" xr3:uid="{190E63EB-AC3B-4F2D-B47D-433C7DF3E0C8}" name="11209" dataDxfId="5401"/>
    <tableColumn id="10990" xr3:uid="{F370ED43-299D-4366-968E-F57BE64B7DDD}" name="11210" dataDxfId="5400"/>
    <tableColumn id="10991" xr3:uid="{EA6E9A9A-0403-448B-A6EC-5D728615DC28}" name="11211" dataDxfId="5399"/>
    <tableColumn id="10992" xr3:uid="{C143AB7F-3096-4FA8-862A-88D9F0987085}" name="11212" dataDxfId="5398"/>
    <tableColumn id="10993" xr3:uid="{DEF9B6A6-E11E-443B-A99C-709A316EF692}" name="11213" dataDxfId="5397"/>
    <tableColumn id="10994" xr3:uid="{7CC5BB55-D39F-4577-8488-C7FBE4C6C0A5}" name="11214" dataDxfId="5396"/>
    <tableColumn id="10995" xr3:uid="{D769303B-8593-4CA3-ADFC-C6798340E6E8}" name="11215" dataDxfId="5395"/>
    <tableColumn id="10996" xr3:uid="{AAF850D3-819F-4D13-B4C4-C667A7CED97D}" name="11216" dataDxfId="5394"/>
    <tableColumn id="10997" xr3:uid="{1D9571E6-C88E-4F25-AA27-E3B7BDD18FC2}" name="11217" dataDxfId="5393"/>
    <tableColumn id="10998" xr3:uid="{C28B8A68-2C52-470E-8273-26275D015741}" name="11218" dataDxfId="5392"/>
    <tableColumn id="10999" xr3:uid="{69EB9CEC-58CA-4768-A68A-C85BE089CBA6}" name="11219" dataDxfId="5391"/>
    <tableColumn id="11000" xr3:uid="{38D02756-0D8E-4445-B267-6A7A2075E3B6}" name="11220" dataDxfId="5390"/>
    <tableColumn id="11001" xr3:uid="{651207AE-5E45-49CA-8A2E-0873D9116FFB}" name="11221" dataDxfId="5389"/>
    <tableColumn id="11002" xr3:uid="{4D0F715D-F2E4-491F-8557-39BF8700A1C8}" name="11222" dataDxfId="5388"/>
    <tableColumn id="11003" xr3:uid="{5C15871C-32CF-4A75-93D1-8DD9538CE106}" name="11223" dataDxfId="5387"/>
    <tableColumn id="11004" xr3:uid="{B7600E63-D23C-44D6-A81D-D5D02260CD4D}" name="11224" dataDxfId="5386"/>
    <tableColumn id="11005" xr3:uid="{3CBB5D70-13AF-44BE-A6F0-99882F62140B}" name="11225" dataDxfId="5385"/>
    <tableColumn id="11006" xr3:uid="{59996E33-7930-4C7F-B046-DAC0BF0571D3}" name="11226" dataDxfId="5384"/>
    <tableColumn id="11007" xr3:uid="{3E660119-8A55-416C-ADD3-CC9DD2281451}" name="11227" dataDxfId="5383"/>
    <tableColumn id="11008" xr3:uid="{B53470E4-D317-487F-8D31-03C4C6CB3E8F}" name="11228" dataDxfId="5382"/>
    <tableColumn id="11009" xr3:uid="{F07682B2-5893-4570-B65F-6113FDF5198C}" name="11229" dataDxfId="5381"/>
    <tableColumn id="11010" xr3:uid="{1B70D089-A7C8-4615-BC8C-672445E2A321}" name="11230" dataDxfId="5380"/>
    <tableColumn id="11011" xr3:uid="{F7CB3B5C-AF82-4416-A459-8C30459F8BCE}" name="11231" dataDxfId="5379"/>
    <tableColumn id="11012" xr3:uid="{F17F5FE4-5757-4B1B-BC70-FBB4CD410D99}" name="11232" dataDxfId="5378"/>
    <tableColumn id="11013" xr3:uid="{E1E80159-5232-4E92-A383-366BEF6CF289}" name="11233" dataDxfId="5377"/>
    <tableColumn id="11014" xr3:uid="{D79BCAB4-ED98-4FE3-AACC-7C496607C3AC}" name="11234" dataDxfId="5376"/>
    <tableColumn id="11015" xr3:uid="{E4A3A786-2DF8-4867-BC42-77BAAF7E83BC}" name="11235" dataDxfId="5375"/>
    <tableColumn id="11016" xr3:uid="{A98EF299-E5A7-4B80-9FCD-7A6419BE452D}" name="11236" dataDxfId="5374"/>
    <tableColumn id="11017" xr3:uid="{436C435A-242A-4309-8E25-347FBE72CA74}" name="11237" dataDxfId="5373"/>
    <tableColumn id="11018" xr3:uid="{5C47067A-84BD-471C-8245-A7049D57DFE7}" name="11238" dataDxfId="5372"/>
    <tableColumn id="11019" xr3:uid="{CDD3EE39-C3BE-4EDB-957E-7E839763846F}" name="11239" dataDxfId="5371"/>
    <tableColumn id="11020" xr3:uid="{92F9694D-F448-445F-9B0B-E6ADF8372EC8}" name="11240" dataDxfId="5370"/>
    <tableColumn id="11021" xr3:uid="{8C01AE2D-F925-4010-A7DE-51818854001C}" name="11241" dataDxfId="5369"/>
    <tableColumn id="11022" xr3:uid="{334120FC-EC78-4F5B-8D7B-BE13D66E554A}" name="11242" dataDxfId="5368"/>
    <tableColumn id="11023" xr3:uid="{0813AAAA-27DF-4C20-B575-2C2B62C1A028}" name="11243" dataDxfId="5367"/>
    <tableColumn id="11024" xr3:uid="{4F981C12-9E27-4243-A484-C7977A83C433}" name="11244" dataDxfId="5366"/>
    <tableColumn id="11025" xr3:uid="{5061A4BC-7C30-4421-A3A7-3D7C394C1446}" name="11245" dataDxfId="5365"/>
    <tableColumn id="11026" xr3:uid="{2C216AD6-3F82-475C-90CB-625CBA28BB92}" name="11246" dataDxfId="5364"/>
    <tableColumn id="11027" xr3:uid="{DCE45771-7939-496A-864F-34B419D44B48}" name="11247" dataDxfId="5363"/>
    <tableColumn id="11028" xr3:uid="{C1667257-869B-4176-AED8-66F05696437B}" name="11248" dataDxfId="5362"/>
    <tableColumn id="11029" xr3:uid="{9A558BF9-6FDD-4D28-8EC8-2C7690C3F925}" name="11249" dataDxfId="5361"/>
    <tableColumn id="11030" xr3:uid="{14E89186-8975-4214-B498-280B0F853EAD}" name="11250" dataDxfId="5360"/>
    <tableColumn id="11031" xr3:uid="{04AA9351-1C05-452D-9AFE-1B46DFF16AB1}" name="11251" dataDxfId="5359"/>
    <tableColumn id="11032" xr3:uid="{79583376-FFB6-45A0-944E-2C2C1B4A3976}" name="11252" dataDxfId="5358"/>
    <tableColumn id="11033" xr3:uid="{D414001F-0C7F-444D-AD85-B818F34FE4B4}" name="11253" dataDxfId="5357"/>
    <tableColumn id="11034" xr3:uid="{A7783C8E-0CDD-4BB7-AF8B-EFF0E16E61BA}" name="11254" dataDxfId="5356"/>
    <tableColumn id="11035" xr3:uid="{B93CF329-E9DF-4019-BED5-F867EF2A9F98}" name="11255" dataDxfId="5355"/>
    <tableColumn id="11036" xr3:uid="{BB7B6FFB-D727-4991-8B82-77657B04752F}" name="11256" dataDxfId="5354"/>
    <tableColumn id="11037" xr3:uid="{1D17795B-1A91-45F1-A69E-D94745A4C05B}" name="11257" dataDxfId="5353"/>
    <tableColumn id="11038" xr3:uid="{163A5763-D214-41DC-A208-978B58D8C5E1}" name="11258" dataDxfId="5352"/>
    <tableColumn id="11039" xr3:uid="{C6E7CBBA-5733-41C3-BC03-17656868DB3C}" name="11259" dataDxfId="5351"/>
    <tableColumn id="11040" xr3:uid="{27B7F624-3D46-461A-A562-CDF4DE33A903}" name="11260" dataDxfId="5350"/>
    <tableColumn id="11041" xr3:uid="{65571053-F153-4499-BCF5-60F289BE0B2D}" name="11261" dataDxfId="5349"/>
    <tableColumn id="11042" xr3:uid="{004C6CE9-4DF8-4764-ABD0-B6602218A09D}" name="11262" dataDxfId="5348"/>
    <tableColumn id="11043" xr3:uid="{C6A6E131-9CE6-4A67-8DEB-2EFD75BFC4AC}" name="11263" dataDxfId="5347"/>
    <tableColumn id="11044" xr3:uid="{5F08715C-2A49-4680-BE28-6F35DBDE31AA}" name="11264" dataDxfId="5346"/>
    <tableColumn id="11045" xr3:uid="{C3588678-31DC-43CE-B36C-A7CCB8B0DD95}" name="11265" dataDxfId="5345"/>
    <tableColumn id="11046" xr3:uid="{CA3C5816-B4DF-43C5-B12B-CD1C436B884E}" name="11266" dataDxfId="5344"/>
    <tableColumn id="11047" xr3:uid="{9DB4677C-4C1D-4BE6-A56C-B573EF2B62F3}" name="11267" dataDxfId="5343"/>
    <tableColumn id="11048" xr3:uid="{B69AC817-DFB4-453E-BA9C-B41E403E3C3F}" name="11268" dataDxfId="5342"/>
    <tableColumn id="11049" xr3:uid="{0730A19C-13A3-48EB-820E-515E62DCC403}" name="11269" dataDxfId="5341"/>
    <tableColumn id="11050" xr3:uid="{6072AB6B-2BB1-4755-A801-74CAC6C0A846}" name="11270" dataDxfId="5340"/>
    <tableColumn id="11051" xr3:uid="{DFECE2F0-3C03-4689-8C72-B1D6620C6DCB}" name="11271" dataDxfId="5339"/>
    <tableColumn id="11052" xr3:uid="{B17CCF07-E8F3-40D1-8204-F19AB4EC04C7}" name="11272" dataDxfId="5338"/>
    <tableColumn id="11053" xr3:uid="{16E98543-3956-46D7-9BE0-7381B17133F0}" name="11273" dataDxfId="5337"/>
    <tableColumn id="11054" xr3:uid="{FD1F9EB1-2CD8-4398-B442-AAAE90762403}" name="11274" dataDxfId="5336"/>
    <tableColumn id="11055" xr3:uid="{800B228E-CB44-4F69-A856-2899EC59E30E}" name="11275" dataDxfId="5335"/>
    <tableColumn id="11056" xr3:uid="{BECB0820-DD3C-4AB6-920E-C3F33B430535}" name="11276" dataDxfId="5334"/>
    <tableColumn id="11057" xr3:uid="{B89C90DF-E561-4624-9786-6724EC8CE307}" name="11277" dataDxfId="5333"/>
    <tableColumn id="11058" xr3:uid="{773F6795-0F35-4610-A90F-DE1743BB80B3}" name="11278" dataDxfId="5332"/>
    <tableColumn id="11059" xr3:uid="{45A9C7E4-3031-41B6-8329-076958EC6A08}" name="11279" dataDxfId="5331"/>
    <tableColumn id="11060" xr3:uid="{53DF482C-060B-4BCA-9FEA-49A0042F6FA4}" name="11280" dataDxfId="5330"/>
    <tableColumn id="11061" xr3:uid="{73E4B6F9-4998-4A7C-BAC4-A8289062ED46}" name="11281" dataDxfId="5329"/>
    <tableColumn id="11062" xr3:uid="{26D8FD37-0D05-4ED3-8EC6-EF2EFD13B6EA}" name="11282" dataDxfId="5328"/>
    <tableColumn id="11063" xr3:uid="{0E2AF537-F35B-4385-AC4F-1A191425ED92}" name="11283" dataDxfId="5327"/>
    <tableColumn id="11064" xr3:uid="{B9260BCB-F7C3-4310-B9F3-8879036674DC}" name="11284" dataDxfId="5326"/>
    <tableColumn id="11065" xr3:uid="{32BE1186-C3F0-4F99-878A-407F3F912C25}" name="11285" dataDxfId="5325"/>
    <tableColumn id="11066" xr3:uid="{EC006B4B-ED06-4A54-936E-CDFA09742F0F}" name="11286" dataDxfId="5324"/>
    <tableColumn id="11067" xr3:uid="{0C28F48F-121B-47AB-A264-1651664CBF86}" name="11287" dataDxfId="5323"/>
    <tableColumn id="11068" xr3:uid="{3FA99F6A-042D-4D78-A834-5A6B925FF20C}" name="11288" dataDxfId="5322"/>
    <tableColumn id="11069" xr3:uid="{2DDED37C-FFF6-4A50-A89D-BC1260E1DA69}" name="11289" dataDxfId="5321"/>
    <tableColumn id="11070" xr3:uid="{77F6641A-9918-488A-B6B0-09F683290E8C}" name="11290" dataDxfId="5320"/>
    <tableColumn id="11071" xr3:uid="{F6CF511A-7908-458C-B3FB-EC724507D6E1}" name="11291" dataDxfId="5319"/>
    <tableColumn id="11072" xr3:uid="{AB1A1B5A-BFC5-49DE-ADCE-6845D37B222A}" name="11292" dataDxfId="5318"/>
    <tableColumn id="11073" xr3:uid="{5B2BB60A-AA3E-473F-B7C8-3488F8F8E185}" name="11293" dataDxfId="5317"/>
    <tableColumn id="11074" xr3:uid="{A113FFC4-218E-4F29-B1F5-F6B249791443}" name="11294" dataDxfId="5316"/>
    <tableColumn id="11075" xr3:uid="{9822CD8A-8083-4863-864D-37F89CDDCA68}" name="11295" dataDxfId="5315"/>
    <tableColumn id="11076" xr3:uid="{12C97436-18BF-4742-9BAA-23C59313E3B8}" name="11296" dataDxfId="5314"/>
    <tableColumn id="11077" xr3:uid="{CB3758EF-0095-4EF2-9ECD-B2B3F6C2B22A}" name="11297" dataDxfId="5313"/>
    <tableColumn id="11078" xr3:uid="{B3F1E8AC-434C-48C1-90D6-9E40E77A3D25}" name="11298" dataDxfId="5312"/>
    <tableColumn id="11079" xr3:uid="{4DE23494-27CE-42A0-BBC3-C72C56743F6D}" name="11299" dataDxfId="5311"/>
    <tableColumn id="11080" xr3:uid="{721EA21B-6992-457C-BD8F-CCD5723208F5}" name="11300" dataDxfId="5310"/>
    <tableColumn id="11081" xr3:uid="{CBC612AE-1D63-45EF-B4FC-54F158AC412D}" name="11301" dataDxfId="5309"/>
    <tableColumn id="11082" xr3:uid="{F00C1BF2-C3C9-48B5-8E53-09AFD833A0AE}" name="11302" dataDxfId="5308"/>
    <tableColumn id="11083" xr3:uid="{E601B2D7-9B80-4BB5-8774-970AE2E9F93E}" name="11303" dataDxfId="5307"/>
    <tableColumn id="11084" xr3:uid="{A5689B9A-733D-4958-97FE-9C2319CA810B}" name="11304" dataDxfId="5306"/>
    <tableColumn id="11085" xr3:uid="{706FCCD0-3F9F-4DC9-944E-4249BA96D6DD}" name="11305" dataDxfId="5305"/>
    <tableColumn id="11086" xr3:uid="{9902D2BF-BBC0-4FF5-8F5E-C99388D854D3}" name="11306" dataDxfId="5304"/>
    <tableColumn id="11087" xr3:uid="{B3A12834-A82C-4072-A557-6C7D350B9546}" name="11307" dataDxfId="5303"/>
    <tableColumn id="11088" xr3:uid="{404C6986-AEEF-4D8B-BFBB-6F32ABEF133F}" name="11308" dataDxfId="5302"/>
    <tableColumn id="11089" xr3:uid="{843380C0-1D90-4337-A43F-191B4E469B69}" name="11309" dataDxfId="5301"/>
    <tableColumn id="11090" xr3:uid="{5DF73B0A-E3C3-4B06-B285-B05DF6D609F8}" name="11310" dataDxfId="5300"/>
    <tableColumn id="11091" xr3:uid="{8FEBE110-B5A2-480D-8C29-1CE883CADB69}" name="11311" dataDxfId="5299"/>
    <tableColumn id="11092" xr3:uid="{03CBC44C-0F90-4C9E-8D60-358E788C55D6}" name="11312" dataDxfId="5298"/>
    <tableColumn id="11093" xr3:uid="{986B0FFC-4B90-4C7C-BF12-98814400A62D}" name="11313" dataDxfId="5297"/>
    <tableColumn id="11094" xr3:uid="{1D079AB3-212D-40BC-A216-62B398F46F72}" name="11314" dataDxfId="5296"/>
    <tableColumn id="11095" xr3:uid="{321E6768-C67C-42F3-B126-5AE8914048AD}" name="11315" dataDxfId="5295"/>
    <tableColumn id="11096" xr3:uid="{AFCEA5F6-575C-42D4-AEEA-B06E4A65971C}" name="11316" dataDxfId="5294"/>
    <tableColumn id="11097" xr3:uid="{C1D9E200-6EF9-4A29-BDFE-26FA775FF8D8}" name="11317" dataDxfId="5293"/>
    <tableColumn id="11098" xr3:uid="{C3A0DB77-4CDF-4DD0-9045-E4BA67C32315}" name="11318" dataDxfId="5292"/>
    <tableColumn id="11099" xr3:uid="{E2EB18A6-4BE6-49BB-8008-9B69FD2DFC59}" name="11319" dataDxfId="5291"/>
    <tableColumn id="11100" xr3:uid="{433ED319-5833-4618-B568-7DCBDF0F611F}" name="11320" dataDxfId="5290"/>
    <tableColumn id="11101" xr3:uid="{D134F9A7-8870-4069-AB2F-7622091CC479}" name="11321" dataDxfId="5289"/>
    <tableColumn id="11102" xr3:uid="{66BFAFF9-B79B-4434-BE0D-09334BFEB3C5}" name="11322" dataDxfId="5288"/>
    <tableColumn id="11103" xr3:uid="{024BFC82-6734-430E-BE9D-4D3D91572D3D}" name="11323" dataDxfId="5287"/>
    <tableColumn id="11104" xr3:uid="{F2FDE4C0-EF11-43BD-B1CC-ED546CFB26EE}" name="11324" dataDxfId="5286"/>
    <tableColumn id="11105" xr3:uid="{A6079023-B171-41D3-8B3A-EF795BAEA114}" name="11325" dataDxfId="5285"/>
    <tableColumn id="11106" xr3:uid="{2994A47E-6051-45DD-B794-94CE7A20EA08}" name="11326" dataDxfId="5284"/>
    <tableColumn id="11107" xr3:uid="{1D82F33C-B237-4342-B13C-FCFE39D72856}" name="11327" dataDxfId="5283"/>
    <tableColumn id="11108" xr3:uid="{CADF08E7-FDB4-426E-9CBB-5BD2BD1497DA}" name="11328" dataDxfId="5282"/>
    <tableColumn id="11109" xr3:uid="{89FE4A71-57AD-4C71-B9FF-072A2E3A03D1}" name="11329" dataDxfId="5281"/>
    <tableColumn id="11110" xr3:uid="{F3670330-2DB2-422D-8B71-0698F8943BE3}" name="11330" dataDxfId="5280"/>
    <tableColumn id="11111" xr3:uid="{5ACABD13-6F35-4B93-AECD-6514C8AD57E0}" name="11331" dataDxfId="5279"/>
    <tableColumn id="11112" xr3:uid="{14F17ABA-A362-4021-A569-473D7972AB48}" name="11332" dataDxfId="5278"/>
    <tableColumn id="11113" xr3:uid="{39854D27-C349-40F6-89C0-C055CB98F2BA}" name="11333" dataDxfId="5277"/>
    <tableColumn id="11114" xr3:uid="{89EF7BE9-91D7-45F5-8E39-7310FA2F3766}" name="11334" dataDxfId="5276"/>
    <tableColumn id="11115" xr3:uid="{85EA66A3-BFA0-49CD-B82D-7D9C917F5A24}" name="11335" dataDxfId="5275"/>
    <tableColumn id="11116" xr3:uid="{6712D556-430C-4ABD-A118-B40323A26733}" name="11336" dataDxfId="5274"/>
    <tableColumn id="11117" xr3:uid="{C2FF6903-4346-46DB-8439-70C7476FC021}" name="11337" dataDxfId="5273"/>
    <tableColumn id="11118" xr3:uid="{607E5CD6-B4CB-421A-854B-ED047118A3FF}" name="11338" dataDxfId="5272"/>
    <tableColumn id="11119" xr3:uid="{DFB50950-EDBD-40C5-A864-CFD69271FB00}" name="11339" dataDxfId="5271"/>
    <tableColumn id="11120" xr3:uid="{F13E5D44-FCC5-4D8D-A632-DAA917C16CC9}" name="11340" dataDxfId="5270"/>
    <tableColumn id="11121" xr3:uid="{F31EC016-0171-4F89-895D-A98ED7900A77}" name="11341" dataDxfId="5269"/>
    <tableColumn id="11122" xr3:uid="{4365B995-A4F5-483F-8B94-81E02A3AA21C}" name="11342" dataDxfId="5268"/>
    <tableColumn id="11123" xr3:uid="{E10D8BC4-D23D-41E5-9C99-08326B163A97}" name="11343" dataDxfId="5267"/>
    <tableColumn id="11124" xr3:uid="{D8712290-FD76-4F06-84EF-73144D01FEA6}" name="11344" dataDxfId="5266"/>
    <tableColumn id="11125" xr3:uid="{9FDBBB01-34FB-4706-B01F-D30CB87FB259}" name="11345" dataDxfId="5265"/>
    <tableColumn id="11126" xr3:uid="{C349A2E5-7B6E-4305-BB4A-DE93BDD1EACE}" name="11346" dataDxfId="5264"/>
    <tableColumn id="11127" xr3:uid="{63FE1DA1-4235-4017-BB61-010512D598DD}" name="11347" dataDxfId="5263"/>
    <tableColumn id="11128" xr3:uid="{13352C6F-BFEA-4264-856A-3D7A671F4ECC}" name="11348" dataDxfId="5262"/>
    <tableColumn id="11129" xr3:uid="{70FDC7A9-01DC-4A8F-8281-2D16A1AE7694}" name="11349" dataDxfId="5261"/>
    <tableColumn id="11130" xr3:uid="{85169DA6-C884-4397-AE46-1629390CDF2D}" name="11350" dataDxfId="5260"/>
    <tableColumn id="11131" xr3:uid="{A62AB24D-367A-4A0E-B635-0161516F4C8D}" name="11351" dataDxfId="5259"/>
    <tableColumn id="11132" xr3:uid="{35D6B7E6-3FC0-4878-A014-49D0159CC0C3}" name="11352" dataDxfId="5258"/>
    <tableColumn id="11133" xr3:uid="{BD58BAC5-EB17-4D60-9A11-D6E1C49EAF1F}" name="11353" dataDxfId="5257"/>
    <tableColumn id="11134" xr3:uid="{05D7E906-9005-4FD5-ABF6-B60A4D7E32FA}" name="11354" dataDxfId="5256"/>
    <tableColumn id="11135" xr3:uid="{8BEF10ED-45AB-4A09-8744-57153AD420C8}" name="11355" dataDxfId="5255"/>
    <tableColumn id="11136" xr3:uid="{7EB9103C-4BBC-4821-996F-EB7DDD36AD23}" name="11356" dataDxfId="5254"/>
    <tableColumn id="11137" xr3:uid="{0022D09F-9386-446B-BC6B-718692FB237A}" name="11357" dataDxfId="5253"/>
    <tableColumn id="11138" xr3:uid="{DEF59388-840D-42C0-8E44-8F46B7C11A37}" name="11358" dataDxfId="5252"/>
    <tableColumn id="11139" xr3:uid="{5B157CF8-24F1-4A47-A1D9-F2B163C5EDA0}" name="11359" dataDxfId="5251"/>
    <tableColumn id="11140" xr3:uid="{E6F9CA0C-EF1F-4CF5-A14E-CE8D89980A84}" name="11360" dataDxfId="5250"/>
    <tableColumn id="11141" xr3:uid="{C62179CC-E273-4C83-86BA-9C847F7B1D37}" name="11361" dataDxfId="5249"/>
    <tableColumn id="11142" xr3:uid="{5010B17E-5DB7-4F9B-80E6-9F30CD0A394A}" name="11362" dataDxfId="5248"/>
    <tableColumn id="11143" xr3:uid="{FB74651A-AAFE-442C-8072-76AECECDA801}" name="11363" dataDxfId="5247"/>
    <tableColumn id="11144" xr3:uid="{1DF6C97C-15B5-4BFE-AE11-49F721ABE7F2}" name="11364" dataDxfId="5246"/>
    <tableColumn id="11145" xr3:uid="{1D398ADD-3D2C-42B0-BF01-8AAF4F67981C}" name="11365" dataDxfId="5245"/>
    <tableColumn id="11146" xr3:uid="{EEF9B1D0-592D-4866-8711-285190FF22A2}" name="11366" dataDxfId="5244"/>
    <tableColumn id="11147" xr3:uid="{8C05325C-B9DC-46FD-8663-EDB3C4AFEEF8}" name="11367" dataDxfId="5243"/>
    <tableColumn id="11148" xr3:uid="{89751A1E-113C-4607-A804-205A52E744C9}" name="11368" dataDxfId="5242"/>
    <tableColumn id="11149" xr3:uid="{BC31EEFC-6B3B-4934-B0B5-2382623BAF43}" name="11369" dataDxfId="5241"/>
    <tableColumn id="11150" xr3:uid="{96E26242-702A-40D4-B826-DB65B353D848}" name="11370" dataDxfId="5240"/>
    <tableColumn id="11151" xr3:uid="{DD5FAAFA-3436-4068-ADB6-21283326D041}" name="11371" dataDxfId="5239"/>
    <tableColumn id="11152" xr3:uid="{457DCDAB-5571-4534-BF47-118F8BFD47C6}" name="11372" dataDxfId="5238"/>
    <tableColumn id="11153" xr3:uid="{4267199E-4D06-4108-902E-76653BFDA707}" name="11373" dataDxfId="5237"/>
    <tableColumn id="11154" xr3:uid="{F91DE48F-D65D-48CE-9458-E6FF88DB7295}" name="11374" dataDxfId="5236"/>
    <tableColumn id="11155" xr3:uid="{C7356680-43A2-4CB9-9533-214723C708E0}" name="11375" dataDxfId="5235"/>
    <tableColumn id="11156" xr3:uid="{30ED8FD7-6809-4EEA-AE17-A1FFC3BF4EB9}" name="11376" dataDxfId="5234"/>
    <tableColumn id="11157" xr3:uid="{37AF2817-2895-45BE-84E4-2008EDDA2997}" name="11377" dataDxfId="5233"/>
    <tableColumn id="11158" xr3:uid="{9E1A3BAB-402F-4776-A846-A001F08A3DBD}" name="11378" dataDxfId="5232"/>
    <tableColumn id="11159" xr3:uid="{D06E53F3-7499-4CB3-A586-FC81C3BD0DEB}" name="11379" dataDxfId="5231"/>
    <tableColumn id="11160" xr3:uid="{304A2F98-A8FF-4776-9553-B6827964BCD1}" name="11380" dataDxfId="5230"/>
    <tableColumn id="11161" xr3:uid="{3CE9D54B-EB42-4F6C-B439-6985F79B1CD4}" name="11381" dataDxfId="5229"/>
    <tableColumn id="11162" xr3:uid="{2CC895C8-61CD-4577-8642-AFF6DB71DF11}" name="11382" dataDxfId="5228"/>
    <tableColumn id="11163" xr3:uid="{D9FA2524-08B3-45AB-B49D-90ADFF60C77E}" name="11383" dataDxfId="5227"/>
    <tableColumn id="11164" xr3:uid="{C118D42A-77C8-424F-9D49-9F92F33255E5}" name="11384" dataDxfId="5226"/>
    <tableColumn id="11165" xr3:uid="{B134EA57-DCD7-4248-9EFE-4686904538AA}" name="11385" dataDxfId="5225"/>
    <tableColumn id="11166" xr3:uid="{5A5B1E07-570E-4AA2-935C-3D4AA30FFB34}" name="11386" dataDxfId="5224"/>
    <tableColumn id="11167" xr3:uid="{BBE4BC3B-3D77-4D42-8BBD-B3B27197DA3E}" name="11387" dataDxfId="5223"/>
    <tableColumn id="11168" xr3:uid="{4B6ADFA2-502E-47AB-B875-F4E2E1F4376F}" name="11388" dataDxfId="5222"/>
    <tableColumn id="11169" xr3:uid="{A551DD03-103F-4C4A-B16C-E46925505315}" name="11389" dataDxfId="5221"/>
    <tableColumn id="11170" xr3:uid="{3A0DF565-0E3D-4D72-9AD0-6CCE0664D3A3}" name="11390" dataDxfId="5220"/>
    <tableColumn id="11171" xr3:uid="{A38110AC-6A38-4CAC-B611-275045F05E2D}" name="11391" dataDxfId="5219"/>
    <tableColumn id="11172" xr3:uid="{FEB8200B-4861-4CF4-B258-91B574014414}" name="11392" dataDxfId="5218"/>
    <tableColumn id="11173" xr3:uid="{386E4862-47C0-4EC1-98D8-ED06C539F16F}" name="11393" dataDxfId="5217"/>
    <tableColumn id="11174" xr3:uid="{E53B02C4-2332-4164-B3D2-12CD42DDEB16}" name="11394" dataDxfId="5216"/>
    <tableColumn id="11175" xr3:uid="{8CE472FC-4954-4B0E-A545-806BDD945071}" name="11395" dataDxfId="5215"/>
    <tableColumn id="11176" xr3:uid="{8AD7D230-02EB-404D-8BD1-B5CE065EBFF8}" name="11396" dataDxfId="5214"/>
    <tableColumn id="11177" xr3:uid="{0F789834-AB84-4B6E-B94C-7C2F0EC072F5}" name="11397" dataDxfId="5213"/>
    <tableColumn id="11178" xr3:uid="{8D190E8C-8BD3-4748-BA35-7B382A738322}" name="11398" dataDxfId="5212"/>
    <tableColumn id="11179" xr3:uid="{E8B0BB45-FF04-4B05-B595-6076F0D89F6A}" name="11399" dataDxfId="5211"/>
    <tableColumn id="11180" xr3:uid="{87D45BF4-3082-428C-9613-BA6D42F18165}" name="11400" dataDxfId="5210"/>
    <tableColumn id="11181" xr3:uid="{5BDB7862-48F0-4350-85CA-7394D3F93282}" name="11401" dataDxfId="5209"/>
    <tableColumn id="11182" xr3:uid="{A477A983-89D1-40DB-A1C8-C2F5C6626AE1}" name="11402" dataDxfId="5208"/>
    <tableColumn id="11183" xr3:uid="{8C85A1FE-4D99-4D75-83EA-E3EAC11C3F76}" name="11403" dataDxfId="5207"/>
    <tableColumn id="11184" xr3:uid="{59D536C3-D2A8-40B2-A9B5-EF6DB561D75E}" name="11404" dataDxfId="5206"/>
    <tableColumn id="11185" xr3:uid="{3D945344-0142-45D8-982A-A62423CBAB1B}" name="11405" dataDxfId="5205"/>
    <tableColumn id="11186" xr3:uid="{C40BFD0C-CFF8-4EFA-9A49-D702885B875E}" name="11406" dataDxfId="5204"/>
    <tableColumn id="11187" xr3:uid="{6AA5BEE2-8B07-4979-986E-66EE8F2D0278}" name="11407" dataDxfId="5203"/>
    <tableColumn id="11188" xr3:uid="{D8F4428A-3A47-4DA7-A592-4C0C063A7913}" name="11408" dataDxfId="5202"/>
    <tableColumn id="11189" xr3:uid="{B9FDE228-42D6-4DFE-87AC-CBACA78BD77E}" name="11409" dataDxfId="5201"/>
    <tableColumn id="11190" xr3:uid="{9A8328F9-FF00-4E11-89C6-083584AB6F3B}" name="11410" dataDxfId="5200"/>
    <tableColumn id="11191" xr3:uid="{52F96AD5-572F-498F-BE02-395C9D1F8510}" name="11411" dataDxfId="5199"/>
    <tableColumn id="11192" xr3:uid="{1F2C3715-DC17-4892-8EE1-2C8FE3403509}" name="11412" dataDxfId="5198"/>
    <tableColumn id="11193" xr3:uid="{A271BC37-1634-4EF9-B04D-5445FAD0F381}" name="11413" dataDxfId="5197"/>
    <tableColumn id="11194" xr3:uid="{AFEB0CEA-8B8F-4B40-9867-AF87F9445731}" name="11414" dataDxfId="5196"/>
    <tableColumn id="11195" xr3:uid="{163DEE29-AFAC-4FAF-8F95-FAF8B86620A9}" name="11415" dataDxfId="5195"/>
    <tableColumn id="11196" xr3:uid="{A9DD0FBF-E9C8-4B49-91FB-2BBA23D33E64}" name="11416" dataDxfId="5194"/>
    <tableColumn id="11197" xr3:uid="{9F8C0E4E-61B6-4206-82D4-53EC23FFCC89}" name="11417" dataDxfId="5193"/>
    <tableColumn id="11198" xr3:uid="{DBAE9AFE-2DE6-4696-85A6-118C7C96F1C7}" name="11418" dataDxfId="5192"/>
    <tableColumn id="11199" xr3:uid="{BF879E81-8803-464E-9920-1CF0A12A0148}" name="11419" dataDxfId="5191"/>
    <tableColumn id="11200" xr3:uid="{1AAD4D4B-8416-412C-AAE8-DF5EA8117822}" name="11420" dataDxfId="5190"/>
    <tableColumn id="11201" xr3:uid="{987B830E-9CE0-4B6F-A2F9-FB37DE95B71D}" name="11421" dataDxfId="5189"/>
    <tableColumn id="11202" xr3:uid="{13723293-4F87-4B9C-930B-2835A2123D3C}" name="11422" dataDxfId="5188"/>
    <tableColumn id="11203" xr3:uid="{726DEA6E-9CCA-406B-8D81-4A170DE1F4CE}" name="11423" dataDxfId="5187"/>
    <tableColumn id="11204" xr3:uid="{68076C0E-5D8A-415D-9496-B9A889FC3349}" name="11424" dataDxfId="5186"/>
    <tableColumn id="11205" xr3:uid="{AF236488-A754-4803-8733-673849B01156}" name="11425" dataDxfId="5185"/>
    <tableColumn id="11206" xr3:uid="{C43D2797-91A4-4DDA-946F-C164A9F86264}" name="11426" dataDxfId="5184"/>
    <tableColumn id="11207" xr3:uid="{860D3751-DE9F-4285-BDCB-FD079F15B611}" name="11427" dataDxfId="5183"/>
    <tableColumn id="11208" xr3:uid="{3FB6EAFD-6445-4296-8395-CCE5CF0E8602}" name="11428" dataDxfId="5182"/>
    <tableColumn id="11209" xr3:uid="{01FEA255-18BA-4E7F-8B56-45CFBE7EC3FA}" name="11429" dataDxfId="5181"/>
    <tableColumn id="11210" xr3:uid="{7E4D3B61-6E92-44FC-9D0B-6CB9BFFF1A38}" name="11430" dataDxfId="5180"/>
    <tableColumn id="11211" xr3:uid="{F3D3F872-028D-47FF-8AC9-72D6D0E674A2}" name="11431" dataDxfId="5179"/>
    <tableColumn id="11212" xr3:uid="{289B8B31-35DB-46E3-AC4F-DA230DDDC138}" name="11432" dataDxfId="5178"/>
    <tableColumn id="11213" xr3:uid="{22FFEBD0-3885-427A-8E04-87833660E6D7}" name="11433" dataDxfId="5177"/>
    <tableColumn id="11214" xr3:uid="{97253A33-65B1-4F69-9C81-33E89DA8E64C}" name="11434" dataDxfId="5176"/>
    <tableColumn id="11215" xr3:uid="{34CAADB2-2439-4F0F-9151-29087F46AE67}" name="11435" dataDxfId="5175"/>
    <tableColumn id="11216" xr3:uid="{FD675086-7A52-4EB0-AA3F-2ED3F1B9266C}" name="11436" dataDxfId="5174"/>
    <tableColumn id="11217" xr3:uid="{518F1864-68D3-480B-A094-89DE1C27CE5F}" name="11437" dataDxfId="5173"/>
    <tableColumn id="11218" xr3:uid="{95EB077B-BD0A-4EBB-A677-AA7A8404FC11}" name="11438" dataDxfId="5172"/>
    <tableColumn id="11219" xr3:uid="{CA346A28-AF76-4B0E-9827-EFB05B294733}" name="11439" dataDxfId="5171"/>
    <tableColumn id="11220" xr3:uid="{83259E02-7E71-4998-8BA1-BA95C1F23A9B}" name="11440" dataDxfId="5170"/>
    <tableColumn id="11221" xr3:uid="{EBC987A2-54A4-45D2-B707-48DE79E089D3}" name="11441" dataDxfId="5169"/>
    <tableColumn id="11222" xr3:uid="{B0BF1B32-7E46-4119-A908-750B70AFB623}" name="11442" dataDxfId="5168"/>
    <tableColumn id="11223" xr3:uid="{F575FB2E-F145-4720-98FF-E4CE3D6A9398}" name="11443" dataDxfId="5167"/>
    <tableColumn id="11224" xr3:uid="{DD9D9CF4-AB29-43EE-BEE3-A31C2F440D46}" name="11444" dataDxfId="5166"/>
    <tableColumn id="11225" xr3:uid="{A2004F07-75D2-40DD-A056-2A50B0168A2E}" name="11445" dataDxfId="5165"/>
    <tableColumn id="11226" xr3:uid="{640429AB-FC96-4727-B3B6-C783B788ACA4}" name="11446" dataDxfId="5164"/>
    <tableColumn id="11227" xr3:uid="{84813CA9-AA78-4454-BABE-5E5E539A1FCA}" name="11447" dataDxfId="5163"/>
    <tableColumn id="11228" xr3:uid="{FF4FB168-002F-484F-A7AE-4C9A7FF01123}" name="11448" dataDxfId="5162"/>
    <tableColumn id="11229" xr3:uid="{F856E3E1-F42E-49DE-8A55-BC153147D938}" name="11449" dataDxfId="5161"/>
    <tableColumn id="11230" xr3:uid="{CE2E573C-443D-4F17-8F76-68DE29A3FFDA}" name="11450" dataDxfId="5160"/>
    <tableColumn id="11231" xr3:uid="{CBBA905F-9A3D-48EF-AD1C-FEE01B186555}" name="11451" dataDxfId="5159"/>
    <tableColumn id="11232" xr3:uid="{E6B1EF42-E06D-436F-AC3B-03AB5D54AAE6}" name="11452" dataDxfId="5158"/>
    <tableColumn id="11233" xr3:uid="{D292783F-0332-4B30-85D8-7CCEEE588E27}" name="11453" dataDxfId="5157"/>
    <tableColumn id="11234" xr3:uid="{DC08D5BD-C7EE-4A45-9ED3-EBE147E157E8}" name="11454" dataDxfId="5156"/>
    <tableColumn id="11235" xr3:uid="{FECEF957-D853-44D1-B575-FA609E733334}" name="11455" dataDxfId="5155"/>
    <tableColumn id="11236" xr3:uid="{988A06EA-D995-46D6-8BF7-615237DAA3EA}" name="11456" dataDxfId="5154"/>
    <tableColumn id="11237" xr3:uid="{DC93984C-DF77-4959-AAEE-0ADD117EC55F}" name="11457" dataDxfId="5153"/>
    <tableColumn id="11238" xr3:uid="{6CF87777-C3D4-4E84-ABC4-51FEF601D75E}" name="11458" dataDxfId="5152"/>
    <tableColumn id="11239" xr3:uid="{AD65D6B0-7C78-41D3-B9D1-E47854CEDE0D}" name="11459" dataDxfId="5151"/>
    <tableColumn id="11240" xr3:uid="{F3C4D821-3A84-4806-8C38-FA8B05F31121}" name="11460" dataDxfId="5150"/>
    <tableColumn id="11241" xr3:uid="{79569379-8008-4C03-93A8-AD02496D5691}" name="11461" dataDxfId="5149"/>
    <tableColumn id="11242" xr3:uid="{6278B1A7-791B-45C2-AB09-A4D0EC9AE2AE}" name="11462" dataDxfId="5148"/>
    <tableColumn id="11243" xr3:uid="{6B86D786-59E0-4043-8833-B3950806F34D}" name="11463" dataDxfId="5147"/>
    <tableColumn id="11244" xr3:uid="{0286B277-0C2D-410D-AD62-6CBEA6428EE9}" name="11464" dataDxfId="5146"/>
    <tableColumn id="11245" xr3:uid="{0B73E54E-3610-4066-B74D-FC07CE208D7C}" name="11465" dataDxfId="5145"/>
    <tableColumn id="11246" xr3:uid="{36FF564A-DF64-47B4-B5FD-56CD48176C9D}" name="11466" dataDxfId="5144"/>
    <tableColumn id="11247" xr3:uid="{508BBC9F-6CE7-45C7-8CEE-F772B661D281}" name="11467" dataDxfId="5143"/>
    <tableColumn id="11248" xr3:uid="{791EC188-8B37-4D23-945E-8550DEF447F4}" name="11468" dataDxfId="5142"/>
    <tableColumn id="11249" xr3:uid="{8B55FA9F-49C2-447F-AE9E-8629EE34A567}" name="11469" dataDxfId="5141"/>
    <tableColumn id="11250" xr3:uid="{9ED2D219-C3C4-452E-8FB7-E6C778ADBE3E}" name="11470" dataDxfId="5140"/>
    <tableColumn id="11251" xr3:uid="{41F69312-38BF-4EEA-9C66-E6E449E51088}" name="11471" dataDxfId="5139"/>
    <tableColumn id="11252" xr3:uid="{D38C9070-B795-443C-894C-5BD87D4251D2}" name="11472" dataDxfId="5138"/>
    <tableColumn id="11253" xr3:uid="{FBC12A66-F9A3-4ED9-98D6-A0002704B82B}" name="11473" dataDxfId="5137"/>
    <tableColumn id="11254" xr3:uid="{681FA319-D84B-4942-BC5B-0A200837CD43}" name="11474" dataDxfId="5136"/>
    <tableColumn id="11255" xr3:uid="{CC1B69FB-8554-4E1A-9899-D09B1CDDE381}" name="11475" dataDxfId="5135"/>
    <tableColumn id="11256" xr3:uid="{9F6776E2-4553-4B1B-BE49-92FC876A5F25}" name="11476" dataDxfId="5134"/>
    <tableColumn id="11257" xr3:uid="{B8497A45-0B4D-437E-AB2F-19025A6D6FF6}" name="11477" dataDxfId="5133"/>
    <tableColumn id="11258" xr3:uid="{FDD2D228-B555-442C-9A71-4B84CF419366}" name="11478" dataDxfId="5132"/>
    <tableColumn id="11259" xr3:uid="{41091FCE-C1FD-48F8-B6BD-6747F5D503BB}" name="11479" dataDxfId="5131"/>
    <tableColumn id="11260" xr3:uid="{684258DA-B179-4E00-93DF-E6D1EB5C8387}" name="11480" dataDxfId="5130"/>
    <tableColumn id="11261" xr3:uid="{C2A29A3D-E21F-4F69-B586-175899DD9587}" name="11481" dataDxfId="5129"/>
    <tableColumn id="11262" xr3:uid="{2390B358-3C38-492E-AEF0-5CB3C0BD13E6}" name="11482" dataDxfId="5128"/>
    <tableColumn id="11263" xr3:uid="{53E0D90B-12E2-41E0-B5C1-4A46EB56C471}" name="11483" dataDxfId="5127"/>
    <tableColumn id="11264" xr3:uid="{55FDD6E9-50A1-4DAD-981C-80820676C076}" name="11484" dataDxfId="5126"/>
    <tableColumn id="11265" xr3:uid="{A013E09C-EA33-4A24-84FB-CC7CF5CE90C5}" name="11485" dataDxfId="5125"/>
    <tableColumn id="11266" xr3:uid="{301AD0A3-F2E0-48D1-8B83-9410B85F0D8F}" name="11486" dataDxfId="5124"/>
    <tableColumn id="11267" xr3:uid="{E2397215-93DA-411D-96C3-4776C3C512DF}" name="11487" dataDxfId="5123"/>
    <tableColumn id="11268" xr3:uid="{3DEC8907-E158-4933-957B-9FE0633609C2}" name="11488" dataDxfId="5122"/>
    <tableColumn id="11269" xr3:uid="{A3173FC5-A928-463F-9CCA-63F7E81990CA}" name="11489" dataDxfId="5121"/>
    <tableColumn id="11270" xr3:uid="{8975AAA1-C9D0-400C-840E-C5DCD9E6BEF9}" name="11490" dataDxfId="5120"/>
    <tableColumn id="11271" xr3:uid="{6BA16D09-77E0-42C2-83E0-E8AF8689FDE2}" name="11491" dataDxfId="5119"/>
    <tableColumn id="11272" xr3:uid="{D6AF31B5-32EB-4D97-8478-FEA5E0B9D1CF}" name="11492" dataDxfId="5118"/>
    <tableColumn id="11273" xr3:uid="{78A779EF-392C-4ED7-A6CB-84562D68F803}" name="11493" dataDxfId="5117"/>
    <tableColumn id="11274" xr3:uid="{14431E08-92C4-43B1-8222-0C3244A81174}" name="11494" dataDxfId="5116"/>
    <tableColumn id="11275" xr3:uid="{8F3B29F9-F0EE-4ADB-96F2-6199C3E49B19}" name="11495" dataDxfId="5115"/>
    <tableColumn id="11276" xr3:uid="{91C29C2F-609C-4E8C-A023-B23BBC986309}" name="11496" dataDxfId="5114"/>
    <tableColumn id="11277" xr3:uid="{C9F6D882-461D-4AF4-B5A4-59231FDCBC6C}" name="11497" dataDxfId="5113"/>
    <tableColumn id="11278" xr3:uid="{082232B0-2AF5-4B03-B61D-ADF49902C026}" name="11498" dataDxfId="5112"/>
    <tableColumn id="11279" xr3:uid="{DEC53DF6-5D21-4E57-9FB5-9CB3EA75DCB7}" name="11499" dataDxfId="5111"/>
    <tableColumn id="11280" xr3:uid="{D78EC0E9-689C-463B-95B4-136A29C5D5FB}" name="11500" dataDxfId="5110"/>
    <tableColumn id="11281" xr3:uid="{FAD83FD5-35CB-4B26-B321-BB5274C886A2}" name="11501" dataDxfId="5109"/>
    <tableColumn id="11282" xr3:uid="{335922C1-DFB2-47BB-B835-7F08D3729E7E}" name="11502" dataDxfId="5108"/>
    <tableColumn id="11283" xr3:uid="{C94809D8-3292-4513-8B0A-78C4F09EBC88}" name="11503" dataDxfId="5107"/>
    <tableColumn id="11284" xr3:uid="{4554749E-0827-4F1D-A3E4-82B14E1CB290}" name="11504" dataDxfId="5106"/>
    <tableColumn id="11285" xr3:uid="{BED74C40-7AA0-4EDC-A382-56A89C839227}" name="11505" dataDxfId="5105"/>
    <tableColumn id="11286" xr3:uid="{2C6339B0-694A-4AF2-A734-BE928964897D}" name="11506" dataDxfId="5104"/>
    <tableColumn id="11287" xr3:uid="{58C21C89-2BD0-4562-BE29-3E4E669F4036}" name="11507" dataDxfId="5103"/>
    <tableColumn id="11288" xr3:uid="{AFFA2B16-7291-4D2B-90D9-AD828DC1EEB7}" name="11508" dataDxfId="5102"/>
    <tableColumn id="11289" xr3:uid="{703C301B-AC28-471C-A44B-D165CB8FB105}" name="11509" dataDxfId="5101"/>
    <tableColumn id="11290" xr3:uid="{73FBF798-32FB-4179-BAD1-30524D3E498C}" name="11510" dataDxfId="5100"/>
    <tableColumn id="11291" xr3:uid="{6A564236-FCC3-4879-B45A-1ABD0258DDC7}" name="11511" dataDxfId="5099"/>
    <tableColumn id="11292" xr3:uid="{A20DBA1C-D0CB-47B0-9223-13925F44541C}" name="11512" dataDxfId="5098"/>
    <tableColumn id="11293" xr3:uid="{1FBF1CBC-07F9-4428-BE0E-6B013803DC44}" name="11513" dataDxfId="5097"/>
    <tableColumn id="11294" xr3:uid="{1431FCFC-4CB9-4519-A69E-D6E639AF9747}" name="11514" dataDxfId="5096"/>
    <tableColumn id="11295" xr3:uid="{EFBAD075-9387-4796-9516-72FDB0CD8ABE}" name="11515" dataDxfId="5095"/>
    <tableColumn id="11296" xr3:uid="{C0706495-A5B3-40BC-A523-87B27B4B9A8F}" name="11516" dataDxfId="5094"/>
    <tableColumn id="11297" xr3:uid="{0B32D4BD-9E30-47C1-B1A2-CE69DFD419E8}" name="11517" dataDxfId="5093"/>
    <tableColumn id="11298" xr3:uid="{2308F088-132D-44E1-AF1F-A2C65E3E2A49}" name="11518" dataDxfId="5092"/>
    <tableColumn id="11299" xr3:uid="{7EFBB93F-2E93-473E-B2C7-125002456192}" name="11519" dataDxfId="5091"/>
    <tableColumn id="11300" xr3:uid="{E1C795FC-CBD2-40FD-80C8-50B03661F018}" name="11520" dataDxfId="5090"/>
    <tableColumn id="11301" xr3:uid="{1F50BC11-ADB2-498A-93C7-2E38C254E208}" name="11521" dataDxfId="5089"/>
    <tableColumn id="11302" xr3:uid="{1C29696B-7FF6-4A2E-AE28-97B5534755C2}" name="11522" dataDxfId="5088"/>
    <tableColumn id="11303" xr3:uid="{B68793A8-0FC5-4851-849A-94525D53117C}" name="11523" dataDxfId="5087"/>
    <tableColumn id="11304" xr3:uid="{8592A40F-1A87-4B03-BE73-2FE0270F3B36}" name="11524" dataDxfId="5086"/>
    <tableColumn id="11305" xr3:uid="{B0E801E9-7921-4CB9-8F73-4056F26E4199}" name="11525" dataDxfId="5085"/>
    <tableColumn id="11306" xr3:uid="{C027C607-FEBC-483E-B54D-7ED62C119928}" name="11526" dataDxfId="5084"/>
    <tableColumn id="11307" xr3:uid="{2EF1D860-65D4-4D90-B4AA-7E6B42D59572}" name="11527" dataDxfId="5083"/>
    <tableColumn id="11308" xr3:uid="{E97B276E-F81B-4FA6-9D34-BA82C92F5253}" name="11528" dataDxfId="5082"/>
    <tableColumn id="11309" xr3:uid="{FAEDC21A-C07C-43A5-9B8E-0993F5F1C51D}" name="11529" dataDxfId="5081"/>
    <tableColumn id="11310" xr3:uid="{70EAB252-618E-4608-A76E-69887EDD2E17}" name="11530" dataDxfId="5080"/>
    <tableColumn id="11311" xr3:uid="{4A0EF830-6D18-4F91-8534-AC999E640CF3}" name="11531" dataDxfId="5079"/>
    <tableColumn id="11312" xr3:uid="{926E5382-A715-4B9D-A6E1-50875A074C92}" name="11532" dataDxfId="5078"/>
    <tableColumn id="11313" xr3:uid="{401DDC4D-7F59-41C2-8971-96F6A89CB1C8}" name="11533" dataDxfId="5077"/>
    <tableColumn id="11314" xr3:uid="{57A6E04F-EC78-402F-8210-AD9F8494C794}" name="11534" dataDxfId="5076"/>
    <tableColumn id="11315" xr3:uid="{CB7B5141-6166-41A5-BACC-0705CE047A20}" name="11535" dataDxfId="5075"/>
    <tableColumn id="11316" xr3:uid="{FED83562-E6D8-49D5-B59C-899B6FC3D399}" name="11536" dataDxfId="5074"/>
    <tableColumn id="11317" xr3:uid="{4ECD09DC-82BF-4CA2-9E45-933192CF2DA4}" name="11537" dataDxfId="5073"/>
    <tableColumn id="11318" xr3:uid="{3A84D79B-9526-4148-A06B-5DF79D45C23D}" name="11538" dataDxfId="5072"/>
    <tableColumn id="11319" xr3:uid="{4B485239-9FB5-4835-8865-D4869492A242}" name="11539" dataDxfId="5071"/>
    <tableColumn id="11320" xr3:uid="{28081E43-A19F-4247-9A08-8A40C642B075}" name="11540" dataDxfId="5070"/>
    <tableColumn id="11321" xr3:uid="{ABB15748-B81F-4FEA-927E-707A927C1259}" name="11541" dataDxfId="5069"/>
    <tableColumn id="11322" xr3:uid="{D6125AFE-5F43-4A33-A2CC-143DAE6F449C}" name="11542" dataDxfId="5068"/>
    <tableColumn id="11323" xr3:uid="{87C3F676-84EB-49F5-A976-6FA00C1BB322}" name="11543" dataDxfId="5067"/>
    <tableColumn id="11324" xr3:uid="{F0AB4534-24A4-47B1-BB1B-F3DC4EF92D95}" name="11544" dataDxfId="5066"/>
    <tableColumn id="11325" xr3:uid="{8CC03BAC-E230-43DD-A159-813101C0C22C}" name="11545" dataDxfId="5065"/>
    <tableColumn id="11326" xr3:uid="{92BC101E-CF0C-4430-AA68-F64BE2CF6F5B}" name="11546" dataDxfId="5064"/>
    <tableColumn id="11327" xr3:uid="{B919C0CE-9DE2-4990-A582-7CE7B12CAF62}" name="11547" dataDxfId="5063"/>
    <tableColumn id="11328" xr3:uid="{578D824A-2C55-4A3D-A3C2-615EA43EE2D9}" name="11548" dataDxfId="5062"/>
    <tableColumn id="11329" xr3:uid="{FC73C997-7F37-4C34-B9AF-5FB28FC56499}" name="11549" dataDxfId="5061"/>
    <tableColumn id="11330" xr3:uid="{288401D7-A2CD-45E6-9385-7C9CEBE9DACF}" name="11550" dataDxfId="5060"/>
    <tableColumn id="11331" xr3:uid="{FB39369F-551B-4DAB-845A-5837F19A7412}" name="11551" dataDxfId="5059"/>
    <tableColumn id="11332" xr3:uid="{09BC9096-511D-41BA-B195-F48FA9CA15DD}" name="11552" dataDxfId="5058"/>
    <tableColumn id="11333" xr3:uid="{FE6B7888-BA58-4AF4-84F6-993267486D7D}" name="11553" dataDxfId="5057"/>
    <tableColumn id="11334" xr3:uid="{AA7BFCB0-5D1C-4A94-8B42-B3E64B3C6559}" name="11554" dataDxfId="5056"/>
    <tableColumn id="11335" xr3:uid="{5F02AB74-C72C-49A7-90AA-311E25F697A8}" name="11555" dataDxfId="5055"/>
    <tableColumn id="11336" xr3:uid="{324315F6-C2C9-4F3A-BB53-743E9DEA4BC6}" name="11556" dataDxfId="5054"/>
    <tableColumn id="11337" xr3:uid="{A0C80DA9-4FB8-47C8-9B47-375F6A695156}" name="11557" dataDxfId="5053"/>
    <tableColumn id="11338" xr3:uid="{9CB7E89E-4140-478F-BBFC-ED739E76F2DF}" name="11558" dataDxfId="5052"/>
    <tableColumn id="11339" xr3:uid="{5B53F6E6-6B56-4FC6-88AE-FE1AEF22AA5F}" name="11559" dataDxfId="5051"/>
    <tableColumn id="11340" xr3:uid="{4E4EAFA9-713B-4E74-B142-69F89DBD77D9}" name="11560" dataDxfId="5050"/>
    <tableColumn id="11341" xr3:uid="{1414AEE1-9347-4670-8590-4AF8C5FA4643}" name="11561" dataDxfId="5049"/>
    <tableColumn id="11342" xr3:uid="{C4214F6A-8B49-4C45-A854-4CFCC4553C4B}" name="11562" dataDxfId="5048"/>
    <tableColumn id="11343" xr3:uid="{CCDC308F-2685-4E24-A361-7F7C69B99CA6}" name="11563" dataDxfId="5047"/>
    <tableColumn id="11344" xr3:uid="{5D3B9AA0-4501-4690-A2D7-AFA3CA7CC34D}" name="11564" dataDxfId="5046"/>
    <tableColumn id="11345" xr3:uid="{E7512912-236E-45CB-B8D5-D1296FD0CAFE}" name="11565" dataDxfId="5045"/>
    <tableColumn id="11346" xr3:uid="{48235833-2247-4D49-90A4-F8CA0A8EEEDF}" name="11566" dataDxfId="5044"/>
    <tableColumn id="11347" xr3:uid="{EA41DF09-BF93-4358-BEA1-9B438001133D}" name="11567" dataDxfId="5043"/>
    <tableColumn id="11348" xr3:uid="{C997E49A-9879-4B89-B656-B1229776294C}" name="11568" dataDxfId="5042"/>
    <tableColumn id="11349" xr3:uid="{B166981D-13F6-4EF0-A0AB-4BC5F605CC45}" name="11569" dataDxfId="5041"/>
    <tableColumn id="11350" xr3:uid="{5F345488-9F9E-4938-870F-9FC4FB1E1DCB}" name="11570" dataDxfId="5040"/>
    <tableColumn id="11351" xr3:uid="{D3943FF4-4596-4DBB-B6AB-8495AFEEE2F8}" name="11571" dataDxfId="5039"/>
    <tableColumn id="11352" xr3:uid="{5034655F-D7F0-4146-93C0-739DA8F46ED3}" name="11572" dataDxfId="5038"/>
    <tableColumn id="11353" xr3:uid="{195969DC-2EE3-4D71-8521-70D94CCA1E4B}" name="11573" dataDxfId="5037"/>
    <tableColumn id="11354" xr3:uid="{A13F6F74-4020-4D48-9F7D-1F1C02C36498}" name="11574" dataDxfId="5036"/>
    <tableColumn id="11355" xr3:uid="{AC5A4FE1-D63E-468F-977B-1DDC7215F9E7}" name="11575" dataDxfId="5035"/>
    <tableColumn id="11356" xr3:uid="{4CAB4F25-A434-4421-97A1-BA39D21A95B9}" name="11576" dataDxfId="5034"/>
    <tableColumn id="11357" xr3:uid="{BCE57C2C-5B32-4BF7-9050-23CD3E67F5AE}" name="11577" dataDxfId="5033"/>
    <tableColumn id="11358" xr3:uid="{C9AD7284-E762-4582-A837-4E0B16620476}" name="11578" dataDxfId="5032"/>
    <tableColumn id="11359" xr3:uid="{6BB97AE1-9D3F-4B23-91C5-DCB3FA60937A}" name="11579" dataDxfId="5031"/>
    <tableColumn id="11360" xr3:uid="{CD608B50-325D-4E27-A9B0-1AE5AED243B9}" name="11580" dataDxfId="5030"/>
    <tableColumn id="11361" xr3:uid="{0F783988-B5F3-4B1A-AAB2-17C797FAA203}" name="11581" dataDxfId="5029"/>
    <tableColumn id="11362" xr3:uid="{78108DD0-D1E2-4F23-A852-622778F69CA9}" name="11582" dataDxfId="5028"/>
    <tableColumn id="11363" xr3:uid="{C9DB4B0B-A5F4-459C-9588-D81C64518FBA}" name="11583" dataDxfId="5027"/>
    <tableColumn id="11364" xr3:uid="{4CA5F735-C77F-402E-8A48-99130C15F60D}" name="11584" dataDxfId="5026"/>
    <tableColumn id="11365" xr3:uid="{5A86CAE7-523B-4F48-A597-E8C02FE43159}" name="11585" dataDxfId="5025"/>
    <tableColumn id="11366" xr3:uid="{478ED47F-62FE-43D9-A961-1B845595F03E}" name="11586" dataDxfId="5024"/>
    <tableColumn id="11367" xr3:uid="{0BFFB871-8844-4056-A22A-BEC6B52E4748}" name="11587" dataDxfId="5023"/>
    <tableColumn id="11368" xr3:uid="{3C4E8E5D-A636-4737-BD07-3823BDD6D0FC}" name="11588" dataDxfId="5022"/>
    <tableColumn id="11369" xr3:uid="{092632CC-C8C2-490A-8222-B4220D995043}" name="11589" dataDxfId="5021"/>
    <tableColumn id="11370" xr3:uid="{ACB60489-ABCF-4B4D-94D5-7A4A229B2DC8}" name="11590" dataDxfId="5020"/>
    <tableColumn id="11371" xr3:uid="{43E7B8CA-7A85-441D-8F58-AE44C830ACB2}" name="11591" dataDxfId="5019"/>
    <tableColumn id="11372" xr3:uid="{4484EACD-9D36-4455-8244-1179235E0C91}" name="11592" dataDxfId="5018"/>
    <tableColumn id="11373" xr3:uid="{2EF986F4-D8F8-43B8-A2FF-5E8206D7C22B}" name="11593" dataDxfId="5017"/>
    <tableColumn id="11374" xr3:uid="{44693ACB-8B7D-4C1A-A2AC-66A869E02AED}" name="11594" dataDxfId="5016"/>
    <tableColumn id="11375" xr3:uid="{00580292-D0C7-46E5-8E25-14990A63FD40}" name="11595" dataDxfId="5015"/>
    <tableColumn id="11376" xr3:uid="{36492C61-C9C7-4E0F-B1CA-8932A3E6DF5E}" name="11596" dataDxfId="5014"/>
    <tableColumn id="11377" xr3:uid="{076CDD7A-19B7-40F5-B077-0719A8955F6F}" name="11597" dataDxfId="5013"/>
    <tableColumn id="11378" xr3:uid="{928E1297-A9C3-40C5-84D7-E8A24839D58B}" name="11598" dataDxfId="5012"/>
    <tableColumn id="11379" xr3:uid="{F8A5536C-357F-4CFA-9460-CFE0C34A6D71}" name="11599" dataDxfId="5011"/>
    <tableColumn id="11380" xr3:uid="{4F6D6F8E-80C2-4ABF-B114-1494FB42A2D4}" name="11600" dataDxfId="5010"/>
    <tableColumn id="11381" xr3:uid="{FEA16030-B089-4F34-A75C-66225931CD11}" name="11601" dataDxfId="5009"/>
    <tableColumn id="11382" xr3:uid="{6BFE4214-A7C4-47F9-AD3A-4D38C20F4DD2}" name="11602" dataDxfId="5008"/>
    <tableColumn id="11383" xr3:uid="{557684A7-DF9F-4013-8FC2-F17CB74577B1}" name="11603" dataDxfId="5007"/>
    <tableColumn id="11384" xr3:uid="{FE89CB0B-C6D1-4B4A-A1D7-38C4478D90AA}" name="11604" dataDxfId="5006"/>
    <tableColumn id="11385" xr3:uid="{9BEBA987-6E74-4ECB-A1D8-0049553FBEBF}" name="11605" dataDxfId="5005"/>
    <tableColumn id="11386" xr3:uid="{87855422-0D70-435F-B94A-0F8DA9675B4F}" name="11606" dataDxfId="5004"/>
    <tableColumn id="11387" xr3:uid="{BE184D05-FFA6-43F2-9523-887928C56F52}" name="11607" dataDxfId="5003"/>
    <tableColumn id="11388" xr3:uid="{51C466DE-E503-4832-AE95-F9EF4EF63E70}" name="11608" dataDxfId="5002"/>
    <tableColumn id="11389" xr3:uid="{83CB1365-FDB2-4CA9-9C1B-3B9A6CCA92BE}" name="11609" dataDxfId="5001"/>
    <tableColumn id="11390" xr3:uid="{9A64B34D-6227-4486-963A-33DBF771F372}" name="11610" dataDxfId="5000"/>
    <tableColumn id="11391" xr3:uid="{2889ECA0-3ACB-4BFB-BBAC-D76ED9E1F773}" name="11611" dataDxfId="4999"/>
    <tableColumn id="11392" xr3:uid="{F257EC04-0B1C-4FF3-B9C2-06B33F790020}" name="11612" dataDxfId="4998"/>
    <tableColumn id="11393" xr3:uid="{26765348-B50C-4435-A66D-9F4D3E9C6C77}" name="11613" dataDxfId="4997"/>
    <tableColumn id="11394" xr3:uid="{305B1E44-1995-4D84-883C-954D3BD77CBC}" name="11614" dataDxfId="4996"/>
    <tableColumn id="11395" xr3:uid="{857D6A28-C33F-4D86-93DD-2372C456DAD3}" name="11615" dataDxfId="4995"/>
    <tableColumn id="11396" xr3:uid="{6EDD8C29-469E-457C-9DD0-BB6DE94B393C}" name="11616" dataDxfId="4994"/>
    <tableColumn id="11397" xr3:uid="{D04E8627-B5FA-42F0-BD83-F235793BC432}" name="11617" dataDxfId="4993"/>
    <tableColumn id="11398" xr3:uid="{A01ABC6D-15AA-4FAB-92A7-6E8A701613D5}" name="11618" dataDxfId="4992"/>
    <tableColumn id="11399" xr3:uid="{A4DAB60D-57C7-4D60-BB9F-42655A42C747}" name="11619" dataDxfId="4991"/>
    <tableColumn id="11400" xr3:uid="{43419656-CFD3-4B41-AC2F-4C1CB381D37C}" name="11620" dataDxfId="4990"/>
    <tableColumn id="11401" xr3:uid="{141B918B-F6D3-4D5B-8712-219061D59F64}" name="11621" dataDxfId="4989"/>
    <tableColumn id="11402" xr3:uid="{98B4F8FB-D41D-4D7C-8694-90373B709EAC}" name="11622" dataDxfId="4988"/>
    <tableColumn id="11403" xr3:uid="{92A77D92-37A9-4DFA-9EF4-EECCC1DD0F92}" name="11623" dataDxfId="4987"/>
    <tableColumn id="11404" xr3:uid="{9858E412-49A5-41E3-9FE7-519863088B2B}" name="11624" dataDxfId="4986"/>
    <tableColumn id="11405" xr3:uid="{B2226B81-C1D1-4182-A13E-0733F660A3BB}" name="11625" dataDxfId="4985"/>
    <tableColumn id="11406" xr3:uid="{A73553F5-91D0-4895-A4B5-F884E6F043B8}" name="11626" dataDxfId="4984"/>
    <tableColumn id="11407" xr3:uid="{E3545DAC-5977-4DEB-A651-7CADB0D611C2}" name="11627" dataDxfId="4983"/>
    <tableColumn id="11408" xr3:uid="{D21365ED-0777-4685-B676-40DBAB8BA3EA}" name="11628" dataDxfId="4982"/>
    <tableColumn id="11409" xr3:uid="{28D18090-6FCE-4C43-A8D1-DB2893B6AA0A}" name="11629" dataDxfId="4981"/>
    <tableColumn id="11410" xr3:uid="{39DF3514-FDE5-4650-8A6E-D4DC40496744}" name="11630" dataDxfId="4980"/>
    <tableColumn id="11411" xr3:uid="{C06C8D14-56CE-44E3-AA76-D6AD17431B51}" name="11631" dataDxfId="4979"/>
    <tableColumn id="11412" xr3:uid="{8D3ADB5A-63F1-48DE-B151-824EF28833B0}" name="11632" dataDxfId="4978"/>
    <tableColumn id="11413" xr3:uid="{3A3D7AEC-9C0A-4C7C-8C34-06059F23A74F}" name="11633" dataDxfId="4977"/>
    <tableColumn id="11414" xr3:uid="{CD497355-D64F-4C52-9E84-E8B7E90B0B01}" name="11634" dataDxfId="4976"/>
    <tableColumn id="11415" xr3:uid="{EB996AC4-3267-4F59-AC1A-DA6F43E33807}" name="11635" dataDxfId="4975"/>
    <tableColumn id="11416" xr3:uid="{A6440191-E6EE-4BF9-AADE-8D08747040D1}" name="11636" dataDxfId="4974"/>
    <tableColumn id="11417" xr3:uid="{ABC3B93C-A12E-4C4D-8E32-6DE82C60ABD7}" name="11637" dataDxfId="4973"/>
    <tableColumn id="11418" xr3:uid="{4A67DC68-1840-4794-95AB-EC6D456ADD59}" name="11638" dataDxfId="4972"/>
    <tableColumn id="11419" xr3:uid="{AA95895A-BBD6-462A-9B5C-CB39B0AAB961}" name="11639" dataDxfId="4971"/>
    <tableColumn id="11420" xr3:uid="{9ED8D8FE-2C77-4924-8FCE-F0498A80961C}" name="11640" dataDxfId="4970"/>
    <tableColumn id="11421" xr3:uid="{EE45AA15-0616-41CB-917A-F2CA43A449C9}" name="11641" dataDxfId="4969"/>
    <tableColumn id="11422" xr3:uid="{4BC86EBF-EB8D-401A-9043-0A39F8015D88}" name="11642" dataDxfId="4968"/>
    <tableColumn id="11423" xr3:uid="{614BDC88-BAB4-4D16-8200-D3DBD63DC8C7}" name="11643" dataDxfId="4967"/>
    <tableColumn id="11424" xr3:uid="{CCF6A88F-83A6-43CB-AC7F-D317B2FDB18F}" name="11644" dataDxfId="4966"/>
    <tableColumn id="11425" xr3:uid="{7EC9226F-B6C8-459A-9D87-BC65725A9BAF}" name="11645" dataDxfId="4965"/>
    <tableColumn id="11426" xr3:uid="{759CD4F4-6EC6-46C2-91AA-52C2A98435BF}" name="11646" dataDxfId="4964"/>
    <tableColumn id="11427" xr3:uid="{09D1331C-FDF4-4B37-8472-775BD545D0D0}" name="11647" dataDxfId="4963"/>
    <tableColumn id="11428" xr3:uid="{9920627C-B3D0-4314-B4E7-5789A1ED77FD}" name="11648" dataDxfId="4962"/>
    <tableColumn id="11429" xr3:uid="{869D8955-4B28-47FA-AEBA-2F12D611689A}" name="11649" dataDxfId="4961"/>
    <tableColumn id="11430" xr3:uid="{5CAB81CF-4FF6-457F-83C7-A74F09337078}" name="11650" dataDxfId="4960"/>
    <tableColumn id="11431" xr3:uid="{4474A459-0F5B-4CF9-A273-75BB5FA5C3B0}" name="11651" dataDxfId="4959"/>
    <tableColumn id="11432" xr3:uid="{56EED97E-E54C-48A0-AF2E-9603FE3391ED}" name="11652" dataDxfId="4958"/>
    <tableColumn id="11433" xr3:uid="{FFFF83EB-6E40-42DC-B3FC-66FBBE2A3A84}" name="11653" dataDxfId="4957"/>
    <tableColumn id="11434" xr3:uid="{916DD4BA-8143-4AD6-8FAF-506190ECF6EC}" name="11654" dataDxfId="4956"/>
    <tableColumn id="11435" xr3:uid="{A0F61BC5-F2C0-4CD0-8DF6-853558200F7E}" name="11655" dataDxfId="4955"/>
    <tableColumn id="11436" xr3:uid="{DFD80835-BC58-4213-9AE0-4FA6071F7CA0}" name="11656" dataDxfId="4954"/>
    <tableColumn id="11437" xr3:uid="{664DE1D7-EE2A-4D33-8AE3-7FB30827C8C3}" name="11657" dataDxfId="4953"/>
    <tableColumn id="11438" xr3:uid="{05586113-1E90-4E39-B02D-3E191E9203D3}" name="11658" dataDxfId="4952"/>
    <tableColumn id="11439" xr3:uid="{0B4928B9-76B4-4EDD-8AC7-69DDA8D3FD8B}" name="11659" dataDxfId="4951"/>
    <tableColumn id="11440" xr3:uid="{E38174B8-31A7-46E6-BC68-4418498CE064}" name="11660" dataDxfId="4950"/>
    <tableColumn id="11441" xr3:uid="{93E77FCC-58A0-42E3-91D9-BBE196DB56ED}" name="11661" dataDxfId="4949"/>
    <tableColumn id="11442" xr3:uid="{11D0B6B4-6892-46A8-834B-1EAA799D9BC7}" name="11662" dataDxfId="4948"/>
    <tableColumn id="11443" xr3:uid="{55B3C181-FCA3-4E6F-A679-9B9CA331B83E}" name="11663" dataDxfId="4947"/>
    <tableColumn id="11444" xr3:uid="{672FA58A-5EFA-4748-9A85-16BCF1D178C8}" name="11664" dataDxfId="4946"/>
    <tableColumn id="11445" xr3:uid="{D8712C1D-E3E6-4CC6-BA1E-CB88FB085051}" name="11665" dataDxfId="4945"/>
    <tableColumn id="11446" xr3:uid="{23DAE53A-7800-4128-A769-D67CAE123110}" name="11666" dataDxfId="4944"/>
    <tableColumn id="11447" xr3:uid="{154E6AE6-9BF9-4F82-B3D6-C2D8964C68DF}" name="11667" dataDxfId="4943"/>
    <tableColumn id="11448" xr3:uid="{26B109C3-1B8A-4BAE-B901-05469F1CD37D}" name="11668" dataDxfId="4942"/>
    <tableColumn id="11449" xr3:uid="{DABDC61A-36EB-423C-897C-56C3F30249C6}" name="11669" dataDxfId="4941"/>
    <tableColumn id="11450" xr3:uid="{02BA1BB0-AEFE-4617-8264-62FCBAF7A864}" name="11670" dataDxfId="4940"/>
    <tableColumn id="11451" xr3:uid="{9ED42BD3-3272-4939-858E-09240971F798}" name="11671" dataDxfId="4939"/>
    <tableColumn id="11452" xr3:uid="{58E676BD-469A-49D5-BE25-E66E088BA5F2}" name="11672" dataDxfId="4938"/>
    <tableColumn id="11453" xr3:uid="{56BBA05B-79D4-4C35-AD7D-6FBC9A2CE10E}" name="11673" dataDxfId="4937"/>
    <tableColumn id="11454" xr3:uid="{91C2B9C2-1456-4B07-ADF7-1CC77A4D3503}" name="11674" dataDxfId="4936"/>
    <tableColumn id="11455" xr3:uid="{C70124B7-5427-42EE-B4B8-593AAEDD7283}" name="11675" dataDxfId="4935"/>
    <tableColumn id="11456" xr3:uid="{AFDCF4E4-5B76-4F58-8E10-2F7CB58CBDE9}" name="11676" dataDxfId="4934"/>
    <tableColumn id="11457" xr3:uid="{0B661B2B-BC6E-4B36-A23D-BB3733F1939D}" name="11677" dataDxfId="4933"/>
    <tableColumn id="11458" xr3:uid="{237B0FFF-AC70-4F18-8CEE-586BFA2E6F39}" name="11678" dataDxfId="4932"/>
    <tableColumn id="11459" xr3:uid="{923970F3-5828-40CA-B8E3-372E4E640683}" name="11679" dataDxfId="4931"/>
    <tableColumn id="11460" xr3:uid="{D4955000-BBAF-4A46-ADC5-384CF12D8B0A}" name="11680" dataDxfId="4930"/>
    <tableColumn id="11461" xr3:uid="{96A9F02B-E43A-46BD-9BDE-353DA72BE271}" name="11681" dataDxfId="4929"/>
    <tableColumn id="11462" xr3:uid="{D20C9EC9-80EC-45C9-A8CE-915A4A4077F4}" name="11682" dataDxfId="4928"/>
    <tableColumn id="11463" xr3:uid="{5519286E-1B57-4D74-91D7-2E06C0E89CC5}" name="11683" dataDxfId="4927"/>
    <tableColumn id="11464" xr3:uid="{65C59BA9-31CC-4A4D-97A0-87266D9BABCB}" name="11684" dataDxfId="4926"/>
    <tableColumn id="11465" xr3:uid="{044B0E62-8545-4948-B243-68493FAB8418}" name="11685" dataDxfId="4925"/>
    <tableColumn id="11466" xr3:uid="{5C1DA84D-065F-4B3F-B05F-FA80CC4B3495}" name="11686" dataDxfId="4924"/>
    <tableColumn id="11467" xr3:uid="{EBCE8BE7-C344-4729-AD94-18D8345C03D7}" name="11687" dataDxfId="4923"/>
    <tableColumn id="11468" xr3:uid="{34A8A837-F5D1-438A-B798-DE84CD0C2B53}" name="11688" dataDxfId="4922"/>
    <tableColumn id="11469" xr3:uid="{867F7916-F48A-413A-AC0E-5722A3784D1A}" name="11689" dataDxfId="4921"/>
    <tableColumn id="11470" xr3:uid="{640551E5-98AF-4442-8E63-76DD51244A66}" name="11690" dataDxfId="4920"/>
    <tableColumn id="11471" xr3:uid="{1C8CDDB1-AC13-4447-9E2A-9448F119B93E}" name="11691" dataDxfId="4919"/>
    <tableColumn id="11472" xr3:uid="{1FFD8C58-9B05-4D27-9410-68EC5655FDE3}" name="11692" dataDxfId="4918"/>
    <tableColumn id="11473" xr3:uid="{F251CD3D-4691-462F-B9AB-A3526FA5DF31}" name="11693" dataDxfId="4917"/>
    <tableColumn id="11474" xr3:uid="{208BAD37-3886-4816-AC35-724075215958}" name="11694" dataDxfId="4916"/>
    <tableColumn id="11475" xr3:uid="{88C421E1-7C4E-4297-A7C2-43CED6239518}" name="11695" dataDxfId="4915"/>
    <tableColumn id="11476" xr3:uid="{632B9D4F-E9FF-4948-AAC9-2623AF07F51A}" name="11696" dataDxfId="4914"/>
    <tableColumn id="11477" xr3:uid="{2CCDCB2D-0FF2-4916-A110-31362831C37E}" name="11697" dataDxfId="4913"/>
    <tableColumn id="11478" xr3:uid="{B356CA6F-E386-416C-8A2A-D072C980B1A7}" name="11698" dataDxfId="4912"/>
    <tableColumn id="11479" xr3:uid="{81464F5A-F4CD-4AE4-B744-2EDAA522683E}" name="11699" dataDxfId="4911"/>
    <tableColumn id="11480" xr3:uid="{CEF4E6B5-DF94-4CDC-8C04-DDBC83910B15}" name="11700" dataDxfId="4910"/>
    <tableColumn id="11481" xr3:uid="{D52AEDF6-A793-4A78-86AD-4C875D4C1B11}" name="11701" dataDxfId="4909"/>
    <tableColumn id="11482" xr3:uid="{CD4112AC-C1D9-4AF1-8682-838CFEEA3F2E}" name="11702" dataDxfId="4908"/>
    <tableColumn id="11483" xr3:uid="{06C2E782-327B-4497-94F0-380E22A2AD6E}" name="11703" dataDxfId="4907"/>
    <tableColumn id="11484" xr3:uid="{34E13F82-D1A0-4DDB-A5BB-F4A37C2DED2E}" name="11704" dataDxfId="4906"/>
    <tableColumn id="11485" xr3:uid="{7AFC91CA-0A5F-444B-9982-154FF6E5B5CA}" name="11705" dataDxfId="4905"/>
    <tableColumn id="11486" xr3:uid="{985F4F9F-F720-4456-8A59-A4EE25D16807}" name="11706" dataDxfId="4904"/>
    <tableColumn id="11487" xr3:uid="{1A3E07A3-253C-4BE4-BED4-939531AA1916}" name="11707" dataDxfId="4903"/>
    <tableColumn id="11488" xr3:uid="{5A89C65E-D897-49C2-9682-C33BD29DABC5}" name="11708" dataDxfId="4902"/>
    <tableColumn id="11489" xr3:uid="{B09FD921-DC8C-4FCE-A19C-FA9C3CE2B84B}" name="11709" dataDxfId="4901"/>
    <tableColumn id="11490" xr3:uid="{871EAA09-E004-426C-BFAA-EE6D1D9DEA0B}" name="11710" dataDxfId="4900"/>
    <tableColumn id="11491" xr3:uid="{55D11613-F42D-4CA1-8740-3D801BC02F30}" name="11711" dataDxfId="4899"/>
    <tableColumn id="11492" xr3:uid="{428616F1-CB14-4A35-83AA-3C935D4827EA}" name="11712" dataDxfId="4898"/>
    <tableColumn id="11493" xr3:uid="{1F846886-76E5-49B1-88C3-91B7377137E4}" name="11713" dataDxfId="4897"/>
    <tableColumn id="11494" xr3:uid="{F9182E55-8B2F-4229-BC1E-55E9BB5F9F5F}" name="11714" dataDxfId="4896"/>
    <tableColumn id="11495" xr3:uid="{B8DF0E78-552D-4776-BC4F-DE5C3518DF69}" name="11715" dataDxfId="4895"/>
    <tableColumn id="11496" xr3:uid="{3ACAF3E2-019F-40AD-BF00-1FEFAAFD75C5}" name="11716" dataDxfId="4894"/>
    <tableColumn id="11497" xr3:uid="{806955C7-FDC5-4B55-BC21-B407CBDC4015}" name="11717" dataDxfId="4893"/>
    <tableColumn id="11498" xr3:uid="{80AEE96E-C033-4AD2-85EE-688F0AA262E9}" name="11718" dataDxfId="4892"/>
    <tableColumn id="11499" xr3:uid="{AFD2446A-1AD9-464E-BC1F-8628B8F6E79E}" name="11719" dataDxfId="4891"/>
    <tableColumn id="11500" xr3:uid="{CF7E1EAE-0D8A-470B-94F9-DE0032BC3760}" name="11720" dataDxfId="4890"/>
    <tableColumn id="11501" xr3:uid="{62C40811-5893-4153-945F-CDEDC503A668}" name="11721" dataDxfId="4889"/>
    <tableColumn id="11502" xr3:uid="{C4AFAE92-41AC-48CD-8D67-0A2F39A5E45C}" name="11722" dataDxfId="4888"/>
    <tableColumn id="11503" xr3:uid="{86DDAC58-4C2F-4793-B1E2-7CEA6770344D}" name="11723" dataDxfId="4887"/>
    <tableColumn id="11504" xr3:uid="{6C555E90-36C0-418B-94F7-CB8C9594691B}" name="11724" dataDxfId="4886"/>
    <tableColumn id="11505" xr3:uid="{47EB81F6-41F2-41BD-8FC7-5F4398AAD7E9}" name="11725" dataDxfId="4885"/>
    <tableColumn id="11506" xr3:uid="{76EBEBE5-83A9-4204-BD8A-A1BDCD72E4E8}" name="11726" dataDxfId="4884"/>
    <tableColumn id="11507" xr3:uid="{49D48AC7-7818-4FB6-9398-0E156ECB1C6C}" name="11727" dataDxfId="4883"/>
    <tableColumn id="11508" xr3:uid="{7BBAEB13-F6C1-4711-88EE-FFCB0BA3A76A}" name="11728" dataDxfId="4882"/>
    <tableColumn id="11509" xr3:uid="{22455ECF-B29B-499F-BC1E-995B547335A3}" name="11729" dataDxfId="4881"/>
    <tableColumn id="11510" xr3:uid="{DFF4F84F-7427-4D94-B8F2-523286C2048B}" name="11730" dataDxfId="4880"/>
    <tableColumn id="11511" xr3:uid="{6DC097CB-55D6-449D-B418-155609F7F196}" name="11731" dataDxfId="4879"/>
    <tableColumn id="11512" xr3:uid="{ADF68F04-6C27-425E-A8B3-6163494FE439}" name="11732" dataDxfId="4878"/>
    <tableColumn id="11513" xr3:uid="{E2805D9C-51E9-46AA-B6F1-9A23C7BA3CC4}" name="11733" dataDxfId="4877"/>
    <tableColumn id="11514" xr3:uid="{99232544-58DA-4C5C-8A96-915CF88F4EC1}" name="11734" dataDxfId="4876"/>
    <tableColumn id="11515" xr3:uid="{2FBD8242-6811-4586-AC69-CA104525F1A0}" name="11735" dataDxfId="4875"/>
    <tableColumn id="11516" xr3:uid="{206A3743-64F8-4314-BBAB-9C585CC494EA}" name="11736" dataDxfId="4874"/>
    <tableColumn id="11517" xr3:uid="{28211E53-FA64-4B9F-9B6F-590670982D50}" name="11737" dataDxfId="4873"/>
    <tableColumn id="11518" xr3:uid="{76ECBAD3-BE36-49D4-A2CD-5EB6BAF35685}" name="11738" dataDxfId="4872"/>
    <tableColumn id="11519" xr3:uid="{F2E850CE-8517-4F64-B61D-73F06B60E52A}" name="11739" dataDxfId="4871"/>
    <tableColumn id="11520" xr3:uid="{AD506C42-16F5-46FA-9FD3-86E053F472B5}" name="11740" dataDxfId="4870"/>
    <tableColumn id="11521" xr3:uid="{59353B1D-2E2F-49BE-92E8-4C00671F29A1}" name="11741" dataDxfId="4869"/>
    <tableColumn id="11522" xr3:uid="{E82E4B61-290F-41FA-8700-9EE3E02D0554}" name="11742" dataDxfId="4868"/>
    <tableColumn id="11523" xr3:uid="{E53B4B30-DA70-4A32-A63F-EBA8FF7F14D4}" name="11743" dataDxfId="4867"/>
    <tableColumn id="11524" xr3:uid="{C134E3B9-63FF-46CB-961D-88E7D81FD765}" name="11744" dataDxfId="4866"/>
    <tableColumn id="11525" xr3:uid="{63665410-67D4-406F-BBA7-FED1A3352345}" name="11745" dataDxfId="4865"/>
    <tableColumn id="11526" xr3:uid="{B56148C6-ADD9-49F7-B48C-4F92FD87F138}" name="11746" dataDxfId="4864"/>
    <tableColumn id="11527" xr3:uid="{1EB1FF5C-B95D-4D86-B94D-2ED1400F3A82}" name="11747" dataDxfId="4863"/>
    <tableColumn id="11528" xr3:uid="{4CDBFB3A-101D-4DEF-8EE5-9695E4FCA863}" name="11748" dataDxfId="4862"/>
    <tableColumn id="11529" xr3:uid="{308D8826-0D76-428D-B84E-130037B3E5A0}" name="11749" dataDxfId="4861"/>
    <tableColumn id="11530" xr3:uid="{A6719C31-E645-4A9D-9DF7-473A4E40D5CF}" name="11750" dataDxfId="4860"/>
    <tableColumn id="11531" xr3:uid="{367AD591-E860-450D-A8CC-1C7337BD32C7}" name="11751" dataDxfId="4859"/>
    <tableColumn id="11532" xr3:uid="{C068996A-469A-417B-A080-3B8C17601228}" name="11752" dataDxfId="4858"/>
    <tableColumn id="11533" xr3:uid="{73F604D3-A450-4BF0-B008-AA81355DEAC0}" name="11753" dataDxfId="4857"/>
    <tableColumn id="11534" xr3:uid="{9A82AEE0-2C4B-43F5-9738-275FEDA96859}" name="11754" dataDxfId="4856"/>
    <tableColumn id="11535" xr3:uid="{D22B4DAF-CCB6-4B6F-9D2D-145A657B9887}" name="11755" dataDxfId="4855"/>
    <tableColumn id="11536" xr3:uid="{B64ED5C6-5B41-4F47-B461-B2D769BCD3EA}" name="11756" dataDxfId="4854"/>
    <tableColumn id="11537" xr3:uid="{0346D7AD-DED9-4C1D-8BB1-DBF87B6A743E}" name="11757" dataDxfId="4853"/>
    <tableColumn id="11538" xr3:uid="{31E027DE-FC4E-495B-8E29-B363008A2326}" name="11758" dataDxfId="4852"/>
    <tableColumn id="11539" xr3:uid="{981AB508-7C90-40C2-8758-EDF4DBB83F3C}" name="11759" dataDxfId="4851"/>
    <tableColumn id="11540" xr3:uid="{9D8C6E3C-AB3A-46D6-ADB4-8C67221BDB4B}" name="11760" dataDxfId="4850"/>
    <tableColumn id="11541" xr3:uid="{154EE072-77BB-41D2-AC1E-C0417DDB547F}" name="11761" dataDxfId="4849"/>
    <tableColumn id="11542" xr3:uid="{D1E9FC91-F84E-4A39-A563-63ACB3AC80B8}" name="11762" dataDxfId="4848"/>
    <tableColumn id="11543" xr3:uid="{BEFEEC34-C7B7-43FE-B78A-20FD730730FE}" name="11763" dataDxfId="4847"/>
    <tableColumn id="11544" xr3:uid="{7F90E325-F133-4D76-9685-B96BC70285CC}" name="11764" dataDxfId="4846"/>
    <tableColumn id="11545" xr3:uid="{8F24112E-5742-422E-ABCE-23C812316EE7}" name="11765" dataDxfId="4845"/>
    <tableColumn id="11546" xr3:uid="{42203709-7F8F-4503-A724-382907752601}" name="11766" dataDxfId="4844"/>
    <tableColumn id="11547" xr3:uid="{BA357F05-CB5A-4BA2-9E75-C863D0F4699A}" name="11767" dataDxfId="4843"/>
    <tableColumn id="11548" xr3:uid="{463C69C2-1DFA-4271-B8C2-4F3102127AD7}" name="11768" dataDxfId="4842"/>
    <tableColumn id="11549" xr3:uid="{05EC6A5D-A6CC-491E-BF61-81F19EA2CF6D}" name="11769" dataDxfId="4841"/>
    <tableColumn id="11550" xr3:uid="{07D83498-77A2-495C-BBB0-17B6B4619E2A}" name="11770" dataDxfId="4840"/>
    <tableColumn id="11551" xr3:uid="{3EC68E8B-906E-4F08-82F7-B51A1AC08018}" name="11771" dataDxfId="4839"/>
    <tableColumn id="11552" xr3:uid="{D9BA2C30-749D-4638-9889-1A9B6AB8A88D}" name="11772" dataDxfId="4838"/>
    <tableColumn id="11553" xr3:uid="{C553FA8E-FFBE-48C1-A674-0F63AFA6BBD3}" name="11773" dataDxfId="4837"/>
    <tableColumn id="11554" xr3:uid="{1B315CAA-0C44-4FEB-87B3-0919EEB18A05}" name="11774" dataDxfId="4836"/>
    <tableColumn id="11555" xr3:uid="{801CA2F5-2948-44A3-9117-1782E4A3ADEB}" name="11775" dataDxfId="4835"/>
    <tableColumn id="11556" xr3:uid="{ECE50633-9A26-42AD-8EDE-2E3BB8903CB9}" name="11776" dataDxfId="4834"/>
    <tableColumn id="11557" xr3:uid="{44C6412B-54B6-4233-A5DC-A29624EF30B0}" name="11777" dataDxfId="4833"/>
    <tableColumn id="11558" xr3:uid="{48B1BD38-48D7-4F21-8597-2A08E164AE2C}" name="11778" dataDxfId="4832"/>
    <tableColumn id="11559" xr3:uid="{3372BC66-30D5-4A5F-BDBD-0B26B5B61868}" name="11779" dataDxfId="4831"/>
    <tableColumn id="11560" xr3:uid="{E99CA620-6978-46D0-B5A9-B498FA8E76E9}" name="11780" dataDxfId="4830"/>
    <tableColumn id="11561" xr3:uid="{E5D337B3-CB6F-4E3C-B501-C76460A6DEE0}" name="11781" dataDxfId="4829"/>
    <tableColumn id="11562" xr3:uid="{4CA0E90A-8EDD-4E9C-9E11-D0EF126864FD}" name="11782" dataDxfId="4828"/>
    <tableColumn id="11563" xr3:uid="{A3AD69FD-9000-4B91-BCE7-7BB2A5AD9CB9}" name="11783" dataDxfId="4827"/>
    <tableColumn id="11564" xr3:uid="{6F1ECBAE-C01E-4E44-AEF1-C7481A754F54}" name="11784" dataDxfId="4826"/>
    <tableColumn id="11565" xr3:uid="{68E111B9-38C4-4E11-B344-6D29369B27A5}" name="11785" dataDxfId="4825"/>
    <tableColumn id="11566" xr3:uid="{E8BAA650-8A76-415D-9ACE-B85C1506B427}" name="11786" dataDxfId="4824"/>
    <tableColumn id="11567" xr3:uid="{D4CAFE62-4976-4B60-BCCC-0D62FB82FAD2}" name="11787" dataDxfId="4823"/>
    <tableColumn id="11568" xr3:uid="{45B97DB9-0E34-4B37-9DA3-9CC591348CA0}" name="11788" dataDxfId="4822"/>
    <tableColumn id="11569" xr3:uid="{CC5B3B1B-E37F-444F-A0B3-0EECCF80C44F}" name="11789" dataDxfId="4821"/>
    <tableColumn id="11570" xr3:uid="{FEC092EA-5823-4D37-B643-B5778212EF3B}" name="11790" dataDxfId="4820"/>
    <tableColumn id="11571" xr3:uid="{65F1E6B8-8033-4596-80D3-051AB85C935C}" name="11791" dataDxfId="4819"/>
    <tableColumn id="11572" xr3:uid="{0A717585-4BA4-4A2C-B478-7976BD8A82A3}" name="11792" dataDxfId="4818"/>
    <tableColumn id="11573" xr3:uid="{FE618D79-0B81-433D-83B4-035D994F2EFE}" name="11793" dataDxfId="4817"/>
    <tableColumn id="11574" xr3:uid="{64BD8288-4B6A-4B0F-B0CA-61F3C32C5FEF}" name="11794" dataDxfId="4816"/>
    <tableColumn id="11575" xr3:uid="{051F90B1-957F-4FD8-A948-9E6A0635E2CB}" name="11795" dataDxfId="4815"/>
    <tableColumn id="11576" xr3:uid="{049B0AFA-AAD4-4F60-B608-6B998F120B10}" name="11796" dataDxfId="4814"/>
    <tableColumn id="11577" xr3:uid="{4CF05CBD-CA8B-43AE-B369-52E4FFF67D4D}" name="11797" dataDxfId="4813"/>
    <tableColumn id="11578" xr3:uid="{F8B63442-2F48-4827-A239-65A17A8CA1B6}" name="11798" dataDxfId="4812"/>
    <tableColumn id="11579" xr3:uid="{449CA41E-6BEA-4309-9D8C-F7A19DE204CA}" name="11799" dataDxfId="4811"/>
    <tableColumn id="11580" xr3:uid="{014F3EBD-4A31-48AB-90F0-0D00F2304E2A}" name="11800" dataDxfId="4810"/>
    <tableColumn id="11581" xr3:uid="{39F62497-B1FE-4098-9F94-002C47D190D9}" name="11801" dataDxfId="4809"/>
    <tableColumn id="11582" xr3:uid="{293E0D03-8862-407C-AC02-6FE8F9198638}" name="11802" dataDxfId="4808"/>
    <tableColumn id="11583" xr3:uid="{D4875CC4-97B8-4093-9C4F-4180C2DE99F7}" name="11803" dataDxfId="4807"/>
    <tableColumn id="11584" xr3:uid="{C57F9593-D1AB-4EA5-BFEF-2B0CAE62C45F}" name="11804" dataDxfId="4806"/>
    <tableColumn id="11585" xr3:uid="{03D989B8-3180-459B-BE44-DC618351D8BF}" name="11805" dataDxfId="4805"/>
    <tableColumn id="11586" xr3:uid="{94220DF4-FDF3-42A7-9756-57541728CA7D}" name="11806" dataDxfId="4804"/>
    <tableColumn id="11587" xr3:uid="{F1339875-4C04-40A1-AD24-BE68B904784B}" name="11807" dataDxfId="4803"/>
    <tableColumn id="11588" xr3:uid="{3CF046C4-20DE-405E-91B1-FA48899604FC}" name="11808" dataDxfId="4802"/>
    <tableColumn id="11589" xr3:uid="{C54A3F3E-EBFA-4263-9E09-BC184B79573F}" name="11809" dataDxfId="4801"/>
    <tableColumn id="11590" xr3:uid="{828139EE-51ED-4333-A255-9B32FFFE8F0E}" name="11810" dataDxfId="4800"/>
    <tableColumn id="11591" xr3:uid="{4B689C1D-F948-4673-955F-B920E4F5E971}" name="11811" dataDxfId="4799"/>
    <tableColumn id="11592" xr3:uid="{F9CC66D5-CA90-41B0-B2E9-1FD86AB79B1F}" name="11812" dataDxfId="4798"/>
    <tableColumn id="11593" xr3:uid="{0C1327BF-C831-4C87-847A-ACD364946574}" name="11813" dataDxfId="4797"/>
    <tableColumn id="11594" xr3:uid="{01227A42-5EDF-47D6-8126-A2BABE98280C}" name="11814" dataDxfId="4796"/>
    <tableColumn id="11595" xr3:uid="{B4054F32-B2F8-4ED8-82AB-23BA19E8BBE0}" name="11815" dataDxfId="4795"/>
    <tableColumn id="11596" xr3:uid="{EEEECCDB-932E-462A-9081-6C09A287D051}" name="11816" dataDxfId="4794"/>
    <tableColumn id="11597" xr3:uid="{03F4C693-630B-4A0B-BA45-704137E336DC}" name="11817" dataDxfId="4793"/>
    <tableColumn id="11598" xr3:uid="{B819D31C-AB4F-4E85-8066-A28676642890}" name="11818" dataDxfId="4792"/>
    <tableColumn id="11599" xr3:uid="{63DD7214-65AA-409E-8C39-980E6AFB898E}" name="11819" dataDxfId="4791"/>
    <tableColumn id="11600" xr3:uid="{3C683FA9-0682-4270-85B8-2969C16F3E3F}" name="11820" dataDxfId="4790"/>
    <tableColumn id="11601" xr3:uid="{5E4B1A1C-7764-4F1B-83BF-A8C17DC8409F}" name="11821" dataDxfId="4789"/>
    <tableColumn id="11602" xr3:uid="{9422A24F-900F-4EBB-81B6-5F50912B1906}" name="11822" dataDxfId="4788"/>
    <tableColumn id="11603" xr3:uid="{9F35A6B0-133E-412C-ADDD-B72952FC8B2D}" name="11823" dataDxfId="4787"/>
    <tableColumn id="11604" xr3:uid="{5BCAB29C-7FE7-45DC-B5EC-15BF991D62A6}" name="11824" dataDxfId="4786"/>
    <tableColumn id="11605" xr3:uid="{096B246F-998A-47ED-A3FC-D8E91A246692}" name="11825" dataDxfId="4785"/>
    <tableColumn id="11606" xr3:uid="{676FFBCF-7C44-437B-A078-63C1F21CD0E0}" name="11826" dataDxfId="4784"/>
    <tableColumn id="11607" xr3:uid="{F511E133-BABA-4EB9-912B-69AE1338415C}" name="11827" dataDxfId="4783"/>
    <tableColumn id="11608" xr3:uid="{A4D20DB8-F0CE-45DF-88BC-C452FEB1DAA7}" name="11828" dataDxfId="4782"/>
    <tableColumn id="11609" xr3:uid="{0BDFF648-4DFA-4340-9863-D829EA87BB97}" name="11829" dataDxfId="4781"/>
    <tableColumn id="11610" xr3:uid="{EF486DC7-EE2F-4F01-AB67-A6E4C0B30841}" name="11830" dataDxfId="4780"/>
    <tableColumn id="11611" xr3:uid="{33C2A725-C3BD-4160-AF8E-FF7E2F501895}" name="11831" dataDxfId="4779"/>
    <tableColumn id="11612" xr3:uid="{DE3B78F7-9BD2-4D5E-BC97-ADAF10CEF5D3}" name="11832" dataDxfId="4778"/>
    <tableColumn id="11613" xr3:uid="{8E98EAAB-CF10-488F-8E64-01D0CEFF0DF4}" name="11833" dataDxfId="4777"/>
    <tableColumn id="11614" xr3:uid="{99534509-3D40-48D5-8FF3-883631BABA0C}" name="11834" dataDxfId="4776"/>
    <tableColumn id="11615" xr3:uid="{D57D2AA5-BF6D-4988-BCFF-48BAF97757D2}" name="11835" dataDxfId="4775"/>
    <tableColumn id="11616" xr3:uid="{C7EBF2B0-11F4-4E47-BD96-F3A5B333EF3A}" name="11836" dataDxfId="4774"/>
    <tableColumn id="11617" xr3:uid="{16783FFA-22FB-4DB2-B4DD-1A7633C78EBB}" name="11837" dataDxfId="4773"/>
    <tableColumn id="11618" xr3:uid="{EFECD8E0-41DF-47F4-B960-C238ACB72628}" name="11838" dataDxfId="4772"/>
    <tableColumn id="11619" xr3:uid="{644C1EAD-795E-4007-BC87-AE40CFD8C89D}" name="11839" dataDxfId="4771"/>
    <tableColumn id="11620" xr3:uid="{0466A455-D1D5-4899-8EB5-F4979BCC2007}" name="11840" dataDxfId="4770"/>
    <tableColumn id="11621" xr3:uid="{9B7BDBE3-C4DD-43FD-979C-90DD6FE81886}" name="11841" dataDxfId="4769"/>
    <tableColumn id="11622" xr3:uid="{A66E511F-7813-400F-A5B9-46806B922817}" name="11842" dataDxfId="4768"/>
    <tableColumn id="11623" xr3:uid="{58A92893-E930-43D6-A85D-32A4BA2E5A5B}" name="11843" dataDxfId="4767"/>
    <tableColumn id="11624" xr3:uid="{6545C2A4-94AE-4064-8FB2-49475E0EEFCB}" name="11844" dataDxfId="4766"/>
    <tableColumn id="11625" xr3:uid="{1DBFF806-2E40-410C-BF47-B719ADEEDC54}" name="11845" dataDxfId="4765"/>
    <tableColumn id="11626" xr3:uid="{F9EA199D-9F9A-4E32-849D-2ADCB6525AA7}" name="11846" dataDxfId="4764"/>
    <tableColumn id="11627" xr3:uid="{B888CD02-DA05-474C-80C7-BF1FF7F01490}" name="11847" dataDxfId="4763"/>
    <tableColumn id="11628" xr3:uid="{4319107B-64BA-4B46-8B56-E97E283D606C}" name="11848" dataDxfId="4762"/>
    <tableColumn id="11629" xr3:uid="{CCE73550-D176-4207-8A61-98B53EB61962}" name="11849" dataDxfId="4761"/>
    <tableColumn id="11630" xr3:uid="{6D337E4B-AE82-47AB-ADC1-E739B04A860A}" name="11850" dataDxfId="4760"/>
    <tableColumn id="11631" xr3:uid="{638CABAE-177A-49CE-A15E-273AF3021E68}" name="11851" dataDxfId="4759"/>
    <tableColumn id="11632" xr3:uid="{B42421A8-6548-4E75-8B7E-74A266EED561}" name="11852" dataDxfId="4758"/>
    <tableColumn id="11633" xr3:uid="{E7360107-9358-4016-BCD7-629EE9AD5C8A}" name="11853" dataDxfId="4757"/>
    <tableColumn id="11634" xr3:uid="{6818448F-9DE9-4CD3-B38A-35B7FD4110D2}" name="11854" dataDxfId="4756"/>
    <tableColumn id="11635" xr3:uid="{FEC066EF-1C26-451C-A986-6CFA51376268}" name="11855" dataDxfId="4755"/>
    <tableColumn id="11636" xr3:uid="{AAE8D61F-80AD-4A44-B254-B2F0A8D39199}" name="11856" dataDxfId="4754"/>
    <tableColumn id="11637" xr3:uid="{41443BA6-E4B0-4763-9C96-DBA3A62DC23C}" name="11857" dataDxfId="4753"/>
    <tableColumn id="11638" xr3:uid="{E58F7373-D8FF-40F9-AA97-41AEF7B08999}" name="11858" dataDxfId="4752"/>
    <tableColumn id="11639" xr3:uid="{3B3A4918-0F3F-4EE8-AC57-418B346BADE1}" name="11859" dataDxfId="4751"/>
    <tableColumn id="11640" xr3:uid="{2202F2DB-D090-494E-BD1E-E684A636689C}" name="11860" dataDxfId="4750"/>
    <tableColumn id="11641" xr3:uid="{0C71352E-A952-4154-BE2F-F664E2535989}" name="11861" dataDxfId="4749"/>
    <tableColumn id="11642" xr3:uid="{D58BF6DB-94A6-4966-97DD-27F9582B49BC}" name="11862" dataDxfId="4748"/>
    <tableColumn id="11643" xr3:uid="{27830192-FFF2-4247-AD46-EA18308A398F}" name="11863" dataDxfId="4747"/>
    <tableColumn id="11644" xr3:uid="{E6E9F6BB-17E3-4073-BC24-F0D7FFF0EED1}" name="11864" dataDxfId="4746"/>
    <tableColumn id="11645" xr3:uid="{F1172052-B5C5-4EF1-8363-27923D6D26BF}" name="11865" dataDxfId="4745"/>
    <tableColumn id="11646" xr3:uid="{008544D6-780E-431D-A03C-CF955F0C0F4C}" name="11866" dataDxfId="4744"/>
    <tableColumn id="11647" xr3:uid="{B16EC7AC-390C-4C35-BE81-41B2C5711F07}" name="11867" dataDxfId="4743"/>
    <tableColumn id="11648" xr3:uid="{DB3AF1A5-908E-4459-A230-4C06562B1AF5}" name="11868" dataDxfId="4742"/>
    <tableColumn id="11649" xr3:uid="{A6F8DB18-B6FB-4D49-B979-6F5DCF3DC4E0}" name="11869" dataDxfId="4741"/>
    <tableColumn id="11650" xr3:uid="{1115498C-64D3-4B9B-B827-62033C29F32E}" name="11870" dataDxfId="4740"/>
    <tableColumn id="11651" xr3:uid="{9EF300A0-213C-4418-8CDC-9EC869302E9D}" name="11871" dataDxfId="4739"/>
    <tableColumn id="11652" xr3:uid="{AB36225F-DF3F-4980-914F-BE2644C473AA}" name="11872" dataDxfId="4738"/>
    <tableColumn id="11653" xr3:uid="{9FB060AA-D86E-452A-B8BC-CF382FBC277E}" name="11873" dataDxfId="4737"/>
    <tableColumn id="11654" xr3:uid="{89E14741-2A99-4FE2-A607-FF249DDF729F}" name="11874" dataDxfId="4736"/>
    <tableColumn id="11655" xr3:uid="{61D73A53-6B8D-4E9B-BE73-B7B4C9FC0FCA}" name="11875" dataDxfId="4735"/>
    <tableColumn id="11656" xr3:uid="{F1799EC7-6FB9-4780-A446-99BCC698952E}" name="11876" dataDxfId="4734"/>
    <tableColumn id="11657" xr3:uid="{A650E78F-1488-4382-A793-24CAB26F48B8}" name="11877" dataDxfId="4733"/>
    <tableColumn id="11658" xr3:uid="{F13758CA-39C7-48F7-BCAA-D4E3468F2897}" name="11878" dataDxfId="4732"/>
    <tableColumn id="11659" xr3:uid="{6C7D6C5D-DA25-48EA-B81C-384EA4560031}" name="11879" dataDxfId="4731"/>
    <tableColumn id="11660" xr3:uid="{197EFB4C-FB07-4168-8F6A-4F1A2B3CE8F8}" name="11880" dataDxfId="4730"/>
    <tableColumn id="11661" xr3:uid="{3EE86F04-2F24-4AA6-B8E1-7C5EE652DA37}" name="11881" dataDxfId="4729"/>
    <tableColumn id="11662" xr3:uid="{816C035B-8C94-4B94-85D3-65A62A3C3359}" name="11882" dataDxfId="4728"/>
    <tableColumn id="11663" xr3:uid="{FDEDE0D5-F4A6-4E62-8D76-EE15E9FB032D}" name="11883" dataDxfId="4727"/>
    <tableColumn id="11664" xr3:uid="{7EA7FDB0-A9B3-4BF9-AD32-85719BC2873D}" name="11884" dataDxfId="4726"/>
    <tableColumn id="11665" xr3:uid="{9CC969E8-AE2B-409D-8EB9-DFBC53D6F65B}" name="11885" dataDxfId="4725"/>
    <tableColumn id="11666" xr3:uid="{DBB40CFA-0669-4935-9CAF-E1437DF9B66F}" name="11886" dataDxfId="4724"/>
    <tableColumn id="11667" xr3:uid="{0E3A44C8-A300-4313-802B-A7F92C068E18}" name="11887" dataDxfId="4723"/>
    <tableColumn id="11668" xr3:uid="{7F8B8E32-CA06-4DE3-A576-C5707D2BF525}" name="11888" dataDxfId="4722"/>
    <tableColumn id="11669" xr3:uid="{4AAA2428-4721-4F05-AD67-A778AD7D9259}" name="11889" dataDxfId="4721"/>
    <tableColumn id="11670" xr3:uid="{0AF1CF3F-DC39-44BC-A72D-9E64D2C179D2}" name="11890" dataDxfId="4720"/>
    <tableColumn id="11671" xr3:uid="{8D2E7D8C-4D43-4B38-A3FE-7AACECCFBA37}" name="11891" dataDxfId="4719"/>
    <tableColumn id="11672" xr3:uid="{30588937-DA61-43A7-83A3-79EA3FC62A58}" name="11892" dataDxfId="4718"/>
    <tableColumn id="11673" xr3:uid="{5100C0BC-3804-413F-B370-A17ABB03F34F}" name="11893" dataDxfId="4717"/>
    <tableColumn id="11674" xr3:uid="{64D8B49A-F59F-4B3A-BB15-F4B6F578B927}" name="11894" dataDxfId="4716"/>
    <tableColumn id="11675" xr3:uid="{2FE0692A-2617-4440-B338-A3CE47559184}" name="11895" dataDxfId="4715"/>
    <tableColumn id="11676" xr3:uid="{7D38B624-7425-4B33-9038-2CBEBA8B2AC0}" name="11896" dataDxfId="4714"/>
    <tableColumn id="11677" xr3:uid="{409FCC0A-A1B5-4F6B-A55A-9AD9194371A9}" name="11897" dataDxfId="4713"/>
    <tableColumn id="11678" xr3:uid="{49003BE7-8D8B-4804-86E8-47495D9B4118}" name="11898" dataDxfId="4712"/>
    <tableColumn id="11679" xr3:uid="{4C1BEDDF-E12A-4B32-988C-1188B39DE7EF}" name="11899" dataDxfId="4711"/>
    <tableColumn id="11680" xr3:uid="{633BF6B9-A5B3-4C11-A792-17928A1008EB}" name="11900" dataDxfId="4710"/>
    <tableColumn id="11681" xr3:uid="{EC64693B-8361-4062-9608-A348E201E135}" name="11901" dataDxfId="4709"/>
    <tableColumn id="11682" xr3:uid="{AEBAD136-E558-4D98-978E-05FC08093DFA}" name="11902" dataDxfId="4708"/>
    <tableColumn id="11683" xr3:uid="{D4637B78-A461-4876-AC71-F8E8B4382D63}" name="11903" dataDxfId="4707"/>
    <tableColumn id="11684" xr3:uid="{D95B7383-28E3-41F8-8ABA-FD66C282BACF}" name="11904" dataDxfId="4706"/>
    <tableColumn id="11685" xr3:uid="{B5C56C36-C392-47D7-873E-CCB59E8A4DF2}" name="11905" dataDxfId="4705"/>
    <tableColumn id="11686" xr3:uid="{815C53E5-613C-4A8B-A99D-C9A078CE88A3}" name="11906" dataDxfId="4704"/>
    <tableColumn id="11687" xr3:uid="{2C502E49-AF84-40D4-AE50-640592B182D2}" name="11907" dataDxfId="4703"/>
    <tableColumn id="11688" xr3:uid="{FB04BF59-6C29-499E-B452-F356CF8EC7E4}" name="11908" dataDxfId="4702"/>
    <tableColumn id="11689" xr3:uid="{734FDFF9-CD69-4E00-835E-AC9C86D4B74C}" name="11909" dataDxfId="4701"/>
    <tableColumn id="11690" xr3:uid="{194B577C-E45E-4BBD-BD8D-7BC80BE609A3}" name="11910" dataDxfId="4700"/>
    <tableColumn id="11691" xr3:uid="{7D0A0A80-CA35-4190-9A04-EFBA23CADB4E}" name="11911" dataDxfId="4699"/>
    <tableColumn id="11692" xr3:uid="{1CD502BC-4853-4042-BD9A-18FEE89C4175}" name="11912" dataDxfId="4698"/>
    <tableColumn id="11693" xr3:uid="{E829E26F-653E-4FCA-8368-A4B162FE18A8}" name="11913" dataDxfId="4697"/>
    <tableColumn id="11694" xr3:uid="{1DF2A749-8EBC-4257-88F0-085FC3001E60}" name="11914" dataDxfId="4696"/>
    <tableColumn id="11695" xr3:uid="{C1B37F54-AAF5-414A-B99E-3FE8B11E0CF8}" name="11915" dataDxfId="4695"/>
    <tableColumn id="11696" xr3:uid="{E0586110-9CF7-44DC-B45D-FE26C37392C8}" name="11916" dataDxfId="4694"/>
    <tableColumn id="11697" xr3:uid="{6F8409B3-B330-4120-A376-EDD25295A1A4}" name="11917" dataDxfId="4693"/>
    <tableColumn id="11698" xr3:uid="{62B0B944-5EFA-42A1-AAD8-8C93D9293329}" name="11918" dataDxfId="4692"/>
    <tableColumn id="11699" xr3:uid="{0EF9D3B9-216B-44B1-AD24-BDA962B594EF}" name="11919" dataDxfId="4691"/>
    <tableColumn id="11700" xr3:uid="{F2A1C10A-6870-4408-9ED5-C9EEF733E1B2}" name="11920" dataDxfId="4690"/>
    <tableColumn id="11701" xr3:uid="{4478B9FC-3282-4BFC-9140-E62A45630931}" name="11921" dataDxfId="4689"/>
    <tableColumn id="11702" xr3:uid="{E6BD2A0D-B232-4904-956C-3746FEE6B1E0}" name="11922" dataDxfId="4688"/>
    <tableColumn id="11703" xr3:uid="{F558A020-3259-4441-9850-22BF7AB99EDB}" name="11923" dataDxfId="4687"/>
    <tableColumn id="11704" xr3:uid="{0A94E021-6739-4548-A0D9-4D898447B341}" name="11924" dataDxfId="4686"/>
    <tableColumn id="11705" xr3:uid="{200BB77E-D5FA-46DE-A10E-FD7FEE6E1056}" name="11925" dataDxfId="4685"/>
    <tableColumn id="11706" xr3:uid="{C435A54B-3CA2-4E1F-ABD0-405D253C0CBC}" name="11926" dataDxfId="4684"/>
    <tableColumn id="11707" xr3:uid="{3A36E446-40F0-40C4-9C11-83673CFA08A1}" name="11927" dataDxfId="4683"/>
    <tableColumn id="11708" xr3:uid="{4BB0C774-0215-4A67-9ABC-C2DDE51BA348}" name="11928" dataDxfId="4682"/>
    <tableColumn id="11709" xr3:uid="{67450095-9281-483B-9810-B2CF144DC5BC}" name="11929" dataDxfId="4681"/>
    <tableColumn id="11710" xr3:uid="{E87959B3-B501-43E9-944A-79139B31A472}" name="11930" dataDxfId="4680"/>
    <tableColumn id="11711" xr3:uid="{F3D33A36-6449-4E37-A698-251CFEC9A622}" name="11931" dataDxfId="4679"/>
    <tableColumn id="11712" xr3:uid="{E530312F-7D1D-4E00-A8D4-9F2EE62600D3}" name="11932" dataDxfId="4678"/>
    <tableColumn id="11713" xr3:uid="{D2DC72AF-C056-4305-AE8B-00F7F34197CE}" name="11933" dataDxfId="4677"/>
    <tableColumn id="11714" xr3:uid="{59665BC5-BEB4-478A-BE16-9F4B77ECB96F}" name="11934" dataDxfId="4676"/>
    <tableColumn id="11715" xr3:uid="{E2EB3C30-8981-4C8B-B184-6CEF41421A6B}" name="11935" dataDxfId="4675"/>
    <tableColumn id="11716" xr3:uid="{6ABF4126-DFCB-400D-A9FF-81A4DD97D23D}" name="11936" dataDxfId="4674"/>
    <tableColumn id="11717" xr3:uid="{9E90B619-7229-459A-B803-842EFE94D979}" name="11937" dataDxfId="4673"/>
    <tableColumn id="11718" xr3:uid="{92E6DE66-3F3B-4E70-BFC8-C06A3F43397F}" name="11938" dataDxfId="4672"/>
    <tableColumn id="11719" xr3:uid="{C66166C1-5039-4B22-A42F-ECCFC332EE7F}" name="11939" dataDxfId="4671"/>
    <tableColumn id="11720" xr3:uid="{62E10F27-EC05-45C6-B4C2-948FCB6C1F14}" name="11940" dataDxfId="4670"/>
    <tableColumn id="11721" xr3:uid="{448ECA40-8AAF-4C96-8200-5BD793BD7EC4}" name="11941" dataDxfId="4669"/>
    <tableColumn id="11722" xr3:uid="{C7D4A71A-A06B-4994-9D1F-B70855581D9E}" name="11942" dataDxfId="4668"/>
    <tableColumn id="11723" xr3:uid="{E704CD64-5C7E-440C-AE25-FEB46FEEA4EC}" name="11943" dataDxfId="4667"/>
    <tableColumn id="11724" xr3:uid="{5B4A3F98-267B-4DC6-A1E8-BE5308D71763}" name="11944" dataDxfId="4666"/>
    <tableColumn id="11725" xr3:uid="{83E37916-228B-4099-8611-ACB34F817A20}" name="11945" dataDxfId="4665"/>
    <tableColumn id="11726" xr3:uid="{B7B1ADC1-075D-468D-9653-F941636A68BE}" name="11946" dataDxfId="4664"/>
    <tableColumn id="11727" xr3:uid="{2322F196-C2E2-43DE-A3BC-803D550A27F7}" name="11947" dataDxfId="4663"/>
    <tableColumn id="11728" xr3:uid="{0BA689C1-A67C-4F99-8501-80684E699F65}" name="11948" dataDxfId="4662"/>
    <tableColumn id="11729" xr3:uid="{0208CBF8-F3EA-4356-AD18-FB1AC30D49FD}" name="11949" dataDxfId="4661"/>
    <tableColumn id="11730" xr3:uid="{CF4B63BD-CD0E-4B34-BC68-79B46539D45E}" name="11950" dataDxfId="4660"/>
    <tableColumn id="11731" xr3:uid="{50411EAB-8B03-4CED-A7EB-D1DBBF038005}" name="11951" dataDxfId="4659"/>
    <tableColumn id="11732" xr3:uid="{DE6C4A04-79FE-4E0E-ADE6-B5E3ED503D09}" name="11952" dataDxfId="4658"/>
    <tableColumn id="11733" xr3:uid="{C2CA9516-225E-4E77-86D2-119ECD1C4FE4}" name="11953" dataDxfId="4657"/>
    <tableColumn id="11734" xr3:uid="{6432FC79-A4F9-475D-B70B-4C12DC905FED}" name="11954" dataDxfId="4656"/>
    <tableColumn id="11735" xr3:uid="{446783E4-3256-4C49-8B5C-99018414FA46}" name="11955" dataDxfId="4655"/>
    <tableColumn id="11736" xr3:uid="{A778C2D7-3BEE-446A-A925-2296985F8387}" name="11956" dataDxfId="4654"/>
    <tableColumn id="11737" xr3:uid="{5A5F7904-DFD1-4933-ADC5-C84976B45CBC}" name="11957" dataDxfId="4653"/>
    <tableColumn id="11738" xr3:uid="{2D5B6E4A-D6C8-45D9-ABF3-3C64E3FB6EC7}" name="11958" dataDxfId="4652"/>
    <tableColumn id="11739" xr3:uid="{AB98B8A2-5809-4EDC-8A2E-93EF27DE78DE}" name="11959" dataDxfId="4651"/>
    <tableColumn id="11740" xr3:uid="{79DFB208-36EA-49D2-8C28-F2908DE114F0}" name="11960" dataDxfId="4650"/>
    <tableColumn id="11741" xr3:uid="{861FB3B9-885A-4996-95F1-74D991B8FB09}" name="11961" dataDxfId="4649"/>
    <tableColumn id="11742" xr3:uid="{88C82F44-A4A1-4F7E-9AFE-095BBBD2D322}" name="11962" dataDxfId="4648"/>
    <tableColumn id="11743" xr3:uid="{37649FFE-ECC0-4EDF-B739-12C78AE9BA93}" name="11963" dataDxfId="4647"/>
    <tableColumn id="11744" xr3:uid="{18FD583A-D331-4A26-BACB-1F665897535F}" name="11964" dataDxfId="4646"/>
    <tableColumn id="11745" xr3:uid="{D7FD7A76-0794-4EE9-B156-9D24B64707F5}" name="11965" dataDxfId="4645"/>
    <tableColumn id="11746" xr3:uid="{0669ADD5-5DDE-44CF-B9F6-4354F5363157}" name="11966" dataDxfId="4644"/>
    <tableColumn id="11747" xr3:uid="{98A727A2-DED1-4582-8F19-9ACA7DE66B51}" name="11967" dataDxfId="4643"/>
    <tableColumn id="11748" xr3:uid="{2174E7B6-745E-43E1-A7C4-AC09B5BD1FF4}" name="11968" dataDxfId="4642"/>
    <tableColumn id="11749" xr3:uid="{A469EEAE-2117-48B9-9DD6-939CA63A5AE3}" name="11969" dataDxfId="4641"/>
    <tableColumn id="11750" xr3:uid="{70711F97-32F5-4C5B-BD25-38B076719F78}" name="11970" dataDxfId="4640"/>
    <tableColumn id="11751" xr3:uid="{47C3536B-3D8F-4803-B82D-FEE9F14D3C04}" name="11971" dataDxfId="4639"/>
    <tableColumn id="11752" xr3:uid="{AC817611-4978-4460-9B4B-84606F64B9AD}" name="11972" dataDxfId="4638"/>
    <tableColumn id="11753" xr3:uid="{1BBDF5E3-BD7A-4419-BE52-DE5BA73F6C47}" name="11973" dataDxfId="4637"/>
    <tableColumn id="11754" xr3:uid="{39268D35-93CD-44CE-AEF8-1D15438E0E4E}" name="11974" dataDxfId="4636"/>
    <tableColumn id="11755" xr3:uid="{D840A042-6D74-45A0-8108-272A3AD7DB11}" name="11975" dataDxfId="4635"/>
    <tableColumn id="11756" xr3:uid="{9B988130-5A1F-4D1A-8278-357CBDA9C3FE}" name="11976" dataDxfId="4634"/>
    <tableColumn id="11757" xr3:uid="{53D6BA8B-2F78-42F2-8FC1-A53F1DC25566}" name="11977" dataDxfId="4633"/>
    <tableColumn id="11758" xr3:uid="{C8622FF1-7B67-434E-BD32-F410CDBB95E9}" name="11978" dataDxfId="4632"/>
    <tableColumn id="11759" xr3:uid="{51DDA921-E619-473A-A0F3-DA0731C62E95}" name="11979" dataDxfId="4631"/>
    <tableColumn id="11760" xr3:uid="{A3E0226D-1F8D-44A0-8A99-B1D8FCFB4504}" name="11980" dataDxfId="4630"/>
    <tableColumn id="11761" xr3:uid="{753FD1E5-6018-490C-AE27-72BB90128193}" name="11981" dataDxfId="4629"/>
    <tableColumn id="11762" xr3:uid="{FEA42E66-8B51-4ED8-AA2D-193702EF9AEB}" name="11982" dataDxfId="4628"/>
    <tableColumn id="11763" xr3:uid="{46E4FABC-DADC-44AC-9149-A42417043F26}" name="11983" dataDxfId="4627"/>
    <tableColumn id="11764" xr3:uid="{5A915930-5E2A-40EB-BDE7-377D3B64A64E}" name="11984" dataDxfId="4626"/>
    <tableColumn id="11765" xr3:uid="{BF953D55-39E8-4822-A70A-0A47B7710150}" name="11985" dataDxfId="4625"/>
    <tableColumn id="11766" xr3:uid="{A6E664CB-B395-4A09-AA2E-4C6D99F1C1BB}" name="11986" dataDxfId="4624"/>
    <tableColumn id="11767" xr3:uid="{A540D706-D56D-4A26-8DC0-CEDA9F8052EF}" name="11987" dataDxfId="4623"/>
    <tableColumn id="11768" xr3:uid="{99AF1B88-54AB-4ADB-9F8E-93533A6586E0}" name="11988" dataDxfId="4622"/>
    <tableColumn id="11769" xr3:uid="{B7BF8002-1866-4505-B2D3-6E409E439917}" name="11989" dataDxfId="4621"/>
    <tableColumn id="11770" xr3:uid="{84DBF0E2-F322-42CD-A157-31A3C762EBC8}" name="11990" dataDxfId="4620"/>
    <tableColumn id="11771" xr3:uid="{C80E5153-CBBC-4938-9E40-F1E38BD7982D}" name="11991" dataDxfId="4619"/>
    <tableColumn id="11772" xr3:uid="{72D51FEA-C607-4E10-AA72-98988E77BAEA}" name="11992" dataDxfId="4618"/>
    <tableColumn id="11773" xr3:uid="{278CD270-7CD0-4700-817B-A3E1911731C9}" name="11993" dataDxfId="4617"/>
    <tableColumn id="11774" xr3:uid="{098DC4B0-BD07-41D8-A3B2-52285D1E1990}" name="11994" dataDxfId="4616"/>
    <tableColumn id="11775" xr3:uid="{4C5C2517-E0B0-4761-9247-A271F125614A}" name="11995" dataDxfId="4615"/>
    <tableColumn id="11776" xr3:uid="{24123DF6-EE71-4B7A-9207-06CBD413A8EA}" name="11996" dataDxfId="4614"/>
    <tableColumn id="11777" xr3:uid="{76AAA578-6EED-4D8D-BF0A-B37771033431}" name="11997" dataDxfId="4613"/>
    <tableColumn id="11778" xr3:uid="{54BCF50A-C1C0-4B88-8BF2-E1FB069E686E}" name="11998" dataDxfId="4612"/>
    <tableColumn id="11779" xr3:uid="{BA6CC690-D2ED-4300-9400-0D51EA1DEC09}" name="11999" dataDxfId="4611"/>
    <tableColumn id="11780" xr3:uid="{2D66AB48-D7CA-49B9-8AC2-CD50F39BA583}" name="12000" dataDxfId="4610"/>
    <tableColumn id="11781" xr3:uid="{9085F39A-BF79-4254-B9CC-E55AE83CA8DE}" name="12001" dataDxfId="4609"/>
    <tableColumn id="11782" xr3:uid="{710C7F05-258F-4CAE-9818-CAE569954551}" name="12002" dataDxfId="4608"/>
    <tableColumn id="11783" xr3:uid="{4A51984B-6BD1-479C-A348-1D849F269833}" name="12003" dataDxfId="4607"/>
    <tableColumn id="11784" xr3:uid="{80B4E3CC-BFFA-4CAC-BA8B-6B1FA3264B88}" name="12004" dataDxfId="4606"/>
    <tableColumn id="11785" xr3:uid="{81E8F83D-EA0D-4B4D-B293-B4A642052F83}" name="12005" dataDxfId="4605"/>
    <tableColumn id="11786" xr3:uid="{6E51E740-4B4E-4D7A-9CBF-C38AE9F14D06}" name="12006" dataDxfId="4604"/>
    <tableColumn id="11787" xr3:uid="{2522A44A-F93C-444D-BC2A-846FFC141D03}" name="12007" dataDxfId="4603"/>
    <tableColumn id="11788" xr3:uid="{54CB035A-FCFD-4A51-B132-D3BAFDCD4E91}" name="12008" dataDxfId="4602"/>
    <tableColumn id="11789" xr3:uid="{41D86898-2984-450F-8468-34D08D06AD06}" name="12009" dataDxfId="4601"/>
    <tableColumn id="11790" xr3:uid="{BAE40D97-6752-4D80-8866-7112A5CDCDF9}" name="12010" dataDxfId="4600"/>
    <tableColumn id="11791" xr3:uid="{ADA48442-3EB0-4791-B0F1-4D805D0823A0}" name="12011" dataDxfId="4599"/>
    <tableColumn id="11792" xr3:uid="{370A26A9-8862-478A-A1C1-C22993C38BDC}" name="12012" dataDxfId="4598"/>
    <tableColumn id="11793" xr3:uid="{4FE55620-690C-440A-998B-9D5A7C668B13}" name="12013" dataDxfId="4597"/>
    <tableColumn id="11794" xr3:uid="{4033ADA6-C1A7-43FD-AF66-8D17F6A1B6DB}" name="12014" dataDxfId="4596"/>
    <tableColumn id="11795" xr3:uid="{56A5EAB1-8524-49FF-8C92-61EDC74D3349}" name="12015" dataDxfId="4595"/>
    <tableColumn id="11796" xr3:uid="{535B28EC-871A-40FE-967F-DCA9B5E85691}" name="12016" dataDxfId="4594"/>
    <tableColumn id="11797" xr3:uid="{D68951FB-E717-424E-A975-2606A46BFEF1}" name="12017" dataDxfId="4593"/>
    <tableColumn id="11798" xr3:uid="{045A73AE-82B3-4C1F-9A37-A74CE9B9C623}" name="12018" dataDxfId="4592"/>
    <tableColumn id="11799" xr3:uid="{61881530-C9CC-4BF0-99AF-03D0A8EE2564}" name="12019" dataDxfId="4591"/>
    <tableColumn id="11800" xr3:uid="{CE89D8C3-4E65-4FC0-9015-965F825BA9C7}" name="12020" dataDxfId="4590"/>
    <tableColumn id="11801" xr3:uid="{517F0E70-B593-410B-8DF6-041426C9CB0E}" name="12021" dataDxfId="4589"/>
    <tableColumn id="11802" xr3:uid="{3CBF6308-0450-45EE-A3F8-EB957EAE4192}" name="12022" dataDxfId="4588"/>
    <tableColumn id="11803" xr3:uid="{F9A7FCD9-A05F-41AD-931B-A632B061F083}" name="12023" dataDxfId="4587"/>
    <tableColumn id="11804" xr3:uid="{BE162836-375C-4389-8896-AE2E2983DFC3}" name="12024" dataDxfId="4586"/>
    <tableColumn id="11805" xr3:uid="{89F3243D-1E64-4458-B5F6-1E5E676D8EFA}" name="12025" dataDxfId="4585"/>
    <tableColumn id="11806" xr3:uid="{6899B1A2-5F2D-4FCB-888D-C7C93B58A602}" name="12026" dataDxfId="4584"/>
    <tableColumn id="11807" xr3:uid="{CED9ED9A-5892-4078-87D3-406E9079DBFD}" name="12027" dataDxfId="4583"/>
    <tableColumn id="11808" xr3:uid="{629270BE-AC76-4606-A509-92F6C5CE2840}" name="12028" dataDxfId="4582"/>
    <tableColumn id="11809" xr3:uid="{899D9E2B-A65C-44F7-AC85-3474D8A67565}" name="12029" dataDxfId="4581"/>
    <tableColumn id="11810" xr3:uid="{B634C67A-4A97-41D7-8A45-28E86D74BDD8}" name="12030" dataDxfId="4580"/>
    <tableColumn id="11811" xr3:uid="{4AB7C782-0D8D-4987-8FB6-9A34AB5AD012}" name="12031" dataDxfId="4579"/>
    <tableColumn id="11812" xr3:uid="{86E79E6D-2E5C-4735-8B03-C0CF3A8008E6}" name="12032" dataDxfId="4578"/>
    <tableColumn id="11813" xr3:uid="{A7103C9E-FDE3-4973-BD9D-D76C33D34E7E}" name="12033" dataDxfId="4577"/>
    <tableColumn id="11814" xr3:uid="{E01EABCE-9A1A-477F-87DB-31366B3B954B}" name="12034" dataDxfId="4576"/>
    <tableColumn id="11815" xr3:uid="{5E06BEFA-9BAA-4A51-8E7A-0FD97090B867}" name="12035" dataDxfId="4575"/>
    <tableColumn id="11816" xr3:uid="{DEAD84CB-3819-465B-B6B8-8866412ECC04}" name="12036" dataDxfId="4574"/>
    <tableColumn id="11817" xr3:uid="{F44FD6DD-837E-40DA-A59E-C570D275ADD5}" name="12037" dataDxfId="4573"/>
    <tableColumn id="11818" xr3:uid="{D24805ED-71E9-45F0-B986-8F7CB55C4DD5}" name="12038" dataDxfId="4572"/>
    <tableColumn id="11819" xr3:uid="{1F5173BE-279C-43DC-944F-432705138C42}" name="12039" dataDxfId="4571"/>
    <tableColumn id="11820" xr3:uid="{295F192F-39EB-4B41-9FBC-14DB04C8DFBC}" name="12040" dataDxfId="4570"/>
    <tableColumn id="11821" xr3:uid="{3C133EF4-CDDD-4FAB-83CD-84A32DAD8C67}" name="12041" dataDxfId="4569"/>
    <tableColumn id="11822" xr3:uid="{AC28FE00-1D2B-4BDC-906A-401D18529073}" name="12042" dataDxfId="4568"/>
    <tableColumn id="11823" xr3:uid="{A848409C-C793-4A0B-9A91-2199B3D4060E}" name="12043" dataDxfId="4567"/>
    <tableColumn id="11824" xr3:uid="{0229A409-56BE-40D2-BA8C-14810402B056}" name="12044" dataDxfId="4566"/>
    <tableColumn id="11825" xr3:uid="{849F3B2E-8B5B-43D7-B9C1-CC99B580173C}" name="12045" dataDxfId="4565"/>
    <tableColumn id="11826" xr3:uid="{DE8CA35E-7812-44D2-8C03-C994632FCFD2}" name="12046" dataDxfId="4564"/>
    <tableColumn id="11827" xr3:uid="{877658AC-00AC-493D-B630-40E1A467D831}" name="12047" dataDxfId="4563"/>
    <tableColumn id="11828" xr3:uid="{5A3B0DCE-8B34-4CCB-BF19-7AFFAAF326BD}" name="12048" dataDxfId="4562"/>
    <tableColumn id="11829" xr3:uid="{3159908B-39EC-4D08-A613-3ABE2BD79C56}" name="12049" dataDxfId="4561"/>
    <tableColumn id="11830" xr3:uid="{95EBD533-D14F-4052-916F-D21DD7BA3954}" name="12050" dataDxfId="4560"/>
    <tableColumn id="11831" xr3:uid="{86B8FCDA-243B-4962-BD03-EEEF11E66EF1}" name="12051" dataDxfId="4559"/>
    <tableColumn id="11832" xr3:uid="{91A57639-E00D-480B-9392-0BD615A69297}" name="12052" dataDxfId="4558"/>
    <tableColumn id="11833" xr3:uid="{99AFF399-01BD-4CD7-8C44-0F74677A51DA}" name="12053" dataDxfId="4557"/>
    <tableColumn id="11834" xr3:uid="{DFFF96F5-428A-47CE-A90D-1F4722F6B369}" name="12054" dataDxfId="4556"/>
    <tableColumn id="11835" xr3:uid="{DD4F75D8-CCE3-48C3-A30F-9DF1B9E94CBF}" name="12055" dataDxfId="4555"/>
    <tableColumn id="11836" xr3:uid="{134C5235-3EBE-4D4C-9B1E-CDF0430E3AE7}" name="12056" dataDxfId="4554"/>
    <tableColumn id="11837" xr3:uid="{5CAAA6DF-643E-45FE-BC61-15D5B58D2042}" name="12057" dataDxfId="4553"/>
    <tableColumn id="11838" xr3:uid="{6868F3D3-097F-489E-BEFC-1316753C7151}" name="12058" dataDxfId="4552"/>
    <tableColumn id="11839" xr3:uid="{300A72D7-CC91-4F29-A9AE-CAE542BC1FEE}" name="12059" dataDxfId="4551"/>
    <tableColumn id="11840" xr3:uid="{8FF4C086-5B10-4799-8183-D36397127F03}" name="12060" dataDxfId="4550"/>
    <tableColumn id="11841" xr3:uid="{CB977C30-0B87-4562-B550-0C22B15990FD}" name="12061" dataDxfId="4549"/>
    <tableColumn id="11842" xr3:uid="{8ABF5347-33B1-47FD-8060-4814C189FDCC}" name="12062" dataDxfId="4548"/>
    <tableColumn id="11843" xr3:uid="{D57CF9F2-BE8A-46C6-BEFE-FE5E06A312B3}" name="12063" dataDxfId="4547"/>
    <tableColumn id="11844" xr3:uid="{957FA0A2-8405-4496-9B85-452F76AC9E07}" name="12064" dataDxfId="4546"/>
    <tableColumn id="11845" xr3:uid="{5EA3A4B5-AE6C-4CEF-8E64-152A16749438}" name="12065" dataDxfId="4545"/>
    <tableColumn id="11846" xr3:uid="{A51E0005-9F0F-4374-A4B3-F275FE01A4EF}" name="12066" dataDxfId="4544"/>
    <tableColumn id="11847" xr3:uid="{FAFC1529-E52D-4388-9D13-359394453240}" name="12067" dataDxfId="4543"/>
    <tableColumn id="11848" xr3:uid="{85895DBF-E58E-4A85-A714-BE36C9D7A315}" name="12068" dataDxfId="4542"/>
    <tableColumn id="11849" xr3:uid="{18A1DA0F-DD63-46B1-BF57-92E24C598FE0}" name="12069" dataDxfId="4541"/>
    <tableColumn id="11850" xr3:uid="{82B777F7-A174-4D2C-BA8A-F0B7D1049946}" name="12070" dataDxfId="4540"/>
    <tableColumn id="11851" xr3:uid="{F25E9070-B134-4E3B-97FF-6EA923448991}" name="12071" dataDxfId="4539"/>
    <tableColumn id="11852" xr3:uid="{651A6E8F-F528-4BE1-B875-73007AE4E40F}" name="12072" dataDxfId="4538"/>
    <tableColumn id="11853" xr3:uid="{B0E514A3-D7B8-4DE7-B4B0-D603E338A8AB}" name="12073" dataDxfId="4537"/>
    <tableColumn id="11854" xr3:uid="{36A3A40A-2D6C-4E9F-897A-CF3FA924BDF9}" name="12074" dataDxfId="4536"/>
    <tableColumn id="11855" xr3:uid="{D4E001B2-C4F2-4AA8-AF4D-7B5BFE5ECC71}" name="12075" dataDxfId="4535"/>
    <tableColumn id="11856" xr3:uid="{05AA3283-6535-4B58-A2DD-232E29F05F89}" name="12076" dataDxfId="4534"/>
    <tableColumn id="11857" xr3:uid="{A4302A70-72CD-4D18-A771-26E1952477E2}" name="12077" dataDxfId="4533"/>
    <tableColumn id="11858" xr3:uid="{06E65AB6-BF6B-4DAC-B4FB-B16D2EC41B20}" name="12078" dataDxfId="4532"/>
    <tableColumn id="11859" xr3:uid="{88E8055D-2152-4B9F-B096-D48E37F81A7C}" name="12079" dataDxfId="4531"/>
    <tableColumn id="11860" xr3:uid="{A3EFF9F8-D582-4C55-9395-AA19F45DDE7C}" name="12080" dataDxfId="4530"/>
    <tableColumn id="11861" xr3:uid="{65B12A67-4274-4373-B8C8-C2B9D8CB6E16}" name="12081" dataDxfId="4529"/>
    <tableColumn id="11862" xr3:uid="{F2896326-A88D-483A-AC9A-1DE89A534129}" name="12082" dataDxfId="4528"/>
    <tableColumn id="11863" xr3:uid="{B3E482A0-AC66-4DA6-B97F-6FCC039311E3}" name="12083" dataDxfId="4527"/>
    <tableColumn id="11864" xr3:uid="{3752CF62-0BBE-4FE7-B8C3-A2EF711F2FF0}" name="12084" dataDxfId="4526"/>
    <tableColumn id="11865" xr3:uid="{FB21AA2D-B7DE-449C-9FCD-E77887358E89}" name="12085" dataDxfId="4525"/>
    <tableColumn id="11866" xr3:uid="{E31D0977-6AEE-47AD-A555-E7739019F982}" name="12086" dataDxfId="4524"/>
    <tableColumn id="11867" xr3:uid="{E0D2706A-7CDD-4B0C-AAE5-E201D56B1C7B}" name="12087" dataDxfId="4523"/>
    <tableColumn id="11868" xr3:uid="{43B26834-81F1-48A7-92FD-1048D77A77B4}" name="12088" dataDxfId="4522"/>
    <tableColumn id="11869" xr3:uid="{E291D98D-79D3-4F6A-9789-797F98FAACAC}" name="12089" dataDxfId="4521"/>
    <tableColumn id="11870" xr3:uid="{AFB5488E-5869-4CED-82F3-FEB12D3D21C9}" name="12090" dataDxfId="4520"/>
    <tableColumn id="11871" xr3:uid="{67335D5A-B0F2-4EFD-9849-01C74C307C7D}" name="12091" dataDxfId="4519"/>
    <tableColumn id="11872" xr3:uid="{CA38E973-9A19-4A49-8ED3-EB0A04CD8521}" name="12092" dataDxfId="4518"/>
    <tableColumn id="11873" xr3:uid="{C57ABE4D-9659-41C3-92FB-A1B4904712A3}" name="12093" dataDxfId="4517"/>
    <tableColumn id="11874" xr3:uid="{44135BAF-B41C-4B9E-96E8-D066BA8955E8}" name="12094" dataDxfId="4516"/>
    <tableColumn id="11875" xr3:uid="{AA235E65-62E8-4A50-9207-402DCB01678B}" name="12095" dataDxfId="4515"/>
    <tableColumn id="11876" xr3:uid="{DC8D7B5B-BB84-4A9D-900D-F8D3E468C17C}" name="12096" dataDxfId="4514"/>
    <tableColumn id="11877" xr3:uid="{EF9B5384-B4EC-47D5-8241-0B2824965E44}" name="12097" dataDxfId="4513"/>
    <tableColumn id="11878" xr3:uid="{9B87A623-F84C-48C9-8CFB-CDDDE772165C}" name="12098" dataDxfId="4512"/>
    <tableColumn id="11879" xr3:uid="{BD0C909C-09B6-4C61-A0C5-5F4A54292DB3}" name="12099" dataDxfId="4511"/>
    <tableColumn id="11880" xr3:uid="{07C9EA72-0BD7-4EED-AC38-2140FA7EE7DF}" name="12100" dataDxfId="4510"/>
    <tableColumn id="11881" xr3:uid="{91B328CF-3B97-437B-A60D-59AFCB704DFC}" name="12101" dataDxfId="4509"/>
    <tableColumn id="11882" xr3:uid="{C8DB2DC4-B902-47AC-B80B-970EDF0598B0}" name="12102" dataDxfId="4508"/>
    <tableColumn id="11883" xr3:uid="{C9D6713F-7E4A-47DF-BFC8-F71150D1A8F8}" name="12103" dataDxfId="4507"/>
    <tableColumn id="11884" xr3:uid="{54504540-6BCC-4626-853E-50CE4F8441DD}" name="12104" dataDxfId="4506"/>
    <tableColumn id="11885" xr3:uid="{F87DC7EB-4024-4C5F-9B11-FE3999FBAA61}" name="12105" dataDxfId="4505"/>
    <tableColumn id="11886" xr3:uid="{8FEAC668-01A6-4C87-8182-0AAED6B511B2}" name="12106" dataDxfId="4504"/>
    <tableColumn id="11887" xr3:uid="{2354216E-3C39-4DFD-AD3A-A7FCDD59E338}" name="12107" dataDxfId="4503"/>
    <tableColumn id="11888" xr3:uid="{479745FD-E5B2-4EB8-8F08-077FBEB1CC7A}" name="12108" dataDxfId="4502"/>
    <tableColumn id="11889" xr3:uid="{1338D1DF-B517-465A-B3E0-5366E0EAE6EC}" name="12109" dataDxfId="4501"/>
    <tableColumn id="11890" xr3:uid="{BCC04A20-451E-48EB-9B49-E9B23AC18299}" name="12110" dataDxfId="4500"/>
    <tableColumn id="11891" xr3:uid="{21EFDE86-2C5C-443A-A539-DB854A98FD81}" name="12111" dataDxfId="4499"/>
    <tableColumn id="11892" xr3:uid="{11A70D6D-1172-4547-9653-8B02F2C2C908}" name="12112" dataDxfId="4498"/>
    <tableColumn id="11893" xr3:uid="{53A45E3E-9563-4395-AF86-802B086ABD6E}" name="12113" dataDxfId="4497"/>
    <tableColumn id="11894" xr3:uid="{D6FED65E-6E05-46ED-ADD9-1B815114F70F}" name="12114" dataDxfId="4496"/>
    <tableColumn id="11895" xr3:uid="{046D9DC5-C35D-4D18-9311-D7A84B7BF2CE}" name="12115" dataDxfId="4495"/>
    <tableColumn id="11896" xr3:uid="{07C693B3-5715-474A-A994-B1A89BFEE9C4}" name="12116" dataDxfId="4494"/>
    <tableColumn id="11897" xr3:uid="{BA36EDA2-B9AA-45AD-8AE3-F98692F6F3F1}" name="12117" dataDxfId="4493"/>
    <tableColumn id="11898" xr3:uid="{D1A1D826-D317-465B-BCF4-28445C0E1DE5}" name="12118" dataDxfId="4492"/>
    <tableColumn id="11899" xr3:uid="{A245885D-FE35-4C92-A720-D56C6E3924F9}" name="12119" dataDxfId="4491"/>
    <tableColumn id="11900" xr3:uid="{463FAD26-F81D-4DCA-BBE0-16000817BBA0}" name="12120" dataDxfId="4490"/>
    <tableColumn id="11901" xr3:uid="{20A68B79-43DD-4F3C-A70A-90F17977C9D1}" name="12121" dataDxfId="4489"/>
    <tableColumn id="11902" xr3:uid="{DA9C077F-796E-4384-901A-2BC334059A17}" name="12122" dataDxfId="4488"/>
    <tableColumn id="11903" xr3:uid="{C3EFFA10-7FBD-4F6F-A7D4-09C554276255}" name="12123" dataDxfId="4487"/>
    <tableColumn id="11904" xr3:uid="{DD3731D6-38B6-4237-9E48-AB253D0B37FD}" name="12124" dataDxfId="4486"/>
    <tableColumn id="11905" xr3:uid="{1E913F2E-6A7C-45A0-84CD-433E9E76C330}" name="12125" dataDxfId="4485"/>
    <tableColumn id="11906" xr3:uid="{A8AB1D62-4EFA-429D-A111-32A6793F4CCB}" name="12126" dataDxfId="4484"/>
    <tableColumn id="11907" xr3:uid="{87E858FB-2B43-418F-97D6-18323E2EA256}" name="12127" dataDxfId="4483"/>
    <tableColumn id="11908" xr3:uid="{397A41BA-FF90-4265-BAAD-6253F9A897A6}" name="12128" dataDxfId="4482"/>
    <tableColumn id="11909" xr3:uid="{C0C00E90-A007-463D-9A2D-F55EA5DA0059}" name="12129" dataDxfId="4481"/>
    <tableColumn id="11910" xr3:uid="{BAE068C5-57E3-4EDB-B2DF-6D66EADFD899}" name="12130" dataDxfId="4480"/>
    <tableColumn id="11911" xr3:uid="{88FA4369-4BC5-4654-936C-86763F6E6856}" name="12131" dataDxfId="4479"/>
    <tableColumn id="11912" xr3:uid="{BA0BB692-0B72-4A7C-B7EE-869B5089DA8A}" name="12132" dataDxfId="4478"/>
    <tableColumn id="11913" xr3:uid="{E404E5F1-0C6C-4E39-AE9A-493D4FCE0EB3}" name="12133" dataDxfId="4477"/>
    <tableColumn id="11914" xr3:uid="{FEF334FE-4115-4BF5-92BC-D7134E16C446}" name="12134" dataDxfId="4476"/>
    <tableColumn id="11915" xr3:uid="{56242BCE-CAC7-4B57-BCC6-6D1A1AAEB71E}" name="12135" dataDxfId="4475"/>
    <tableColumn id="11916" xr3:uid="{0D2E9F35-F00F-4185-9888-2B2E3637DBD5}" name="12136" dataDxfId="4474"/>
    <tableColumn id="11917" xr3:uid="{A49D28E3-97BC-4C83-B1EF-22FD5E6B72AB}" name="12137" dataDxfId="4473"/>
    <tableColumn id="11918" xr3:uid="{3C39B17D-DE56-49E8-BE67-68CD32FE28EF}" name="12138" dataDxfId="4472"/>
    <tableColumn id="11919" xr3:uid="{7D032C82-1BEE-49CC-84FF-D044D7537F47}" name="12139" dataDxfId="4471"/>
    <tableColumn id="11920" xr3:uid="{E743F54A-3791-491B-9DF2-7FD22A9EBF18}" name="12140" dataDxfId="4470"/>
    <tableColumn id="11921" xr3:uid="{BB2D9A7A-C15F-47EB-949C-621AA5884D4C}" name="12141" dataDxfId="4469"/>
    <tableColumn id="11922" xr3:uid="{E1C98D36-3EBC-4E4D-A2C5-5CD0FC4E55D2}" name="12142" dataDxfId="4468"/>
    <tableColumn id="11923" xr3:uid="{A70407BB-7693-4E25-81B2-741CAEB4A66F}" name="12143" dataDxfId="4467"/>
    <tableColumn id="11924" xr3:uid="{F9196B49-3E08-4C2B-8B2F-4F2950EFD2D0}" name="12144" dataDxfId="4466"/>
    <tableColumn id="11925" xr3:uid="{62CA6377-D3C8-4334-B97F-497C20FAB736}" name="12145" dataDxfId="4465"/>
    <tableColumn id="11926" xr3:uid="{E12318F0-FEF4-4E6B-9751-FFC7227F2A87}" name="12146" dataDxfId="4464"/>
    <tableColumn id="11927" xr3:uid="{BE94938C-3042-4AF3-A387-9846B6136498}" name="12147" dataDxfId="4463"/>
    <tableColumn id="11928" xr3:uid="{EF6E64CB-8E7E-4037-A02D-5EC170D73DB3}" name="12148" dataDxfId="4462"/>
    <tableColumn id="11929" xr3:uid="{532E6727-F96D-4EA9-88FD-C414EBE1D77A}" name="12149" dataDxfId="4461"/>
    <tableColumn id="11930" xr3:uid="{2077BC7B-DE37-4DA7-8F16-E45ECE66A01D}" name="12150" dataDxfId="4460"/>
    <tableColumn id="11931" xr3:uid="{BEA002A1-DF3D-48D7-B2D7-325795F3C162}" name="12151" dataDxfId="4459"/>
    <tableColumn id="11932" xr3:uid="{A0C6D710-A45A-4B8D-84DF-F61AF1928613}" name="12152" dataDxfId="4458"/>
    <tableColumn id="11933" xr3:uid="{2D95B8B8-39C0-4238-BFA5-4F2A08554A34}" name="12153" dataDxfId="4457"/>
    <tableColumn id="11934" xr3:uid="{33E2DB56-42C8-4FA6-940E-9E20E5488A40}" name="12154" dataDxfId="4456"/>
    <tableColumn id="11935" xr3:uid="{7B990F6B-61A5-4B94-A2E9-FD7359F92F0E}" name="12155" dataDxfId="4455"/>
    <tableColumn id="11936" xr3:uid="{598353E1-02A6-436B-B0D8-BB7218EA23FA}" name="12156" dataDxfId="4454"/>
    <tableColumn id="11937" xr3:uid="{5B7604E7-2B23-482C-9C44-19AB9AE871ED}" name="12157" dataDxfId="4453"/>
    <tableColumn id="11938" xr3:uid="{4B019C99-4A44-4F6B-830C-497585ACCBBE}" name="12158" dataDxfId="4452"/>
    <tableColumn id="11939" xr3:uid="{39C42161-F0DF-4F44-ADF5-A1385014A9B9}" name="12159" dataDxfId="4451"/>
    <tableColumn id="11940" xr3:uid="{00E0EAEE-AEF6-4C77-9BB7-6063162B659B}" name="12160" dataDxfId="4450"/>
    <tableColumn id="11941" xr3:uid="{53787E75-45DD-4CCB-8317-191B3993D0D3}" name="12161" dataDxfId="4449"/>
    <tableColumn id="11942" xr3:uid="{C1A7851B-984B-45B6-9DE8-45EC7F9D40C2}" name="12162" dataDxfId="4448"/>
    <tableColumn id="11943" xr3:uid="{3CF7839D-9E4B-4F73-9BC9-763EB816EE95}" name="12163" dataDxfId="4447"/>
    <tableColumn id="11944" xr3:uid="{D22CAFF0-EB99-47B0-82BE-DEFFF126536E}" name="12164" dataDxfId="4446"/>
    <tableColumn id="11945" xr3:uid="{D9B2E668-3F1F-48F1-B0F1-8F0BD951CF21}" name="12165" dataDxfId="4445"/>
    <tableColumn id="11946" xr3:uid="{877AF354-4F22-4714-9B2D-9B2D3A482644}" name="12166" dataDxfId="4444"/>
    <tableColumn id="11947" xr3:uid="{0D4563E4-3B14-4660-8A70-64CF7F3A02DD}" name="12167" dataDxfId="4443"/>
    <tableColumn id="11948" xr3:uid="{864C79A5-B8CA-4D4E-995B-4FA17A42180B}" name="12168" dataDxfId="4442"/>
    <tableColumn id="11949" xr3:uid="{1623AB8E-1C50-4F63-8CE3-31DA3AD8C716}" name="12169" dataDxfId="4441"/>
    <tableColumn id="11950" xr3:uid="{9BCBE2FC-A4D1-4E52-BB38-FBC8D7655F38}" name="12170" dataDxfId="4440"/>
    <tableColumn id="11951" xr3:uid="{CF7EFBF9-B711-4DBB-9923-7A7A61BFE75A}" name="12171" dataDxfId="4439"/>
    <tableColumn id="11952" xr3:uid="{1E99FCB7-89A1-4BFE-812E-6DCAF6D47993}" name="12172" dataDxfId="4438"/>
    <tableColumn id="11953" xr3:uid="{9D722D4C-49AE-4683-A368-E5F9FEA94024}" name="12173" dataDxfId="4437"/>
    <tableColumn id="11954" xr3:uid="{73007E32-349F-4CC8-AF72-665887C87581}" name="12174" dataDxfId="4436"/>
    <tableColumn id="11955" xr3:uid="{572A4E89-5455-41CA-BDB1-62B93E8506EE}" name="12175" dataDxfId="4435"/>
    <tableColumn id="11956" xr3:uid="{C823B364-F793-40F4-B74A-3491B6A085F5}" name="12176" dataDxfId="4434"/>
    <tableColumn id="11957" xr3:uid="{E583D808-05F9-4B05-8ED2-431A2E54C564}" name="12177" dataDxfId="4433"/>
    <tableColumn id="11958" xr3:uid="{34516456-AF0E-45E0-A374-241B37D6BC9C}" name="12178" dataDxfId="4432"/>
    <tableColumn id="11959" xr3:uid="{3D72D50F-6BAD-4310-A3B0-4B590F66407C}" name="12179" dataDxfId="4431"/>
    <tableColumn id="11960" xr3:uid="{55A2B434-AC32-4AEE-8A84-18069B4686D9}" name="12180" dataDxfId="4430"/>
    <tableColumn id="11961" xr3:uid="{CBDB9735-9AD0-441D-A645-B34F7AD0E014}" name="12181" dataDxfId="4429"/>
    <tableColumn id="11962" xr3:uid="{2EF5E0EE-5EB1-4EC1-8FEE-54B28E9E0944}" name="12182" dataDxfId="4428"/>
    <tableColumn id="11963" xr3:uid="{DFED98FB-C864-44E1-93E2-B14CE75B9AC3}" name="12183" dataDxfId="4427"/>
    <tableColumn id="11964" xr3:uid="{DD6EB96A-AD81-4BEF-B5DA-3DC78DE7AD3D}" name="12184" dataDxfId="4426"/>
    <tableColumn id="11965" xr3:uid="{30268C89-F2C2-4F68-874F-AECEBA32FE40}" name="12185" dataDxfId="4425"/>
    <tableColumn id="11966" xr3:uid="{230865E5-FF33-4C71-A4B0-A03649351AAE}" name="12186" dataDxfId="4424"/>
    <tableColumn id="11967" xr3:uid="{406C3433-0A4A-4A74-92AD-03CDD145E7C0}" name="12187" dataDxfId="4423"/>
    <tableColumn id="11968" xr3:uid="{DF7F7563-41FE-418F-9F19-5D19B577EE76}" name="12188" dataDxfId="4422"/>
    <tableColumn id="11969" xr3:uid="{3BAB6A08-87C2-4F2F-8924-D5F83048907D}" name="12189" dataDxfId="4421"/>
    <tableColumn id="11970" xr3:uid="{CBD89542-DC57-4E52-BC0C-C14195FFC66F}" name="12190" dataDxfId="4420"/>
    <tableColumn id="11971" xr3:uid="{18395A37-A6BB-490A-877C-4089E76DEC88}" name="12191" dataDxfId="4419"/>
    <tableColumn id="11972" xr3:uid="{21942850-B1A2-48C6-AD1E-CAD919BDDA37}" name="12192" dataDxfId="4418"/>
    <tableColumn id="11973" xr3:uid="{3A2A0A6E-2303-419F-A05B-7AEC844FD04C}" name="12193" dataDxfId="4417"/>
    <tableColumn id="11974" xr3:uid="{1B467089-2765-467E-9803-9CA41B63D2BB}" name="12194" dataDxfId="4416"/>
    <tableColumn id="11975" xr3:uid="{5A998B96-40A8-46CF-8A10-3E209EFD5718}" name="12195" dataDxfId="4415"/>
    <tableColumn id="11976" xr3:uid="{4D93B278-3A5E-4B8B-9B57-683DD6890556}" name="12196" dataDxfId="4414"/>
    <tableColumn id="11977" xr3:uid="{FDF1467B-A42D-4305-AC72-0D040931EEA8}" name="12197" dataDxfId="4413"/>
    <tableColumn id="11978" xr3:uid="{D049642B-1089-480F-BD81-63471289FB86}" name="12198" dataDxfId="4412"/>
    <tableColumn id="11979" xr3:uid="{A2A1D4E1-1560-446A-BA02-E1B60B2A2DDD}" name="12199" dataDxfId="4411"/>
    <tableColumn id="11980" xr3:uid="{78EAA60F-AD79-440E-AB95-A09825AC0A3B}" name="12200" dataDxfId="4410"/>
    <tableColumn id="11981" xr3:uid="{C06365E5-AE72-4FD5-A7D3-A3CBD9E2B60C}" name="12201" dataDxfId="4409"/>
    <tableColumn id="11982" xr3:uid="{73DE564E-9EF5-4009-89A3-47E476B2E283}" name="12202" dataDxfId="4408"/>
    <tableColumn id="11983" xr3:uid="{6AE9714A-6C0D-484F-AB61-E7C20B7B3431}" name="12203" dataDxfId="4407"/>
    <tableColumn id="11984" xr3:uid="{7EBA57DE-276B-45BA-A4C6-B5A43016F3C1}" name="12204" dataDxfId="4406"/>
    <tableColumn id="11985" xr3:uid="{D606ED9D-F526-426C-913C-589CB7B68F22}" name="12205" dataDxfId="4405"/>
    <tableColumn id="11986" xr3:uid="{9982A402-27BD-4DDC-87B9-29B10D68FF8E}" name="12206" dataDxfId="4404"/>
    <tableColumn id="11987" xr3:uid="{F4298A78-945E-4EB7-9F14-7D8434AE9520}" name="12207" dataDxfId="4403"/>
    <tableColumn id="11988" xr3:uid="{5BACC076-158C-402F-8971-082E68E5A6C2}" name="12208" dataDxfId="4402"/>
    <tableColumn id="11989" xr3:uid="{294623DA-E92A-47CE-B0FA-310B34677ED1}" name="12209" dataDxfId="4401"/>
    <tableColumn id="11990" xr3:uid="{1B71EA53-478D-4321-97B7-F17697FDAD34}" name="12210" dataDxfId="4400"/>
    <tableColumn id="11991" xr3:uid="{0891DE07-7B9F-4915-BCD6-B39373599C61}" name="12211" dataDxfId="4399"/>
    <tableColumn id="11992" xr3:uid="{34787E48-3471-4408-9244-80607712ABC8}" name="12212" dataDxfId="4398"/>
    <tableColumn id="11993" xr3:uid="{DBACD784-2E3A-41F2-8319-19C69BDC0FF8}" name="12213" dataDxfId="4397"/>
    <tableColumn id="11994" xr3:uid="{8432E850-9819-4D2E-BEDF-55AC7744B112}" name="12214" dataDxfId="4396"/>
    <tableColumn id="11995" xr3:uid="{C018A0FC-C452-4207-8331-ED402B07CF6D}" name="12215" dataDxfId="4395"/>
    <tableColumn id="11996" xr3:uid="{F0B8FD6C-AD07-4D8A-9494-FA5AAF829F39}" name="12216" dataDxfId="4394"/>
    <tableColumn id="11997" xr3:uid="{B63B71D4-C6FD-44C2-8B88-ED27DF6CC9A9}" name="12217" dataDxfId="4393"/>
    <tableColumn id="11998" xr3:uid="{933F8A63-ED2D-4336-8FC0-5F569A9DC963}" name="12218" dataDxfId="4392"/>
    <tableColumn id="11999" xr3:uid="{744A644A-697A-4858-B9A3-4268715C906C}" name="12219" dataDxfId="4391"/>
    <tableColumn id="12000" xr3:uid="{D48F7066-740E-418C-8CAB-F76C0E5C621E}" name="12220" dataDxfId="4390"/>
    <tableColumn id="12001" xr3:uid="{B756851E-CFE5-4D66-9408-DC574CC44F16}" name="12221" dataDxfId="4389"/>
    <tableColumn id="12002" xr3:uid="{06D983D2-AEDE-4F4A-BA67-F0ABDC9741F8}" name="12222" dataDxfId="4388"/>
    <tableColumn id="12003" xr3:uid="{1D4FB698-146A-4227-9D42-C219E2E2A74D}" name="12223" dataDxfId="4387"/>
    <tableColumn id="12004" xr3:uid="{C5D6F89A-5045-4488-ADB3-77C1946C8425}" name="12224" dataDxfId="4386"/>
    <tableColumn id="12005" xr3:uid="{8D2A06E9-2E91-47AD-ACA0-5C0A6A5E334C}" name="12225" dataDxfId="4385"/>
    <tableColumn id="12006" xr3:uid="{F70067C5-B1EB-44FD-80AB-A4F430947522}" name="12226" dataDxfId="4384"/>
    <tableColumn id="12007" xr3:uid="{F80F1B21-62D6-422F-977C-EB87099DCA93}" name="12227" dataDxfId="4383"/>
    <tableColumn id="12008" xr3:uid="{5524BE26-89C2-4541-A340-AEC684B37EC9}" name="12228" dataDxfId="4382"/>
    <tableColumn id="12009" xr3:uid="{8D09B5D2-717B-4483-B360-ABF676671358}" name="12229" dataDxfId="4381"/>
    <tableColumn id="12010" xr3:uid="{BA59B328-C3DA-43DC-A888-D15812A9A26D}" name="12230" dataDxfId="4380"/>
    <tableColumn id="12011" xr3:uid="{FCE51467-CF23-4E85-873F-2A07000B4FB7}" name="12231" dataDxfId="4379"/>
    <tableColumn id="12012" xr3:uid="{EE746C7A-3F95-4488-B7C0-8A4F11C4F065}" name="12232" dataDxfId="4378"/>
    <tableColumn id="12013" xr3:uid="{2124FB2C-2469-4AA2-8C3F-EDC1728F51D7}" name="12233" dataDxfId="4377"/>
    <tableColumn id="12014" xr3:uid="{2AE7C377-F45E-4CCB-9BCF-B77FB3B8863F}" name="12234" dataDxfId="4376"/>
    <tableColumn id="12015" xr3:uid="{2EED6E60-37C3-4773-8E63-66A8DBBDCD5F}" name="12235" dataDxfId="4375"/>
    <tableColumn id="12016" xr3:uid="{BE664AAB-66E4-4931-80F4-472DF2BB91D2}" name="12236" dataDxfId="4374"/>
    <tableColumn id="12017" xr3:uid="{922DC3D1-68C8-4AD2-9477-C7EABAA145B7}" name="12237" dataDxfId="4373"/>
    <tableColumn id="12018" xr3:uid="{76FEEBA7-9453-4530-B461-F066C6B6467E}" name="12238" dataDxfId="4372"/>
    <tableColumn id="12019" xr3:uid="{4DE0BC1E-B762-415D-AB61-8039C0C77B01}" name="12239" dataDxfId="4371"/>
    <tableColumn id="12020" xr3:uid="{D75D4BD7-602F-4804-BF0B-39F327A155C4}" name="12240" dataDxfId="4370"/>
    <tableColumn id="12021" xr3:uid="{4DA6C9CD-1865-41EA-A0A5-E235DAF937CE}" name="12241" dataDxfId="4369"/>
    <tableColumn id="12022" xr3:uid="{6A8F0813-F62C-4D50-9134-FAD5152DDE7B}" name="12242" dataDxfId="4368"/>
    <tableColumn id="12023" xr3:uid="{4F8780A4-1906-4FC3-989A-F5BFC6C793AF}" name="12243" dataDxfId="4367"/>
    <tableColumn id="12024" xr3:uid="{599FC527-2967-4C93-A0DE-C41CF742A9E0}" name="12244" dataDxfId="4366"/>
    <tableColumn id="12025" xr3:uid="{552E1F21-0599-4B60-A000-F6FFEAE77DAB}" name="12245" dataDxfId="4365"/>
    <tableColumn id="12026" xr3:uid="{5AC1C592-F14E-45D3-A905-E8379A322C19}" name="12246" dataDxfId="4364"/>
    <tableColumn id="12027" xr3:uid="{4B4BBB69-A43B-4330-824A-661E23E07F6C}" name="12247" dataDxfId="4363"/>
    <tableColumn id="12028" xr3:uid="{1093D7A2-F37D-4B57-A4FF-51F40742BAB0}" name="12248" dataDxfId="4362"/>
    <tableColumn id="12029" xr3:uid="{92A68FA9-01DC-4AEA-B4F1-B0C68AA60AF7}" name="12249" dataDxfId="4361"/>
    <tableColumn id="12030" xr3:uid="{038211A5-16BE-47FE-8DD6-61D30D8F9961}" name="12250" dataDxfId="4360"/>
    <tableColumn id="12031" xr3:uid="{5D4037DC-A42A-4C59-AB32-96DC83A25667}" name="12251" dataDxfId="4359"/>
    <tableColumn id="12032" xr3:uid="{E5F305AF-A72E-4C59-B661-B31943DDC40E}" name="12252" dataDxfId="4358"/>
    <tableColumn id="12033" xr3:uid="{9DD7EA5F-04DA-4B0A-AE1E-9815FEDDDC9F}" name="12253" dataDxfId="4357"/>
    <tableColumn id="12034" xr3:uid="{EA534A6A-D086-4E96-80A3-6E04A6354495}" name="12254" dataDxfId="4356"/>
    <tableColumn id="12035" xr3:uid="{245CEF79-8E58-4955-BA64-2BCA4D1923F5}" name="12255" dataDxfId="4355"/>
    <tableColumn id="12036" xr3:uid="{E116CD2E-DA60-4697-8C0D-AA60149AED2D}" name="12256" dataDxfId="4354"/>
    <tableColumn id="12037" xr3:uid="{DECED484-31A2-4534-AA9F-C3987C0709D7}" name="12257" dataDxfId="4353"/>
    <tableColumn id="12038" xr3:uid="{95C6B570-9E8B-413A-90E8-E9DF0C59F1CC}" name="12258" dataDxfId="4352"/>
    <tableColumn id="12039" xr3:uid="{5DF4B91C-9FE9-4BC3-AF86-A325DA3E4068}" name="12259" dataDxfId="4351"/>
    <tableColumn id="12040" xr3:uid="{348D0E9C-9AAB-401D-9D6C-4633237C17E0}" name="12260" dataDxfId="4350"/>
    <tableColumn id="12041" xr3:uid="{9A30FAB3-08B0-42D3-9A42-E58A954A8366}" name="12261" dataDxfId="4349"/>
    <tableColumn id="12042" xr3:uid="{ECD2C66A-205F-469C-91CB-20D709C372C4}" name="12262" dataDxfId="4348"/>
    <tableColumn id="12043" xr3:uid="{7F145677-0DF9-43FE-B12F-2958D867C57C}" name="12263" dataDxfId="4347"/>
    <tableColumn id="12044" xr3:uid="{F95B0BD4-D789-4204-9858-089D94E22DDD}" name="12264" dataDxfId="4346"/>
    <tableColumn id="12045" xr3:uid="{4F8504E7-D872-486B-977B-BB0319EC55A6}" name="12265" dataDxfId="4345"/>
    <tableColumn id="12046" xr3:uid="{037B0FC4-6E21-4B1B-A31C-C0881C91D267}" name="12266" dataDxfId="4344"/>
    <tableColumn id="12047" xr3:uid="{68CAC492-D62D-4AA1-9C55-3B09000E65AF}" name="12267" dataDxfId="4343"/>
    <tableColumn id="12048" xr3:uid="{520C4689-3651-4652-8853-542DEC2BD422}" name="12268" dataDxfId="4342"/>
    <tableColumn id="12049" xr3:uid="{301D1B7E-2166-48F3-AEE2-210F013A5761}" name="12269" dataDxfId="4341"/>
    <tableColumn id="12050" xr3:uid="{BD950D46-DEB8-4C1A-A0D3-86D4E48F1ADF}" name="12270" dataDxfId="4340"/>
    <tableColumn id="12051" xr3:uid="{1EB21E80-1276-4986-A0F0-C5AA5CEE2267}" name="12271" dataDxfId="4339"/>
    <tableColumn id="12052" xr3:uid="{39A0C9F7-E46B-4CE0-9269-CDBDE3284399}" name="12272" dataDxfId="4338"/>
    <tableColumn id="12053" xr3:uid="{2103F48E-75F3-4FD7-AD01-859511E4D5CC}" name="12273" dataDxfId="4337"/>
    <tableColumn id="12054" xr3:uid="{1581DCA4-A925-46A3-9BFD-A145DAA1E1C3}" name="12274" dataDxfId="4336"/>
    <tableColumn id="12055" xr3:uid="{C4C2AD37-1FB3-448B-9218-5E431E58A196}" name="12275" dataDxfId="4335"/>
    <tableColumn id="12056" xr3:uid="{24A0D1A0-4989-47FB-A45A-9435E42BA994}" name="12276" dataDxfId="4334"/>
    <tableColumn id="12057" xr3:uid="{3D8A8D49-5418-4674-8C84-4E501CFA6DCA}" name="12277" dataDxfId="4333"/>
    <tableColumn id="12058" xr3:uid="{A08FABB1-52D8-4891-8388-5941E031B548}" name="12278" dataDxfId="4332"/>
    <tableColumn id="12059" xr3:uid="{C14985CC-61A3-4D08-9BC6-A893A89F9DF8}" name="12279" dataDxfId="4331"/>
    <tableColumn id="12060" xr3:uid="{DEACD59C-0410-4889-AE17-E7F314158736}" name="12280" dataDxfId="4330"/>
    <tableColumn id="12061" xr3:uid="{1CA86F1E-C53A-4B22-B630-13F7317E39B7}" name="12281" dataDxfId="4329"/>
    <tableColumn id="12062" xr3:uid="{BE70E04B-88F8-44D8-8338-31AF9450DF35}" name="12282" dataDxfId="4328"/>
    <tableColumn id="12063" xr3:uid="{8CF76B10-5E79-4931-82E2-FAD30095EA0B}" name="12283" dataDxfId="4327"/>
    <tableColumn id="12064" xr3:uid="{1D358ADF-2CBB-4B89-8345-354744047072}" name="12284" dataDxfId="4326"/>
    <tableColumn id="12065" xr3:uid="{062F9A06-A98E-4BB7-9EA0-6E59BBC13635}" name="12285" dataDxfId="4325"/>
    <tableColumn id="12066" xr3:uid="{D9901904-2EEB-4B4F-A321-FEED6375B418}" name="12286" dataDxfId="4324"/>
    <tableColumn id="12067" xr3:uid="{CD0EAFA7-71B7-42C2-B9DE-3C65A623E28A}" name="12287" dataDxfId="4323"/>
    <tableColumn id="12068" xr3:uid="{0154791D-2D59-48D9-B21D-08CE50EB2365}" name="12288" dataDxfId="4322"/>
    <tableColumn id="12069" xr3:uid="{41212E0B-B68A-4C04-8363-3815D0484D65}" name="12289" dataDxfId="4321"/>
    <tableColumn id="12070" xr3:uid="{85A505E5-21B8-4B32-A16A-048BAF741268}" name="12290" dataDxfId="4320"/>
    <tableColumn id="12071" xr3:uid="{455DB7B4-E34D-49B8-AE86-9D26B7787BB9}" name="12291" dataDxfId="4319"/>
    <tableColumn id="12072" xr3:uid="{439DDA53-135C-4855-A170-134D04EF994C}" name="12292" dataDxfId="4318"/>
    <tableColumn id="12073" xr3:uid="{E26BB70B-0070-4328-BDA6-CE3716E16A11}" name="12293" dataDxfId="4317"/>
    <tableColumn id="12074" xr3:uid="{8888647C-9B25-443E-9279-0710610B7BB5}" name="12294" dataDxfId="4316"/>
    <tableColumn id="12075" xr3:uid="{34B8604C-6365-4A64-BD93-65E3A96B5FA8}" name="12295" dataDxfId="4315"/>
    <tableColumn id="12076" xr3:uid="{525D1E06-B470-420A-BFDC-208D619415EB}" name="12296" dataDxfId="4314"/>
    <tableColumn id="12077" xr3:uid="{AA20DAE5-7B59-4855-91F3-D21497C7C1AC}" name="12297" dataDxfId="4313"/>
    <tableColumn id="12078" xr3:uid="{B959FD6A-5EB9-4839-A0B6-BE717F32A59B}" name="12298" dataDxfId="4312"/>
    <tableColumn id="12079" xr3:uid="{272D3DBD-76EB-4148-AF59-90E2E764B408}" name="12299" dataDxfId="4311"/>
    <tableColumn id="12080" xr3:uid="{242E3377-9FF7-49C0-BE83-018F97014606}" name="12300" dataDxfId="4310"/>
    <tableColumn id="12081" xr3:uid="{D5402552-5228-4755-BD83-0BF9ECC89D3D}" name="12301" dataDxfId="4309"/>
    <tableColumn id="12082" xr3:uid="{EC3A0CE4-FAF8-4114-960C-1461AF83A2F8}" name="12302" dataDxfId="4308"/>
    <tableColumn id="12083" xr3:uid="{1A03145E-9773-42DC-9A75-A7CFB98F7DCB}" name="12303" dataDxfId="4307"/>
    <tableColumn id="12084" xr3:uid="{C0D2F8A3-1359-4A6C-BC0C-DCAAB24B0785}" name="12304" dataDxfId="4306"/>
    <tableColumn id="12085" xr3:uid="{BA7F3BC4-5A86-4F3D-9DBE-49711CDF4324}" name="12305" dataDxfId="4305"/>
    <tableColumn id="12086" xr3:uid="{F8ECAC1E-D062-4044-A990-AB56E2C14714}" name="12306" dataDxfId="4304"/>
    <tableColumn id="12087" xr3:uid="{EB40AE72-C4D1-4614-93CF-F5E5DE40371A}" name="12307" dataDxfId="4303"/>
    <tableColumn id="12088" xr3:uid="{713C1F8C-C695-4521-9466-7217B8DE57A2}" name="12308" dataDxfId="4302"/>
    <tableColumn id="12089" xr3:uid="{CD76B849-A277-4319-A42D-92915F9B026E}" name="12309" dataDxfId="4301"/>
    <tableColumn id="12090" xr3:uid="{0107AE93-D1ED-4656-AA5C-76193068D937}" name="12310" dataDxfId="4300"/>
    <tableColumn id="12091" xr3:uid="{E48B0E56-6B95-49BE-A06F-3504C200451C}" name="12311" dataDxfId="4299"/>
    <tableColumn id="12092" xr3:uid="{E417AA67-BB84-4484-965D-0156C094C816}" name="12312" dataDxfId="4298"/>
    <tableColumn id="12093" xr3:uid="{D5384913-709C-41B3-ACB0-3CB319A86D34}" name="12313" dataDxfId="4297"/>
    <tableColumn id="12094" xr3:uid="{1A54BEED-A0A8-441A-A17C-94129452560E}" name="12314" dataDxfId="4296"/>
    <tableColumn id="12095" xr3:uid="{CA6288C4-4FA1-4E27-BC72-0F6FFA386EE3}" name="12315" dataDxfId="4295"/>
    <tableColumn id="12096" xr3:uid="{43CA3650-1742-4338-B554-66858ECC8CBB}" name="12316" dataDxfId="4294"/>
    <tableColumn id="12097" xr3:uid="{D5B4D380-66E6-4A29-8F88-21F69DC9A948}" name="12317" dataDxfId="4293"/>
    <tableColumn id="12098" xr3:uid="{8445333F-F09C-43C9-9F20-C688B5EBB100}" name="12318" dataDxfId="4292"/>
    <tableColumn id="12099" xr3:uid="{F0D833B7-D90B-44C6-A6DD-FD04E58A1D80}" name="12319" dataDxfId="4291"/>
    <tableColumn id="12100" xr3:uid="{37D09ABA-D1EF-4FC7-962B-A99220D69D4E}" name="12320" dataDxfId="4290"/>
    <tableColumn id="12101" xr3:uid="{741D9F6E-5418-4391-8A0F-AC84DC8A61CC}" name="12321" dataDxfId="4289"/>
    <tableColumn id="12102" xr3:uid="{9769267D-FC3D-4289-9AA3-80B2E1F40D18}" name="12322" dataDxfId="4288"/>
    <tableColumn id="12103" xr3:uid="{19414C91-82FB-440B-80AD-C675D0A26747}" name="12323" dataDxfId="4287"/>
    <tableColumn id="12104" xr3:uid="{744C7575-96D3-44D2-B985-73FB00EB7F61}" name="12324" dataDxfId="4286"/>
    <tableColumn id="12105" xr3:uid="{CE628E10-CDB6-4BFC-9641-3CA98F5859D8}" name="12325" dataDxfId="4285"/>
    <tableColumn id="12106" xr3:uid="{2C7EFEBB-A411-483B-8252-BEA78C5EC609}" name="12326" dataDxfId="4284"/>
    <tableColumn id="12107" xr3:uid="{40823074-5ED8-469F-A788-AD2E9980685C}" name="12327" dataDxfId="4283"/>
    <tableColumn id="12108" xr3:uid="{98DFF39B-DA29-48F6-A343-6621127A0534}" name="12328" dataDxfId="4282"/>
    <tableColumn id="12109" xr3:uid="{2B18A0C3-4E13-431E-AF73-D67AF305E81A}" name="12329" dataDxfId="4281"/>
    <tableColumn id="12110" xr3:uid="{8354C102-AABD-4365-879E-C668C35EBB21}" name="12330" dataDxfId="4280"/>
    <tableColumn id="12111" xr3:uid="{D314A64A-47B9-4032-84D3-3E4E20F912B4}" name="12331" dataDxfId="4279"/>
    <tableColumn id="12112" xr3:uid="{ED847E2E-E7AB-40C1-84AB-C6B9781D822D}" name="12332" dataDxfId="4278"/>
    <tableColumn id="12113" xr3:uid="{DF227994-62E8-4DEF-BAA2-D7F31FCBB7AA}" name="12333" dataDxfId="4277"/>
    <tableColumn id="12114" xr3:uid="{910509FB-21CC-4681-9FE5-047BA9171F9D}" name="12334" dataDxfId="4276"/>
    <tableColumn id="12115" xr3:uid="{26655A4D-5D62-4796-A134-90F6B7EA28F5}" name="12335" dataDxfId="4275"/>
    <tableColumn id="12116" xr3:uid="{27776C9F-C213-4C7A-9382-B1357577E943}" name="12336" dataDxfId="4274"/>
    <tableColumn id="12117" xr3:uid="{BC036B0F-2A4D-413B-BCB7-223367980D21}" name="12337" dataDxfId="4273"/>
    <tableColumn id="12118" xr3:uid="{1E507714-AF19-41A6-B850-8FE2F03C0384}" name="12338" dataDxfId="4272"/>
    <tableColumn id="12119" xr3:uid="{A446B48D-FE5F-4DAB-8F44-8E733572F956}" name="12339" dataDxfId="4271"/>
    <tableColumn id="12120" xr3:uid="{2EE6C8ED-0F5B-4769-9114-7F89BF678F3B}" name="12340" dataDxfId="4270"/>
    <tableColumn id="12121" xr3:uid="{ECA3E76F-35BD-40C5-ACEF-9F8A32D94E11}" name="12341" dataDxfId="4269"/>
    <tableColumn id="12122" xr3:uid="{6EFDF19E-8F38-462C-B243-746A3B0BF85C}" name="12342" dataDxfId="4268"/>
    <tableColumn id="12123" xr3:uid="{AB213B3A-EDDC-497E-A008-F088D2DD713D}" name="12343" dataDxfId="4267"/>
    <tableColumn id="12124" xr3:uid="{E8EF5D1B-7964-44B4-8318-815DC864E4FE}" name="12344" dataDxfId="4266"/>
    <tableColumn id="12125" xr3:uid="{78DB5F78-BEAD-4799-B7DD-B4EBB9B605CA}" name="12345" dataDxfId="4265"/>
    <tableColumn id="12126" xr3:uid="{0D44CE3E-5295-4577-94D5-B56D4E699A62}" name="12346" dataDxfId="4264"/>
    <tableColumn id="12127" xr3:uid="{EB8C69F3-E4FA-4BA5-A985-525EE1602F32}" name="12347" dataDxfId="4263"/>
    <tableColumn id="12128" xr3:uid="{D34130E7-0A47-4276-ACA1-F69F16D20ED3}" name="12348" dataDxfId="4262"/>
    <tableColumn id="12129" xr3:uid="{999C03BD-79EC-4A01-93CD-5F456CE8ADA6}" name="12349" dataDxfId="4261"/>
    <tableColumn id="12130" xr3:uid="{598F3AC4-F6B9-4C29-8E94-6B7C261F041E}" name="12350" dataDxfId="4260"/>
    <tableColumn id="12131" xr3:uid="{B70BC8D6-BEA9-47D3-8A21-36773DEC753B}" name="12351" dataDxfId="4259"/>
    <tableColumn id="12132" xr3:uid="{3A4D9493-A01B-42E8-B2C1-92FDE2E47B0A}" name="12352" dataDxfId="4258"/>
    <tableColumn id="12133" xr3:uid="{6ED18BFF-8AE1-4A76-9754-A5EEC26E50B2}" name="12353" dataDxfId="4257"/>
    <tableColumn id="12134" xr3:uid="{60C5B6BB-47CE-426F-96D2-1E6BE7AF938A}" name="12354" dataDxfId="4256"/>
    <tableColumn id="12135" xr3:uid="{F0FABF31-2691-44F9-9C8A-AE8EC67FFDF2}" name="12355" dataDxfId="4255"/>
    <tableColumn id="12136" xr3:uid="{8BB01404-0D41-4BC0-9C9E-EACECC05C508}" name="12356" dataDxfId="4254"/>
    <tableColumn id="12137" xr3:uid="{52FF2F8A-048B-41F9-A876-DFECA12DA4A7}" name="12357" dataDxfId="4253"/>
    <tableColumn id="12138" xr3:uid="{1E46B944-762F-41D4-BC07-F92D53B024B7}" name="12358" dataDxfId="4252"/>
    <tableColumn id="12139" xr3:uid="{B155DBC3-34AF-42E2-AEEA-CDD612B115DA}" name="12359" dataDxfId="4251"/>
    <tableColumn id="12140" xr3:uid="{A18E26D2-96B6-4A86-8D88-8BBCA67076D1}" name="12360" dataDxfId="4250"/>
    <tableColumn id="12141" xr3:uid="{B36A17C0-15B1-4A64-9CAA-DADC9C48CFF4}" name="12361" dataDxfId="4249"/>
    <tableColumn id="12142" xr3:uid="{6FB5D599-23E8-476E-ABAF-AACF8134D02E}" name="12362" dataDxfId="4248"/>
    <tableColumn id="12143" xr3:uid="{D7A44EA7-5E40-4579-B566-8ED7586B890E}" name="12363" dataDxfId="4247"/>
    <tableColumn id="12144" xr3:uid="{0554EAD9-C195-4919-8B72-8A31450F80E8}" name="12364" dataDxfId="4246"/>
    <tableColumn id="12145" xr3:uid="{42265B5A-D65B-4D69-BD5B-B50CE89DC50D}" name="12365" dataDxfId="4245"/>
    <tableColumn id="12146" xr3:uid="{A1D49BF4-AE7D-4F00-87D9-66C371178B38}" name="12366" dataDxfId="4244"/>
    <tableColumn id="12147" xr3:uid="{8941E9D0-F2A0-4F0B-85BB-CAD8C71691B3}" name="12367" dataDxfId="4243"/>
    <tableColumn id="12148" xr3:uid="{AAE7051B-B127-4843-8B84-4521E0C84BCA}" name="12368" dataDxfId="4242"/>
    <tableColumn id="12149" xr3:uid="{55C1628E-F693-41E1-A49F-55BDD04DA5ED}" name="12369" dataDxfId="4241"/>
    <tableColumn id="12150" xr3:uid="{BBE8B4F3-5F70-4F02-8E3A-0B000E45EF20}" name="12370" dataDxfId="4240"/>
    <tableColumn id="12151" xr3:uid="{967F00D5-8EB3-46E7-9710-F9509AE9556D}" name="12371" dataDxfId="4239"/>
    <tableColumn id="12152" xr3:uid="{9B7C33D0-CBC5-4BD5-B315-E88DA956322F}" name="12372" dataDxfId="4238"/>
    <tableColumn id="12153" xr3:uid="{F28ADDF1-2FF4-4F91-889A-AB17D285C879}" name="12373" dataDxfId="4237"/>
    <tableColumn id="12154" xr3:uid="{AA9081E9-F133-4276-B340-20906B786DBC}" name="12374" dataDxfId="4236"/>
    <tableColumn id="12155" xr3:uid="{3045CDF7-9699-4331-BE76-1A77D149C7AD}" name="12375" dataDxfId="4235"/>
    <tableColumn id="12156" xr3:uid="{DD0DA953-6803-4C53-AFDC-56CBCFEF479C}" name="12376" dataDxfId="4234"/>
    <tableColumn id="12157" xr3:uid="{441C653C-25A5-4966-8A65-61888B6485EF}" name="12377" dataDxfId="4233"/>
    <tableColumn id="12158" xr3:uid="{BF7CE465-0F44-4CD4-B148-C850385BFCA4}" name="12378" dataDxfId="4232"/>
    <tableColumn id="12159" xr3:uid="{F76A723E-BA78-494B-B1D1-FD0F67252769}" name="12379" dataDxfId="4231"/>
    <tableColumn id="12160" xr3:uid="{025807CD-FB73-4369-9605-A9E6BDCCBB39}" name="12380" dataDxfId="4230"/>
    <tableColumn id="12161" xr3:uid="{B2134DD9-3961-4CB0-8068-D3EFBED4E1DC}" name="12381" dataDxfId="4229"/>
    <tableColumn id="12162" xr3:uid="{DC6FBC6C-8ED1-461F-B42D-99B2AE257791}" name="12382" dataDxfId="4228"/>
    <tableColumn id="12163" xr3:uid="{75867251-60DA-4022-9793-7DD13461079D}" name="12383" dataDxfId="4227"/>
    <tableColumn id="12164" xr3:uid="{3630A52C-1690-4D9C-A58D-CC055197A4FA}" name="12384" dataDxfId="4226"/>
    <tableColumn id="12165" xr3:uid="{FAD488E5-96EF-4F32-BF56-E287C5C1C5E4}" name="12385" dataDxfId="4225"/>
    <tableColumn id="12166" xr3:uid="{B2D5A0B1-F1D9-45AD-8630-3E804538AA0B}" name="12386" dataDxfId="4224"/>
    <tableColumn id="12167" xr3:uid="{A896DCD0-3C6A-4E37-A54C-B74EBB9EE426}" name="12387" dataDxfId="4223"/>
    <tableColumn id="12168" xr3:uid="{B66086A3-8EBF-43DE-AE29-7B56D4649FB1}" name="12388" dataDxfId="4222"/>
    <tableColumn id="12169" xr3:uid="{453635C3-188A-48A7-A28D-2ECF5A4F9FA7}" name="12389" dataDxfId="4221"/>
    <tableColumn id="12170" xr3:uid="{3999DE10-A99C-4F62-ADBD-8F132FB8201C}" name="12390" dataDxfId="4220"/>
    <tableColumn id="12171" xr3:uid="{D3465F8C-4127-4D99-AACF-780D30BEEFCA}" name="12391" dataDxfId="4219"/>
    <tableColumn id="12172" xr3:uid="{3C770E36-7483-4730-BAE1-C2F750224792}" name="12392" dataDxfId="4218"/>
    <tableColumn id="12173" xr3:uid="{1AE8B96B-5396-4056-98FD-1908F9E4D983}" name="12393" dataDxfId="4217"/>
    <tableColumn id="12174" xr3:uid="{E64BBF1D-AEF1-4722-ACA1-24B6F5452A06}" name="12394" dataDxfId="4216"/>
    <tableColumn id="12175" xr3:uid="{890F2A45-82CB-4452-ADAF-3B8A0B3E8735}" name="12395" dataDxfId="4215"/>
    <tableColumn id="12176" xr3:uid="{B0520D23-AA4F-4C5D-B941-918C89808957}" name="12396" dataDxfId="4214"/>
    <tableColumn id="12177" xr3:uid="{8ED7066E-D3D1-4EA8-8422-55C577C1C09E}" name="12397" dataDxfId="4213"/>
    <tableColumn id="12178" xr3:uid="{91997C12-0E6D-42F9-9C58-A5B648989FF9}" name="12398" dataDxfId="4212"/>
    <tableColumn id="12179" xr3:uid="{61577D41-CC5F-440D-9E3C-57A60E21B981}" name="12399" dataDxfId="4211"/>
    <tableColumn id="12180" xr3:uid="{6C626BF2-3BF4-47FD-9CF9-FC111D975740}" name="12400" dataDxfId="4210"/>
    <tableColumn id="12181" xr3:uid="{71643F8B-C7F6-4702-83FC-33EF81442DBA}" name="12401" dataDxfId="4209"/>
    <tableColumn id="12182" xr3:uid="{49FC1F0E-3BE9-4CA6-A3D5-60BA8D6A00EF}" name="12402" dataDxfId="4208"/>
    <tableColumn id="12183" xr3:uid="{9DE27B7B-F6B8-4058-B960-A6A9E475F5AF}" name="12403" dataDxfId="4207"/>
    <tableColumn id="12184" xr3:uid="{EFC3316D-30FB-4ADB-B20A-36A7E78BFAA1}" name="12404" dataDxfId="4206"/>
    <tableColumn id="12185" xr3:uid="{86CDC63C-29DC-483A-8F9A-D0237C9113A9}" name="12405" dataDxfId="4205"/>
    <tableColumn id="12186" xr3:uid="{33E73494-921E-48FF-BF9E-1CA3390602E1}" name="12406" dataDxfId="4204"/>
    <tableColumn id="12187" xr3:uid="{D6769A01-F509-472C-8A05-AB99BC7FD451}" name="12407" dataDxfId="4203"/>
    <tableColumn id="12188" xr3:uid="{E34B29AF-5AE2-40D8-AC85-408F85F7C619}" name="12408" dataDxfId="4202"/>
    <tableColumn id="12189" xr3:uid="{A6240D86-DD0E-4AAA-BF2C-25B43EBAB254}" name="12409" dataDxfId="4201"/>
    <tableColumn id="12190" xr3:uid="{54A14A48-6789-48BB-ADDE-C94238D8E86A}" name="12410" dataDxfId="4200"/>
    <tableColumn id="12191" xr3:uid="{3B72B7C1-FD48-4510-B9BE-27870341B6C5}" name="12411" dataDxfId="4199"/>
    <tableColumn id="12192" xr3:uid="{79562D22-DCCA-44F4-B5F2-2253719FAD12}" name="12412" dataDxfId="4198"/>
    <tableColumn id="12193" xr3:uid="{CE2E176C-D94C-4CA5-BB12-9F3C29F515D4}" name="12413" dataDxfId="4197"/>
    <tableColumn id="12194" xr3:uid="{3DFCE490-8F3B-4AA2-9D29-A807996F4D24}" name="12414" dataDxfId="4196"/>
    <tableColumn id="12195" xr3:uid="{7F84DA1F-F087-4A29-8AC9-57E12B002E95}" name="12415" dataDxfId="4195"/>
    <tableColumn id="12196" xr3:uid="{48ABFC91-50E5-4EA2-A89D-7739FABBEF07}" name="12416" dataDxfId="4194"/>
    <tableColumn id="12197" xr3:uid="{1DBD61DD-0FB9-4C0E-9404-65B5D0B20C20}" name="12417" dataDxfId="4193"/>
    <tableColumn id="12198" xr3:uid="{48E9281E-6DD6-41A8-BA50-2B67A2A5D170}" name="12418" dataDxfId="4192"/>
    <tableColumn id="12199" xr3:uid="{4AE4F245-0D53-4C4D-929E-7758088FE6CC}" name="12419" dataDxfId="4191"/>
    <tableColumn id="12200" xr3:uid="{9EDF0040-E1E3-4BCD-B072-A24D2F57BC71}" name="12420" dataDxfId="4190"/>
    <tableColumn id="12201" xr3:uid="{8A60B6D4-00F3-4EEA-93F8-7BE825F5A3E5}" name="12421" dataDxfId="4189"/>
    <tableColumn id="12202" xr3:uid="{5E07C707-3666-455E-A0A8-3CA09D9FE326}" name="12422" dataDxfId="4188"/>
    <tableColumn id="12203" xr3:uid="{CA10624B-5EAE-4CC3-8487-F5BDD21BADFE}" name="12423" dataDxfId="4187"/>
    <tableColumn id="12204" xr3:uid="{DB683E4B-15E6-45DF-B337-CD896618A8D6}" name="12424" dataDxfId="4186"/>
    <tableColumn id="12205" xr3:uid="{E61D3887-8CAE-4EDE-9DC9-FFAC80CA8D1A}" name="12425" dataDxfId="4185"/>
    <tableColumn id="12206" xr3:uid="{692C7520-B5CE-4C2C-BDCE-3EE1C92E39FD}" name="12426" dataDxfId="4184"/>
    <tableColumn id="12207" xr3:uid="{A52A4C1C-2884-4BEC-A70F-7611E4F5C140}" name="12427" dataDxfId="4183"/>
    <tableColumn id="12208" xr3:uid="{39409F01-D8E9-4AB1-A0B5-5DE298847C7B}" name="12428" dataDxfId="4182"/>
    <tableColumn id="12209" xr3:uid="{F3379EE6-D9F9-4AB5-8266-F494A2910796}" name="12429" dataDxfId="4181"/>
    <tableColumn id="12210" xr3:uid="{46B315DD-B1F2-4D43-8FBB-0379F79BE2F8}" name="12430" dataDxfId="4180"/>
    <tableColumn id="12211" xr3:uid="{822FFC00-8509-4DBE-B8B5-1E0AF90F29B2}" name="12431" dataDxfId="4179"/>
    <tableColumn id="12212" xr3:uid="{354EBFA2-DC40-47D7-8090-7AAA47EFB3EE}" name="12432" dataDxfId="4178"/>
    <tableColumn id="12213" xr3:uid="{13089535-A3A7-495F-9F30-064B8A7BEBCC}" name="12433" dataDxfId="4177"/>
    <tableColumn id="12214" xr3:uid="{2382E57B-B281-4F11-885E-79DBE07DA2F6}" name="12434" dataDxfId="4176"/>
    <tableColumn id="12215" xr3:uid="{9B960943-722E-452B-85BA-3BD0218021CC}" name="12435" dataDxfId="4175"/>
    <tableColumn id="12216" xr3:uid="{54F06396-78B3-494E-A055-E436BCE22256}" name="12436" dataDxfId="4174"/>
    <tableColumn id="12217" xr3:uid="{039ED129-2DA9-4043-8568-3E1A2CF68AE7}" name="12437" dataDxfId="4173"/>
    <tableColumn id="12218" xr3:uid="{7211155B-FF9F-4B93-AA11-29B969B0F309}" name="12438" dataDxfId="4172"/>
    <tableColumn id="12219" xr3:uid="{E39A2052-A531-4CA3-9D85-5D6110F9BFAD}" name="12439" dataDxfId="4171"/>
    <tableColumn id="12220" xr3:uid="{B33B5B6C-4CF7-46DC-853D-101B5329FC8D}" name="12440" dataDxfId="4170"/>
    <tableColumn id="12221" xr3:uid="{D48934CF-BDD4-474B-9594-092D7C8C606F}" name="12441" dataDxfId="4169"/>
    <tableColumn id="12222" xr3:uid="{DC94D3FB-2AA0-4892-BBE0-4F860BA1A7F5}" name="12442" dataDxfId="4168"/>
    <tableColumn id="12223" xr3:uid="{54EE6F36-98A2-46F2-8ADB-9661549387D1}" name="12443" dataDxfId="4167"/>
    <tableColumn id="12224" xr3:uid="{6C0018E1-4731-4526-80AC-EA60ECD6E275}" name="12444" dataDxfId="4166"/>
    <tableColumn id="12225" xr3:uid="{23548BB4-0EF2-41EF-8F5A-CA4811C543A0}" name="12445" dataDxfId="4165"/>
    <tableColumn id="12226" xr3:uid="{804AC79D-83D1-4493-A98F-139F49896A1A}" name="12446" dataDxfId="4164"/>
    <tableColumn id="12227" xr3:uid="{76DB9EB8-5F15-4557-B6F2-A5A97E53BCA5}" name="12447" dataDxfId="4163"/>
    <tableColumn id="12228" xr3:uid="{EE41C911-0E19-498D-8BBA-7D7E0CDA795A}" name="12448" dataDxfId="4162"/>
    <tableColumn id="12229" xr3:uid="{2E4AC4F5-D931-49D5-B4F6-ED00DD0FB093}" name="12449" dataDxfId="4161"/>
    <tableColumn id="12230" xr3:uid="{8550F260-EAE4-4E9A-8303-0762095938C6}" name="12450" dataDxfId="4160"/>
    <tableColumn id="12231" xr3:uid="{318EA50E-2DCC-4AD2-824F-36FE629C7BA3}" name="12451" dataDxfId="4159"/>
    <tableColumn id="12232" xr3:uid="{13EDFCE6-E7C7-46D4-8124-4C9E1D0CD406}" name="12452" dataDxfId="4158"/>
    <tableColumn id="12233" xr3:uid="{CE4F4B5C-8A36-4B14-A987-BD1609038A08}" name="12453" dataDxfId="4157"/>
    <tableColumn id="12234" xr3:uid="{4017E456-4D43-447B-8E70-D740B65DB4D0}" name="12454" dataDxfId="4156"/>
    <tableColumn id="12235" xr3:uid="{BCF9F593-6E57-465D-BF2A-5CF7B82458EF}" name="12455" dataDxfId="4155"/>
    <tableColumn id="12236" xr3:uid="{F469ED28-A46A-4EF3-AAB0-FF5A799C3CFE}" name="12456" dataDxfId="4154"/>
    <tableColumn id="12237" xr3:uid="{943981B2-5D99-4109-BCBE-07E9BD787FFF}" name="12457" dataDxfId="4153"/>
    <tableColumn id="12238" xr3:uid="{1CC92F09-3763-4458-80EB-1E974D0EBFFB}" name="12458" dataDxfId="4152"/>
    <tableColumn id="12239" xr3:uid="{30AFD8E0-BB2C-4E0B-A471-A89C8F7915FE}" name="12459" dataDxfId="4151"/>
    <tableColumn id="12240" xr3:uid="{A8AC26E0-960C-412A-8307-84F254636E15}" name="12460" dataDxfId="4150"/>
    <tableColumn id="12241" xr3:uid="{7F82A497-660F-4F32-9720-09571E0460FA}" name="12461" dataDxfId="4149"/>
    <tableColumn id="12242" xr3:uid="{074E3E97-D958-4CB3-95AE-8D9E92A32810}" name="12462" dataDxfId="4148"/>
    <tableColumn id="12243" xr3:uid="{4DDEC972-44D4-44F4-B6E7-743FCCBD1179}" name="12463" dataDxfId="4147"/>
    <tableColumn id="12244" xr3:uid="{9B7DEF77-23CC-4683-BFC8-9D592BC072C1}" name="12464" dataDxfId="4146"/>
    <tableColumn id="12245" xr3:uid="{DD6BD38E-066A-4FDC-A85A-2267681CB01F}" name="12465" dataDxfId="4145"/>
    <tableColumn id="12246" xr3:uid="{46A0632E-D586-4897-B876-865429DFE9D4}" name="12466" dataDxfId="4144"/>
    <tableColumn id="12247" xr3:uid="{633DD5B9-88F4-48FB-9FBA-450906A36139}" name="12467" dataDxfId="4143"/>
    <tableColumn id="12248" xr3:uid="{BB34CC98-3624-4AEE-828B-856E3A610DF4}" name="12468" dataDxfId="4142"/>
    <tableColumn id="12249" xr3:uid="{F5C2DE8A-D129-479F-AB00-971366C4B04E}" name="12469" dataDxfId="4141"/>
    <tableColumn id="12250" xr3:uid="{A3E8C082-29D4-4D36-AE96-9AC9D8450112}" name="12470" dataDxfId="4140"/>
    <tableColumn id="12251" xr3:uid="{56136DA8-E441-4F91-A306-0FDA78167F42}" name="12471" dataDxfId="4139"/>
    <tableColumn id="12252" xr3:uid="{D647B63D-CD67-424B-B452-FDD91CB48F3E}" name="12472" dataDxfId="4138"/>
    <tableColumn id="12253" xr3:uid="{4C2210BC-1922-44C7-B047-A7A99FDC9244}" name="12473" dataDxfId="4137"/>
    <tableColumn id="12254" xr3:uid="{0DC1E116-050C-4525-8B44-412F3BE84BAD}" name="12474" dataDxfId="4136"/>
    <tableColumn id="12255" xr3:uid="{F7F150DB-459E-45D1-8239-2C567C02B1F6}" name="12475" dataDxfId="4135"/>
    <tableColumn id="12256" xr3:uid="{6E1CB5D6-3576-4745-B95D-5A754353F79F}" name="12476" dataDxfId="4134"/>
    <tableColumn id="12257" xr3:uid="{EF8837AF-4758-447C-9186-382D42B2E0E5}" name="12477" dataDxfId="4133"/>
    <tableColumn id="12258" xr3:uid="{1ADD7938-D153-4406-A7C2-232116FE249E}" name="12478" dataDxfId="4132"/>
    <tableColumn id="12259" xr3:uid="{237AA7A2-7D09-40D9-BC5B-85453EB23DF9}" name="12479" dataDxfId="4131"/>
    <tableColumn id="12260" xr3:uid="{EC981CFE-01BE-4535-9C81-F8A447142711}" name="12480" dataDxfId="4130"/>
    <tableColumn id="12261" xr3:uid="{97C1F0D4-38C8-43C5-960D-B131E9896FCC}" name="12481" dataDxfId="4129"/>
    <tableColumn id="12262" xr3:uid="{FC569A69-402A-4CE2-B88D-8DD399636770}" name="12482" dataDxfId="4128"/>
    <tableColumn id="12263" xr3:uid="{5BD50B3D-593C-4889-9711-F996D25AD528}" name="12483" dataDxfId="4127"/>
    <tableColumn id="12264" xr3:uid="{D5209220-B32F-44BF-9187-6C0421DDB7D8}" name="12484" dataDxfId="4126"/>
    <tableColumn id="12265" xr3:uid="{35B1AA14-68A1-44B9-85DD-B3985B1959E8}" name="12485" dataDxfId="4125"/>
    <tableColumn id="12266" xr3:uid="{82F5DA98-1BD8-4E74-88F1-2C4C6C9C7A0F}" name="12486" dataDxfId="4124"/>
    <tableColumn id="12267" xr3:uid="{A3154090-A758-4E83-ACA1-BB4EE1D503D4}" name="12487" dataDxfId="4123"/>
    <tableColumn id="12268" xr3:uid="{E8A96B4F-1032-40DF-BD57-FB325115336A}" name="12488" dataDxfId="4122"/>
    <tableColumn id="12269" xr3:uid="{3882E56B-A00C-4CC6-BEA3-DDDACB820FC7}" name="12489" dataDxfId="4121"/>
    <tableColumn id="12270" xr3:uid="{7548336D-7D5B-4A17-B73B-684DA323D078}" name="12490" dataDxfId="4120"/>
    <tableColumn id="12271" xr3:uid="{9713FB87-7CBA-4CA9-AD3C-34B00A279660}" name="12491" dataDxfId="4119"/>
    <tableColumn id="12272" xr3:uid="{79B81D65-646A-43E4-A204-72747625A273}" name="12492" dataDxfId="4118"/>
    <tableColumn id="12273" xr3:uid="{C0865D64-7F8B-4BD0-95DC-815798761983}" name="12493" dataDxfId="4117"/>
    <tableColumn id="12274" xr3:uid="{B911C9F6-751D-4162-ACF1-79D92130D06A}" name="12494" dataDxfId="4116"/>
    <tableColumn id="12275" xr3:uid="{FD080ABB-B24E-424B-94E0-A4807618C53C}" name="12495" dataDxfId="4115"/>
    <tableColumn id="12276" xr3:uid="{0E1CD157-C0BF-4E9E-86E6-88F9511317B8}" name="12496" dataDxfId="4114"/>
    <tableColumn id="12277" xr3:uid="{C3CFDD80-9997-4FBA-82AA-399F6C1839D5}" name="12497" dataDxfId="4113"/>
    <tableColumn id="12278" xr3:uid="{E73C38D0-458C-4D51-B4ED-7EDA80380F22}" name="12498" dataDxfId="4112"/>
    <tableColumn id="12279" xr3:uid="{A3F7A2AB-C980-4D8B-9409-F503684A64AB}" name="12499" dataDxfId="4111"/>
    <tableColumn id="12280" xr3:uid="{3DD3A25F-E67A-4351-9854-638426A78860}" name="12500" dataDxfId="4110"/>
    <tableColumn id="12281" xr3:uid="{2E95C9E4-701A-45D3-AF5D-EAB722CDB3AD}" name="12501" dataDxfId="4109"/>
    <tableColumn id="12282" xr3:uid="{EDD346FE-AA3B-457F-AD35-CA8E591915C2}" name="12502" dataDxfId="4108"/>
    <tableColumn id="12283" xr3:uid="{0DBCB7CA-C0E9-4BB5-B44D-48D15F6988A4}" name="12503" dataDxfId="4107"/>
    <tableColumn id="12284" xr3:uid="{1F5D04B0-2D4B-4F1A-86C1-99A8183D2031}" name="12504" dataDxfId="4106"/>
    <tableColumn id="12285" xr3:uid="{BC7B1C29-A28D-4436-B62A-C41B5C429711}" name="12505" dataDxfId="4105"/>
    <tableColumn id="12286" xr3:uid="{69E9D660-C08D-4D4F-92F7-C1156AF5983B}" name="12506" dataDxfId="4104"/>
    <tableColumn id="12287" xr3:uid="{70C5FED6-AF7A-4351-95E0-04BE4424C337}" name="12507" dataDxfId="4103"/>
    <tableColumn id="12288" xr3:uid="{8E564B92-3A77-45E5-ABDC-E07CE58C414A}" name="12508" dataDxfId="4102"/>
    <tableColumn id="12289" xr3:uid="{86E9CDD0-8742-4A62-841C-4682D52E6379}" name="12509" dataDxfId="4101"/>
    <tableColumn id="12290" xr3:uid="{85BBD8A0-9577-4812-A4B9-D4776F7E529B}" name="12510" dataDxfId="4100"/>
    <tableColumn id="12291" xr3:uid="{F4B179D1-9262-4FDD-B5B3-5D59204CE6BE}" name="12511" dataDxfId="4099"/>
    <tableColumn id="12292" xr3:uid="{FE65D0C3-E18A-4998-85DF-9D797201C755}" name="12512" dataDxfId="4098"/>
    <tableColumn id="12293" xr3:uid="{6493E1C9-30A7-423F-BA7C-E8BB894A3346}" name="12513" dataDxfId="4097"/>
    <tableColumn id="12294" xr3:uid="{65906CB2-2422-4B49-A536-85D402343635}" name="12514" dataDxfId="4096"/>
    <tableColumn id="12295" xr3:uid="{355D4CBB-E321-49BF-A30B-2E167294C509}" name="12515" dataDxfId="4095"/>
    <tableColumn id="12296" xr3:uid="{59421926-67A9-4807-8E43-2B4CF5E05AB8}" name="12516" dataDxfId="4094"/>
    <tableColumn id="12297" xr3:uid="{A952CCFB-A87C-4BAC-B7A9-1DD12568DFA5}" name="12517" dataDxfId="4093"/>
    <tableColumn id="12298" xr3:uid="{B9130D65-30E2-4796-8064-7B8265D191A6}" name="12518" dataDxfId="4092"/>
    <tableColumn id="12299" xr3:uid="{5D948E8F-E1D3-48CA-A81A-B885C75B005D}" name="12519" dataDxfId="4091"/>
    <tableColumn id="12300" xr3:uid="{7807D0E0-7DA7-4333-A812-F25DB94400C9}" name="12520" dataDxfId="4090"/>
    <tableColumn id="12301" xr3:uid="{B11410E6-8394-4A25-AC73-5A68D5B8408B}" name="12521" dataDxfId="4089"/>
    <tableColumn id="12302" xr3:uid="{8B1C525A-BBFF-4F24-B684-6B3DFA530425}" name="12522" dataDxfId="4088"/>
    <tableColumn id="12303" xr3:uid="{D3967395-3C56-4222-8C6F-68EE01F0D63C}" name="12523" dataDxfId="4087"/>
    <tableColumn id="12304" xr3:uid="{0683C413-E277-4336-8945-255E365E381E}" name="12524" dataDxfId="4086"/>
    <tableColumn id="12305" xr3:uid="{2FA8DF5B-5D8E-4C94-B4C4-6D445797B3ED}" name="12525" dataDxfId="4085"/>
    <tableColumn id="12306" xr3:uid="{9FF8BCE7-F44C-41BA-A7AC-B87654A1C2E2}" name="12526" dataDxfId="4084"/>
    <tableColumn id="12307" xr3:uid="{A0CEB851-CA7A-466A-BA59-B81D98960F7C}" name="12527" dataDxfId="4083"/>
    <tableColumn id="12308" xr3:uid="{B7A94525-3921-4AD5-9DFD-34E4171C1E30}" name="12528" dataDxfId="4082"/>
    <tableColumn id="12309" xr3:uid="{ABCBDE45-F17E-4D09-98D3-3249C3F239C3}" name="12529" dataDxfId="4081"/>
    <tableColumn id="12310" xr3:uid="{4E6C637C-AD8D-456C-A543-CE3A42CA0E22}" name="12530" dataDxfId="4080"/>
    <tableColumn id="12311" xr3:uid="{02D71877-A157-4845-BD1E-5FA7D35A4B96}" name="12531" dataDxfId="4079"/>
    <tableColumn id="12312" xr3:uid="{D0D4C3EF-E973-4CA9-B360-24B87532AA31}" name="12532" dataDxfId="4078"/>
    <tableColumn id="12313" xr3:uid="{D4A65ABA-642D-41FD-AB0C-E556B6DFD5BC}" name="12533" dataDxfId="4077"/>
    <tableColumn id="12314" xr3:uid="{FF3EF17D-F376-48D9-BD31-CC51454D3BC5}" name="12534" dataDxfId="4076"/>
    <tableColumn id="12315" xr3:uid="{86CD8129-3CE8-4B43-8674-E7D3A7D6DA64}" name="12535" dataDxfId="4075"/>
    <tableColumn id="12316" xr3:uid="{D6ED3C77-4339-412C-A30B-77C3C7792554}" name="12536" dataDxfId="4074"/>
    <tableColumn id="12317" xr3:uid="{F2287B0B-74D4-4E02-9B87-EE219F1936C6}" name="12537" dataDxfId="4073"/>
    <tableColumn id="12318" xr3:uid="{14F53917-6190-4266-920E-C13E41E0C385}" name="12538" dataDxfId="4072"/>
    <tableColumn id="12319" xr3:uid="{BC5C04BD-04AA-46F5-92D3-229589862DFA}" name="12539" dataDxfId="4071"/>
    <tableColumn id="12320" xr3:uid="{B2FD8491-304A-43B5-9EF2-5B56314920DD}" name="12540" dataDxfId="4070"/>
    <tableColumn id="12321" xr3:uid="{D2455E66-4D70-4BF2-8761-461BA1058FE3}" name="12541" dataDxfId="4069"/>
    <tableColumn id="12322" xr3:uid="{C073AA7F-2C60-46C2-B4A6-00C5EE331BAA}" name="12542" dataDxfId="4068"/>
    <tableColumn id="12323" xr3:uid="{7633AB94-2539-4D68-8600-3E7CABF81350}" name="12543" dataDxfId="4067"/>
    <tableColumn id="12324" xr3:uid="{62826AF0-F77F-4856-9A3E-AD5F4A9578AB}" name="12544" dataDxfId="4066"/>
    <tableColumn id="12325" xr3:uid="{40899572-D62A-4E4E-A155-3898E6F3089F}" name="12545" dataDxfId="4065"/>
    <tableColumn id="12326" xr3:uid="{6BFB600B-F34F-433F-B822-129D814328CD}" name="12546" dataDxfId="4064"/>
    <tableColumn id="12327" xr3:uid="{2BB43AC1-D6C4-4E26-9406-F52C44470773}" name="12547" dataDxfId="4063"/>
    <tableColumn id="12328" xr3:uid="{F8324946-A818-4129-BDE8-444DA1460B50}" name="12548" dataDxfId="4062"/>
    <tableColumn id="12329" xr3:uid="{EFAC12E2-8D6E-43B7-8B64-B9F34A8C04EE}" name="12549" dataDxfId="4061"/>
    <tableColumn id="12330" xr3:uid="{FC76BFF3-629A-4AFC-97C6-F04A297AC3A0}" name="12550" dataDxfId="4060"/>
    <tableColumn id="12331" xr3:uid="{9EEE65AB-044D-44D5-9176-9E9B7CF0B76D}" name="12551" dataDxfId="4059"/>
    <tableColumn id="12332" xr3:uid="{E36748C3-6FEF-498E-A9CF-D860D4409899}" name="12552" dataDxfId="4058"/>
    <tableColumn id="12333" xr3:uid="{CB1EE0A8-0568-433C-892C-951F5C674CEB}" name="12553" dataDxfId="4057"/>
    <tableColumn id="12334" xr3:uid="{C9E302B4-111F-4EE8-A7B6-D052B1015206}" name="12554" dataDxfId="4056"/>
    <tableColumn id="12335" xr3:uid="{10127446-B8D0-4134-ADED-450844EE6583}" name="12555" dataDxfId="4055"/>
    <tableColumn id="12336" xr3:uid="{B131B856-2F5F-41CB-983D-01EE78263F70}" name="12556" dataDxfId="4054"/>
    <tableColumn id="12337" xr3:uid="{50427B95-36F5-4D9E-9C86-078158BD7993}" name="12557" dataDxfId="4053"/>
    <tableColumn id="12338" xr3:uid="{9C49C02C-5177-47D9-9E70-135046D572CF}" name="12558" dataDxfId="4052"/>
    <tableColumn id="12339" xr3:uid="{DC842605-FEEE-4872-A334-966F3A90652D}" name="12559" dataDxfId="4051"/>
    <tableColumn id="12340" xr3:uid="{74D5C51D-36A0-445C-8689-5ECC126D8FCA}" name="12560" dataDxfId="4050"/>
    <tableColumn id="12341" xr3:uid="{4EA13C72-E6AA-43A3-A186-7E54008D39C7}" name="12561" dataDxfId="4049"/>
    <tableColumn id="12342" xr3:uid="{4EF584B1-34B5-47B9-A038-9DB8EE47AE1A}" name="12562" dataDxfId="4048"/>
    <tableColumn id="12343" xr3:uid="{15C7EAA2-558A-482A-896C-02715C5FA382}" name="12563" dataDxfId="4047"/>
    <tableColumn id="12344" xr3:uid="{B5306AB4-F87D-434B-A104-C236CFA21553}" name="12564" dataDxfId="4046"/>
    <tableColumn id="12345" xr3:uid="{9CEB9FB6-281A-41F1-A955-25DD95F792AA}" name="12565" dataDxfId="4045"/>
    <tableColumn id="12346" xr3:uid="{E8CB1ABF-DC0F-4921-9684-513CE8B99A7E}" name="12566" dataDxfId="4044"/>
    <tableColumn id="12347" xr3:uid="{3A0C2FCF-3A1A-400E-BA59-A678607A918A}" name="12567" dataDxfId="4043"/>
    <tableColumn id="12348" xr3:uid="{0F62CE75-491C-4E4B-A161-B65FD6632A5C}" name="12568" dataDxfId="4042"/>
    <tableColumn id="12349" xr3:uid="{F1D63160-8107-4C7D-9363-5B33A3A4D271}" name="12569" dataDxfId="4041"/>
    <tableColumn id="12350" xr3:uid="{7B59A944-BAA7-4DCE-A036-846ADADEE582}" name="12570" dataDxfId="4040"/>
    <tableColumn id="12351" xr3:uid="{4076D5FE-650F-4E51-92B6-EE64423F97F4}" name="12571" dataDxfId="4039"/>
    <tableColumn id="12352" xr3:uid="{B9A4BA9E-19A4-479F-9F3D-7C4930D8F633}" name="12572" dataDxfId="4038"/>
    <tableColumn id="12353" xr3:uid="{D28C7876-F2CC-46C5-9689-D2725ED3116F}" name="12573" dataDxfId="4037"/>
    <tableColumn id="12354" xr3:uid="{6687415A-3E86-45B7-B1A7-6CEF7BAB922B}" name="12574" dataDxfId="4036"/>
    <tableColumn id="12355" xr3:uid="{863EE359-0820-443D-9633-D0A1BAC3A93C}" name="12575" dataDxfId="4035"/>
    <tableColumn id="12356" xr3:uid="{B8B258F5-AF84-4C2D-91CF-C4A4A02C795A}" name="12576" dataDxfId="4034"/>
    <tableColumn id="12357" xr3:uid="{2A7A6FF1-D611-4C3C-BE0B-7DB2141403E4}" name="12577" dataDxfId="4033"/>
    <tableColumn id="12358" xr3:uid="{78C444C4-89FA-4ECD-9F66-A6ACAB03CA9D}" name="12578" dataDxfId="4032"/>
    <tableColumn id="12359" xr3:uid="{097E233F-5BE4-4381-906C-53D6A5233B57}" name="12579" dataDxfId="4031"/>
    <tableColumn id="12360" xr3:uid="{FDB79258-D26A-455F-B059-1544F3AB606C}" name="12580" dataDxfId="4030"/>
    <tableColumn id="12361" xr3:uid="{F477F1D5-9609-495E-83F7-4387A00BD644}" name="12581" dataDxfId="4029"/>
    <tableColumn id="12362" xr3:uid="{83C78933-C891-4ACC-9B8A-3A96FF201D34}" name="12582" dataDxfId="4028"/>
    <tableColumn id="12363" xr3:uid="{A306692C-AE8C-4D3A-B2CD-670D6CD73B60}" name="12583" dataDxfId="4027"/>
    <tableColumn id="12364" xr3:uid="{8BDAF22A-5C38-42E1-922D-D32D37CADE66}" name="12584" dataDxfId="4026"/>
    <tableColumn id="12365" xr3:uid="{3588C5CB-F9EC-4BAC-A4E4-B2BA5A655E77}" name="12585" dataDxfId="4025"/>
    <tableColumn id="12366" xr3:uid="{48BD0E1E-6A21-421F-A25E-62E37486F5D6}" name="12586" dataDxfId="4024"/>
    <tableColumn id="12367" xr3:uid="{BD11260D-BD5F-46DD-8963-E186DC32D294}" name="12587" dataDxfId="4023"/>
    <tableColumn id="12368" xr3:uid="{DFB26722-2EB0-4DDA-A701-D8FCBADEE56E}" name="12588" dataDxfId="4022"/>
    <tableColumn id="12369" xr3:uid="{5EE57AF4-C89E-44EF-A05F-3DA07346B7FA}" name="12589" dataDxfId="4021"/>
    <tableColumn id="12370" xr3:uid="{4018F239-F4CB-41CF-A0BF-90876CBC0418}" name="12590" dataDxfId="4020"/>
    <tableColumn id="12371" xr3:uid="{A0DD2E21-67A5-41C0-82EE-B643C65FB3D5}" name="12591" dataDxfId="4019"/>
    <tableColumn id="12372" xr3:uid="{F419082B-AEB1-418C-9AF1-D202563DD1E5}" name="12592" dataDxfId="4018"/>
    <tableColumn id="12373" xr3:uid="{77F1854C-1229-4789-BB23-1EFCE0A096DA}" name="12593" dataDxfId="4017"/>
    <tableColumn id="12374" xr3:uid="{F6829544-3CF0-41E5-901E-B87B8534A96C}" name="12594" dataDxfId="4016"/>
    <tableColumn id="12375" xr3:uid="{948EE11A-BA4C-447D-B3B5-E318C4ECA252}" name="12595" dataDxfId="4015"/>
    <tableColumn id="12376" xr3:uid="{3D325C0E-62FD-4C15-A849-181896828C0F}" name="12596" dataDxfId="4014"/>
    <tableColumn id="12377" xr3:uid="{A0EC9613-2EC1-4FA2-B524-676EE3495025}" name="12597" dataDxfId="4013"/>
    <tableColumn id="12378" xr3:uid="{F976A508-A775-4590-A57E-1DEE833D6ECC}" name="12598" dataDxfId="4012"/>
    <tableColumn id="12379" xr3:uid="{8B5315C6-2F0A-4E8A-9B78-D3588BFC4384}" name="12599" dataDxfId="4011"/>
    <tableColumn id="12380" xr3:uid="{D0A1D068-B0F5-4F13-9C08-5E7B9B3780C3}" name="12600" dataDxfId="4010"/>
    <tableColumn id="12381" xr3:uid="{93CFBB07-C87A-4C54-9A2F-50A282090DBD}" name="12601" dataDxfId="4009"/>
    <tableColumn id="12382" xr3:uid="{6B702520-F9C2-40B2-A51D-79294D568CD1}" name="12602" dataDxfId="4008"/>
    <tableColumn id="12383" xr3:uid="{839F8F75-2D8A-442D-8E6F-47598D0DA3ED}" name="12603" dataDxfId="4007"/>
    <tableColumn id="12384" xr3:uid="{85F51613-5831-4F54-B66B-ED1470397D56}" name="12604" dataDxfId="4006"/>
    <tableColumn id="12385" xr3:uid="{1FD00548-2253-4B25-A78D-2567CBF54A09}" name="12605" dataDxfId="4005"/>
    <tableColumn id="12386" xr3:uid="{61C7BF50-D34D-470C-9EED-52D8D7318E85}" name="12606" dataDxfId="4004"/>
    <tableColumn id="12387" xr3:uid="{849FDB1B-A764-4DB9-9E6D-82A94545B66C}" name="12607" dataDxfId="4003"/>
    <tableColumn id="12388" xr3:uid="{A7608571-4D18-4321-B026-93AA13985380}" name="12608" dataDxfId="4002"/>
    <tableColumn id="12389" xr3:uid="{40C0017A-C9CE-4CB4-8DAE-57ECA0518459}" name="12609" dataDxfId="4001"/>
    <tableColumn id="12390" xr3:uid="{44A39CA5-0D3A-4706-8193-B5341B34E2DB}" name="12610" dataDxfId="4000"/>
    <tableColumn id="12391" xr3:uid="{C5D3BA8B-E4C8-4D73-ACF8-A9E153F18939}" name="12611" dataDxfId="3999"/>
    <tableColumn id="12392" xr3:uid="{C66CF17B-78DC-4477-9408-295BBBB1B784}" name="12612" dataDxfId="3998"/>
    <tableColumn id="12393" xr3:uid="{FFDFFFA4-CF2C-4A18-9499-CAF4AA706726}" name="12613" dataDxfId="3997"/>
    <tableColumn id="12394" xr3:uid="{58A25407-40A1-4A58-99B7-C35526DE7EBC}" name="12614" dataDxfId="3996"/>
    <tableColumn id="12395" xr3:uid="{88E5CEC9-8047-4134-9C15-9B8D3EBD1FEC}" name="12615" dataDxfId="3995"/>
    <tableColumn id="12396" xr3:uid="{8DA68C90-0A9D-4CCD-8193-63AA0BC4140B}" name="12616" dataDxfId="3994"/>
    <tableColumn id="12397" xr3:uid="{51C6CA27-3FC9-448D-93D9-F8BAE4CFA009}" name="12617" dataDxfId="3993"/>
    <tableColumn id="12398" xr3:uid="{2A5EA4B0-819B-449E-A208-3DCDE6C0F21B}" name="12618" dataDxfId="3992"/>
    <tableColumn id="12399" xr3:uid="{BE455BC0-69F4-4C6E-A041-1534870EB224}" name="12619" dataDxfId="3991"/>
    <tableColumn id="12400" xr3:uid="{9A0B80FB-88E2-4287-917F-0C3F59EF0529}" name="12620" dataDxfId="3990"/>
    <tableColumn id="12401" xr3:uid="{2DA7C376-7914-408B-B95F-9BFD7B7AC1C2}" name="12621" dataDxfId="3989"/>
    <tableColumn id="12402" xr3:uid="{B6D3194B-316E-4EA5-9172-D9EF875BE056}" name="12622" dataDxfId="3988"/>
    <tableColumn id="12403" xr3:uid="{34012E73-ACC6-4691-89C6-F8192BF6CAC6}" name="12623" dataDxfId="3987"/>
    <tableColumn id="12404" xr3:uid="{8D4E28D9-27D2-4A71-897C-11DFDD808F5E}" name="12624" dataDxfId="3986"/>
    <tableColumn id="12405" xr3:uid="{F0AC5EF2-6BB8-4074-94E1-82B8F0E00507}" name="12625" dataDxfId="3985"/>
    <tableColumn id="12406" xr3:uid="{14695095-52ED-44A4-9913-36620396B2BD}" name="12626" dataDxfId="3984"/>
    <tableColumn id="12407" xr3:uid="{20E57BED-AA10-43F1-95EA-9EA02A3980DB}" name="12627" dataDxfId="3983"/>
    <tableColumn id="12408" xr3:uid="{7B712D8F-46D1-4879-BCB6-EEA1FB3369D4}" name="12628" dataDxfId="3982"/>
    <tableColumn id="12409" xr3:uid="{A0819D00-4D6D-4E48-AD40-1559CAE7AD38}" name="12629" dataDxfId="3981"/>
    <tableColumn id="12410" xr3:uid="{A1150F99-E283-47D1-A59A-FCE3C6D05319}" name="12630" dataDxfId="3980"/>
    <tableColumn id="12411" xr3:uid="{8C68C104-89CB-4E84-B8FE-BDDCB18EAE8D}" name="12631" dataDxfId="3979"/>
    <tableColumn id="12412" xr3:uid="{D4A89802-F3F4-4480-B6CC-0B4586C0FA11}" name="12632" dataDxfId="3978"/>
    <tableColumn id="12413" xr3:uid="{1490FA9B-E135-49D7-8043-876FF3D48ADC}" name="12633" dataDxfId="3977"/>
    <tableColumn id="12414" xr3:uid="{7352E316-F531-4DC5-90EF-E4C756D1672D}" name="12634" dataDxfId="3976"/>
    <tableColumn id="12415" xr3:uid="{79F05155-91BC-4D08-8F55-F9ECC100BE8D}" name="12635" dataDxfId="3975"/>
    <tableColumn id="12416" xr3:uid="{8D67F10A-0F75-4099-ABC8-4EC87ECAACE3}" name="12636" dataDxfId="3974"/>
    <tableColumn id="12417" xr3:uid="{64108B10-F1BF-4CCD-93F1-B3FF5B112F3B}" name="12637" dataDxfId="3973"/>
    <tableColumn id="12418" xr3:uid="{990D0581-ECF2-47ED-915A-7BD3E3532CA3}" name="12638" dataDxfId="3972"/>
    <tableColumn id="12419" xr3:uid="{B325C103-3BE4-4F4B-88D3-B67D7EDACE85}" name="12639" dataDxfId="3971"/>
    <tableColumn id="12420" xr3:uid="{E0200F90-77CF-49E4-A467-068BDE41DD24}" name="12640" dataDxfId="3970"/>
    <tableColumn id="12421" xr3:uid="{A15CD2FE-383F-48D0-9BAA-ECE17A1CA6E4}" name="12641" dataDxfId="3969"/>
    <tableColumn id="12422" xr3:uid="{A64A4692-75AC-4BF6-B859-0C1144F922FF}" name="12642" dataDxfId="3968"/>
    <tableColumn id="12423" xr3:uid="{404C1DE4-7C02-4095-A5A7-C3BDB5A3D911}" name="12643" dataDxfId="3967"/>
    <tableColumn id="12424" xr3:uid="{C06C5670-6DF6-4C13-BB40-0F785358CDAC}" name="12644" dataDxfId="3966"/>
    <tableColumn id="12425" xr3:uid="{9CA2177F-11CB-4A17-92D7-A70A82AD4A80}" name="12645" dataDxfId="3965"/>
    <tableColumn id="12426" xr3:uid="{CA382204-428B-476D-9056-53B98F14E040}" name="12646" dataDxfId="3964"/>
    <tableColumn id="12427" xr3:uid="{2987CB7E-C685-4FC7-8527-F4C46D25A262}" name="12647" dataDxfId="3963"/>
    <tableColumn id="12428" xr3:uid="{9FC0845D-7301-45BC-A957-78E1A1D2CA76}" name="12648" dataDxfId="3962"/>
    <tableColumn id="12429" xr3:uid="{388C6916-028E-425F-96F5-423AFF3117F2}" name="12649" dataDxfId="3961"/>
    <tableColumn id="12430" xr3:uid="{F81433D7-163D-4A86-8852-E40A599889F3}" name="12650" dataDxfId="3960"/>
    <tableColumn id="12431" xr3:uid="{C5C0E566-767A-4CD1-AC21-68F826F28EEA}" name="12651" dataDxfId="3959"/>
    <tableColumn id="12432" xr3:uid="{5C82BDB0-FA0B-47A6-91EE-CFEC41C234EE}" name="12652" dataDxfId="3958"/>
    <tableColumn id="12433" xr3:uid="{E5EEE97A-8E0F-4647-9574-6E1E6E54A995}" name="12653" dataDxfId="3957"/>
    <tableColumn id="12434" xr3:uid="{5B61E094-C05D-4C23-B13E-16EFFC63446A}" name="12654" dataDxfId="3956"/>
    <tableColumn id="12435" xr3:uid="{0077A53A-9693-4C17-A7C2-0C59F30BA0D4}" name="12655" dataDxfId="3955"/>
    <tableColumn id="12436" xr3:uid="{9C19EAC2-69F5-4A41-83FF-6A43FDBBE2E1}" name="12656" dataDxfId="3954"/>
    <tableColumn id="12437" xr3:uid="{53BF4CC2-F46C-4890-8DD7-384FB0015C1A}" name="12657" dataDxfId="3953"/>
    <tableColumn id="12438" xr3:uid="{DB2EBFF1-F014-4CF0-AA9F-3194F71DE9E4}" name="12658" dataDxfId="3952"/>
    <tableColumn id="12439" xr3:uid="{3A59473A-661C-4FE5-BDD9-94E92DCC667C}" name="12659" dataDxfId="3951"/>
    <tableColumn id="12440" xr3:uid="{2EFCD3A6-644D-4220-9EA3-71C465C732EC}" name="12660" dataDxfId="3950"/>
    <tableColumn id="12441" xr3:uid="{833BB260-EA36-4FEA-A62D-8B9F8FA9ACF5}" name="12661" dataDxfId="3949"/>
    <tableColumn id="12442" xr3:uid="{5A2FC0B8-8BD9-47AC-A5ED-AB92754733CB}" name="12662" dataDxfId="3948"/>
    <tableColumn id="12443" xr3:uid="{1CB3341A-0C06-4DE8-B452-1941CE35B955}" name="12663" dataDxfId="3947"/>
    <tableColumn id="12444" xr3:uid="{26743F1B-7869-4428-BAC1-B97E00E9DC91}" name="12664" dataDxfId="3946"/>
    <tableColumn id="12445" xr3:uid="{779CE9BA-347D-4A9B-AEA1-B26B3B4F35F3}" name="12665" dataDxfId="3945"/>
    <tableColumn id="12446" xr3:uid="{8DE2006C-0BC9-44D3-A4C2-DE25997E601C}" name="12666" dataDxfId="3944"/>
    <tableColumn id="12447" xr3:uid="{2486900E-BE7A-4E09-95FC-523CBA46B795}" name="12667" dataDxfId="3943"/>
    <tableColumn id="12448" xr3:uid="{E06A4C1E-E3BC-42A5-B135-BC74CE0866B2}" name="12668" dataDxfId="3942"/>
    <tableColumn id="12449" xr3:uid="{F4D335F3-ECD4-4986-83E0-AEE93345033F}" name="12669" dataDxfId="3941"/>
    <tableColumn id="12450" xr3:uid="{3EB64EE9-4B6D-44E2-B5EC-681EF5EA00A0}" name="12670" dataDxfId="3940"/>
    <tableColumn id="12451" xr3:uid="{8EAD7B8F-BEBD-4A4F-83D5-3BE70CB11631}" name="12671" dataDxfId="3939"/>
    <tableColumn id="12452" xr3:uid="{CD27098A-0F8C-44DA-B5E1-80C6E79626DF}" name="12672" dataDxfId="3938"/>
    <tableColumn id="12453" xr3:uid="{BA63ACAC-5CB1-4615-8318-9412AA86AB3C}" name="12673" dataDxfId="3937"/>
    <tableColumn id="12454" xr3:uid="{BAB74160-9E72-481F-AC55-F69C865CE861}" name="12674" dataDxfId="3936"/>
    <tableColumn id="12455" xr3:uid="{4705CEBE-1816-4F09-9F8D-5432585AAC32}" name="12675" dataDxfId="3935"/>
    <tableColumn id="12456" xr3:uid="{2CA83A36-3501-4AAB-A9B1-7351248EB837}" name="12676" dataDxfId="3934"/>
    <tableColumn id="12457" xr3:uid="{7D4F344F-1F70-49ED-8675-562F8C2D440D}" name="12677" dataDxfId="3933"/>
    <tableColumn id="12458" xr3:uid="{31A900EB-E18A-45F7-9AA6-401D4A9E1761}" name="12678" dataDxfId="3932"/>
    <tableColumn id="12459" xr3:uid="{ED05ECED-B0FC-4800-AE53-B4CC1E42A38C}" name="12679" dataDxfId="3931"/>
    <tableColumn id="12460" xr3:uid="{8D91AD2A-A3D1-423A-ABF8-6AF37E808E57}" name="12680" dataDxfId="3930"/>
    <tableColumn id="12461" xr3:uid="{0D9A1FDD-0804-4EDE-A905-A49E5C81AA6F}" name="12681" dataDxfId="3929"/>
    <tableColumn id="12462" xr3:uid="{9139824B-C858-47EB-9123-0AAAEEE4EC59}" name="12682" dataDxfId="3928"/>
    <tableColumn id="12463" xr3:uid="{47BEFC39-264A-4CCE-9D0E-7498A074072C}" name="12683" dataDxfId="3927"/>
    <tableColumn id="12464" xr3:uid="{606F2F7E-C98F-480A-B362-D774C76C0C2E}" name="12684" dataDxfId="3926"/>
    <tableColumn id="12465" xr3:uid="{4DAC5FF3-056D-4438-A2FC-C7B8C10E5926}" name="12685" dataDxfId="3925"/>
    <tableColumn id="12466" xr3:uid="{C4CEEAD6-CA4E-445A-9568-46FEDFFA34F4}" name="12686" dataDxfId="3924"/>
    <tableColumn id="12467" xr3:uid="{8AF6FB02-92A9-4130-922F-00F326FF6C39}" name="12687" dataDxfId="3923"/>
    <tableColumn id="12468" xr3:uid="{93C9DEF9-5CD7-4B3D-9674-440B98A9B6EE}" name="12688" dataDxfId="3922"/>
    <tableColumn id="12469" xr3:uid="{7DFE9D11-E3BF-4C78-8550-A118284649D9}" name="12689" dataDxfId="3921"/>
    <tableColumn id="12470" xr3:uid="{48DD4CF9-9874-44EA-82E6-B33CEA3E1E20}" name="12690" dataDxfId="3920"/>
    <tableColumn id="12471" xr3:uid="{CEEB1A28-C89D-42B4-82C0-097E8641B57D}" name="12691" dataDxfId="3919"/>
    <tableColumn id="12472" xr3:uid="{128CAB33-D489-43B1-95CE-BAE58353D413}" name="12692" dataDxfId="3918"/>
    <tableColumn id="12473" xr3:uid="{4F49B04B-6554-4094-AFBB-6F9C6E6E1398}" name="12693" dataDxfId="3917"/>
    <tableColumn id="12474" xr3:uid="{A3F6EABF-1937-4B74-B830-434A80503FFB}" name="12694" dataDxfId="3916"/>
    <tableColumn id="12475" xr3:uid="{D86950EE-D854-4707-B58D-C65580FFAC54}" name="12695" dataDxfId="3915"/>
    <tableColumn id="12476" xr3:uid="{8E74E730-6ED2-4A9C-8A2F-9E185835AA89}" name="12696" dataDxfId="3914"/>
    <tableColumn id="12477" xr3:uid="{E9C6C712-3DB3-47F7-B322-E6C2CBF01A67}" name="12697" dataDxfId="3913"/>
    <tableColumn id="12478" xr3:uid="{52E9D433-FA48-4DB4-BEFF-FFDB4D98F8D0}" name="12698" dataDxfId="3912"/>
    <tableColumn id="12479" xr3:uid="{52C25556-6261-445D-B957-B1A2C6614719}" name="12699" dataDxfId="3911"/>
    <tableColumn id="12480" xr3:uid="{1D102A3F-6925-4FBA-8E3C-3FB28A5B2000}" name="12700" dataDxfId="3910"/>
    <tableColumn id="12481" xr3:uid="{D4CAA662-815A-405B-8589-D87D99EFC592}" name="12701" dataDxfId="3909"/>
    <tableColumn id="12482" xr3:uid="{525CF5CC-D474-4345-816B-1484247C1EFB}" name="12702" dataDxfId="3908"/>
    <tableColumn id="12483" xr3:uid="{E1EFFAE6-C005-41E4-B839-282B380C03CC}" name="12703" dataDxfId="3907"/>
    <tableColumn id="12484" xr3:uid="{F0A25547-3778-42F4-9CED-7DB9B316D874}" name="12704" dataDxfId="3906"/>
    <tableColumn id="12485" xr3:uid="{B1CE1734-7DD0-44B5-8D01-F3A8FF96E638}" name="12705" dataDxfId="3905"/>
    <tableColumn id="12486" xr3:uid="{C5F6F590-72D5-43D6-8DEE-3B9D82C7A216}" name="12706" dataDxfId="3904"/>
    <tableColumn id="12487" xr3:uid="{0EF8BDE0-E879-4137-B5F2-7B0A5D0EC928}" name="12707" dataDxfId="3903"/>
    <tableColumn id="12488" xr3:uid="{B6711DCC-D732-4F26-A0FF-F74893363A71}" name="12708" dataDxfId="3902"/>
    <tableColumn id="12489" xr3:uid="{020A77C0-1075-4371-BA42-97B7DEC7A4C3}" name="12709" dataDxfId="3901"/>
    <tableColumn id="12490" xr3:uid="{551A5BBC-6873-4BFF-8022-2E42B1AB5FC4}" name="12710" dataDxfId="3900"/>
    <tableColumn id="12491" xr3:uid="{70FCBBB2-56FC-426E-91E6-67E076B4AFAA}" name="12711" dataDxfId="3899"/>
    <tableColumn id="12492" xr3:uid="{0955E8B9-0D06-4B8B-A774-1921F86D43D2}" name="12712" dataDxfId="3898"/>
    <tableColumn id="12493" xr3:uid="{3DBE7610-AAA7-4B59-B713-1F4738AE2EDE}" name="12713" dataDxfId="3897"/>
    <tableColumn id="12494" xr3:uid="{E8358D3E-7A04-4968-A9CD-08200A910F73}" name="12714" dataDxfId="3896"/>
    <tableColumn id="12495" xr3:uid="{55422C73-F2A0-43E8-ABB0-2A2F17E0A7DB}" name="12715" dataDxfId="3895"/>
    <tableColumn id="12496" xr3:uid="{CE1CF4BB-AE29-4AD7-B094-E2A332F2F0DF}" name="12716" dataDxfId="3894"/>
    <tableColumn id="12497" xr3:uid="{703BBD22-8319-4728-887D-423043DD6D2C}" name="12717" dataDxfId="3893"/>
    <tableColumn id="12498" xr3:uid="{85386648-7D6D-4D61-87E3-3E7C24C59A9B}" name="12718" dataDxfId="3892"/>
    <tableColumn id="12499" xr3:uid="{70F98292-657A-4607-9A17-C03C191ADEBF}" name="12719" dataDxfId="3891"/>
    <tableColumn id="12500" xr3:uid="{C5F94103-513C-44DF-8872-D06D16DFE2AE}" name="12720" dataDxfId="3890"/>
    <tableColumn id="12501" xr3:uid="{AA3016CC-39CD-4B65-BB6A-1B61A488ABC7}" name="12721" dataDxfId="3889"/>
    <tableColumn id="12502" xr3:uid="{787B213C-185C-4759-8242-7162897A4B76}" name="12722" dataDxfId="3888"/>
    <tableColumn id="12503" xr3:uid="{CDA41325-1894-42F0-8B7D-F5028AC090EA}" name="12723" dataDxfId="3887"/>
    <tableColumn id="12504" xr3:uid="{C5B563D5-C96A-4BC5-8526-C6C89B39AF90}" name="12724" dataDxfId="3886"/>
    <tableColumn id="12505" xr3:uid="{F8F2DB7C-09F3-463E-A0A2-182A5EDB9704}" name="12725" dataDxfId="3885"/>
    <tableColumn id="12506" xr3:uid="{7FA77BF8-1B13-4EA7-A6A4-23BAE35D1F50}" name="12726" dataDxfId="3884"/>
    <tableColumn id="12507" xr3:uid="{92B80A7A-BD60-4DAB-8EEF-92421064EF4F}" name="12727" dataDxfId="3883"/>
    <tableColumn id="12508" xr3:uid="{8818D18B-17E7-4080-92FE-F51AFE9B66CE}" name="12728" dataDxfId="3882"/>
    <tableColumn id="12509" xr3:uid="{FE7DCF34-3A59-43B0-8189-C192C1A37D97}" name="12729" dataDxfId="3881"/>
    <tableColumn id="12510" xr3:uid="{F7EC5B33-D7C2-4F38-B9D9-BAAE2A0C96A5}" name="12730" dataDxfId="3880"/>
    <tableColumn id="12511" xr3:uid="{4B63AE6F-511F-40DC-A368-EE0A10E6ED08}" name="12731" dataDxfId="3879"/>
    <tableColumn id="12512" xr3:uid="{DF51D509-14AE-4FBC-B697-3AD6636CC6BE}" name="12732" dataDxfId="3878"/>
    <tableColumn id="12513" xr3:uid="{A163224F-83ED-4F2B-A9B6-AC2640FE04F9}" name="12733" dataDxfId="3877"/>
    <tableColumn id="12514" xr3:uid="{3B185573-F0FA-4BA8-B8C7-D2C2EF6A50F7}" name="12734" dataDxfId="3876"/>
    <tableColumn id="12515" xr3:uid="{6FE5632F-AB48-467D-A51C-922529D9B825}" name="12735" dataDxfId="3875"/>
    <tableColumn id="12516" xr3:uid="{0C68B505-F8E3-4360-B2FA-2D5A7345AEE3}" name="12736" dataDxfId="3874"/>
    <tableColumn id="12517" xr3:uid="{C63CF483-17AE-4ECA-B7F3-8BB9042D127E}" name="12737" dataDxfId="3873"/>
    <tableColumn id="12518" xr3:uid="{45009E67-708B-48BC-88E1-696B7211C4F4}" name="12738" dataDxfId="3872"/>
    <tableColumn id="12519" xr3:uid="{9F2548BB-D643-424A-9BB5-80D67D8E1DEC}" name="12739" dataDxfId="3871"/>
    <tableColumn id="12520" xr3:uid="{8A05BEB9-283C-44D6-A509-078CE087FC86}" name="12740" dataDxfId="3870"/>
    <tableColumn id="12521" xr3:uid="{8821B08C-A850-43AF-8B26-4F4233F4115B}" name="12741" dataDxfId="3869"/>
    <tableColumn id="12522" xr3:uid="{B7D3AFDA-95A1-43CE-90C7-FEEE3A5B4063}" name="12742" dataDxfId="3868"/>
    <tableColumn id="12523" xr3:uid="{D3DCDF14-9D66-4EA2-A993-B023DBAA9779}" name="12743" dataDxfId="3867"/>
    <tableColumn id="12524" xr3:uid="{3D346E7F-0A83-46A6-8F37-97F1545CB7EB}" name="12744" dataDxfId="3866"/>
    <tableColumn id="12525" xr3:uid="{33E584BE-E279-48A1-9F5E-FE15BB8CCC12}" name="12745" dataDxfId="3865"/>
    <tableColumn id="12526" xr3:uid="{873A784A-8B04-49E4-89D0-5995DD9E3031}" name="12746" dataDxfId="3864"/>
    <tableColumn id="12527" xr3:uid="{4DB5441F-490A-4DDA-A509-70B87947DF70}" name="12747" dataDxfId="3863"/>
    <tableColumn id="12528" xr3:uid="{42C0ABBD-A6BD-47DD-AD5D-6F0C602F1BC3}" name="12748" dataDxfId="3862"/>
    <tableColumn id="12529" xr3:uid="{3E330810-E344-4280-81DF-5789021FEE4E}" name="12749" dataDxfId="3861"/>
    <tableColumn id="12530" xr3:uid="{4FADACB2-7C5E-4DCD-B55F-96764BCFE621}" name="12750" dataDxfId="3860"/>
    <tableColumn id="12531" xr3:uid="{0ED60B31-C4AC-4DEC-AC9F-BEA2AA04100A}" name="12751" dataDxfId="3859"/>
    <tableColumn id="12532" xr3:uid="{C4C9CE5B-7D99-44E3-8AEB-AC6B2A275219}" name="12752" dataDxfId="3858"/>
    <tableColumn id="12533" xr3:uid="{C4DC5966-BB16-4625-B7BA-C2F4735C032A}" name="12753" dataDxfId="3857"/>
    <tableColumn id="12534" xr3:uid="{5CAF6164-3762-4CE7-B889-0C6BF7817436}" name="12754" dataDxfId="3856"/>
    <tableColumn id="12535" xr3:uid="{FD266EB0-00F1-47C7-9E3C-6DE754240C66}" name="12755" dataDxfId="3855"/>
    <tableColumn id="12536" xr3:uid="{D5B09924-1462-435D-ACED-D83846B803F7}" name="12756" dataDxfId="3854"/>
    <tableColumn id="12537" xr3:uid="{06C8E46C-4A75-473F-B482-AAF6258C2BD6}" name="12757" dataDxfId="3853"/>
    <tableColumn id="12538" xr3:uid="{F61C5B6B-905E-4454-BD33-D81D3E5976F3}" name="12758" dataDxfId="3852"/>
    <tableColumn id="12539" xr3:uid="{048CBC3D-8AE5-454F-9F5F-980BECBC07DD}" name="12759" dataDxfId="3851"/>
    <tableColumn id="12540" xr3:uid="{18CB0ABC-F097-4EC2-8761-062704912C2C}" name="12760" dataDxfId="3850"/>
    <tableColumn id="12541" xr3:uid="{733544C7-5755-42B6-9A22-6D17FF8C934B}" name="12761" dataDxfId="3849"/>
    <tableColumn id="12542" xr3:uid="{6A88E4A2-2CB6-4141-A575-3A6A40E960AC}" name="12762" dataDxfId="3848"/>
    <tableColumn id="12543" xr3:uid="{7188DC10-3A3A-4F05-ADE4-4BB6530E72E2}" name="12763" dataDxfId="3847"/>
    <tableColumn id="12544" xr3:uid="{35BCD406-8F15-4F7F-B13A-DB8C889432A8}" name="12764" dataDxfId="3846"/>
    <tableColumn id="12545" xr3:uid="{94EDA13E-82BE-48D4-9506-BD0160E361C4}" name="12765" dataDxfId="3845"/>
    <tableColumn id="12546" xr3:uid="{3A4F4263-77D8-431C-8F6E-825D58B5D734}" name="12766" dataDxfId="3844"/>
    <tableColumn id="12547" xr3:uid="{3A7D6CA8-8A27-4E7D-9D8A-6CEEA24F69D1}" name="12767" dataDxfId="3843"/>
    <tableColumn id="12548" xr3:uid="{158638B3-3B7B-4E39-9BCD-44FC4940994F}" name="12768" dataDxfId="3842"/>
    <tableColumn id="12549" xr3:uid="{B8B27625-6676-4805-9222-B93A3B337133}" name="12769" dataDxfId="3841"/>
    <tableColumn id="12550" xr3:uid="{1E3BA541-3A19-47F5-A599-A8A0EEA23558}" name="12770" dataDxfId="3840"/>
    <tableColumn id="12551" xr3:uid="{2292D392-4742-4696-A343-D6F23ADF9B47}" name="12771" dataDxfId="3839"/>
    <tableColumn id="12552" xr3:uid="{61CF464F-6251-44DF-B353-CEA4A0F4799C}" name="12772" dataDxfId="3838"/>
    <tableColumn id="12553" xr3:uid="{9B7D1EA5-EEFC-4F44-8A91-EB899477BDAF}" name="12773" dataDxfId="3837"/>
    <tableColumn id="12554" xr3:uid="{FDC68027-A2C1-4BDD-92CD-9A6B437DF750}" name="12774" dataDxfId="3836"/>
    <tableColumn id="12555" xr3:uid="{6E8B1248-92A0-46AB-B389-4F4452898A04}" name="12775" dataDxfId="3835"/>
    <tableColumn id="12556" xr3:uid="{2B401129-79FB-4F4F-8F21-1029F30DF9F4}" name="12776" dataDxfId="3834"/>
    <tableColumn id="12557" xr3:uid="{4A74EFF3-EDC0-4651-8BAD-EEA5115A3FE2}" name="12777" dataDxfId="3833"/>
    <tableColumn id="12558" xr3:uid="{EFAD15C3-3E73-488C-9744-4F7B8A8A9BA5}" name="12778" dataDxfId="3832"/>
    <tableColumn id="12559" xr3:uid="{AFB787EA-1C2A-427E-9530-228F6CC9FEC3}" name="12779" dataDxfId="3831"/>
    <tableColumn id="12560" xr3:uid="{801E9367-A6BA-4C29-B79B-E113527186BC}" name="12780" dataDxfId="3830"/>
    <tableColumn id="12561" xr3:uid="{18BF520D-B3D2-4BC9-8A9F-20C64271004C}" name="12781" dataDxfId="3829"/>
    <tableColumn id="12562" xr3:uid="{71F14918-D452-42F3-91B6-2EF5AE607FDF}" name="12782" dataDxfId="3828"/>
    <tableColumn id="12563" xr3:uid="{59AFBD05-6998-4F5A-B0B1-9EDD29FE5797}" name="12783" dataDxfId="3827"/>
    <tableColumn id="12564" xr3:uid="{891F7175-4D57-4E9E-B8EB-747F5A6FF2AF}" name="12784" dataDxfId="3826"/>
    <tableColumn id="12565" xr3:uid="{DE0029F5-43D0-4DBB-976F-5655B0558883}" name="12785" dataDxfId="3825"/>
    <tableColumn id="12566" xr3:uid="{7648A131-4A4A-4154-B330-8AB0583A107A}" name="12786" dataDxfId="3824"/>
    <tableColumn id="12567" xr3:uid="{95BC1E33-A07B-4286-B089-DDD40DE2DF02}" name="12787" dataDxfId="3823"/>
    <tableColumn id="12568" xr3:uid="{9F1FBCE7-0DD2-452C-B1D8-136F0F104DBD}" name="12788" dataDxfId="3822"/>
    <tableColumn id="12569" xr3:uid="{39D8693E-F10A-4638-B13B-7C7DC30C15A0}" name="12789" dataDxfId="3821"/>
    <tableColumn id="12570" xr3:uid="{AA116A43-7EBF-43C5-AD03-B4AFF8DF5F84}" name="12790" dataDxfId="3820"/>
    <tableColumn id="12571" xr3:uid="{23F024A0-910C-4851-8EC4-06BE4E7C8401}" name="12791" dataDxfId="3819"/>
    <tableColumn id="12572" xr3:uid="{983B2AD9-6E1B-48AF-8374-E6038BA1A154}" name="12792" dataDxfId="3818"/>
    <tableColumn id="12573" xr3:uid="{B1A2072F-EAAA-43DD-9509-5C0787DAFB3C}" name="12793" dataDxfId="3817"/>
    <tableColumn id="12574" xr3:uid="{60391836-21E8-4617-B8A2-B41B508AE7B6}" name="12794" dataDxfId="3816"/>
    <tableColumn id="12575" xr3:uid="{14015CB5-CE15-4681-88CA-A77985BF8715}" name="12795" dataDxfId="3815"/>
    <tableColumn id="12576" xr3:uid="{1D109335-0E5E-437C-B3F3-8CEDB514A750}" name="12796" dataDxfId="3814"/>
    <tableColumn id="12577" xr3:uid="{1158BD41-66DD-43E4-B064-3E9D09F3CF05}" name="12797" dataDxfId="3813"/>
    <tableColumn id="12578" xr3:uid="{2B623428-C76E-4DC9-9896-1BF071F4C6F7}" name="12798" dataDxfId="3812"/>
    <tableColumn id="12579" xr3:uid="{60B196EA-3E8C-4272-98DB-7B5C7278E2FB}" name="12799" dataDxfId="3811"/>
    <tableColumn id="12580" xr3:uid="{A60D0BD4-2ED2-4232-92B9-22392E5EE66E}" name="12800" dataDxfId="3810"/>
    <tableColumn id="12581" xr3:uid="{04E4581A-FB6A-4B88-8313-CF5F9C8B930F}" name="12801" dataDxfId="3809"/>
    <tableColumn id="12582" xr3:uid="{05839423-832C-4E47-8519-1E89A4943569}" name="12802" dataDxfId="3808"/>
    <tableColumn id="12583" xr3:uid="{FEC8CF93-BFD9-4BC6-B8DB-28E68AF42C05}" name="12803" dataDxfId="3807"/>
    <tableColumn id="12584" xr3:uid="{CE025887-C4BA-4936-B7FA-732B4D456B0C}" name="12804" dataDxfId="3806"/>
    <tableColumn id="12585" xr3:uid="{4232E172-69FC-4454-B832-A4B8F3FCA6C8}" name="12805" dataDxfId="3805"/>
    <tableColumn id="12586" xr3:uid="{63B03473-1462-45E0-85AD-3E53EED68353}" name="12806" dataDxfId="3804"/>
    <tableColumn id="12587" xr3:uid="{70167850-4592-4E84-85CA-C858C970B36C}" name="12807" dataDxfId="3803"/>
    <tableColumn id="12588" xr3:uid="{CABFF0B6-1BBE-40A4-9E19-6621156BDC0E}" name="12808" dataDxfId="3802"/>
    <tableColumn id="12589" xr3:uid="{3CD244A9-DF4E-44A7-9E34-4BC197A21F2E}" name="12809" dataDxfId="3801"/>
    <tableColumn id="12590" xr3:uid="{1BAF4508-D107-4DC2-B8E4-9A60BBAC133B}" name="12810" dataDxfId="3800"/>
    <tableColumn id="12591" xr3:uid="{A96D1042-CDFD-466D-8E23-5A39567FD5EA}" name="12811" dataDxfId="3799"/>
    <tableColumn id="12592" xr3:uid="{F01D897D-BC8F-403A-9166-9CCD8AC275E2}" name="12812" dataDxfId="3798"/>
    <tableColumn id="12593" xr3:uid="{AE0F0906-792D-4678-A899-27D238BA9815}" name="12813" dataDxfId="3797"/>
    <tableColumn id="12594" xr3:uid="{25F708DE-4DBC-49FF-B933-3757C65453ED}" name="12814" dataDxfId="3796"/>
    <tableColumn id="12595" xr3:uid="{9A224615-0F03-4853-87ED-4EFDB66880C8}" name="12815" dataDxfId="3795"/>
    <tableColumn id="12596" xr3:uid="{BECB1295-2136-420E-AFA7-E9161E3CF1F8}" name="12816" dataDxfId="3794"/>
    <tableColumn id="12597" xr3:uid="{6540C95A-1424-4EDF-9380-F7D52C5697EF}" name="12817" dataDxfId="3793"/>
    <tableColumn id="12598" xr3:uid="{FD6C6ADC-5FCA-43AC-BE8C-BDC006214084}" name="12818" dataDxfId="3792"/>
    <tableColumn id="12599" xr3:uid="{73ECA592-A359-43C4-8462-2C19472CDA03}" name="12819" dataDxfId="3791"/>
    <tableColumn id="12600" xr3:uid="{526761D7-4A32-48D3-B3EE-9A675C6ED86C}" name="12820" dataDxfId="3790"/>
    <tableColumn id="12601" xr3:uid="{CF438A90-8E10-485D-9450-80776C0758E2}" name="12821" dataDxfId="3789"/>
    <tableColumn id="12602" xr3:uid="{95DAC1CB-5E0B-47DC-B60C-AA561BA83AA7}" name="12822" dataDxfId="3788"/>
    <tableColumn id="12603" xr3:uid="{B63D3053-8F52-47FC-8FAA-97A38A58190F}" name="12823" dataDxfId="3787"/>
    <tableColumn id="12604" xr3:uid="{71C99458-0836-4E55-8958-0285B3403E71}" name="12824" dataDxfId="3786"/>
    <tableColumn id="12605" xr3:uid="{7229D6E8-C3E7-4B98-95C0-AFBE5415D99E}" name="12825" dataDxfId="3785"/>
    <tableColumn id="12606" xr3:uid="{4F92499F-F4C7-446A-8FBF-1A2F766AEA94}" name="12826" dataDxfId="3784"/>
    <tableColumn id="12607" xr3:uid="{6BCD2CA8-F006-41A2-9F28-0A7458D2ED14}" name="12827" dataDxfId="3783"/>
    <tableColumn id="12608" xr3:uid="{27A8FCF2-B5A1-4985-BF29-7685C6753B00}" name="12828" dataDxfId="3782"/>
    <tableColumn id="12609" xr3:uid="{657E4AC9-88C8-4955-A617-C37A9F824EE1}" name="12829" dataDxfId="3781"/>
    <tableColumn id="12610" xr3:uid="{88381313-3BC3-4B01-8F87-91F2FE73E2AC}" name="12830" dataDxfId="3780"/>
    <tableColumn id="12611" xr3:uid="{C6DCC447-5342-4203-A30D-96F90228D007}" name="12831" dataDxfId="3779"/>
    <tableColumn id="12612" xr3:uid="{DE12AE62-032C-4090-9940-D219D1BB6347}" name="12832" dataDxfId="3778"/>
    <tableColumn id="12613" xr3:uid="{B39217BA-A2DF-44E0-8DC7-E4F475399CAE}" name="12833" dataDxfId="3777"/>
    <tableColumn id="12614" xr3:uid="{8DA3C49B-39FD-42F3-A89F-163AAEE8460A}" name="12834" dataDxfId="3776"/>
    <tableColumn id="12615" xr3:uid="{A3849F6E-07F7-492D-8515-EF1423E55C60}" name="12835" dataDxfId="3775"/>
    <tableColumn id="12616" xr3:uid="{40555E48-3450-4913-AC86-C3A3D9684689}" name="12836" dataDxfId="3774"/>
    <tableColumn id="12617" xr3:uid="{8E340560-B261-4DE7-832D-22303DAAAA48}" name="12837" dataDxfId="3773"/>
    <tableColumn id="12618" xr3:uid="{6BB429C7-7CDE-4489-8FA1-1C3E6FF8355C}" name="12838" dataDxfId="3772"/>
    <tableColumn id="12619" xr3:uid="{1032DE5E-D5F7-417C-AD89-E52BE6A9AE6A}" name="12839" dataDxfId="3771"/>
    <tableColumn id="12620" xr3:uid="{ABC72BF1-D68D-4CC5-8B83-37168718370F}" name="12840" dataDxfId="3770"/>
    <tableColumn id="12621" xr3:uid="{F0BDD429-8A2A-403B-BD9F-457DE17AC040}" name="12841" dataDxfId="3769"/>
    <tableColumn id="12622" xr3:uid="{272A151E-7D50-4D19-BCA3-8CA9F764DA0A}" name="12842" dataDxfId="3768"/>
    <tableColumn id="12623" xr3:uid="{BC85AABE-32D2-4436-9B2C-2D33E9233261}" name="12843" dataDxfId="3767"/>
    <tableColumn id="12624" xr3:uid="{98EBC0EE-04A4-47F5-A151-9C34A2F57AE2}" name="12844" dataDxfId="3766"/>
    <tableColumn id="12625" xr3:uid="{24650517-10CF-4063-9627-CEDDD35C0B14}" name="12845" dataDxfId="3765"/>
    <tableColumn id="12626" xr3:uid="{F7F28B17-214D-4875-A29A-EF40DDA1393A}" name="12846" dataDxfId="3764"/>
    <tableColumn id="12627" xr3:uid="{73A91A26-74D9-47B3-B4BA-5AC4D3477F9F}" name="12847" dataDxfId="3763"/>
    <tableColumn id="12628" xr3:uid="{4A2A2236-FA6A-4AFC-947F-D7DD3380EF03}" name="12848" dataDxfId="3762"/>
    <tableColumn id="12629" xr3:uid="{9C5C2605-0C2E-4057-AFCE-78E80006964C}" name="12849" dataDxfId="3761"/>
    <tableColumn id="12630" xr3:uid="{6F36F0DC-3FFF-489B-9946-6329FCFBD262}" name="12850" dataDxfId="3760"/>
    <tableColumn id="12631" xr3:uid="{7B0E58F5-5018-4522-A88B-977B3D19ECD3}" name="12851" dataDxfId="3759"/>
    <tableColumn id="12632" xr3:uid="{07541D01-FBE0-4B5D-BFD7-8CD088AFBE39}" name="12852" dataDxfId="3758"/>
    <tableColumn id="12633" xr3:uid="{DDD03E37-770D-4AE7-BC63-1E36608A8BC3}" name="12853" dataDxfId="3757"/>
    <tableColumn id="12634" xr3:uid="{72943E39-73CA-476C-AAD1-E4FFD3F14AAA}" name="12854" dataDxfId="3756"/>
    <tableColumn id="12635" xr3:uid="{7D7421C9-2842-4554-8D42-35DAECD85924}" name="12855" dataDxfId="3755"/>
    <tableColumn id="12636" xr3:uid="{54FEAD0C-D2B4-44F1-9D18-682884D9A9B6}" name="12856" dataDxfId="3754"/>
    <tableColumn id="12637" xr3:uid="{EE1F5EA8-D7C2-4E4D-9059-8AEA28951DF3}" name="12857" dataDxfId="3753"/>
    <tableColumn id="12638" xr3:uid="{4BA91F6A-C73C-4DCC-B184-112CD8CA0242}" name="12858" dataDxfId="3752"/>
    <tableColumn id="12639" xr3:uid="{B0485103-DB09-410C-A1AC-0C7944ABCC8C}" name="12859" dataDxfId="3751"/>
    <tableColumn id="12640" xr3:uid="{E14E3B16-D499-45C9-9F16-6A08C3B361EB}" name="12860" dataDxfId="3750"/>
    <tableColumn id="12641" xr3:uid="{292719F2-5643-4E84-B754-5CE2D04441EA}" name="12861" dataDxfId="3749"/>
    <tableColumn id="12642" xr3:uid="{CC42B445-FB09-4145-9E71-8D2E5E0D7F44}" name="12862" dataDxfId="3748"/>
    <tableColumn id="12643" xr3:uid="{376A2889-F80B-4E52-A1EA-D4985B0C30BE}" name="12863" dataDxfId="3747"/>
    <tableColumn id="12644" xr3:uid="{57AE2D64-ED2C-4FA7-BD39-1FBCA433F845}" name="12864" dataDxfId="3746"/>
    <tableColumn id="12645" xr3:uid="{4D451030-0587-4D35-96E7-8646D47148A3}" name="12865" dataDxfId="3745"/>
    <tableColumn id="12646" xr3:uid="{50F8AFA6-1449-492F-BEDB-D8BF412290BE}" name="12866" dataDxfId="3744"/>
    <tableColumn id="12647" xr3:uid="{9BF554EB-137B-4496-B42B-C3C6E8026C01}" name="12867" dataDxfId="3743"/>
    <tableColumn id="12648" xr3:uid="{C8C3C784-35B6-440D-8D08-C1A57917F7C1}" name="12868" dataDxfId="3742"/>
    <tableColumn id="12649" xr3:uid="{F411EEF5-1A81-401B-BBE5-35E5911DAA2A}" name="12869" dataDxfId="3741"/>
    <tableColumn id="12650" xr3:uid="{1C3891D8-D88A-4299-AD00-C3A1E1DA94E1}" name="12870" dataDxfId="3740"/>
    <tableColumn id="12651" xr3:uid="{10AF2AF0-6885-485B-BFBA-0604F8EC9E70}" name="12871" dataDxfId="3739"/>
    <tableColumn id="12652" xr3:uid="{83944C59-6020-4D5C-BAB6-F9686842EC00}" name="12872" dataDxfId="3738"/>
    <tableColumn id="12653" xr3:uid="{E5C8701E-E2AB-40F1-8876-BF866B7A3270}" name="12873" dataDxfId="3737"/>
    <tableColumn id="12654" xr3:uid="{298A5E27-08CF-4BCD-A710-0EDCE476AB02}" name="12874" dataDxfId="3736"/>
    <tableColumn id="12655" xr3:uid="{D77D87B8-DCF8-4734-94CD-A2E5E5C15947}" name="12875" dataDxfId="3735"/>
    <tableColumn id="12656" xr3:uid="{79DC1169-6F87-41BF-8506-39EB7A83107C}" name="12876" dataDxfId="3734"/>
    <tableColumn id="12657" xr3:uid="{595209C2-66C2-4F36-BF7D-E613EDFFF14C}" name="12877" dataDxfId="3733"/>
    <tableColumn id="12658" xr3:uid="{275828B3-9DE8-4EE7-8D1B-44A72ADA387D}" name="12878" dataDxfId="3732"/>
    <tableColumn id="12659" xr3:uid="{5FC12FE4-DDE7-405E-84E0-90FD108AAC0F}" name="12879" dataDxfId="3731"/>
    <tableColumn id="12660" xr3:uid="{3FD9C9C0-C63F-4179-B3BB-5990A9FD075B}" name="12880" dataDxfId="3730"/>
    <tableColumn id="12661" xr3:uid="{8D02A553-0F84-458D-AC60-45600B6337DD}" name="12881" dataDxfId="3729"/>
    <tableColumn id="12662" xr3:uid="{52143E04-BE01-4A1E-B34B-E501FCF81F7A}" name="12882" dataDxfId="3728"/>
    <tableColumn id="12663" xr3:uid="{13FD6795-F0AF-4F8B-97CE-C518B0B84C81}" name="12883" dataDxfId="3727"/>
    <tableColumn id="12664" xr3:uid="{E77C08A2-742A-46A7-927D-B1B6672B90EC}" name="12884" dataDxfId="3726"/>
    <tableColumn id="12665" xr3:uid="{1B1F600F-A270-42D4-A81B-8BE94CB8FA97}" name="12885" dataDxfId="3725"/>
    <tableColumn id="12666" xr3:uid="{B84E201F-DC5A-4084-8958-D99C06CFBC05}" name="12886" dataDxfId="3724"/>
    <tableColumn id="12667" xr3:uid="{9B9F7EE2-B892-4A30-93FF-07791D67A5D8}" name="12887" dataDxfId="3723"/>
    <tableColumn id="12668" xr3:uid="{A6F9D747-8ACF-4494-A2DA-1AB45E225E21}" name="12888" dataDxfId="3722"/>
    <tableColumn id="12669" xr3:uid="{D9ED9045-DA22-4C3E-9E38-3137984C92D0}" name="12889" dataDxfId="3721"/>
    <tableColumn id="12670" xr3:uid="{063C1044-158A-4D97-B480-AAA5C5D7E868}" name="12890" dataDxfId="3720"/>
    <tableColumn id="12671" xr3:uid="{366BDB3E-D346-4963-82B5-18910BF7C047}" name="12891" dataDxfId="3719"/>
    <tableColumn id="12672" xr3:uid="{9A9FF05A-5087-4506-A11F-EA17AC197AA8}" name="12892" dataDxfId="3718"/>
    <tableColumn id="12673" xr3:uid="{BD1E6DB0-CCC4-4653-B446-006A423B8856}" name="12893" dataDxfId="3717"/>
    <tableColumn id="12674" xr3:uid="{BE6C60AC-DEF3-4525-9C72-8A6DF098FFE7}" name="12894" dataDxfId="3716"/>
    <tableColumn id="12675" xr3:uid="{97F53F1B-C5BF-4312-9478-6310A8BC0293}" name="12895" dataDxfId="3715"/>
    <tableColumn id="12676" xr3:uid="{31B17EFA-B7F5-40DD-B157-85126E1DDE07}" name="12896" dataDxfId="3714"/>
    <tableColumn id="12677" xr3:uid="{AE18C8C6-0A06-4945-A067-5D91ACCA4757}" name="12897" dataDxfId="3713"/>
    <tableColumn id="12678" xr3:uid="{1F3ABF2A-7804-4027-90E5-05C27ADF6EDF}" name="12898" dataDxfId="3712"/>
    <tableColumn id="12679" xr3:uid="{23B23BF3-87D3-47AA-B028-7CBCEE2CC35C}" name="12899" dataDxfId="3711"/>
    <tableColumn id="12680" xr3:uid="{8CC918A1-F459-44DD-94C3-D452863AB884}" name="12900" dataDxfId="3710"/>
    <tableColumn id="12681" xr3:uid="{0E2B7369-50FE-42DC-BF3B-7DB1D3848420}" name="12901" dataDxfId="3709"/>
    <tableColumn id="12682" xr3:uid="{94B7BA08-AE96-4616-AC6B-685402B2C368}" name="12902" dataDxfId="3708"/>
    <tableColumn id="12683" xr3:uid="{6ED0125D-90A0-4E76-A719-8DCC45B7A50F}" name="12903" dataDxfId="3707"/>
    <tableColumn id="12684" xr3:uid="{780D56B5-0D42-42D5-A1C4-B8007B3DDD4F}" name="12904" dataDxfId="3706"/>
    <tableColumn id="12685" xr3:uid="{D9B8670D-CF99-41FF-9FBE-1CFBF5C36987}" name="12905" dataDxfId="3705"/>
    <tableColumn id="12686" xr3:uid="{E7C1F1FC-36C7-42B0-9121-630CFB5AF26A}" name="12906" dataDxfId="3704"/>
    <tableColumn id="12687" xr3:uid="{4C6A068E-5B45-404B-BCA7-561CB6F0A01D}" name="12907" dataDxfId="3703"/>
    <tableColumn id="12688" xr3:uid="{7CAC21B1-5807-4F3C-A0B9-3A472F1FBF32}" name="12908" dataDxfId="3702"/>
    <tableColumn id="12689" xr3:uid="{B2DD9D7A-53ED-48B4-86A9-5BC37866FF95}" name="12909" dataDxfId="3701"/>
    <tableColumn id="12690" xr3:uid="{BCE60B88-0ADD-4738-9CBC-5CC9C59DB61B}" name="12910" dataDxfId="3700"/>
    <tableColumn id="12691" xr3:uid="{1435D785-F592-4876-B50B-594F35AC2D90}" name="12911" dataDxfId="3699"/>
    <tableColumn id="12692" xr3:uid="{79642B44-04D5-4715-B1DB-A721830790CB}" name="12912" dataDxfId="3698"/>
    <tableColumn id="12693" xr3:uid="{6C90BBC7-E83A-4019-AD0A-280E693624AD}" name="12913" dataDxfId="3697"/>
    <tableColumn id="12694" xr3:uid="{56E54292-E61F-4CC3-AB34-8DD1F1D1C114}" name="12914" dataDxfId="3696"/>
    <tableColumn id="12695" xr3:uid="{B064BB15-868A-4DB6-990D-6573CB4A085C}" name="12915" dataDxfId="3695"/>
    <tableColumn id="12696" xr3:uid="{F78BEFD8-E7B6-4D5E-94D5-F781C2C12286}" name="12916" dataDxfId="3694"/>
    <tableColumn id="12697" xr3:uid="{511DE555-88EE-49BF-8C40-521169F1D79B}" name="12917" dataDxfId="3693"/>
    <tableColumn id="12698" xr3:uid="{FA5C3A88-3FEB-4804-881F-4AEE947D70D1}" name="12918" dataDxfId="3692"/>
    <tableColumn id="12699" xr3:uid="{364B09B6-1F39-48B0-95B0-AC843A6A0D21}" name="12919" dataDxfId="3691"/>
    <tableColumn id="12700" xr3:uid="{1C89E176-6901-45E7-9F0D-FF8FA3AF0191}" name="12920" dataDxfId="3690"/>
    <tableColumn id="12701" xr3:uid="{458D2637-5512-45DA-88A8-A98582FBA3DC}" name="12921" dataDxfId="3689"/>
    <tableColumn id="12702" xr3:uid="{590A18EA-C6EE-4D8D-B744-F6A732BB74D6}" name="12922" dataDxfId="3688"/>
    <tableColumn id="12703" xr3:uid="{98322DA7-BA85-49D4-8768-C5D5579C8DD0}" name="12923" dataDxfId="3687"/>
    <tableColumn id="12704" xr3:uid="{3280709F-C131-4415-84EC-F4E9B286C243}" name="12924" dataDxfId="3686"/>
    <tableColumn id="12705" xr3:uid="{99206F62-CF8E-416A-9E69-2BCCCC0EDDBF}" name="12925" dataDxfId="3685"/>
    <tableColumn id="12706" xr3:uid="{49279A95-FA3C-446F-8C54-16D6637A4016}" name="12926" dataDxfId="3684"/>
    <tableColumn id="12707" xr3:uid="{5C37D812-6136-4286-A7D6-43680B8CA1A1}" name="12927" dataDxfId="3683"/>
    <tableColumn id="12708" xr3:uid="{CF3F3418-69C2-410E-A8E6-6A024EA5F966}" name="12928" dataDxfId="3682"/>
    <tableColumn id="12709" xr3:uid="{D3E21E91-E0D4-4974-BA56-4477631F9347}" name="12929" dataDxfId="3681"/>
    <tableColumn id="12710" xr3:uid="{00A693E9-1C69-4C3B-BB7E-118814B4BDD8}" name="12930" dataDxfId="3680"/>
    <tableColumn id="12711" xr3:uid="{B92AC906-3FCA-436D-871B-C733AD6A7A14}" name="12931" dataDxfId="3679"/>
    <tableColumn id="12712" xr3:uid="{EEC15411-343A-4E5D-9CDB-49F0071B1E72}" name="12932" dataDxfId="3678"/>
    <tableColumn id="12713" xr3:uid="{4692749D-B537-4D3A-8234-6692D6C14E15}" name="12933" dataDxfId="3677"/>
    <tableColumn id="12714" xr3:uid="{A800B01A-4E6E-48F3-89DB-5E9C1DCEDB1C}" name="12934" dataDxfId="3676"/>
    <tableColumn id="12715" xr3:uid="{DC5E4B4B-1B8F-409E-A75B-3E28B2B831D9}" name="12935" dataDxfId="3675"/>
    <tableColumn id="12716" xr3:uid="{2BF45B3C-BFF3-4866-9E3C-788D0391AB9C}" name="12936" dataDxfId="3674"/>
    <tableColumn id="12717" xr3:uid="{36FCAE90-98F6-41A0-8C41-F02B81B31257}" name="12937" dataDxfId="3673"/>
    <tableColumn id="12718" xr3:uid="{E61C64D7-BD27-40D6-90BF-68B1394964D8}" name="12938" dataDxfId="3672"/>
    <tableColumn id="12719" xr3:uid="{7BEBAF1E-E1AA-45E2-82C7-8A8941B96804}" name="12939" dataDxfId="3671"/>
    <tableColumn id="12720" xr3:uid="{7D00BCBD-29F2-4736-96B5-F37313D0ADCA}" name="12940" dataDxfId="3670"/>
    <tableColumn id="12721" xr3:uid="{145A0FBF-88E8-43FF-BDB8-E152184AD869}" name="12941" dataDxfId="3669"/>
    <tableColumn id="12722" xr3:uid="{3F48201F-780B-428E-B0C3-153D2A9FB843}" name="12942" dataDxfId="3668"/>
    <tableColumn id="12723" xr3:uid="{9034CDD7-9486-4674-A88C-A4F728B434C5}" name="12943" dataDxfId="3667"/>
    <tableColumn id="12724" xr3:uid="{40D72DB7-6D18-41E6-9F3A-4073F918AC5A}" name="12944" dataDxfId="3666"/>
    <tableColumn id="12725" xr3:uid="{B3B352E1-DB98-4F66-A2CF-6CE4663B831F}" name="12945" dataDxfId="3665"/>
    <tableColumn id="12726" xr3:uid="{03332583-5551-42F2-9D34-61DE41073A12}" name="12946" dataDxfId="3664"/>
    <tableColumn id="12727" xr3:uid="{8684594F-888D-44E7-9AFB-8D55C97D727D}" name="12947" dataDxfId="3663"/>
    <tableColumn id="12728" xr3:uid="{FF294945-29E4-4D2F-8FED-CF1C93EC6A78}" name="12948" dataDxfId="3662"/>
    <tableColumn id="12729" xr3:uid="{D0591F19-4ACD-4A30-863D-F8EC634208F7}" name="12949" dataDxfId="3661"/>
    <tableColumn id="12730" xr3:uid="{41D89B64-82A2-4BF2-908D-AE154822740B}" name="12950" dataDxfId="3660"/>
    <tableColumn id="12731" xr3:uid="{3F4AB823-057E-4073-9FCB-5ADCCD2647BD}" name="12951" dataDxfId="3659"/>
    <tableColumn id="12732" xr3:uid="{AF9BD47C-ED3F-4126-9F19-89887254BB8D}" name="12952" dataDxfId="3658"/>
    <tableColumn id="12733" xr3:uid="{83D2E91C-A181-4885-88AA-FA6A442F9F93}" name="12953" dataDxfId="3657"/>
    <tableColumn id="12734" xr3:uid="{1AAF76BD-8A5C-401D-A7B6-63E34EBE35A0}" name="12954" dataDxfId="3656"/>
    <tableColumn id="12735" xr3:uid="{51C491D9-501F-4751-9EBF-ADDB8A5DCA4D}" name="12955" dataDxfId="3655"/>
    <tableColumn id="12736" xr3:uid="{450582E7-8799-4D55-8E0D-8CDEE249D77D}" name="12956" dataDxfId="3654"/>
    <tableColumn id="12737" xr3:uid="{7273239C-E0B1-4346-A8F9-7B28A8E3FF24}" name="12957" dataDxfId="3653"/>
    <tableColumn id="12738" xr3:uid="{95DF6B06-5408-48BC-8C1E-E0A0D1506D59}" name="12958" dataDxfId="3652"/>
    <tableColumn id="12739" xr3:uid="{EEA245DE-8CB4-4E00-8266-128FCCED0398}" name="12959" dataDxfId="3651"/>
    <tableColumn id="12740" xr3:uid="{A2261666-7EB5-4250-8733-8B6182638906}" name="12960" dataDxfId="3650"/>
    <tableColumn id="12741" xr3:uid="{2D4FB3C8-C00D-4433-B575-AC2ED6603860}" name="12961" dataDxfId="3649"/>
    <tableColumn id="12742" xr3:uid="{B27E2834-686A-4DF8-BA63-E596C74226C8}" name="12962" dataDxfId="3648"/>
    <tableColumn id="12743" xr3:uid="{FD9B6125-186B-4E50-833A-0B1DA7A8AB22}" name="12963" dataDxfId="3647"/>
    <tableColumn id="12744" xr3:uid="{59F6CD06-5D31-4BFF-BC26-7D087451C72C}" name="12964" dataDxfId="3646"/>
    <tableColumn id="12745" xr3:uid="{A1D271C5-8DE7-41ED-8364-37150449A6F9}" name="12965" dataDxfId="3645"/>
    <tableColumn id="12746" xr3:uid="{486EC0B4-E67B-4F9D-BE35-26E57945A29D}" name="12966" dataDxfId="3644"/>
    <tableColumn id="12747" xr3:uid="{DE1921FA-90CD-4428-B157-F2D4045A41B5}" name="12967" dataDxfId="3643"/>
    <tableColumn id="12748" xr3:uid="{3AF599AB-F5FA-4779-910E-31ED3331FC24}" name="12968" dataDxfId="3642"/>
    <tableColumn id="12749" xr3:uid="{20CFAD43-5A7F-4954-898D-1154C78222F3}" name="12969" dataDxfId="3641"/>
    <tableColumn id="12750" xr3:uid="{CDEF0A58-758D-44F1-AD1B-47F0BF969200}" name="12970" dataDxfId="3640"/>
    <tableColumn id="12751" xr3:uid="{228FA29D-1AD9-485E-AF2A-573501A7D6D4}" name="12971" dataDxfId="3639"/>
    <tableColumn id="12752" xr3:uid="{EACECC5A-A809-400F-8D77-2A56B8A41645}" name="12972" dataDxfId="3638"/>
    <tableColumn id="12753" xr3:uid="{356CF966-7A5C-46D2-8DDA-792BBE834A9E}" name="12973" dataDxfId="3637"/>
    <tableColumn id="12754" xr3:uid="{F1190659-79D3-4C59-B9C1-850452874CB6}" name="12974" dataDxfId="3636"/>
    <tableColumn id="12755" xr3:uid="{4E13AF06-AFF9-4925-988E-0EC5126F8269}" name="12975" dataDxfId="3635"/>
    <tableColumn id="12756" xr3:uid="{2380C174-5DB6-4D94-81FC-7DD8F40B4D26}" name="12976" dataDxfId="3634"/>
    <tableColumn id="12757" xr3:uid="{45141507-E4E4-4E9C-ADCB-93487126131A}" name="12977" dataDxfId="3633"/>
    <tableColumn id="12758" xr3:uid="{9E774EFF-2D72-469C-BFEE-BAB57E0866EA}" name="12978" dataDxfId="3632"/>
    <tableColumn id="12759" xr3:uid="{99155A60-3E06-4FB7-BBEB-C37ABF968EF1}" name="12979" dataDxfId="3631"/>
    <tableColumn id="12760" xr3:uid="{A7DCEAC1-85A1-46C2-A613-294A5A933541}" name="12980" dataDxfId="3630"/>
    <tableColumn id="12761" xr3:uid="{DCAA1AD7-3B02-489A-A1DE-B5542B5C4E9C}" name="12981" dataDxfId="3629"/>
    <tableColumn id="12762" xr3:uid="{2B875DEA-3F69-4542-874C-59B2DFECA354}" name="12982" dataDxfId="3628"/>
    <tableColumn id="12763" xr3:uid="{760559C4-0748-472D-B326-96893671A3BE}" name="12983" dataDxfId="3627"/>
    <tableColumn id="12764" xr3:uid="{B3EECBEA-55E7-4417-83E3-E14B7E04EFF4}" name="12984" dataDxfId="3626"/>
    <tableColumn id="12765" xr3:uid="{84E59175-FFC1-4677-B78F-6281F1CD5C96}" name="12985" dataDxfId="3625"/>
    <tableColumn id="12766" xr3:uid="{E4B79F36-F4A5-424D-995F-D41F6B6B831A}" name="12986" dataDxfId="3624"/>
    <tableColumn id="12767" xr3:uid="{08A4AA32-AE58-4DC2-B343-C522339C61F7}" name="12987" dataDxfId="3623"/>
    <tableColumn id="12768" xr3:uid="{AB241711-752B-4BF3-880E-429789674E13}" name="12988" dataDxfId="3622"/>
    <tableColumn id="12769" xr3:uid="{B102310E-63CA-4C41-88E9-9913A0CEB5AE}" name="12989" dataDxfId="3621"/>
    <tableColumn id="12770" xr3:uid="{DC3AABB4-487C-4612-A53A-45D844788929}" name="12990" dataDxfId="3620"/>
    <tableColumn id="12771" xr3:uid="{D0DDB186-E0E7-4616-95FC-A449EA57421E}" name="12991" dataDxfId="3619"/>
    <tableColumn id="12772" xr3:uid="{54BBC764-F8F0-42A1-9C8A-3124F22FDD49}" name="12992" dataDxfId="3618"/>
    <tableColumn id="12773" xr3:uid="{99BA872E-32E6-4F93-9CEA-7F86484F99EF}" name="12993" dataDxfId="3617"/>
    <tableColumn id="12774" xr3:uid="{9E12D8E0-444C-479B-97F9-B49B91111AC9}" name="12994" dataDxfId="3616"/>
    <tableColumn id="12775" xr3:uid="{ED7FC13F-744D-4473-A199-29FB9C9784C8}" name="12995" dataDxfId="3615"/>
    <tableColumn id="12776" xr3:uid="{12FA20EB-B2D2-414B-96DA-2F5054A55270}" name="12996" dataDxfId="3614"/>
    <tableColumn id="12777" xr3:uid="{BD7042DB-9D92-4872-B6A3-CE0949307630}" name="12997" dataDxfId="3613"/>
    <tableColumn id="12778" xr3:uid="{1B48D648-115C-477E-83ED-63CBE663A561}" name="12998" dataDxfId="3612"/>
    <tableColumn id="12779" xr3:uid="{3278E1D3-B8B5-4E39-A56D-36E0785ED7DA}" name="12999" dataDxfId="3611"/>
    <tableColumn id="12780" xr3:uid="{9574581B-16A1-4686-890B-70E3B7323A60}" name="13000" dataDxfId="3610"/>
    <tableColumn id="12781" xr3:uid="{94B37105-8EAD-48DA-B362-0D2A638DE96C}" name="13001" dataDxfId="3609"/>
    <tableColumn id="12782" xr3:uid="{1170B0D7-0C19-495D-95C4-B1C10341D974}" name="13002" dataDxfId="3608"/>
    <tableColumn id="12783" xr3:uid="{6F0BA9F5-272D-4548-90CB-F4627D5D8472}" name="13003" dataDxfId="3607"/>
    <tableColumn id="12784" xr3:uid="{88EDBC79-92A0-4585-8F12-393E4550EE05}" name="13004" dataDxfId="3606"/>
    <tableColumn id="12785" xr3:uid="{C34BE426-24AA-429B-9B99-A9410FCC08CE}" name="13005" dataDxfId="3605"/>
    <tableColumn id="12786" xr3:uid="{DBB7E507-73E1-4365-ADCB-A27C53D5E447}" name="13006" dataDxfId="3604"/>
    <tableColumn id="12787" xr3:uid="{0C9CDDE5-33EB-42A8-9BFA-C207E4FC193C}" name="13007" dataDxfId="3603"/>
    <tableColumn id="12788" xr3:uid="{1D7411DA-1148-4CEF-8EFF-3AA33CADA241}" name="13008" dataDxfId="3602"/>
    <tableColumn id="12789" xr3:uid="{68B13DD4-352F-44A1-918C-9357DB6F075F}" name="13009" dataDxfId="3601"/>
    <tableColumn id="12790" xr3:uid="{CA7DF26A-2EFE-4AEF-BB9D-BAB92BF82114}" name="13010" dataDxfId="3600"/>
    <tableColumn id="12791" xr3:uid="{0BC5B75F-5710-4ACA-A62F-4E2B4631F90E}" name="13011" dataDxfId="3599"/>
    <tableColumn id="12792" xr3:uid="{A229F49D-B6A0-4EF4-91C6-49DBFD0811DD}" name="13012" dataDxfId="3598"/>
    <tableColumn id="12793" xr3:uid="{AD3D03DF-CE63-4A89-AC21-6F51AA89F1B5}" name="13013" dataDxfId="3597"/>
    <tableColumn id="12794" xr3:uid="{7F468F64-7B6C-4C16-8A07-85E87D8026A1}" name="13014" dataDxfId="3596"/>
    <tableColumn id="12795" xr3:uid="{41229AA0-5977-41D9-B194-13381712FC45}" name="13015" dataDxfId="3595"/>
    <tableColumn id="12796" xr3:uid="{69A7E0A5-21F3-4DA7-9DC0-9D22116ED72E}" name="13016" dataDxfId="3594"/>
    <tableColumn id="12797" xr3:uid="{A1ACB6B1-A892-4AD4-9AF2-B11E1C335E42}" name="13017" dataDxfId="3593"/>
    <tableColumn id="12798" xr3:uid="{0F756753-249E-4BEE-886E-39495F41D654}" name="13018" dataDxfId="3592"/>
    <tableColumn id="12799" xr3:uid="{DB6B7366-DB42-4195-BD2F-22DD8CEBE447}" name="13019" dataDxfId="3591"/>
    <tableColumn id="12800" xr3:uid="{A48438D7-E755-4BF7-A469-F3F619417B55}" name="13020" dataDxfId="3590"/>
    <tableColumn id="12801" xr3:uid="{79D9D270-6D93-4D76-9F2A-DAC641CA262D}" name="13021" dataDxfId="3589"/>
    <tableColumn id="12802" xr3:uid="{6885AF3B-711E-443F-928C-CDD89A820EDC}" name="13022" dataDxfId="3588"/>
    <tableColumn id="12803" xr3:uid="{A8624E79-048E-4ED8-BF1D-82612CBF6B16}" name="13023" dataDxfId="3587"/>
    <tableColumn id="12804" xr3:uid="{156EAFAC-3BE7-4E79-833A-64B619E8D6D8}" name="13024" dataDxfId="3586"/>
    <tableColumn id="12805" xr3:uid="{07FEB9B7-05F1-4D8E-9B0A-3AF6F2C7969C}" name="13025" dataDxfId="3585"/>
    <tableColumn id="12806" xr3:uid="{80EA649D-7C39-49F9-ADCB-CBDEAFC72CF5}" name="13026" dataDxfId="3584"/>
    <tableColumn id="12807" xr3:uid="{A471888D-7C64-4289-B4FA-54F96960396D}" name="13027" dataDxfId="3583"/>
    <tableColumn id="12808" xr3:uid="{0882C079-7302-4303-9A14-27B7A4C181D5}" name="13028" dataDxfId="3582"/>
    <tableColumn id="12809" xr3:uid="{21B16E9A-2310-4451-B422-06BAEF25B39F}" name="13029" dataDxfId="3581"/>
    <tableColumn id="12810" xr3:uid="{A111A410-D5E1-49AA-9F82-62C6B87210C9}" name="13030" dataDxfId="3580"/>
    <tableColumn id="12811" xr3:uid="{7F62A59F-5543-4D88-B2F7-758CF83606E5}" name="13031" dataDxfId="3579"/>
    <tableColumn id="12812" xr3:uid="{65D8DD59-5D1D-4A25-98F9-473A33EFC25A}" name="13032" dataDxfId="3578"/>
    <tableColumn id="12813" xr3:uid="{299034DF-4E83-4C40-ACE5-56FAF9E2D2D1}" name="13033" dataDxfId="3577"/>
    <tableColumn id="12814" xr3:uid="{3EAA8288-7683-4470-A080-F391F772D5FD}" name="13034" dataDxfId="3576"/>
    <tableColumn id="12815" xr3:uid="{3579B920-B565-4E20-BF55-30750219C3FF}" name="13035" dataDxfId="3575"/>
    <tableColumn id="12816" xr3:uid="{997439E0-1C15-4D8C-BC58-165C41F8FC4A}" name="13036" dataDxfId="3574"/>
    <tableColumn id="12817" xr3:uid="{72D66E6E-ABAF-49D9-AE2B-BACAAA1CBE72}" name="13037" dataDxfId="3573"/>
    <tableColumn id="12818" xr3:uid="{290FC45E-293D-41AF-9CD4-1BD248B9F3A5}" name="13038" dataDxfId="3572"/>
    <tableColumn id="12819" xr3:uid="{E9242729-011B-4FB2-9ED5-0487127BA151}" name="13039" dataDxfId="3571"/>
    <tableColumn id="12820" xr3:uid="{282F5BB8-8B15-42C9-8B88-5D43DE0F679D}" name="13040" dataDxfId="3570"/>
    <tableColumn id="12821" xr3:uid="{42E58950-BBBA-41C2-8070-9365C38B0F17}" name="13041" dataDxfId="3569"/>
    <tableColumn id="12822" xr3:uid="{270DB7C9-E305-44F0-914F-88200082C117}" name="13042" dataDxfId="3568"/>
    <tableColumn id="12823" xr3:uid="{26C36829-8EC5-4535-80FD-63F08208E716}" name="13043" dataDxfId="3567"/>
    <tableColumn id="12824" xr3:uid="{E76FB90F-0BA0-43D2-B4D2-3C6173E1D352}" name="13044" dataDxfId="3566"/>
    <tableColumn id="12825" xr3:uid="{7C05A0E1-8C3A-4E97-B750-B66585A98AD9}" name="13045" dataDxfId="3565"/>
    <tableColumn id="12826" xr3:uid="{079937D6-B7AC-46A8-9C94-CC948208D0CB}" name="13046" dataDxfId="3564"/>
    <tableColumn id="12827" xr3:uid="{39A97AC2-4031-49AD-B095-F7B11FD0483C}" name="13047" dataDxfId="3563"/>
    <tableColumn id="12828" xr3:uid="{2D0DCA72-6CB2-40F8-B017-C9C4E5288D11}" name="13048" dataDxfId="3562"/>
    <tableColumn id="12829" xr3:uid="{CCC1507A-A43B-473B-AB81-D6328043DD48}" name="13049" dataDxfId="3561"/>
    <tableColumn id="12830" xr3:uid="{B5D6FCA1-E2A3-4DB7-A88B-7B1B109F1D3D}" name="13050" dataDxfId="3560"/>
    <tableColumn id="12831" xr3:uid="{C29D503F-322A-45DD-8B7B-6DA9FF8C59DF}" name="13051" dataDxfId="3559"/>
    <tableColumn id="12832" xr3:uid="{BFEF0CBA-DAA5-437D-B6A8-1F265ADB2D14}" name="13052" dataDxfId="3558"/>
    <tableColumn id="12833" xr3:uid="{124F7F52-B5CC-4B32-886E-B02EA93C77BB}" name="13053" dataDxfId="3557"/>
    <tableColumn id="12834" xr3:uid="{E5401B27-9B19-4A5C-BB9F-B29DBA190C78}" name="13054" dataDxfId="3556"/>
    <tableColumn id="12835" xr3:uid="{6830164B-4CF2-486F-AA57-1C1AD519A9A0}" name="13055" dataDxfId="3555"/>
    <tableColumn id="12836" xr3:uid="{9144481A-56E2-43F2-BFD5-3B33AA1854F9}" name="13056" dataDxfId="3554"/>
    <tableColumn id="12837" xr3:uid="{0FAF9B1C-33C3-4243-9E8C-A80705C6A34B}" name="13057" dataDxfId="3553"/>
    <tableColumn id="12838" xr3:uid="{D6260FE6-C59E-40A8-9FCC-065C528D15E5}" name="13058" dataDxfId="3552"/>
    <tableColumn id="12839" xr3:uid="{2E69096D-FEE9-4565-A651-273EDAF17C85}" name="13059" dataDxfId="3551"/>
    <tableColumn id="12840" xr3:uid="{9348A1EE-4E42-4CEC-A48A-E79CAE9744AC}" name="13060" dataDxfId="3550"/>
    <tableColumn id="12841" xr3:uid="{6D65FE07-7BED-4921-BEE2-B2271965D0C8}" name="13061" dataDxfId="3549"/>
    <tableColumn id="12842" xr3:uid="{D30B990A-EDCC-4AB8-B49E-38C350FDA75A}" name="13062" dataDxfId="3548"/>
    <tableColumn id="12843" xr3:uid="{D48FCD83-F0C5-43B8-902D-CD5DCE2BCF44}" name="13063" dataDxfId="3547"/>
    <tableColumn id="12844" xr3:uid="{577BBE0E-F9E1-45F4-AF9A-3F48F8410E40}" name="13064" dataDxfId="3546"/>
    <tableColumn id="12845" xr3:uid="{C6C47CBE-1649-49B5-9903-8F27C5A40A0A}" name="13065" dataDxfId="3545"/>
    <tableColumn id="12846" xr3:uid="{D1EA1711-F62C-44A1-B9E9-9F8014D6E42A}" name="13066" dataDxfId="3544"/>
    <tableColumn id="12847" xr3:uid="{C8261F21-71F4-4577-822B-6531A9C7E57F}" name="13067" dataDxfId="3543"/>
    <tableColumn id="12848" xr3:uid="{0DF75ED9-F688-4AFD-957A-5A0143F07301}" name="13068" dataDxfId="3542"/>
    <tableColumn id="12849" xr3:uid="{E23F4C3D-D344-4D7B-9015-09B2518E20DF}" name="13069" dataDxfId="3541"/>
    <tableColumn id="12850" xr3:uid="{8B995309-BF95-48C7-91A6-D314DA4DB822}" name="13070" dataDxfId="3540"/>
    <tableColumn id="12851" xr3:uid="{BC843015-B04B-41D4-8D1F-893E8564ABE2}" name="13071" dataDxfId="3539"/>
    <tableColumn id="12852" xr3:uid="{F5A0C314-D26B-42CD-BDBA-73D6502F5822}" name="13072" dataDxfId="3538"/>
    <tableColumn id="12853" xr3:uid="{8F3A841C-7C85-4F2D-9EB5-0BB9895F6F03}" name="13073" dataDxfId="3537"/>
    <tableColumn id="12854" xr3:uid="{C2B615CD-E623-46DA-A431-A1EBCC97F416}" name="13074" dataDxfId="3536"/>
    <tableColumn id="12855" xr3:uid="{8B943043-9AA3-4A35-8AA9-2599CD637890}" name="13075" dataDxfId="3535"/>
    <tableColumn id="12856" xr3:uid="{6DA16470-AD38-4E79-B3E2-8B99B95A9BCB}" name="13076" dataDxfId="3534"/>
    <tableColumn id="12857" xr3:uid="{308E4D5A-0851-4956-B4E0-C938499CD18B}" name="13077" dataDxfId="3533"/>
    <tableColumn id="12858" xr3:uid="{948D2B5E-A377-4EC0-A664-F7A240CF95B4}" name="13078" dataDxfId="3532"/>
    <tableColumn id="12859" xr3:uid="{7879DBF8-30B9-4A9E-9D02-DA0D10A618A9}" name="13079" dataDxfId="3531"/>
    <tableColumn id="12860" xr3:uid="{C2ECA194-9695-4A58-8A47-15CC2BA2ED88}" name="13080" dataDxfId="3530"/>
    <tableColumn id="12861" xr3:uid="{8176D806-BEBF-4D10-8325-A83BA7A38B6F}" name="13081" dataDxfId="3529"/>
    <tableColumn id="12862" xr3:uid="{A26EDFBF-5E78-4DCC-9B96-F94B4667F527}" name="13082" dataDxfId="3528"/>
    <tableColumn id="12863" xr3:uid="{257524CF-93A3-4110-8751-ED604AF1CD4C}" name="13083" dataDxfId="3527"/>
    <tableColumn id="12864" xr3:uid="{7DCBAF6F-B48D-43AF-A248-ACB6601DD491}" name="13084" dataDxfId="3526"/>
    <tableColumn id="12865" xr3:uid="{1396CDF9-FA00-46D8-B618-05C39FC2CB69}" name="13085" dataDxfId="3525"/>
    <tableColumn id="12866" xr3:uid="{8DA911B8-8F8A-481A-B811-2AF6ECE606B3}" name="13086" dataDxfId="3524"/>
    <tableColumn id="12867" xr3:uid="{9F4C1141-D57D-44B9-933F-F9B493F26D82}" name="13087" dataDxfId="3523"/>
    <tableColumn id="12868" xr3:uid="{8B2589B2-824E-441B-A078-1963CD44578C}" name="13088" dataDxfId="3522"/>
    <tableColumn id="12869" xr3:uid="{720C7EB8-9DFC-4B93-BF33-5D84ED7CFC2D}" name="13089" dataDxfId="3521"/>
    <tableColumn id="12870" xr3:uid="{D7D5C0BE-D823-4BC2-A8CA-6180534B5938}" name="13090" dataDxfId="3520"/>
    <tableColumn id="12871" xr3:uid="{00268E45-300A-4F8F-A130-206B0AE428D3}" name="13091" dataDxfId="3519"/>
    <tableColumn id="12872" xr3:uid="{31A674A9-C762-45B9-AF82-74DA6A3851B8}" name="13092" dataDxfId="3518"/>
    <tableColumn id="12873" xr3:uid="{E3232B18-6845-44FD-93FF-45E59E584D77}" name="13093" dataDxfId="3517"/>
    <tableColumn id="12874" xr3:uid="{C6E06466-3CC9-4ABF-A5B8-12F9D146EE14}" name="13094" dataDxfId="3516"/>
    <tableColumn id="12875" xr3:uid="{19A10448-E0AB-4110-B173-CDCD60D48E34}" name="13095" dataDxfId="3515"/>
    <tableColumn id="12876" xr3:uid="{40138201-FCDE-4E40-8359-6916D1F7A43C}" name="13096" dataDxfId="3514"/>
    <tableColumn id="12877" xr3:uid="{18819F2B-2CD5-4AB1-A488-08E9D8755E59}" name="13097" dataDxfId="3513"/>
    <tableColumn id="12878" xr3:uid="{0D2420AF-EA22-4F69-B100-1A5916DE546E}" name="13098" dataDxfId="3512"/>
    <tableColumn id="12879" xr3:uid="{329E450B-E621-4565-AC6D-ED7D0CD690E5}" name="13099" dataDxfId="3511"/>
    <tableColumn id="12880" xr3:uid="{73B4A568-113D-4D5A-A691-9FBD9B8F9ECC}" name="13100" dataDxfId="3510"/>
    <tableColumn id="12881" xr3:uid="{AF3313AB-002A-47C8-B944-E215B9AF3460}" name="13101" dataDxfId="3509"/>
    <tableColumn id="12882" xr3:uid="{210EBB9C-B2FA-4A78-9DFD-02147ED2FA27}" name="13102" dataDxfId="3508"/>
    <tableColumn id="12883" xr3:uid="{A8B2E60B-38C9-4F0F-84AD-A81C67ADFF6C}" name="13103" dataDxfId="3507"/>
    <tableColumn id="12884" xr3:uid="{F463B91D-079F-46D0-A178-53685E76F8A6}" name="13104" dataDxfId="3506"/>
    <tableColumn id="12885" xr3:uid="{08CBC9D8-EF4A-4333-9B6E-25E532F0394B}" name="13105" dataDxfId="3505"/>
    <tableColumn id="12886" xr3:uid="{BF7E0815-751D-4D94-B974-23EAABCA162F}" name="13106" dataDxfId="3504"/>
    <tableColumn id="12887" xr3:uid="{1648BCC3-7C81-4A9D-AB9B-2F312334F2A1}" name="13107" dataDxfId="3503"/>
    <tableColumn id="12888" xr3:uid="{4689703F-F40E-4132-9647-C66AB65625EE}" name="13108" dataDxfId="3502"/>
    <tableColumn id="12889" xr3:uid="{358AE819-FBE3-4A5E-BACE-E0070A518C2E}" name="13109" dataDxfId="3501"/>
    <tableColumn id="12890" xr3:uid="{887C2665-7975-4509-95A2-DD3D89496122}" name="13110" dataDxfId="3500"/>
    <tableColumn id="12891" xr3:uid="{6F3E88A9-89E9-448A-9BAD-50B78E0D3D02}" name="13111" dataDxfId="3499"/>
    <tableColumn id="12892" xr3:uid="{CF829331-D2A3-4C23-9FA9-159FFA7BD44C}" name="13112" dataDxfId="3498"/>
    <tableColumn id="12893" xr3:uid="{F946D022-9547-4556-A454-6EE0209C79AD}" name="13113" dataDxfId="3497"/>
    <tableColumn id="12894" xr3:uid="{51152C9D-E9B1-4D7A-ADD2-FDC4980B866B}" name="13114" dataDxfId="3496"/>
    <tableColumn id="12895" xr3:uid="{D8687CC6-DD4B-49F2-8A56-698BE0009A47}" name="13115" dataDxfId="3495"/>
    <tableColumn id="12896" xr3:uid="{A98F3892-0D8B-4622-A269-717545E4D622}" name="13116" dataDxfId="3494"/>
    <tableColumn id="12897" xr3:uid="{A884E923-0F44-40EC-8449-BBBD1E9D1884}" name="13117" dataDxfId="3493"/>
    <tableColumn id="12898" xr3:uid="{3B546228-0F1A-48C2-A5BD-867A989D0715}" name="13118" dataDxfId="3492"/>
    <tableColumn id="12899" xr3:uid="{0A5BDD38-626E-4004-91A2-4FF4190B3F20}" name="13119" dataDxfId="3491"/>
    <tableColumn id="12900" xr3:uid="{F75F75E0-38CD-48BD-B614-0422C3850520}" name="13120" dataDxfId="3490"/>
    <tableColumn id="12901" xr3:uid="{0D8ABB25-197D-45A5-BBAB-7B76501AF70B}" name="13121" dataDxfId="3489"/>
    <tableColumn id="12902" xr3:uid="{FAE42639-E55A-4E01-835A-A320A8A66C1C}" name="13122" dataDxfId="3488"/>
    <tableColumn id="12903" xr3:uid="{8DBD37FC-7A14-4D88-A65A-6D9AFF26F226}" name="13123" dataDxfId="3487"/>
    <tableColumn id="12904" xr3:uid="{60382E79-A58D-4562-9648-585E5AA3130D}" name="13124" dataDxfId="3486"/>
    <tableColumn id="12905" xr3:uid="{2BE7DFB0-30F6-4401-BC0B-EB3E5F70C4C9}" name="13125" dataDxfId="3485"/>
    <tableColumn id="12906" xr3:uid="{6C43D50E-F277-4CDF-97B8-E669F39E756A}" name="13126" dataDxfId="3484"/>
    <tableColumn id="12907" xr3:uid="{FB45E0A6-D215-4196-8685-33012162FE71}" name="13127" dataDxfId="3483"/>
    <tableColumn id="12908" xr3:uid="{BB73241B-1F7F-4404-8285-F4B03D0DA041}" name="13128" dataDxfId="3482"/>
    <tableColumn id="12909" xr3:uid="{2A8A4664-233C-4C26-AADF-EC08442AF9B7}" name="13129" dataDxfId="3481"/>
    <tableColumn id="12910" xr3:uid="{F00D9616-F583-4A5F-8A9F-867D1347641C}" name="13130" dataDxfId="3480"/>
    <tableColumn id="12911" xr3:uid="{3275147B-0124-440E-90CB-5BEECB4805D0}" name="13131" dataDxfId="3479"/>
    <tableColumn id="12912" xr3:uid="{7DCC595E-26DE-4AD5-AE90-91F329A4791D}" name="13132" dataDxfId="3478"/>
    <tableColumn id="12913" xr3:uid="{BFA3918A-2E26-41C9-8066-8910A7BE2900}" name="13133" dataDxfId="3477"/>
    <tableColumn id="12914" xr3:uid="{4838B159-3E12-40C4-8D24-C8D15255529E}" name="13134" dataDxfId="3476"/>
    <tableColumn id="12915" xr3:uid="{64EC6F86-DF0C-45A2-9872-58C2C6A8F688}" name="13135" dataDxfId="3475"/>
    <tableColumn id="12916" xr3:uid="{3E17DEB5-A1D3-4C87-ABCC-5DA484AD0CC6}" name="13136" dataDxfId="3474"/>
    <tableColumn id="12917" xr3:uid="{E7E69EBE-9888-4078-8A48-A6878FF484A8}" name="13137" dataDxfId="3473"/>
    <tableColumn id="12918" xr3:uid="{F2F64200-92EC-49BB-A989-9D34A87D7E35}" name="13138" dataDxfId="3472"/>
    <tableColumn id="12919" xr3:uid="{74AB0209-1575-43CD-A42A-7EE50D9E37D1}" name="13139" dataDxfId="3471"/>
    <tableColumn id="12920" xr3:uid="{2470A97E-BD06-4AB2-BF7D-7BC83E1685A2}" name="13140" dataDxfId="3470"/>
    <tableColumn id="12921" xr3:uid="{75057AA5-210C-450E-A534-400F9F9BD201}" name="13141" dataDxfId="3469"/>
    <tableColumn id="12922" xr3:uid="{319C9C21-5CA8-43B8-9591-EFA5A9F7CCDB}" name="13142" dataDxfId="3468"/>
    <tableColumn id="12923" xr3:uid="{72767096-3331-4792-AD42-F63C0E16C7D5}" name="13143" dataDxfId="3467"/>
    <tableColumn id="12924" xr3:uid="{40F6A37B-2DD5-4F37-96FA-93D54F71609A}" name="13144" dataDxfId="3466"/>
    <tableColumn id="12925" xr3:uid="{57F22FF0-FFC8-47A2-AA1F-7691808F6A9D}" name="13145" dataDxfId="3465"/>
    <tableColumn id="12926" xr3:uid="{A1F54A41-6113-47DC-9B00-47313A54C897}" name="13146" dataDxfId="3464"/>
    <tableColumn id="12927" xr3:uid="{66CC2B6A-36B1-447D-BAC0-31A006E36AFF}" name="13147" dataDxfId="3463"/>
    <tableColumn id="12928" xr3:uid="{2D68225D-8B85-4770-BEB7-F3DA9D28D94B}" name="13148" dataDxfId="3462"/>
    <tableColumn id="12929" xr3:uid="{8ECD18E1-113E-41B7-8192-0F5FC350C41E}" name="13149" dataDxfId="3461"/>
    <tableColumn id="12930" xr3:uid="{15AEB2C4-0C6B-4EB3-9ABD-8244B8DCF3C7}" name="13150" dataDxfId="3460"/>
    <tableColumn id="12931" xr3:uid="{65F04939-BAE4-4ECC-B220-48637FC4F556}" name="13151" dataDxfId="3459"/>
    <tableColumn id="12932" xr3:uid="{36EC9747-C24B-4EEC-A540-D2B9C3A33576}" name="13152" dataDxfId="3458"/>
    <tableColumn id="12933" xr3:uid="{7CB1204B-3C84-4E72-81CA-898BD700786E}" name="13153" dataDxfId="3457"/>
    <tableColumn id="12934" xr3:uid="{F930C259-7956-4E8C-AB33-C57AB59B207A}" name="13154" dataDxfId="3456"/>
    <tableColumn id="12935" xr3:uid="{014653C3-CDF5-4717-8107-7FD300B44ACC}" name="13155" dataDxfId="3455"/>
    <tableColumn id="12936" xr3:uid="{A8F7873C-FEF9-4630-86EC-E4FBF7B916D5}" name="13156" dataDxfId="3454"/>
    <tableColumn id="12937" xr3:uid="{AEAA6BCC-26CC-4461-A0B7-FCB11BD27844}" name="13157" dataDxfId="3453"/>
    <tableColumn id="12938" xr3:uid="{14BF1E2F-A952-4A38-9672-3A96C561403F}" name="13158" dataDxfId="3452"/>
    <tableColumn id="12939" xr3:uid="{D3C1D99B-3007-4296-9D5C-D5CB4EBB22C5}" name="13159" dataDxfId="3451"/>
    <tableColumn id="12940" xr3:uid="{12FF952D-A6BE-4F0C-B3A6-11B6174FC65C}" name="13160" dataDxfId="3450"/>
    <tableColumn id="12941" xr3:uid="{188AE736-8B1F-4E02-88D0-AEF10A2248D5}" name="13161" dataDxfId="3449"/>
    <tableColumn id="12942" xr3:uid="{24C9BFC2-C4BF-4981-9043-B2D73300198F}" name="13162" dataDxfId="3448"/>
    <tableColumn id="12943" xr3:uid="{CE7B96E1-D9AD-400D-B2C7-E9FBB493487D}" name="13163" dataDxfId="3447"/>
    <tableColumn id="12944" xr3:uid="{6C90232B-952D-434A-B58E-48E9C5533B9A}" name="13164" dataDxfId="3446"/>
    <tableColumn id="12945" xr3:uid="{70003110-836D-4DC3-BAFF-B0BB32812058}" name="13165" dataDxfId="3445"/>
    <tableColumn id="12946" xr3:uid="{EFDE24A9-C774-4388-8729-C1925A03EBE7}" name="13166" dataDxfId="3444"/>
    <tableColumn id="12947" xr3:uid="{114E29D6-6012-4714-8780-BA1601AD74AC}" name="13167" dataDxfId="3443"/>
    <tableColumn id="12948" xr3:uid="{EF419106-9703-4E61-A4A9-BF568338FB1E}" name="13168" dataDxfId="3442"/>
    <tableColumn id="12949" xr3:uid="{6A168C0A-6320-4505-A300-D820F515FAF8}" name="13169" dataDxfId="3441"/>
    <tableColumn id="12950" xr3:uid="{2241C08E-8493-49A6-B160-BDEF190EB4FC}" name="13170" dataDxfId="3440"/>
    <tableColumn id="12951" xr3:uid="{4E9CA67B-CBDB-44D5-8BF9-1468793F40A2}" name="13171" dataDxfId="3439"/>
    <tableColumn id="12952" xr3:uid="{F76273D9-4AD1-4B92-9F91-41323500C3E5}" name="13172" dataDxfId="3438"/>
    <tableColumn id="12953" xr3:uid="{30634B0C-5EA7-4D5D-B0DB-F19AD47063C3}" name="13173" dataDxfId="3437"/>
    <tableColumn id="12954" xr3:uid="{882393BA-945D-4B77-94B3-6EC660CB5F88}" name="13174" dataDxfId="3436"/>
    <tableColumn id="12955" xr3:uid="{5E204EAF-80C1-4E4D-A25E-E1715B8D2758}" name="13175" dataDxfId="3435"/>
    <tableColumn id="12956" xr3:uid="{1CB0DE99-9879-48B4-992A-756271F1BDB8}" name="13176" dataDxfId="3434"/>
    <tableColumn id="12957" xr3:uid="{77CFAE50-7317-4165-BAC5-5576EF40A651}" name="13177" dataDxfId="3433"/>
    <tableColumn id="12958" xr3:uid="{DA1B6AE4-D884-464C-893E-B181F37F30E2}" name="13178" dataDxfId="3432"/>
    <tableColumn id="12959" xr3:uid="{758C9BE9-83EB-4F19-A354-3A2E06067B6F}" name="13179" dataDxfId="3431"/>
    <tableColumn id="12960" xr3:uid="{1E5E9115-F791-4F02-918F-EB58F4BB3F9D}" name="13180" dataDxfId="3430"/>
    <tableColumn id="12961" xr3:uid="{8BE166B9-433C-4A4F-B2B8-190FCE8565AA}" name="13181" dataDxfId="3429"/>
    <tableColumn id="12962" xr3:uid="{4E38EBC8-C598-4796-9586-15CD28BE0232}" name="13182" dataDxfId="3428"/>
    <tableColumn id="12963" xr3:uid="{04A4ABB9-5E3C-447B-8AD0-71A9C4FCB50A}" name="13183" dataDxfId="3427"/>
    <tableColumn id="12964" xr3:uid="{9C868620-1A16-4919-A92D-B9718CCD0B6C}" name="13184" dataDxfId="3426"/>
    <tableColumn id="12965" xr3:uid="{1E46830A-C63F-4444-86AA-E513D0CBBAE3}" name="13185" dataDxfId="3425"/>
    <tableColumn id="12966" xr3:uid="{1F2E3F76-400E-45A8-A0FF-1F7AA1D6DF21}" name="13186" dataDxfId="3424"/>
    <tableColumn id="12967" xr3:uid="{37363A72-0D11-4EA7-A8AF-27212F847147}" name="13187" dataDxfId="3423"/>
    <tableColumn id="12968" xr3:uid="{27413F29-B4E5-4B26-ABCC-9BC96F50D285}" name="13188" dataDxfId="3422"/>
    <tableColumn id="12969" xr3:uid="{E3CA08A9-1DD8-4AA4-9295-DBD0B2B494A4}" name="13189" dataDxfId="3421"/>
    <tableColumn id="12970" xr3:uid="{DBA63E58-878C-4DFA-83AE-720A2D68287D}" name="13190" dataDxfId="3420"/>
    <tableColumn id="12971" xr3:uid="{A76BCBCF-7A8E-4487-B694-8F0AD7F2E577}" name="13191" dataDxfId="3419"/>
    <tableColumn id="12972" xr3:uid="{E933C1B9-ADA3-4345-A134-2CDED133587D}" name="13192" dataDxfId="3418"/>
    <tableColumn id="12973" xr3:uid="{BBF3DAAD-F6DE-4286-9B23-335EA0B7ABEE}" name="13193" dataDxfId="3417"/>
    <tableColumn id="12974" xr3:uid="{9313DE77-DF26-4406-B8A7-E602733B1F19}" name="13194" dataDxfId="3416"/>
    <tableColumn id="12975" xr3:uid="{769BA041-C907-49D2-87B1-8FD9A55E8960}" name="13195" dataDxfId="3415"/>
    <tableColumn id="12976" xr3:uid="{6444399A-01CE-4D19-9555-4933D85F6908}" name="13196" dataDxfId="3414"/>
    <tableColumn id="12977" xr3:uid="{1E29CD7A-A89D-41DE-904B-9585ED4F7DF7}" name="13197" dataDxfId="3413"/>
    <tableColumn id="12978" xr3:uid="{634F7181-47CA-42E0-9140-3B71525AB75E}" name="13198" dataDxfId="3412"/>
    <tableColumn id="12979" xr3:uid="{BAA4166D-6EE8-4AF1-9E33-21653034C431}" name="13199" dataDxfId="3411"/>
    <tableColumn id="12980" xr3:uid="{12747FD7-BBD8-4506-9709-BC95BE7D3478}" name="13200" dataDxfId="3410"/>
    <tableColumn id="12981" xr3:uid="{268040BC-F7B9-46C4-8F2C-381C5307A153}" name="13201" dataDxfId="3409"/>
    <tableColumn id="12982" xr3:uid="{F545C02A-5A17-4F9A-8B94-1C52C30650BB}" name="13202" dataDxfId="3408"/>
    <tableColumn id="12983" xr3:uid="{606B4023-85E6-46BC-8B60-DE6FE723D207}" name="13203" dataDxfId="3407"/>
    <tableColumn id="12984" xr3:uid="{2D250F6F-B3F3-4F68-A2AE-C93ABDCF2DF9}" name="13204" dataDxfId="3406"/>
    <tableColumn id="12985" xr3:uid="{F856F8E8-82EB-40EA-8D5B-9B94C8F305FF}" name="13205" dataDxfId="3405"/>
    <tableColumn id="12986" xr3:uid="{CED759EA-C619-47B7-A4E2-391FE92D4EE2}" name="13206" dataDxfId="3404"/>
    <tableColumn id="12987" xr3:uid="{EA2F8C51-3931-468A-AF08-08D01A099EC5}" name="13207" dataDxfId="3403"/>
    <tableColumn id="12988" xr3:uid="{AF67C76E-41B6-4B42-9908-A507E446EBB9}" name="13208" dataDxfId="3402"/>
    <tableColumn id="12989" xr3:uid="{8295CF10-E247-4487-98F5-33A3CDD2C6FE}" name="13209" dataDxfId="3401"/>
    <tableColumn id="12990" xr3:uid="{AB7C1F1C-67D2-49AA-BA1D-51A229D385F2}" name="13210" dataDxfId="3400"/>
    <tableColumn id="12991" xr3:uid="{B67F8B7A-723B-4626-A7A1-87A1C9C46125}" name="13211" dataDxfId="3399"/>
    <tableColumn id="12992" xr3:uid="{74F455DC-6FF9-4489-8DC4-961BA63F4BC2}" name="13212" dataDxfId="3398"/>
    <tableColumn id="12993" xr3:uid="{82166F25-C98D-4ECC-93BA-467C6EF3AB7A}" name="13213" dataDxfId="3397"/>
    <tableColumn id="12994" xr3:uid="{CE0DE487-C817-4CE7-BF68-9B2DDB235D0C}" name="13214" dataDxfId="3396"/>
    <tableColumn id="12995" xr3:uid="{0C116C83-1EFF-44AF-9FC5-2169473B627C}" name="13215" dataDxfId="3395"/>
    <tableColumn id="12996" xr3:uid="{7E7CD386-93A8-4BA6-8A51-1504D95A9975}" name="13216" dataDxfId="3394"/>
    <tableColumn id="12997" xr3:uid="{933FF0D5-A61C-4CAD-B4E5-E6716FEA306C}" name="13217" dataDxfId="3393"/>
    <tableColumn id="12998" xr3:uid="{3B7AC96C-9977-4F5B-8A4D-D472EF0EE8F8}" name="13218" dataDxfId="3392"/>
    <tableColumn id="12999" xr3:uid="{BCBF9E03-C94D-456A-AFA8-C356C3ED2F3C}" name="13219" dataDxfId="3391"/>
    <tableColumn id="13000" xr3:uid="{25BA07D8-CA98-428A-955F-6FABC8D3C8B9}" name="13220" dataDxfId="3390"/>
    <tableColumn id="13001" xr3:uid="{496786D1-3DCE-4350-87AE-A3D44370C8F3}" name="13221" dataDxfId="3389"/>
    <tableColumn id="13002" xr3:uid="{613BCEED-5252-403D-BDD8-D899D1E4EE6D}" name="13222" dataDxfId="3388"/>
    <tableColumn id="13003" xr3:uid="{499C1134-1BD9-47B1-9DC9-50F1A421F6FC}" name="13223" dataDxfId="3387"/>
    <tableColumn id="13004" xr3:uid="{0941F729-0A55-4DE5-B7BC-4BCEDA8F34F3}" name="13224" dataDxfId="3386"/>
    <tableColumn id="13005" xr3:uid="{40157CD1-BCE7-4C66-8037-C418CB13F4B8}" name="13225" dataDxfId="3385"/>
    <tableColumn id="13006" xr3:uid="{C91DA84C-6B89-457F-9CD8-EC9BAA9EB926}" name="13226" dataDxfId="3384"/>
    <tableColumn id="13007" xr3:uid="{709AE8C2-AB2E-4A77-90EC-E54E1CC919CC}" name="13227" dataDxfId="3383"/>
    <tableColumn id="13008" xr3:uid="{CB45A0C0-514C-4DA5-9C3D-660D0C9FF2A2}" name="13228" dataDxfId="3382"/>
    <tableColumn id="13009" xr3:uid="{F6C62356-CB77-4149-A2C7-4D9A6D7FB793}" name="13229" dataDxfId="3381"/>
    <tableColumn id="13010" xr3:uid="{462E0752-60A5-4CC4-8765-3B1361CEF53D}" name="13230" dataDxfId="3380"/>
    <tableColumn id="13011" xr3:uid="{01016CC7-60E4-43D3-B063-858A42FD6021}" name="13231" dataDxfId="3379"/>
    <tableColumn id="13012" xr3:uid="{39B08F1D-9D8F-4C7E-AA88-82BA70709799}" name="13232" dataDxfId="3378"/>
    <tableColumn id="13013" xr3:uid="{E8775845-3750-4E02-80DE-337968A1D6F9}" name="13233" dataDxfId="3377"/>
    <tableColumn id="13014" xr3:uid="{E35D0532-0791-4CF8-833B-ED1773C2B40A}" name="13234" dataDxfId="3376"/>
    <tableColumn id="13015" xr3:uid="{CE3EDB6E-9AC1-41B4-8BE4-315B2F61ECAC}" name="13235" dataDxfId="3375"/>
    <tableColumn id="13016" xr3:uid="{1C5B9E5E-7CAE-4A0C-929A-0E9DBAF0E944}" name="13236" dataDxfId="3374"/>
    <tableColumn id="13017" xr3:uid="{37EF9767-B343-4D1E-89F5-455B08AC8FB2}" name="13237" dataDxfId="3373"/>
    <tableColumn id="13018" xr3:uid="{D6E61C43-CE43-4627-980F-D66F7FEAB04A}" name="13238" dataDxfId="3372"/>
    <tableColumn id="13019" xr3:uid="{ED915F77-AA00-4DEC-B3DB-AE9C63A20626}" name="13239" dataDxfId="3371"/>
    <tableColumn id="13020" xr3:uid="{8913BD3B-E920-407E-8074-13896609DFB8}" name="13240" dataDxfId="3370"/>
    <tableColumn id="13021" xr3:uid="{D00E16A4-87A1-40A3-9D8C-B1B5F2215516}" name="13241" dataDxfId="3369"/>
    <tableColumn id="13022" xr3:uid="{EB9CB182-94FA-458E-9B3A-CE2E9CFE4BE7}" name="13242" dataDxfId="3368"/>
    <tableColumn id="13023" xr3:uid="{F2249D39-08CD-447B-82A1-23A3CCDDC66B}" name="13243" dataDxfId="3367"/>
    <tableColumn id="13024" xr3:uid="{A566C2A6-6C8C-45F2-8708-DEB54C155192}" name="13244" dataDxfId="3366"/>
    <tableColumn id="13025" xr3:uid="{88368B46-A92A-414A-A90B-BE14084A12A9}" name="13245" dataDxfId="3365"/>
    <tableColumn id="13026" xr3:uid="{5C053C03-981B-4804-A27D-11C55C96C8FA}" name="13246" dataDxfId="3364"/>
    <tableColumn id="13027" xr3:uid="{A5F89B9F-3BA7-490D-BDC6-6ECFEB517FB5}" name="13247" dataDxfId="3363"/>
    <tableColumn id="13028" xr3:uid="{8EEB2006-C50B-4152-83DB-239FF4A88C9B}" name="13248" dataDxfId="3362"/>
    <tableColumn id="13029" xr3:uid="{7C4D7753-6D64-4BD8-9179-4F9C8A4772E0}" name="13249" dataDxfId="3361"/>
    <tableColumn id="13030" xr3:uid="{EE68793A-3383-435E-AE66-D225E2A9A988}" name="13250" dataDxfId="3360"/>
    <tableColumn id="13031" xr3:uid="{940F3208-0E76-4293-9A68-DA0E6B0D27F5}" name="13251" dataDxfId="3359"/>
    <tableColumn id="13032" xr3:uid="{9DAFC9F3-3893-4B01-8626-BD3E2E26D8A1}" name="13252" dataDxfId="3358"/>
    <tableColumn id="13033" xr3:uid="{E722F019-8AC3-4F55-AB9A-A31B24FE99FD}" name="13253" dataDxfId="3357"/>
    <tableColumn id="13034" xr3:uid="{03C4D3E6-D54A-46EA-9705-1FDAD2A27CEB}" name="13254" dataDxfId="3356"/>
    <tableColumn id="13035" xr3:uid="{C1F55E8E-8253-4A4B-BB54-8B24465B518F}" name="13255" dataDxfId="3355"/>
    <tableColumn id="13036" xr3:uid="{D6DFE5F6-705C-45E8-96F6-3963A3477E96}" name="13256" dataDxfId="3354"/>
    <tableColumn id="13037" xr3:uid="{2B1FF879-24FA-4A57-BB0D-F1C9A03A3346}" name="13257" dataDxfId="3353"/>
    <tableColumn id="13038" xr3:uid="{B576FAF7-74C4-469B-851A-1ED2E7C74E0D}" name="13258" dataDxfId="3352"/>
    <tableColumn id="13039" xr3:uid="{0796D302-F69B-441D-9C1E-6DED82D5B220}" name="13259" dataDxfId="3351"/>
    <tableColumn id="13040" xr3:uid="{2C1F2DAC-8CE8-4221-979B-CD055DA6F181}" name="13260" dataDxfId="3350"/>
    <tableColumn id="13041" xr3:uid="{CE2FE0F9-1CF3-4B10-BDFD-75C836952EA1}" name="13261" dataDxfId="3349"/>
    <tableColumn id="13042" xr3:uid="{4EBC7E64-4DFB-4D96-8F1D-80BB53EF45D0}" name="13262" dataDxfId="3348"/>
    <tableColumn id="13043" xr3:uid="{2AFD92F0-509C-4FA3-ACC9-9F918E9281CE}" name="13263" dataDxfId="3347"/>
    <tableColumn id="13044" xr3:uid="{FA3E3838-98E8-4C23-B154-B3628364116A}" name="13264" dataDxfId="3346"/>
    <tableColumn id="13045" xr3:uid="{843F5DBE-CD16-498F-B8DE-82F72F4B30A2}" name="13265" dataDxfId="3345"/>
    <tableColumn id="13046" xr3:uid="{F2FA8C1C-E6F5-4C6B-B5EC-09E297FBA78B}" name="13266" dataDxfId="3344"/>
    <tableColumn id="13047" xr3:uid="{476EEDBB-4818-40FE-B594-EA7585829C37}" name="13267" dataDxfId="3343"/>
    <tableColumn id="13048" xr3:uid="{0BAA9BC5-D10F-4B1B-B940-57C770659C50}" name="13268" dataDxfId="3342"/>
    <tableColumn id="13049" xr3:uid="{210C7675-FD2A-412C-98CF-A9535E9E70F5}" name="13269" dataDxfId="3341"/>
    <tableColumn id="13050" xr3:uid="{368B9B0F-E560-498B-8CDE-AE8EA3F8032E}" name="13270" dataDxfId="3340"/>
    <tableColumn id="13051" xr3:uid="{E33C31FE-9CDA-4F1D-9C65-7701B31895E2}" name="13271" dataDxfId="3339"/>
    <tableColumn id="13052" xr3:uid="{D1D447E3-99D9-4977-842E-A298147ADD2E}" name="13272" dataDxfId="3338"/>
    <tableColumn id="13053" xr3:uid="{39BD5A23-B343-46D7-8CDF-BEAA5AB1350F}" name="13273" dataDxfId="3337"/>
    <tableColumn id="13054" xr3:uid="{74745F3A-13D3-462C-9560-8D6C0BF49FEE}" name="13274" dataDxfId="3336"/>
    <tableColumn id="13055" xr3:uid="{C1343792-E758-4B4F-8A62-DF53832A83B6}" name="13275" dataDxfId="3335"/>
    <tableColumn id="13056" xr3:uid="{6A831548-009C-4161-BB4C-1562E46E0E42}" name="13276" dataDxfId="3334"/>
    <tableColumn id="13057" xr3:uid="{D22DB1C5-7F04-48CB-8CCA-1E58EF415828}" name="13277" dataDxfId="3333"/>
    <tableColumn id="13058" xr3:uid="{E4D581D3-CE3B-4983-912B-A9C70AA8F5C8}" name="13278" dataDxfId="3332"/>
    <tableColumn id="13059" xr3:uid="{82825591-B3E6-471E-B959-8955B6639950}" name="13279" dataDxfId="3331"/>
    <tableColumn id="13060" xr3:uid="{D8447DDE-ECF3-4DC7-A826-FC3BB64214E7}" name="13280" dataDxfId="3330"/>
    <tableColumn id="13061" xr3:uid="{0F5FAB3A-0E08-48C2-AB08-AB8BCF7461EB}" name="13281" dataDxfId="3329"/>
    <tableColumn id="13062" xr3:uid="{8D04FD9C-59CD-403D-86D4-E2C9DEF573AE}" name="13282" dataDxfId="3328"/>
    <tableColumn id="13063" xr3:uid="{D87C581B-4B07-4BD1-A858-FDE10D2F9C70}" name="13283" dataDxfId="3327"/>
    <tableColumn id="13064" xr3:uid="{4D97B792-A032-4AFC-BD9C-36C6775A49EA}" name="13284" dataDxfId="3326"/>
    <tableColumn id="13065" xr3:uid="{9C383C71-75EE-4944-9E78-7320CE9393BF}" name="13285" dataDxfId="3325"/>
    <tableColumn id="13066" xr3:uid="{06BAB194-6790-4675-8068-73B6C00C02D2}" name="13286" dataDxfId="3324"/>
    <tableColumn id="13067" xr3:uid="{E4E043E0-DD76-43C5-A33C-A7E86D528A35}" name="13287" dataDxfId="3323"/>
    <tableColumn id="13068" xr3:uid="{ECD2DAF3-AF95-4662-BF25-FD7D9EE074D2}" name="13288" dataDxfId="3322"/>
    <tableColumn id="13069" xr3:uid="{F1A6AFBD-D2EA-4A8E-B74F-69209ABD29E5}" name="13289" dataDxfId="3321"/>
    <tableColumn id="13070" xr3:uid="{5E6C530D-0F6A-4E67-A15C-5759C6D426E4}" name="13290" dataDxfId="3320"/>
    <tableColumn id="13071" xr3:uid="{1F711A03-9548-4E8C-BDCC-B8246DBBF5E6}" name="13291" dataDxfId="3319"/>
    <tableColumn id="13072" xr3:uid="{B6BF432B-EDCB-4293-9991-C30D98AA2C16}" name="13292" dataDxfId="3318"/>
    <tableColumn id="13073" xr3:uid="{CA2F2B0A-E577-4EB3-BB74-1A127AD6BF77}" name="13293" dataDxfId="3317"/>
    <tableColumn id="13074" xr3:uid="{B27A0726-59D2-4247-9B46-19EBD84DD3F6}" name="13294" dataDxfId="3316"/>
    <tableColumn id="13075" xr3:uid="{09ECF074-8A1D-4E2A-8D2E-BB21733DBAD3}" name="13295" dataDxfId="3315"/>
    <tableColumn id="13076" xr3:uid="{93E6D202-511C-4577-A839-C639A3D45E71}" name="13296" dataDxfId="3314"/>
    <tableColumn id="13077" xr3:uid="{63A18298-B46B-425D-BDD2-8B2CBA06462F}" name="13297" dataDxfId="3313"/>
    <tableColumn id="13078" xr3:uid="{90FFAEC4-84ED-4650-B407-2EAA8B4A4DA5}" name="13298" dataDxfId="3312"/>
    <tableColumn id="13079" xr3:uid="{1B992CC8-FB8B-4C76-A3EA-82360ABEC0A4}" name="13299" dataDxfId="3311"/>
    <tableColumn id="13080" xr3:uid="{DD253821-D22F-4280-B50A-333E0CEDFFD7}" name="13300" dataDxfId="3310"/>
    <tableColumn id="13081" xr3:uid="{5A5BF616-0996-46E7-A301-1BF9AECB4BFD}" name="13301" dataDxfId="3309"/>
    <tableColumn id="13082" xr3:uid="{A2729B96-003C-464E-943B-ACE60CD9D8CA}" name="13302" dataDxfId="3308"/>
    <tableColumn id="13083" xr3:uid="{7CB2A7EA-B94B-4DC6-ACEB-B038BE2EE39A}" name="13303" dataDxfId="3307"/>
    <tableColumn id="13084" xr3:uid="{C236002C-9847-451D-8B01-FCA77BD490D0}" name="13304" dataDxfId="3306"/>
    <tableColumn id="13085" xr3:uid="{1DB953F9-7EBE-4195-9383-677E675E5B02}" name="13305" dataDxfId="3305"/>
    <tableColumn id="13086" xr3:uid="{6A4693DA-0F3C-4430-8391-707260DD70E5}" name="13306" dataDxfId="3304"/>
    <tableColumn id="13087" xr3:uid="{6D53F147-7508-4D26-BE27-A1BDBC5E85A0}" name="13307" dataDxfId="3303"/>
    <tableColumn id="13088" xr3:uid="{52414F2D-001C-4A18-99DD-6192A13D1551}" name="13308" dataDxfId="3302"/>
    <tableColumn id="13089" xr3:uid="{A8E41C64-3BF0-4C13-9FC4-2E51ABAA398F}" name="13309" dataDxfId="3301"/>
    <tableColumn id="13090" xr3:uid="{B0BD9D7D-011E-4414-9AB1-6B8034C45589}" name="13310" dataDxfId="3300"/>
    <tableColumn id="13091" xr3:uid="{EC402AE4-2BAF-4B56-8306-58B8F6FC8D0B}" name="13311" dataDxfId="3299"/>
    <tableColumn id="13092" xr3:uid="{D505B8FF-30FD-4802-99D2-A2DE65BCCB0D}" name="13312" dataDxfId="3298"/>
    <tableColumn id="13093" xr3:uid="{E54EDBB5-063A-4908-997D-402BF8C5643F}" name="13313" dataDxfId="3297"/>
    <tableColumn id="13094" xr3:uid="{D68E29FB-214E-4F5F-BC46-E55736C55068}" name="13314" dataDxfId="3296"/>
    <tableColumn id="13095" xr3:uid="{58D1C401-30F4-4BC0-ABFB-F50F9493580E}" name="13315" dataDxfId="3295"/>
    <tableColumn id="13096" xr3:uid="{0B4F654A-2842-445A-86C4-2F8ACBBD07F1}" name="13316" dataDxfId="3294"/>
    <tableColumn id="13097" xr3:uid="{33E24452-4E09-4469-9908-B8977E113D01}" name="13317" dataDxfId="3293"/>
    <tableColumn id="13098" xr3:uid="{36CC1C1F-0974-406E-88EC-F955DFBDFF7D}" name="13318" dataDxfId="3292"/>
    <tableColumn id="13099" xr3:uid="{AE3CECE9-3AEC-48A8-B2D5-BE7F5A15C524}" name="13319" dataDxfId="3291"/>
    <tableColumn id="13100" xr3:uid="{5BCF9AFD-E51D-4B7A-AE6C-40A9B941582B}" name="13320" dataDxfId="3290"/>
    <tableColumn id="13101" xr3:uid="{7B683510-77FE-4A47-BEEE-7AB174331349}" name="13321" dataDxfId="3289"/>
    <tableColumn id="13102" xr3:uid="{CFD60370-4342-47C7-8FA3-450BB790113D}" name="13322" dataDxfId="3288"/>
    <tableColumn id="13103" xr3:uid="{8FF1CC37-E4A6-44AB-955B-57A97C1BD2BD}" name="13323" dataDxfId="3287"/>
    <tableColumn id="13104" xr3:uid="{1C8C39C6-E9D6-4478-9AF3-9F421B9CF37D}" name="13324" dataDxfId="3286"/>
    <tableColumn id="13105" xr3:uid="{2A2194B0-8874-4CF2-BC32-23D085A4F00D}" name="13325" dataDxfId="3285"/>
    <tableColumn id="13106" xr3:uid="{07AFF61B-A0F9-40DD-9CAD-82D9ACBA4B01}" name="13326" dataDxfId="3284"/>
    <tableColumn id="13107" xr3:uid="{A51F6749-AAD9-4FF8-84ED-1196CB687886}" name="13327" dataDxfId="3283"/>
    <tableColumn id="13108" xr3:uid="{5FC75EDE-A7E1-4670-BE60-78D5496585A7}" name="13328" dataDxfId="3282"/>
    <tableColumn id="13109" xr3:uid="{2B950E8F-29A4-46A3-BE75-2E95EB53842D}" name="13329" dataDxfId="3281"/>
    <tableColumn id="13110" xr3:uid="{01D0B73E-AC07-4E10-8ED5-E31A0B066685}" name="13330" dataDxfId="3280"/>
    <tableColumn id="13111" xr3:uid="{7641C8AF-A699-4C38-AE4A-DA945964829D}" name="13331" dataDxfId="3279"/>
    <tableColumn id="13112" xr3:uid="{C29997DA-19CF-4715-AF5A-E713B3736977}" name="13332" dataDxfId="3278"/>
    <tableColumn id="13113" xr3:uid="{36244A52-D852-4FE2-9A57-0B6BCDD3608E}" name="13333" dataDxfId="3277"/>
    <tableColumn id="13114" xr3:uid="{AB716534-C33B-4C89-8BA1-71B427C9F9EF}" name="13334" dataDxfId="3276"/>
    <tableColumn id="13115" xr3:uid="{B63D5258-568C-4E15-AFF8-1FEA16208786}" name="13335" dataDxfId="3275"/>
    <tableColumn id="13116" xr3:uid="{CAF19052-C89F-49C1-97AA-B5F605B520B9}" name="13336" dataDxfId="3274"/>
    <tableColumn id="13117" xr3:uid="{B668C9A6-48F4-41E2-935A-5E827CC6599D}" name="13337" dataDxfId="3273"/>
    <tableColumn id="13118" xr3:uid="{88655FEF-F751-4404-8D2B-29D4CE5AB18F}" name="13338" dataDxfId="3272"/>
    <tableColumn id="13119" xr3:uid="{6329C390-3405-4456-BB75-11E8F98EEBE0}" name="13339" dataDxfId="3271"/>
    <tableColumn id="13120" xr3:uid="{964545BE-A980-4DDA-865B-D38946592769}" name="13340" dataDxfId="3270"/>
    <tableColumn id="13121" xr3:uid="{F6764C87-DEE7-4018-87C1-3CE9923D3522}" name="13341" dataDxfId="3269"/>
    <tableColumn id="13122" xr3:uid="{1DA6FE6B-A2A2-4033-8250-F44A9FCA9A81}" name="13342" dataDxfId="3268"/>
    <tableColumn id="13123" xr3:uid="{655908EB-7156-4D2A-AF48-776D1CD99947}" name="13343" dataDxfId="3267"/>
    <tableColumn id="13124" xr3:uid="{1B993C18-5240-4BD0-9BAF-5A2CEDE5167B}" name="13344" dataDxfId="3266"/>
    <tableColumn id="13125" xr3:uid="{27E60FE5-00E1-4813-939D-7FB070151ED9}" name="13345" dataDxfId="3265"/>
    <tableColumn id="13126" xr3:uid="{456574EF-9271-4D6E-8B6F-11701FC09FC0}" name="13346" dataDxfId="3264"/>
    <tableColumn id="13127" xr3:uid="{5E4BB7F1-C596-4F35-BC04-CB8D2426EC40}" name="13347" dataDxfId="3263"/>
    <tableColumn id="13128" xr3:uid="{D0DDE887-F7C4-45A1-B529-F9F57BA79963}" name="13348" dataDxfId="3262"/>
    <tableColumn id="13129" xr3:uid="{D2029F2D-5E8C-4EDB-B1E7-56F77F404266}" name="13349" dataDxfId="3261"/>
    <tableColumn id="13130" xr3:uid="{E5969505-6021-416C-A692-771DAB4F85A5}" name="13350" dataDxfId="3260"/>
    <tableColumn id="13131" xr3:uid="{B3E411F5-2C9F-4DFE-82A1-F1E8C24D6B0E}" name="13351" dataDxfId="3259"/>
    <tableColumn id="13132" xr3:uid="{D6B24101-046C-4126-85AD-1CF3516E03F0}" name="13352" dataDxfId="3258"/>
    <tableColumn id="13133" xr3:uid="{2CC129E8-0F7F-40EB-86E5-006E66D12632}" name="13353" dataDxfId="3257"/>
    <tableColumn id="13134" xr3:uid="{134A8D7B-54F5-4A80-B044-C7FD1DD0FB52}" name="13354" dataDxfId="3256"/>
    <tableColumn id="13135" xr3:uid="{AC833658-FDB1-4AEA-B101-6FDFBB249A51}" name="13355" dataDxfId="3255"/>
    <tableColumn id="13136" xr3:uid="{8561FA57-B9F3-46C5-8A2E-397DE8EE2EC5}" name="13356" dataDxfId="3254"/>
    <tableColumn id="13137" xr3:uid="{CD243936-438B-45BE-AD4C-DBE06302CD17}" name="13357" dataDxfId="3253"/>
    <tableColumn id="13138" xr3:uid="{1C63A1CA-E726-42FE-AAF0-5658F6A556AE}" name="13358" dataDxfId="3252"/>
    <tableColumn id="13139" xr3:uid="{0CBFB6C4-81AD-4553-BC60-658BBE4381BA}" name="13359" dataDxfId="3251"/>
    <tableColumn id="13140" xr3:uid="{BD5DADF6-00C6-4CDF-AB34-C660BF9F586F}" name="13360" dataDxfId="3250"/>
    <tableColumn id="13141" xr3:uid="{BDBA8F79-B43B-47EB-8BFC-319851E296A4}" name="13361" dataDxfId="3249"/>
    <tableColumn id="13142" xr3:uid="{4E1D79B0-5B90-4115-9795-2A0482C5C7AF}" name="13362" dataDxfId="3248"/>
    <tableColumn id="13143" xr3:uid="{79B5120F-7BE0-4231-81FD-4FA80142FE27}" name="13363" dataDxfId="3247"/>
    <tableColumn id="13144" xr3:uid="{F7B4BAE5-9B9B-4A21-BD15-936CC4DD3984}" name="13364" dataDxfId="3246"/>
    <tableColumn id="13145" xr3:uid="{F5800348-1471-463C-AD39-37EF3EAF762F}" name="13365" dataDxfId="3245"/>
    <tableColumn id="13146" xr3:uid="{25859E62-2184-49AA-A528-AD29906352DF}" name="13366" dataDxfId="3244"/>
    <tableColumn id="13147" xr3:uid="{A728CB1A-F0ED-414F-B1AA-B079A8A4406D}" name="13367" dataDxfId="3243"/>
    <tableColumn id="13148" xr3:uid="{F44F6C05-8B23-4859-9DA3-84028732CF26}" name="13368" dataDxfId="3242"/>
    <tableColumn id="13149" xr3:uid="{C7D783F3-24FB-4DE6-87F4-BE4FAFEB946D}" name="13369" dataDxfId="3241"/>
    <tableColumn id="13150" xr3:uid="{827AB58D-483C-46E6-A3DD-9E240564C43C}" name="13370" dataDxfId="3240"/>
    <tableColumn id="13151" xr3:uid="{6BD6FB99-8A0D-484A-9566-CA279DCB9AF6}" name="13371" dataDxfId="3239"/>
    <tableColumn id="13152" xr3:uid="{34865031-78F2-4E91-AA28-5745F56FA75E}" name="13372" dataDxfId="3238"/>
    <tableColumn id="13153" xr3:uid="{AEE0D7C6-1A56-4075-B9DE-91ACC3299786}" name="13373" dataDxfId="3237"/>
    <tableColumn id="13154" xr3:uid="{A1487031-9B49-4D7E-92EC-C78EDE258087}" name="13374" dataDxfId="3236"/>
    <tableColumn id="13155" xr3:uid="{584F516D-5993-41B7-AB0C-DCCF1C37BE6B}" name="13375" dataDxfId="3235"/>
    <tableColumn id="13156" xr3:uid="{3E0D0873-1B69-449A-A896-4C3F8B82619B}" name="13376" dataDxfId="3234"/>
    <tableColumn id="13157" xr3:uid="{48AF964B-31C5-4CAA-B4A6-037A426F7582}" name="13377" dataDxfId="3233"/>
    <tableColumn id="13158" xr3:uid="{46E9681C-5C38-4C15-A800-833A5A1AB842}" name="13378" dataDxfId="3232"/>
    <tableColumn id="13159" xr3:uid="{AAC0902A-0DF7-4118-BC0C-2D1414E3211F}" name="13379" dataDxfId="3231"/>
    <tableColumn id="13160" xr3:uid="{DDD68911-A7F5-4B39-BE97-B0B47571949B}" name="13380" dataDxfId="3230"/>
    <tableColumn id="13161" xr3:uid="{C39CE0EA-FD6A-4624-BC99-EB6FE952A2AC}" name="13381" dataDxfId="3229"/>
    <tableColumn id="13162" xr3:uid="{667694F5-3AAF-4B29-B007-1A8C61D0D49E}" name="13382" dataDxfId="3228"/>
    <tableColumn id="13163" xr3:uid="{34576813-0BD4-4A1C-AFD0-3C4BD1AD30BE}" name="13383" dataDxfId="3227"/>
    <tableColumn id="13164" xr3:uid="{600CC753-0D2D-423E-AE2D-E8BDB0B15F7B}" name="13384" dataDxfId="3226"/>
    <tableColumn id="13165" xr3:uid="{0B0A3863-841C-453A-9BDE-BC88F0D79F1C}" name="13385" dataDxfId="3225"/>
    <tableColumn id="13166" xr3:uid="{753F0C4F-1B01-4E02-ACF7-A42A8EAA58A3}" name="13386" dataDxfId="3224"/>
    <tableColumn id="13167" xr3:uid="{A3D3F2DF-3CBB-46C3-877A-23385A48066D}" name="13387" dataDxfId="3223"/>
    <tableColumn id="13168" xr3:uid="{ABD260EE-8469-4CB7-B9C9-C94CD1307AAB}" name="13388" dataDxfId="3222"/>
    <tableColumn id="13169" xr3:uid="{52385274-C493-46D1-9983-1AB7FC032AEB}" name="13389" dataDxfId="3221"/>
    <tableColumn id="13170" xr3:uid="{9911772F-0CB2-4180-80B8-FEFC4CF924AC}" name="13390" dataDxfId="3220"/>
    <tableColumn id="13171" xr3:uid="{C8A04D18-26E3-4C64-8398-78BFB265DD21}" name="13391" dataDxfId="3219"/>
    <tableColumn id="13172" xr3:uid="{C1E0107C-69CA-426A-A601-C32B09569A64}" name="13392" dataDxfId="3218"/>
    <tableColumn id="13173" xr3:uid="{40AA2A46-A69D-4166-B4EB-F7309900E9C5}" name="13393" dataDxfId="3217"/>
    <tableColumn id="13174" xr3:uid="{3080FD5F-46A8-44D2-B484-FDED00176EEA}" name="13394" dataDxfId="3216"/>
    <tableColumn id="13175" xr3:uid="{975372A3-8EEB-412D-A35D-6944BC050DBB}" name="13395" dataDxfId="3215"/>
    <tableColumn id="13176" xr3:uid="{47E70FB5-6872-41FB-A651-0695319E80B9}" name="13396" dataDxfId="3214"/>
    <tableColumn id="13177" xr3:uid="{BBB7AD65-0644-4129-836B-5ABDAFE492CD}" name="13397" dataDxfId="3213"/>
    <tableColumn id="13178" xr3:uid="{0FD0A342-E8BA-4C0F-80B8-3F4ED3CBE018}" name="13398" dataDxfId="3212"/>
    <tableColumn id="13179" xr3:uid="{A74D11F8-685A-4500-85E7-BA0BA5C323C6}" name="13399" dataDxfId="3211"/>
    <tableColumn id="13180" xr3:uid="{894E70A7-5884-4790-93D9-E389E88AECF9}" name="13400" dataDxfId="3210"/>
    <tableColumn id="13181" xr3:uid="{6A5B300F-0579-44C0-B24D-72E223760D96}" name="13401" dataDxfId="3209"/>
    <tableColumn id="13182" xr3:uid="{0BC295DF-D692-4F57-96A6-341B8B856D60}" name="13402" dataDxfId="3208"/>
    <tableColumn id="13183" xr3:uid="{342B6BA7-9AA1-4984-8F96-1DDC0C5FCB65}" name="13403" dataDxfId="3207"/>
    <tableColumn id="13184" xr3:uid="{2F21A396-2F4A-442E-A154-74826FD01FAD}" name="13404" dataDxfId="3206"/>
    <tableColumn id="13185" xr3:uid="{3EC32DA7-EF66-4378-AEA1-46F6AED5972F}" name="13405" dataDxfId="3205"/>
    <tableColumn id="13186" xr3:uid="{BCDB8D9B-61C5-41D1-9E1E-7D3892C9FF37}" name="13406" dataDxfId="3204"/>
    <tableColumn id="13187" xr3:uid="{0803961D-5DF0-4988-AF2E-6E3F68ECDDEF}" name="13407" dataDxfId="3203"/>
    <tableColumn id="13188" xr3:uid="{8FBDF938-5CF2-42C9-B3B2-6E4D6BA161DA}" name="13408" dataDxfId="3202"/>
    <tableColumn id="13189" xr3:uid="{8E020F4C-73E8-4585-8016-67EB4F4FF9D9}" name="13409" dataDxfId="3201"/>
    <tableColumn id="13190" xr3:uid="{4CE45B03-28F2-40CF-9DD5-7D9D58D53F78}" name="13410" dataDxfId="3200"/>
    <tableColumn id="13191" xr3:uid="{0CBF67ED-D5B2-45DD-8907-5BC5ACC102D3}" name="13411" dataDxfId="3199"/>
    <tableColumn id="13192" xr3:uid="{61794544-870E-4EAE-AE02-709F1F34C4C3}" name="13412" dataDxfId="3198"/>
    <tableColumn id="13193" xr3:uid="{6F22102C-E82B-4E78-9EA6-8390ACFBC96B}" name="13413" dataDxfId="3197"/>
    <tableColumn id="13194" xr3:uid="{B880F3D9-2FCD-4C5F-9701-E00B54911D19}" name="13414" dataDxfId="3196"/>
    <tableColumn id="13195" xr3:uid="{2913E008-34B3-4B10-B74E-2F6669A6F57D}" name="13415" dataDxfId="3195"/>
    <tableColumn id="13196" xr3:uid="{5A87BCB8-4EA0-4305-BE3D-37C199F63D65}" name="13416" dataDxfId="3194"/>
    <tableColumn id="13197" xr3:uid="{7285BAB5-A20A-4CC0-8431-DF24829F5DCD}" name="13417" dataDxfId="3193"/>
    <tableColumn id="13198" xr3:uid="{AE0D1B07-CE60-4200-803B-2298206EA5E4}" name="13418" dataDxfId="3192"/>
    <tableColumn id="13199" xr3:uid="{1C425E68-3156-4BBE-9ACB-05908848E2F9}" name="13419" dataDxfId="3191"/>
    <tableColumn id="13200" xr3:uid="{AD610289-C593-4D3D-8130-EA157F87FC6D}" name="13420" dataDxfId="3190"/>
    <tableColumn id="13201" xr3:uid="{88BDC56E-C6B9-466B-AD36-8F35306BB087}" name="13421" dataDxfId="3189"/>
    <tableColumn id="13202" xr3:uid="{F3C0CECB-269C-4683-9186-1BE34D37E785}" name="13422" dataDxfId="3188"/>
    <tableColumn id="13203" xr3:uid="{9886F6DE-3E95-4379-B4FC-FAEF3701D5D4}" name="13423" dataDxfId="3187"/>
    <tableColumn id="13204" xr3:uid="{3538DEF2-45DB-4370-AF65-E876477E8930}" name="13424" dataDxfId="3186"/>
    <tableColumn id="13205" xr3:uid="{DF45CAFB-78CA-4C9C-B403-432320D9E82D}" name="13425" dataDxfId="3185"/>
    <tableColumn id="13206" xr3:uid="{8A69624A-4355-4383-96CB-F79AB1C453D9}" name="13426" dataDxfId="3184"/>
    <tableColumn id="13207" xr3:uid="{35234749-CBFE-4E36-9B0C-600F885BBEBF}" name="13427" dataDxfId="3183"/>
    <tableColumn id="13208" xr3:uid="{3D170462-4A6B-47F7-A8C4-A04D2B7C793F}" name="13428" dataDxfId="3182"/>
    <tableColumn id="13209" xr3:uid="{FA04A396-2862-4008-9B81-F4AE61C5F26A}" name="13429" dataDxfId="3181"/>
    <tableColumn id="13210" xr3:uid="{B3BA4F73-525F-4D1C-B6D6-3BFEBAEE29ED}" name="13430" dataDxfId="3180"/>
    <tableColumn id="13211" xr3:uid="{9E085311-21C6-413D-937B-7749AC6B7AB3}" name="13431" dataDxfId="3179"/>
    <tableColumn id="13212" xr3:uid="{CAD80C60-2BC2-402F-A3BE-EB722D866D30}" name="13432" dataDxfId="3178"/>
    <tableColumn id="13213" xr3:uid="{2CA459C8-EFB6-4B89-9D94-B9BECBA16667}" name="13433" dataDxfId="3177"/>
    <tableColumn id="13214" xr3:uid="{E859C479-3823-41EE-8C4B-31A38CCE8B8D}" name="13434" dataDxfId="3176"/>
    <tableColumn id="13215" xr3:uid="{494182B8-40CD-4326-9CD8-2FC9240BEA2D}" name="13435" dataDxfId="3175"/>
    <tableColumn id="13216" xr3:uid="{163329A0-683C-421F-907D-4D7604A3F4E1}" name="13436" dataDxfId="3174"/>
    <tableColumn id="13217" xr3:uid="{1C8CBDFC-DBF7-476C-B15B-D1F985922172}" name="13437" dataDxfId="3173"/>
    <tableColumn id="13218" xr3:uid="{FBB060D0-CD7D-48D4-B250-759D7B4F713A}" name="13438" dataDxfId="3172"/>
    <tableColumn id="13219" xr3:uid="{F5B1FB3D-F47B-4815-8D1D-A3E3BBCD4CC2}" name="13439" dataDxfId="3171"/>
    <tableColumn id="13220" xr3:uid="{B81C178F-FA40-45C4-90F4-E9DBDB811296}" name="13440" dataDxfId="3170"/>
    <tableColumn id="13221" xr3:uid="{6DDC2DF1-62F6-4D0F-8685-86C1D145EA29}" name="13441" dataDxfId="3169"/>
    <tableColumn id="13222" xr3:uid="{ECA61F1B-9653-48C6-BE57-0CF13689DFE6}" name="13442" dataDxfId="3168"/>
    <tableColumn id="13223" xr3:uid="{6BDDA2F2-652A-4F67-A567-3D33000A43CB}" name="13443" dataDxfId="3167"/>
    <tableColumn id="13224" xr3:uid="{528165B7-8ED3-4494-A983-0149F7AA0A33}" name="13444" dataDxfId="3166"/>
    <tableColumn id="13225" xr3:uid="{5DA3426B-F369-4ABD-AE96-5A496C80FEC5}" name="13445" dataDxfId="3165"/>
    <tableColumn id="13226" xr3:uid="{C309F9F1-EA9F-43BD-A23E-E45F78650638}" name="13446" dataDxfId="3164"/>
    <tableColumn id="13227" xr3:uid="{6210AD4A-40EE-4C11-B3D1-7AD7C3FD3C72}" name="13447" dataDxfId="3163"/>
    <tableColumn id="13228" xr3:uid="{327BD946-3EEC-4BD6-8F40-40800DE46B0B}" name="13448" dataDxfId="3162"/>
    <tableColumn id="13229" xr3:uid="{CE987212-37DB-47BC-9C65-35989307D540}" name="13449" dataDxfId="3161"/>
    <tableColumn id="13230" xr3:uid="{AD615EE6-3C33-4197-A14B-C34D68687899}" name="13450" dataDxfId="3160"/>
    <tableColumn id="13231" xr3:uid="{71AF39EA-8EC2-4DAF-B02A-DA8D4514F3E4}" name="13451" dataDxfId="3159"/>
    <tableColumn id="13232" xr3:uid="{934B0C16-9D8F-4ADF-9F22-35CEEC46F2BA}" name="13452" dataDxfId="3158"/>
    <tableColumn id="13233" xr3:uid="{664713DC-E699-496F-9D61-B0CCE763B1A3}" name="13453" dataDxfId="3157"/>
    <tableColumn id="13234" xr3:uid="{FF16ABD1-83D8-43B6-882F-DD94EE522AF5}" name="13454" dataDxfId="3156"/>
    <tableColumn id="13235" xr3:uid="{90E7BEE3-9CB0-4702-A4E3-8E970EE46115}" name="13455" dataDxfId="3155"/>
    <tableColumn id="13236" xr3:uid="{35559C9A-E264-454E-9219-23E226E75A6D}" name="13456" dataDxfId="3154"/>
    <tableColumn id="13237" xr3:uid="{88667321-7802-496E-B71F-32231BAA8BA3}" name="13457" dataDxfId="3153"/>
    <tableColumn id="13238" xr3:uid="{0AAD35B8-754D-4C60-A5CB-21599F665052}" name="13458" dataDxfId="3152"/>
    <tableColumn id="13239" xr3:uid="{CD6FDD0C-86F4-4006-B9A9-CC7676A8262B}" name="13459" dataDxfId="3151"/>
    <tableColumn id="13240" xr3:uid="{3E82227E-775E-446D-AFD3-4598192E129C}" name="13460" dataDxfId="3150"/>
    <tableColumn id="13241" xr3:uid="{E9C87258-3D39-4D71-9FFC-D88DF4D942B7}" name="13461" dataDxfId="3149"/>
    <tableColumn id="13242" xr3:uid="{FE0C115C-0452-4E8D-B32B-D274FBFC975A}" name="13462" dataDxfId="3148"/>
    <tableColumn id="13243" xr3:uid="{F41E3B4C-9FD6-4E45-AADF-0ED5DC48F006}" name="13463" dataDxfId="3147"/>
    <tableColumn id="13244" xr3:uid="{0CF214E7-A093-4005-9595-BA601CB118DB}" name="13464" dataDxfId="3146"/>
    <tableColumn id="13245" xr3:uid="{E9DAE511-8C96-45AB-AAC1-ED81FA5946D7}" name="13465" dataDxfId="3145"/>
    <tableColumn id="13246" xr3:uid="{59FA1741-347D-45D6-A8CA-0F5FD5993098}" name="13466" dataDxfId="3144"/>
    <tableColumn id="13247" xr3:uid="{CF333662-C3F1-4306-9A5D-BEF58C3B0538}" name="13467" dataDxfId="3143"/>
    <tableColumn id="13248" xr3:uid="{179D73C3-44F6-43CF-B3CF-0BE4E45EB19C}" name="13468" dataDxfId="3142"/>
    <tableColumn id="13249" xr3:uid="{FCE11FAA-F4FC-4000-8D13-F6DF604D8BC2}" name="13469" dataDxfId="3141"/>
    <tableColumn id="13250" xr3:uid="{E21D675C-C1CA-4CF9-93B8-0A09AB654666}" name="13470" dataDxfId="3140"/>
    <tableColumn id="13251" xr3:uid="{8550A76F-360D-4D77-8F57-EC9B3D58CEFF}" name="13471" dataDxfId="3139"/>
    <tableColumn id="13252" xr3:uid="{50741BB0-F737-49DB-AD90-763FE60D00E3}" name="13472" dataDxfId="3138"/>
    <tableColumn id="13253" xr3:uid="{ABA1CCF4-89F1-4F66-BC60-90CD857AC528}" name="13473" dataDxfId="3137"/>
    <tableColumn id="13254" xr3:uid="{BCF1A193-3EA7-490E-8EE4-29EC96E06BBC}" name="13474" dataDxfId="3136"/>
    <tableColumn id="13255" xr3:uid="{3CBCFE12-BBF5-410F-B67E-FA4F29E99631}" name="13475" dataDxfId="3135"/>
    <tableColumn id="13256" xr3:uid="{3749AE36-4B37-4E63-863F-20ED50F64E34}" name="13476" dataDxfId="3134"/>
    <tableColumn id="13257" xr3:uid="{AE9589D0-4073-47C4-8DC2-33900553D46B}" name="13477" dataDxfId="3133"/>
    <tableColumn id="13258" xr3:uid="{84A3B160-2228-4CC3-9257-532BB604D7BE}" name="13478" dataDxfId="3132"/>
    <tableColumn id="13259" xr3:uid="{AAE19A4A-106D-4207-BAAD-BCDB13DEC6F8}" name="13479" dataDxfId="3131"/>
    <tableColumn id="13260" xr3:uid="{304BCE08-661A-402A-92F9-543BEB504DD5}" name="13480" dataDxfId="3130"/>
    <tableColumn id="13261" xr3:uid="{64945CC1-3942-4CE9-BFC3-A67C073E7201}" name="13481" dataDxfId="3129"/>
    <tableColumn id="13262" xr3:uid="{C32FC7C1-540D-4D89-B906-8DB714B6A8C8}" name="13482" dataDxfId="3128"/>
    <tableColumn id="13263" xr3:uid="{0DF7ABFB-2C54-4E42-93FC-F046D320605A}" name="13483" dataDxfId="3127"/>
    <tableColumn id="13264" xr3:uid="{2E8F753E-F290-4ADD-A278-E729159FB124}" name="13484" dataDxfId="3126"/>
    <tableColumn id="13265" xr3:uid="{C5CCF3BC-07C1-4AD4-8A4F-9380A316D315}" name="13485" dataDxfId="3125"/>
    <tableColumn id="13266" xr3:uid="{A1E088C1-4774-4E7C-A293-7E72C9E28373}" name="13486" dataDxfId="3124"/>
    <tableColumn id="13267" xr3:uid="{55308AAD-B752-4353-AA70-A4B478EE5964}" name="13487" dataDxfId="3123"/>
    <tableColumn id="13268" xr3:uid="{FAB6F4D6-5538-4635-B183-F8282A3B7330}" name="13488" dataDxfId="3122"/>
    <tableColumn id="13269" xr3:uid="{D34AF84F-4EAA-4D17-9DB8-4A7C226D2166}" name="13489" dataDxfId="3121"/>
    <tableColumn id="13270" xr3:uid="{3E7AD802-735A-4E49-A82A-B8EF6D11F0F4}" name="13490" dataDxfId="3120"/>
    <tableColumn id="13271" xr3:uid="{09ECAD52-6655-4411-864B-3F55C902D2CD}" name="13491" dataDxfId="3119"/>
    <tableColumn id="13272" xr3:uid="{E1423F39-E366-4688-BB85-B2F3383D1CF9}" name="13492" dataDxfId="3118"/>
    <tableColumn id="13273" xr3:uid="{B1C20589-107A-4CA2-BA20-68A2DD2B9AD0}" name="13493" dataDxfId="3117"/>
    <tableColumn id="13274" xr3:uid="{24183FC5-1E68-462C-9B44-0ECA594829D0}" name="13494" dataDxfId="3116"/>
    <tableColumn id="13275" xr3:uid="{C3CAA13D-B03A-4797-AC02-035F9678B942}" name="13495" dataDxfId="3115"/>
    <tableColumn id="13276" xr3:uid="{573F7937-131C-46DE-AF16-9F399BB57058}" name="13496" dataDxfId="3114"/>
    <tableColumn id="13277" xr3:uid="{7F093D46-BD17-45F2-88EF-6D96EDE7C19E}" name="13497" dataDxfId="3113"/>
    <tableColumn id="13278" xr3:uid="{19559698-D919-4F6A-9621-AF3C10162074}" name="13498" dataDxfId="3112"/>
    <tableColumn id="13279" xr3:uid="{40275854-1DA5-4F17-8398-8426C8B4C522}" name="13499" dataDxfId="3111"/>
    <tableColumn id="13280" xr3:uid="{DCBB5C5F-731B-46A9-80D3-8CFF445E6AA8}" name="13500" dataDxfId="3110"/>
    <tableColumn id="13281" xr3:uid="{7344516E-154D-4DBD-9881-9D81C3F0F6DD}" name="13501" dataDxfId="3109"/>
    <tableColumn id="13282" xr3:uid="{689EF891-C392-4740-9D20-634CB1044C5E}" name="13502" dataDxfId="3108"/>
    <tableColumn id="13283" xr3:uid="{672DA65A-03B3-4A54-A15A-FF0F3FF58253}" name="13503" dataDxfId="3107"/>
    <tableColumn id="13284" xr3:uid="{36171295-6CC3-4B2F-8EDB-BA7B9927E5A2}" name="13504" dataDxfId="3106"/>
    <tableColumn id="13285" xr3:uid="{B04AB428-0928-47EA-AF54-206E2E546F98}" name="13505" dataDxfId="3105"/>
    <tableColumn id="13286" xr3:uid="{19516454-5DF1-4DFE-9108-D8993010D148}" name="13506" dataDxfId="3104"/>
    <tableColumn id="13287" xr3:uid="{D8727078-DA2B-4C7F-A19E-D1A7A95AAD34}" name="13507" dataDxfId="3103"/>
    <tableColumn id="13288" xr3:uid="{FA76A18B-172D-42D9-BBB8-1763EF53589F}" name="13508" dataDxfId="3102"/>
    <tableColumn id="13289" xr3:uid="{60332F6C-DDD7-4D26-A095-7624FDDE8891}" name="13509" dataDxfId="3101"/>
    <tableColumn id="13290" xr3:uid="{CEE16B76-2392-4731-8190-A3CF7B1B8482}" name="13510" dataDxfId="3100"/>
    <tableColumn id="13291" xr3:uid="{129D577E-64C8-4435-8806-78E979DC3437}" name="13511" dataDxfId="3099"/>
    <tableColumn id="13292" xr3:uid="{775868F0-ED3B-42EF-8F85-E590FE5E382F}" name="13512" dataDxfId="3098"/>
    <tableColumn id="13293" xr3:uid="{47B3CB5B-E2EC-42C8-A7D7-5EDBFD29865D}" name="13513" dataDxfId="3097"/>
    <tableColumn id="13294" xr3:uid="{B5A39F9B-B83D-460F-9A26-A67414197D30}" name="13514" dataDxfId="3096"/>
    <tableColumn id="13295" xr3:uid="{0556DC22-9123-4399-93E6-A01BCB0029F5}" name="13515" dataDxfId="3095"/>
    <tableColumn id="13296" xr3:uid="{9B3E4681-3A1C-4A59-9C34-F94C95B003B7}" name="13516" dataDxfId="3094"/>
    <tableColumn id="13297" xr3:uid="{AFBC141A-6E1B-489F-8F72-C52318104C4B}" name="13517" dataDxfId="3093"/>
    <tableColumn id="13298" xr3:uid="{35602D1F-2298-4A3E-AAD5-23B327B47E7F}" name="13518" dataDxfId="3092"/>
    <tableColumn id="13299" xr3:uid="{A839DCA5-F384-47A9-993F-7C8DE9BA9A8C}" name="13519" dataDxfId="3091"/>
    <tableColumn id="13300" xr3:uid="{98EE2D47-3610-4E8C-AC1E-FADD5E03C121}" name="13520" dataDxfId="3090"/>
    <tableColumn id="13301" xr3:uid="{71E98405-869D-4735-ABB1-924A7865AEA7}" name="13521" dataDxfId="3089"/>
    <tableColumn id="13302" xr3:uid="{33C429F8-88DE-456C-AFA0-A7F7DB2AD225}" name="13522" dataDxfId="3088"/>
    <tableColumn id="13303" xr3:uid="{7DCF0B5E-ADD9-4C6E-98B3-E892EA6CF66B}" name="13523" dataDxfId="3087"/>
    <tableColumn id="13304" xr3:uid="{3038E0D0-D9DF-4C3F-83C5-4F0979CCB317}" name="13524" dataDxfId="3086"/>
    <tableColumn id="13305" xr3:uid="{0B4265E2-F787-4E90-9202-A038C7FEF218}" name="13525" dataDxfId="3085"/>
    <tableColumn id="13306" xr3:uid="{D8BEB359-2FB5-46BD-A410-E48B3F6E9766}" name="13526" dataDxfId="3084"/>
    <tableColumn id="13307" xr3:uid="{4914E7B8-7F42-40E2-94FA-9849646CF705}" name="13527" dataDxfId="3083"/>
    <tableColumn id="13308" xr3:uid="{15C31BB0-F66C-4CC3-A756-C7DE5161845C}" name="13528" dataDxfId="3082"/>
    <tableColumn id="13309" xr3:uid="{BEBAB529-F424-4480-BDFE-60FAED8596A4}" name="13529" dataDxfId="3081"/>
    <tableColumn id="13310" xr3:uid="{47E7FB57-CEAC-4F85-A2B8-D7F5FC3670E5}" name="13530" dataDxfId="3080"/>
    <tableColumn id="13311" xr3:uid="{D4BCA6A9-1A8C-4E99-A2FB-B7E8A2F91D61}" name="13531" dataDxfId="3079"/>
    <tableColumn id="13312" xr3:uid="{07279183-54F0-458F-B4E3-D33D93FA548F}" name="13532" dataDxfId="3078"/>
    <tableColumn id="13313" xr3:uid="{CC201AC9-EFA8-4388-A721-4410F1CE23B7}" name="13533" dataDxfId="3077"/>
    <tableColumn id="13314" xr3:uid="{99CF2B15-C282-487B-B620-F48AD18120AB}" name="13534" dataDxfId="3076"/>
    <tableColumn id="13315" xr3:uid="{A693F9F1-CE97-429F-916E-1E1BE7B91CCD}" name="13535" dataDxfId="3075"/>
    <tableColumn id="13316" xr3:uid="{C5E023AA-54EB-4E1A-8FD8-D8C024923FFC}" name="13536" dataDxfId="3074"/>
    <tableColumn id="13317" xr3:uid="{1BBCC29C-BBEB-421B-9143-0F87264DBA9E}" name="13537" dataDxfId="3073"/>
    <tableColumn id="13318" xr3:uid="{08F085D1-D734-4845-B7F7-EA515FD2A278}" name="13538" dataDxfId="3072"/>
    <tableColumn id="13319" xr3:uid="{1A5180F0-3E26-4603-94AE-B5506C8A5564}" name="13539" dataDxfId="3071"/>
    <tableColumn id="13320" xr3:uid="{3E707011-5C94-47A0-9D39-9741BCC5AE64}" name="13540" dataDxfId="3070"/>
    <tableColumn id="13321" xr3:uid="{5F015670-AA3D-45F9-BAD3-89D009E0A17F}" name="13541" dataDxfId="3069"/>
    <tableColumn id="13322" xr3:uid="{99498537-D8FD-4AB7-A65D-6FD4C67116A7}" name="13542" dataDxfId="3068"/>
    <tableColumn id="13323" xr3:uid="{5C7AEC12-A842-4341-A138-B6BC0CA1653E}" name="13543" dataDxfId="3067"/>
    <tableColumn id="13324" xr3:uid="{EECC3686-0989-409A-B183-84BB71BFFC30}" name="13544" dataDxfId="3066"/>
    <tableColumn id="13325" xr3:uid="{E0F06EBE-E0A9-4DE6-BD0C-41ABCD6FBC44}" name="13545" dataDxfId="3065"/>
    <tableColumn id="13326" xr3:uid="{3D9EFC47-BF08-41E2-9CF0-8D916D48072C}" name="13546" dataDxfId="3064"/>
    <tableColumn id="13327" xr3:uid="{A5D609F1-8AAC-4B53-BE37-11D508A3C300}" name="13547" dataDxfId="3063"/>
    <tableColumn id="13328" xr3:uid="{5B5FB802-28A1-4E62-B6A0-F154D0A80F84}" name="13548" dataDxfId="3062"/>
    <tableColumn id="13329" xr3:uid="{B30A6E42-6439-4098-BC25-0DE82D348B22}" name="13549" dataDxfId="3061"/>
    <tableColumn id="13330" xr3:uid="{09C8AE70-8823-45A6-BDAE-509B3B30B82A}" name="13550" dataDxfId="3060"/>
    <tableColumn id="13331" xr3:uid="{31F951B7-AB3F-4788-85EF-84CFC6D56B86}" name="13551" dataDxfId="3059"/>
    <tableColumn id="13332" xr3:uid="{2D974296-6EDC-4735-90B9-53EA5FE16919}" name="13552" dataDxfId="3058"/>
    <tableColumn id="13333" xr3:uid="{3FBE5FE6-9856-4A3D-887B-FAD6CE43DAFB}" name="13553" dataDxfId="3057"/>
    <tableColumn id="13334" xr3:uid="{3E69B0CE-40F0-4ACD-BC2B-C981E0D68D69}" name="13554" dataDxfId="3056"/>
    <tableColumn id="13335" xr3:uid="{3AA91276-5968-44CC-93EA-B486769AEF9C}" name="13555" dataDxfId="3055"/>
    <tableColumn id="13336" xr3:uid="{D25EC88A-A4D9-4DF9-A030-7368E519A3DA}" name="13556" dataDxfId="3054"/>
    <tableColumn id="13337" xr3:uid="{1086863E-5E3E-40C4-8450-7890370DCA26}" name="13557" dataDxfId="3053"/>
    <tableColumn id="13338" xr3:uid="{F6CC5695-BAD2-4678-B679-A8470009A2DC}" name="13558" dataDxfId="3052"/>
    <tableColumn id="13339" xr3:uid="{014C9AC2-3A86-485D-9FEF-B05B856F837F}" name="13559" dataDxfId="3051"/>
    <tableColumn id="13340" xr3:uid="{8A27D25B-667C-43F5-A5AA-1EE66701F13A}" name="13560" dataDxfId="3050"/>
    <tableColumn id="13341" xr3:uid="{E78A18D4-CAB9-4B1B-B551-BD630BE5910C}" name="13561" dataDxfId="3049"/>
    <tableColumn id="13342" xr3:uid="{93B93BD3-2EED-4127-BDE7-8C290681F1FD}" name="13562" dataDxfId="3048"/>
    <tableColumn id="13343" xr3:uid="{7A17FE6B-4A43-44F7-AAC9-23CE6C8E50E5}" name="13563" dataDxfId="3047"/>
    <tableColumn id="13344" xr3:uid="{A528D122-07FF-40E9-A133-AD7C735EA9CC}" name="13564" dataDxfId="3046"/>
    <tableColumn id="13345" xr3:uid="{7670FC0D-E3C1-4383-BC99-6DEABBD5E607}" name="13565" dataDxfId="3045"/>
    <tableColumn id="13346" xr3:uid="{08ABDA6F-5B51-46FC-ABA9-52F4DEBA28C2}" name="13566" dataDxfId="3044"/>
    <tableColumn id="13347" xr3:uid="{848EFD60-7FC2-4A89-BF04-0FDC58A45F36}" name="13567" dataDxfId="3043"/>
    <tableColumn id="13348" xr3:uid="{4196F50C-FDE9-4050-8F92-0433F20E70B8}" name="13568" dataDxfId="3042"/>
    <tableColumn id="13349" xr3:uid="{268F30D6-CA8E-4320-AECF-3A4ABC89751B}" name="13569" dataDxfId="3041"/>
    <tableColumn id="13350" xr3:uid="{A8560D77-9344-4538-9F6F-27DAC69C663B}" name="13570" dataDxfId="3040"/>
    <tableColumn id="13351" xr3:uid="{41FC08EB-8201-4217-A03B-47E7637C33B8}" name="13571" dataDxfId="3039"/>
    <tableColumn id="13352" xr3:uid="{D2E5B5B2-1656-4722-8BB2-F4A3F181D48C}" name="13572" dataDxfId="3038"/>
    <tableColumn id="13353" xr3:uid="{33757D23-6B07-4372-9294-31C10678D344}" name="13573" dataDxfId="3037"/>
    <tableColumn id="13354" xr3:uid="{53DDE659-9266-4BD3-BCAF-2BEE63E3DB84}" name="13574" dataDxfId="3036"/>
    <tableColumn id="13355" xr3:uid="{2F35695D-8DE9-4BB8-867E-7E666F06F0A8}" name="13575" dataDxfId="3035"/>
    <tableColumn id="13356" xr3:uid="{9AC15528-FBC2-42AA-B1A3-94D34DC21349}" name="13576" dataDxfId="3034"/>
    <tableColumn id="13357" xr3:uid="{6EF5239E-BAE0-4B2B-8174-718CA1360DEF}" name="13577" dataDxfId="3033"/>
    <tableColumn id="13358" xr3:uid="{68BD9E4B-B454-4954-8BC5-522734EE8E10}" name="13578" dataDxfId="3032"/>
    <tableColumn id="13359" xr3:uid="{4750937F-1682-429A-B6F6-D863D6A73932}" name="13579" dataDxfId="3031"/>
    <tableColumn id="13360" xr3:uid="{AF93A0C4-69F4-497C-A357-D53BB66DCA82}" name="13580" dataDxfId="3030"/>
    <tableColumn id="13361" xr3:uid="{B2B51FB0-B609-42FD-9DD5-E4EFA14A8A1A}" name="13581" dataDxfId="3029"/>
    <tableColumn id="13362" xr3:uid="{28A5D0F6-06FB-4D3E-8802-D3B746EF5A59}" name="13582" dataDxfId="3028"/>
    <tableColumn id="13363" xr3:uid="{A91ECD44-EAFA-4487-AF51-AA1C06B40D1B}" name="13583" dataDxfId="3027"/>
    <tableColumn id="13364" xr3:uid="{A5D26B15-A015-4621-A3E7-E86184A9BD4F}" name="13584" dataDxfId="3026"/>
    <tableColumn id="13365" xr3:uid="{309D6587-767D-461D-AE0C-A7B9DC3FC03E}" name="13585" dataDxfId="3025"/>
    <tableColumn id="13366" xr3:uid="{EF4D6EE7-5B2C-4BC5-A74D-41FDF3965614}" name="13586" dataDxfId="3024"/>
    <tableColumn id="13367" xr3:uid="{62F304EF-E544-4801-9FBC-884CDF3760B3}" name="13587" dataDxfId="3023"/>
    <tableColumn id="13368" xr3:uid="{6744DB42-FAE5-478C-8BCA-1CFCE39614D5}" name="13588" dataDxfId="3022"/>
    <tableColumn id="13369" xr3:uid="{A3ED400A-107B-4FA7-BBB5-CF4A154752B7}" name="13589" dataDxfId="3021"/>
    <tableColumn id="13370" xr3:uid="{5B421432-CC10-4E5C-8398-5694DD814FB0}" name="13590" dataDxfId="3020"/>
    <tableColumn id="13371" xr3:uid="{C4D33C27-E74E-4984-A7CF-7870987141BE}" name="13591" dataDxfId="3019"/>
    <tableColumn id="13372" xr3:uid="{EA683859-C0B7-491F-BF85-97BFAFBDBE22}" name="13592" dataDxfId="3018"/>
    <tableColumn id="13373" xr3:uid="{EFE8EE9E-6561-4DA8-BD2F-49B49720F9C0}" name="13593" dataDxfId="3017"/>
    <tableColumn id="13374" xr3:uid="{8321A3C8-06B2-4F63-8499-220F627F5DEB}" name="13594" dataDxfId="3016"/>
    <tableColumn id="13375" xr3:uid="{09B1653B-40DD-437E-9E96-1E9379CDDCA5}" name="13595" dataDxfId="3015"/>
    <tableColumn id="13376" xr3:uid="{F8950DFD-F2B0-4D98-9046-758FEF0180B5}" name="13596" dataDxfId="3014"/>
    <tableColumn id="13377" xr3:uid="{1867D3FC-B1D1-428D-AE39-C4A3629F32E4}" name="13597" dataDxfId="3013"/>
    <tableColumn id="13378" xr3:uid="{93FE5B5B-9718-43CA-90ED-5D98BEFEB694}" name="13598" dataDxfId="3012"/>
    <tableColumn id="13379" xr3:uid="{355FD5CD-729C-4EBA-AD2A-E8A6C97A1EFF}" name="13599" dataDxfId="3011"/>
    <tableColumn id="13380" xr3:uid="{3EF58A11-9B34-42DD-8A89-E55428F01B0F}" name="13600" dataDxfId="3010"/>
    <tableColumn id="13381" xr3:uid="{EBDAF335-94D1-4774-85EB-D0040995609B}" name="13601" dataDxfId="3009"/>
    <tableColumn id="13382" xr3:uid="{18068D33-3979-435B-8441-8151F0C9194E}" name="13602" dataDxfId="3008"/>
    <tableColumn id="13383" xr3:uid="{3F528C78-0F5D-4912-B3BF-D329F67226D8}" name="13603" dataDxfId="3007"/>
    <tableColumn id="13384" xr3:uid="{F9DC6553-6035-4EFB-8157-6F73B9795A17}" name="13604" dataDxfId="3006"/>
    <tableColumn id="13385" xr3:uid="{EAB6FC04-E5D4-497E-85C3-F17A9EC70209}" name="13605" dataDxfId="3005"/>
    <tableColumn id="13386" xr3:uid="{4EB30A63-B035-41D8-8172-FA83EB88E8E6}" name="13606" dataDxfId="3004"/>
    <tableColumn id="13387" xr3:uid="{4EBA6FA6-0B0F-4902-BE85-DF8726F7513C}" name="13607" dataDxfId="3003"/>
    <tableColumn id="13388" xr3:uid="{F744E9E5-A43C-4040-8675-41D4B40C0354}" name="13608" dataDxfId="3002"/>
    <tableColumn id="13389" xr3:uid="{A3D90443-8CE4-47BC-9FE2-90C988536CAB}" name="13609" dataDxfId="3001"/>
    <tableColumn id="13390" xr3:uid="{EF604252-D4EA-4783-8722-968BE42B1773}" name="13610" dataDxfId="3000"/>
    <tableColumn id="13391" xr3:uid="{AC29E7A4-DAE9-498A-9FA8-A8B5E9EEF01A}" name="13611" dataDxfId="2999"/>
    <tableColumn id="13392" xr3:uid="{9CB342BF-8827-4264-BFA8-81FDA8C56CE8}" name="13612" dataDxfId="2998"/>
    <tableColumn id="13393" xr3:uid="{FA78CC8C-3E2E-4130-8F25-59BC5FA4596A}" name="13613" dataDxfId="2997"/>
    <tableColumn id="13394" xr3:uid="{21AAE549-F9BB-4151-988C-548D60F6482C}" name="13614" dataDxfId="2996"/>
    <tableColumn id="13395" xr3:uid="{93E1ED60-3579-4B6D-BF33-A948BA495321}" name="13615" dataDxfId="2995"/>
    <tableColumn id="13396" xr3:uid="{3905611C-C9DC-4A0C-BF35-F05BF21D5D4E}" name="13616" dataDxfId="2994"/>
    <tableColumn id="13397" xr3:uid="{25F2A628-6ED1-4FB7-BD0C-C2EF322B2423}" name="13617" dataDxfId="2993"/>
    <tableColumn id="13398" xr3:uid="{63DA6855-E1AF-463C-A2CE-1E7025096EEE}" name="13618" dataDxfId="2992"/>
    <tableColumn id="13399" xr3:uid="{48EC3AF8-DE68-46E0-B7C9-9F038C02CD8A}" name="13619" dataDxfId="2991"/>
    <tableColumn id="13400" xr3:uid="{3899A7E6-286E-482E-BC82-6092AADBA941}" name="13620" dataDxfId="2990"/>
    <tableColumn id="13401" xr3:uid="{70EE36C9-CAAB-46FA-A782-05F2A756D99B}" name="13621" dataDxfId="2989"/>
    <tableColumn id="13402" xr3:uid="{CFF289A0-C661-49EE-A428-6AECDDB302FE}" name="13622" dataDxfId="2988"/>
    <tableColumn id="13403" xr3:uid="{DD6D400F-2ED4-4E8B-90A8-4112B816D871}" name="13623" dataDxfId="2987"/>
    <tableColumn id="13404" xr3:uid="{32C2701E-5270-430B-8035-975F2F694A57}" name="13624" dataDxfId="2986"/>
    <tableColumn id="13405" xr3:uid="{3D97B223-0CA7-45C0-B1E8-15C782F9B2D9}" name="13625" dataDxfId="2985"/>
    <tableColumn id="13406" xr3:uid="{6040821E-590F-41D2-9A22-943FF5420CCE}" name="13626" dataDxfId="2984"/>
    <tableColumn id="13407" xr3:uid="{E7596FDD-FB3E-498B-99C5-0D4A0178BFD8}" name="13627" dataDxfId="2983"/>
    <tableColumn id="13408" xr3:uid="{4D736691-CA10-4FEB-B34B-0EB72E9BD319}" name="13628" dataDxfId="2982"/>
    <tableColumn id="13409" xr3:uid="{AF0CB495-59F1-4130-93B5-261356CB3C85}" name="13629" dataDxfId="2981"/>
    <tableColumn id="13410" xr3:uid="{75B831EE-4005-42B2-B61A-D82FE0FE8ED4}" name="13630" dataDxfId="2980"/>
    <tableColumn id="13411" xr3:uid="{3EE22093-135E-4A4F-A9E9-F24A8C66F17A}" name="13631" dataDxfId="2979"/>
    <tableColumn id="13412" xr3:uid="{3FED2E5D-1F97-453A-912C-3A03332C8C15}" name="13632" dataDxfId="2978"/>
    <tableColumn id="13413" xr3:uid="{6294AF0A-9882-4331-B786-010B3B151362}" name="13633" dataDxfId="2977"/>
    <tableColumn id="13414" xr3:uid="{D4D003E9-33D6-4B29-8606-2A96F0DD2230}" name="13634" dataDxfId="2976"/>
    <tableColumn id="13415" xr3:uid="{333A95D0-8F24-458A-A921-2B368BCC3E84}" name="13635" dataDxfId="2975"/>
    <tableColumn id="13416" xr3:uid="{3DE91E6C-77C5-444E-A30D-47D96B346DE5}" name="13636" dataDxfId="2974"/>
    <tableColumn id="13417" xr3:uid="{EA3E7728-4F73-40B7-9C29-CCE3E94F1EA8}" name="13637" dataDxfId="2973"/>
    <tableColumn id="13418" xr3:uid="{7DD7774C-7367-4E36-A5AC-DE5BDC2AF4E3}" name="13638" dataDxfId="2972"/>
    <tableColumn id="13419" xr3:uid="{C399232F-993A-410B-A868-E875E9D27C31}" name="13639" dataDxfId="2971"/>
    <tableColumn id="13420" xr3:uid="{E86FC562-823E-4216-B9D9-6540BAF60619}" name="13640" dataDxfId="2970"/>
    <tableColumn id="13421" xr3:uid="{6099C737-B084-4360-9A91-EC9C4A4E9EAB}" name="13641" dataDxfId="2969"/>
    <tableColumn id="13422" xr3:uid="{4A7F4827-EDA8-4F64-BCC0-A9C58DF20821}" name="13642" dataDxfId="2968"/>
    <tableColumn id="13423" xr3:uid="{AD482D7D-5B11-4F47-B80C-BEF25044EDFD}" name="13643" dataDxfId="2967"/>
    <tableColumn id="13424" xr3:uid="{3E5A284A-F96C-4E14-A18A-37E4615F521D}" name="13644" dataDxfId="2966"/>
    <tableColumn id="13425" xr3:uid="{2EF359B5-FF49-43F7-8F49-8C0FF4E2D442}" name="13645" dataDxfId="2965"/>
    <tableColumn id="13426" xr3:uid="{AEFDB9B9-935E-488A-BAFD-EDD33DB2CF9B}" name="13646" dataDxfId="2964"/>
    <tableColumn id="13427" xr3:uid="{6179F537-E901-4F9E-989B-2341B3E9F7C8}" name="13647" dataDxfId="2963"/>
    <tableColumn id="13428" xr3:uid="{DD83DB7A-F43F-4EBF-A4FA-0D5FFDD0480F}" name="13648" dataDxfId="2962"/>
    <tableColumn id="13429" xr3:uid="{4493BDAC-998E-44A2-A418-556EB13155B0}" name="13649" dataDxfId="2961"/>
    <tableColumn id="13430" xr3:uid="{2C952DA9-FC5E-4F2D-A91D-EC53FC82525C}" name="13650" dataDxfId="2960"/>
    <tableColumn id="13431" xr3:uid="{7543EF09-E1BF-4B22-A941-1DD908B66CF5}" name="13651" dataDxfId="2959"/>
    <tableColumn id="13432" xr3:uid="{8BC5FBF0-16D9-4FE9-9E74-5B2AE0DBC794}" name="13652" dataDxfId="2958"/>
    <tableColumn id="13433" xr3:uid="{F09E7384-3FF4-43F9-9C14-89DE28829ABE}" name="13653" dataDxfId="2957"/>
    <tableColumn id="13434" xr3:uid="{BCD555A5-DCF5-49B0-8FC9-959127472FD9}" name="13654" dataDxfId="2956"/>
    <tableColumn id="13435" xr3:uid="{30FBB6BC-91CB-4D3E-9756-0A209FE16E04}" name="13655" dataDxfId="2955"/>
    <tableColumn id="13436" xr3:uid="{D877292D-FDDB-4175-926C-9C7900856F2E}" name="13656" dataDxfId="2954"/>
    <tableColumn id="13437" xr3:uid="{57FD1294-BAA0-4842-B95B-F1FDF54C61D2}" name="13657" dataDxfId="2953"/>
    <tableColumn id="13438" xr3:uid="{6FAFA7BC-9D31-4A7A-A914-6C2082629150}" name="13658" dataDxfId="2952"/>
    <tableColumn id="13439" xr3:uid="{146CC1DD-8ED8-409C-87A5-0D07586BCC30}" name="13659" dataDxfId="2951"/>
    <tableColumn id="13440" xr3:uid="{D0E02D70-60D8-4464-BCCF-3D894B938A40}" name="13660" dataDxfId="2950"/>
    <tableColumn id="13441" xr3:uid="{5DDC8A80-BA98-4CB5-9165-FE737EBBA52C}" name="13661" dataDxfId="2949"/>
    <tableColumn id="13442" xr3:uid="{A610787D-B6D4-4F3B-A97C-E7EC674CBFAC}" name="13662" dataDxfId="2948"/>
    <tableColumn id="13443" xr3:uid="{19BB235A-6554-49D5-B184-3C0B8300B8B4}" name="13663" dataDxfId="2947"/>
    <tableColumn id="13444" xr3:uid="{01AB04E7-6C6D-42E9-9106-ED08F16D6048}" name="13664" dataDxfId="2946"/>
    <tableColumn id="13445" xr3:uid="{BCFC157D-EDAF-42A8-A240-12539BA330F8}" name="13665" dataDxfId="2945"/>
    <tableColumn id="13446" xr3:uid="{ABF31E2E-AA7D-4B44-AF87-0E1D1C2F0C00}" name="13666" dataDxfId="2944"/>
    <tableColumn id="13447" xr3:uid="{FE96DE46-1CE0-4715-B25D-1AE5432B9C2D}" name="13667" dataDxfId="2943"/>
    <tableColumn id="13448" xr3:uid="{12E9B8D5-CD17-4A40-BD6C-D0424FD5BFD8}" name="13668" dataDxfId="2942"/>
    <tableColumn id="13449" xr3:uid="{F5CEC7BA-AAEF-408B-8503-0CF424ED21AE}" name="13669" dataDxfId="2941"/>
    <tableColumn id="13450" xr3:uid="{746D6A2A-3FAE-4AC1-88AD-499100D2E3BC}" name="13670" dataDxfId="2940"/>
    <tableColumn id="13451" xr3:uid="{E52680CB-6D64-42D2-9DC4-B38CE2B5234E}" name="13671" dataDxfId="2939"/>
    <tableColumn id="13452" xr3:uid="{5FA22E3D-A619-4284-934F-3BB5F614B606}" name="13672" dataDxfId="2938"/>
    <tableColumn id="13453" xr3:uid="{61145701-1FCF-4348-87AD-1BF8DC0213D0}" name="13673" dataDxfId="2937"/>
    <tableColumn id="13454" xr3:uid="{A475D681-B6D0-4274-9B56-BA42AC6D9161}" name="13674" dataDxfId="2936"/>
    <tableColumn id="13455" xr3:uid="{374867C6-C591-4039-9C2D-7F939D80F002}" name="13675" dataDxfId="2935"/>
    <tableColumn id="13456" xr3:uid="{3DEF4A01-204F-4C87-8338-E00AB7875859}" name="13676" dataDxfId="2934"/>
    <tableColumn id="13457" xr3:uid="{ECC3D3FE-241F-45D3-BDC6-7F44878EC13F}" name="13677" dataDxfId="2933"/>
    <tableColumn id="13458" xr3:uid="{0B55C317-B4FD-446E-B031-440A2E1CDBD2}" name="13678" dataDxfId="2932"/>
    <tableColumn id="13459" xr3:uid="{AB2A3E11-9BA6-4B2C-881F-B3C116619796}" name="13679" dataDxfId="2931"/>
    <tableColumn id="13460" xr3:uid="{8BA5B796-4404-4E56-AB56-3B166F70660A}" name="13680" dataDxfId="2930"/>
    <tableColumn id="13461" xr3:uid="{F3AC6EF2-E245-441F-82D1-5750E2DE0258}" name="13681" dataDxfId="2929"/>
    <tableColumn id="13462" xr3:uid="{3C31A7B4-531D-40D1-BB1B-38DA5C85D617}" name="13682" dataDxfId="2928"/>
    <tableColumn id="13463" xr3:uid="{3F534693-6B37-443E-B749-2B927D7271CB}" name="13683" dataDxfId="2927"/>
    <tableColumn id="13464" xr3:uid="{97954C94-6CA0-4D6E-9E51-8A4870325BE4}" name="13684" dataDxfId="2926"/>
    <tableColumn id="13465" xr3:uid="{22E26B54-338D-4986-9A05-56751F019F4D}" name="13685" dataDxfId="2925"/>
    <tableColumn id="13466" xr3:uid="{4828EAC5-A06C-494F-AC0A-3210411A3F95}" name="13686" dataDxfId="2924"/>
    <tableColumn id="13467" xr3:uid="{88169B27-EB07-484A-A835-3AA0DBA8C4B1}" name="13687" dataDxfId="2923"/>
    <tableColumn id="13468" xr3:uid="{C067B07E-AE82-4E95-95F4-BB12C2E544D1}" name="13688" dataDxfId="2922"/>
    <tableColumn id="13469" xr3:uid="{A6CA38F6-C95C-45C3-A29C-6E5D77C8D604}" name="13689" dataDxfId="2921"/>
    <tableColumn id="13470" xr3:uid="{F6FFBEC0-F5B6-4636-A18B-179C324FCCF7}" name="13690" dataDxfId="2920"/>
    <tableColumn id="13471" xr3:uid="{42B410F3-75B1-4A94-887A-633841CF7DE2}" name="13691" dataDxfId="2919"/>
    <tableColumn id="13472" xr3:uid="{4D87BE31-5756-47AE-9940-60C1D05F8F2F}" name="13692" dataDxfId="2918"/>
    <tableColumn id="13473" xr3:uid="{935866AB-2696-4463-89AA-FE8994A16426}" name="13693" dataDxfId="2917"/>
    <tableColumn id="13474" xr3:uid="{7D16D1DA-BD96-4814-8A81-D3AEF86CC1C4}" name="13694" dataDxfId="2916"/>
    <tableColumn id="13475" xr3:uid="{FE10D58D-7705-469B-AB1A-31658811138E}" name="13695" dataDxfId="2915"/>
    <tableColumn id="13476" xr3:uid="{ECB9D0F3-D3B0-4AEC-829B-F8DB3356C35B}" name="13696" dataDxfId="2914"/>
    <tableColumn id="13477" xr3:uid="{F63289FF-D13B-4279-A27A-DCCF156FF77B}" name="13697" dataDxfId="2913"/>
    <tableColumn id="13478" xr3:uid="{A94EB9CF-EA4B-4AE0-85D9-1D95E5092F47}" name="13698" dataDxfId="2912"/>
    <tableColumn id="13479" xr3:uid="{1FAFBB28-4D73-4088-A77D-8551B3366A7E}" name="13699" dataDxfId="2911"/>
    <tableColumn id="13480" xr3:uid="{71C8FC4D-D4F7-4430-B246-F6E114489879}" name="13700" dataDxfId="2910"/>
    <tableColumn id="13481" xr3:uid="{C8830326-281F-427F-BB82-D97644418A80}" name="13701" dataDxfId="2909"/>
    <tableColumn id="13482" xr3:uid="{D38224D2-0712-4751-9B4C-99DFD30CB917}" name="13702" dataDxfId="2908"/>
    <tableColumn id="13483" xr3:uid="{DA539C2A-587C-45B8-8E7E-8F61C4E7499A}" name="13703" dataDxfId="2907"/>
    <tableColumn id="13484" xr3:uid="{8E464FB2-5754-4A81-B13B-6C55B9BFCC07}" name="13704" dataDxfId="2906"/>
    <tableColumn id="13485" xr3:uid="{2248DD61-8CAF-4E5C-95DC-AAFD031F4484}" name="13705" dataDxfId="2905"/>
    <tableColumn id="13486" xr3:uid="{E0A15212-067A-4C9A-8027-B389F0B27B45}" name="13706" dataDxfId="2904"/>
    <tableColumn id="13487" xr3:uid="{F384C2D4-E7E2-4DAE-9C1D-7C0616F766D6}" name="13707" dataDxfId="2903"/>
    <tableColumn id="13488" xr3:uid="{51B523FF-14A7-4F6B-85A6-260AB87EC01D}" name="13708" dataDxfId="2902"/>
    <tableColumn id="13489" xr3:uid="{6C1FFC81-D777-4DCD-AD6C-0E2250CF2933}" name="13709" dataDxfId="2901"/>
    <tableColumn id="13490" xr3:uid="{03FBF675-0842-4224-91B8-119EEAB7ACF8}" name="13710" dataDxfId="2900"/>
    <tableColumn id="13491" xr3:uid="{3B834A22-8F71-4D1A-80C6-C8112C1B473D}" name="13711" dataDxfId="2899"/>
    <tableColumn id="13492" xr3:uid="{63C9851F-8626-4620-B6B9-AAF7552AA2B1}" name="13712" dataDxfId="2898"/>
    <tableColumn id="13493" xr3:uid="{4590A995-F183-4803-8B7E-BE2B54AB963D}" name="13713" dataDxfId="2897"/>
    <tableColumn id="13494" xr3:uid="{D2CB8A05-E407-476C-BB7D-7EEDEC62D7D4}" name="13714" dataDxfId="2896"/>
    <tableColumn id="13495" xr3:uid="{DCEECEE6-BB59-4330-B22C-6B3954083F90}" name="13715" dataDxfId="2895"/>
    <tableColumn id="13496" xr3:uid="{59AF970A-1DB5-490E-88C8-85BC081B81B0}" name="13716" dataDxfId="2894"/>
    <tableColumn id="13497" xr3:uid="{508F8A89-9A20-4AD9-8820-2F3D9C69A526}" name="13717" dataDxfId="2893"/>
    <tableColumn id="13498" xr3:uid="{CEF9B1F3-51DE-4E1A-86E4-18F2F8EDE3BD}" name="13718" dataDxfId="2892"/>
    <tableColumn id="13499" xr3:uid="{0DF1F474-B725-4EAA-8634-BA0F6BE33093}" name="13719" dataDxfId="2891"/>
    <tableColumn id="13500" xr3:uid="{6249BAFE-6B88-4823-BE0D-77D03F658361}" name="13720" dataDxfId="2890"/>
    <tableColumn id="13501" xr3:uid="{64304B53-D1BA-4530-A846-62C941253E75}" name="13721" dataDxfId="2889"/>
    <tableColumn id="13502" xr3:uid="{9F384278-C10A-4087-AFB9-7499AC9C4DCF}" name="13722" dataDxfId="2888"/>
    <tableColumn id="13503" xr3:uid="{8BB89607-5DF1-40C6-8D34-F4B3DBC37494}" name="13723" dataDxfId="2887"/>
    <tableColumn id="13504" xr3:uid="{27A1D06B-446A-4067-8EE1-59F7BBBE432B}" name="13724" dataDxfId="2886"/>
    <tableColumn id="13505" xr3:uid="{4DCC3740-6492-4C80-AAD5-031FDFA24BCB}" name="13725" dataDxfId="2885"/>
    <tableColumn id="13506" xr3:uid="{50CB75C4-16AD-414B-9149-949240D1B645}" name="13726" dataDxfId="2884"/>
    <tableColumn id="13507" xr3:uid="{6E748D8A-62DE-405E-AC84-8FA8452BD9C8}" name="13727" dataDxfId="2883"/>
    <tableColumn id="13508" xr3:uid="{5CFB7FB9-C15C-49E6-8BD8-059F4094BA5D}" name="13728" dataDxfId="2882"/>
    <tableColumn id="13509" xr3:uid="{D0FDECCC-4AE7-4658-8356-89969B5D1C99}" name="13729" dataDxfId="2881"/>
    <tableColumn id="13510" xr3:uid="{990A681A-6756-4715-8A71-A7CAE6212631}" name="13730" dataDxfId="2880"/>
    <tableColumn id="13511" xr3:uid="{213FE5EA-1DB8-4FA0-88FA-E392B012CCD6}" name="13731" dataDxfId="2879"/>
    <tableColumn id="13512" xr3:uid="{24BB4E8A-7A34-467F-B1D9-7FCC70933597}" name="13732" dataDxfId="2878"/>
    <tableColumn id="13513" xr3:uid="{9AB7B224-7BA3-4B43-977A-9102750D3A64}" name="13733" dataDxfId="2877"/>
    <tableColumn id="13514" xr3:uid="{238C0EC7-9206-48B8-9355-E49DF27D329E}" name="13734" dataDxfId="2876"/>
    <tableColumn id="13515" xr3:uid="{589794B7-5928-40CE-A564-071F13E198CD}" name="13735" dataDxfId="2875"/>
    <tableColumn id="13516" xr3:uid="{00E8CC8D-E519-4113-B790-DE9C58BC95EF}" name="13736" dataDxfId="2874"/>
    <tableColumn id="13517" xr3:uid="{1ED0ABD2-7216-477B-8EF1-F01D88E8FD13}" name="13737" dataDxfId="2873"/>
    <tableColumn id="13518" xr3:uid="{528AA1FF-3ED0-48CE-8E19-34B798C71157}" name="13738" dataDxfId="2872"/>
    <tableColumn id="13519" xr3:uid="{D6177483-A6F9-4969-97C4-4E08B7F9FE08}" name="13739" dataDxfId="2871"/>
    <tableColumn id="13520" xr3:uid="{69EAFAFA-2D07-4405-88FB-12045FC240F6}" name="13740" dataDxfId="2870"/>
    <tableColumn id="13521" xr3:uid="{E49BAA47-47AC-49B8-91A6-0691F1C5A56F}" name="13741" dataDxfId="2869"/>
    <tableColumn id="13522" xr3:uid="{0076306A-4CC1-4C44-8DA3-82C1A1347A18}" name="13742" dataDxfId="2868"/>
    <tableColumn id="13523" xr3:uid="{B1F8D7B6-27D5-4D37-8062-9312016E38E5}" name="13743" dataDxfId="2867"/>
    <tableColumn id="13524" xr3:uid="{6A0F9CD9-E674-4B82-A134-1B0709EF213E}" name="13744" dataDxfId="2866"/>
    <tableColumn id="13525" xr3:uid="{4F2DDE09-3C60-40F4-97E4-4910A9B0BE9F}" name="13745" dataDxfId="2865"/>
    <tableColumn id="13526" xr3:uid="{B6DE6E53-F7FF-4318-A421-53F8E6FDD25A}" name="13746" dataDxfId="2864"/>
    <tableColumn id="13527" xr3:uid="{E7F79C28-824E-4D13-9DDB-FC39515ED038}" name="13747" dataDxfId="2863"/>
    <tableColumn id="13528" xr3:uid="{C42DD950-3782-4194-877D-1CA1121BDB87}" name="13748" dataDxfId="2862"/>
    <tableColumn id="13529" xr3:uid="{4A0BFD0C-A255-445E-B895-28D0A3B42DF2}" name="13749" dataDxfId="2861"/>
    <tableColumn id="13530" xr3:uid="{71854ED6-C093-4B00-8CFF-8A1F51898843}" name="13750" dataDxfId="2860"/>
    <tableColumn id="13531" xr3:uid="{3316D141-03DB-46B3-ABFB-3944E6121AFA}" name="13751" dataDxfId="2859"/>
    <tableColumn id="13532" xr3:uid="{82DE74A7-C683-495B-9885-259EFD77A459}" name="13752" dataDxfId="2858"/>
    <tableColumn id="13533" xr3:uid="{66855D5B-9F03-4B05-A887-379C72D1520C}" name="13753" dataDxfId="2857"/>
    <tableColumn id="13534" xr3:uid="{CE77AFE6-F248-4DD8-B496-DBCFABF5FFDF}" name="13754" dataDxfId="2856"/>
    <tableColumn id="13535" xr3:uid="{BCECC0C9-BED1-422E-8466-7986AC22F376}" name="13755" dataDxfId="2855"/>
    <tableColumn id="13536" xr3:uid="{EB7DCAFE-229B-4BC0-A051-90A891B4C291}" name="13756" dataDxfId="2854"/>
    <tableColumn id="13537" xr3:uid="{F8966062-4B42-4F57-A8DA-081E508A107B}" name="13757" dataDxfId="2853"/>
    <tableColumn id="13538" xr3:uid="{723A597C-7276-4055-A1D4-51D8810A3776}" name="13758" dataDxfId="2852"/>
    <tableColumn id="13539" xr3:uid="{58761D76-71B2-44EB-AE37-8F0734F4F81F}" name="13759" dataDxfId="2851"/>
    <tableColumn id="13540" xr3:uid="{1E07FFBF-EFBB-49C2-B549-43883F72FFE1}" name="13760" dataDxfId="2850"/>
    <tableColumn id="13541" xr3:uid="{63BA7CF4-5DBC-4D7D-AAE5-2D658E4E76A3}" name="13761" dataDxfId="2849"/>
    <tableColumn id="13542" xr3:uid="{798DA860-C7D6-4C9E-A115-E35D890A787A}" name="13762" dataDxfId="2848"/>
    <tableColumn id="13543" xr3:uid="{8A1A9110-E925-40E7-A666-A07BCBC3CEA3}" name="13763" dataDxfId="2847"/>
    <tableColumn id="13544" xr3:uid="{6A24D4D4-B862-4700-BB98-778F981A81FC}" name="13764" dataDxfId="2846"/>
    <tableColumn id="13545" xr3:uid="{48571628-9C63-498F-A78F-75537A5E2A32}" name="13765" dataDxfId="2845"/>
    <tableColumn id="13546" xr3:uid="{CAC4FFF6-0807-425C-98F2-90F7B91FDB8E}" name="13766" dataDxfId="2844"/>
    <tableColumn id="13547" xr3:uid="{AF6EC0B0-A543-4881-A46E-220C14D34EC3}" name="13767" dataDxfId="2843"/>
    <tableColumn id="13548" xr3:uid="{2B1D4FD9-3208-46EA-8767-4AEC946F74C0}" name="13768" dataDxfId="2842"/>
    <tableColumn id="13549" xr3:uid="{E3F7A412-FC55-494C-85E5-8644A388BC9F}" name="13769" dataDxfId="2841"/>
    <tableColumn id="13550" xr3:uid="{3A3DBAE3-B7F9-407B-B8EC-A2A495756F60}" name="13770" dataDxfId="2840"/>
    <tableColumn id="13551" xr3:uid="{1F242738-702F-4E41-82C7-B73253E96692}" name="13771" dataDxfId="2839"/>
    <tableColumn id="13552" xr3:uid="{596A6360-EA23-4D3C-9ECB-4316BCFFB28F}" name="13772" dataDxfId="2838"/>
    <tableColumn id="13553" xr3:uid="{B1A55645-CD04-46C2-B360-FAFFB58379CB}" name="13773" dataDxfId="2837"/>
    <tableColumn id="13554" xr3:uid="{BF2F186B-FB80-4D80-8A5C-32353F0EE21F}" name="13774" dataDxfId="2836"/>
    <tableColumn id="13555" xr3:uid="{D0485BF3-0AE8-422D-BDEB-757362C8F126}" name="13775" dataDxfId="2835"/>
    <tableColumn id="13556" xr3:uid="{0B162AFD-5280-488E-8C1E-6EC4B04109AE}" name="13776" dataDxfId="2834"/>
    <tableColumn id="13557" xr3:uid="{7685F619-0EA2-419D-AE94-D8DA188C6B02}" name="13777" dataDxfId="2833"/>
    <tableColumn id="13558" xr3:uid="{5F21CA58-424C-4AAC-999C-8F06AAEA583F}" name="13778" dataDxfId="2832"/>
    <tableColumn id="13559" xr3:uid="{8135BEC1-A310-43E2-89D2-3DB637BAF4B3}" name="13779" dataDxfId="2831"/>
    <tableColumn id="13560" xr3:uid="{ADFC851F-29DB-4E73-AB3B-372339CEB44A}" name="13780" dataDxfId="2830"/>
    <tableColumn id="13561" xr3:uid="{77FC46AC-F676-4554-A389-5447CACD7158}" name="13781" dataDxfId="2829"/>
    <tableColumn id="13562" xr3:uid="{4321F49E-3A83-4CA8-A7F4-262CB2F36A62}" name="13782" dataDxfId="2828"/>
    <tableColumn id="13563" xr3:uid="{5A1B0CB1-7267-463D-BF79-A654176C2FD9}" name="13783" dataDxfId="2827"/>
    <tableColumn id="13564" xr3:uid="{E669086E-4C7A-4A1C-807A-71D2EAC8F64E}" name="13784" dataDxfId="2826"/>
    <tableColumn id="13565" xr3:uid="{D1323D04-05E6-496E-8F33-50F9E12CF611}" name="13785" dataDxfId="2825"/>
    <tableColumn id="13566" xr3:uid="{F30226AC-3EC6-4BAA-9D14-2A517FB2FFBD}" name="13786" dataDxfId="2824"/>
    <tableColumn id="13567" xr3:uid="{B3029F16-D91B-4570-BB10-65D5A7AD4F22}" name="13787" dataDxfId="2823"/>
    <tableColumn id="13568" xr3:uid="{CA6DC45F-6456-482F-A720-DBBF75F9B0C8}" name="13788" dataDxfId="2822"/>
    <tableColumn id="13569" xr3:uid="{C18B0DB0-1FC4-4DFD-B95F-79AA72A8C736}" name="13789" dataDxfId="2821"/>
    <tableColumn id="13570" xr3:uid="{FBA60C19-4450-47FA-AFCD-CAAD18554B80}" name="13790" dataDxfId="2820"/>
    <tableColumn id="13571" xr3:uid="{29551140-592D-4D36-849A-1CE71979C5B8}" name="13791" dataDxfId="2819"/>
    <tableColumn id="13572" xr3:uid="{643A7CD9-C444-45B7-B90F-493E6E74AFF1}" name="13792" dataDxfId="2818"/>
    <tableColumn id="13573" xr3:uid="{D7D65B37-23A9-4001-8285-95088E84376F}" name="13793" dataDxfId="2817"/>
    <tableColumn id="13574" xr3:uid="{320190BD-CA98-40D0-B54D-A1DDBEA02867}" name="13794" dataDxfId="2816"/>
    <tableColumn id="13575" xr3:uid="{1A94AD67-6946-4954-BD49-F0B353AE2A62}" name="13795" dataDxfId="2815"/>
    <tableColumn id="13576" xr3:uid="{0A36A07D-E97E-49BB-9C82-D4F1234561C2}" name="13796" dataDxfId="2814"/>
    <tableColumn id="13577" xr3:uid="{1A499662-B856-44EE-A77A-6C11B1C3CCC8}" name="13797" dataDxfId="2813"/>
    <tableColumn id="13578" xr3:uid="{D7876790-A6B7-4C46-9E22-4D482C1DCF15}" name="13798" dataDxfId="2812"/>
    <tableColumn id="13579" xr3:uid="{A78681E4-9893-412F-A931-54F3A8679BDE}" name="13799" dataDxfId="2811"/>
    <tableColumn id="13580" xr3:uid="{CF941634-A96C-4BF4-A03A-46AE8EE933C0}" name="13800" dataDxfId="2810"/>
    <tableColumn id="13581" xr3:uid="{D49DA865-F9C9-4933-AFBC-10B52EA203B7}" name="13801" dataDxfId="2809"/>
    <tableColumn id="13582" xr3:uid="{D7B3745A-4A19-4500-AE66-53098C8ACF0B}" name="13802" dataDxfId="2808"/>
    <tableColumn id="13583" xr3:uid="{AF4C587B-07BF-4D62-B152-392E31DE3639}" name="13803" dataDxfId="2807"/>
    <tableColumn id="13584" xr3:uid="{0BD4E5E7-3064-49EF-A3F2-F628AA572C6F}" name="13804" dataDxfId="2806"/>
    <tableColumn id="13585" xr3:uid="{7AC4B524-0D60-450D-99AB-6DA6497E57E7}" name="13805" dataDxfId="2805"/>
    <tableColumn id="13586" xr3:uid="{AC3F94B8-B1CC-436C-970F-5B80DEF75E6E}" name="13806" dataDxfId="2804"/>
    <tableColumn id="13587" xr3:uid="{C1BCDDD7-CEE7-4152-A604-E3C39F075AE0}" name="13807" dataDxfId="2803"/>
    <tableColumn id="13588" xr3:uid="{315A1020-AC65-4EA5-BA64-3665C20ED826}" name="13808" dataDxfId="2802"/>
    <tableColumn id="13589" xr3:uid="{4A75AC20-2E71-43DC-9FC9-C8993F080AD1}" name="13809" dataDxfId="2801"/>
    <tableColumn id="13590" xr3:uid="{617AC0FE-C69C-455D-A50A-E4280A94A38A}" name="13810" dataDxfId="2800"/>
    <tableColumn id="13591" xr3:uid="{B0ABE6C5-D1D1-4C0C-9159-6B15C7409A0D}" name="13811" dataDxfId="2799"/>
    <tableColumn id="13592" xr3:uid="{805A14AB-A559-4781-8327-2AE4E41D2FA6}" name="13812" dataDxfId="2798"/>
    <tableColumn id="13593" xr3:uid="{15BE5B55-FB97-4164-9351-5E4EC4F88490}" name="13813" dataDxfId="2797"/>
    <tableColumn id="13594" xr3:uid="{07DCFDA7-C825-45E9-92FA-274A3827BFB7}" name="13814" dataDxfId="2796"/>
    <tableColumn id="13595" xr3:uid="{F79DF2C3-4370-447C-B840-8FF9F0FC20DF}" name="13815" dataDxfId="2795"/>
    <tableColumn id="13596" xr3:uid="{0DF3F3B3-C539-4648-B42A-B15B919D622F}" name="13816" dataDxfId="2794"/>
    <tableColumn id="13597" xr3:uid="{26AB716F-FA63-42D8-8EBF-F33EA0042B46}" name="13817" dataDxfId="2793"/>
    <tableColumn id="13598" xr3:uid="{1AF72BED-DFB2-4964-9DF1-A34A1C905E91}" name="13818" dataDxfId="2792"/>
    <tableColumn id="13599" xr3:uid="{AC45CD24-2F0E-42BC-9506-7D7F45B5875E}" name="13819" dataDxfId="2791"/>
    <tableColumn id="13600" xr3:uid="{7E522901-C0EE-46A2-BCB2-95FF4DFD3D13}" name="13820" dataDxfId="2790"/>
    <tableColumn id="13601" xr3:uid="{BA747232-2EFB-4F8B-BE4B-1E16C0361256}" name="13821" dataDxfId="2789"/>
    <tableColumn id="13602" xr3:uid="{350D5BDD-2732-4BC7-9BF0-FBC7E6F24018}" name="13822" dataDxfId="2788"/>
    <tableColumn id="13603" xr3:uid="{1A2B89B9-4E73-4B9D-B70B-5A5CB5FA2921}" name="13823" dataDxfId="2787"/>
    <tableColumn id="13604" xr3:uid="{390C2FCF-E2EE-4B90-BF88-B116BD7044B2}" name="13824" dataDxfId="2786"/>
    <tableColumn id="13605" xr3:uid="{7D795BF4-B8E1-4EAF-86B2-B371F7CB014C}" name="13825" dataDxfId="2785"/>
    <tableColumn id="13606" xr3:uid="{2F7DB309-BBFE-4B98-8ACE-86E5BEEA6527}" name="13826" dataDxfId="2784"/>
    <tableColumn id="13607" xr3:uid="{8EF25F13-A0F9-4175-890D-58187D012425}" name="13827" dataDxfId="2783"/>
    <tableColumn id="13608" xr3:uid="{9AEF876F-87A0-4615-AAF1-2D011672ACDA}" name="13828" dataDxfId="2782"/>
    <tableColumn id="13609" xr3:uid="{669E0981-66E1-42F1-B764-AD9FD944074F}" name="13829" dataDxfId="2781"/>
    <tableColumn id="13610" xr3:uid="{62047462-6DD3-4566-A2FB-4C5DE7979006}" name="13830" dataDxfId="2780"/>
    <tableColumn id="13611" xr3:uid="{38022AD0-2DAD-41D0-8996-F18E94AA25F3}" name="13831" dataDxfId="2779"/>
    <tableColumn id="13612" xr3:uid="{2A3D275E-F8DF-4B04-B2EC-914C5AC5E23B}" name="13832" dataDxfId="2778"/>
    <tableColumn id="13613" xr3:uid="{2249DC68-6EEB-4D58-BCED-90EEEF778B34}" name="13833" dataDxfId="2777"/>
    <tableColumn id="13614" xr3:uid="{E1578800-54A5-4474-A93C-001A0D3578C4}" name="13834" dataDxfId="2776"/>
    <tableColumn id="13615" xr3:uid="{EFAB633F-FC52-42D0-A5B2-C706286AA6EC}" name="13835" dataDxfId="2775"/>
    <tableColumn id="13616" xr3:uid="{B8B9314C-1391-49CC-9E6E-CDF6F13697E9}" name="13836" dataDxfId="2774"/>
    <tableColumn id="13617" xr3:uid="{50426B97-2495-4AC0-8283-131B3415C77F}" name="13837" dataDxfId="2773"/>
    <tableColumn id="13618" xr3:uid="{0D394FB1-56CA-4B7D-814F-6F198A11DB92}" name="13838" dataDxfId="2772"/>
    <tableColumn id="13619" xr3:uid="{ED4F0269-6825-42E1-A1BB-75F9352DA739}" name="13839" dataDxfId="2771"/>
    <tableColumn id="13620" xr3:uid="{A2FD619E-C5A9-4E11-A435-E4FA02B258D2}" name="13840" dataDxfId="2770"/>
    <tableColumn id="13621" xr3:uid="{302F2B5A-817F-4B10-BA7E-B266CB613961}" name="13841" dataDxfId="2769"/>
    <tableColumn id="13622" xr3:uid="{DBB46A69-A708-4AE2-8BD1-0FF75394A240}" name="13842" dataDxfId="2768"/>
    <tableColumn id="13623" xr3:uid="{38440929-9207-470D-9CB9-3E680D01107E}" name="13843" dataDxfId="2767"/>
    <tableColumn id="13624" xr3:uid="{C6A2BE28-B71A-4080-A375-86E6C222767F}" name="13844" dataDxfId="2766"/>
    <tableColumn id="13625" xr3:uid="{D93A3814-AB9A-4C46-8E6A-7C7C0F237077}" name="13845" dataDxfId="2765"/>
    <tableColumn id="13626" xr3:uid="{41F0E018-BB11-491B-B0F6-75440757E2C6}" name="13846" dataDxfId="2764"/>
    <tableColumn id="13627" xr3:uid="{99D663AD-1932-4F14-B6C9-5040B056BAC9}" name="13847" dataDxfId="2763"/>
    <tableColumn id="13628" xr3:uid="{8AE3D898-8BE4-4974-8B5B-E5C88A6059AB}" name="13848" dataDxfId="2762"/>
    <tableColumn id="13629" xr3:uid="{AD84B0A0-F94F-4B34-B664-1EF517881676}" name="13849" dataDxfId="2761"/>
    <tableColumn id="13630" xr3:uid="{2B28AC26-0CF8-4029-AFB1-F41270C08AA3}" name="13850" dataDxfId="2760"/>
    <tableColumn id="13631" xr3:uid="{F34AD01F-316B-42CB-AA01-B3D7D37936C1}" name="13851" dataDxfId="2759"/>
    <tableColumn id="13632" xr3:uid="{980E09B3-B3A2-4A72-ACD8-E43FC2B150AB}" name="13852" dataDxfId="2758"/>
    <tableColumn id="13633" xr3:uid="{40F173B1-0097-484F-B7E5-8DD3E85E18CA}" name="13853" dataDxfId="2757"/>
    <tableColumn id="13634" xr3:uid="{5ECDDD06-9CB9-495A-BE91-4D979E3C0302}" name="13854" dataDxfId="2756"/>
    <tableColumn id="13635" xr3:uid="{E68FAD9E-25BD-4F9A-B800-DA614BA744F3}" name="13855" dataDxfId="2755"/>
    <tableColumn id="13636" xr3:uid="{1EB4FB1D-185F-4AE4-9A24-C29F8B5211D8}" name="13856" dataDxfId="2754"/>
    <tableColumn id="13637" xr3:uid="{A5C49E86-C055-491B-8D3A-4340C5323006}" name="13857" dataDxfId="2753"/>
    <tableColumn id="13638" xr3:uid="{6DACF9D8-8368-4C5A-843E-690C187D52D4}" name="13858" dataDxfId="2752"/>
    <tableColumn id="13639" xr3:uid="{F014394D-C205-4C3F-80CA-073013C287EE}" name="13859" dataDxfId="2751"/>
    <tableColumn id="13640" xr3:uid="{7468F96C-92A4-4E26-AEE8-1DCA371B947D}" name="13860" dataDxfId="2750"/>
    <tableColumn id="13641" xr3:uid="{CB222DCE-1EA4-4029-8086-35DD5A7DFD6D}" name="13861" dataDxfId="2749"/>
    <tableColumn id="13642" xr3:uid="{1E3694F7-0F65-4758-B8E1-A46357EAFF07}" name="13862" dataDxfId="2748"/>
    <tableColumn id="13643" xr3:uid="{43224DE6-3513-4BF9-B37C-86DD664B1FC3}" name="13863" dataDxfId="2747"/>
    <tableColumn id="13644" xr3:uid="{8243C0D2-3D80-419E-B555-CD92A617B18B}" name="13864" dataDxfId="2746"/>
    <tableColumn id="13645" xr3:uid="{C145B92E-961C-42DF-A1C1-7756FCA9CD80}" name="13865" dataDxfId="2745"/>
    <tableColumn id="13646" xr3:uid="{A7D84D08-F521-42C2-B80E-378FB4E03443}" name="13866" dataDxfId="2744"/>
    <tableColumn id="13647" xr3:uid="{F318BC1F-CAB2-4AA5-94CB-2E1E146FE18D}" name="13867" dataDxfId="2743"/>
    <tableColumn id="13648" xr3:uid="{AB5082B2-6914-4C17-8432-87CD98BD96A7}" name="13868" dataDxfId="2742"/>
    <tableColumn id="13649" xr3:uid="{265A0A31-97BC-46F6-A470-1E5F4B805308}" name="13869" dataDxfId="2741"/>
    <tableColumn id="13650" xr3:uid="{627E9889-789D-40A2-A9B2-79059D7F946D}" name="13870" dataDxfId="2740"/>
    <tableColumn id="13651" xr3:uid="{505753F2-ED07-4657-9269-14F7F62DA586}" name="13871" dataDxfId="2739"/>
    <tableColumn id="13652" xr3:uid="{B450AAD3-04E9-45D1-9461-184F19B30B7D}" name="13872" dataDxfId="2738"/>
    <tableColumn id="13653" xr3:uid="{303FF87D-4E5E-4825-AF83-63F4E2D0ACEC}" name="13873" dataDxfId="2737"/>
    <tableColumn id="13654" xr3:uid="{FECB1A1A-C909-4695-8CE3-9A1CEAFD3D6A}" name="13874" dataDxfId="2736"/>
    <tableColumn id="13655" xr3:uid="{CA65704F-6383-4D00-9D49-84F4ED595ED9}" name="13875" dataDxfId="2735"/>
    <tableColumn id="13656" xr3:uid="{EFE6D56D-2A8A-46C3-B108-39FA5817A4B8}" name="13876" dataDxfId="2734"/>
    <tableColumn id="13657" xr3:uid="{BA0FCB89-41E7-4378-996C-93E24FE0A250}" name="13877" dataDxfId="2733"/>
    <tableColumn id="13658" xr3:uid="{BB6887C0-41B1-4117-BE5D-76D8272B2F0F}" name="13878" dataDxfId="2732"/>
    <tableColumn id="13659" xr3:uid="{C9ABA1C5-5020-442F-BD91-E57FBF552438}" name="13879" dataDxfId="2731"/>
    <tableColumn id="13660" xr3:uid="{6D49E30F-82F6-4CC9-83E5-B4C2F23C17EE}" name="13880" dataDxfId="2730"/>
    <tableColumn id="13661" xr3:uid="{5819B1FD-6358-4AAF-8227-74EA03E9C4F9}" name="13881" dataDxfId="2729"/>
    <tableColumn id="13662" xr3:uid="{451F7A47-836B-450B-AAB3-B799AB543D4B}" name="13882" dataDxfId="2728"/>
    <tableColumn id="13663" xr3:uid="{CAE3F56C-D2C6-4DDE-9B56-526EF8970F59}" name="13883" dataDxfId="2727"/>
    <tableColumn id="13664" xr3:uid="{254B4CF1-1068-490C-AC85-023A16CF724E}" name="13884" dataDxfId="2726"/>
    <tableColumn id="13665" xr3:uid="{F40588CD-561F-4EC5-A86B-569C2DAD7A09}" name="13885" dataDxfId="2725"/>
    <tableColumn id="13666" xr3:uid="{2BC059F4-26D5-4E3C-9AF4-A8702EAD3115}" name="13886" dataDxfId="2724"/>
    <tableColumn id="13667" xr3:uid="{9715F0A6-A662-4AC3-8C7E-2F8708027767}" name="13887" dataDxfId="2723"/>
    <tableColumn id="13668" xr3:uid="{A1478236-A641-4E76-A148-B157F0CC08FB}" name="13888" dataDxfId="2722"/>
    <tableColumn id="13669" xr3:uid="{B129DD32-6639-41AB-9B35-5070CD4C7B99}" name="13889" dataDxfId="2721"/>
    <tableColumn id="13670" xr3:uid="{2152CC20-CEF0-4A16-A130-37DFBAE3B028}" name="13890" dataDxfId="2720"/>
    <tableColumn id="13671" xr3:uid="{AA35CD46-B24D-4864-9EE4-8CF2704FAFE8}" name="13891" dataDxfId="2719"/>
    <tableColumn id="13672" xr3:uid="{482FC1A2-4DC4-4826-9B5F-0D9EBE5AD9EA}" name="13892" dataDxfId="2718"/>
    <tableColumn id="13673" xr3:uid="{B92E2AFF-18A3-4BE3-8DF8-8F74A3A269EC}" name="13893" dataDxfId="2717"/>
    <tableColumn id="13674" xr3:uid="{4D03C246-6A48-4FD9-B6F6-6417F806A857}" name="13894" dataDxfId="2716"/>
    <tableColumn id="13675" xr3:uid="{DF8F1C22-3658-49B9-B527-DC896DC5DAF5}" name="13895" dataDxfId="2715"/>
    <tableColumn id="13676" xr3:uid="{F18B2BC2-424B-4B93-A783-C19CFA66577D}" name="13896" dataDxfId="2714"/>
    <tableColumn id="13677" xr3:uid="{87970404-35D3-49A7-82DE-154A75B4422C}" name="13897" dataDxfId="2713"/>
    <tableColumn id="13678" xr3:uid="{AF927AEB-F496-488B-AAF7-5DD280C2E9BF}" name="13898" dataDxfId="2712"/>
    <tableColumn id="13679" xr3:uid="{EBB007BD-11E9-4A42-BE00-AAA79B073324}" name="13899" dataDxfId="2711"/>
    <tableColumn id="13680" xr3:uid="{52F8D0A2-9577-411C-8598-3CDAFED2140D}" name="13900" dataDxfId="2710"/>
    <tableColumn id="13681" xr3:uid="{0A984F8D-EABE-464D-9B31-78A692AB43B4}" name="13901" dataDxfId="2709"/>
    <tableColumn id="13682" xr3:uid="{575D6D46-861C-497A-B435-24DF50E2AA87}" name="13902" dataDxfId="2708"/>
    <tableColumn id="13683" xr3:uid="{EC1BC2CE-7940-4D7C-8043-33D391F000C6}" name="13903" dataDxfId="2707"/>
    <tableColumn id="13684" xr3:uid="{130679CB-C3E2-4FB1-980D-1AF1810F651C}" name="13904" dataDxfId="2706"/>
    <tableColumn id="13685" xr3:uid="{42B7CD5B-8FC4-4C56-B6A0-964D34CBF9E5}" name="13905" dataDxfId="2705"/>
    <tableColumn id="13686" xr3:uid="{8A29AD74-7990-4137-BBE3-A5ABFF997C6B}" name="13906" dataDxfId="2704"/>
    <tableColumn id="13687" xr3:uid="{1E70AF87-2335-414A-BBB1-247DB5B0DAB1}" name="13907" dataDxfId="2703"/>
    <tableColumn id="13688" xr3:uid="{D26E3622-D213-4963-A94D-B4EBBCC74A93}" name="13908" dataDxfId="2702"/>
    <tableColumn id="13689" xr3:uid="{55F624D5-55DF-4A29-83A0-FCDE327932C5}" name="13909" dataDxfId="2701"/>
    <tableColumn id="13690" xr3:uid="{EC886D15-0759-4B52-BA71-E04F8AF45932}" name="13910" dataDxfId="2700"/>
    <tableColumn id="13691" xr3:uid="{7A2F5390-6C11-412D-B587-F235CDC3F35D}" name="13911" dataDxfId="2699"/>
    <tableColumn id="13692" xr3:uid="{823E7EF2-2DD8-4BF6-818C-7578FD04623E}" name="13912" dataDxfId="2698"/>
    <tableColumn id="13693" xr3:uid="{148998E6-BA88-429B-8872-E3E3BA9CDE06}" name="13913" dataDxfId="2697"/>
    <tableColumn id="13694" xr3:uid="{CF994A0F-7BA1-4C9D-96DD-20BAD017D1F5}" name="13914" dataDxfId="2696"/>
    <tableColumn id="13695" xr3:uid="{FF42B339-BD49-4F99-A62C-F51DB36B8EEB}" name="13915" dataDxfId="2695"/>
    <tableColumn id="13696" xr3:uid="{8707F536-34C3-49C1-8FDE-E6C4EBE21CB1}" name="13916" dataDxfId="2694"/>
    <tableColumn id="13697" xr3:uid="{B9C4B583-7286-4AA3-9581-8D8D6F7AA116}" name="13917" dataDxfId="2693"/>
    <tableColumn id="13698" xr3:uid="{BF1BC5ED-61FF-4783-89D7-7412EEA9ECB5}" name="13918" dataDxfId="2692"/>
    <tableColumn id="13699" xr3:uid="{A8E64D5C-D051-4665-949A-666003D28CC1}" name="13919" dataDxfId="2691"/>
    <tableColumn id="13700" xr3:uid="{2C21C8FA-C6EC-4E66-A2D9-2355AB8E464A}" name="13920" dataDxfId="2690"/>
    <tableColumn id="13701" xr3:uid="{634E3653-BFED-4752-A5F1-EC0E27D6E479}" name="13921" dataDxfId="2689"/>
    <tableColumn id="13702" xr3:uid="{117F6F7C-9F8D-4E3D-B9CE-44B75D0EBEE1}" name="13922" dataDxfId="2688"/>
    <tableColumn id="13703" xr3:uid="{9D80D719-1FC1-4541-B3F0-057EA18BC791}" name="13923" dataDxfId="2687"/>
    <tableColumn id="13704" xr3:uid="{7FC71FB9-6C76-46EE-8998-66CC26D343F6}" name="13924" dataDxfId="2686"/>
    <tableColumn id="13705" xr3:uid="{785256FB-57D9-4097-B980-6B12531C749F}" name="13925" dataDxfId="2685"/>
    <tableColumn id="13706" xr3:uid="{142DE721-EF6B-4ECE-AD0C-FD84A491008C}" name="13926" dataDxfId="2684"/>
    <tableColumn id="13707" xr3:uid="{9572C5FE-F535-483E-BC69-120DCF232543}" name="13927" dataDxfId="2683"/>
    <tableColumn id="13708" xr3:uid="{D43F89E2-6CF2-4B91-8D3F-52D7446CC3CA}" name="13928" dataDxfId="2682"/>
    <tableColumn id="13709" xr3:uid="{D0906FF1-5FCA-4154-9ABC-26A11C45254E}" name="13929" dataDxfId="2681"/>
    <tableColumn id="13710" xr3:uid="{0E3663FD-2832-4D0B-A74B-7F5B66305C7F}" name="13930" dataDxfId="2680"/>
    <tableColumn id="13711" xr3:uid="{032147DC-354A-4F6F-B448-90406D45FD56}" name="13931" dataDxfId="2679"/>
    <tableColumn id="13712" xr3:uid="{64969643-6D18-47E0-842E-D662AFDFE34A}" name="13932" dataDxfId="2678"/>
    <tableColumn id="13713" xr3:uid="{05171357-0353-445C-A84A-A0A7AC95813B}" name="13933" dataDxfId="2677"/>
    <tableColumn id="13714" xr3:uid="{71316DC3-4824-46D0-995A-6828147C8592}" name="13934" dataDxfId="2676"/>
    <tableColumn id="13715" xr3:uid="{43870B49-8C20-4679-B668-1B88C70260B7}" name="13935" dataDxfId="2675"/>
    <tableColumn id="13716" xr3:uid="{62FE7EE9-FCC2-4F95-B3A1-A93D105D9123}" name="13936" dataDxfId="2674"/>
    <tableColumn id="13717" xr3:uid="{21078078-7B9C-4753-B180-59989FC1ABCC}" name="13937" dataDxfId="2673"/>
    <tableColumn id="13718" xr3:uid="{38D8E78F-1431-42B0-8E94-B0FA5C8B1310}" name="13938" dataDxfId="2672"/>
    <tableColumn id="13719" xr3:uid="{EA4D547C-385A-4D9E-9447-CD98563016D7}" name="13939" dataDxfId="2671"/>
    <tableColumn id="13720" xr3:uid="{0D1883A0-6EE3-407E-A8C1-8E0AA5EFFA72}" name="13940" dataDxfId="2670"/>
    <tableColumn id="13721" xr3:uid="{6F14057C-4CE5-4325-8BF1-841F4DF78804}" name="13941" dataDxfId="2669"/>
    <tableColumn id="13722" xr3:uid="{6C8559B3-6ED9-44AB-8320-5AFF0D85AFA9}" name="13942" dataDxfId="2668"/>
    <tableColumn id="13723" xr3:uid="{BBF2345F-1861-40C2-960E-823009A19D72}" name="13943" dataDxfId="2667"/>
    <tableColumn id="13724" xr3:uid="{B2279B35-0347-492F-A425-D749FBAD93B0}" name="13944" dataDxfId="2666"/>
    <tableColumn id="13725" xr3:uid="{8BD109CC-7048-4777-8B5F-66FB56B86644}" name="13945" dataDxfId="2665"/>
    <tableColumn id="13726" xr3:uid="{DCCF0489-271D-4C0A-B27B-B01CD0BBE5A9}" name="13946" dataDxfId="2664"/>
    <tableColumn id="13727" xr3:uid="{530A4AAE-D5CD-4686-BED9-E38FCE143FC1}" name="13947" dataDxfId="2663"/>
    <tableColumn id="13728" xr3:uid="{A316B094-D35E-4028-86F4-147FADB72972}" name="13948" dataDxfId="2662"/>
    <tableColumn id="13729" xr3:uid="{0BFF0B4A-8F69-4486-88D5-3E52326BD4D6}" name="13949" dataDxfId="2661"/>
    <tableColumn id="13730" xr3:uid="{E8F5B3DF-1F13-443E-97B9-8F164BFB31CD}" name="13950" dataDxfId="2660"/>
    <tableColumn id="13731" xr3:uid="{F09E64F5-54C9-4BCC-AF7E-D4230CF31FEF}" name="13951" dataDxfId="2659"/>
    <tableColumn id="13732" xr3:uid="{EF74B153-7000-475F-98BF-8E6B753E2A3B}" name="13952" dataDxfId="2658"/>
    <tableColumn id="13733" xr3:uid="{CD221DB4-72EE-456E-95EF-2404AE2A164C}" name="13953" dataDxfId="2657"/>
    <tableColumn id="13734" xr3:uid="{08BE13A3-F2DC-4C2A-BE1D-5E4CE91BB7DC}" name="13954" dataDxfId="2656"/>
    <tableColumn id="13735" xr3:uid="{1F928D23-0D79-43E7-BBBE-9B079A675DD9}" name="13955" dataDxfId="2655"/>
    <tableColumn id="13736" xr3:uid="{6D9908C8-B4B6-4FD1-90D4-605482D4CDF2}" name="13956" dataDxfId="2654"/>
    <tableColumn id="13737" xr3:uid="{63CE7CD5-731C-4C37-8C1C-BE742904179F}" name="13957" dataDxfId="2653"/>
    <tableColumn id="13738" xr3:uid="{03AAFCEA-45B3-432A-85AD-E1A195E86E9F}" name="13958" dataDxfId="2652"/>
    <tableColumn id="13739" xr3:uid="{AB489890-9458-403A-B764-15B66696FE7D}" name="13959" dataDxfId="2651"/>
    <tableColumn id="13740" xr3:uid="{59C909C3-FA8E-484D-B87E-32A599CAA4E7}" name="13960" dataDxfId="2650"/>
    <tableColumn id="13741" xr3:uid="{A52B73A7-F682-46EA-85DB-F51BD6FB5820}" name="13961" dataDxfId="2649"/>
    <tableColumn id="13742" xr3:uid="{AE84B7A7-3F1C-4F77-BA63-F34B1DC81292}" name="13962" dataDxfId="2648"/>
    <tableColumn id="13743" xr3:uid="{BAED15F9-60C5-4A66-B387-96B688BBB487}" name="13963" dataDxfId="2647"/>
    <tableColumn id="13744" xr3:uid="{0ED7326F-0A34-4AF2-8093-138D58086FB8}" name="13964" dataDxfId="2646"/>
    <tableColumn id="13745" xr3:uid="{9C284EFA-57CB-4751-8B52-86268004EBC4}" name="13965" dataDxfId="2645"/>
    <tableColumn id="13746" xr3:uid="{5C49B4C5-84E3-46B1-88BB-6E2F15461812}" name="13966" dataDxfId="2644"/>
    <tableColumn id="13747" xr3:uid="{5A97E040-856C-4E3C-8FA3-DA2578A08359}" name="13967" dataDxfId="2643"/>
    <tableColumn id="13748" xr3:uid="{F05D671C-E9E4-469E-A3DE-27C3D8D843C7}" name="13968" dataDxfId="2642"/>
    <tableColumn id="13749" xr3:uid="{1B0F09F1-639A-4E78-BBC0-DD5DAD4309B8}" name="13969" dataDxfId="2641"/>
    <tableColumn id="13750" xr3:uid="{CB5A466D-804E-4A7D-9080-0A312F950B8F}" name="13970" dataDxfId="2640"/>
    <tableColumn id="13751" xr3:uid="{C59E78D3-DCFE-4B7D-BB6C-3CFEDB99FD83}" name="13971" dataDxfId="2639"/>
    <tableColumn id="13752" xr3:uid="{D096736F-F0F6-4FBC-834B-3B7A53F5B5B9}" name="13972" dataDxfId="2638"/>
    <tableColumn id="13753" xr3:uid="{FE70370C-22AC-49BB-8721-764569C458FC}" name="13973" dataDxfId="2637"/>
    <tableColumn id="13754" xr3:uid="{D2F8D081-FEE7-4FDD-A280-BC54FFFB35D1}" name="13974" dataDxfId="2636"/>
    <tableColumn id="13755" xr3:uid="{855710F6-1525-453E-BD6A-F9F9BDC8F19D}" name="13975" dataDxfId="2635"/>
    <tableColumn id="13756" xr3:uid="{2E842259-E07E-47A6-AE0A-9CDB7E828586}" name="13976" dataDxfId="2634"/>
    <tableColumn id="13757" xr3:uid="{8643559B-36CE-4A6A-80F5-6DA91D242D9F}" name="13977" dataDxfId="2633"/>
    <tableColumn id="13758" xr3:uid="{CC2F2803-0438-4A37-9030-48E3260F8C50}" name="13978" dataDxfId="2632"/>
    <tableColumn id="13759" xr3:uid="{CB55DC8A-AD04-4F11-ADE7-26CFC7EF60B5}" name="13979" dataDxfId="2631"/>
    <tableColumn id="13760" xr3:uid="{6262D9DC-0034-4A66-A566-83FDA498665B}" name="13980" dataDxfId="2630"/>
    <tableColumn id="13761" xr3:uid="{D7E0A5B1-73F9-451D-87AD-8304F981EA8F}" name="13981" dataDxfId="2629"/>
    <tableColumn id="13762" xr3:uid="{C2ECE1AD-950A-40D4-B2C4-A029DF76E79B}" name="13982" dataDxfId="2628"/>
    <tableColumn id="13763" xr3:uid="{F26F106D-CB92-4CED-9796-DA265C0E136D}" name="13983" dataDxfId="2627"/>
    <tableColumn id="13764" xr3:uid="{351BD4E3-11DF-4598-AFC7-ADE3C23987F2}" name="13984" dataDxfId="2626"/>
    <tableColumn id="13765" xr3:uid="{B186563D-F137-48A7-90DE-D8B5F6E50376}" name="13985" dataDxfId="2625"/>
    <tableColumn id="13766" xr3:uid="{1D0BC8CC-BE9D-4A34-A427-43BEF686F2BE}" name="13986" dataDxfId="2624"/>
    <tableColumn id="13767" xr3:uid="{10AFC177-93D0-4FFC-A67B-1A0277079006}" name="13987" dataDxfId="2623"/>
    <tableColumn id="13768" xr3:uid="{36149729-9CF3-48FB-A79D-CB00022E2B66}" name="13988" dataDxfId="2622"/>
    <tableColumn id="13769" xr3:uid="{B934FA13-3ED9-4749-B9D0-672948BBB769}" name="13989" dataDxfId="2621"/>
    <tableColumn id="13770" xr3:uid="{2D542D98-8F66-48EB-B520-34392E778EF8}" name="13990" dataDxfId="2620"/>
    <tableColumn id="13771" xr3:uid="{D5532E1C-ECE9-43D8-AEF5-6CA144FEC905}" name="13991" dataDxfId="2619"/>
    <tableColumn id="13772" xr3:uid="{72ED5344-DC80-4D7F-AED3-BC833B28C113}" name="13992" dataDxfId="2618"/>
    <tableColumn id="13773" xr3:uid="{237ADB81-3AEB-40FB-8DF9-B918DF1FDD50}" name="13993" dataDxfId="2617"/>
    <tableColumn id="13774" xr3:uid="{BCAFB95E-4FAA-4C89-9D1E-49F2A0BD9F73}" name="13994" dataDxfId="2616"/>
    <tableColumn id="13775" xr3:uid="{996AD8FC-7349-48B8-8426-EECFE0A37D3B}" name="13995" dataDxfId="2615"/>
    <tableColumn id="13776" xr3:uid="{79BCC58D-EF5D-4B64-B4DA-AE087F3081D7}" name="13996" dataDxfId="2614"/>
    <tableColumn id="13777" xr3:uid="{247A8A1B-0717-49AD-9BA4-E94C3312CD6B}" name="13997" dataDxfId="2613"/>
    <tableColumn id="13778" xr3:uid="{C14E3634-29B4-4924-ADA2-CB3AE13883BE}" name="13998" dataDxfId="2612"/>
    <tableColumn id="13779" xr3:uid="{EEEF699E-091B-46AD-B080-C7AF801D0FA6}" name="13999" dataDxfId="2611"/>
    <tableColumn id="13780" xr3:uid="{9DCEDDA8-1392-4D20-8AA8-2A7B383069C9}" name="14000" dataDxfId="2610"/>
    <tableColumn id="13781" xr3:uid="{693C9900-B43B-421C-91BE-E54A88A70FC0}" name="14001" dataDxfId="2609"/>
    <tableColumn id="13782" xr3:uid="{87E6F483-AC9C-4DC1-9BD1-B0134B96BF52}" name="14002" dataDxfId="2608"/>
    <tableColumn id="13783" xr3:uid="{3AB73808-E604-4151-A5E6-44D4CB97D63C}" name="14003" dataDxfId="2607"/>
    <tableColumn id="13784" xr3:uid="{2A44E4C8-2F50-42AC-AD2F-B91DB3E93168}" name="14004" dataDxfId="2606"/>
    <tableColumn id="13785" xr3:uid="{249B4703-903C-4083-A6AE-E23401D64DFD}" name="14005" dataDxfId="2605"/>
    <tableColumn id="13786" xr3:uid="{19C446FB-6062-4AC9-A72D-A9B7D4937AE2}" name="14006" dataDxfId="2604"/>
    <tableColumn id="13787" xr3:uid="{4275BE1F-18F3-4042-AD7C-3EEB3FF3B00E}" name="14007" dataDxfId="2603"/>
    <tableColumn id="13788" xr3:uid="{4FBBFA2B-5410-4E49-B86C-2E0D443DE321}" name="14008" dataDxfId="2602"/>
    <tableColumn id="13789" xr3:uid="{BF67821B-487F-489C-9771-4137BBFC4717}" name="14009" dataDxfId="2601"/>
    <tableColumn id="13790" xr3:uid="{1B759C3B-7509-40EF-8B4A-AEAF766CBDD6}" name="14010" dataDxfId="2600"/>
    <tableColumn id="13791" xr3:uid="{BD098DB9-DCAE-4D58-BDDE-48C04D100C29}" name="14011" dataDxfId="2599"/>
    <tableColumn id="13792" xr3:uid="{BBB19287-6A46-47CF-A4EB-99C711F7AB17}" name="14012" dataDxfId="2598"/>
    <tableColumn id="13793" xr3:uid="{DB79D350-6CB6-4CC4-BF22-0BC6D0066964}" name="14013" dataDxfId="2597"/>
    <tableColumn id="13794" xr3:uid="{199AB536-D5BC-4DEC-8366-526BD2C2EFCD}" name="14014" dataDxfId="2596"/>
    <tableColumn id="13795" xr3:uid="{63C6C5EB-3508-4B66-89B5-B1CC7900B2AE}" name="14015" dataDxfId="2595"/>
    <tableColumn id="13796" xr3:uid="{3FD06DA0-EA65-4ACF-8071-3E9EC00109F6}" name="14016" dataDxfId="2594"/>
    <tableColumn id="13797" xr3:uid="{0FAA34A6-E9B3-4021-B26F-3EBB05DFF175}" name="14017" dataDxfId="2593"/>
    <tableColumn id="13798" xr3:uid="{B83B34D5-367A-4B2A-8F43-B04125183EFA}" name="14018" dataDxfId="2592"/>
    <tableColumn id="13799" xr3:uid="{2479195A-8409-4C33-A272-934D667188A7}" name="14019" dataDxfId="2591"/>
    <tableColumn id="13800" xr3:uid="{D92415E8-76D9-4A48-BD92-DC5E5982DD0E}" name="14020" dataDxfId="2590"/>
    <tableColumn id="13801" xr3:uid="{7F1F8321-2E42-4E95-AF2A-3E30685761AB}" name="14021" dataDxfId="2589"/>
    <tableColumn id="13802" xr3:uid="{E617B826-68A1-491E-BAC9-6A1989B24522}" name="14022" dataDxfId="2588"/>
    <tableColumn id="13803" xr3:uid="{CDC9C7D4-1406-4CFC-8124-E3D1209E54E3}" name="14023" dataDxfId="2587"/>
    <tableColumn id="13804" xr3:uid="{1A7D447C-2A26-451D-9AE2-C13F62CE5C26}" name="14024" dataDxfId="2586"/>
    <tableColumn id="13805" xr3:uid="{471BE3BC-2B77-475F-A983-13CF7E40588F}" name="14025" dataDxfId="2585"/>
    <tableColumn id="13806" xr3:uid="{0891021C-361D-4C76-BA04-DBB5FDF21283}" name="14026" dataDxfId="2584"/>
    <tableColumn id="13807" xr3:uid="{3F10C892-DCD1-487F-A0AD-89E6509CD512}" name="14027" dataDxfId="2583"/>
    <tableColumn id="13808" xr3:uid="{902644A1-A472-45BD-A273-DDF3CC7B693F}" name="14028" dataDxfId="2582"/>
    <tableColumn id="13809" xr3:uid="{82102D3F-31A9-4466-AF82-8C6B5752E655}" name="14029" dataDxfId="2581"/>
    <tableColumn id="13810" xr3:uid="{9A2DDD93-1A6C-4113-BD41-16978FECA58E}" name="14030" dataDxfId="2580"/>
    <tableColumn id="13811" xr3:uid="{0F2470A6-1C20-4FB6-8AB8-5E3F68A4CE27}" name="14031" dataDxfId="2579"/>
    <tableColumn id="13812" xr3:uid="{0CCDAB22-9846-4D84-A99C-298787660EAC}" name="14032" dataDxfId="2578"/>
    <tableColumn id="13813" xr3:uid="{50431ECA-191B-4614-A0AF-65E142BBE718}" name="14033" dataDxfId="2577"/>
    <tableColumn id="13814" xr3:uid="{FDBF4AD2-05C3-4A74-B19E-A5CEC430CB7C}" name="14034" dataDxfId="2576"/>
    <tableColumn id="13815" xr3:uid="{94398402-B22F-41DB-9F06-EA2FC9511C0E}" name="14035" dataDxfId="2575"/>
    <tableColumn id="13816" xr3:uid="{40105170-9F6D-4AF9-A136-623D5176ED01}" name="14036" dataDxfId="2574"/>
    <tableColumn id="13817" xr3:uid="{E50B8712-BA60-459F-B019-3809A166CAEB}" name="14037" dataDxfId="2573"/>
    <tableColumn id="13818" xr3:uid="{66307F68-D672-45BF-A813-1BF6909644E4}" name="14038" dataDxfId="2572"/>
    <tableColumn id="13819" xr3:uid="{C2922A36-5BF7-4C55-B540-F75DB9D44493}" name="14039" dataDxfId="2571"/>
    <tableColumn id="13820" xr3:uid="{B8C536AB-4535-41AA-98F6-ABE681FD69B1}" name="14040" dataDxfId="2570"/>
    <tableColumn id="13821" xr3:uid="{0F7CCC2B-F93D-4BCE-8BE4-6977BF92DA8E}" name="14041" dataDxfId="2569"/>
    <tableColumn id="13822" xr3:uid="{F0C8DEBB-027E-4896-A579-CBC4958E6BC7}" name="14042" dataDxfId="2568"/>
    <tableColumn id="13823" xr3:uid="{D0249B27-4164-4626-B1F8-DC9C2C07F6A0}" name="14043" dataDxfId="2567"/>
    <tableColumn id="13824" xr3:uid="{454D9555-0BEB-4179-AC24-731B50C0523B}" name="14044" dataDxfId="2566"/>
    <tableColumn id="13825" xr3:uid="{61FEB9F2-9365-47A0-BE0B-1463C6C07CEB}" name="14045" dataDxfId="2565"/>
    <tableColumn id="13826" xr3:uid="{E640AC4D-A455-462C-9F31-3B4D8EC94948}" name="14046" dataDxfId="2564"/>
    <tableColumn id="13827" xr3:uid="{4413297D-19BE-4EB4-8815-BA330D48608C}" name="14047" dataDxfId="2563"/>
    <tableColumn id="13828" xr3:uid="{D0B9BFC3-7B42-49BB-8D4B-C2231D4ECB92}" name="14048" dataDxfId="2562"/>
    <tableColumn id="13829" xr3:uid="{284CD62F-E061-4CBE-98C5-E9060E1C9A4B}" name="14049" dataDxfId="2561"/>
    <tableColumn id="13830" xr3:uid="{1266EF88-0E5E-455B-853E-3D8FEB8EBC3F}" name="14050" dataDxfId="2560"/>
    <tableColumn id="13831" xr3:uid="{7A9C10A5-C842-40DC-93AE-6FF6DEE10579}" name="14051" dataDxfId="2559"/>
    <tableColumn id="13832" xr3:uid="{5A9CABEB-82C1-4F18-BBC1-23A763C9B603}" name="14052" dataDxfId="2558"/>
    <tableColumn id="13833" xr3:uid="{8D4721A6-77F6-412A-99CD-5C58DA297997}" name="14053" dataDxfId="2557"/>
    <tableColumn id="13834" xr3:uid="{DAEDCEE2-18DB-4FE7-9DE1-CDEC1E320460}" name="14054" dataDxfId="2556"/>
    <tableColumn id="13835" xr3:uid="{1D890724-9CC7-487E-8125-060D5CD842C7}" name="14055" dataDxfId="2555"/>
    <tableColumn id="13836" xr3:uid="{62DC4450-572E-4E96-A61B-133B6EDE0F07}" name="14056" dataDxfId="2554"/>
    <tableColumn id="13837" xr3:uid="{05596414-CBEB-4506-AEBD-B2F127B79D3D}" name="14057" dataDxfId="2553"/>
    <tableColumn id="13838" xr3:uid="{57BED440-E298-41C5-9311-66009F96A9CE}" name="14058" dataDxfId="2552"/>
    <tableColumn id="13839" xr3:uid="{276B2AA6-5BC5-4059-8736-5D571CA25705}" name="14059" dataDxfId="2551"/>
    <tableColumn id="13840" xr3:uid="{D866FA93-7375-4CE0-8FAF-86DEF2886468}" name="14060" dataDxfId="2550"/>
    <tableColumn id="13841" xr3:uid="{28BB2E5C-20BD-413C-9E17-2DF09D584E4A}" name="14061" dataDxfId="2549"/>
    <tableColumn id="13842" xr3:uid="{50A18A0C-025B-4D0C-8A44-F3010F9C89CC}" name="14062" dataDxfId="2548"/>
    <tableColumn id="13843" xr3:uid="{CF7868ED-CC01-4C31-BCA2-333702D573E5}" name="14063" dataDxfId="2547"/>
    <tableColumn id="13844" xr3:uid="{CDF2ABBF-9543-44C6-98A3-777E2CB317B5}" name="14064" dataDxfId="2546"/>
    <tableColumn id="13845" xr3:uid="{42762881-0CB9-4C03-820C-46A2C6B3DC9E}" name="14065" dataDxfId="2545"/>
    <tableColumn id="13846" xr3:uid="{1A3DF945-8E60-461B-9274-626855B6D66A}" name="14066" dataDxfId="2544"/>
    <tableColumn id="13847" xr3:uid="{31448056-0981-4231-8EB8-41CF9A215E86}" name="14067" dataDxfId="2543"/>
    <tableColumn id="13848" xr3:uid="{2C4C7016-ED01-4B20-87C8-B3CAA7926593}" name="14068" dataDxfId="2542"/>
    <tableColumn id="13849" xr3:uid="{BABA8C97-4C58-4FB6-ADE6-7B022F0A802A}" name="14069" dataDxfId="2541"/>
    <tableColumn id="13850" xr3:uid="{15EBBADA-D7EF-42E7-8327-3EB133209170}" name="14070" dataDxfId="2540"/>
    <tableColumn id="13851" xr3:uid="{9EE5DA01-A89C-4AEC-9582-EAA5D5A730C2}" name="14071" dataDxfId="2539"/>
    <tableColumn id="13852" xr3:uid="{61A4DB81-5C39-4447-858B-97FC06472DE3}" name="14072" dataDxfId="2538"/>
    <tableColumn id="13853" xr3:uid="{5FF5C043-7D64-4CF8-8C02-780DCB45FED8}" name="14073" dataDxfId="2537"/>
    <tableColumn id="13854" xr3:uid="{F6FF579E-BC2F-49DE-AA67-BBD719962314}" name="14074" dataDxfId="2536"/>
    <tableColumn id="13855" xr3:uid="{0A1CE902-E7A2-4D8B-B1F2-E504A8531563}" name="14075" dataDxfId="2535"/>
    <tableColumn id="13856" xr3:uid="{736FFDFB-C6EE-4DFF-BD76-69D89FDB2252}" name="14076" dataDxfId="2534"/>
    <tableColumn id="13857" xr3:uid="{CCFE203E-55B7-4B88-822D-E511D31DBE8C}" name="14077" dataDxfId="2533"/>
    <tableColumn id="13858" xr3:uid="{C745FF79-C166-427D-82C0-B67ED51056E6}" name="14078" dataDxfId="2532"/>
    <tableColumn id="13859" xr3:uid="{CAA985C4-8792-4968-A775-56BD71832991}" name="14079" dataDxfId="2531"/>
    <tableColumn id="13860" xr3:uid="{170455F4-AE0F-4759-82E4-F60A446B81C5}" name="14080" dataDxfId="2530"/>
    <tableColumn id="13861" xr3:uid="{E316B3D7-AF6F-4A05-A56F-CF439E2EFC01}" name="14081" dataDxfId="2529"/>
    <tableColumn id="13862" xr3:uid="{4F130693-C87B-4211-952F-7B3B43DD210E}" name="14082" dataDxfId="2528"/>
    <tableColumn id="13863" xr3:uid="{562E02F9-C218-4783-8760-4E976D9D6ECF}" name="14083" dataDxfId="2527"/>
    <tableColumn id="13864" xr3:uid="{5B1E458A-54B9-4E37-8C52-8363638F313A}" name="14084" dataDxfId="2526"/>
    <tableColumn id="13865" xr3:uid="{A7260AF3-61E7-49A8-8630-8CC264FA84D8}" name="14085" dataDxfId="2525"/>
    <tableColumn id="13866" xr3:uid="{44CEB22C-DC87-4281-A18D-EBD9B68DC5B7}" name="14086" dataDxfId="2524"/>
    <tableColumn id="13867" xr3:uid="{C9159A50-7A56-41D6-8B63-D34C94A4AAAC}" name="14087" dataDxfId="2523"/>
    <tableColumn id="13868" xr3:uid="{06E6A9A7-88A1-4790-9B86-7BEA03EACF14}" name="14088" dataDxfId="2522"/>
    <tableColumn id="13869" xr3:uid="{40B9DA9F-7B88-4629-8E44-B01BA83943EF}" name="14089" dataDxfId="2521"/>
    <tableColumn id="13870" xr3:uid="{E8323C33-CBE9-434F-AE58-4A2D6E16CD8A}" name="14090" dataDxfId="2520"/>
    <tableColumn id="13871" xr3:uid="{74C7790A-90F6-442E-B19A-7CDF8A23FFDB}" name="14091" dataDxfId="2519"/>
    <tableColumn id="13872" xr3:uid="{02A04B19-91B3-47E3-B6B1-ECDCD8C852A9}" name="14092" dataDxfId="2518"/>
    <tableColumn id="13873" xr3:uid="{A1787B81-1A44-4599-934A-CEAC82D3284A}" name="14093" dataDxfId="2517"/>
    <tableColumn id="13874" xr3:uid="{15970C07-4D82-4E27-912F-C174BAF74FA6}" name="14094" dataDxfId="2516"/>
    <tableColumn id="13875" xr3:uid="{56E3E933-8334-4F2C-8B4A-A31B40C81911}" name="14095" dataDxfId="2515"/>
    <tableColumn id="13876" xr3:uid="{EB92D3CE-B30F-4D4A-8FC5-2AEFC66E787D}" name="14096" dataDxfId="2514"/>
    <tableColumn id="13877" xr3:uid="{73B13B73-DA5B-453F-BEB2-11DC1296DD28}" name="14097" dataDxfId="2513"/>
    <tableColumn id="13878" xr3:uid="{AF0C3C47-030E-4295-8185-E202A57CA410}" name="14098" dataDxfId="2512"/>
    <tableColumn id="13879" xr3:uid="{550659F3-718A-4B24-8B02-7D1B4BE33C15}" name="14099" dataDxfId="2511"/>
    <tableColumn id="13880" xr3:uid="{2A7FF9F8-7AB7-482B-A483-4ABBECB18129}" name="14100" dataDxfId="2510"/>
    <tableColumn id="13881" xr3:uid="{4EF969C4-C72C-41FE-9A25-B1089DD8B731}" name="14101" dataDxfId="2509"/>
    <tableColumn id="13882" xr3:uid="{F0F8B222-6BD3-4DEA-8250-6A54EAB05B68}" name="14102" dataDxfId="2508"/>
    <tableColumn id="13883" xr3:uid="{0246F4C7-392B-4FA6-B509-F7284CDE2E8B}" name="14103" dataDxfId="2507"/>
    <tableColumn id="13884" xr3:uid="{81429098-AE3D-47A4-AA36-6D507D5F16B0}" name="14104" dataDxfId="2506"/>
    <tableColumn id="13885" xr3:uid="{4F560D9F-46E9-4061-BAA3-D14D402CAAF3}" name="14105" dataDxfId="2505"/>
    <tableColumn id="13886" xr3:uid="{3E669555-848B-4301-8F5D-F6DE33E11BD5}" name="14106" dataDxfId="2504"/>
    <tableColumn id="13887" xr3:uid="{40507E15-C7B3-4EE2-ACA5-A5E5720EF69F}" name="14107" dataDxfId="2503"/>
    <tableColumn id="13888" xr3:uid="{1156D30E-05DC-4EBB-B7B9-BC5A4E7B626D}" name="14108" dataDxfId="2502"/>
    <tableColumn id="13889" xr3:uid="{1CE92D8C-725E-4D21-AB81-321AE2894410}" name="14109" dataDxfId="2501"/>
    <tableColumn id="13890" xr3:uid="{7048BC34-9F31-420A-9817-47DD3D3397ED}" name="14110" dataDxfId="2500"/>
    <tableColumn id="13891" xr3:uid="{1064E8ED-CC84-4713-915A-279F86C84306}" name="14111" dataDxfId="2499"/>
    <tableColumn id="13892" xr3:uid="{36C2DBD2-3CE0-4531-922B-25D2ECF88AC4}" name="14112" dataDxfId="2498"/>
    <tableColumn id="13893" xr3:uid="{D12A5709-8F1D-4DF5-A601-69331AD85016}" name="14113" dataDxfId="2497"/>
    <tableColumn id="13894" xr3:uid="{A21F72C2-9F1E-47FF-972F-0F90B332069E}" name="14114" dataDxfId="2496"/>
    <tableColumn id="13895" xr3:uid="{82D25686-6C9B-4621-B1A0-88228DE19B98}" name="14115" dataDxfId="2495"/>
    <tableColumn id="13896" xr3:uid="{FE4F7C59-FAF3-447A-8294-9E6C412EBF06}" name="14116" dataDxfId="2494"/>
    <tableColumn id="13897" xr3:uid="{DE9E3481-60F7-4847-BFBA-D566FE0A27CD}" name="14117" dataDxfId="2493"/>
    <tableColumn id="13898" xr3:uid="{2C158C18-F581-4770-BBBC-E723CA7627B5}" name="14118" dataDxfId="2492"/>
    <tableColumn id="13899" xr3:uid="{6ED528CA-13A0-4975-8AB4-DC87F24959CD}" name="14119" dataDxfId="2491"/>
    <tableColumn id="13900" xr3:uid="{2059A3AC-370D-432A-9043-2232BB222146}" name="14120" dataDxfId="2490"/>
    <tableColumn id="13901" xr3:uid="{95CA789A-3608-40BB-8549-2EDEC73F43B4}" name="14121" dataDxfId="2489"/>
    <tableColumn id="13902" xr3:uid="{7689C2EA-C2CC-41A1-B350-138929410272}" name="14122" dataDxfId="2488"/>
    <tableColumn id="13903" xr3:uid="{D6EDF674-ABB2-4963-A7AD-56A115C13601}" name="14123" dataDxfId="2487"/>
    <tableColumn id="13904" xr3:uid="{86157330-2FF8-4F61-BC2B-D50EE31BFD58}" name="14124" dataDxfId="2486"/>
    <tableColumn id="13905" xr3:uid="{96F65BBF-AF3A-46B6-B057-ECFE124C378E}" name="14125" dataDxfId="2485"/>
    <tableColumn id="13906" xr3:uid="{022D824F-A14C-4F4E-BE0F-BFD7FBE883E8}" name="14126" dataDxfId="2484"/>
    <tableColumn id="13907" xr3:uid="{CC676DDA-A929-4DA2-B47F-5B2594CE9270}" name="14127" dataDxfId="2483"/>
    <tableColumn id="13908" xr3:uid="{B8360A09-E19D-4004-9610-A85DAA97A4C4}" name="14128" dataDxfId="2482"/>
    <tableColumn id="13909" xr3:uid="{15B11161-588E-438F-9E99-2AF7AD4A35CC}" name="14129" dataDxfId="2481"/>
    <tableColumn id="13910" xr3:uid="{5DAEC67D-2B14-4DA5-B6E8-E1758F0B17AB}" name="14130" dataDxfId="2480"/>
    <tableColumn id="13911" xr3:uid="{FDD6B65B-2911-41FD-B2C9-615D26F11B70}" name="14131" dataDxfId="2479"/>
    <tableColumn id="13912" xr3:uid="{67BC4401-9288-4239-9743-EE2286FDDDD3}" name="14132" dataDxfId="2478"/>
    <tableColumn id="13913" xr3:uid="{25838517-8935-459F-A1CE-1DFB3FD1AA6E}" name="14133" dataDxfId="2477"/>
    <tableColumn id="13914" xr3:uid="{E2BB4BE5-85B6-4857-8486-EB3B8DF79E2A}" name="14134" dataDxfId="2476"/>
    <tableColumn id="13915" xr3:uid="{0940ECF5-08C3-4F8B-8137-5FF37B09CD0B}" name="14135" dataDxfId="2475"/>
    <tableColumn id="13916" xr3:uid="{C240BB1C-8206-4626-BA48-D7065E2F623F}" name="14136" dataDxfId="2474"/>
    <tableColumn id="13917" xr3:uid="{21B19DFE-8C82-4878-A005-B3C26941344B}" name="14137" dataDxfId="2473"/>
    <tableColumn id="13918" xr3:uid="{19F0337B-883E-4E57-964E-8722B699BC09}" name="14138" dataDxfId="2472"/>
    <tableColumn id="13919" xr3:uid="{3FECDE76-038A-40F5-8D9C-E317292FD975}" name="14139" dataDxfId="2471"/>
    <tableColumn id="13920" xr3:uid="{923EF274-6244-4DA5-9C40-279DCD3BED53}" name="14140" dataDxfId="2470"/>
    <tableColumn id="13921" xr3:uid="{DA159C18-572B-4473-93EB-796449189A96}" name="14141" dataDxfId="2469"/>
    <tableColumn id="13922" xr3:uid="{E9E5A6AD-7E75-46E2-B630-E0D8AB432BB4}" name="14142" dataDxfId="2468"/>
    <tableColumn id="13923" xr3:uid="{1074E3F2-3390-45C6-A866-144A2DE83F36}" name="14143" dataDxfId="2467"/>
    <tableColumn id="13924" xr3:uid="{F298997B-350A-483C-8AAD-18B9C93F0943}" name="14144" dataDxfId="2466"/>
    <tableColumn id="13925" xr3:uid="{45E4ABB3-EBAF-462C-912C-852DE46427BA}" name="14145" dataDxfId="2465"/>
    <tableColumn id="13926" xr3:uid="{FCE3DA05-20A5-4276-B053-41B69B1ECF11}" name="14146" dataDxfId="2464"/>
    <tableColumn id="13927" xr3:uid="{D7668896-A052-4C0F-85C2-EB131FA9B990}" name="14147" dataDxfId="2463"/>
    <tableColumn id="13928" xr3:uid="{BC0FB554-1696-486B-8AB0-44E81DCE0811}" name="14148" dataDxfId="2462"/>
    <tableColumn id="13929" xr3:uid="{C1EDE7A0-FD4C-4A94-B4C3-9B1FCFC701FC}" name="14149" dataDxfId="2461"/>
    <tableColumn id="13930" xr3:uid="{357A451B-3C27-4B90-953F-03D1A2038E71}" name="14150" dataDxfId="2460"/>
    <tableColumn id="13931" xr3:uid="{627C6436-C47E-40E7-B6C8-486C44702904}" name="14151" dataDxfId="2459"/>
    <tableColumn id="13932" xr3:uid="{65359660-4A1C-482E-932C-A96DCD498B42}" name="14152" dataDxfId="2458"/>
    <tableColumn id="13933" xr3:uid="{FA2169EB-2B60-4474-B988-D2FB546E857A}" name="14153" dataDxfId="2457"/>
    <tableColumn id="13934" xr3:uid="{149C0671-83EE-4040-8C00-5973D8EE1D90}" name="14154" dataDxfId="2456"/>
    <tableColumn id="13935" xr3:uid="{5410D24C-9196-41C9-AAE9-F7B50DD04F12}" name="14155" dataDxfId="2455"/>
    <tableColumn id="13936" xr3:uid="{62365457-EC5D-4022-AA4D-76DB66C8BE85}" name="14156" dataDxfId="2454"/>
    <tableColumn id="13937" xr3:uid="{0085A7D4-AB5C-4EFB-8CDC-2C85A0C92D04}" name="14157" dataDxfId="2453"/>
    <tableColumn id="13938" xr3:uid="{C521E8EE-141E-4D09-BE05-98A79945EF45}" name="14158" dataDxfId="2452"/>
    <tableColumn id="13939" xr3:uid="{8274DE5F-1601-4353-90AC-F487A8659FE0}" name="14159" dataDxfId="2451"/>
    <tableColumn id="13940" xr3:uid="{278EA356-2804-422A-AF7C-C316AB01AB91}" name="14160" dataDxfId="2450"/>
    <tableColumn id="13941" xr3:uid="{702F5DE9-7B87-4C6A-8BD0-7748F876DEB3}" name="14161" dataDxfId="2449"/>
    <tableColumn id="13942" xr3:uid="{7EBB3864-7F98-4001-B6BC-17014759C51E}" name="14162" dataDxfId="2448"/>
    <tableColumn id="13943" xr3:uid="{33F20168-743F-43D8-BE8C-74885EDF0F13}" name="14163" dataDxfId="2447"/>
    <tableColumn id="13944" xr3:uid="{227156E0-A84E-4E29-BE5D-6F4F99424E0F}" name="14164" dataDxfId="2446"/>
    <tableColumn id="13945" xr3:uid="{11095651-41C8-46C0-9D6B-54530B9624A6}" name="14165" dataDxfId="2445"/>
    <tableColumn id="13946" xr3:uid="{8AED2ADB-21C9-412C-B6B5-7E9A85EF8154}" name="14166" dataDxfId="2444"/>
    <tableColumn id="13947" xr3:uid="{75F89C79-06C3-4985-B900-7C3B303158A2}" name="14167" dataDxfId="2443"/>
    <tableColumn id="13948" xr3:uid="{3AAC34F4-2F28-4AAE-B16A-F13ADE9071D7}" name="14168" dataDxfId="2442"/>
    <tableColumn id="13949" xr3:uid="{EBE00800-EFDB-4112-B421-1E4DFD84DBF2}" name="14169" dataDxfId="2441"/>
    <tableColumn id="13950" xr3:uid="{05EC5082-4B1D-4059-8899-CFF142C8392B}" name="14170" dataDxfId="2440"/>
    <tableColumn id="13951" xr3:uid="{F66F0CC9-6CAD-4540-A649-0638B9AED80B}" name="14171" dataDxfId="2439"/>
    <tableColumn id="13952" xr3:uid="{67C62AC1-8EBE-4022-BA7C-BECE03FB1903}" name="14172" dataDxfId="2438"/>
    <tableColumn id="13953" xr3:uid="{CB333971-0C87-482C-88F4-FACD5FB2F6DF}" name="14173" dataDxfId="2437"/>
    <tableColumn id="13954" xr3:uid="{151107BE-4235-411A-B7BA-794B2BCC70FA}" name="14174" dataDxfId="2436"/>
    <tableColumn id="13955" xr3:uid="{5AAA0CE1-1E15-4428-8637-CBDFBE8FA886}" name="14175" dataDxfId="2435"/>
    <tableColumn id="13956" xr3:uid="{09AA2215-170B-4681-B8E8-87AA8744390B}" name="14176" dataDxfId="2434"/>
    <tableColumn id="13957" xr3:uid="{3C2D3B90-5B04-42FF-BA85-DCE65621B5ED}" name="14177" dataDxfId="2433"/>
    <tableColumn id="13958" xr3:uid="{582333CC-EC5B-491A-A135-D86952F601AD}" name="14178" dataDxfId="2432"/>
    <tableColumn id="13959" xr3:uid="{D4C31033-62A9-4FFA-91E5-859E731FEACF}" name="14179" dataDxfId="2431"/>
    <tableColumn id="13960" xr3:uid="{55915D04-04D5-45F0-BBEC-33F6E8A2426C}" name="14180" dataDxfId="2430"/>
    <tableColumn id="13961" xr3:uid="{91AF05FE-EC02-4EDB-B29E-E43FA9DE6E15}" name="14181" dataDxfId="2429"/>
    <tableColumn id="13962" xr3:uid="{03325CE7-1579-4311-9E99-188D4A1699A8}" name="14182" dataDxfId="2428"/>
    <tableColumn id="13963" xr3:uid="{CAC14AB5-ABE0-4B6E-AF8C-B9CEC3E03CB6}" name="14183" dataDxfId="2427"/>
    <tableColumn id="13964" xr3:uid="{798D3043-4C2B-4DE6-8BB8-33D1593E8A39}" name="14184" dataDxfId="2426"/>
    <tableColumn id="13965" xr3:uid="{9E1E3447-D6C1-401B-A123-C149EE94CFDA}" name="14185" dataDxfId="2425"/>
    <tableColumn id="13966" xr3:uid="{B5972D27-9B41-4D59-8AB7-0075B6C8BC08}" name="14186" dataDxfId="2424"/>
    <tableColumn id="13967" xr3:uid="{5E7FAE03-D3E6-42B2-A8BC-00F9EE9D8031}" name="14187" dataDxfId="2423"/>
    <tableColumn id="13968" xr3:uid="{F821504A-3CC4-4E9F-960A-5480CD335D1F}" name="14188" dataDxfId="2422"/>
    <tableColumn id="13969" xr3:uid="{81A4870C-104C-4BE1-8777-32EF9951EAC3}" name="14189" dataDxfId="2421"/>
    <tableColumn id="13970" xr3:uid="{F0E62A84-EE44-42C0-A674-2731F85DC7B9}" name="14190" dataDxfId="2420"/>
    <tableColumn id="13971" xr3:uid="{BEAD26E6-8491-4F33-BA0A-F831025F17D8}" name="14191" dataDxfId="2419"/>
    <tableColumn id="13972" xr3:uid="{22FE76EE-EBCF-4A65-A449-BA9FEE927C71}" name="14192" dataDxfId="2418"/>
    <tableColumn id="13973" xr3:uid="{7A4C2DC2-0B5B-41DA-ACBA-89407968D0C3}" name="14193" dataDxfId="2417"/>
    <tableColumn id="13974" xr3:uid="{F4399E88-8C03-4DB7-942D-D16D781043C7}" name="14194" dataDxfId="2416"/>
    <tableColumn id="13975" xr3:uid="{7129F8AA-A777-4A35-8C71-4C55564F4CBF}" name="14195" dataDxfId="2415"/>
    <tableColumn id="13976" xr3:uid="{3A9C928E-0D81-42C7-BBA6-397F9C2327ED}" name="14196" dataDxfId="2414"/>
    <tableColumn id="13977" xr3:uid="{12C39D95-5B91-41E6-ABF0-F43A357D986E}" name="14197" dataDxfId="2413"/>
    <tableColumn id="13978" xr3:uid="{7B657405-8B95-4572-A0C0-3DDA13EA14F1}" name="14198" dataDxfId="2412"/>
    <tableColumn id="13979" xr3:uid="{33292BBE-F2A2-412E-A98D-2B1237884D07}" name="14199" dataDxfId="2411"/>
    <tableColumn id="13980" xr3:uid="{BCCF08C3-919F-487E-B52E-108B98ED47E1}" name="14200" dataDxfId="2410"/>
    <tableColumn id="13981" xr3:uid="{B5EAE7C5-42CE-40BD-960A-B97C61232220}" name="14201" dataDxfId="2409"/>
    <tableColumn id="13982" xr3:uid="{D09ABF1F-6008-4DD9-8809-EECD3726DCD9}" name="14202" dataDxfId="2408"/>
    <tableColumn id="13983" xr3:uid="{DBC5E09F-DD08-4DE2-87A4-71B41430BF3B}" name="14203" dataDxfId="2407"/>
    <tableColumn id="13984" xr3:uid="{295E77B2-E30E-4180-951E-CEF92F682AE8}" name="14204" dataDxfId="2406"/>
    <tableColumn id="13985" xr3:uid="{CDAA751B-BF90-45F5-807E-40178019C6D7}" name="14205" dataDxfId="2405"/>
    <tableColumn id="13986" xr3:uid="{19086782-4513-4285-A617-D0F53EA6E8AF}" name="14206" dataDxfId="2404"/>
    <tableColumn id="13987" xr3:uid="{766FD55E-E9DC-4816-989C-CFE75BB983FE}" name="14207" dataDxfId="2403"/>
    <tableColumn id="13988" xr3:uid="{81BEDB55-AF40-4769-9EB5-A93CD4948988}" name="14208" dataDxfId="2402"/>
    <tableColumn id="13989" xr3:uid="{5F127C36-7F9B-4DFE-87A2-56331B733CA0}" name="14209" dataDxfId="2401"/>
    <tableColumn id="13990" xr3:uid="{3E4505E6-433C-4FA0-8572-599D2BA68D96}" name="14210" dataDxfId="2400"/>
    <tableColumn id="13991" xr3:uid="{932C6D4C-9A34-47B1-B06D-6F52758B6B0A}" name="14211" dataDxfId="2399"/>
    <tableColumn id="13992" xr3:uid="{609D934F-9BE1-468E-A13F-A949A6C1D1B0}" name="14212" dataDxfId="2398"/>
    <tableColumn id="13993" xr3:uid="{D5759D38-3004-4575-AB53-0B6BE4FDADB0}" name="14213" dataDxfId="2397"/>
    <tableColumn id="13994" xr3:uid="{E6228AF7-360F-4F4E-8E3E-1FE432AA90BE}" name="14214" dataDxfId="2396"/>
    <tableColumn id="13995" xr3:uid="{CF304586-34EC-4A48-9F1D-5B987234E550}" name="14215" dataDxfId="2395"/>
    <tableColumn id="13996" xr3:uid="{9F522A1C-4ABF-4F9B-BF6D-A6D0CE73F2E6}" name="14216" dataDxfId="2394"/>
    <tableColumn id="13997" xr3:uid="{6388F1D2-7C8E-4F62-93DE-318681366DDE}" name="14217" dataDxfId="2393"/>
    <tableColumn id="13998" xr3:uid="{F64BF7CE-3824-4439-9096-2B7067B8BE89}" name="14218" dataDxfId="2392"/>
    <tableColumn id="13999" xr3:uid="{0D20545D-C92E-4BF9-B724-15D064F72B80}" name="14219" dataDxfId="2391"/>
    <tableColumn id="14000" xr3:uid="{28739C9B-B1E5-4EC9-AFA9-CB7E29B16A6C}" name="14220" dataDxfId="2390"/>
    <tableColumn id="14001" xr3:uid="{E0403AAB-129A-42F2-B23C-45DF87613A36}" name="14221" dataDxfId="2389"/>
    <tableColumn id="14002" xr3:uid="{07EBB489-D0D3-4938-8509-B98A1345B00A}" name="14222" dataDxfId="2388"/>
    <tableColumn id="14003" xr3:uid="{633B965D-9385-4DE0-95D5-EE919A41C57A}" name="14223" dataDxfId="2387"/>
    <tableColumn id="14004" xr3:uid="{76429E81-F6D3-411F-B9AB-434C41F3D9EF}" name="14224" dataDxfId="2386"/>
    <tableColumn id="14005" xr3:uid="{D19A003A-CAAE-4D22-9C65-F11562B9501C}" name="14225" dataDxfId="2385"/>
    <tableColumn id="14006" xr3:uid="{42BD2EE7-0B9D-4569-90A9-854005C99425}" name="14226" dataDxfId="2384"/>
    <tableColumn id="14007" xr3:uid="{95ECB938-3015-45DA-8606-DFAD61D661C8}" name="14227" dataDxfId="2383"/>
    <tableColumn id="14008" xr3:uid="{88DEF5D2-A62E-4417-8A28-77D21527EA87}" name="14228" dataDxfId="2382"/>
    <tableColumn id="14009" xr3:uid="{B021374F-13E0-43B1-AD37-77E5757E910B}" name="14229" dataDxfId="2381"/>
    <tableColumn id="14010" xr3:uid="{118BCB5C-872C-4312-91C6-F7A4BED0840E}" name="14230" dataDxfId="2380"/>
    <tableColumn id="14011" xr3:uid="{32D21365-8A53-48EE-9A50-9ABBFAF85B9C}" name="14231" dataDxfId="2379"/>
    <tableColumn id="14012" xr3:uid="{35804598-843C-427E-9086-C585C2F218C5}" name="14232" dataDxfId="2378"/>
    <tableColumn id="14013" xr3:uid="{AF16D10E-D997-46C4-811D-ECBBE8CAF9AB}" name="14233" dataDxfId="2377"/>
    <tableColumn id="14014" xr3:uid="{A9B43382-1E63-4F55-A9BB-F291F8097BB9}" name="14234" dataDxfId="2376"/>
    <tableColumn id="14015" xr3:uid="{F97C3C07-F672-46F1-86B1-59FBE5853934}" name="14235" dataDxfId="2375"/>
    <tableColumn id="14016" xr3:uid="{20B229C5-F52B-4E26-B0AA-AD8B3B007B16}" name="14236" dataDxfId="2374"/>
    <tableColumn id="14017" xr3:uid="{763AB8D9-12C6-4DAC-9744-9C70E967A578}" name="14237" dataDxfId="2373"/>
    <tableColumn id="14018" xr3:uid="{AEFC1DDD-3864-449D-B44F-CD7A9A53260D}" name="14238" dataDxfId="2372"/>
    <tableColumn id="14019" xr3:uid="{1D0EDA13-EB67-4D6A-B355-7AA807E8E54C}" name="14239" dataDxfId="2371"/>
    <tableColumn id="14020" xr3:uid="{D9C00CF4-8449-4D4B-9473-017B719E7A69}" name="14240" dataDxfId="2370"/>
    <tableColumn id="14021" xr3:uid="{22DEB451-DD8A-4140-B592-2622B61A1684}" name="14241" dataDxfId="2369"/>
    <tableColumn id="14022" xr3:uid="{D3105DAE-F386-4515-8433-7D33826853DF}" name="14242" dataDxfId="2368"/>
    <tableColumn id="14023" xr3:uid="{F582FDC3-DCF2-4D8B-BF0F-40BB9FF2A82D}" name="14243" dataDxfId="2367"/>
    <tableColumn id="14024" xr3:uid="{1491C7D6-F259-4400-8F1F-486929503323}" name="14244" dataDxfId="2366"/>
    <tableColumn id="14025" xr3:uid="{257CBEC5-1B8C-4765-A279-2A013ED4A9B6}" name="14245" dataDxfId="2365"/>
    <tableColumn id="14026" xr3:uid="{AB31E701-48F1-4F6B-AEDA-AD0AB75A4791}" name="14246" dataDxfId="2364"/>
    <tableColumn id="14027" xr3:uid="{8A050821-AF0A-48EE-9A6C-0146F499C9CB}" name="14247" dataDxfId="2363"/>
    <tableColumn id="14028" xr3:uid="{8393C275-F7D4-4F07-BC30-7D81176E9772}" name="14248" dataDxfId="2362"/>
    <tableColumn id="14029" xr3:uid="{E84463BB-FFCB-49F0-9812-C93540FEBDD7}" name="14249" dataDxfId="2361"/>
    <tableColumn id="14030" xr3:uid="{76C63CF5-A7DF-434E-9637-0CA902B58D43}" name="14250" dataDxfId="2360"/>
    <tableColumn id="14031" xr3:uid="{F11979E5-C2D9-44AE-8768-B7322E1B052A}" name="14251" dataDxfId="2359"/>
    <tableColumn id="14032" xr3:uid="{FE87A3A6-E083-4852-8BB8-BA1FE72844D3}" name="14252" dataDxfId="2358"/>
    <tableColumn id="14033" xr3:uid="{A39C534B-C543-47C9-9875-62E83D8D5FD7}" name="14253" dataDxfId="2357"/>
    <tableColumn id="14034" xr3:uid="{B5F367B2-22A9-4FB5-84C9-4101D0D26442}" name="14254" dataDxfId="2356"/>
    <tableColumn id="14035" xr3:uid="{A53C2EDF-8796-404E-B2AC-2ACC1E6AF7FE}" name="14255" dataDxfId="2355"/>
    <tableColumn id="14036" xr3:uid="{48D6E281-6E24-451B-82C0-C0B6E2BFC9EF}" name="14256" dataDxfId="2354"/>
    <tableColumn id="14037" xr3:uid="{8A596204-3B21-4A41-8F98-00D3315EED08}" name="14257" dataDxfId="2353"/>
    <tableColumn id="14038" xr3:uid="{120AC3F3-25BE-49EE-9E35-BAF42FB41B78}" name="14258" dataDxfId="2352"/>
    <tableColumn id="14039" xr3:uid="{A2506327-503F-4D91-8D82-7DF98ABA575E}" name="14259" dataDxfId="2351"/>
    <tableColumn id="14040" xr3:uid="{24918156-E5D4-4F6E-9FC6-0A1170A66306}" name="14260" dataDxfId="2350"/>
    <tableColumn id="14041" xr3:uid="{42543B15-6B37-44C4-A585-D3732AAF7127}" name="14261" dataDxfId="2349"/>
    <tableColumn id="14042" xr3:uid="{85B5BE6B-02C9-4B28-AD14-F42AF7C291BF}" name="14262" dataDxfId="2348"/>
    <tableColumn id="14043" xr3:uid="{9522091D-DDB5-4AF0-A4D7-C041C603F288}" name="14263" dataDxfId="2347"/>
    <tableColumn id="14044" xr3:uid="{50B0B195-BF0F-4955-B665-A5421BC12392}" name="14264" dataDxfId="2346"/>
    <tableColumn id="14045" xr3:uid="{D87E82AB-1CE9-4B28-A84A-3EC8208B8085}" name="14265" dataDxfId="2345"/>
    <tableColumn id="14046" xr3:uid="{01B2BA14-E103-4ADA-8231-D17F51D1CDD5}" name="14266" dataDxfId="2344"/>
    <tableColumn id="14047" xr3:uid="{3EA1B363-6464-4BEA-A7BC-54FB1BE10200}" name="14267" dataDxfId="2343"/>
    <tableColumn id="14048" xr3:uid="{E96AC439-D516-4272-A952-0BD2610DCF24}" name="14268" dataDxfId="2342"/>
    <tableColumn id="14049" xr3:uid="{3A25FA82-17D0-4D36-8B6A-B043CC062A90}" name="14269" dataDxfId="2341"/>
    <tableColumn id="14050" xr3:uid="{86F588BD-48C2-4C46-A959-0B800AACA554}" name="14270" dataDxfId="2340"/>
    <tableColumn id="14051" xr3:uid="{9FC22D74-4DC6-4240-A688-8162A4977C76}" name="14271" dataDxfId="2339"/>
    <tableColumn id="14052" xr3:uid="{48310BEB-1EEB-4B29-9675-0DFB67598710}" name="14272" dataDxfId="2338"/>
    <tableColumn id="14053" xr3:uid="{21A83034-4555-43AF-99AC-F01F9D6695A6}" name="14273" dataDxfId="2337"/>
    <tableColumn id="14054" xr3:uid="{B7F0CF76-5911-40B9-8B71-EFF0FEB20E18}" name="14274" dataDxfId="2336"/>
    <tableColumn id="14055" xr3:uid="{B6250C4D-0D1C-4807-9D64-65166352D310}" name="14275" dataDxfId="2335"/>
    <tableColumn id="14056" xr3:uid="{4BE27252-8510-4633-8DED-835AC553E4B2}" name="14276" dataDxfId="2334"/>
    <tableColumn id="14057" xr3:uid="{3C2F0189-67F6-42E9-AC8A-58234E4A4B35}" name="14277" dataDxfId="2333"/>
    <tableColumn id="14058" xr3:uid="{1724A2B5-4A7C-40AD-B523-BF320A398A49}" name="14278" dataDxfId="2332"/>
    <tableColumn id="14059" xr3:uid="{524A5B1A-8FE9-41A7-AD18-4B9BC0194305}" name="14279" dataDxfId="2331"/>
    <tableColumn id="14060" xr3:uid="{35231A20-7761-4995-BD33-B5ACB95ED653}" name="14280" dataDxfId="2330"/>
    <tableColumn id="14061" xr3:uid="{F3CC02D0-D675-48CF-A4ED-3246DAA2AD73}" name="14281" dataDxfId="2329"/>
    <tableColumn id="14062" xr3:uid="{6B2AD490-80B3-4E7D-AE37-4AFCB44D18E9}" name="14282" dataDxfId="2328"/>
    <tableColumn id="14063" xr3:uid="{1ED7033A-CE55-4F0B-A8FD-BE7AB2A3E60C}" name="14283" dataDxfId="2327"/>
    <tableColumn id="14064" xr3:uid="{61F9405D-6377-4BB6-9C43-9079CBC5416B}" name="14284" dataDxfId="2326"/>
    <tableColumn id="14065" xr3:uid="{2ABD5A80-9853-46FC-8868-DDB8438170D3}" name="14285" dataDxfId="2325"/>
    <tableColumn id="14066" xr3:uid="{4036CC21-F539-4BDD-A4A2-AE46301F594F}" name="14286" dataDxfId="2324"/>
    <tableColumn id="14067" xr3:uid="{6BA6F89E-16DD-4A25-87FA-035722A1A090}" name="14287" dataDxfId="2323"/>
    <tableColumn id="14068" xr3:uid="{5C027C95-990E-475F-9D1F-A00250C455B9}" name="14288" dataDxfId="2322"/>
    <tableColumn id="14069" xr3:uid="{67395E0C-2173-4947-B650-6DBD85425C1B}" name="14289" dataDxfId="2321"/>
    <tableColumn id="14070" xr3:uid="{E548956F-BC39-4AA0-A6DF-7B9A290EB67D}" name="14290" dataDxfId="2320"/>
    <tableColumn id="14071" xr3:uid="{9A6CE896-37FF-44AB-BE73-91CF36DD1A21}" name="14291" dataDxfId="2319"/>
    <tableColumn id="14072" xr3:uid="{352762BD-0A4E-40AB-BFBD-9C11535DA7DC}" name="14292" dataDxfId="2318"/>
    <tableColumn id="14073" xr3:uid="{DC1E235B-F31C-4BC5-9CA5-FA594227932E}" name="14293" dataDxfId="2317"/>
    <tableColumn id="14074" xr3:uid="{6588B7D6-4306-4030-B7BC-C573F8A47420}" name="14294" dataDxfId="2316"/>
    <tableColumn id="14075" xr3:uid="{ACA37E74-BD06-404E-A59D-91E158C6BFA6}" name="14295" dataDxfId="2315"/>
    <tableColumn id="14076" xr3:uid="{8DD7EC9C-268F-4928-B72E-9D1438B84397}" name="14296" dataDxfId="2314"/>
    <tableColumn id="14077" xr3:uid="{7F633578-0937-44BD-A454-C66280D16830}" name="14297" dataDxfId="2313"/>
    <tableColumn id="14078" xr3:uid="{E9E82220-F6CD-473A-8B30-8A5C22907C28}" name="14298" dataDxfId="2312"/>
    <tableColumn id="14079" xr3:uid="{55CB4B27-6EF8-4D9F-A61A-292300AA942F}" name="14299" dataDxfId="2311"/>
    <tableColumn id="14080" xr3:uid="{086287E6-4070-42EB-A5E4-2D0E92329B2D}" name="14300" dataDxfId="2310"/>
    <tableColumn id="14081" xr3:uid="{71F0637C-4409-4ADE-B629-43ABF40DD5DC}" name="14301" dataDxfId="2309"/>
    <tableColumn id="14082" xr3:uid="{B7F1C9F0-EA83-400E-93F6-40A8916884B2}" name="14302" dataDxfId="2308"/>
    <tableColumn id="14083" xr3:uid="{A29516CF-B5BA-4735-AC96-B235F4CAB403}" name="14303" dataDxfId="2307"/>
    <tableColumn id="14084" xr3:uid="{9CBAE245-0607-49EA-B505-4DC97A09EBC5}" name="14304" dataDxfId="2306"/>
    <tableColumn id="14085" xr3:uid="{1BA7582E-2214-4573-92F2-CA5F5F8F99DE}" name="14305" dataDxfId="2305"/>
    <tableColumn id="14086" xr3:uid="{DDABB1AC-1A86-4D8E-9DFC-68FF873E91D3}" name="14306" dataDxfId="2304"/>
    <tableColumn id="14087" xr3:uid="{6D91C7DC-F860-4F0C-9C30-0D1BBBD0688C}" name="14307" dataDxfId="2303"/>
    <tableColumn id="14088" xr3:uid="{0F685AF7-E833-4318-988C-34666FEB4629}" name="14308" dataDxfId="2302"/>
    <tableColumn id="14089" xr3:uid="{B7E9458B-270C-46B8-9418-E275DAC7709E}" name="14309" dataDxfId="2301"/>
    <tableColumn id="14090" xr3:uid="{FD64849C-21C2-484A-8972-A4B707AC12A8}" name="14310" dataDxfId="2300"/>
    <tableColumn id="14091" xr3:uid="{EB61EF5A-41CD-4C8A-ADD4-83F2F18833D5}" name="14311" dataDxfId="2299"/>
    <tableColumn id="14092" xr3:uid="{2F7558DB-8E71-48B3-97EE-C35ABD5538EF}" name="14312" dataDxfId="2298"/>
    <tableColumn id="14093" xr3:uid="{C4D5C498-B8F2-4A4B-BEFC-500C91F130DC}" name="14313" dataDxfId="2297"/>
    <tableColumn id="14094" xr3:uid="{3501CFA9-58A9-4AE1-B51D-9834BF99D189}" name="14314" dataDxfId="2296"/>
    <tableColumn id="14095" xr3:uid="{70E0FFA9-751F-45AF-A9FE-F2AF8D8AA2A5}" name="14315" dataDxfId="2295"/>
    <tableColumn id="14096" xr3:uid="{CBED9E8C-538A-45EB-A1A8-98784A0E0128}" name="14316" dataDxfId="2294"/>
    <tableColumn id="14097" xr3:uid="{79F59511-337F-41B6-9A35-876E14B23770}" name="14317" dataDxfId="2293"/>
    <tableColumn id="14098" xr3:uid="{F761DF85-F6A3-4146-9570-C1C7362C6AD2}" name="14318" dataDxfId="2292"/>
    <tableColumn id="14099" xr3:uid="{A974BBFF-D21E-4B96-B499-509AE7F5C52E}" name="14319" dataDxfId="2291"/>
    <tableColumn id="14100" xr3:uid="{6C638996-AA5D-410A-A934-3FC0AE419378}" name="14320" dataDxfId="2290"/>
    <tableColumn id="14101" xr3:uid="{93BDC9F4-3695-4F4D-B74A-28E895574DB7}" name="14321" dataDxfId="2289"/>
    <tableColumn id="14102" xr3:uid="{EAEBAA21-F3A5-4AF0-84D0-B15427CF6C45}" name="14322" dataDxfId="2288"/>
    <tableColumn id="14103" xr3:uid="{E2587385-A17F-4F66-92F1-69F077E158FF}" name="14323" dataDxfId="2287"/>
    <tableColumn id="14104" xr3:uid="{A46E9F36-7F26-45B0-9680-48C1DF5AB3B5}" name="14324" dataDxfId="2286"/>
    <tableColumn id="14105" xr3:uid="{8A76D563-1F4A-485D-8C28-37D0DAF4F927}" name="14325" dataDxfId="2285"/>
    <tableColumn id="14106" xr3:uid="{9740C2D5-6B14-4807-B4CC-CA918A094F5C}" name="14326" dataDxfId="2284"/>
    <tableColumn id="14107" xr3:uid="{45589DB0-4BC1-4309-8257-FC0695FA41B8}" name="14327" dataDxfId="2283"/>
    <tableColumn id="14108" xr3:uid="{396926C6-8956-413F-ABF4-09C1CB7CF1EF}" name="14328" dataDxfId="2282"/>
    <tableColumn id="14109" xr3:uid="{6401D666-06C1-496A-8C90-A27FB8F6A581}" name="14329" dataDxfId="2281"/>
    <tableColumn id="14110" xr3:uid="{37DBBDD5-8F1B-47A8-ADCD-3650630B6E88}" name="14330" dataDxfId="2280"/>
    <tableColumn id="14111" xr3:uid="{812445C8-0792-42CF-ADBF-D167355C7FCF}" name="14331" dataDxfId="2279"/>
    <tableColumn id="14112" xr3:uid="{69C6ED30-50F3-459B-A514-F0F20520F90E}" name="14332" dataDxfId="2278"/>
    <tableColumn id="14113" xr3:uid="{1B138CC4-2391-4A2E-88F4-F200C2C24CCA}" name="14333" dataDxfId="2277"/>
    <tableColumn id="14114" xr3:uid="{DCB3FA7C-1451-4621-9487-83AE2087B317}" name="14334" dataDxfId="2276"/>
    <tableColumn id="14115" xr3:uid="{EE5447AD-DFBC-43E9-B81A-F0CBA2D2C8F0}" name="14335" dataDxfId="2275"/>
    <tableColumn id="14116" xr3:uid="{C05E4070-0FD5-4CAF-9E51-50A8FAE2EFB5}" name="14336" dataDxfId="2274"/>
    <tableColumn id="14117" xr3:uid="{24DF019F-D69C-4B44-ACF6-DAB1B432AF84}" name="14337" dataDxfId="2273"/>
    <tableColumn id="14118" xr3:uid="{36FF073E-0299-41B2-AF3E-5E189F843332}" name="14338" dataDxfId="2272"/>
    <tableColumn id="14119" xr3:uid="{048F6710-649C-49B6-9576-EDA73780DC97}" name="14339" dataDxfId="2271"/>
    <tableColumn id="14120" xr3:uid="{48A98A93-FE0C-426A-9E35-B9C6EAE0FE82}" name="14340" dataDxfId="2270"/>
    <tableColumn id="14121" xr3:uid="{9187AEAA-2C94-4871-BB26-97FEE2A3D5E0}" name="14341" dataDxfId="2269"/>
    <tableColumn id="14122" xr3:uid="{B2A5C4F5-1201-44DB-ABA3-6A9D4B5FB3C3}" name="14342" dataDxfId="2268"/>
    <tableColumn id="14123" xr3:uid="{1AA6E5F8-D93C-49FE-A78D-0913318A037A}" name="14343" dataDxfId="2267"/>
    <tableColumn id="14124" xr3:uid="{E42B4AA4-388F-405E-B4B4-F7A8C390DC1B}" name="14344" dataDxfId="2266"/>
    <tableColumn id="14125" xr3:uid="{AA6E134A-6384-498A-A09B-3840E0D38865}" name="14345" dataDxfId="2265"/>
    <tableColumn id="14126" xr3:uid="{B41B014C-3CE5-49C1-B043-89BB0DD78358}" name="14346" dataDxfId="2264"/>
    <tableColumn id="14127" xr3:uid="{58BAAE9C-3329-4EE6-AF38-DF33FB56F59F}" name="14347" dataDxfId="2263"/>
    <tableColumn id="14128" xr3:uid="{4F2120E6-3429-4B5F-8118-910D4D1A37C5}" name="14348" dataDxfId="2262"/>
    <tableColumn id="14129" xr3:uid="{270CBC74-B80C-4798-AD92-3C0DEDF9E6BC}" name="14349" dataDxfId="2261"/>
    <tableColumn id="14130" xr3:uid="{338FCCF0-AE5C-4B45-932A-3769987137BB}" name="14350" dataDxfId="2260"/>
    <tableColumn id="14131" xr3:uid="{9D33E185-AAC1-476B-8108-E9DAB9C0AD32}" name="14351" dataDxfId="2259"/>
    <tableColumn id="14132" xr3:uid="{B5DFC421-1634-4CF9-8BAA-92768C9F7CA7}" name="14352" dataDxfId="2258"/>
    <tableColumn id="14133" xr3:uid="{64A50813-F379-430F-AD90-F06DF7E6BC38}" name="14353" dataDxfId="2257"/>
    <tableColumn id="14134" xr3:uid="{94447DC9-421C-4F22-B084-95513CD1D17A}" name="14354" dataDxfId="2256"/>
    <tableColumn id="14135" xr3:uid="{6740E699-DE78-4931-B4A3-7ED48DCF2DB6}" name="14355" dataDxfId="2255"/>
    <tableColumn id="14136" xr3:uid="{EA35DC54-B54A-4D9A-B2D7-ED1FCCC77ABE}" name="14356" dataDxfId="2254"/>
    <tableColumn id="14137" xr3:uid="{6ADA7C30-B451-4264-967E-80FBBA88B328}" name="14357" dataDxfId="2253"/>
    <tableColumn id="14138" xr3:uid="{A611E4E1-79F8-40B6-8DA4-6DD03A243C07}" name="14358" dataDxfId="2252"/>
    <tableColumn id="14139" xr3:uid="{4BDCF1F6-8F62-4687-8522-100040C43D03}" name="14359" dataDxfId="2251"/>
    <tableColumn id="14140" xr3:uid="{C2886D9C-F827-4BF0-8EA3-90DA671C5149}" name="14360" dataDxfId="2250"/>
    <tableColumn id="14141" xr3:uid="{3B056A87-970C-4000-86F3-A2E86F00347D}" name="14361" dataDxfId="2249"/>
    <tableColumn id="14142" xr3:uid="{0685EAF2-F3AD-4F72-9AA5-A8BDB1339241}" name="14362" dataDxfId="2248"/>
    <tableColumn id="14143" xr3:uid="{B90CEC8E-039F-4EFC-B5C5-C19BD671DCE9}" name="14363" dataDxfId="2247"/>
    <tableColumn id="14144" xr3:uid="{7B2667BC-BEC1-4FFA-8103-BFFF9AE191F8}" name="14364" dataDxfId="2246"/>
    <tableColumn id="14145" xr3:uid="{F0BB7092-009D-49F9-9EC3-17581E177020}" name="14365" dataDxfId="2245"/>
    <tableColumn id="14146" xr3:uid="{3977B8F6-2740-4C19-BE57-2EA1C04AC827}" name="14366" dataDxfId="2244"/>
    <tableColumn id="14147" xr3:uid="{DA37FAFA-0985-4F22-A12F-0DB979ED7A4F}" name="14367" dataDxfId="2243"/>
    <tableColumn id="14148" xr3:uid="{F4CE5B68-0CC5-4D76-A1F5-96DD5F3F18D1}" name="14368" dataDxfId="2242"/>
    <tableColumn id="14149" xr3:uid="{2CFDC304-4A7D-434B-8347-9B3FA6EA5973}" name="14369" dataDxfId="2241"/>
    <tableColumn id="14150" xr3:uid="{2497CF06-ABDF-4D68-8B51-F92A78D3B880}" name="14370" dataDxfId="2240"/>
    <tableColumn id="14151" xr3:uid="{88BB94C3-A830-4666-8BDA-85EBBE0F394F}" name="14371" dataDxfId="2239"/>
    <tableColumn id="14152" xr3:uid="{75B5C38A-CFA4-473A-9263-56FB384DC123}" name="14372" dataDxfId="2238"/>
    <tableColumn id="14153" xr3:uid="{799E1C36-B071-4B4B-9542-87CE8DEB88DD}" name="14373" dataDxfId="2237"/>
    <tableColumn id="14154" xr3:uid="{097F0088-2B0C-4FA5-B093-0DA178981CE9}" name="14374" dataDxfId="2236"/>
    <tableColumn id="14155" xr3:uid="{ED1EC658-E9A9-49E1-89EB-35C38ADEAD94}" name="14375" dataDxfId="2235"/>
    <tableColumn id="14156" xr3:uid="{F967B5D1-AB74-41C3-B582-CF1DEE29B245}" name="14376" dataDxfId="2234"/>
    <tableColumn id="14157" xr3:uid="{9D2D8853-090B-487D-8796-879C841967E5}" name="14377" dataDxfId="2233"/>
    <tableColumn id="14158" xr3:uid="{F8021CDB-120F-4191-B666-A72F0B41BFD7}" name="14378" dataDxfId="2232"/>
    <tableColumn id="14159" xr3:uid="{9B117CA5-278E-4AA3-8590-9702FCC3E649}" name="14379" dataDxfId="2231"/>
    <tableColumn id="14160" xr3:uid="{F608D261-9DFB-4A83-83E1-FDD14517FCC5}" name="14380" dataDxfId="2230"/>
    <tableColumn id="14161" xr3:uid="{8E9BBCE4-EC8E-4C93-B525-A69A811F680A}" name="14381" dataDxfId="2229"/>
    <tableColumn id="14162" xr3:uid="{91E1BDD3-29EB-4BF0-9BD8-C8F3C29105A0}" name="14382" dataDxfId="2228"/>
    <tableColumn id="14163" xr3:uid="{89A44C92-CE94-4B70-A2F6-47C7D39B509E}" name="14383" dataDxfId="2227"/>
    <tableColumn id="14164" xr3:uid="{69D8B916-1061-4DC1-AF35-64ABB952E30B}" name="14384" dataDxfId="2226"/>
    <tableColumn id="14165" xr3:uid="{6D3D3557-AAE9-4349-B0C6-2EDEC99E80BF}" name="14385" dataDxfId="2225"/>
    <tableColumn id="14166" xr3:uid="{C91BDCF4-046B-4A9B-B3FE-C23714635654}" name="14386" dataDxfId="2224"/>
    <tableColumn id="14167" xr3:uid="{21E0368A-A2DA-4362-982B-EF73F7E80981}" name="14387" dataDxfId="2223"/>
    <tableColumn id="14168" xr3:uid="{DE79846B-8837-4D92-93F3-7E3F4373C68E}" name="14388" dataDxfId="2222"/>
    <tableColumn id="14169" xr3:uid="{BF097804-BAB3-4674-88FB-E74ACDDB88B9}" name="14389" dataDxfId="2221"/>
    <tableColumn id="14170" xr3:uid="{8AC70C6B-8898-4BAA-B2C9-9B7976B45A1A}" name="14390" dataDxfId="2220"/>
    <tableColumn id="14171" xr3:uid="{14AB84FF-DF3E-4A2A-A420-90B25DCECE4A}" name="14391" dataDxfId="2219"/>
    <tableColumn id="14172" xr3:uid="{C9298156-480C-4968-89FF-217D31D1D025}" name="14392" dataDxfId="2218"/>
    <tableColumn id="14173" xr3:uid="{E165D5F4-BBBC-4E3D-A155-D9AAA9F7745C}" name="14393" dataDxfId="2217"/>
    <tableColumn id="14174" xr3:uid="{BDF5E414-69C7-4C98-9D50-29A605E60D95}" name="14394" dataDxfId="2216"/>
    <tableColumn id="14175" xr3:uid="{EE4880D7-3B56-4B6A-8BF6-156F1DB28808}" name="14395" dataDxfId="2215"/>
    <tableColumn id="14176" xr3:uid="{9E6C8B9F-F46E-416F-8239-07F7C096065D}" name="14396" dataDxfId="2214"/>
    <tableColumn id="14177" xr3:uid="{6D65385F-894F-4A48-9F96-7216ED09C2B1}" name="14397" dataDxfId="2213"/>
    <tableColumn id="14178" xr3:uid="{9DCC40BE-8CEC-4C32-BAE2-633D008535BC}" name="14398" dataDxfId="2212"/>
    <tableColumn id="14179" xr3:uid="{A6CDB590-110D-47EF-9145-C50720F95F04}" name="14399" dataDxfId="2211"/>
    <tableColumn id="14180" xr3:uid="{B4659B17-B5C5-40B9-BD60-5C0A0FD9AFAA}" name="14400" dataDxfId="2210"/>
    <tableColumn id="14181" xr3:uid="{89B008F2-F7DB-48EC-829B-34B43C16252A}" name="14401" dataDxfId="2209"/>
    <tableColumn id="14182" xr3:uid="{6C17603A-065F-4ACA-A2EA-04F4208C50FF}" name="14402" dataDxfId="2208"/>
    <tableColumn id="14183" xr3:uid="{C0B8020D-FE43-4925-BDDF-52C744265C16}" name="14403" dataDxfId="2207"/>
    <tableColumn id="14184" xr3:uid="{D2E18B1E-C14F-470C-BA55-DD4D101F024B}" name="14404" dataDxfId="2206"/>
    <tableColumn id="14185" xr3:uid="{18C72472-132E-412F-89EA-E0EBC1F3DC4C}" name="14405" dataDxfId="2205"/>
    <tableColumn id="14186" xr3:uid="{ED422872-6F1A-45F0-B1E1-801740F459A2}" name="14406" dataDxfId="2204"/>
    <tableColumn id="14187" xr3:uid="{2BDBDAD7-F7F5-485A-A824-A31BA7116B02}" name="14407" dataDxfId="2203"/>
    <tableColumn id="14188" xr3:uid="{6D2A3977-E4A5-4A9C-80C2-1CE51D80C937}" name="14408" dataDxfId="2202"/>
    <tableColumn id="14189" xr3:uid="{BEC43E59-06CB-4D72-B831-692504396BF2}" name="14409" dataDxfId="2201"/>
    <tableColumn id="14190" xr3:uid="{FAA835E2-C5D2-48EF-9388-D41589A72C3F}" name="14410" dataDxfId="2200"/>
    <tableColumn id="14191" xr3:uid="{D4819723-7F15-4114-9A51-96FCF2F35CE0}" name="14411" dataDxfId="2199"/>
    <tableColumn id="14192" xr3:uid="{23B2E2E2-FC7D-4B02-8606-5379397B4B5A}" name="14412" dataDxfId="2198"/>
    <tableColumn id="14193" xr3:uid="{01C37F9B-4EA9-4336-A85E-719CC5E6B9E4}" name="14413" dataDxfId="2197"/>
    <tableColumn id="14194" xr3:uid="{0AFC366B-56B9-4006-950A-FEFB7390AB64}" name="14414" dataDxfId="2196"/>
    <tableColumn id="14195" xr3:uid="{9F8C52B3-5326-4BE5-9993-14E52780C7B2}" name="14415" dataDxfId="2195"/>
    <tableColumn id="14196" xr3:uid="{8FCDC038-26AC-4D2F-A036-499263B62515}" name="14416" dataDxfId="2194"/>
    <tableColumn id="14197" xr3:uid="{0CD4AD81-2D7C-4D0D-A0CA-64E8A9AC779D}" name="14417" dataDxfId="2193"/>
    <tableColumn id="14198" xr3:uid="{260704AC-A13C-4E0F-B9B5-97B3B9C23C9E}" name="14418" dataDxfId="2192"/>
    <tableColumn id="14199" xr3:uid="{0005C956-B5B2-4C89-B958-19856EBC90BD}" name="14419" dataDxfId="2191"/>
    <tableColumn id="14200" xr3:uid="{CC8EE1A0-EC29-429E-A06E-6125DCF4D948}" name="14420" dataDxfId="2190"/>
    <tableColumn id="14201" xr3:uid="{79C5D21C-8537-4500-A09F-F33F09C2E88D}" name="14421" dataDxfId="2189"/>
    <tableColumn id="14202" xr3:uid="{3EFC8FDE-4AF3-4DA6-8D47-066DC1864323}" name="14422" dataDxfId="2188"/>
    <tableColumn id="14203" xr3:uid="{25C077D8-16B1-402B-85E7-A712F6432B09}" name="14423" dataDxfId="2187"/>
    <tableColumn id="14204" xr3:uid="{C871538D-1389-4ED2-A18D-0620E048D19B}" name="14424" dataDxfId="2186"/>
    <tableColumn id="14205" xr3:uid="{A39E105C-DF7A-45B9-87E7-9A4AA1644428}" name="14425" dataDxfId="2185"/>
    <tableColumn id="14206" xr3:uid="{304AC6EE-1C74-4C6B-9C2A-154DB37B6447}" name="14426" dataDxfId="2184"/>
    <tableColumn id="14207" xr3:uid="{8C2B3A39-575D-4CC0-913B-5FA2E2C8064B}" name="14427" dataDxfId="2183"/>
    <tableColumn id="14208" xr3:uid="{8826D084-04EA-4844-9726-F442B836AD69}" name="14428" dataDxfId="2182"/>
    <tableColumn id="14209" xr3:uid="{BECE2224-2036-437D-B7A7-79D02B54AF03}" name="14429" dataDxfId="2181"/>
    <tableColumn id="14210" xr3:uid="{E4FD580D-5DD8-4C14-AE6D-9683D228FEDB}" name="14430" dataDxfId="2180"/>
    <tableColumn id="14211" xr3:uid="{B24C1180-6268-4EE7-BFD1-3657CEF74E90}" name="14431" dataDxfId="2179"/>
    <tableColumn id="14212" xr3:uid="{AAB22C43-859A-49C3-A865-A802759C5872}" name="14432" dataDxfId="2178"/>
    <tableColumn id="14213" xr3:uid="{7937AAF6-8505-4D99-AAF7-EC26E0CAF965}" name="14433" dataDxfId="2177"/>
    <tableColumn id="14214" xr3:uid="{D54FD85D-8FEE-493E-ABD0-58AFD6E991FF}" name="14434" dataDxfId="2176"/>
    <tableColumn id="14215" xr3:uid="{3E801CB0-AE45-4DBB-8621-BF99B6882EB6}" name="14435" dataDxfId="2175"/>
    <tableColumn id="14216" xr3:uid="{040FAC2B-B847-4DF2-B12C-9332A4C8D7F5}" name="14436" dataDxfId="2174"/>
    <tableColumn id="14217" xr3:uid="{6B3F8869-72FE-4915-BF61-60C25B130B27}" name="14437" dataDxfId="2173"/>
    <tableColumn id="14218" xr3:uid="{A9ACE913-5716-4802-9DA3-8663076521FD}" name="14438" dataDxfId="2172"/>
    <tableColumn id="14219" xr3:uid="{62806671-6E68-40B7-9A20-7E09A776604F}" name="14439" dataDxfId="2171"/>
    <tableColumn id="14220" xr3:uid="{AF3BA396-36FB-4E48-B1A5-995E75534BD3}" name="14440" dataDxfId="2170"/>
    <tableColumn id="14221" xr3:uid="{2B123904-852E-4923-B499-4B5F75F3CD85}" name="14441" dataDxfId="2169"/>
    <tableColumn id="14222" xr3:uid="{D3F55942-594C-4C61-9574-4420A96493A5}" name="14442" dataDxfId="2168"/>
    <tableColumn id="14223" xr3:uid="{C6309AE6-44BC-4331-A855-896A2E511652}" name="14443" dataDxfId="2167"/>
    <tableColumn id="14224" xr3:uid="{C1DC36BC-C86E-4077-A759-0869E938D628}" name="14444" dataDxfId="2166"/>
    <tableColumn id="14225" xr3:uid="{1590E89B-6C5B-4AB9-B8BE-18AB521A6E7A}" name="14445" dataDxfId="2165"/>
    <tableColumn id="14226" xr3:uid="{173124F8-D3E7-42A4-88B5-94AD848ABFBD}" name="14446" dataDxfId="2164"/>
    <tableColumn id="14227" xr3:uid="{708B8C8E-5780-4110-BEEA-8E4076E24133}" name="14447" dataDxfId="2163"/>
    <tableColumn id="14228" xr3:uid="{DE5CC6D8-DCFC-4B33-B6FF-41DAA3D0B774}" name="14448" dataDxfId="2162"/>
    <tableColumn id="14229" xr3:uid="{A7B8A89C-7D9D-4D56-93A7-A1DBA9C70D49}" name="14449" dataDxfId="2161"/>
    <tableColumn id="14230" xr3:uid="{595CA03D-7B3A-4C77-A558-A4E227EFBA97}" name="14450" dataDxfId="2160"/>
    <tableColumn id="14231" xr3:uid="{506207C2-399B-4B34-9287-EFCE7630C891}" name="14451" dataDxfId="2159"/>
    <tableColumn id="14232" xr3:uid="{6488841D-CEEF-456C-B0D1-230900D21739}" name="14452" dataDxfId="2158"/>
    <tableColumn id="14233" xr3:uid="{11D78CE7-3975-4BD5-8EC3-AEAB747696D0}" name="14453" dataDxfId="2157"/>
    <tableColumn id="14234" xr3:uid="{568879E7-6754-454F-9F6F-C628D5E4C23A}" name="14454" dataDxfId="2156"/>
    <tableColumn id="14235" xr3:uid="{9EEB9112-322D-4E24-A8D0-724AB3AEEC45}" name="14455" dataDxfId="2155"/>
    <tableColumn id="14236" xr3:uid="{0AA8DEF4-0E63-41AF-AB6A-40AF455802E8}" name="14456" dataDxfId="2154"/>
    <tableColumn id="14237" xr3:uid="{C061D9BB-4A3C-415B-AAE7-2AA2EA59328E}" name="14457" dataDxfId="2153"/>
    <tableColumn id="14238" xr3:uid="{1528626B-1D89-4C4A-99AC-701A239DA402}" name="14458" dataDxfId="2152"/>
    <tableColumn id="14239" xr3:uid="{5E6C08B2-2BCD-4B90-B04E-CE8A4B44F67B}" name="14459" dataDxfId="2151"/>
    <tableColumn id="14240" xr3:uid="{C1E13E1D-BD3E-4C90-BCEB-A47AC9983658}" name="14460" dataDxfId="2150"/>
    <tableColumn id="14241" xr3:uid="{91E44D9B-63FF-4F90-8C4F-20C75734E903}" name="14461" dataDxfId="2149"/>
    <tableColumn id="14242" xr3:uid="{07631CC1-54F4-4014-9135-2EA4B5E47902}" name="14462" dataDxfId="2148"/>
    <tableColumn id="14243" xr3:uid="{BCDACDF3-85DE-44E8-8A91-B789834FEEF9}" name="14463" dataDxfId="2147"/>
    <tableColumn id="14244" xr3:uid="{C4C17CBA-2FE1-4C78-9937-7001E9C6AC96}" name="14464" dataDxfId="2146"/>
    <tableColumn id="14245" xr3:uid="{AB668CDE-B32C-40EC-BF42-D534B5F5F9AC}" name="14465" dataDxfId="2145"/>
    <tableColumn id="14246" xr3:uid="{D473D03F-CF9C-4706-8E19-2E82DCE0D418}" name="14466" dataDxfId="2144"/>
    <tableColumn id="14247" xr3:uid="{463667A0-48E6-4AD0-99FF-018B5D0E8537}" name="14467" dataDxfId="2143"/>
    <tableColumn id="14248" xr3:uid="{FB0313C5-AEB0-4B6D-A113-2E4AA18B9023}" name="14468" dataDxfId="2142"/>
    <tableColumn id="14249" xr3:uid="{5C386C76-09C2-46E1-9AC9-979EA8BC05E3}" name="14469" dataDxfId="2141"/>
    <tableColumn id="14250" xr3:uid="{F3C2C3B4-3012-40E3-BC9C-57E81A1C4213}" name="14470" dataDxfId="2140"/>
    <tableColumn id="14251" xr3:uid="{D9D970F5-3318-442F-94E0-D5AC5A11E6C3}" name="14471" dataDxfId="2139"/>
    <tableColumn id="14252" xr3:uid="{BB962F87-C16C-42DD-931D-DB5AD2A853F5}" name="14472" dataDxfId="2138"/>
    <tableColumn id="14253" xr3:uid="{2068C3AA-2745-400A-9C40-4DE051AFB1EA}" name="14473" dataDxfId="2137"/>
    <tableColumn id="14254" xr3:uid="{B410AC40-BF1B-4D03-9B1D-A891885B7BD1}" name="14474" dataDxfId="2136"/>
    <tableColumn id="14255" xr3:uid="{F36D52DA-DD45-4E81-B17C-748F79520728}" name="14475" dataDxfId="2135"/>
    <tableColumn id="14256" xr3:uid="{B1A6FB35-0FF7-4CED-BC0D-5DE11340CBBB}" name="14476" dataDxfId="2134"/>
    <tableColumn id="14257" xr3:uid="{1FAE20D3-1B85-475C-81D7-A1CBEE4A3E86}" name="14477" dataDxfId="2133"/>
    <tableColumn id="14258" xr3:uid="{7375D52E-F74D-4ABC-A017-689CF55BF654}" name="14478" dataDxfId="2132"/>
    <tableColumn id="14259" xr3:uid="{0991B565-1603-4E0E-BA50-58B76F38AD18}" name="14479" dataDxfId="2131"/>
    <tableColumn id="14260" xr3:uid="{05A986D7-60FC-4354-AB7C-2D92E84C4DBE}" name="14480" dataDxfId="2130"/>
    <tableColumn id="14261" xr3:uid="{BF6410A1-B575-4C1C-A8FE-6B18541FEA3E}" name="14481" dataDxfId="2129"/>
    <tableColumn id="14262" xr3:uid="{E381F9C3-C830-4945-B0F3-9267DDBC3C45}" name="14482" dataDxfId="2128"/>
    <tableColumn id="14263" xr3:uid="{126872C1-EDD6-457E-9173-BE0B7B39B4B6}" name="14483" dataDxfId="2127"/>
    <tableColumn id="14264" xr3:uid="{24400B30-CD8D-4D26-9858-E84B9D87BF86}" name="14484" dataDxfId="2126"/>
    <tableColumn id="14265" xr3:uid="{92EDD300-4F14-4B0F-B242-118B59E159C0}" name="14485" dataDxfId="2125"/>
    <tableColumn id="14266" xr3:uid="{ED36A2CF-F8E5-41F0-A113-F5BCF3BB851F}" name="14486" dataDxfId="2124"/>
    <tableColumn id="14267" xr3:uid="{A0275837-6B5C-457E-A6C6-A7E60B6980A1}" name="14487" dataDxfId="2123"/>
    <tableColumn id="14268" xr3:uid="{3CC488D1-A650-4B55-9B3F-41D6C65B9134}" name="14488" dataDxfId="2122"/>
    <tableColumn id="14269" xr3:uid="{B42834B2-4DFF-450E-B252-99FC2AA01A58}" name="14489" dataDxfId="2121"/>
    <tableColumn id="14270" xr3:uid="{99BEF639-6CD4-4A2E-A031-347FF75646BC}" name="14490" dataDxfId="2120"/>
    <tableColumn id="14271" xr3:uid="{68F06F2C-E0B0-48FD-8B3D-A1A3F75602DE}" name="14491" dataDxfId="2119"/>
    <tableColumn id="14272" xr3:uid="{E3CCE1A7-1DD9-483E-A9EA-229DC1BED87C}" name="14492" dataDxfId="2118"/>
    <tableColumn id="14273" xr3:uid="{2A442662-58AE-4AB8-94AF-85585F20A976}" name="14493" dataDxfId="2117"/>
    <tableColumn id="14274" xr3:uid="{63C84E0B-B81B-45D3-9937-F33507C30B0F}" name="14494" dataDxfId="2116"/>
    <tableColumn id="14275" xr3:uid="{04C8973E-A53E-491E-9E39-2CB307189CB6}" name="14495" dataDxfId="2115"/>
    <tableColumn id="14276" xr3:uid="{20CDACD8-AF48-4BB7-B99C-5F747FB79D12}" name="14496" dataDxfId="2114"/>
    <tableColumn id="14277" xr3:uid="{89335C19-1E94-4A1B-A47D-9C5DDB00AA5C}" name="14497" dataDxfId="2113"/>
    <tableColumn id="14278" xr3:uid="{C68BBC20-3341-4629-83B1-BC5CC01D2CC5}" name="14498" dataDxfId="2112"/>
    <tableColumn id="14279" xr3:uid="{3D3093FB-F219-46A5-99A8-5D53DF49E02B}" name="14499" dataDxfId="2111"/>
    <tableColumn id="14280" xr3:uid="{C01BB466-E980-4D68-AD87-D34D133D5A5C}" name="14500" dataDxfId="2110"/>
    <tableColumn id="14281" xr3:uid="{074E75A4-8314-4831-8921-3B962EB34165}" name="14501" dataDxfId="2109"/>
    <tableColumn id="14282" xr3:uid="{B4C13DCE-1F60-42F9-9999-9C2F1056F760}" name="14502" dataDxfId="2108"/>
    <tableColumn id="14283" xr3:uid="{C242CC9D-9FEB-4A5B-90E7-6D9E6AE10282}" name="14503" dataDxfId="2107"/>
    <tableColumn id="14284" xr3:uid="{A3208C70-CFC3-4665-A063-AB7F75A75B0C}" name="14504" dataDxfId="2106"/>
    <tableColumn id="14285" xr3:uid="{28916204-3DB3-42F2-96CB-FBBB5BEFC16F}" name="14505" dataDxfId="2105"/>
    <tableColumn id="14286" xr3:uid="{97375152-58DF-4279-8FCA-C369DECD4B75}" name="14506" dataDxfId="2104"/>
    <tableColumn id="14287" xr3:uid="{E4477431-2F7E-4C89-847C-822C20246285}" name="14507" dataDxfId="2103"/>
    <tableColumn id="14288" xr3:uid="{64A9871B-FA6F-4C03-A7EA-BB0AB7A6160C}" name="14508" dataDxfId="2102"/>
    <tableColumn id="14289" xr3:uid="{09094237-4C57-48C6-94C4-0BB546D116FF}" name="14509" dataDxfId="2101"/>
    <tableColumn id="14290" xr3:uid="{28ACDDF5-8B42-4330-97E7-64A062D902C5}" name="14510" dataDxfId="2100"/>
    <tableColumn id="14291" xr3:uid="{E3C31BCC-47A8-4B19-A7D2-00682D81EB1C}" name="14511" dataDxfId="2099"/>
    <tableColumn id="14292" xr3:uid="{5F4996FF-11D1-4EA5-AF29-DEF12DDF3698}" name="14512" dataDxfId="2098"/>
    <tableColumn id="14293" xr3:uid="{618491F3-E619-4A51-BDA9-D746262ADAF6}" name="14513" dataDxfId="2097"/>
    <tableColumn id="14294" xr3:uid="{AB322D7B-AE1C-407A-9E23-6E3F93C6D456}" name="14514" dataDxfId="2096"/>
    <tableColumn id="14295" xr3:uid="{30989BDB-67A1-433E-8AAB-65ECBB5087FC}" name="14515" dataDxfId="2095"/>
    <tableColumn id="14296" xr3:uid="{8AC55E0F-E9D1-4E40-B08B-5B5350756927}" name="14516" dataDxfId="2094"/>
    <tableColumn id="14297" xr3:uid="{1D695759-D83C-404B-9DF7-63C97A370FFF}" name="14517" dataDxfId="2093"/>
    <tableColumn id="14298" xr3:uid="{BC701F8F-F6D6-47FF-BAF7-A2DC8B74AC2D}" name="14518" dataDxfId="2092"/>
    <tableColumn id="14299" xr3:uid="{A0174F00-19DE-425A-877B-E8E3632C30A1}" name="14519" dataDxfId="2091"/>
    <tableColumn id="14300" xr3:uid="{04BFBA26-679C-4D8A-8DE8-1E87F8E47A26}" name="14520" dataDxfId="2090"/>
    <tableColumn id="14301" xr3:uid="{2AF8379B-2772-4C1D-ACA0-65F6C74F2F0D}" name="14521" dataDxfId="2089"/>
    <tableColumn id="14302" xr3:uid="{AB28FD1A-915A-41AB-94AB-B4FBF774A935}" name="14522" dataDxfId="2088"/>
    <tableColumn id="14303" xr3:uid="{4F900C82-2BDF-4D9C-B8DD-C2A35E06B5E2}" name="14523" dataDxfId="2087"/>
    <tableColumn id="14304" xr3:uid="{EBEEABAB-FDC9-45DC-8267-481AD53A85AE}" name="14524" dataDxfId="2086"/>
    <tableColumn id="14305" xr3:uid="{42097F6B-0B71-4D97-B7E4-51456946912B}" name="14525" dataDxfId="2085"/>
    <tableColumn id="14306" xr3:uid="{11DC6BD0-A403-47CA-8DC2-036ACAD4D0EF}" name="14526" dataDxfId="2084"/>
    <tableColumn id="14307" xr3:uid="{70BBDDD2-3AAD-4790-AC34-B32B8589AEFE}" name="14527" dataDxfId="2083"/>
    <tableColumn id="14308" xr3:uid="{72A04264-2DBE-44FC-9952-FAF85D889980}" name="14528" dataDxfId="2082"/>
    <tableColumn id="14309" xr3:uid="{99C5EE55-05F9-4C1A-BCA0-013ADB9A3282}" name="14529" dataDxfId="2081"/>
    <tableColumn id="14310" xr3:uid="{2977A4A6-9436-4F0E-8238-DC48172EC49B}" name="14530" dataDxfId="2080"/>
    <tableColumn id="14311" xr3:uid="{F52566DE-8B04-4BBA-BF6F-B7864EB9AAEA}" name="14531" dataDxfId="2079"/>
    <tableColumn id="14312" xr3:uid="{A3A0A8FE-7E70-4896-9D90-A5BEE46FC52A}" name="14532" dataDxfId="2078"/>
    <tableColumn id="14313" xr3:uid="{454B4355-6769-4B22-A8E8-A102A34CDD0D}" name="14533" dataDxfId="2077"/>
    <tableColumn id="14314" xr3:uid="{F80CB83E-59E6-4C07-89E2-08E1073563A1}" name="14534" dataDxfId="2076"/>
    <tableColumn id="14315" xr3:uid="{C467F139-BB58-49BE-82DE-C09796E10D67}" name="14535" dataDxfId="2075"/>
    <tableColumn id="14316" xr3:uid="{FB26751B-0537-42AA-AF37-7ABBD3D4998B}" name="14536" dataDxfId="2074"/>
    <tableColumn id="14317" xr3:uid="{004221C7-E856-4546-88B0-BD225D583936}" name="14537" dataDxfId="2073"/>
    <tableColumn id="14318" xr3:uid="{0C411AC8-9801-431F-B85E-764ACCFDDF53}" name="14538" dataDxfId="2072"/>
    <tableColumn id="14319" xr3:uid="{A1896278-ED34-49CC-85F4-9B8B6F99AFCA}" name="14539" dataDxfId="2071"/>
    <tableColumn id="14320" xr3:uid="{587A254C-AE65-444D-B543-57AC6C3BD2F2}" name="14540" dataDxfId="2070"/>
    <tableColumn id="14321" xr3:uid="{85B617B9-82BE-4FA6-9A92-3F487DDAAD10}" name="14541" dataDxfId="2069"/>
    <tableColumn id="14322" xr3:uid="{3402D10E-A226-46AD-A777-9C1DFD3F46B3}" name="14542" dataDxfId="2068"/>
    <tableColumn id="14323" xr3:uid="{2BCAD425-0A1D-483B-9FE9-7D2F9FAE14BF}" name="14543" dataDxfId="2067"/>
    <tableColumn id="14324" xr3:uid="{35A5EBF0-B604-4DDF-A070-6F5D6AD4CCC3}" name="14544" dataDxfId="2066"/>
    <tableColumn id="14325" xr3:uid="{CC1005EE-705C-4484-BFD8-13EC89C4E00C}" name="14545" dataDxfId="2065"/>
    <tableColumn id="14326" xr3:uid="{2C9925B7-37EF-47CC-81B4-920EE2BE42B3}" name="14546" dataDxfId="2064"/>
    <tableColumn id="14327" xr3:uid="{987EC275-1A78-4C7C-8A34-2B6101AAAD0C}" name="14547" dataDxfId="2063"/>
    <tableColumn id="14328" xr3:uid="{83B5063F-2D70-4019-AA4E-AE7F45C1973C}" name="14548" dataDxfId="2062"/>
    <tableColumn id="14329" xr3:uid="{9A35CEDA-EEAE-4A93-8B4E-62C1E487E1DA}" name="14549" dataDxfId="2061"/>
    <tableColumn id="14330" xr3:uid="{38926AE5-66BD-4237-81BA-F87114E688F2}" name="14550" dataDxfId="2060"/>
    <tableColumn id="14331" xr3:uid="{BA65E9CB-67D4-44CB-9810-B507C359DA30}" name="14551" dataDxfId="2059"/>
    <tableColumn id="14332" xr3:uid="{941FE786-BF8A-4D95-A16C-FC0A6030B343}" name="14552" dataDxfId="2058"/>
    <tableColumn id="14333" xr3:uid="{AB7C9CFA-892F-404A-90B5-D82EF66FB4DB}" name="14553" dataDxfId="2057"/>
    <tableColumn id="14334" xr3:uid="{B929AEA1-D057-4068-A94A-64650E940C13}" name="14554" dataDxfId="2056"/>
    <tableColumn id="14335" xr3:uid="{1DA55575-15D0-4B6D-B7FE-AEC6ACC41FD1}" name="14555" dataDxfId="2055"/>
    <tableColumn id="14336" xr3:uid="{242F861E-9AA3-41BB-BBAA-EDEE6B1A8FCA}" name="14556" dataDxfId="2054"/>
    <tableColumn id="14337" xr3:uid="{324AC202-2E4C-4109-B640-B6B4F3052AED}" name="14557" dataDxfId="2053"/>
    <tableColumn id="14338" xr3:uid="{1BA25607-09D2-46D6-A8C3-6D3A34BDF865}" name="14558" dataDxfId="2052"/>
    <tableColumn id="14339" xr3:uid="{BB0AE471-FBF0-4623-AB81-06854FB3C8CB}" name="14559" dataDxfId="2051"/>
    <tableColumn id="14340" xr3:uid="{1ABF582C-46AB-4BD9-9F14-9B89C1029E72}" name="14560" dataDxfId="2050"/>
    <tableColumn id="14341" xr3:uid="{10F07173-29B9-4C92-881E-F9A1F29AE3FD}" name="14561" dataDxfId="2049"/>
    <tableColumn id="14342" xr3:uid="{B23B41A1-0C65-48D9-8BC9-C352B9DDD254}" name="14562" dataDxfId="2048"/>
    <tableColumn id="14343" xr3:uid="{02F00AB5-870A-41B5-8A70-0CE62B7ED2F5}" name="14563" dataDxfId="2047"/>
    <tableColumn id="14344" xr3:uid="{0F5F5B93-9882-4CB5-A4EA-EFCF2103A59C}" name="14564" dataDxfId="2046"/>
    <tableColumn id="14345" xr3:uid="{CA77A295-943A-4CAB-9C66-DD2456521501}" name="14565" dataDxfId="2045"/>
    <tableColumn id="14346" xr3:uid="{7B94B621-80C4-4276-8276-138C476E7BA4}" name="14566" dataDxfId="2044"/>
    <tableColumn id="14347" xr3:uid="{6625716E-9F29-4E42-AFB3-7F461379DF8E}" name="14567" dataDxfId="2043"/>
    <tableColumn id="14348" xr3:uid="{32205F4D-BECB-4F8D-94B0-A5E7973A7973}" name="14568" dataDxfId="2042"/>
    <tableColumn id="14349" xr3:uid="{53A74B17-05C2-44BA-AF30-AB3C2F241988}" name="14569" dataDxfId="2041"/>
    <tableColumn id="14350" xr3:uid="{82DF3D59-4FB4-4CA5-B291-DA174BEB9D0E}" name="14570" dataDxfId="2040"/>
    <tableColumn id="14351" xr3:uid="{45550D08-0E89-404F-BB8F-D4E0BDEA4958}" name="14571" dataDxfId="2039"/>
    <tableColumn id="14352" xr3:uid="{5BB66FA5-A6C9-4E8D-93A2-9A22997966EF}" name="14572" dataDxfId="2038"/>
    <tableColumn id="14353" xr3:uid="{48FE1965-8A70-4FD9-B032-91CE567B73BE}" name="14573" dataDxfId="2037"/>
    <tableColumn id="14354" xr3:uid="{A11F7EAD-5A69-4B6E-B33E-36A180683A19}" name="14574" dataDxfId="2036"/>
    <tableColumn id="14355" xr3:uid="{E74C245F-5F1C-4F8D-B9E9-903CB7B1841B}" name="14575" dataDxfId="2035"/>
    <tableColumn id="14356" xr3:uid="{E2788738-7568-42B5-A0C3-617381995F6A}" name="14576" dataDxfId="2034"/>
    <tableColumn id="14357" xr3:uid="{78F8980E-ECEA-47EF-B89C-E6372EF94973}" name="14577" dataDxfId="2033"/>
    <tableColumn id="14358" xr3:uid="{026B3289-57B3-4489-808F-8658AB227EB5}" name="14578" dataDxfId="2032"/>
    <tableColumn id="14359" xr3:uid="{B0752058-9F7C-449E-B88C-4EBD6229C02F}" name="14579" dataDxfId="2031"/>
    <tableColumn id="14360" xr3:uid="{E49B99B9-338F-407A-A8BF-BF268DC25137}" name="14580" dataDxfId="2030"/>
    <tableColumn id="14361" xr3:uid="{4C41CC69-42C5-442B-A8E2-358CD52D6097}" name="14581" dataDxfId="2029"/>
    <tableColumn id="14362" xr3:uid="{895924EB-C22F-41BE-8E2D-CCA71E3F3F00}" name="14582" dataDxfId="2028"/>
    <tableColumn id="14363" xr3:uid="{ED7827EA-AC7E-44D1-A48B-CC89781CC3C9}" name="14583" dataDxfId="2027"/>
    <tableColumn id="14364" xr3:uid="{EEF6FB7B-C77B-40A4-B214-210C0F8BEFE5}" name="14584" dataDxfId="2026"/>
    <tableColumn id="14365" xr3:uid="{EC1F41F4-3A57-48D1-BDA6-54E2BD55140E}" name="14585" dataDxfId="2025"/>
    <tableColumn id="14366" xr3:uid="{B8345C10-DC70-4246-9A58-6DA6F4101C94}" name="14586" dataDxfId="2024"/>
    <tableColumn id="14367" xr3:uid="{9DAAD428-2284-4B26-845D-75B874DF3F8D}" name="14587" dataDxfId="2023"/>
    <tableColumn id="14368" xr3:uid="{456FCC48-647A-4240-8312-86A5111519E1}" name="14588" dataDxfId="2022"/>
    <tableColumn id="14369" xr3:uid="{4990D5C6-CFE4-4903-8FF7-F88C9780D6CF}" name="14589" dataDxfId="2021"/>
    <tableColumn id="14370" xr3:uid="{2F46CE3E-1755-467A-8D91-86B3FA6E672A}" name="14590" dataDxfId="2020"/>
    <tableColumn id="14371" xr3:uid="{10A9B1DC-C4FE-499A-8F97-300883BA583D}" name="14591" dataDxfId="2019"/>
    <tableColumn id="14372" xr3:uid="{8D231EDF-7AC6-42D7-914F-222617E985DE}" name="14592" dataDxfId="2018"/>
    <tableColumn id="14373" xr3:uid="{DA85ECB2-B281-4C01-8AAD-62C2826673A7}" name="14593" dataDxfId="2017"/>
    <tableColumn id="14374" xr3:uid="{AF8022C5-9FB1-45A4-8605-F45143AA1885}" name="14594" dataDxfId="2016"/>
    <tableColumn id="14375" xr3:uid="{8D801DA4-D9FC-4743-A922-D6765EC4F87E}" name="14595" dataDxfId="2015"/>
    <tableColumn id="14376" xr3:uid="{147FEC91-573A-49BD-8941-44BDC86C8B21}" name="14596" dataDxfId="2014"/>
    <tableColumn id="14377" xr3:uid="{622510E4-BF8F-47AB-B904-643F5B5AD51A}" name="14597" dataDxfId="2013"/>
    <tableColumn id="14378" xr3:uid="{3E9C9C56-BE7E-44EB-BB88-BF126872137A}" name="14598" dataDxfId="2012"/>
    <tableColumn id="14379" xr3:uid="{E046972C-1E38-45BF-90FE-CB36EDEDF0C4}" name="14599" dataDxfId="2011"/>
    <tableColumn id="14380" xr3:uid="{C1F855BE-11B8-4200-B310-E9434EC9408C}" name="14600" dataDxfId="2010"/>
    <tableColumn id="14381" xr3:uid="{B00859B1-D362-4A21-B16E-540DA372E258}" name="14601" dataDxfId="2009"/>
    <tableColumn id="14382" xr3:uid="{A96C2BE1-1C88-4E71-9968-F0DFE6363A9C}" name="14602" dataDxfId="2008"/>
    <tableColumn id="14383" xr3:uid="{27B1F702-415B-4EC6-8214-F9B26099B656}" name="14603" dataDxfId="2007"/>
    <tableColumn id="14384" xr3:uid="{3704B985-D0E8-43D9-B059-5D3C277748C3}" name="14604" dataDxfId="2006"/>
    <tableColumn id="14385" xr3:uid="{EC8160D4-938F-465A-A058-EB021257BED4}" name="14605" dataDxfId="2005"/>
    <tableColumn id="14386" xr3:uid="{10813032-BF72-4976-B69F-4B36A92FF605}" name="14606" dataDxfId="2004"/>
    <tableColumn id="14387" xr3:uid="{EF225954-96B6-4271-BF16-0F041FB69261}" name="14607" dataDxfId="2003"/>
    <tableColumn id="14388" xr3:uid="{FDEB4B4D-7E02-4AA3-B8C8-F45D62C53D8C}" name="14608" dataDxfId="2002"/>
    <tableColumn id="14389" xr3:uid="{03605C6F-BEFF-4205-9EEB-57F42E82A7DB}" name="14609" dataDxfId="2001"/>
    <tableColumn id="14390" xr3:uid="{0D7B6E95-34CF-4030-B3DF-D673B4D0CBEF}" name="14610" dataDxfId="2000"/>
    <tableColumn id="14391" xr3:uid="{4CD242B9-A82A-4892-88D2-01E44E8C6FFC}" name="14611" dataDxfId="1999"/>
    <tableColumn id="14392" xr3:uid="{28DB5FC2-7BC5-43C9-8BC3-5291E56E7B8F}" name="14612" dataDxfId="1998"/>
    <tableColumn id="14393" xr3:uid="{59A87F80-8689-47DA-B3AE-E39578A24251}" name="14613" dataDxfId="1997"/>
    <tableColumn id="14394" xr3:uid="{071CEDC2-BACD-463E-A8EC-AB292A7B9842}" name="14614" dataDxfId="1996"/>
    <tableColumn id="14395" xr3:uid="{649751F4-01E1-4416-9A34-46DB5D0423BF}" name="14615" dataDxfId="1995"/>
    <tableColumn id="14396" xr3:uid="{D62CE546-4AE6-4468-9855-9758CBDD97E4}" name="14616" dataDxfId="1994"/>
    <tableColumn id="14397" xr3:uid="{7C4E1EF6-4905-47C3-8348-FF7167D61209}" name="14617" dataDxfId="1993"/>
    <tableColumn id="14398" xr3:uid="{95E1799C-56AC-428F-B690-9CCE9C5EAA64}" name="14618" dataDxfId="1992"/>
    <tableColumn id="14399" xr3:uid="{60F6CC16-BF01-4D30-A7FF-EDCE554504C8}" name="14619" dataDxfId="1991"/>
    <tableColumn id="14400" xr3:uid="{8FDB5D41-6B86-4A30-9BE6-F7C22852B2C8}" name="14620" dataDxfId="1990"/>
    <tableColumn id="14401" xr3:uid="{3DBBAF91-0BE1-48C8-8F15-E7BC25131721}" name="14621" dataDxfId="1989"/>
    <tableColumn id="14402" xr3:uid="{EE371322-BDFF-4E7D-8770-C02706784CCC}" name="14622" dataDxfId="1988"/>
    <tableColumn id="14403" xr3:uid="{630DBC9E-9234-469C-9948-4DE4E1EFB0F4}" name="14623" dataDxfId="1987"/>
    <tableColumn id="14404" xr3:uid="{9799C221-8913-4C76-A426-F084A22092C8}" name="14624" dataDxfId="1986"/>
    <tableColumn id="14405" xr3:uid="{2EE328C6-704C-4651-B86B-CECA4CD49DD4}" name="14625" dataDxfId="1985"/>
    <tableColumn id="14406" xr3:uid="{1F442305-E7AB-43C8-B60A-F9F7D798B257}" name="14626" dataDxfId="1984"/>
    <tableColumn id="14407" xr3:uid="{193E9649-4159-4D1A-921F-CEBC476A3A8E}" name="14627" dataDxfId="1983"/>
    <tableColumn id="14408" xr3:uid="{BBB5F1D5-3501-4075-9DA6-769EE926E53F}" name="14628" dataDxfId="1982"/>
    <tableColumn id="14409" xr3:uid="{31B98F12-FCDC-4F08-815A-CD5A8C486CD4}" name="14629" dataDxfId="1981"/>
    <tableColumn id="14410" xr3:uid="{049177E0-2D8A-4770-818B-BBF8CA6F2B4A}" name="14630" dataDxfId="1980"/>
    <tableColumn id="14411" xr3:uid="{1902CCF2-BDAB-4C02-BEFB-66EC68EC694F}" name="14631" dataDxfId="1979"/>
    <tableColumn id="14412" xr3:uid="{76CDBDBD-9F0D-4BF2-B4DF-55D72263DF69}" name="14632" dataDxfId="1978"/>
    <tableColumn id="14413" xr3:uid="{A1281200-1C65-4AF4-A592-7AB39C3DBE60}" name="14633" dataDxfId="1977"/>
    <tableColumn id="14414" xr3:uid="{545D32D1-6B92-4F0B-9BF7-36CC439FF5C9}" name="14634" dataDxfId="1976"/>
    <tableColumn id="14415" xr3:uid="{15EEDF87-E2F0-4A33-BEA7-96C4E83D8865}" name="14635" dataDxfId="1975"/>
    <tableColumn id="14416" xr3:uid="{75AF43DA-9CE8-41A5-A222-7B2A9397CC8D}" name="14636" dataDxfId="1974"/>
    <tableColumn id="14417" xr3:uid="{5AB87879-33B4-41FE-8B71-DD06E9B5DFA4}" name="14637" dataDxfId="1973"/>
    <tableColumn id="14418" xr3:uid="{D1A65BC4-3D25-4578-B993-28B31F48B9C2}" name="14638" dataDxfId="1972"/>
    <tableColumn id="14419" xr3:uid="{1AFD87BF-FD9F-4082-A118-12B793BB4260}" name="14639" dataDxfId="1971"/>
    <tableColumn id="14420" xr3:uid="{7D36FFC4-9A4E-4E2F-AABE-58E218DDD26D}" name="14640" dataDxfId="1970"/>
    <tableColumn id="14421" xr3:uid="{F1F934EE-F94F-458B-A341-0848134C9991}" name="14641" dataDxfId="1969"/>
    <tableColumn id="14422" xr3:uid="{33B86FBF-3E12-4276-A11A-12DEE062D11B}" name="14642" dataDxfId="1968"/>
    <tableColumn id="14423" xr3:uid="{9C55E68B-6E9B-49C6-B78C-F0C635426966}" name="14643" dataDxfId="1967"/>
    <tableColumn id="14424" xr3:uid="{E62BE31B-3566-4E3B-8DF2-2A4363116410}" name="14644" dataDxfId="1966"/>
    <tableColumn id="14425" xr3:uid="{797C41B4-2136-4B69-B080-D55D0DAF4B5D}" name="14645" dataDxfId="1965"/>
    <tableColumn id="14426" xr3:uid="{C26492A7-1168-44B5-A83F-49A20970BF94}" name="14646" dataDxfId="1964"/>
    <tableColumn id="14427" xr3:uid="{2EB6B27E-8FFF-4C13-8CC5-75897E42D704}" name="14647" dataDxfId="1963"/>
    <tableColumn id="14428" xr3:uid="{006DE3E3-CCA5-4C6B-868D-12DE36BCFD0F}" name="14648" dataDxfId="1962"/>
    <tableColumn id="14429" xr3:uid="{E6E07338-F12E-4FB4-8585-7B8A38003FFE}" name="14649" dataDxfId="1961"/>
    <tableColumn id="14430" xr3:uid="{DEC633DA-4063-4BE2-A74A-6AEAF91527F2}" name="14650" dataDxfId="1960"/>
    <tableColumn id="14431" xr3:uid="{EA9BF6CD-4315-4B6B-B164-57B452BF8A2A}" name="14651" dataDxfId="1959"/>
    <tableColumn id="14432" xr3:uid="{F5B6F2A6-52F3-46C0-BC2E-57BFD8EE6DFB}" name="14652" dataDxfId="1958"/>
    <tableColumn id="14433" xr3:uid="{EB3D2527-457C-4D42-8A78-DD1808D37813}" name="14653" dataDxfId="1957"/>
    <tableColumn id="14434" xr3:uid="{36A1A9EA-E510-4B68-86C5-B904EFE14077}" name="14654" dataDxfId="1956"/>
    <tableColumn id="14435" xr3:uid="{293EA13E-1A46-4191-B993-3A5F4AE2EF11}" name="14655" dataDxfId="1955"/>
    <tableColumn id="14436" xr3:uid="{5D9975BF-59ED-425B-8AF2-AD1615EAAF27}" name="14656" dataDxfId="1954"/>
    <tableColumn id="14437" xr3:uid="{E1B4BDD4-83E2-4A86-9409-C1D80B34DA96}" name="14657" dataDxfId="1953"/>
    <tableColumn id="14438" xr3:uid="{9C8F2EBB-956A-4F50-B26A-9BBCDC5552E9}" name="14658" dataDxfId="1952"/>
    <tableColumn id="14439" xr3:uid="{930AF2F2-7F22-4B1B-954B-F6D13D38F6BA}" name="14659" dataDxfId="1951"/>
    <tableColumn id="14440" xr3:uid="{6D002CED-D715-43B1-92BD-D027C9A66F3D}" name="14660" dataDxfId="1950"/>
    <tableColumn id="14441" xr3:uid="{24CD3247-63B4-4355-8355-D33977DDF05C}" name="14661" dataDxfId="1949"/>
    <tableColumn id="14442" xr3:uid="{3620A66C-0A9D-44C6-B277-0E9B41217375}" name="14662" dataDxfId="1948"/>
    <tableColumn id="14443" xr3:uid="{3121C31F-B36A-420C-B3F7-13290DCEFA74}" name="14663" dataDxfId="1947"/>
    <tableColumn id="14444" xr3:uid="{A163A236-60B5-4340-90A6-5F9611B42880}" name="14664" dataDxfId="1946"/>
    <tableColumn id="14445" xr3:uid="{7A1F2BE5-9843-4C9F-A91F-148C2036229D}" name="14665" dataDxfId="1945"/>
    <tableColumn id="14446" xr3:uid="{BB2A5A2F-1CC5-4B46-A44E-303BDF95669D}" name="14666" dataDxfId="1944"/>
    <tableColumn id="14447" xr3:uid="{CAF97CE7-7D24-42E4-A17C-6D0734DE5CB8}" name="14667" dataDxfId="1943"/>
    <tableColumn id="14448" xr3:uid="{E8AED747-BF43-4BEA-A0D2-EC3D29EAAE41}" name="14668" dataDxfId="1942"/>
    <tableColumn id="14449" xr3:uid="{BDDF1B33-DD25-43AD-9A13-C1E44D094A9E}" name="14669" dataDxfId="1941"/>
    <tableColumn id="14450" xr3:uid="{D81CB344-1AD8-44EF-B3C5-4570185B999C}" name="14670" dataDxfId="1940"/>
    <tableColumn id="14451" xr3:uid="{9AB8EBEC-E7D2-4CFE-9A80-46A524EF3B5F}" name="14671" dataDxfId="1939"/>
    <tableColumn id="14452" xr3:uid="{1F028854-9390-440B-A6ED-33A884C62AB2}" name="14672" dataDxfId="1938"/>
    <tableColumn id="14453" xr3:uid="{4FE64C5A-ED9E-41A2-B640-C093C01BE4F4}" name="14673" dataDxfId="1937"/>
    <tableColumn id="14454" xr3:uid="{A4D9515B-B72F-4DD6-8570-5F45D89B2BB1}" name="14674" dataDxfId="1936"/>
    <tableColumn id="14455" xr3:uid="{F39C5DF9-4EEB-4A26-9C60-7193E378C54A}" name="14675" dataDxfId="1935"/>
    <tableColumn id="14456" xr3:uid="{0F1B277D-1B3E-426C-AD14-4F9959E050BB}" name="14676" dataDxfId="1934"/>
    <tableColumn id="14457" xr3:uid="{5337D99B-4663-443A-A965-62142A06800F}" name="14677" dataDxfId="1933"/>
    <tableColumn id="14458" xr3:uid="{306CB0AD-DA41-4268-9A95-374B3A8555E6}" name="14678" dataDxfId="1932"/>
    <tableColumn id="14459" xr3:uid="{AB9CD843-4DBB-43C1-AA6F-52B521ADE36A}" name="14679" dataDxfId="1931"/>
    <tableColumn id="14460" xr3:uid="{BA5F90C3-CBC5-4ED3-AD14-1451AB60DAC3}" name="14680" dataDxfId="1930"/>
    <tableColumn id="14461" xr3:uid="{70B119B5-576B-44B9-BA75-FA2D7A0C869C}" name="14681" dataDxfId="1929"/>
    <tableColumn id="14462" xr3:uid="{1C866DA3-4D06-43B1-9C88-F9873860EA72}" name="14682" dataDxfId="1928"/>
    <tableColumn id="14463" xr3:uid="{7519E368-700F-43BB-B78E-D1F3987CD3DE}" name="14683" dataDxfId="1927"/>
    <tableColumn id="14464" xr3:uid="{8369EEFB-73B4-40FE-9C6F-53799C2F8170}" name="14684" dataDxfId="1926"/>
    <tableColumn id="14465" xr3:uid="{743302D2-3ED0-4F32-B036-B00ED82E35D1}" name="14685" dataDxfId="1925"/>
    <tableColumn id="14466" xr3:uid="{927E1AF3-575E-4F34-84AD-427BCD5EA520}" name="14686" dataDxfId="1924"/>
    <tableColumn id="14467" xr3:uid="{682C0C61-DA62-429C-AA9E-F16195937D96}" name="14687" dataDxfId="1923"/>
    <tableColumn id="14468" xr3:uid="{750A28ED-D0C7-42AB-8D9E-5E6DF367DE3D}" name="14688" dataDxfId="1922"/>
    <tableColumn id="14469" xr3:uid="{68FC1159-6B77-4B64-B33D-C151EC3863A8}" name="14689" dataDxfId="1921"/>
    <tableColumn id="14470" xr3:uid="{94899DA7-9416-4099-8355-99F91877B4C0}" name="14690" dataDxfId="1920"/>
    <tableColumn id="14471" xr3:uid="{BDAE94D8-475C-474F-A5AC-18180456CC84}" name="14691" dataDxfId="1919"/>
    <tableColumn id="14472" xr3:uid="{F75D8247-2ADA-4D47-A802-05AC389E525D}" name="14692" dataDxfId="1918"/>
    <tableColumn id="14473" xr3:uid="{F4980663-C00D-41DD-AC2E-269A661AA7A5}" name="14693" dataDxfId="1917"/>
    <tableColumn id="14474" xr3:uid="{6594596A-AB0D-4513-A0B7-2B61D9DA198A}" name="14694" dataDxfId="1916"/>
    <tableColumn id="14475" xr3:uid="{AA50B18C-1C59-43FA-881F-A625E6052DF9}" name="14695" dataDxfId="1915"/>
    <tableColumn id="14476" xr3:uid="{73E21689-C599-44E9-B569-5E8A6F34DE66}" name="14696" dataDxfId="1914"/>
    <tableColumn id="14477" xr3:uid="{BB512156-8067-48FE-A5BD-6FA1ECC8CC3C}" name="14697" dataDxfId="1913"/>
    <tableColumn id="14478" xr3:uid="{6F5D9933-E7AD-4097-9235-FF2D46961B2C}" name="14698" dataDxfId="1912"/>
    <tableColumn id="14479" xr3:uid="{91CC86DB-5ADE-4213-9FAB-B5C72745500A}" name="14699" dataDxfId="1911"/>
    <tableColumn id="14480" xr3:uid="{052D726F-825C-4F8A-914D-B161CD2A72CC}" name="14700" dataDxfId="1910"/>
    <tableColumn id="14481" xr3:uid="{102C28F8-373D-4067-B5C9-2292FE92F3EC}" name="14701" dataDxfId="1909"/>
    <tableColumn id="14482" xr3:uid="{DDABFDF8-4D7A-438A-BBE3-414476982F3B}" name="14702" dataDxfId="1908"/>
    <tableColumn id="14483" xr3:uid="{3F4FFB2F-F849-4A89-87C7-14B2ACF38918}" name="14703" dataDxfId="1907"/>
    <tableColumn id="14484" xr3:uid="{4B18B657-48D7-4458-A20F-C49A6DBFFC66}" name="14704" dataDxfId="1906"/>
    <tableColumn id="14485" xr3:uid="{560E6F93-448F-4C4F-BABF-CAA9BB0246CD}" name="14705" dataDxfId="1905"/>
    <tableColumn id="14486" xr3:uid="{2AF13A56-6EF3-495D-81EC-F60D48EC52BE}" name="14706" dataDxfId="1904"/>
    <tableColumn id="14487" xr3:uid="{BDD59081-931D-4353-A570-304DD3178514}" name="14707" dataDxfId="1903"/>
    <tableColumn id="14488" xr3:uid="{13706C1A-E387-4C46-8C17-157F22D8B744}" name="14708" dataDxfId="1902"/>
    <tableColumn id="14489" xr3:uid="{4ECB9610-5EB8-49A6-8D73-B4524B0D0383}" name="14709" dataDxfId="1901"/>
    <tableColumn id="14490" xr3:uid="{8E5F0D06-E6AB-43F1-835E-9C1C72E62129}" name="14710" dataDxfId="1900"/>
    <tableColumn id="14491" xr3:uid="{A775EB60-AC96-4D6C-A221-BD14B964AD4C}" name="14711" dataDxfId="1899"/>
    <tableColumn id="14492" xr3:uid="{B9D5785F-65DD-4E07-B5BB-7B30CDFE41B5}" name="14712" dataDxfId="1898"/>
    <tableColumn id="14493" xr3:uid="{71C8FCF8-BF18-4609-B478-5AC063FB0AA8}" name="14713" dataDxfId="1897"/>
    <tableColumn id="14494" xr3:uid="{A703E293-5FE7-486F-96C0-A0F0AC5302D1}" name="14714" dataDxfId="1896"/>
    <tableColumn id="14495" xr3:uid="{942D56A6-583E-4B78-A8FC-4F349F655F01}" name="14715" dataDxfId="1895"/>
    <tableColumn id="14496" xr3:uid="{D16F79BE-0EFF-4DAC-9CD0-2599353B3FF7}" name="14716" dataDxfId="1894"/>
    <tableColumn id="14497" xr3:uid="{CF4D4CC7-BB30-42CC-8043-532060D7BA67}" name="14717" dataDxfId="1893"/>
    <tableColumn id="14498" xr3:uid="{D8B0EFA9-6B7F-43C2-B76E-93F016E491F2}" name="14718" dataDxfId="1892"/>
    <tableColumn id="14499" xr3:uid="{9358AA89-B827-4FD0-A004-5996F5E833CD}" name="14719" dataDxfId="1891"/>
    <tableColumn id="14500" xr3:uid="{F90DF802-9A37-4A31-BCFA-F00FF6520118}" name="14720" dataDxfId="1890"/>
    <tableColumn id="14501" xr3:uid="{717A3528-5919-4E19-B2A2-CB39C3F4E65E}" name="14721" dataDxfId="1889"/>
    <tableColumn id="14502" xr3:uid="{4ACC8B9D-8EB4-46D7-B51E-071FC7619AAF}" name="14722" dataDxfId="1888"/>
    <tableColumn id="14503" xr3:uid="{06A70298-E050-4504-AE9B-60C3514F667A}" name="14723" dataDxfId="1887"/>
    <tableColumn id="14504" xr3:uid="{7EB981B6-BA1C-4979-B4B6-15E472C11EF1}" name="14724" dataDxfId="1886"/>
    <tableColumn id="14505" xr3:uid="{F75E0FFE-72E9-4733-A1DF-82894E3367A5}" name="14725" dataDxfId="1885"/>
    <tableColumn id="14506" xr3:uid="{81A6CB2B-2235-4712-A12F-46BCC8BC5A4F}" name="14726" dataDxfId="1884"/>
    <tableColumn id="14507" xr3:uid="{C9AE627F-DBEC-46DC-BD98-070B4AB6905D}" name="14727" dataDxfId="1883"/>
    <tableColumn id="14508" xr3:uid="{DFEBFE8B-1468-4D23-91F3-0FE000D558EE}" name="14728" dataDxfId="1882"/>
    <tableColumn id="14509" xr3:uid="{F1475DB9-D383-4134-9731-73ECB1852DE7}" name="14729" dataDxfId="1881"/>
    <tableColumn id="14510" xr3:uid="{5387E620-7B0B-45C5-AAC1-D372A3BE8DDA}" name="14730" dataDxfId="1880"/>
    <tableColumn id="14511" xr3:uid="{6CE5C32C-7E7C-4B46-860B-F286F5B449AB}" name="14731" dataDxfId="1879"/>
    <tableColumn id="14512" xr3:uid="{A472154F-2780-4DB7-B816-0B764FB69430}" name="14732" dataDxfId="1878"/>
    <tableColumn id="14513" xr3:uid="{F96AC208-5CE0-4E06-B3FF-6D18C8275520}" name="14733" dataDxfId="1877"/>
    <tableColumn id="14514" xr3:uid="{4C280E91-B2D0-4AF5-B583-FB1C3878C276}" name="14734" dataDxfId="1876"/>
    <tableColumn id="14515" xr3:uid="{5F4453BC-7C7B-41E2-BB71-DDEA5FA0D4D3}" name="14735" dataDxfId="1875"/>
    <tableColumn id="14516" xr3:uid="{5FB2F1F0-B8F9-4C81-8CBC-CA7EEB7278F6}" name="14736" dataDxfId="1874"/>
    <tableColumn id="14517" xr3:uid="{D0F14F56-DC09-4D94-B702-71CF146DCEB4}" name="14737" dataDxfId="1873"/>
    <tableColumn id="14518" xr3:uid="{10939B8A-8DCD-4432-AF97-204BCBAB117D}" name="14738" dataDxfId="1872"/>
    <tableColumn id="14519" xr3:uid="{81DDD2CD-4EFC-41C4-8BC2-2A1B8DAE1B8C}" name="14739" dataDxfId="1871"/>
    <tableColumn id="14520" xr3:uid="{1E339DAC-807A-4829-88F0-AA47E706206C}" name="14740" dataDxfId="1870"/>
    <tableColumn id="14521" xr3:uid="{A48C2019-4F6F-474C-A201-AB2DDD6349FE}" name="14741" dataDxfId="1869"/>
    <tableColumn id="14522" xr3:uid="{602A344B-78F7-4658-9A34-CF8775FAC3DB}" name="14742" dataDxfId="1868"/>
    <tableColumn id="14523" xr3:uid="{94DD38F3-EA91-4ACD-B1C2-3BB8F2673AD2}" name="14743" dataDxfId="1867"/>
    <tableColumn id="14524" xr3:uid="{F3E2FEE8-B1AF-4DC8-8111-EF89A3A31C73}" name="14744" dataDxfId="1866"/>
    <tableColumn id="14525" xr3:uid="{005A6D13-E4E6-49EC-A55D-09D9CCA8EFCC}" name="14745" dataDxfId="1865"/>
    <tableColumn id="14526" xr3:uid="{31581FF7-F848-488D-9040-71C6ADAE91E8}" name="14746" dataDxfId="1864"/>
    <tableColumn id="14527" xr3:uid="{02423318-6CE4-4CE8-BA96-6E64C6C04AEF}" name="14747" dataDxfId="1863"/>
    <tableColumn id="14528" xr3:uid="{84AE6547-C4E3-4F38-8960-130BDF322AD9}" name="14748" dataDxfId="1862"/>
    <tableColumn id="14529" xr3:uid="{3E9CA897-DB7B-4F54-8818-7D0FC21F51B2}" name="14749" dataDxfId="1861"/>
    <tableColumn id="14530" xr3:uid="{FEBBAB03-08DC-4FB2-8DF9-76A092B96338}" name="14750" dataDxfId="1860"/>
    <tableColumn id="14531" xr3:uid="{3E69F8E6-DEE9-4F82-8FE5-5F465FBA4515}" name="14751" dataDxfId="1859"/>
    <tableColumn id="14532" xr3:uid="{833974E8-7FEC-48B7-9B66-1598050C969A}" name="14752" dataDxfId="1858"/>
    <tableColumn id="14533" xr3:uid="{22F0DDD5-FBBE-4071-85E2-CD532B99FB23}" name="14753" dataDxfId="1857"/>
    <tableColumn id="14534" xr3:uid="{9F23E14C-9F67-4DFB-94BF-C0AA6AF5AD51}" name="14754" dataDxfId="1856"/>
    <tableColumn id="14535" xr3:uid="{139E5F34-AE1C-4574-8E5C-0EE69EA9DBC7}" name="14755" dataDxfId="1855"/>
    <tableColumn id="14536" xr3:uid="{A037BDDD-69F4-49AB-8E4A-D6AAC33D3420}" name="14756" dataDxfId="1854"/>
    <tableColumn id="14537" xr3:uid="{1FF3695F-066B-4C19-B194-6C32D4193BA9}" name="14757" dataDxfId="1853"/>
    <tableColumn id="14538" xr3:uid="{F2C25669-D67A-41BB-9195-F6C5505C1850}" name="14758" dataDxfId="1852"/>
    <tableColumn id="14539" xr3:uid="{F9F02374-20D7-40FD-B34A-81104AC0ED81}" name="14759" dataDxfId="1851"/>
    <tableColumn id="14540" xr3:uid="{E0788598-78C2-489B-8C7B-8A4DD7EE2440}" name="14760" dataDxfId="1850"/>
    <tableColumn id="14541" xr3:uid="{083C86F3-0D4B-4472-970C-D7D4A4544107}" name="14761" dataDxfId="1849"/>
    <tableColumn id="14542" xr3:uid="{17656C2A-780B-42E2-B294-F3C88EF26037}" name="14762" dataDxfId="1848"/>
    <tableColumn id="14543" xr3:uid="{79B92B57-DDC7-4064-993D-5BAE935AA63C}" name="14763" dataDxfId="1847"/>
    <tableColumn id="14544" xr3:uid="{13A03017-AE6D-455C-8332-0D54328807D6}" name="14764" dataDxfId="1846"/>
    <tableColumn id="14545" xr3:uid="{BA8190CC-B95D-47B2-AAF2-E390C0AA235B}" name="14765" dataDxfId="1845"/>
    <tableColumn id="14546" xr3:uid="{0EBD3F05-A22F-4FCB-AF07-BB09A9E72E80}" name="14766" dataDxfId="1844"/>
    <tableColumn id="14547" xr3:uid="{7851922D-51F0-418D-91E7-A04F25280EF6}" name="14767" dataDxfId="1843"/>
    <tableColumn id="14548" xr3:uid="{7F3F664E-331E-4B63-9203-BD6C227D9E46}" name="14768" dataDxfId="1842"/>
    <tableColumn id="14549" xr3:uid="{83E8BB35-22E7-409D-9AE9-1880C676CAEA}" name="14769" dataDxfId="1841"/>
    <tableColumn id="14550" xr3:uid="{E636289B-2111-4F14-8E48-3EEDAF3274C6}" name="14770" dataDxfId="1840"/>
    <tableColumn id="14551" xr3:uid="{05402C9A-F9E9-486A-B74C-06074716770E}" name="14771" dataDxfId="1839"/>
    <tableColumn id="14552" xr3:uid="{E83A5114-CC48-4956-808C-B6AF535241A0}" name="14772" dataDxfId="1838"/>
    <tableColumn id="14553" xr3:uid="{D422B8A5-C0BC-48FD-AF63-8341D96E831A}" name="14773" dataDxfId="1837"/>
    <tableColumn id="14554" xr3:uid="{F1C65353-5638-488E-9EF4-38681C3628A0}" name="14774" dataDxfId="1836"/>
    <tableColumn id="14555" xr3:uid="{53D16871-340B-468B-95B3-52F67B4AEFFA}" name="14775" dataDxfId="1835"/>
    <tableColumn id="14556" xr3:uid="{E839E5E9-1DA4-4016-883A-07376D366B18}" name="14776" dataDxfId="1834"/>
    <tableColumn id="14557" xr3:uid="{83216CB8-6CD6-493A-BC0A-392E0C5F5487}" name="14777" dataDxfId="1833"/>
    <tableColumn id="14558" xr3:uid="{AFB73339-392D-45AE-B11A-B1E7A7B4538D}" name="14778" dataDxfId="1832"/>
    <tableColumn id="14559" xr3:uid="{11653711-7A98-4031-B6A9-D9D1875A8247}" name="14779" dataDxfId="1831"/>
    <tableColumn id="14560" xr3:uid="{EDD49714-022C-41A2-8EBE-2944D6685E16}" name="14780" dataDxfId="1830"/>
    <tableColumn id="14561" xr3:uid="{163866AF-89A5-430A-BC44-2486D5829FD3}" name="14781" dataDxfId="1829"/>
    <tableColumn id="14562" xr3:uid="{122F03EE-A317-44BF-9EFE-2ED08F6ADFDA}" name="14782" dataDxfId="1828"/>
    <tableColumn id="14563" xr3:uid="{4655B947-EC1F-4FEA-AD88-85F5DBA3A436}" name="14783" dataDxfId="1827"/>
    <tableColumn id="14564" xr3:uid="{E0100C5B-5819-4DC8-9C57-B9EEEDC4287E}" name="14784" dataDxfId="1826"/>
    <tableColumn id="14565" xr3:uid="{612B590E-F55C-480D-B517-BEA8546DF914}" name="14785" dataDxfId="1825"/>
    <tableColumn id="14566" xr3:uid="{60634B9E-F29A-4D9D-A9A7-6E32F830E372}" name="14786" dataDxfId="1824"/>
    <tableColumn id="14567" xr3:uid="{5A8288C5-71B2-42CF-A5A0-A8747B27AB3C}" name="14787" dataDxfId="1823"/>
    <tableColumn id="14568" xr3:uid="{C2933647-CBF7-4080-BE78-1B333C5893F8}" name="14788" dataDxfId="1822"/>
    <tableColumn id="14569" xr3:uid="{D2257F7F-CD7C-44EB-A2A0-55B629F6A59C}" name="14789" dataDxfId="1821"/>
    <tableColumn id="14570" xr3:uid="{4C18DDD5-AD50-4F55-87F6-FDB7179FB00E}" name="14790" dataDxfId="1820"/>
    <tableColumn id="14571" xr3:uid="{080FAF50-9A48-4BBC-B364-55C1E024847E}" name="14791" dataDxfId="1819"/>
    <tableColumn id="14572" xr3:uid="{80BBA7AC-7463-409F-A2DE-64520C313ECE}" name="14792" dataDxfId="1818"/>
    <tableColumn id="14573" xr3:uid="{2E73151C-0B83-4AC3-A87C-8CF04F89F62C}" name="14793" dataDxfId="1817"/>
    <tableColumn id="14574" xr3:uid="{642E2579-EB87-4256-ABED-74811D3D7B26}" name="14794" dataDxfId="1816"/>
    <tableColumn id="14575" xr3:uid="{01724758-4022-4661-B1C8-E496B31E2021}" name="14795" dataDxfId="1815"/>
    <tableColumn id="14576" xr3:uid="{0A3888CD-9D73-400B-AEDB-43A685BE902E}" name="14796" dataDxfId="1814"/>
    <tableColumn id="14577" xr3:uid="{38F2D1D9-5028-4C99-A5C1-CAC514B6F5AB}" name="14797" dataDxfId="1813"/>
    <tableColumn id="14578" xr3:uid="{EFDA28C2-B0ED-4CC9-AF2C-6BF884A78442}" name="14798" dataDxfId="1812"/>
    <tableColumn id="14579" xr3:uid="{F8FA1F72-30A3-40CD-80B3-3BCADFC980B2}" name="14799" dataDxfId="1811"/>
    <tableColumn id="14580" xr3:uid="{8E874185-6948-447B-9C0F-EEC40984F32B}" name="14800" dataDxfId="1810"/>
    <tableColumn id="14581" xr3:uid="{5B48EA23-7066-4328-8A88-1203424E7A68}" name="14801" dataDxfId="1809"/>
    <tableColumn id="14582" xr3:uid="{166B3EC2-70C7-4838-8571-544D2C068766}" name="14802" dataDxfId="1808"/>
    <tableColumn id="14583" xr3:uid="{D18BA6A6-4B26-41BA-890B-9CB95CBC3E5A}" name="14803" dataDxfId="1807"/>
    <tableColumn id="14584" xr3:uid="{691A3315-47B4-4A1F-93D7-A19922A61671}" name="14804" dataDxfId="1806"/>
    <tableColumn id="14585" xr3:uid="{892E7650-E532-4D18-AE65-A293880D2932}" name="14805" dataDxfId="1805"/>
    <tableColumn id="14586" xr3:uid="{8E22F8BC-61E8-42B9-B83E-0A351A849EDA}" name="14806" dataDxfId="1804"/>
    <tableColumn id="14587" xr3:uid="{9D38BCB7-9832-4CE6-AC7C-BD2FA2C49DC4}" name="14807" dataDxfId="1803"/>
    <tableColumn id="14588" xr3:uid="{4E2C7038-AAFC-4A58-8C4B-898A142226DF}" name="14808" dataDxfId="1802"/>
    <tableColumn id="14589" xr3:uid="{9BAE56D4-9061-4197-9CF5-122D42EB7885}" name="14809" dataDxfId="1801"/>
    <tableColumn id="14590" xr3:uid="{ED2A2D7C-CC04-4771-80C9-33FAFE00B0C0}" name="14810" dataDxfId="1800"/>
    <tableColumn id="14591" xr3:uid="{2ACA2451-4B12-43D3-9F08-9A3BEF252FCE}" name="14811" dataDxfId="1799"/>
    <tableColumn id="14592" xr3:uid="{6CB03F5F-2E3D-4C77-A5E8-AED85B310507}" name="14812" dataDxfId="1798"/>
    <tableColumn id="14593" xr3:uid="{5BFEA5CE-2B94-45FB-B484-7941B5C3C2C7}" name="14813" dataDxfId="1797"/>
    <tableColumn id="14594" xr3:uid="{51F74D5D-F0D7-4FBB-8411-C8B47CE42D3A}" name="14814" dataDxfId="1796"/>
    <tableColumn id="14595" xr3:uid="{9894C882-E5A8-4629-956D-50884E2D8478}" name="14815" dataDxfId="1795"/>
    <tableColumn id="14596" xr3:uid="{22947D81-64E1-49E7-93FC-8AD7F4EC0481}" name="14816" dataDxfId="1794"/>
    <tableColumn id="14597" xr3:uid="{E9088A03-7F54-42FF-AF2D-FA6BF9B86AF8}" name="14817" dataDxfId="1793"/>
    <tableColumn id="14598" xr3:uid="{68D926E7-6535-4AB2-9583-ADD14EC1D8EE}" name="14818" dataDxfId="1792"/>
    <tableColumn id="14599" xr3:uid="{223E8AD7-8507-4FE8-A1FE-26585E19B6C3}" name="14819" dataDxfId="1791"/>
    <tableColumn id="14600" xr3:uid="{B45BD8AD-08E3-4BA4-93C8-ECE133A27038}" name="14820" dataDxfId="1790"/>
    <tableColumn id="14601" xr3:uid="{7970E22E-FF98-41E4-8384-CCFDD32B9F9A}" name="14821" dataDxfId="1789"/>
    <tableColumn id="14602" xr3:uid="{54F624F9-533D-4E41-B9DB-CE76F502C2BA}" name="14822" dataDxfId="1788"/>
    <tableColumn id="14603" xr3:uid="{01CB0AE1-0B17-48F0-91E6-4CE5A8DECED0}" name="14823" dataDxfId="1787"/>
    <tableColumn id="14604" xr3:uid="{FBD008C7-8082-451B-9CEC-E8091C8ECD58}" name="14824" dataDxfId="1786"/>
    <tableColumn id="14605" xr3:uid="{17270323-4B58-4095-839E-8E5FBDE9EEFC}" name="14825" dataDxfId="1785"/>
    <tableColumn id="14606" xr3:uid="{F787E272-3D0D-48C7-8D3A-0B7079949400}" name="14826" dataDxfId="1784"/>
    <tableColumn id="14607" xr3:uid="{D6B6ECDA-562F-449C-9C4D-B4661D549F19}" name="14827" dataDxfId="1783"/>
    <tableColumn id="14608" xr3:uid="{4770D1F5-19E4-434A-9554-B3C695D8BA80}" name="14828" dataDxfId="1782"/>
    <tableColumn id="14609" xr3:uid="{00524BD1-84E8-465D-B0B5-FECF2E4BB831}" name="14829" dataDxfId="1781"/>
    <tableColumn id="14610" xr3:uid="{4BC079D2-367E-4F3F-941C-5B1BA4790A65}" name="14830" dataDxfId="1780"/>
    <tableColumn id="14611" xr3:uid="{CD6AD0A8-E7A3-4E37-8069-F92C8D6156CA}" name="14831" dataDxfId="1779"/>
    <tableColumn id="14612" xr3:uid="{5D45CC3B-01D1-4935-BB8F-19B541A3E2F2}" name="14832" dataDxfId="1778"/>
    <tableColumn id="14613" xr3:uid="{DBEEABC4-DC54-4153-9E0B-D1859EDF78F3}" name="14833" dataDxfId="1777"/>
    <tableColumn id="14614" xr3:uid="{E3C2AF82-C828-4B53-95F9-01FC441BAE36}" name="14834" dataDxfId="1776"/>
    <tableColumn id="14615" xr3:uid="{C15F32AE-4B53-4A1A-894B-C3846C604873}" name="14835" dataDxfId="1775"/>
    <tableColumn id="14616" xr3:uid="{A8198EB0-D73C-4647-9C95-7B5DADE8FFA9}" name="14836" dataDxfId="1774"/>
    <tableColumn id="14617" xr3:uid="{024BE463-EA03-4308-BCF4-0A89FCE699E0}" name="14837" dataDxfId="1773"/>
    <tableColumn id="14618" xr3:uid="{6546145E-D1ED-4DCC-8D57-8951F8021466}" name="14838" dataDxfId="1772"/>
    <tableColumn id="14619" xr3:uid="{A5B58FF0-DD6E-4513-B633-7F6068F27780}" name="14839" dataDxfId="1771"/>
    <tableColumn id="14620" xr3:uid="{41A329AE-39DA-4D16-A842-DA33E200030F}" name="14840" dataDxfId="1770"/>
    <tableColumn id="14621" xr3:uid="{4461FA29-B4AF-4316-B274-07C17BBF7A2B}" name="14841" dataDxfId="1769"/>
    <tableColumn id="14622" xr3:uid="{000DC9AC-52DB-4D73-936A-C711150FEF34}" name="14842" dataDxfId="1768"/>
    <tableColumn id="14623" xr3:uid="{ABAA81AB-5447-49B9-91B8-970470E9E4BA}" name="14843" dataDxfId="1767"/>
    <tableColumn id="14624" xr3:uid="{825504C0-03D4-4791-A2B8-EB6295FFD6A5}" name="14844" dataDxfId="1766"/>
    <tableColumn id="14625" xr3:uid="{1FC998F3-346E-477C-82E8-F7EC13008337}" name="14845" dataDxfId="1765"/>
    <tableColumn id="14626" xr3:uid="{DF26F089-A510-4C78-BEE1-54D42D7F71EA}" name="14846" dataDxfId="1764"/>
    <tableColumn id="14627" xr3:uid="{F0B350D7-A993-40CF-ADE8-0F0E14AA4C2C}" name="14847" dataDxfId="1763"/>
    <tableColumn id="14628" xr3:uid="{22F96A48-EF76-497C-8FEA-963CD6ED5691}" name="14848" dataDxfId="1762"/>
    <tableColumn id="14629" xr3:uid="{231E6A81-8CD5-4165-BCEB-CF01955BFC35}" name="14849" dataDxfId="1761"/>
    <tableColumn id="14630" xr3:uid="{F09050D2-F2A2-4FB8-9CB8-9C072F0E39E8}" name="14850" dataDxfId="1760"/>
    <tableColumn id="14631" xr3:uid="{73EB0327-6F57-4E83-A70C-353310CFF0B6}" name="14851" dataDxfId="1759"/>
    <tableColumn id="14632" xr3:uid="{C6D24274-D6D9-446D-B849-7F2209943A3A}" name="14852" dataDxfId="1758"/>
    <tableColumn id="14633" xr3:uid="{918F8DE6-6EED-4020-A38E-D0D802CCF3A5}" name="14853" dataDxfId="1757"/>
    <tableColumn id="14634" xr3:uid="{F68D7028-4040-426D-A407-1E98070D185F}" name="14854" dataDxfId="1756"/>
    <tableColumn id="14635" xr3:uid="{1FDBCD3A-6355-4135-9AFB-95648C5540E8}" name="14855" dataDxfId="1755"/>
    <tableColumn id="14636" xr3:uid="{D33A0A2D-49B9-45FB-A4B0-9AE6453CB146}" name="14856" dataDxfId="1754"/>
    <tableColumn id="14637" xr3:uid="{DD0897C4-A476-4C53-9AEC-71A5335D6556}" name="14857" dataDxfId="1753"/>
    <tableColumn id="14638" xr3:uid="{3B316F9D-0A7F-4AA6-8CBC-D2D7B527F5ED}" name="14858" dataDxfId="1752"/>
    <tableColumn id="14639" xr3:uid="{D5D2F95A-CB9A-406D-A230-E325E8718A8F}" name="14859" dataDxfId="1751"/>
    <tableColumn id="14640" xr3:uid="{930C1A61-FFD2-47AF-9D27-ECA020176C08}" name="14860" dataDxfId="1750"/>
    <tableColumn id="14641" xr3:uid="{E246C87B-C107-4820-BF09-327143DDC74B}" name="14861" dataDxfId="1749"/>
    <tableColumn id="14642" xr3:uid="{EDC5F736-E6AE-4B43-BC35-6E021234843A}" name="14862" dataDxfId="1748"/>
    <tableColumn id="14643" xr3:uid="{ED9762E1-E7C1-451D-9CED-369F383F636D}" name="14863" dataDxfId="1747"/>
    <tableColumn id="14644" xr3:uid="{F51FB544-FC66-48AF-A497-444C2F6175D5}" name="14864" dataDxfId="1746"/>
    <tableColumn id="14645" xr3:uid="{39BDBAC3-DBE1-4173-A179-11AE57EBB323}" name="14865" dataDxfId="1745"/>
    <tableColumn id="14646" xr3:uid="{DFA4A1AA-464F-4901-B8A7-0C5819FE2E52}" name="14866" dataDxfId="1744"/>
    <tableColumn id="14647" xr3:uid="{98184D3A-231A-4CFC-808D-424F22E20DCD}" name="14867" dataDxfId="1743"/>
    <tableColumn id="14648" xr3:uid="{1322AD94-948B-446B-931B-24ED71EBBCA6}" name="14868" dataDxfId="1742"/>
    <tableColumn id="14649" xr3:uid="{E95469B7-5E8D-4A43-A3F4-4FCD836672B5}" name="14869" dataDxfId="1741"/>
    <tableColumn id="14650" xr3:uid="{711AFF70-3BAC-4F4C-BB66-B259452CCF03}" name="14870" dataDxfId="1740"/>
    <tableColumn id="14651" xr3:uid="{A7B0D4DA-17D6-4C5E-96B9-987C1A103FE5}" name="14871" dataDxfId="1739"/>
    <tableColumn id="14652" xr3:uid="{EE63737F-0617-43CC-94E3-BCDDD6B62ABB}" name="14872" dataDxfId="1738"/>
    <tableColumn id="14653" xr3:uid="{D1732448-8448-467C-8AE3-7B7D85F26355}" name="14873" dataDxfId="1737"/>
    <tableColumn id="14654" xr3:uid="{8E7096F0-0CF7-4375-8C01-F2D4D47E2947}" name="14874" dataDxfId="1736"/>
    <tableColumn id="14655" xr3:uid="{CD073E6F-B899-4D44-BAA7-497CC064C72E}" name="14875" dataDxfId="1735"/>
    <tableColumn id="14656" xr3:uid="{1725CE4D-4B91-4CBD-9374-4BEFB80271A4}" name="14876" dataDxfId="1734"/>
    <tableColumn id="14657" xr3:uid="{3B431E07-9987-437A-8202-B5C4326235AC}" name="14877" dataDxfId="1733"/>
    <tableColumn id="14658" xr3:uid="{91D89EC2-32E8-4471-AFBD-12E97FCCC299}" name="14878" dataDxfId="1732"/>
    <tableColumn id="14659" xr3:uid="{D9F3FDBE-B170-4A58-8C63-86318FCAB5EB}" name="14879" dataDxfId="1731"/>
    <tableColumn id="14660" xr3:uid="{F2AD5AAC-EB5F-4E80-A394-402BA86F6DB3}" name="14880" dataDxfId="1730"/>
    <tableColumn id="14661" xr3:uid="{1DB62722-FC24-4365-996D-10B2F4571347}" name="14881" dataDxfId="1729"/>
    <tableColumn id="14662" xr3:uid="{38D68F3F-BDC5-4480-B076-42DCDCB9A536}" name="14882" dataDxfId="1728"/>
    <tableColumn id="14663" xr3:uid="{0518C9B6-DE4F-4BAE-B299-204984D0B683}" name="14883" dataDxfId="1727"/>
    <tableColumn id="14664" xr3:uid="{915887FF-96B5-48A1-BF72-B802B7D3E376}" name="14884" dataDxfId="1726"/>
    <tableColumn id="14665" xr3:uid="{D126FD74-6128-4DFD-8C05-3DD26B2929B5}" name="14885" dataDxfId="1725"/>
    <tableColumn id="14666" xr3:uid="{95291C49-FEB6-4319-8E1B-A28C3E220687}" name="14886" dataDxfId="1724"/>
    <tableColumn id="14667" xr3:uid="{CDF37B55-A1E2-4327-930D-324B37725840}" name="14887" dataDxfId="1723"/>
    <tableColumn id="14668" xr3:uid="{3143011F-1C94-470D-81B9-C5CD8A74E368}" name="14888" dataDxfId="1722"/>
    <tableColumn id="14669" xr3:uid="{CD6FA144-474E-4491-BDBC-C497DC14C4E3}" name="14889" dataDxfId="1721"/>
    <tableColumn id="14670" xr3:uid="{504EC79D-0847-4098-8548-C3570925D90F}" name="14890" dataDxfId="1720"/>
    <tableColumn id="14671" xr3:uid="{002A0904-A3CA-4720-9A3F-43E792788D95}" name="14891" dataDxfId="1719"/>
    <tableColumn id="14672" xr3:uid="{C79F6412-90BD-484A-94DD-816C2B78BC29}" name="14892" dataDxfId="1718"/>
    <tableColumn id="14673" xr3:uid="{9F6E38D0-524D-42DC-8B14-D51017E72850}" name="14893" dataDxfId="1717"/>
    <tableColumn id="14674" xr3:uid="{5B701E90-6F0A-4047-88E3-724755897352}" name="14894" dataDxfId="1716"/>
    <tableColumn id="14675" xr3:uid="{98A288A3-25AE-4533-90A3-5E332D4B9F46}" name="14895" dataDxfId="1715"/>
    <tableColumn id="14676" xr3:uid="{146A6897-6F3A-4751-92E5-7647CC10A2AF}" name="14896" dataDxfId="1714"/>
    <tableColumn id="14677" xr3:uid="{13593D27-2208-4880-A708-16F88B757063}" name="14897" dataDxfId="1713"/>
    <tableColumn id="14678" xr3:uid="{1FE35EC4-02F2-408F-936E-F11F68AE2E25}" name="14898" dataDxfId="1712"/>
    <tableColumn id="14679" xr3:uid="{937F56A1-DC35-467E-BFB7-9C7EE2BE892A}" name="14899" dataDxfId="1711"/>
    <tableColumn id="14680" xr3:uid="{31EED288-FC86-4D6B-8DDF-124247A08AB4}" name="14900" dataDxfId="1710"/>
    <tableColumn id="14681" xr3:uid="{93F14367-0EB5-44E8-9C8D-E1B0134E94D7}" name="14901" dataDxfId="1709"/>
    <tableColumn id="14682" xr3:uid="{01737A61-5C5B-47F1-9127-C04BF147BA79}" name="14902" dataDxfId="1708"/>
    <tableColumn id="14683" xr3:uid="{65D50182-054E-4CE6-A6B4-E02F60C8D30A}" name="14903" dataDxfId="1707"/>
    <tableColumn id="14684" xr3:uid="{8911C6BA-31F9-4CA6-9071-BBBC3620C377}" name="14904" dataDxfId="1706"/>
    <tableColumn id="14685" xr3:uid="{D8E313AA-7335-4905-B116-93EA116C7616}" name="14905" dataDxfId="1705"/>
    <tableColumn id="14686" xr3:uid="{68A1DFEA-AD68-428D-A412-43711740E203}" name="14906" dataDxfId="1704"/>
    <tableColumn id="14687" xr3:uid="{BE763875-5EA2-4022-85E3-E04C3982D5E6}" name="14907" dataDxfId="1703"/>
    <tableColumn id="14688" xr3:uid="{127F079F-7ECA-4EC9-98C9-B2CEA7C59E2C}" name="14908" dataDxfId="1702"/>
    <tableColumn id="14689" xr3:uid="{2BE796B9-0425-47CB-8FBA-030F2CB280CB}" name="14909" dataDxfId="1701"/>
    <tableColumn id="14690" xr3:uid="{1E0516B3-AD54-49AA-926C-1B6A2FE4779C}" name="14910" dataDxfId="1700"/>
    <tableColumn id="14691" xr3:uid="{5940956B-4C5C-45AF-895B-57D7EDA6136E}" name="14911" dataDxfId="1699"/>
    <tableColumn id="14692" xr3:uid="{442A4397-3993-49DF-A515-7565524D6A06}" name="14912" dataDxfId="1698"/>
    <tableColumn id="14693" xr3:uid="{3D93B5B4-0999-4993-B1C8-70D76D392E92}" name="14913" dataDxfId="1697"/>
    <tableColumn id="14694" xr3:uid="{AE25E33F-2E51-48E6-A755-E5343C7D284A}" name="14914" dataDxfId="1696"/>
    <tableColumn id="14695" xr3:uid="{DF165D02-81C0-44B8-8774-1B225D48534D}" name="14915" dataDxfId="1695"/>
    <tableColumn id="14696" xr3:uid="{705FDBCF-A235-41F3-AB20-AD2E99FCA7DE}" name="14916" dataDxfId="1694"/>
    <tableColumn id="14697" xr3:uid="{50B1DD80-CA30-43CF-981B-10F962784D71}" name="14917" dataDxfId="1693"/>
    <tableColumn id="14698" xr3:uid="{1E7482D1-8311-4230-86DF-89E0E39FAD8F}" name="14918" dataDxfId="1692"/>
    <tableColumn id="14699" xr3:uid="{8FD294B8-BE5B-40E2-9136-CE122469541B}" name="14919" dataDxfId="1691"/>
    <tableColumn id="14700" xr3:uid="{B1AC1F2B-8691-43F7-910A-DA90B0383D1F}" name="14920" dataDxfId="1690"/>
    <tableColumn id="14701" xr3:uid="{7A5046B1-881E-4FC6-B522-10E92026B78C}" name="14921" dataDxfId="1689"/>
    <tableColumn id="14702" xr3:uid="{1EF06D22-B6B3-47C7-9D13-10CED7ED0E1B}" name="14922" dataDxfId="1688"/>
    <tableColumn id="14703" xr3:uid="{72C67B4C-69CE-4545-9DE6-4420D9BBF870}" name="14923" dataDxfId="1687"/>
    <tableColumn id="14704" xr3:uid="{1C6DCEC8-08C3-4109-97B0-832E8A9E230D}" name="14924" dataDxfId="1686"/>
    <tableColumn id="14705" xr3:uid="{EDFA658E-317A-479D-8AA3-49D7AAD97025}" name="14925" dataDxfId="1685"/>
    <tableColumn id="14706" xr3:uid="{6FFA6C71-F59F-4D60-A877-DF3B522BFFD7}" name="14926" dataDxfId="1684"/>
    <tableColumn id="14707" xr3:uid="{15AC827C-A39A-42B8-B357-EB40D30DDECC}" name="14927" dataDxfId="1683"/>
    <tableColumn id="14708" xr3:uid="{2996DDD8-9209-4F46-8B6A-6618CC27FBF6}" name="14928" dataDxfId="1682"/>
    <tableColumn id="14709" xr3:uid="{1083B602-D516-47D9-ADE0-81F7DC214EB8}" name="14929" dataDxfId="1681"/>
    <tableColumn id="14710" xr3:uid="{622379F9-B359-4345-942E-3C45E702F34A}" name="14930" dataDxfId="1680"/>
    <tableColumn id="14711" xr3:uid="{1153C2FF-7A88-456F-91F5-8608ACA7F1E0}" name="14931" dataDxfId="1679"/>
    <tableColumn id="14712" xr3:uid="{885DAC5C-2A25-4DE4-83A7-08D58789B1E0}" name="14932" dataDxfId="1678"/>
    <tableColumn id="14713" xr3:uid="{F0811489-6693-4824-BDAA-FB0AABA2BDE4}" name="14933" dataDxfId="1677"/>
    <tableColumn id="14714" xr3:uid="{7A91B13C-0D20-4538-8A7C-B286E28D67BB}" name="14934" dataDxfId="1676"/>
    <tableColumn id="14715" xr3:uid="{93E39EAA-7C53-466B-A31E-F7C0CD1A839D}" name="14935" dataDxfId="1675"/>
    <tableColumn id="14716" xr3:uid="{71A8E012-C603-44BA-AAC0-33AFA10D6D02}" name="14936" dataDxfId="1674"/>
    <tableColumn id="14717" xr3:uid="{66E0055A-CA5A-4749-ADE1-E34CF1CEA0FF}" name="14937" dataDxfId="1673"/>
    <tableColumn id="14718" xr3:uid="{58585B82-D50E-45B1-BB6F-3341D2655DA9}" name="14938" dataDxfId="1672"/>
    <tableColumn id="14719" xr3:uid="{973D8471-9127-4523-8B03-F1732F183ED6}" name="14939" dataDxfId="1671"/>
    <tableColumn id="14720" xr3:uid="{6B707956-4689-4094-BCDE-8B316F16C7ED}" name="14940" dataDxfId="1670"/>
    <tableColumn id="14721" xr3:uid="{15FC9F94-FFEF-404C-A185-34A2E1721B84}" name="14941" dataDxfId="1669"/>
    <tableColumn id="14722" xr3:uid="{71491884-67D3-492B-9792-55644FBA1001}" name="14942" dataDxfId="1668"/>
    <tableColumn id="14723" xr3:uid="{A7C8ACA5-9BFB-4789-A55B-98B3C7C9CA73}" name="14943" dataDxfId="1667"/>
    <tableColumn id="14724" xr3:uid="{34C9ACA5-FE87-4972-A2E0-E859045FAA47}" name="14944" dataDxfId="1666"/>
    <tableColumn id="14725" xr3:uid="{F2FE6C27-8EA5-4392-91C7-CEF23E483C01}" name="14945" dataDxfId="1665"/>
    <tableColumn id="14726" xr3:uid="{F487FB3B-A699-44EE-A26C-60B09675BB5B}" name="14946" dataDxfId="1664"/>
    <tableColumn id="14727" xr3:uid="{9994763D-8800-4D86-B33B-8D8D070DA1A1}" name="14947" dataDxfId="1663"/>
    <tableColumn id="14728" xr3:uid="{2B21CCF0-F13B-4E4E-9F99-24E26D9B417D}" name="14948" dataDxfId="1662"/>
    <tableColumn id="14729" xr3:uid="{85BDB7B9-52F3-493A-A3F8-A787FB8EF97B}" name="14949" dataDxfId="1661"/>
    <tableColumn id="14730" xr3:uid="{FF7934E6-5096-4EAD-89A0-AF59501E6006}" name="14950" dataDxfId="1660"/>
    <tableColumn id="14731" xr3:uid="{68C29753-EDFB-4E69-9852-98A6490008ED}" name="14951" dataDxfId="1659"/>
    <tableColumn id="14732" xr3:uid="{FE9AFB8D-9712-4E6B-A735-30DB75ACD3AB}" name="14952" dataDxfId="1658"/>
    <tableColumn id="14733" xr3:uid="{CAFB9AFE-FC2B-41AA-9B53-76CE3005AA8B}" name="14953" dataDxfId="1657"/>
    <tableColumn id="14734" xr3:uid="{15B3E7FF-8A5D-4901-A149-3498481CB0D4}" name="14954" dataDxfId="1656"/>
    <tableColumn id="14735" xr3:uid="{BC6A8920-ACD0-4629-AD39-14E3D54430C8}" name="14955" dataDxfId="1655"/>
    <tableColumn id="14736" xr3:uid="{04CCE3BE-E3C9-4CF1-B2F3-4CC249D64B1F}" name="14956" dataDxfId="1654"/>
    <tableColumn id="14737" xr3:uid="{923A3AD6-FA6B-478A-B6B7-796E58F68D86}" name="14957" dataDxfId="1653"/>
    <tableColumn id="14738" xr3:uid="{59E5D325-E667-43F5-8A24-EFE89C103326}" name="14958" dataDxfId="1652"/>
    <tableColumn id="14739" xr3:uid="{E5C57825-AE0B-4FBF-B2C2-C52E554B4C67}" name="14959" dataDxfId="1651"/>
    <tableColumn id="14740" xr3:uid="{AEFBB8B5-ABE6-4636-9871-F07D2780FC50}" name="14960" dataDxfId="1650"/>
    <tableColumn id="14741" xr3:uid="{A5D6C995-BF88-43AB-8116-C52075CC63A3}" name="14961" dataDxfId="1649"/>
    <tableColumn id="14742" xr3:uid="{4680DA91-68AD-4DE9-A6AF-08E9C9A8252A}" name="14962" dataDxfId="1648"/>
    <tableColumn id="14743" xr3:uid="{264E553D-5F7A-4A24-860D-CF6C4D90DB3C}" name="14963" dataDxfId="1647"/>
    <tableColumn id="14744" xr3:uid="{9477958B-5A78-401A-83B4-0D7CEA7302EA}" name="14964" dataDxfId="1646"/>
    <tableColumn id="14745" xr3:uid="{79BB24BB-E797-496E-BFC7-6E8967F7AA6A}" name="14965" dataDxfId="1645"/>
    <tableColumn id="14746" xr3:uid="{AF7FAC13-DA11-456F-ACB6-1EB4AF07D198}" name="14966" dataDxfId="1644"/>
    <tableColumn id="14747" xr3:uid="{612EC3E1-1AD3-4D73-BAC1-6A4B8E23B52E}" name="14967" dataDxfId="1643"/>
    <tableColumn id="14748" xr3:uid="{106E7668-67C1-4AE5-9D06-1BE8BBD2E439}" name="14968" dataDxfId="1642"/>
    <tableColumn id="14749" xr3:uid="{FC78CFD9-2C74-4AFD-8E87-4458564BAADA}" name="14969" dataDxfId="1641"/>
    <tableColumn id="14750" xr3:uid="{AE5174A6-5627-4099-8291-310E92809B31}" name="14970" dataDxfId="1640"/>
    <tableColumn id="14751" xr3:uid="{B7E0D07C-2B6C-4CFC-82AE-335892420F80}" name="14971" dataDxfId="1639"/>
    <tableColumn id="14752" xr3:uid="{CAD82382-44B1-4A54-9439-672403823F10}" name="14972" dataDxfId="1638"/>
    <tableColumn id="14753" xr3:uid="{27F0133E-B17E-4D8A-A679-61570183CFA5}" name="14973" dataDxfId="1637"/>
    <tableColumn id="14754" xr3:uid="{970932D6-6DEC-40B1-90B6-4F4591DEA3BE}" name="14974" dataDxfId="1636"/>
    <tableColumn id="14755" xr3:uid="{369E80D9-AACD-4ACA-A1F8-B5D1BEC8E6DD}" name="14975" dataDxfId="1635"/>
    <tableColumn id="14756" xr3:uid="{4BC08328-6053-496F-B241-8F2D740EF812}" name="14976" dataDxfId="1634"/>
    <tableColumn id="14757" xr3:uid="{6B5AA440-4D0E-49B6-B6DD-EEAC7C51C2C9}" name="14977" dataDxfId="1633"/>
    <tableColumn id="14758" xr3:uid="{FDB09BEC-8CC5-48C2-898F-3EEE2B530EEF}" name="14978" dataDxfId="1632"/>
    <tableColumn id="14759" xr3:uid="{642F175B-FCDD-4280-B971-B7FC6AA0480B}" name="14979" dataDxfId="1631"/>
    <tableColumn id="14760" xr3:uid="{7C8BD681-9716-40BD-ACCD-1C126E41025C}" name="14980" dataDxfId="1630"/>
    <tableColumn id="14761" xr3:uid="{24579E0A-0949-4277-B381-619A753C4A76}" name="14981" dataDxfId="1629"/>
    <tableColumn id="14762" xr3:uid="{B8CCED4C-940F-42B2-BA37-529680AC6CAD}" name="14982" dataDxfId="1628"/>
    <tableColumn id="14763" xr3:uid="{91404637-AA3B-4EA0-AC00-D1781CAC41EB}" name="14983" dataDxfId="1627"/>
    <tableColumn id="14764" xr3:uid="{84B2401D-DFAB-4727-A468-DA06F0E8550B}" name="14984" dataDxfId="1626"/>
    <tableColumn id="14765" xr3:uid="{5AF57C35-27A8-4D0F-8C70-86D3D9465BB8}" name="14985" dataDxfId="1625"/>
    <tableColumn id="14766" xr3:uid="{0BCE6672-2695-4B2D-B2C3-CE46307C04A4}" name="14986" dataDxfId="1624"/>
    <tableColumn id="14767" xr3:uid="{BC61EB8D-ABF3-4DB6-992F-A530C47D13EA}" name="14987" dataDxfId="1623"/>
    <tableColumn id="14768" xr3:uid="{7790F0F7-E779-4A50-BD26-0681B47D24EB}" name="14988" dataDxfId="1622"/>
    <tableColumn id="14769" xr3:uid="{310D1829-C936-4C47-B362-D0068A3DC662}" name="14989" dataDxfId="1621"/>
    <tableColumn id="14770" xr3:uid="{82F5D4C1-0F1C-44CB-AD70-D336A9B97304}" name="14990" dataDxfId="1620"/>
    <tableColumn id="14771" xr3:uid="{FF0395C5-56E4-449C-BDA0-382400BC5276}" name="14991" dataDxfId="1619"/>
    <tableColumn id="14772" xr3:uid="{5FA0399A-12AD-479C-B248-940CC6D8D061}" name="14992" dataDxfId="1618"/>
    <tableColumn id="14773" xr3:uid="{8F543EC4-F1FF-4AF9-B753-92319DFEFCBC}" name="14993" dataDxfId="1617"/>
    <tableColumn id="14774" xr3:uid="{BB981C2A-9EDD-44DF-B881-5EE6723697B7}" name="14994" dataDxfId="1616"/>
    <tableColumn id="14775" xr3:uid="{7A523BB1-D490-4AF8-8946-10E200CDFF7F}" name="14995" dataDxfId="1615"/>
    <tableColumn id="14776" xr3:uid="{C1F8C34D-365A-493A-A8A2-DB8C1688C1AC}" name="14996" dataDxfId="1614"/>
    <tableColumn id="14777" xr3:uid="{0438CB99-90AE-4667-A393-F06212E9BCEB}" name="14997" dataDxfId="1613"/>
    <tableColumn id="14778" xr3:uid="{B1FA7390-6F68-438E-9C73-0F670F88A5B1}" name="14998" dataDxfId="1612"/>
    <tableColumn id="14779" xr3:uid="{EAD1F4A6-87BE-4A65-8AEB-4AF12E12E9BE}" name="14999" dataDxfId="1611"/>
    <tableColumn id="14780" xr3:uid="{563470D1-A7DE-4EE8-9B59-8B7393F457C3}" name="15000" dataDxfId="1610"/>
    <tableColumn id="14781" xr3:uid="{09972894-FB58-4355-8FF0-92DB103EE9D9}" name="15001" dataDxfId="1609"/>
    <tableColumn id="14782" xr3:uid="{9ED47349-2416-4554-B656-9E066663E825}" name="15002" dataDxfId="1608"/>
    <tableColumn id="14783" xr3:uid="{6C104A43-75F5-42F2-B55B-B4461F564B17}" name="15003" dataDxfId="1607"/>
    <tableColumn id="14784" xr3:uid="{202031F4-BFCD-4523-BBD8-3270A86CCB46}" name="15004" dataDxfId="1606"/>
    <tableColumn id="14785" xr3:uid="{4EA9DE7B-6CD6-4807-B180-F985E2054D62}" name="15005" dataDxfId="1605"/>
    <tableColumn id="14786" xr3:uid="{ADD87577-0298-4606-835B-E8FF34EBA89E}" name="15006" dataDxfId="1604"/>
    <tableColumn id="14787" xr3:uid="{DAA6ACA3-1E6D-4E38-9A8F-87976E2C33DB}" name="15007" dataDxfId="1603"/>
    <tableColumn id="14788" xr3:uid="{515B126D-7A90-4589-AC8B-FAD4BD467B0B}" name="15008" dataDxfId="1602"/>
    <tableColumn id="14789" xr3:uid="{26DB4B7E-E2BE-46E8-AAB6-43481DAFEAF3}" name="15009" dataDxfId="1601"/>
    <tableColumn id="14790" xr3:uid="{97E58E34-7BDC-4DC1-840B-43F15DF37B17}" name="15010" dataDxfId="1600"/>
    <tableColumn id="14791" xr3:uid="{94A9EE29-091F-4FE0-954A-89ABFDAF9C4F}" name="15011" dataDxfId="1599"/>
    <tableColumn id="14792" xr3:uid="{4885D003-7E1F-4DD0-BBDD-7C0F3D7E116C}" name="15012" dataDxfId="1598"/>
    <tableColumn id="14793" xr3:uid="{096B1E2B-694E-4CEE-9AA0-3C3027EB573E}" name="15013" dataDxfId="1597"/>
    <tableColumn id="14794" xr3:uid="{701D1359-CF2C-42B9-A11B-2355EA7495D2}" name="15014" dataDxfId="1596"/>
    <tableColumn id="14795" xr3:uid="{E2A84C7C-9718-4B31-A1F4-DBD1561D00A5}" name="15015" dataDxfId="1595"/>
    <tableColumn id="14796" xr3:uid="{D5EDABEF-D24D-40D9-B6E4-0631CBF76BFC}" name="15016" dataDxfId="1594"/>
    <tableColumn id="14797" xr3:uid="{ED0C6557-B2E3-400A-B159-7B399D078A73}" name="15017" dataDxfId="1593"/>
    <tableColumn id="14798" xr3:uid="{CE92CA12-C523-4CDC-B994-BEE790DC9294}" name="15018" dataDxfId="1592"/>
    <tableColumn id="14799" xr3:uid="{1117C66D-2D7D-4C23-A084-EE0B10954648}" name="15019" dataDxfId="1591"/>
    <tableColumn id="14800" xr3:uid="{528DE2AE-05BC-4DF6-B7CD-F217366EC2AA}" name="15020" dataDxfId="1590"/>
    <tableColumn id="14801" xr3:uid="{88B49FB7-B157-4D6C-B769-5E7D521743A2}" name="15021" dataDxfId="1589"/>
    <tableColumn id="14802" xr3:uid="{7F8B8335-D988-4346-BB13-DE3B65FB7A7C}" name="15022" dataDxfId="1588"/>
    <tableColumn id="14803" xr3:uid="{976561AF-25BD-4988-9559-45F455A09AAE}" name="15023" dataDxfId="1587"/>
    <tableColumn id="14804" xr3:uid="{CDE2D90A-58E8-43F8-B4B2-6D676E7992E6}" name="15024" dataDxfId="1586"/>
    <tableColumn id="14805" xr3:uid="{A322B63A-45B6-4BB9-B434-9C0E463E18ED}" name="15025" dataDxfId="1585"/>
    <tableColumn id="14806" xr3:uid="{A9A5827C-B1F0-46A7-9A10-33FD1C5FCA7B}" name="15026" dataDxfId="1584"/>
    <tableColumn id="14807" xr3:uid="{6D6ABEDD-B79E-41CD-AA51-80A3C323ECB8}" name="15027" dataDxfId="1583"/>
    <tableColumn id="14808" xr3:uid="{CC48EF88-068D-49F4-9018-1932BB797A7A}" name="15028" dataDxfId="1582"/>
    <tableColumn id="14809" xr3:uid="{BB7901A6-D313-440A-B33C-29C7C1BD99A2}" name="15029" dataDxfId="1581"/>
    <tableColumn id="14810" xr3:uid="{0D8AAA62-140B-4CA7-9801-494BEB05731D}" name="15030" dataDxfId="1580"/>
    <tableColumn id="14811" xr3:uid="{2B1A9E51-9738-4BD1-AC7E-60A4ADCBFB90}" name="15031" dataDxfId="1579"/>
    <tableColumn id="14812" xr3:uid="{BD4FC70E-EA38-4FC9-BD5E-3BE34EB8C918}" name="15032" dataDxfId="1578"/>
    <tableColumn id="14813" xr3:uid="{2FF074DD-BCE1-4BD7-A445-766FFE879750}" name="15033" dataDxfId="1577"/>
    <tableColumn id="14814" xr3:uid="{51EADF07-51F6-4C32-B423-B54A4E46AE07}" name="15034" dataDxfId="1576"/>
    <tableColumn id="14815" xr3:uid="{79010B83-A07F-48B1-9BE5-12EACC2617BA}" name="15035" dataDxfId="1575"/>
    <tableColumn id="14816" xr3:uid="{A3A2E5DB-EE7F-4DD3-820C-897E8063448F}" name="15036" dataDxfId="1574"/>
    <tableColumn id="14817" xr3:uid="{E26670CB-D411-47DC-8B99-2746C46733B9}" name="15037" dataDxfId="1573"/>
    <tableColumn id="14818" xr3:uid="{A57B8E9E-9EC0-4E55-8890-910C955FC677}" name="15038" dataDxfId="1572"/>
    <tableColumn id="14819" xr3:uid="{C2549BFC-9B1B-4C12-B907-2DF2EC0EAF3B}" name="15039" dataDxfId="1571"/>
    <tableColumn id="14820" xr3:uid="{CF560B68-B770-4F00-A663-2FC41735D541}" name="15040" dataDxfId="1570"/>
    <tableColumn id="14821" xr3:uid="{389D3371-9A94-4AED-B140-6FA102BA59EB}" name="15041" dataDxfId="1569"/>
    <tableColumn id="14822" xr3:uid="{743D3406-D27C-483D-BC10-7B8DB08F5C98}" name="15042" dataDxfId="1568"/>
    <tableColumn id="14823" xr3:uid="{8ACC54D4-CD9B-4361-A38A-D6DE1E702391}" name="15043" dataDxfId="1567"/>
    <tableColumn id="14824" xr3:uid="{3C097E3B-4756-4A6E-9A67-AB79F846F4E8}" name="15044" dataDxfId="1566"/>
    <tableColumn id="14825" xr3:uid="{F1EAFC0E-C39D-4BE0-8A6D-0E1ED522233B}" name="15045" dataDxfId="1565"/>
    <tableColumn id="14826" xr3:uid="{0661B19D-0868-4947-9CB2-FCE3C342484F}" name="15046" dataDxfId="1564"/>
    <tableColumn id="14827" xr3:uid="{1061D123-6989-4A7A-ABAF-7E160343235F}" name="15047" dataDxfId="1563"/>
    <tableColumn id="14828" xr3:uid="{5EF0F9C9-0FC2-4C05-8464-FCC8592B1176}" name="15048" dataDxfId="1562"/>
    <tableColumn id="14829" xr3:uid="{EED686E4-6EDC-4F63-9E4D-4C42C97626A3}" name="15049" dataDxfId="1561"/>
    <tableColumn id="14830" xr3:uid="{B0EFA5F0-120C-499A-B96D-6E9D78E185B0}" name="15050" dataDxfId="1560"/>
    <tableColumn id="14831" xr3:uid="{72B8DC87-4C75-47C3-80F2-BCCCBA1AF2B6}" name="15051" dataDxfId="1559"/>
    <tableColumn id="14832" xr3:uid="{0A286961-F79B-41F7-9D22-8FE1E5E97705}" name="15052" dataDxfId="1558"/>
    <tableColumn id="14833" xr3:uid="{EB195F99-BCB7-4452-8A6F-125A050DE287}" name="15053" dataDxfId="1557"/>
    <tableColumn id="14834" xr3:uid="{568B07AE-19D6-48AF-BE8A-E71AF449B111}" name="15054" dataDxfId="1556"/>
    <tableColumn id="14835" xr3:uid="{D419CAC0-84A1-4970-8537-931E5B90D4C1}" name="15055" dataDxfId="1555"/>
    <tableColumn id="14836" xr3:uid="{8B4DB0E4-73A9-4FA2-BB3B-313DE290A2C7}" name="15056" dataDxfId="1554"/>
    <tableColumn id="14837" xr3:uid="{CB2A501F-DA7A-4C05-9E6D-A052C2DBC67A}" name="15057" dataDxfId="1553"/>
    <tableColumn id="14838" xr3:uid="{252CEB7B-6FE9-435D-8618-DD10652E610C}" name="15058" dataDxfId="1552"/>
    <tableColumn id="14839" xr3:uid="{8B6C369D-FB60-477B-8972-E99019ABEF79}" name="15059" dataDxfId="1551"/>
    <tableColumn id="14840" xr3:uid="{4F607CC6-051D-4A2A-92EE-E07F4E63B7D4}" name="15060" dataDxfId="1550"/>
    <tableColumn id="14841" xr3:uid="{7186E459-1016-4594-AC69-8CB120F3C47D}" name="15061" dataDxfId="1549"/>
    <tableColumn id="14842" xr3:uid="{4489621E-22D2-466E-BCB0-9150D2662BBC}" name="15062" dataDxfId="1548"/>
    <tableColumn id="14843" xr3:uid="{41D9FA97-456C-4856-8E87-E7348F83298A}" name="15063" dataDxfId="1547"/>
    <tableColumn id="14844" xr3:uid="{53D0BC76-3061-4089-AD26-E28EEEAA0190}" name="15064" dataDxfId="1546"/>
    <tableColumn id="14845" xr3:uid="{8A72436E-95EE-46B4-B52C-429805509658}" name="15065" dataDxfId="1545"/>
    <tableColumn id="14846" xr3:uid="{1CC59C6C-150F-49D7-BF28-6ED992719A28}" name="15066" dataDxfId="1544"/>
    <tableColumn id="14847" xr3:uid="{087892BB-E60E-4FE5-9497-9039645B1506}" name="15067" dataDxfId="1543"/>
    <tableColumn id="14848" xr3:uid="{B14EBF10-C1BA-4BCF-951D-82652E5EB445}" name="15068" dataDxfId="1542"/>
    <tableColumn id="14849" xr3:uid="{B8F8C5AC-F98B-4233-8019-B159D85D8F35}" name="15069" dataDxfId="1541"/>
    <tableColumn id="14850" xr3:uid="{75AFA2F9-3D20-43C3-8C76-BF6D7F235643}" name="15070" dataDxfId="1540"/>
    <tableColumn id="14851" xr3:uid="{ED315AA1-45FA-48A8-B5E8-658B7BBB01F8}" name="15071" dataDxfId="1539"/>
    <tableColumn id="14852" xr3:uid="{2F17BA8D-D5B9-44A2-B781-9496FE2AAC2D}" name="15072" dataDxfId="1538"/>
    <tableColumn id="14853" xr3:uid="{2A8B39BA-3F64-4578-B9DA-9E510D01619C}" name="15073" dataDxfId="1537"/>
    <tableColumn id="14854" xr3:uid="{6AF911EC-981F-4919-8AA5-3A438F033534}" name="15074" dataDxfId="1536"/>
    <tableColumn id="14855" xr3:uid="{455D1889-8F75-4D11-A140-4288CC689A76}" name="15075" dataDxfId="1535"/>
    <tableColumn id="14856" xr3:uid="{6A5BEE11-94AF-45FF-8FAE-875A3CDE9941}" name="15076" dataDxfId="1534"/>
    <tableColumn id="14857" xr3:uid="{BB22325F-05C8-4334-BEB7-AD981EBDE387}" name="15077" dataDxfId="1533"/>
    <tableColumn id="14858" xr3:uid="{14CA1C23-4347-44F1-A381-0A499A9DA23D}" name="15078" dataDxfId="1532"/>
    <tableColumn id="14859" xr3:uid="{EB51C5F5-E32F-4E97-B711-60992DACCC15}" name="15079" dataDxfId="1531"/>
    <tableColumn id="14860" xr3:uid="{10C58835-2C9C-44B8-A147-439FA36C49E9}" name="15080" dataDxfId="1530"/>
    <tableColumn id="14861" xr3:uid="{71CE51F9-785C-4E4E-809E-4434EB5A06F4}" name="15081" dataDxfId="1529"/>
    <tableColumn id="14862" xr3:uid="{4B47F954-BF24-41AC-B218-B46692E87FCC}" name="15082" dataDxfId="1528"/>
    <tableColumn id="14863" xr3:uid="{588EEC74-CA66-4368-B4A0-20D192F1CB48}" name="15083" dataDxfId="1527"/>
    <tableColumn id="14864" xr3:uid="{0306B290-56F9-478B-B7FA-CBE401930031}" name="15084" dataDxfId="1526"/>
    <tableColumn id="14865" xr3:uid="{32538CD1-7273-4740-B38A-22EE5E9BB0B8}" name="15085" dataDxfId="1525"/>
    <tableColumn id="14866" xr3:uid="{CD9B1BCE-87AB-42BD-B03F-17EB55C104AA}" name="15086" dataDxfId="1524"/>
    <tableColumn id="14867" xr3:uid="{1A9A964D-233A-410C-81D3-F3CDC339C159}" name="15087" dataDxfId="1523"/>
    <tableColumn id="14868" xr3:uid="{C74BCD51-C338-4C83-BDB9-B9F4FB12A13B}" name="15088" dataDxfId="1522"/>
    <tableColumn id="14869" xr3:uid="{B6D2DF24-A592-431C-89A5-E04684EDF829}" name="15089" dataDxfId="1521"/>
    <tableColumn id="14870" xr3:uid="{B7108FC9-C1FA-466F-818F-29DA1C480F96}" name="15090" dataDxfId="1520"/>
    <tableColumn id="14871" xr3:uid="{83060E77-9824-44F2-ABEF-C466EE94DAF1}" name="15091" dataDxfId="1519"/>
    <tableColumn id="14872" xr3:uid="{7D200A32-B3F6-4AA9-A653-E0B6A6E9718F}" name="15092" dataDxfId="1518"/>
    <tableColumn id="14873" xr3:uid="{C80FEA0A-02F0-419C-AE54-2FBE96A9F9FA}" name="15093" dataDxfId="1517"/>
    <tableColumn id="14874" xr3:uid="{3E4160A5-BC90-4831-827E-7C357D07725C}" name="15094" dataDxfId="1516"/>
    <tableColumn id="14875" xr3:uid="{C1891915-0CC5-4370-9AAF-1CAADCC5EA1B}" name="15095" dataDxfId="1515"/>
    <tableColumn id="14876" xr3:uid="{2E1B7ABF-5FDB-457A-B039-59ED6064401C}" name="15096" dataDxfId="1514"/>
    <tableColumn id="14877" xr3:uid="{254B6F1A-A152-4BD7-BF33-54EF65EC2EE5}" name="15097" dataDxfId="1513"/>
    <tableColumn id="14878" xr3:uid="{AFB762D7-4A39-437E-91BD-8B523665E522}" name="15098" dataDxfId="1512"/>
    <tableColumn id="14879" xr3:uid="{CE6AF638-AF98-4ED0-A112-8F79E34F679F}" name="15099" dataDxfId="1511"/>
    <tableColumn id="14880" xr3:uid="{6801A367-68B5-497F-9DA1-155DB1434585}" name="15100" dataDxfId="1510"/>
    <tableColumn id="14881" xr3:uid="{5E811339-22BF-4F2F-976C-A2CFAB6E284B}" name="15101" dataDxfId="1509"/>
    <tableColumn id="14882" xr3:uid="{FAD55A04-1E94-455D-86C5-4A9CC8FDBA0B}" name="15102" dataDxfId="1508"/>
    <tableColumn id="14883" xr3:uid="{FBEC0C7D-19B2-4CE7-BBCC-B337BA4CC3E3}" name="15103" dataDxfId="1507"/>
    <tableColumn id="14884" xr3:uid="{B9849483-6008-4A01-ABA4-B776A8326A2B}" name="15104" dataDxfId="1506"/>
    <tableColumn id="14885" xr3:uid="{5CC21783-54E1-4943-A68C-D45A6F4565FE}" name="15105" dataDxfId="1505"/>
    <tableColumn id="14886" xr3:uid="{64B27398-3BD4-4EB1-9946-B89E90FC53C6}" name="15106" dataDxfId="1504"/>
    <tableColumn id="14887" xr3:uid="{9783F559-AD6F-40D3-A916-248B59B0DC68}" name="15107" dataDxfId="1503"/>
    <tableColumn id="14888" xr3:uid="{0E38F1EC-B41D-4896-85F4-A8CA5F8E469E}" name="15108" dataDxfId="1502"/>
    <tableColumn id="14889" xr3:uid="{2DC63D7F-5A32-4DAD-9095-E9DA250BFDFB}" name="15109" dataDxfId="1501"/>
    <tableColumn id="14890" xr3:uid="{780510F7-6588-4A17-80D6-455AFCC48B77}" name="15110" dataDxfId="1500"/>
    <tableColumn id="14891" xr3:uid="{B82FEB0B-0F29-4B7B-B159-CA2FAF13BE31}" name="15111" dataDxfId="1499"/>
    <tableColumn id="14892" xr3:uid="{4680DF3D-2071-49BE-B137-6A9D67E33D48}" name="15112" dataDxfId="1498"/>
    <tableColumn id="14893" xr3:uid="{C8C11396-30A3-4C2F-AFE0-C8CBB64891D3}" name="15113" dataDxfId="1497"/>
    <tableColumn id="14894" xr3:uid="{57E22CC1-BA22-4848-8171-599337949CD0}" name="15114" dataDxfId="1496"/>
    <tableColumn id="14895" xr3:uid="{B9F4CA04-091B-4DCD-97D5-DC657BA2CC4B}" name="15115" dataDxfId="1495"/>
    <tableColumn id="14896" xr3:uid="{44DEF2D0-6E66-4072-9628-197CC85B0974}" name="15116" dataDxfId="1494"/>
    <tableColumn id="14897" xr3:uid="{FFD4093C-8DA7-451E-92DC-51E3E1A235A2}" name="15117" dataDxfId="1493"/>
    <tableColumn id="14898" xr3:uid="{7419884F-3DB5-4CDD-B7BF-6F577F4037E9}" name="15118" dataDxfId="1492"/>
    <tableColumn id="14899" xr3:uid="{8CC5E409-DF95-4586-868B-5C3E8240C637}" name="15119" dataDxfId="1491"/>
    <tableColumn id="14900" xr3:uid="{0BA38F86-9D2B-4320-9B4F-5CC9270E7A1C}" name="15120" dataDxfId="1490"/>
    <tableColumn id="14901" xr3:uid="{E66124ED-DDE7-4C54-A070-99D7AA93834C}" name="15121" dataDxfId="1489"/>
    <tableColumn id="14902" xr3:uid="{476EFCB7-9BE6-45DF-A4D3-2E74FF532A3F}" name="15122" dataDxfId="1488"/>
    <tableColumn id="14903" xr3:uid="{C68B1FBC-8B9B-4DFF-AF4C-5E5487E8B36A}" name="15123" dataDxfId="1487"/>
    <tableColumn id="14904" xr3:uid="{7291B950-CDAC-41CF-8748-720443F4EDA5}" name="15124" dataDxfId="1486"/>
    <tableColumn id="14905" xr3:uid="{F87CEB99-123F-4AE3-9CA8-E31612298AD1}" name="15125" dataDxfId="1485"/>
    <tableColumn id="14906" xr3:uid="{A229E8EB-F7E0-4A70-9B7D-4BE1BC562FE4}" name="15126" dataDxfId="1484"/>
    <tableColumn id="14907" xr3:uid="{36EB1D37-F7FA-45EA-8CEB-FAACBFFCDA27}" name="15127" dataDxfId="1483"/>
    <tableColumn id="14908" xr3:uid="{80A874E5-50DA-4731-BDBD-018215F7BD3B}" name="15128" dataDxfId="1482"/>
    <tableColumn id="14909" xr3:uid="{2E22A681-2AE6-47DE-9324-B9BAE0AC4AC6}" name="15129" dataDxfId="1481"/>
    <tableColumn id="14910" xr3:uid="{43A85C72-6B19-48B6-ADC0-3AF9727758E6}" name="15130" dataDxfId="1480"/>
    <tableColumn id="14911" xr3:uid="{3D557CEE-EDAD-47BF-BBB3-EFA9D5D8511B}" name="15131" dataDxfId="1479"/>
    <tableColumn id="14912" xr3:uid="{45C5C994-DE6A-4B5E-B2FC-3AE748F3BC9F}" name="15132" dataDxfId="1478"/>
    <tableColumn id="14913" xr3:uid="{531A27D1-8371-4300-B8EF-BC74AE9CA916}" name="15133" dataDxfId="1477"/>
    <tableColumn id="14914" xr3:uid="{B4E98DF1-B76F-4968-B563-890A911ABE91}" name="15134" dataDxfId="1476"/>
    <tableColumn id="14915" xr3:uid="{352907EE-994D-4603-B7D4-4FD0597925FA}" name="15135" dataDxfId="1475"/>
    <tableColumn id="14916" xr3:uid="{78178B47-F4E2-4653-8523-BA2AAB4FBE9F}" name="15136" dataDxfId="1474"/>
    <tableColumn id="14917" xr3:uid="{5DB12D4D-A90C-41EB-B6A3-E23614C35FEC}" name="15137" dataDxfId="1473"/>
    <tableColumn id="14918" xr3:uid="{DAB9ECBE-1CA6-481A-A0EB-4A3C033394A0}" name="15138" dataDxfId="1472"/>
    <tableColumn id="14919" xr3:uid="{896DC68A-3F29-48DF-86A7-0A02F1461970}" name="15139" dataDxfId="1471"/>
    <tableColumn id="14920" xr3:uid="{E87E01F4-4250-4FF2-A2A0-3AE131AAB8CA}" name="15140" dataDxfId="1470"/>
    <tableColumn id="14921" xr3:uid="{D2E98C55-2914-4297-83B1-07EC6C36B16D}" name="15141" dataDxfId="1469"/>
    <tableColumn id="14922" xr3:uid="{7C1E5794-06F5-4D4E-A188-7650F2E71E3E}" name="15142" dataDxfId="1468"/>
    <tableColumn id="14923" xr3:uid="{37A3B40D-70AA-4E6E-A456-79616210264B}" name="15143" dataDxfId="1467"/>
    <tableColumn id="14924" xr3:uid="{1DFD6FD2-EEC7-4EE3-88E4-47AA17299603}" name="15144" dataDxfId="1466"/>
    <tableColumn id="14925" xr3:uid="{101106D7-D3D2-4BAC-BBD1-286D9B63E407}" name="15145" dataDxfId="1465"/>
    <tableColumn id="14926" xr3:uid="{4FB41E10-675A-4268-8A61-72EE4551A4A9}" name="15146" dataDxfId="1464"/>
    <tableColumn id="14927" xr3:uid="{79248376-2A79-40AA-911F-5542C6977E09}" name="15147" dataDxfId="1463"/>
    <tableColumn id="14928" xr3:uid="{553E7795-3BD0-4545-9F84-74C5627274B6}" name="15148" dataDxfId="1462"/>
    <tableColumn id="14929" xr3:uid="{505CA50B-DA84-41B2-A149-AB908365D6CB}" name="15149" dataDxfId="1461"/>
    <tableColumn id="14930" xr3:uid="{64733FE1-1C99-46D1-A8E5-3F9F64124712}" name="15150" dataDxfId="1460"/>
    <tableColumn id="14931" xr3:uid="{2E685CDC-5D0F-4913-8F1F-492B375EB8A9}" name="15151" dataDxfId="1459"/>
    <tableColumn id="14932" xr3:uid="{8509247B-EF71-4556-B383-42AC1CDD422C}" name="15152" dataDxfId="1458"/>
    <tableColumn id="14933" xr3:uid="{2B8CB87D-DD50-426D-A122-D329252E48DD}" name="15153" dataDxfId="1457"/>
    <tableColumn id="14934" xr3:uid="{596E8D59-3D41-4418-B7CE-7E17B684D10C}" name="15154" dataDxfId="1456"/>
    <tableColumn id="14935" xr3:uid="{72060503-5259-4D42-9F18-434C01B68944}" name="15155" dataDxfId="1455"/>
    <tableColumn id="14936" xr3:uid="{A6A33D29-5362-4825-B4CC-D21A4E9E76EF}" name="15156" dataDxfId="1454"/>
    <tableColumn id="14937" xr3:uid="{2AD5966E-3C9F-4F23-B082-CA91F32AD962}" name="15157" dataDxfId="1453"/>
    <tableColumn id="14938" xr3:uid="{A544CB38-F5F2-473F-A3AD-5290536F8AD9}" name="15158" dataDxfId="1452"/>
    <tableColumn id="14939" xr3:uid="{66525F7C-9724-4DC5-9D58-B954F31E38A1}" name="15159" dataDxfId="1451"/>
    <tableColumn id="14940" xr3:uid="{9478CF67-F561-4A02-A419-1FBCAA5A1AA5}" name="15160" dataDxfId="1450"/>
    <tableColumn id="14941" xr3:uid="{BC8EBF41-0B13-45D6-81BF-9074DDD795A3}" name="15161" dataDxfId="1449"/>
    <tableColumn id="14942" xr3:uid="{7BE0A01F-05C6-438F-8D0F-80C617BBAF33}" name="15162" dataDxfId="1448"/>
    <tableColumn id="14943" xr3:uid="{CD2644E5-C404-4C7F-AC94-D0E9C9B05928}" name="15163" dataDxfId="1447"/>
    <tableColumn id="14944" xr3:uid="{DD1B5509-3D97-44A5-A253-507326D5F886}" name="15164" dataDxfId="1446"/>
    <tableColumn id="14945" xr3:uid="{B2B3A38D-369B-42FC-899E-7BEDF9F30C1B}" name="15165" dataDxfId="1445"/>
    <tableColumn id="14946" xr3:uid="{3AFB1D94-577E-4E04-AB8F-82E284AF4B0A}" name="15166" dataDxfId="1444"/>
    <tableColumn id="14947" xr3:uid="{89B14E2D-B0C2-4DD1-B2F7-6A20BFEE8F6D}" name="15167" dataDxfId="1443"/>
    <tableColumn id="14948" xr3:uid="{91BD59C1-DF7D-4B22-ADD5-FDCC69220B92}" name="15168" dataDxfId="1442"/>
    <tableColumn id="14949" xr3:uid="{05F155C6-ADAB-49C1-B3D9-0839AB36B42A}" name="15169" dataDxfId="1441"/>
    <tableColumn id="14950" xr3:uid="{AA3E6177-E7A2-401C-8253-59E3745C6EBC}" name="15170" dataDxfId="1440"/>
    <tableColumn id="14951" xr3:uid="{6AD0F9A4-0AF0-4000-A6E6-0D72E0D50857}" name="15171" dataDxfId="1439"/>
    <tableColumn id="14952" xr3:uid="{EFF1B8BB-FDCA-4C34-BC44-8B5FEA66628F}" name="15172" dataDxfId="1438"/>
    <tableColumn id="14953" xr3:uid="{1ACB87E3-2BE9-4DF1-AFE5-9B19E6602F8C}" name="15173" dataDxfId="1437"/>
    <tableColumn id="14954" xr3:uid="{1B410061-5807-4C0C-89F5-0B4BC4131E7B}" name="15174" dataDxfId="1436"/>
    <tableColumn id="14955" xr3:uid="{39320613-3F02-4282-B9BD-F0B1BF34794B}" name="15175" dataDxfId="1435"/>
    <tableColumn id="14956" xr3:uid="{0C6714B8-4F1B-4684-99EB-5C0F6F63756E}" name="15176" dataDxfId="1434"/>
    <tableColumn id="14957" xr3:uid="{BACBBD87-FFE7-4E7D-99C9-2DD76876229E}" name="15177" dataDxfId="1433"/>
    <tableColumn id="14958" xr3:uid="{88F83107-C04E-4C01-8A1D-EDDB4BFADF38}" name="15178" dataDxfId="1432"/>
    <tableColumn id="14959" xr3:uid="{C85A0B18-7722-4415-BF11-54C696FB9018}" name="15179" dataDxfId="1431"/>
    <tableColumn id="14960" xr3:uid="{860CFCDC-1DFA-4ACA-9032-043BE0BAB162}" name="15180" dataDxfId="1430"/>
    <tableColumn id="14961" xr3:uid="{7491974C-B097-407B-A44C-58CF60DB5F72}" name="15181" dataDxfId="1429"/>
    <tableColumn id="14962" xr3:uid="{4B11B0F0-1D34-4980-B197-FFF784F84C1A}" name="15182" dataDxfId="1428"/>
    <tableColumn id="14963" xr3:uid="{D8465C1C-2CF9-4FD2-8662-15AA01F9ACAE}" name="15183" dataDxfId="1427"/>
    <tableColumn id="14964" xr3:uid="{55BC7C40-1C84-4B0F-9F82-DFADBFB5F727}" name="15184" dataDxfId="1426"/>
    <tableColumn id="14965" xr3:uid="{585185B3-EBCE-48BE-A8F2-35FFE17B6708}" name="15185" dataDxfId="1425"/>
    <tableColumn id="14966" xr3:uid="{D691DDFD-189B-47B3-A90D-69EB7AB6F645}" name="15186" dataDxfId="1424"/>
    <tableColumn id="14967" xr3:uid="{8B1FEEB3-A42A-4614-9A12-78266664C4E9}" name="15187" dataDxfId="1423"/>
    <tableColumn id="14968" xr3:uid="{1DE2174D-6069-4CB3-AB57-BFD521A1CF55}" name="15188" dataDxfId="1422"/>
    <tableColumn id="14969" xr3:uid="{370096C8-2314-452F-B990-A99C5B29A5A8}" name="15189" dataDxfId="1421"/>
    <tableColumn id="14970" xr3:uid="{A858852B-F490-4D96-9F41-5F1E06AE9027}" name="15190" dataDxfId="1420"/>
    <tableColumn id="14971" xr3:uid="{9F086938-5B77-45B2-9C8B-00F05E400D37}" name="15191" dataDxfId="1419"/>
    <tableColumn id="14972" xr3:uid="{0C73F599-25E8-4B64-B9BE-94A4AECDA3FE}" name="15192" dataDxfId="1418"/>
    <tableColumn id="14973" xr3:uid="{1A3BB07A-B139-4A71-B1FA-A76838D20EE2}" name="15193" dataDxfId="1417"/>
    <tableColumn id="14974" xr3:uid="{9334A8D0-D77C-4654-842A-242520A180B1}" name="15194" dataDxfId="1416"/>
    <tableColumn id="14975" xr3:uid="{56ADB52F-B181-4C54-8D1C-72781C5D5EC2}" name="15195" dataDxfId="1415"/>
    <tableColumn id="14976" xr3:uid="{D02E2056-8838-4484-934C-39F41D8632E2}" name="15196" dataDxfId="1414"/>
    <tableColumn id="14977" xr3:uid="{4EE398EC-4782-4963-9FE9-7D1F307FB05E}" name="15197" dataDxfId="1413"/>
    <tableColumn id="14978" xr3:uid="{B476569B-440F-430D-B09F-E57ACBA08AC8}" name="15198" dataDxfId="1412"/>
    <tableColumn id="14979" xr3:uid="{B5B4CF75-8B28-4941-9939-BF8C81057BB8}" name="15199" dataDxfId="1411"/>
    <tableColumn id="14980" xr3:uid="{838CC338-3857-468D-8ECE-9F00EDF9EF55}" name="15200" dataDxfId="1410"/>
    <tableColumn id="14981" xr3:uid="{EF5652EA-4D5C-459E-BA9E-7292BD7F2EDE}" name="15201" dataDxfId="1409"/>
    <tableColumn id="14982" xr3:uid="{2686E0A3-9B82-41B8-8F96-1102D029F8C0}" name="15202" dataDxfId="1408"/>
    <tableColumn id="14983" xr3:uid="{21D1D905-5966-4F95-B463-7B9AC642EFE3}" name="15203" dataDxfId="1407"/>
    <tableColumn id="14984" xr3:uid="{662B52BD-53B4-4288-BBFC-557FE50C2368}" name="15204" dataDxfId="1406"/>
    <tableColumn id="14985" xr3:uid="{3BD7D2A5-E297-4EB0-AE47-10A22037FB27}" name="15205" dataDxfId="1405"/>
    <tableColumn id="14986" xr3:uid="{38F26EC8-D7A2-4AFD-9743-CF3E59EC1611}" name="15206" dataDxfId="1404"/>
    <tableColumn id="14987" xr3:uid="{082B83D7-F717-4CE7-BFB0-03F5702A7039}" name="15207" dataDxfId="1403"/>
    <tableColumn id="14988" xr3:uid="{8DCBACFF-E5E1-4163-A275-C8FA1E68E187}" name="15208" dataDxfId="1402"/>
    <tableColumn id="14989" xr3:uid="{9C277A66-D81E-45DF-B5D3-C1BF10A5A627}" name="15209" dataDxfId="1401"/>
    <tableColumn id="14990" xr3:uid="{78D92A99-99F0-4980-B7AF-2B53B91C7B67}" name="15210" dataDxfId="1400"/>
    <tableColumn id="14991" xr3:uid="{7D8C0BFA-15BB-441E-9C7D-A72D5C86743A}" name="15211" dataDxfId="1399"/>
    <tableColumn id="14992" xr3:uid="{10494BC5-094B-4EB0-ABB3-A9670D253AC4}" name="15212" dataDxfId="1398"/>
    <tableColumn id="14993" xr3:uid="{CD3FB88B-031D-46DC-BF80-74E4BB30AD3E}" name="15213" dataDxfId="1397"/>
    <tableColumn id="14994" xr3:uid="{6F01D688-E41F-4C7C-9B36-AB38F932F670}" name="15214" dataDxfId="1396"/>
    <tableColumn id="14995" xr3:uid="{6C25ADC3-D54C-4E09-9DA5-C80222DD35BB}" name="15215" dataDxfId="1395"/>
    <tableColumn id="14996" xr3:uid="{94FD4509-FDB9-4A8B-BB5E-1A6102771FDD}" name="15216" dataDxfId="1394"/>
    <tableColumn id="14997" xr3:uid="{69C28052-0358-4A7C-B9D9-FA66E2C5954A}" name="15217" dataDxfId="1393"/>
    <tableColumn id="14998" xr3:uid="{2D87AD2B-62BE-40BF-AC3C-CC8A3338B6F1}" name="15218" dataDxfId="1392"/>
    <tableColumn id="14999" xr3:uid="{1671C679-D983-4ED9-976C-A24E2471B095}" name="15219" dataDxfId="1391"/>
    <tableColumn id="15000" xr3:uid="{9768A0A8-7B4F-4644-9635-470F8F43899D}" name="15220" dataDxfId="1390"/>
    <tableColumn id="15001" xr3:uid="{D2394F9D-6D25-4690-A50C-CDEC4B8D0D4F}" name="15221" dataDxfId="1389"/>
    <tableColumn id="15002" xr3:uid="{0A0ED083-F9D6-4173-AA84-098B89FADF74}" name="15222" dataDxfId="1388"/>
    <tableColumn id="15003" xr3:uid="{8DBBA157-6A88-4E7F-BCF2-C80DE0F99216}" name="15223" dataDxfId="1387"/>
    <tableColumn id="15004" xr3:uid="{7B117F95-6868-406D-9E84-7577F9B919AA}" name="15224" dataDxfId="1386"/>
    <tableColumn id="15005" xr3:uid="{5876C64C-D809-4BE1-9A0E-69D482AEF777}" name="15225" dataDxfId="1385"/>
    <tableColumn id="15006" xr3:uid="{DEC5D06E-6918-49F4-8884-760121913F9C}" name="15226" dataDxfId="1384"/>
    <tableColumn id="15007" xr3:uid="{0C32938C-5212-42E0-915F-E7CE0C0362BD}" name="15227" dataDxfId="1383"/>
    <tableColumn id="15008" xr3:uid="{7A336E00-2442-4674-AD09-E0D4E35BCEFD}" name="15228" dataDxfId="1382"/>
    <tableColumn id="15009" xr3:uid="{56536E87-2A47-40AE-BC2E-C9E0C24A5B69}" name="15229" dataDxfId="1381"/>
    <tableColumn id="15010" xr3:uid="{8734DCC2-FBE9-4927-83A3-6AFEB7F8481F}" name="15230" dataDxfId="1380"/>
    <tableColumn id="15011" xr3:uid="{E299C0BD-B676-4D30-8F23-220F38EAAE11}" name="15231" dataDxfId="1379"/>
    <tableColumn id="15012" xr3:uid="{58464AA5-EEF3-49C0-921C-C271D324CBF2}" name="15232" dataDxfId="1378"/>
    <tableColumn id="15013" xr3:uid="{9C164E87-956D-4B27-B10E-CF2E0348C54A}" name="15233" dataDxfId="1377"/>
    <tableColumn id="15014" xr3:uid="{3577E7BD-D2B3-425A-8FFC-5F733A54D618}" name="15234" dataDxfId="1376"/>
    <tableColumn id="15015" xr3:uid="{C87E53CC-15B0-41C2-B31A-23D763003DAA}" name="15235" dataDxfId="1375"/>
    <tableColumn id="15016" xr3:uid="{5D46625B-4E68-43FC-9DA3-AED6B7CD8E1B}" name="15236" dataDxfId="1374"/>
    <tableColumn id="15017" xr3:uid="{50167FF3-9888-4F94-B1C5-38663F56B489}" name="15237" dataDxfId="1373"/>
    <tableColumn id="15018" xr3:uid="{8409A792-2E97-48EF-8B14-82698FA81899}" name="15238" dataDxfId="1372"/>
    <tableColumn id="15019" xr3:uid="{79296937-5152-4B3B-B03E-F025CEEB6BB7}" name="15239" dataDxfId="1371"/>
    <tableColumn id="15020" xr3:uid="{644CD6D0-395D-4568-B938-E6222F661FE0}" name="15240" dataDxfId="1370"/>
    <tableColumn id="15021" xr3:uid="{C02A3832-D427-4449-BF72-C3037ACA328B}" name="15241" dataDxfId="1369"/>
    <tableColumn id="15022" xr3:uid="{737A75C8-891E-4D42-8CA3-F16AFB507D0F}" name="15242" dataDxfId="1368"/>
    <tableColumn id="15023" xr3:uid="{071DD635-5B83-4C9B-BE4D-33824C2F092E}" name="15243" dataDxfId="1367"/>
    <tableColumn id="15024" xr3:uid="{64560516-EB57-4682-9443-27E59BF22020}" name="15244" dataDxfId="1366"/>
    <tableColumn id="15025" xr3:uid="{818B0714-100F-4289-A528-32986E95E292}" name="15245" dataDxfId="1365"/>
    <tableColumn id="15026" xr3:uid="{97C3A53D-AC47-4F29-B4BE-1EE389BAEC52}" name="15246" dataDxfId="1364"/>
    <tableColumn id="15027" xr3:uid="{F8A4CDA0-032C-48D6-A4AE-B7FEEDE97E70}" name="15247" dataDxfId="1363"/>
    <tableColumn id="15028" xr3:uid="{81572E1E-D269-41EA-843B-62F14A66854F}" name="15248" dataDxfId="1362"/>
    <tableColumn id="15029" xr3:uid="{DAFCC7DC-39AB-43AB-8E54-CE72D0848565}" name="15249" dataDxfId="1361"/>
    <tableColumn id="15030" xr3:uid="{CFF31E8A-6330-41E9-9B4E-4D484463888F}" name="15250" dataDxfId="1360"/>
    <tableColumn id="15031" xr3:uid="{70173E66-AAA3-409A-B0E0-37D88F095F52}" name="15251" dataDxfId="1359"/>
    <tableColumn id="15032" xr3:uid="{DA8C7CED-F0E7-4243-93B0-825A22937AB7}" name="15252" dataDxfId="1358"/>
    <tableColumn id="15033" xr3:uid="{172588EE-54D2-4DC1-87E8-355C1D06E680}" name="15253" dataDxfId="1357"/>
    <tableColumn id="15034" xr3:uid="{D226861A-F3C6-4A53-9356-80BF83740143}" name="15254" dataDxfId="1356"/>
    <tableColumn id="15035" xr3:uid="{36140593-5EF7-48DC-BCE6-40A79C48E505}" name="15255" dataDxfId="1355"/>
    <tableColumn id="15036" xr3:uid="{E28D450C-D164-47D1-A170-FB2C61015154}" name="15256" dataDxfId="1354"/>
    <tableColumn id="15037" xr3:uid="{F3A853F8-1DC1-4500-A530-65FA0BFC852C}" name="15257" dataDxfId="1353"/>
    <tableColumn id="15038" xr3:uid="{6DF5702A-082D-4AE6-B501-F1495BAF9854}" name="15258" dataDxfId="1352"/>
    <tableColumn id="15039" xr3:uid="{4C127B32-40E3-45A3-BEA5-8E88434BD8BD}" name="15259" dataDxfId="1351"/>
    <tableColumn id="15040" xr3:uid="{4E2E7618-357D-4A7E-B737-37B12D9E621D}" name="15260" dataDxfId="1350"/>
    <tableColumn id="15041" xr3:uid="{5F48798C-CC4A-4DC0-8F35-1F64E71DE5B9}" name="15261" dataDxfId="1349"/>
    <tableColumn id="15042" xr3:uid="{215EB0B8-4A45-409D-8D60-5FA6C6809528}" name="15262" dataDxfId="1348"/>
    <tableColumn id="15043" xr3:uid="{8DA84BD1-B482-4BE3-8D69-38972548AD32}" name="15263" dataDxfId="1347"/>
    <tableColumn id="15044" xr3:uid="{9CC27EAE-768E-402D-AA64-67AE9F08A415}" name="15264" dataDxfId="1346"/>
    <tableColumn id="15045" xr3:uid="{DEEC3585-8197-45EE-AE3C-FBBDFA675F20}" name="15265" dataDxfId="1345"/>
    <tableColumn id="15046" xr3:uid="{4ADAAAE2-1484-41CB-8FC5-B6893BA31656}" name="15266" dataDxfId="1344"/>
    <tableColumn id="15047" xr3:uid="{C50637E2-09D6-4EE8-93E2-414AAED02454}" name="15267" dataDxfId="1343"/>
    <tableColumn id="15048" xr3:uid="{D3569367-1A2E-4321-90C4-542F21C56482}" name="15268" dataDxfId="1342"/>
    <tableColumn id="15049" xr3:uid="{68C40B13-2389-4446-913F-D23AB129FBA2}" name="15269" dataDxfId="1341"/>
    <tableColumn id="15050" xr3:uid="{4CCEE60D-D12A-457F-9679-CE6D9841B1AB}" name="15270" dataDxfId="1340"/>
    <tableColumn id="15051" xr3:uid="{8A6EB8E8-A904-4720-AC6C-75F847DEC08A}" name="15271" dataDxfId="1339"/>
    <tableColumn id="15052" xr3:uid="{8480C565-4159-45AA-8528-1E2DAFA398B2}" name="15272" dataDxfId="1338"/>
    <tableColumn id="15053" xr3:uid="{6FE9D568-B29C-43DA-A528-7F55C403B8C2}" name="15273" dataDxfId="1337"/>
    <tableColumn id="15054" xr3:uid="{8C66A191-0014-4023-8E51-8C6F7647380E}" name="15274" dataDxfId="1336"/>
    <tableColumn id="15055" xr3:uid="{7C641D31-9B27-4C79-8982-FDCEA18B30F2}" name="15275" dataDxfId="1335"/>
    <tableColumn id="15056" xr3:uid="{06A35E6F-16C6-4ABE-B63C-B6CB956D90EB}" name="15276" dataDxfId="1334"/>
    <tableColumn id="15057" xr3:uid="{8721152B-E71C-4815-9391-681FEBF856FA}" name="15277" dataDxfId="1333"/>
    <tableColumn id="15058" xr3:uid="{5DC0EC2E-8495-4616-8F98-AB894CAAD5ED}" name="15278" dataDxfId="1332"/>
    <tableColumn id="15059" xr3:uid="{E5CD19CC-460F-4E67-B6FE-6FF59E20AFAE}" name="15279" dataDxfId="1331"/>
    <tableColumn id="15060" xr3:uid="{52CAE287-4A4B-4101-BDE8-7DB7D756B5F1}" name="15280" dataDxfId="1330"/>
    <tableColumn id="15061" xr3:uid="{C3D78415-EC54-4190-80DA-6F5434CAE7D3}" name="15281" dataDxfId="1329"/>
    <tableColumn id="15062" xr3:uid="{EB8C696E-1D41-43E3-B5FB-3125C45C0572}" name="15282" dataDxfId="1328"/>
    <tableColumn id="15063" xr3:uid="{7B10D394-BC1B-4BF1-B979-21D8AC451FD8}" name="15283" dataDxfId="1327"/>
    <tableColumn id="15064" xr3:uid="{D3964A44-4970-4DEF-9E5D-110083BC9430}" name="15284" dataDxfId="1326"/>
    <tableColumn id="15065" xr3:uid="{D37FDB1B-8F89-4DC9-91C6-037174640DF8}" name="15285" dataDxfId="1325"/>
    <tableColumn id="15066" xr3:uid="{222D1B12-7DD7-4DC3-8C61-F520BF0828E6}" name="15286" dataDxfId="1324"/>
    <tableColumn id="15067" xr3:uid="{2369F649-5C6F-4A7F-86B0-70FA5433E2E5}" name="15287" dataDxfId="1323"/>
    <tableColumn id="15068" xr3:uid="{3AA0BB20-3AEC-439C-85D8-BDF997F0D896}" name="15288" dataDxfId="1322"/>
    <tableColumn id="15069" xr3:uid="{8A1EE5C5-7D1A-48CD-9F7F-B69A0AEADCBF}" name="15289" dataDxfId="1321"/>
    <tableColumn id="15070" xr3:uid="{1E77F64E-6A6B-46FA-9375-3D3C6DE90F06}" name="15290" dataDxfId="1320"/>
    <tableColumn id="15071" xr3:uid="{43CA3198-AFA4-419A-A563-2E8CAA057831}" name="15291" dataDxfId="1319"/>
    <tableColumn id="15072" xr3:uid="{8CB339E4-CD3D-4A57-9D9F-BD71D6B948F9}" name="15292" dataDxfId="1318"/>
    <tableColumn id="15073" xr3:uid="{377AB9F0-B035-4CD6-911E-74AF0889B2D0}" name="15293" dataDxfId="1317"/>
    <tableColumn id="15074" xr3:uid="{CF3F8A96-D420-4322-9E69-5341A162477C}" name="15294" dataDxfId="1316"/>
    <tableColumn id="15075" xr3:uid="{A3D151A9-4E7E-42DF-BBB6-8CEA422E3724}" name="15295" dataDxfId="1315"/>
    <tableColumn id="15076" xr3:uid="{28B4BFDC-48E6-4F67-95EC-90CF07E10E61}" name="15296" dataDxfId="1314"/>
    <tableColumn id="15077" xr3:uid="{99521568-3E6D-478E-AF5B-F0AD70A6BE42}" name="15297" dataDxfId="1313"/>
    <tableColumn id="15078" xr3:uid="{13FFF242-BE87-4077-9EC2-EEEED8059568}" name="15298" dataDxfId="1312"/>
    <tableColumn id="15079" xr3:uid="{90840D03-51C4-44C5-8E66-2A11580A8646}" name="15299" dataDxfId="1311"/>
    <tableColumn id="15080" xr3:uid="{CEC7BB05-5331-4AA6-9EEA-FA1566C09A79}" name="15300" dataDxfId="1310"/>
    <tableColumn id="15081" xr3:uid="{1458087F-3F62-4AB7-9F7A-3ACF4CEBCA49}" name="15301" dataDxfId="1309"/>
    <tableColumn id="15082" xr3:uid="{30126337-5F03-46A8-BBCE-37524E7918C2}" name="15302" dataDxfId="1308"/>
    <tableColumn id="15083" xr3:uid="{3D20B7F0-93AE-4B1D-9A3A-3FE7188FBF9E}" name="15303" dataDxfId="1307"/>
    <tableColumn id="15084" xr3:uid="{6D5B9953-C253-4FDD-A185-9CFF8F66CEC1}" name="15304" dataDxfId="1306"/>
    <tableColumn id="15085" xr3:uid="{C20CEC28-D3F2-491E-82CF-370D842B2A77}" name="15305" dataDxfId="1305"/>
    <tableColumn id="15086" xr3:uid="{E827AF91-7BC2-4A0C-AB45-F0678850F681}" name="15306" dataDxfId="1304"/>
    <tableColumn id="15087" xr3:uid="{BB2A400B-D6A7-4026-A61A-4A51A8D893FE}" name="15307" dataDxfId="1303"/>
    <tableColumn id="15088" xr3:uid="{22B2051B-1C63-4A91-8D47-94BD09BA1396}" name="15308" dataDxfId="1302"/>
    <tableColumn id="15089" xr3:uid="{0149D649-2A1C-4CB7-9AA4-7D34E8ED61F5}" name="15309" dataDxfId="1301"/>
    <tableColumn id="15090" xr3:uid="{5815B3D7-C7F0-40DA-934E-D81926BE45CF}" name="15310" dataDxfId="1300"/>
    <tableColumn id="15091" xr3:uid="{129B2157-7E92-4262-A30F-D53DD4155F9D}" name="15311" dataDxfId="1299"/>
    <tableColumn id="15092" xr3:uid="{CB7FBC91-FBEA-4701-A1E6-A115C29007F2}" name="15312" dataDxfId="1298"/>
    <tableColumn id="15093" xr3:uid="{5E197ACF-4EFB-492F-8329-953188D5704C}" name="15313" dataDxfId="1297"/>
    <tableColumn id="15094" xr3:uid="{40FED485-0F30-4604-8928-4249E034B26C}" name="15314" dataDxfId="1296"/>
    <tableColumn id="15095" xr3:uid="{E1480639-BDA9-4B64-857A-C91963968FFD}" name="15315" dataDxfId="1295"/>
    <tableColumn id="15096" xr3:uid="{A3AE1E72-F664-4435-BCEC-C1EBE948CDDB}" name="15316" dataDxfId="1294"/>
    <tableColumn id="15097" xr3:uid="{F014062E-BA45-4135-90E5-69CC69214E96}" name="15317" dataDxfId="1293"/>
    <tableColumn id="15098" xr3:uid="{E755A381-AE28-4A10-A3FF-AA15CAAD758C}" name="15318" dataDxfId="1292"/>
    <tableColumn id="15099" xr3:uid="{F1328C4E-2A7F-4E4E-B1F4-F6FCBEA8070F}" name="15319" dataDxfId="1291"/>
    <tableColumn id="15100" xr3:uid="{695E7C0E-C490-45A2-BF15-E54BC18FA7AC}" name="15320" dataDxfId="1290"/>
    <tableColumn id="15101" xr3:uid="{8FCE459A-AACB-42E8-A724-9C6EBF9CAC7C}" name="15321" dataDxfId="1289"/>
    <tableColumn id="15102" xr3:uid="{33D7DC31-15B1-492F-921C-E10509460185}" name="15322" dataDxfId="1288"/>
    <tableColumn id="15103" xr3:uid="{13A56201-4FFA-41E3-BBBD-20661FD5DD3E}" name="15323" dataDxfId="1287"/>
    <tableColumn id="15104" xr3:uid="{9B170501-7BF0-496E-B781-3C54ADAF0316}" name="15324" dataDxfId="1286"/>
    <tableColumn id="15105" xr3:uid="{42CD4FB2-2395-4B53-8A62-71BD0019CED1}" name="15325" dataDxfId="1285"/>
    <tableColumn id="15106" xr3:uid="{455F7DC6-58DE-4EAA-8A63-12DD4520D21C}" name="15326" dataDxfId="1284"/>
    <tableColumn id="15107" xr3:uid="{D8D364CA-7C51-417D-AB2C-E4343A0EFFCA}" name="15327" dataDxfId="1283"/>
    <tableColumn id="15108" xr3:uid="{B7FB51A9-92E3-4B06-81A0-B699BEB15F55}" name="15328" dataDxfId="1282"/>
    <tableColumn id="15109" xr3:uid="{307DF527-304B-43CA-85AB-064E3371F4F3}" name="15329" dataDxfId="1281"/>
    <tableColumn id="15110" xr3:uid="{FA8F6218-6B69-44C3-B534-C2686C3068B6}" name="15330" dataDxfId="1280"/>
    <tableColumn id="15111" xr3:uid="{0B26877E-CB0F-44B9-BE3D-2B9B6139809A}" name="15331" dataDxfId="1279"/>
    <tableColumn id="15112" xr3:uid="{48509CE2-A174-4837-9634-EAF761369809}" name="15332" dataDxfId="1278"/>
    <tableColumn id="15113" xr3:uid="{06453039-58CE-41C4-B662-E7EDF107D80D}" name="15333" dataDxfId="1277"/>
    <tableColumn id="15114" xr3:uid="{A4965A55-80BC-4DA9-B8E2-57BB3F3B3491}" name="15334" dataDxfId="1276"/>
    <tableColumn id="15115" xr3:uid="{7968CF0E-AE08-4952-B125-E0F0B78C7A1C}" name="15335" dataDxfId="1275"/>
    <tableColumn id="15116" xr3:uid="{B6785DB1-B260-46E7-A3AE-2FAB990BD983}" name="15336" dataDxfId="1274"/>
    <tableColumn id="15117" xr3:uid="{447F3E27-A713-4ED1-91D4-E1F709E6483A}" name="15337" dataDxfId="1273"/>
    <tableColumn id="15118" xr3:uid="{98AE74C3-2C0E-4F23-91ED-B14BEA3B4A41}" name="15338" dataDxfId="1272"/>
    <tableColumn id="15119" xr3:uid="{FAAE4536-C7FD-408C-B5EF-0195ED3E8AF4}" name="15339" dataDxfId="1271"/>
    <tableColumn id="15120" xr3:uid="{A18E1DC4-E5A9-44FE-9572-1D577DB42A4C}" name="15340" dataDxfId="1270"/>
    <tableColumn id="15121" xr3:uid="{80BF2B39-855B-4631-91D8-F7C707748459}" name="15341" dataDxfId="1269"/>
    <tableColumn id="15122" xr3:uid="{569A50B8-EBB1-4DDE-848B-11E22DDDCB25}" name="15342" dataDxfId="1268"/>
    <tableColumn id="15123" xr3:uid="{B35A122F-9384-4E30-90C1-4027BB7D2943}" name="15343" dataDxfId="1267"/>
    <tableColumn id="15124" xr3:uid="{7298B299-060A-49F8-A2CA-7BB2CFB778B5}" name="15344" dataDxfId="1266"/>
    <tableColumn id="15125" xr3:uid="{BCA742E6-8CE3-473D-99AB-C5797E090A09}" name="15345" dataDxfId="1265"/>
    <tableColumn id="15126" xr3:uid="{BEDD5E84-6C39-42C4-ACCE-AAA080456B7D}" name="15346" dataDxfId="1264"/>
    <tableColumn id="15127" xr3:uid="{D6B2EDB1-48E6-498F-BA13-79D309885A0A}" name="15347" dataDxfId="1263"/>
    <tableColumn id="15128" xr3:uid="{DF946C12-4C08-4BF0-83AB-B23E7F9A362F}" name="15348" dataDxfId="1262"/>
    <tableColumn id="15129" xr3:uid="{B5AEE6DF-AF0E-4B70-B384-F3F5679AB288}" name="15349" dataDxfId="1261"/>
    <tableColumn id="15130" xr3:uid="{F4B652E0-85B9-4C6B-A72B-3F309935208B}" name="15350" dataDxfId="1260"/>
    <tableColumn id="15131" xr3:uid="{7629D194-FD43-4FBE-9355-B0F41C3C1CE2}" name="15351" dataDxfId="1259"/>
    <tableColumn id="15132" xr3:uid="{56ECD66C-84FD-47D2-A9AF-14C0931705DB}" name="15352" dataDxfId="1258"/>
    <tableColumn id="15133" xr3:uid="{588761BF-317E-498A-9D8D-0E32E2D01352}" name="15353" dataDxfId="1257"/>
    <tableColumn id="15134" xr3:uid="{63AB2CDA-330A-4533-A879-40E998B3E4C7}" name="15354" dataDxfId="1256"/>
    <tableColumn id="15135" xr3:uid="{A62ED434-44A3-4049-9387-3D731343880B}" name="15355" dataDxfId="1255"/>
    <tableColumn id="15136" xr3:uid="{99DB601B-B452-4DB4-9811-F9E4B0685BBE}" name="15356" dataDxfId="1254"/>
    <tableColumn id="15137" xr3:uid="{1A51F367-07D3-4EAD-87B6-208D30E53284}" name="15357" dataDxfId="1253"/>
    <tableColumn id="15138" xr3:uid="{42F7C061-462A-467A-9D48-9040DEB7CCE9}" name="15358" dataDxfId="1252"/>
    <tableColumn id="15139" xr3:uid="{F3186DAD-241B-4E60-B90B-542D14D9B580}" name="15359" dataDxfId="1251"/>
    <tableColumn id="15140" xr3:uid="{D55C55A0-AE68-4791-ADEA-9D59D5653A6F}" name="15360" dataDxfId="1250"/>
    <tableColumn id="15141" xr3:uid="{7E1D6713-FC42-4505-AEB9-8BFE2550D4F6}" name="15361" dataDxfId="1249"/>
    <tableColumn id="15142" xr3:uid="{36616E25-9922-43C5-BE76-3C231CE94723}" name="15362" dataDxfId="1248"/>
    <tableColumn id="15143" xr3:uid="{35E4E094-DB7F-4366-A992-9C7E519D773F}" name="15363" dataDxfId="1247"/>
    <tableColumn id="15144" xr3:uid="{B6D0559F-90D3-4F24-B3C8-FCDDBE024A90}" name="15364" dataDxfId="1246"/>
    <tableColumn id="15145" xr3:uid="{7728BC61-B1F2-43D7-9585-189190D278FA}" name="15365" dataDxfId="1245"/>
    <tableColumn id="15146" xr3:uid="{A98D6754-9533-439C-8547-DD3EB34B6CC8}" name="15366" dataDxfId="1244"/>
    <tableColumn id="15147" xr3:uid="{6B3C22A6-3392-456E-8485-A7EC73E9495E}" name="15367" dataDxfId="1243"/>
    <tableColumn id="15148" xr3:uid="{251BE4DC-E471-4A7D-8C79-D94BB64DFD43}" name="15368" dataDxfId="1242"/>
    <tableColumn id="15149" xr3:uid="{EACDE08A-4FD6-486C-B44F-F0B0CA7982DB}" name="15369" dataDxfId="1241"/>
    <tableColumn id="15150" xr3:uid="{E64135D8-A274-4C13-8A1F-4F8C04C74ADE}" name="15370" dataDxfId="1240"/>
    <tableColumn id="15151" xr3:uid="{8BAFE44F-57A5-40A9-ADE9-8E081EF4BCCD}" name="15371" dataDxfId="1239"/>
    <tableColumn id="15152" xr3:uid="{16820A19-3898-4F69-BABB-96CF0CB1BC99}" name="15372" dataDxfId="1238"/>
    <tableColumn id="15153" xr3:uid="{E69A6670-0063-40E7-9903-74DE0D6CC650}" name="15373" dataDxfId="1237"/>
    <tableColumn id="15154" xr3:uid="{9FA08264-9A4C-4A56-BD00-EAE69035F63C}" name="15374" dataDxfId="1236"/>
    <tableColumn id="15155" xr3:uid="{AE83EEAC-AD69-496E-BABA-F433455E6D92}" name="15375" dataDxfId="1235"/>
    <tableColumn id="15156" xr3:uid="{409E3F53-8B38-47F1-8731-EB07964942DE}" name="15376" dataDxfId="1234"/>
    <tableColumn id="15157" xr3:uid="{DDA1A838-23E4-4863-9B88-6F731FBA54C0}" name="15377" dataDxfId="1233"/>
    <tableColumn id="15158" xr3:uid="{7EB0B8F8-402B-45C5-90D8-79B4DFE63A86}" name="15378" dataDxfId="1232"/>
    <tableColumn id="15159" xr3:uid="{D32CE4A5-1C11-4ADA-A252-3FA88A75D612}" name="15379" dataDxfId="1231"/>
    <tableColumn id="15160" xr3:uid="{BD36F36E-4EF6-4C27-A487-78454C0417F1}" name="15380" dataDxfId="1230"/>
    <tableColumn id="15161" xr3:uid="{987771C4-0167-4EAB-9FE7-3633A46FA650}" name="15381" dataDxfId="1229"/>
    <tableColumn id="15162" xr3:uid="{30167180-3402-454F-B7F8-9958A17D432A}" name="15382" dataDxfId="1228"/>
    <tableColumn id="15163" xr3:uid="{80E77D67-5B6D-418E-BC82-C46ACAEFB6F9}" name="15383" dataDxfId="1227"/>
    <tableColumn id="15164" xr3:uid="{1E763ED6-41E3-4DDF-AA25-CE00F50D0975}" name="15384" dataDxfId="1226"/>
    <tableColumn id="15165" xr3:uid="{72BE9EC7-A0B1-42F3-962C-3F439AADBC50}" name="15385" dataDxfId="1225"/>
    <tableColumn id="15166" xr3:uid="{C968AF68-78F3-42BF-8666-D0D527FF49FA}" name="15386" dataDxfId="1224"/>
    <tableColumn id="15167" xr3:uid="{93A0829D-25DE-4EFB-AE57-9683985D4DD8}" name="15387" dataDxfId="1223"/>
    <tableColumn id="15168" xr3:uid="{1895CD05-C701-4369-AC17-516DF0EAC541}" name="15388" dataDxfId="1222"/>
    <tableColumn id="15169" xr3:uid="{23B1B4A3-6238-4915-9596-DA9CF34B85A3}" name="15389" dataDxfId="1221"/>
    <tableColumn id="15170" xr3:uid="{C3B05FAA-50AC-456D-ADCD-AF1FEE6F42B5}" name="15390" dataDxfId="1220"/>
    <tableColumn id="15171" xr3:uid="{C985CDFA-CEFF-40EA-B988-8E2376545A75}" name="15391" dataDxfId="1219"/>
    <tableColumn id="15172" xr3:uid="{D19DDE4B-46E7-4A58-BF59-25207A48C2C2}" name="15392" dataDxfId="1218"/>
    <tableColumn id="15173" xr3:uid="{30A4F876-C711-4F79-8309-E8B44992FA3B}" name="15393" dataDxfId="1217"/>
    <tableColumn id="15174" xr3:uid="{9E5FE511-B717-4374-A50F-07BD4DB1DD4D}" name="15394" dataDxfId="1216"/>
    <tableColumn id="15175" xr3:uid="{75BC7F8E-0EBA-4D64-9526-DD6FB8B8C13D}" name="15395" dataDxfId="1215"/>
    <tableColumn id="15176" xr3:uid="{065845F9-9A93-4D64-97F9-374B182ED17E}" name="15396" dataDxfId="1214"/>
    <tableColumn id="15177" xr3:uid="{6B8A1991-F782-4A08-9E28-52EAA3EDDC9B}" name="15397" dataDxfId="1213"/>
    <tableColumn id="15178" xr3:uid="{AC64A287-1058-4752-97C7-A3917330E009}" name="15398" dataDxfId="1212"/>
    <tableColumn id="15179" xr3:uid="{A776F1BA-6E23-4A1E-B2DF-35A7D43904CF}" name="15399" dataDxfId="1211"/>
    <tableColumn id="15180" xr3:uid="{06BD6856-57D0-42CB-BC0D-21366A766FA8}" name="15400" dataDxfId="1210"/>
    <tableColumn id="15181" xr3:uid="{6B045A57-C103-4F0B-89AE-B174FD0F6BE8}" name="15401" dataDxfId="1209"/>
    <tableColumn id="15182" xr3:uid="{616796DB-D1BD-4E3F-9E54-1B523B0AC578}" name="15402" dataDxfId="1208"/>
    <tableColumn id="15183" xr3:uid="{C179FD13-C0C9-4FD4-A37C-700E8C1ABB23}" name="15403" dataDxfId="1207"/>
    <tableColumn id="15184" xr3:uid="{E70F21DA-45A3-4FCF-ABAD-F1CF05E1FACE}" name="15404" dataDxfId="1206"/>
    <tableColumn id="15185" xr3:uid="{B464C020-8AF3-42FB-B584-8347D5BED09C}" name="15405" dataDxfId="1205"/>
    <tableColumn id="15186" xr3:uid="{1004B608-39BD-4F7B-9E3F-BD4CF8A173FB}" name="15406" dataDxfId="1204"/>
    <tableColumn id="15187" xr3:uid="{0219F808-BD2D-4E87-B7C9-23F549EE63E9}" name="15407" dataDxfId="1203"/>
    <tableColumn id="15188" xr3:uid="{D3CE18A5-48BD-41D1-A7A7-035266E05AC6}" name="15408" dataDxfId="1202"/>
    <tableColumn id="15189" xr3:uid="{778A1CB7-DBDA-467C-AA64-123352F191A7}" name="15409" dataDxfId="1201"/>
    <tableColumn id="15190" xr3:uid="{1962443A-793E-4B87-B5AF-D4AF149B0FF8}" name="15410" dataDxfId="1200"/>
    <tableColumn id="15191" xr3:uid="{98FCA4A7-B9CF-47E4-B82A-EEF68CE25D26}" name="15411" dataDxfId="1199"/>
    <tableColumn id="15192" xr3:uid="{7468516B-8C5F-46FC-A159-D0AF1C349DD0}" name="15412" dataDxfId="1198"/>
    <tableColumn id="15193" xr3:uid="{FF7C7EB6-AE63-4988-866B-2BBA010A9924}" name="15413" dataDxfId="1197"/>
    <tableColumn id="15194" xr3:uid="{6B42C027-2E33-47F2-A93E-F702507A60A1}" name="15414" dataDxfId="1196"/>
    <tableColumn id="15195" xr3:uid="{2E26A6F3-46DB-4D37-B677-AF05830F7F9D}" name="15415" dataDxfId="1195"/>
    <tableColumn id="15196" xr3:uid="{94456C9B-3289-4F2D-8423-4B2E21C1F400}" name="15416" dataDxfId="1194"/>
    <tableColumn id="15197" xr3:uid="{37D7139A-75FF-4528-B839-C0DA77E07D1F}" name="15417" dataDxfId="1193"/>
    <tableColumn id="15198" xr3:uid="{A4D7ABDD-CA78-4452-AF09-23E487C221AD}" name="15418" dataDxfId="1192"/>
    <tableColumn id="15199" xr3:uid="{99B39EFD-3477-40B0-AE05-E35B293566B4}" name="15419" dataDxfId="1191"/>
    <tableColumn id="15200" xr3:uid="{9586FD9F-AB5C-459E-ACD1-A72628BB40C1}" name="15420" dataDxfId="1190"/>
    <tableColumn id="15201" xr3:uid="{13DD8CD6-BA9E-49BF-B94A-3C0E69417CF8}" name="15421" dataDxfId="1189"/>
    <tableColumn id="15202" xr3:uid="{40007F20-FF23-4445-B5EB-B9BBF5A1B85B}" name="15422" dataDxfId="1188"/>
    <tableColumn id="15203" xr3:uid="{874539D5-172B-4DCD-A7FC-E847D7DEB3A8}" name="15423" dataDxfId="1187"/>
    <tableColumn id="15204" xr3:uid="{87B0922C-F35A-40BC-B087-B390704F7F16}" name="15424" dataDxfId="1186"/>
    <tableColumn id="15205" xr3:uid="{A7459737-DA82-40C5-AD82-6B13636843A1}" name="15425" dataDxfId="1185"/>
    <tableColumn id="15206" xr3:uid="{3CDE3D55-59E5-4BBD-9402-52BED5DCA02C}" name="15426" dataDxfId="1184"/>
    <tableColumn id="15207" xr3:uid="{506D80D1-0C89-4405-96E2-976AF7C6F8DB}" name="15427" dataDxfId="1183"/>
    <tableColumn id="15208" xr3:uid="{36C8BE6A-C09F-45A2-9535-06C30F65EFA8}" name="15428" dataDxfId="1182"/>
    <tableColumn id="15209" xr3:uid="{925DC7E3-40B6-4ABF-BE66-DFAB1D76F9DA}" name="15429" dataDxfId="1181"/>
    <tableColumn id="15210" xr3:uid="{ACC78552-5E46-45B1-8B1C-8E28F932F3DF}" name="15430" dataDxfId="1180"/>
    <tableColumn id="15211" xr3:uid="{8EC0690B-A96D-4FB8-AE1A-0575A3FE76BF}" name="15431" dataDxfId="1179"/>
    <tableColumn id="15212" xr3:uid="{7CF63464-C597-4572-A178-3ECF0A6DB41D}" name="15432" dataDxfId="1178"/>
    <tableColumn id="15213" xr3:uid="{CDA0C768-5F54-4CAE-9796-2013B389ABD6}" name="15433" dataDxfId="1177"/>
    <tableColumn id="15214" xr3:uid="{DE574BF9-D0E4-4FA3-B9C5-B476646E6843}" name="15434" dataDxfId="1176"/>
    <tableColumn id="15215" xr3:uid="{4009A04B-A421-4855-93D0-0FF8AE3AA5F8}" name="15435" dataDxfId="1175"/>
    <tableColumn id="15216" xr3:uid="{115A886E-ECE8-498F-9A5D-3EFB42E3B004}" name="15436" dataDxfId="1174"/>
    <tableColumn id="15217" xr3:uid="{49807B2F-5832-4D05-B9E9-8B5B018311DE}" name="15437" dataDxfId="1173"/>
    <tableColumn id="15218" xr3:uid="{CBA4B56B-4B8C-4393-B076-F8D42984CA19}" name="15438" dataDxfId="1172"/>
    <tableColumn id="15219" xr3:uid="{66E979D5-9DC3-4650-A6A5-AF99356E60FA}" name="15439" dataDxfId="1171"/>
    <tableColumn id="15220" xr3:uid="{E43001CE-F4C7-4DD3-9564-4431F86E9A21}" name="15440" dataDxfId="1170"/>
    <tableColumn id="15221" xr3:uid="{88565AE6-0873-4539-B47F-BB2B28E39552}" name="15441" dataDxfId="1169"/>
    <tableColumn id="15222" xr3:uid="{2E333CD5-A25C-4376-AC85-FC09C5FDD051}" name="15442" dataDxfId="1168"/>
    <tableColumn id="15223" xr3:uid="{2200DF93-A72B-4862-8357-E83CD1DC1D4E}" name="15443" dataDxfId="1167"/>
    <tableColumn id="15224" xr3:uid="{3FB01033-75DC-436A-92FB-5E0458F0AC47}" name="15444" dataDxfId="1166"/>
    <tableColumn id="15225" xr3:uid="{FFB84BEC-F283-4A0C-BD1A-2E23F3C0F419}" name="15445" dataDxfId="1165"/>
    <tableColumn id="15226" xr3:uid="{10CFB983-B865-403D-880C-E33C21B309D7}" name="15446" dataDxfId="1164"/>
    <tableColumn id="15227" xr3:uid="{C6719A1D-82DF-4109-BFA9-67AB181A088B}" name="15447" dataDxfId="1163"/>
    <tableColumn id="15228" xr3:uid="{61AC3EAC-8C5A-4798-9F08-6D164688F0A9}" name="15448" dataDxfId="1162"/>
    <tableColumn id="15229" xr3:uid="{7CBAE524-D958-4941-93B2-A531653BA8C6}" name="15449" dataDxfId="1161"/>
    <tableColumn id="15230" xr3:uid="{21809426-B7CC-4CB9-BB40-9BD01F468474}" name="15450" dataDxfId="1160"/>
    <tableColumn id="15231" xr3:uid="{23AD2816-DDC5-4CC1-91FA-6E794E20FA6F}" name="15451" dataDxfId="1159"/>
    <tableColumn id="15232" xr3:uid="{46E3C42D-53A6-469F-B847-73C3B8530B3E}" name="15452" dataDxfId="1158"/>
    <tableColumn id="15233" xr3:uid="{8C966E49-A90B-4505-B2C5-BB5E4D998958}" name="15453" dataDxfId="1157"/>
    <tableColumn id="15234" xr3:uid="{32F507B0-DDA4-46FD-A035-56BACDA66E82}" name="15454" dataDxfId="1156"/>
    <tableColumn id="15235" xr3:uid="{2E66DD88-5F86-4CEC-B7FD-D47FF0FF4901}" name="15455" dataDxfId="1155"/>
    <tableColumn id="15236" xr3:uid="{D5431AF5-BC2A-406C-AAC3-45F9D3360D89}" name="15456" dataDxfId="1154"/>
    <tableColumn id="15237" xr3:uid="{F115E2A0-7010-48C1-9EA3-8332CE0FC53F}" name="15457" dataDxfId="1153"/>
    <tableColumn id="15238" xr3:uid="{59E4254C-4611-4738-85B2-E0D33CCCF7A0}" name="15458" dataDxfId="1152"/>
    <tableColumn id="15239" xr3:uid="{60106C54-8377-463F-9472-394B41633D81}" name="15459" dataDxfId="1151"/>
    <tableColumn id="15240" xr3:uid="{B2BA9132-4B48-45A2-8649-3A6F65E6335C}" name="15460" dataDxfId="1150"/>
    <tableColumn id="15241" xr3:uid="{EA4EA437-4D58-49E5-A980-E7A84C40641A}" name="15461" dataDxfId="1149"/>
    <tableColumn id="15242" xr3:uid="{8A445BA7-2CA0-4A10-94B3-39E116F760C7}" name="15462" dataDxfId="1148"/>
    <tableColumn id="15243" xr3:uid="{DF276B9D-21C0-4A30-BC0B-3DF6BF1ED211}" name="15463" dataDxfId="1147"/>
    <tableColumn id="15244" xr3:uid="{E76030D3-A3FB-426F-9405-635BA67198E5}" name="15464" dataDxfId="1146"/>
    <tableColumn id="15245" xr3:uid="{E90E2302-419B-41CA-823A-5341374CAFFB}" name="15465" dataDxfId="1145"/>
    <tableColumn id="15246" xr3:uid="{9CB47D02-A7A9-4E1C-BEAC-1BFAFD43E8B7}" name="15466" dataDxfId="1144"/>
    <tableColumn id="15247" xr3:uid="{1F88CD5C-AB9F-4140-A704-BC11A61C4996}" name="15467" dataDxfId="1143"/>
    <tableColumn id="15248" xr3:uid="{D903141C-B145-4A6C-A87D-2E6BAEAE3092}" name="15468" dataDxfId="1142"/>
    <tableColumn id="15249" xr3:uid="{0120C940-8283-48D3-B725-91F8F71FFB12}" name="15469" dataDxfId="1141"/>
    <tableColumn id="15250" xr3:uid="{4FD09F8B-BD84-4507-9FA4-22F47992CF0D}" name="15470" dataDxfId="1140"/>
    <tableColumn id="15251" xr3:uid="{FE26A955-6250-4C21-93F0-33015C72198E}" name="15471" dataDxfId="1139"/>
    <tableColumn id="15252" xr3:uid="{BB40165D-9940-4C2A-AF92-85DDE8938531}" name="15472" dataDxfId="1138"/>
    <tableColumn id="15253" xr3:uid="{6682DFD8-89E2-420C-9548-B26C4D0DD5AB}" name="15473" dataDxfId="1137"/>
    <tableColumn id="15254" xr3:uid="{9D584629-BB77-4230-A2CA-01EFCB63CF98}" name="15474" dataDxfId="1136"/>
    <tableColumn id="15255" xr3:uid="{F54D0F3D-34EF-429D-9EA9-A587AD85DF7A}" name="15475" dataDxfId="1135"/>
    <tableColumn id="15256" xr3:uid="{0FEAF2C8-1C2B-429D-B10B-E56DDFEE88B9}" name="15476" dataDxfId="1134"/>
    <tableColumn id="15257" xr3:uid="{F33DFA2A-DA5B-4EBF-9DE7-F1EDAF932D64}" name="15477" dataDxfId="1133"/>
    <tableColumn id="15258" xr3:uid="{F29F191C-BE17-4CF3-81B6-ABDC88FA95F6}" name="15478" dataDxfId="1132"/>
    <tableColumn id="15259" xr3:uid="{D8DD17D7-9730-400E-9011-D14435797D0D}" name="15479" dataDxfId="1131"/>
    <tableColumn id="15260" xr3:uid="{5BF98E8E-8E1E-4CD6-B3E1-D9F555624663}" name="15480" dataDxfId="1130"/>
    <tableColumn id="15261" xr3:uid="{CBC42F75-C52A-408D-8B47-F6AE573DDE0D}" name="15481" dataDxfId="1129"/>
    <tableColumn id="15262" xr3:uid="{873FD245-0F66-469A-91D1-877EA016C3EB}" name="15482" dataDxfId="1128"/>
    <tableColumn id="15263" xr3:uid="{C79E8D26-E656-486C-9654-72D48726D2DE}" name="15483" dataDxfId="1127"/>
    <tableColumn id="15264" xr3:uid="{111E95AD-E8F2-4C67-A765-FCC6F311BEF8}" name="15484" dataDxfId="1126"/>
    <tableColumn id="15265" xr3:uid="{5087F62D-8464-45A5-B43C-5C2A99DC95CF}" name="15485" dataDxfId="1125"/>
    <tableColumn id="15266" xr3:uid="{38EB3FE0-73CE-4796-B1B6-21935BDB0936}" name="15486" dataDxfId="1124"/>
    <tableColumn id="15267" xr3:uid="{AE740CD1-8BC8-4057-AF5D-47DD969A89B7}" name="15487" dataDxfId="1123"/>
    <tableColumn id="15268" xr3:uid="{0A666025-C38C-4F21-ACBA-235FE0E822FF}" name="15488" dataDxfId="1122"/>
    <tableColumn id="15269" xr3:uid="{3C2C7A20-AA73-4ACB-A999-DA50467DA8FB}" name="15489" dataDxfId="1121"/>
    <tableColumn id="15270" xr3:uid="{873CEF84-7D9B-4D96-97FB-7E92A076699F}" name="15490" dataDxfId="1120"/>
    <tableColumn id="15271" xr3:uid="{F1E1A094-FAEB-4508-986D-40CE1F0E11DC}" name="15491" dataDxfId="1119"/>
    <tableColumn id="15272" xr3:uid="{9760E036-58FC-4495-BDFC-A50A1575617D}" name="15492" dataDxfId="1118"/>
    <tableColumn id="15273" xr3:uid="{0B9FAAB9-871E-4905-B612-517E0C390704}" name="15493" dataDxfId="1117"/>
    <tableColumn id="15274" xr3:uid="{8CAC0CBD-6F11-4AD0-A13F-F3B56C41694D}" name="15494" dataDxfId="1116"/>
    <tableColumn id="15275" xr3:uid="{C3A97C8A-C0AE-40AF-95AE-FDD299F857E1}" name="15495" dataDxfId="1115"/>
    <tableColumn id="15276" xr3:uid="{782213AA-51DD-4135-B76A-3C99A78D2641}" name="15496" dataDxfId="1114"/>
    <tableColumn id="15277" xr3:uid="{F2EC2541-B432-401E-BE11-87BF53BDA703}" name="15497" dataDxfId="1113"/>
    <tableColumn id="15278" xr3:uid="{6A5BFD47-0327-45F1-B98A-ABB74660216A}" name="15498" dataDxfId="1112"/>
    <tableColumn id="15279" xr3:uid="{A290ED90-2161-4A03-BF2A-B1E4CE6DD571}" name="15499" dataDxfId="1111"/>
    <tableColumn id="15280" xr3:uid="{FC7C76DD-CE59-49E1-B714-917996B8E463}" name="15500" dataDxfId="1110"/>
    <tableColumn id="15281" xr3:uid="{FC99BC2A-82F1-4537-AE9F-4D0729298892}" name="15501" dataDxfId="1109"/>
    <tableColumn id="15282" xr3:uid="{AA6944BF-C5D6-42B5-B007-64D01C67F0F1}" name="15502" dataDxfId="1108"/>
    <tableColumn id="15283" xr3:uid="{DA8F519B-8F4C-4415-986E-EC7A03DE5BBB}" name="15503" dataDxfId="1107"/>
    <tableColumn id="15284" xr3:uid="{08FB8C32-616E-4A2E-9D46-2D021CA6329A}" name="15504" dataDxfId="1106"/>
    <tableColumn id="15285" xr3:uid="{B872FD24-D438-487A-911A-6A47B44606C3}" name="15505" dataDxfId="1105"/>
    <tableColumn id="15286" xr3:uid="{8492C44D-77EC-43AB-BCD2-BBFB9B8D6D86}" name="15506" dataDxfId="1104"/>
    <tableColumn id="15287" xr3:uid="{65E70798-B5D7-431E-8C23-23A64B31927A}" name="15507" dataDxfId="1103"/>
    <tableColumn id="15288" xr3:uid="{A401FE63-B320-4247-AD50-894AA4FCA310}" name="15508" dataDxfId="1102"/>
    <tableColumn id="15289" xr3:uid="{E1A27AEF-AC91-4CBC-9B7A-9438DEE9294E}" name="15509" dataDxfId="1101"/>
    <tableColumn id="15290" xr3:uid="{A4F20E1C-AA9D-4309-8878-B06B8F2241E0}" name="15510" dataDxfId="1100"/>
    <tableColumn id="15291" xr3:uid="{231C9B98-71D0-44E5-822D-8FE7A01E30F8}" name="15511" dataDxfId="1099"/>
    <tableColumn id="15292" xr3:uid="{24C06863-6681-425B-A552-F2F9745CFA6F}" name="15512" dataDxfId="1098"/>
    <tableColumn id="15293" xr3:uid="{9F67164B-5176-4970-A3FC-08A6216BDB9A}" name="15513" dataDxfId="1097"/>
    <tableColumn id="15294" xr3:uid="{FD57364B-D4EA-4B0E-B143-FCC6FB11632D}" name="15514" dataDxfId="1096"/>
    <tableColumn id="15295" xr3:uid="{491B489F-F18A-4AAB-B416-94974C42E841}" name="15515" dataDxfId="1095"/>
    <tableColumn id="15296" xr3:uid="{9FD1A7A1-25AB-4096-83F4-C7A6AE9D8162}" name="15516" dataDxfId="1094"/>
    <tableColumn id="15297" xr3:uid="{AE319566-7C94-47E3-9616-9F4E39CB7A12}" name="15517" dataDxfId="1093"/>
    <tableColumn id="15298" xr3:uid="{CA54F889-B378-46E3-8300-4D76F1018858}" name="15518" dataDxfId="1092"/>
    <tableColumn id="15299" xr3:uid="{779B7A84-DBB2-4650-8D41-9E72ADBF7D2D}" name="15519" dataDxfId="1091"/>
    <tableColumn id="15300" xr3:uid="{2AE5A7E8-825F-445B-AF53-1D875C8339CF}" name="15520" dataDxfId="1090"/>
    <tableColumn id="15301" xr3:uid="{6C49FAC9-76DA-456B-9AB5-C04A34DC3D1D}" name="15521" dataDxfId="1089"/>
    <tableColumn id="15302" xr3:uid="{CC7B3997-4EBB-4B05-BB3E-C1EC34413FB8}" name="15522" dataDxfId="1088"/>
    <tableColumn id="15303" xr3:uid="{FABF5FC8-C555-45B3-934D-A3FB85D80655}" name="15523" dataDxfId="1087"/>
    <tableColumn id="15304" xr3:uid="{FD306616-AE2A-4E0E-975B-702DD44517EF}" name="15524" dataDxfId="1086"/>
    <tableColumn id="15305" xr3:uid="{DE7C038A-42D8-48F5-8AB2-6277DA409F1C}" name="15525" dataDxfId="1085"/>
    <tableColumn id="15306" xr3:uid="{FDAF12BD-F730-4515-BD80-6960EC3D58C9}" name="15526" dataDxfId="1084"/>
    <tableColumn id="15307" xr3:uid="{14DF6BFF-5FA3-40D1-903B-73574E9EAB85}" name="15527" dataDxfId="1083"/>
    <tableColumn id="15308" xr3:uid="{A2188FFA-12B4-4249-ACF9-07366C9066E4}" name="15528" dataDxfId="1082"/>
    <tableColumn id="15309" xr3:uid="{8D30CD57-2E52-4427-8C9B-8F5CE92422F7}" name="15529" dataDxfId="1081"/>
    <tableColumn id="15310" xr3:uid="{430A8356-4A33-48F4-B3CB-0FA84E9C1123}" name="15530" dataDxfId="1080"/>
    <tableColumn id="15311" xr3:uid="{FA98493C-A119-4AFE-A4E5-B03D718A78F6}" name="15531" dataDxfId="1079"/>
    <tableColumn id="15312" xr3:uid="{798C2DB5-40F6-45BB-9FC8-F2A9D728C47F}" name="15532" dataDxfId="1078"/>
    <tableColumn id="15313" xr3:uid="{D76CAF76-0405-4D67-80BC-1B0A14B33710}" name="15533" dataDxfId="1077"/>
    <tableColumn id="15314" xr3:uid="{85568A42-2DAD-40E4-A2E7-DF8E2765E2C3}" name="15534" dataDxfId="1076"/>
    <tableColumn id="15315" xr3:uid="{4A6B382B-64CD-4B34-AA69-C9038E73C866}" name="15535" dataDxfId="1075"/>
    <tableColumn id="15316" xr3:uid="{078BD808-B030-4E36-80A2-D88565AE7D47}" name="15536" dataDxfId="1074"/>
    <tableColumn id="15317" xr3:uid="{D2233478-9C8B-42D8-A3C4-A820410EDADD}" name="15537" dataDxfId="1073"/>
    <tableColumn id="15318" xr3:uid="{D6E5BCCE-F774-4ABC-A9F1-3CBBED8F144B}" name="15538" dataDxfId="1072"/>
    <tableColumn id="15319" xr3:uid="{E0400050-458D-46BF-AA3E-16FDCEA98EA0}" name="15539" dataDxfId="1071"/>
    <tableColumn id="15320" xr3:uid="{B1C8F75C-9F47-49AA-8636-A8E745C5C429}" name="15540" dataDxfId="1070"/>
    <tableColumn id="15321" xr3:uid="{8AB89D02-09EB-43B6-ADC8-F192E01C3687}" name="15541" dataDxfId="1069"/>
    <tableColumn id="15322" xr3:uid="{A265DEAD-590F-41DD-81F1-F4DBE694B606}" name="15542" dataDxfId="1068"/>
    <tableColumn id="15323" xr3:uid="{D9B6973D-9A25-4110-AF9A-FE19DCDFEB1B}" name="15543" dataDxfId="1067"/>
    <tableColumn id="15324" xr3:uid="{54EB5D37-41A3-4A09-AEAA-B181F492E9A1}" name="15544" dataDxfId="1066"/>
    <tableColumn id="15325" xr3:uid="{6A885928-E4A7-44AF-B735-4C59DBC16591}" name="15545" dataDxfId="1065"/>
    <tableColumn id="15326" xr3:uid="{D41F429F-F3B3-4D08-ADB6-282F3EB9D803}" name="15546" dataDxfId="1064"/>
    <tableColumn id="15327" xr3:uid="{AC212FD8-B019-4195-B8B8-A30750F9DAD2}" name="15547" dataDxfId="1063"/>
    <tableColumn id="15328" xr3:uid="{26ACA5B5-FDB0-4027-80FB-5A51F99F846D}" name="15548" dataDxfId="1062"/>
    <tableColumn id="15329" xr3:uid="{863D6246-86F8-4409-ADF3-CF747BD7F6BE}" name="15549" dataDxfId="1061"/>
    <tableColumn id="15330" xr3:uid="{051B9902-2441-432A-983D-1941383E2A00}" name="15550" dataDxfId="1060"/>
    <tableColumn id="15331" xr3:uid="{06BE52CD-FC0F-4094-B7EE-422BE653F5B7}" name="15551" dataDxfId="1059"/>
    <tableColumn id="15332" xr3:uid="{9D104D42-A17F-468A-B93E-6A64AAAB3408}" name="15552" dataDxfId="1058"/>
    <tableColumn id="15333" xr3:uid="{83C76DB9-4982-4495-A270-A8A0DC952934}" name="15553" dataDxfId="1057"/>
    <tableColumn id="15334" xr3:uid="{5BC8CB68-67B0-48A5-8F72-45FC36A958A8}" name="15554" dataDxfId="1056"/>
    <tableColumn id="15335" xr3:uid="{8C57A238-7813-4DEE-8C47-CB8D8C4F7E9C}" name="15555" dataDxfId="1055"/>
    <tableColumn id="15336" xr3:uid="{44529AA9-0807-413F-B0BA-CF454DECB7A3}" name="15556" dataDxfId="1054"/>
    <tableColumn id="15337" xr3:uid="{A6C80BAC-4E10-42A4-B04F-E07A9BFB3F8F}" name="15557" dataDxfId="1053"/>
    <tableColumn id="15338" xr3:uid="{80B6AEDC-953A-44CB-9E04-8E4592A37C1E}" name="15558" dataDxfId="1052"/>
    <tableColumn id="15339" xr3:uid="{E8BF510E-D637-4667-9168-624588606B83}" name="15559" dataDxfId="1051"/>
    <tableColumn id="15340" xr3:uid="{8211B507-7389-4853-BD0B-707227019089}" name="15560" dataDxfId="1050"/>
    <tableColumn id="15341" xr3:uid="{3F9D44CB-2095-4D25-BA48-8F773CEF8F1C}" name="15561" dataDxfId="1049"/>
    <tableColumn id="15342" xr3:uid="{9F86130A-8D37-46E8-A18A-4FEFEE44B8ED}" name="15562" dataDxfId="1048"/>
    <tableColumn id="15343" xr3:uid="{8C22C26B-13A4-4ED6-801E-82F8D9B528D5}" name="15563" dataDxfId="1047"/>
    <tableColumn id="15344" xr3:uid="{2028A62F-EE87-4BC7-BC00-B609747C0832}" name="15564" dataDxfId="1046"/>
    <tableColumn id="15345" xr3:uid="{419BA391-5861-4462-BF1C-1E0F4C549284}" name="15565" dataDxfId="1045"/>
    <tableColumn id="15346" xr3:uid="{C86B4648-E16C-4E28-9CA6-3AE604A6A7D1}" name="15566" dataDxfId="1044"/>
    <tableColumn id="15347" xr3:uid="{6DE71DF6-937E-484C-928B-8EEEFB9977C8}" name="15567" dataDxfId="1043"/>
    <tableColumn id="15348" xr3:uid="{3B75B705-E32D-4957-8FCC-5DDCA1A50999}" name="15568" dataDxfId="1042"/>
    <tableColumn id="15349" xr3:uid="{0D0905B1-63FE-45E4-B7D2-A4A8F48856DC}" name="15569" dataDxfId="1041"/>
    <tableColumn id="15350" xr3:uid="{B58FE726-C8EA-487C-96B5-057FC0C95FFE}" name="15570" dataDxfId="1040"/>
    <tableColumn id="15351" xr3:uid="{6683A060-25B5-482D-995C-E9E84312CC29}" name="15571" dataDxfId="1039"/>
    <tableColumn id="15352" xr3:uid="{38E7CA2A-F2E1-433F-851B-D2729296E521}" name="15572" dataDxfId="1038"/>
    <tableColumn id="15353" xr3:uid="{1BDC4AC8-C283-4ADA-B1A3-E05A39BB49AE}" name="15573" dataDxfId="1037"/>
    <tableColumn id="15354" xr3:uid="{C806A8C4-C2D5-412C-9FC1-F690E8EBF5BC}" name="15574" dataDxfId="1036"/>
    <tableColumn id="15355" xr3:uid="{357BEC65-67FB-4D72-A1F9-F3F578B3D916}" name="15575" dataDxfId="1035"/>
    <tableColumn id="15356" xr3:uid="{9FC65A42-6D50-4B66-8270-B79F2A1B430D}" name="15576" dataDxfId="1034"/>
    <tableColumn id="15357" xr3:uid="{6DDC8F8F-E82C-43E2-82C9-4CCADEA9CECC}" name="15577" dataDxfId="1033"/>
    <tableColumn id="15358" xr3:uid="{AD64A5C4-9DC2-4192-BB73-330384E225C6}" name="15578" dataDxfId="1032"/>
    <tableColumn id="15359" xr3:uid="{8C8FAB40-72C7-4B29-ACF0-76C508011B19}" name="15579" dataDxfId="1031"/>
    <tableColumn id="15360" xr3:uid="{B0E7185A-FC86-4430-804C-235BB72B59CC}" name="15580" dataDxfId="1030"/>
    <tableColumn id="15361" xr3:uid="{11F51C4E-1035-4E8D-9911-C2CB49B6A0E7}" name="15581" dataDxfId="1029"/>
    <tableColumn id="15362" xr3:uid="{F76A7A96-7D4A-4753-B0B3-2B4D44D482D9}" name="15582" dataDxfId="1028"/>
    <tableColumn id="15363" xr3:uid="{FE5B8A8D-2C9E-49AC-BDDF-09538E4353CF}" name="15583" dataDxfId="1027"/>
    <tableColumn id="15364" xr3:uid="{393372E7-E68C-471B-8DD0-3EAD63B03E17}" name="15584" dataDxfId="1026"/>
    <tableColumn id="15365" xr3:uid="{363947EA-7F91-4DED-9097-5FCFDEFB896C}" name="15585" dataDxfId="1025"/>
    <tableColumn id="15366" xr3:uid="{1689E638-BF15-4CC3-8B5E-9C6DF5663DBB}" name="15586" dataDxfId="1024"/>
    <tableColumn id="15367" xr3:uid="{E0993DE5-7460-4FAD-95FC-B53E6071DFCF}" name="15587" dataDxfId="1023"/>
    <tableColumn id="15368" xr3:uid="{485909E6-F739-4FAE-AA11-3544EEE65DF2}" name="15588" dataDxfId="1022"/>
    <tableColumn id="15369" xr3:uid="{F859628D-D27D-4D88-972D-F1AE86AD256E}" name="15589" dataDxfId="1021"/>
    <tableColumn id="15370" xr3:uid="{5730910A-0241-4E87-A217-1F60D721F051}" name="15590" dataDxfId="1020"/>
    <tableColumn id="15371" xr3:uid="{8885FB0B-3D32-4663-9114-86FEA5C340B3}" name="15591" dataDxfId="1019"/>
    <tableColumn id="15372" xr3:uid="{F13E87D6-3BF3-470F-AB63-F0E3E8DC8CBF}" name="15592" dataDxfId="1018"/>
    <tableColumn id="15373" xr3:uid="{8E9C92AF-0B88-427F-BDC2-F006211A9400}" name="15593" dataDxfId="1017"/>
    <tableColumn id="15374" xr3:uid="{B8ADD70C-B2CB-464D-AEE0-A8EB274C68F0}" name="15594" dataDxfId="1016"/>
    <tableColumn id="15375" xr3:uid="{23F74338-B10C-41E9-A11D-AC1F1D6CC533}" name="15595" dataDxfId="1015"/>
    <tableColumn id="15376" xr3:uid="{098D7A5A-8983-4DDE-8F63-14135FD81DE3}" name="15596" dataDxfId="1014"/>
    <tableColumn id="15377" xr3:uid="{12B7DA7E-9048-4420-9FD9-06A96C4BB974}" name="15597" dataDxfId="1013"/>
    <tableColumn id="15378" xr3:uid="{DB07E89F-5379-4F0A-A346-1B908BAB08E8}" name="15598" dataDxfId="1012"/>
    <tableColumn id="15379" xr3:uid="{47C4668D-2A1D-4E14-9E3C-0FC7D497F1A1}" name="15599" dataDxfId="1011"/>
    <tableColumn id="15380" xr3:uid="{054DC037-A128-4F31-872C-B38ECDDEA534}" name="15600" dataDxfId="1010"/>
    <tableColumn id="15381" xr3:uid="{4EAD2593-F865-477F-BBAC-C31B353E3F34}" name="15601" dataDxfId="1009"/>
    <tableColumn id="15382" xr3:uid="{80D61E0A-6065-47BC-A3C3-7C55BB17D5F7}" name="15602" dataDxfId="1008"/>
    <tableColumn id="15383" xr3:uid="{B2320838-F5E8-4E52-8467-7752502A6B24}" name="15603" dataDxfId="1007"/>
    <tableColumn id="15384" xr3:uid="{7BB50E3B-6F9A-4384-98AE-A334A91ED8C6}" name="15604" dataDxfId="1006"/>
    <tableColumn id="15385" xr3:uid="{797BB8FB-5C28-4071-A2E0-21E137BE12AE}" name="15605" dataDxfId="1005"/>
    <tableColumn id="15386" xr3:uid="{C30B7D63-E9A7-4E27-B30B-6CED3CF7794F}" name="15606" dataDxfId="1004"/>
    <tableColumn id="15387" xr3:uid="{1D663B91-8DAC-49BE-A68A-687DD0B4FE89}" name="15607" dataDxfId="1003"/>
    <tableColumn id="15388" xr3:uid="{B9A8153E-5FC4-4165-A208-3CBAF1F5308D}" name="15608" dataDxfId="1002"/>
    <tableColumn id="15389" xr3:uid="{151782C1-5D0D-4C35-8515-E00A5FA7A3CF}" name="15609" dataDxfId="1001"/>
    <tableColumn id="15390" xr3:uid="{6266AE73-9D6D-4C90-B61E-CB26DEBC33ED}" name="15610" dataDxfId="1000"/>
    <tableColumn id="15391" xr3:uid="{62C01B68-7672-429B-8BC3-1B46816A6DC3}" name="15611" dataDxfId="999"/>
    <tableColumn id="15392" xr3:uid="{F3341051-1F02-401C-85F1-8F3A249886FE}" name="15612" dataDxfId="998"/>
    <tableColumn id="15393" xr3:uid="{7E5C2B2C-2564-4A6C-A020-174643B1F54C}" name="15613" dataDxfId="997"/>
    <tableColumn id="15394" xr3:uid="{AC5A71B5-70CD-45D4-974D-713A6D882D13}" name="15614" dataDxfId="996"/>
    <tableColumn id="15395" xr3:uid="{95B72AB8-6889-4484-8F42-049F9F4CA73C}" name="15615" dataDxfId="995"/>
    <tableColumn id="15396" xr3:uid="{EEF1BD05-F143-4A00-9226-C9111032901F}" name="15616" dataDxfId="994"/>
    <tableColumn id="15397" xr3:uid="{023CE768-0DD7-4CA8-A7A3-4A5A4C50C401}" name="15617" dataDxfId="993"/>
    <tableColumn id="15398" xr3:uid="{867AE513-D9FF-4ADF-B89C-1D79A96DF84F}" name="15618" dataDxfId="992"/>
    <tableColumn id="15399" xr3:uid="{48F8927E-FE17-4784-BE30-29BE340B8AA7}" name="15619" dataDxfId="991"/>
    <tableColumn id="15400" xr3:uid="{E650BF69-36C1-47E3-BB91-5AD47EA49370}" name="15620" dataDxfId="990"/>
    <tableColumn id="15401" xr3:uid="{20531EEC-C15B-4E9B-9210-8C9448E11FAD}" name="15621" dataDxfId="989"/>
    <tableColumn id="15402" xr3:uid="{D2BC9E0D-00B5-4DE3-A84B-FAF803384B48}" name="15622" dataDxfId="988"/>
    <tableColumn id="15403" xr3:uid="{63E4C573-EFA8-4F3F-84B7-33A57347EAF0}" name="15623" dataDxfId="987"/>
    <tableColumn id="15404" xr3:uid="{B399AF89-0F4D-4176-B3F8-C4A3A7898C00}" name="15624" dataDxfId="986"/>
    <tableColumn id="15405" xr3:uid="{D733EFB6-FEA8-482C-AA8D-56D4A65C0D0D}" name="15625" dataDxfId="985"/>
    <tableColumn id="15406" xr3:uid="{5BA0B315-F49B-4067-A759-D48881D88E95}" name="15626" dataDxfId="984"/>
    <tableColumn id="15407" xr3:uid="{AFD23746-8C73-4B6C-836A-E8D464572D1A}" name="15627" dataDxfId="983"/>
    <tableColumn id="15408" xr3:uid="{30007142-98F1-47D7-B63B-F3B405156D8E}" name="15628" dataDxfId="982"/>
    <tableColumn id="15409" xr3:uid="{DCF4E2BB-BE5A-4432-8014-E636B59C7623}" name="15629" dataDxfId="981"/>
    <tableColumn id="15410" xr3:uid="{76BE60FB-20D1-4D25-9856-075336095F58}" name="15630" dataDxfId="980"/>
    <tableColumn id="15411" xr3:uid="{6AFB2AB8-C3A3-4B6C-B16B-11D188FCC2C9}" name="15631" dataDxfId="979"/>
    <tableColumn id="15412" xr3:uid="{8552EB8A-E561-49FD-8E72-459961DAECA5}" name="15632" dataDxfId="978"/>
    <tableColumn id="15413" xr3:uid="{16DDF543-621C-45F4-8A14-A4A6DFCB730A}" name="15633" dataDxfId="977"/>
    <tableColumn id="15414" xr3:uid="{2D00C8F4-BF6D-445C-AEAC-B09579FB65C5}" name="15634" dataDxfId="976"/>
    <tableColumn id="15415" xr3:uid="{41167D1E-A63B-455D-8D9F-5EE8B6B53729}" name="15635" dataDxfId="975"/>
    <tableColumn id="15416" xr3:uid="{834BD143-E6F3-4ACA-87DA-C92203029C57}" name="15636" dataDxfId="974"/>
    <tableColumn id="15417" xr3:uid="{448603EF-A140-489D-83BE-54296F91B507}" name="15637" dataDxfId="973"/>
    <tableColumn id="15418" xr3:uid="{4D664017-82CD-4BBC-BA2D-D0821FA9DCE1}" name="15638" dataDxfId="972"/>
    <tableColumn id="15419" xr3:uid="{212A5685-6805-451B-8347-85131C93F710}" name="15639" dataDxfId="971"/>
    <tableColumn id="15420" xr3:uid="{F248EC92-2557-48B2-AEF0-7A974A112565}" name="15640" dataDxfId="970"/>
    <tableColumn id="15421" xr3:uid="{486F6FFD-D155-44FB-8D2E-11DE1DD54C8A}" name="15641" dataDxfId="969"/>
    <tableColumn id="15422" xr3:uid="{A3864530-7DFA-42FC-AAB0-AA3F0F2C3047}" name="15642" dataDxfId="968"/>
    <tableColumn id="15423" xr3:uid="{A15466FD-98D4-4AFC-9AE7-25E43E38607C}" name="15643" dataDxfId="967"/>
    <tableColumn id="15424" xr3:uid="{18E59D4D-D944-457A-9010-39B4D5E40CA2}" name="15644" dataDxfId="966"/>
    <tableColumn id="15425" xr3:uid="{01278B26-BBDB-49A4-AAEC-8640684AB624}" name="15645" dataDxfId="965"/>
    <tableColumn id="15426" xr3:uid="{187F6E12-22D5-4E48-8A51-B132A586DD35}" name="15646" dataDxfId="964"/>
    <tableColumn id="15427" xr3:uid="{FC77B233-1480-4DDA-ACAE-0D32AA1899DE}" name="15647" dataDxfId="963"/>
    <tableColumn id="15428" xr3:uid="{6FC8AEB2-521F-4CF9-A2A4-DA1D782B6D0D}" name="15648" dataDxfId="962"/>
    <tableColumn id="15429" xr3:uid="{A66DFB05-35ED-4665-9511-B9CB662CEC42}" name="15649" dataDxfId="961"/>
    <tableColumn id="15430" xr3:uid="{EF5A8EF3-E681-4F5E-AEBA-3E840F451BA1}" name="15650" dataDxfId="960"/>
    <tableColumn id="15431" xr3:uid="{20267ADE-57E9-4516-AC18-97A2FCC0CA9D}" name="15651" dataDxfId="959"/>
    <tableColumn id="15432" xr3:uid="{DA99DF8F-47AC-4D26-8275-8D6D98C83C0A}" name="15652" dataDxfId="958"/>
    <tableColumn id="15433" xr3:uid="{7ACDE804-44F4-4578-933B-D773B8DBD649}" name="15653" dataDxfId="957"/>
    <tableColumn id="15434" xr3:uid="{B4F4579A-AA4C-483E-93AB-A5F2C7A17D35}" name="15654" dataDxfId="956"/>
    <tableColumn id="15435" xr3:uid="{30A42EB8-59DE-4334-B37E-B67E913CD0AA}" name="15655" dataDxfId="955"/>
    <tableColumn id="15436" xr3:uid="{2E53B84B-6772-4625-8891-C8484E0E04A5}" name="15656" dataDxfId="954"/>
    <tableColumn id="15437" xr3:uid="{9086914E-5B90-4D60-8DC6-DA61FB9D09A4}" name="15657" dataDxfId="953"/>
    <tableColumn id="15438" xr3:uid="{AA648D1F-567B-4627-BFE2-4B6BC1EB90A5}" name="15658" dataDxfId="952"/>
    <tableColumn id="15439" xr3:uid="{B9A25747-B030-42E0-BED7-DD749ECA78E8}" name="15659" dataDxfId="951"/>
    <tableColumn id="15440" xr3:uid="{422F3409-910B-4829-B4EE-71CDB2C586E7}" name="15660" dataDxfId="950"/>
    <tableColumn id="15441" xr3:uid="{F61F620F-81D2-4270-95B6-5B7CE680159D}" name="15661" dataDxfId="949"/>
    <tableColumn id="15442" xr3:uid="{E05ABBBF-2489-49CB-B7FF-94FEC46A6D0A}" name="15662" dataDxfId="948"/>
    <tableColumn id="15443" xr3:uid="{1F78969C-B8E3-4B3C-8894-F5269BE6D9B3}" name="15663" dataDxfId="947"/>
    <tableColumn id="15444" xr3:uid="{650C62CD-EE47-40A8-BD3A-AFC1733FF862}" name="15664" dataDxfId="946"/>
    <tableColumn id="15445" xr3:uid="{CE138DB4-0E99-43DC-BD63-F2CA3F9F6E3D}" name="15665" dataDxfId="945"/>
    <tableColumn id="15446" xr3:uid="{F4EEE0AF-B304-40B2-867E-A3C69595546A}" name="15666" dataDxfId="944"/>
    <tableColumn id="15447" xr3:uid="{20050231-57C1-437F-8844-353485ACF0D2}" name="15667" dataDxfId="943"/>
    <tableColumn id="15448" xr3:uid="{5A94CCA6-AA6D-4457-B1A7-2ACAA97F2733}" name="15668" dataDxfId="942"/>
    <tableColumn id="15449" xr3:uid="{A7773721-C44F-4FD2-AA5C-FECB1B982AC5}" name="15669" dataDxfId="941"/>
    <tableColumn id="15450" xr3:uid="{C16150BC-D258-4928-AF6E-E2766F7CCE1E}" name="15670" dataDxfId="940"/>
    <tableColumn id="15451" xr3:uid="{1DA390B8-E4A4-4213-B909-D43CDEDA5AA7}" name="15671" dataDxfId="939"/>
    <tableColumn id="15452" xr3:uid="{82447DE2-10E5-440F-9E97-769ADFAE24CD}" name="15672" dataDxfId="938"/>
    <tableColumn id="15453" xr3:uid="{4A238062-2C2C-4283-AA52-669F446C5AFC}" name="15673" dataDxfId="937"/>
    <tableColumn id="15454" xr3:uid="{0B85F5A9-C835-4D3C-A4FD-4CFF8C096F94}" name="15674" dataDxfId="936"/>
    <tableColumn id="15455" xr3:uid="{CFA771A6-1686-48F2-87D7-2C4D0B8750CC}" name="15675" dataDxfId="935"/>
    <tableColumn id="15456" xr3:uid="{CFC86CD3-E431-41FE-A3BD-055954B98546}" name="15676" dataDxfId="934"/>
    <tableColumn id="15457" xr3:uid="{57B6E460-350B-4FE1-B743-A614D9E6FF7F}" name="15677" dataDxfId="933"/>
    <tableColumn id="15458" xr3:uid="{E0BBD978-4581-4070-92FF-3EACF3006D1A}" name="15678" dataDxfId="932"/>
    <tableColumn id="15459" xr3:uid="{6905A6C6-44FB-4CEB-B7A8-B62B56EE5AD2}" name="15679" dataDxfId="931"/>
    <tableColumn id="15460" xr3:uid="{C7544D4B-8A62-40BC-858A-1E02DB18E7D9}" name="15680" dataDxfId="930"/>
    <tableColumn id="15461" xr3:uid="{4F44630E-4D1A-4F0F-8CBF-08120E344F70}" name="15681" dataDxfId="929"/>
    <tableColumn id="15462" xr3:uid="{B6A9A1B4-44B3-473A-B11D-E697B181124D}" name="15682" dataDxfId="928"/>
    <tableColumn id="15463" xr3:uid="{3FCE6DC4-85AB-4CFC-B7D7-F100A66269C1}" name="15683" dataDxfId="927"/>
    <tableColumn id="15464" xr3:uid="{8189F9EA-3075-435C-ADA6-2133C8B4D8FF}" name="15684" dataDxfId="926"/>
    <tableColumn id="15465" xr3:uid="{35A26DA7-7BFD-4785-84D5-B888CA48753F}" name="15685" dataDxfId="925"/>
    <tableColumn id="15466" xr3:uid="{1E04A963-5298-4799-9121-CEBF92BB2796}" name="15686" dataDxfId="924"/>
    <tableColumn id="15467" xr3:uid="{283A38D2-C7A0-4018-9FD1-6297691021ED}" name="15687" dataDxfId="923"/>
    <tableColumn id="15468" xr3:uid="{EF299DB5-1445-4812-B6D7-84C9082FAF01}" name="15688" dataDxfId="922"/>
    <tableColumn id="15469" xr3:uid="{00DD8A84-A437-49DB-9D83-2D64E69E40F3}" name="15689" dataDxfId="921"/>
    <tableColumn id="15470" xr3:uid="{A179E340-377D-4884-A77B-C492383AFFF6}" name="15690" dataDxfId="920"/>
    <tableColumn id="15471" xr3:uid="{B9C68CFD-D40A-4B9F-9A6A-C4A67D6D02F5}" name="15691" dataDxfId="919"/>
    <tableColumn id="15472" xr3:uid="{E282E591-12A2-4A03-8257-27474D3558B1}" name="15692" dataDxfId="918"/>
    <tableColumn id="15473" xr3:uid="{EEF1189A-AC44-4FA1-A6FA-B6251DC23975}" name="15693" dataDxfId="917"/>
    <tableColumn id="15474" xr3:uid="{D6400569-E47C-47C4-8D5E-D8B82E563EB4}" name="15694" dataDxfId="916"/>
    <tableColumn id="15475" xr3:uid="{D7C4A843-FA05-442F-9490-94EE09809FF7}" name="15695" dataDxfId="915"/>
    <tableColumn id="15476" xr3:uid="{9F8F0AF6-ECDC-4A2D-92B2-E1E199C99D04}" name="15696" dataDxfId="914"/>
    <tableColumn id="15477" xr3:uid="{5B41EB1C-2E73-4BE7-A01A-ABCEE2BA8708}" name="15697" dataDxfId="913"/>
    <tableColumn id="15478" xr3:uid="{663C1EB5-A658-4332-B374-E9E123630BF2}" name="15698" dataDxfId="912"/>
    <tableColumn id="15479" xr3:uid="{CB9B9CC9-71D4-474A-A40D-D93D94ED546E}" name="15699" dataDxfId="911"/>
    <tableColumn id="15480" xr3:uid="{CBB9AF81-581E-4BDF-8D23-DDFBC4BA4B7B}" name="15700" dataDxfId="910"/>
    <tableColumn id="15481" xr3:uid="{86EC333D-4C77-4A54-9679-4E88E34315B4}" name="15701" dataDxfId="909"/>
    <tableColumn id="15482" xr3:uid="{0E4082B9-BF03-482C-B2D1-9BB23C154F90}" name="15702" dataDxfId="908"/>
    <tableColumn id="15483" xr3:uid="{B8ACC45F-88F8-4825-91E0-E04A937478E7}" name="15703" dataDxfId="907"/>
    <tableColumn id="15484" xr3:uid="{FEF39F5D-ECB7-4F07-A65A-EF0C8C98F8A1}" name="15704" dataDxfId="906"/>
    <tableColumn id="15485" xr3:uid="{4C1E88F9-666F-45A8-934A-90B7D299EF21}" name="15705" dataDxfId="905"/>
    <tableColumn id="15486" xr3:uid="{A9830881-F496-437D-B4ED-93189F3CC1FB}" name="15706" dataDxfId="904"/>
    <tableColumn id="15487" xr3:uid="{348B3750-3B52-49C8-999C-E9150DACFAD6}" name="15707" dataDxfId="903"/>
    <tableColumn id="15488" xr3:uid="{F1941F0F-0B46-4328-B2FA-C70ED8AE7849}" name="15708" dataDxfId="902"/>
    <tableColumn id="15489" xr3:uid="{E1965282-636A-456C-868A-69A00094D4E3}" name="15709" dataDxfId="901"/>
    <tableColumn id="15490" xr3:uid="{CCFB227E-D337-4B5C-9CA0-201B38D9B454}" name="15710" dataDxfId="900"/>
    <tableColumn id="15491" xr3:uid="{961C898A-05C8-4308-8D28-9A0EE4D1DED8}" name="15711" dataDxfId="899"/>
    <tableColumn id="15492" xr3:uid="{A45FC57D-3A0F-49F2-A45D-15299991A4F6}" name="15712" dataDxfId="898"/>
    <tableColumn id="15493" xr3:uid="{138CE63B-E9A3-44AF-8628-CEC88CE95446}" name="15713" dataDxfId="897"/>
    <tableColumn id="15494" xr3:uid="{206D60D6-4FEC-4102-865E-417A06C4AF7B}" name="15714" dataDxfId="896"/>
    <tableColumn id="15495" xr3:uid="{F7335364-E90D-479D-B1AB-FE479DCE6A64}" name="15715" dataDxfId="895"/>
    <tableColumn id="15496" xr3:uid="{6DC42D4E-E585-4C4D-89EF-C8F2B7598903}" name="15716" dataDxfId="894"/>
    <tableColumn id="15497" xr3:uid="{8A31A830-BBCC-4D1A-A928-CECA647EB37C}" name="15717" dataDxfId="893"/>
    <tableColumn id="15498" xr3:uid="{F9226CE8-2541-4B9C-BB24-55CE4FD12301}" name="15718" dataDxfId="892"/>
    <tableColumn id="15499" xr3:uid="{222390C8-8F24-4C48-AB5B-0D62639EE33E}" name="15719" dataDxfId="891"/>
    <tableColumn id="15500" xr3:uid="{3DBA0082-DD92-40C9-89BB-3CE073B5F378}" name="15720" dataDxfId="890"/>
    <tableColumn id="15501" xr3:uid="{3EEB7845-8573-4A7C-94A8-EEDFB373C3A9}" name="15721" dataDxfId="889"/>
    <tableColumn id="15502" xr3:uid="{8C11C24E-FBDE-474D-B069-E4886BECAE57}" name="15722" dataDxfId="888"/>
    <tableColumn id="15503" xr3:uid="{64BBAB8E-AACA-485B-83A4-0DF6D42D36E9}" name="15723" dataDxfId="887"/>
    <tableColumn id="15504" xr3:uid="{E7DE4899-7A3F-4F2B-B2D7-8E3DD5327DD8}" name="15724" dataDxfId="886"/>
    <tableColumn id="15505" xr3:uid="{FD945339-84C5-47E2-9B3B-C9B7065E9707}" name="15725" dataDxfId="885"/>
    <tableColumn id="15506" xr3:uid="{941AF1D4-1E65-4B4D-A430-1E8CF1A416AD}" name="15726" dataDxfId="884"/>
    <tableColumn id="15507" xr3:uid="{BBA76CC9-7910-467D-8C51-4B97FED609AA}" name="15727" dataDxfId="883"/>
    <tableColumn id="15508" xr3:uid="{46A11CE9-6301-421B-B6B7-88B4042A81D6}" name="15728" dataDxfId="882"/>
    <tableColumn id="15509" xr3:uid="{24D7A929-AC92-49E2-8F7E-A2D904685A45}" name="15729" dataDxfId="881"/>
    <tableColumn id="15510" xr3:uid="{C36672EA-60CA-44AB-833F-49B63130BBD3}" name="15730" dataDxfId="880"/>
    <tableColumn id="15511" xr3:uid="{0F3950EE-CF57-41DC-AB18-A3D9ADFE84E4}" name="15731" dataDxfId="879"/>
    <tableColumn id="15512" xr3:uid="{02101125-B9A6-4817-A0E2-E94F35A3FD05}" name="15732" dataDxfId="878"/>
    <tableColumn id="15513" xr3:uid="{F8F5762B-462E-44CB-A41C-FF4B42A5C8AD}" name="15733" dataDxfId="877"/>
    <tableColumn id="15514" xr3:uid="{01FDA63E-37D9-44DB-A541-09DB76A98D03}" name="15734" dataDxfId="876"/>
    <tableColumn id="15515" xr3:uid="{E437B3D7-E924-4619-99B2-3AC80EF120C9}" name="15735" dataDxfId="875"/>
    <tableColumn id="15516" xr3:uid="{9B445214-3751-4416-997F-12834D9174E8}" name="15736" dataDxfId="874"/>
    <tableColumn id="15517" xr3:uid="{5CF8DA01-13D5-480F-940C-FEEE25C5266C}" name="15737" dataDxfId="873"/>
    <tableColumn id="15518" xr3:uid="{CD1482BF-0D0D-4211-8F58-83D42629F232}" name="15738" dataDxfId="872"/>
    <tableColumn id="15519" xr3:uid="{204466CE-BA48-46F5-9A85-497A0AED27A3}" name="15739" dataDxfId="871"/>
    <tableColumn id="15520" xr3:uid="{20B5017B-7920-4378-A58A-1F8FE2B57E04}" name="15740" dataDxfId="870"/>
    <tableColumn id="15521" xr3:uid="{7D2743C2-1668-42F1-A718-D1ED998824D2}" name="15741" dataDxfId="869"/>
    <tableColumn id="15522" xr3:uid="{41E00039-0667-446D-AD65-B761CC2688D0}" name="15742" dataDxfId="868"/>
    <tableColumn id="15523" xr3:uid="{2D9CCF00-F025-4E08-B936-9B400EBF9EF2}" name="15743" dataDxfId="867"/>
    <tableColumn id="15524" xr3:uid="{41BE9AD4-E7AC-43D7-AB45-81267CF08C3B}" name="15744" dataDxfId="866"/>
    <tableColumn id="15525" xr3:uid="{3E156C03-3611-4C81-9FFA-50B7206DFFD3}" name="15745" dataDxfId="865"/>
    <tableColumn id="15526" xr3:uid="{250E0C52-8A4D-4A09-A000-56DEC9F7B835}" name="15746" dataDxfId="864"/>
    <tableColumn id="15527" xr3:uid="{23A1C50B-6809-4747-B56F-6BBDF41D0BAA}" name="15747" dataDxfId="863"/>
    <tableColumn id="15528" xr3:uid="{E57C9135-BA72-443B-977C-09C64FE0F4C7}" name="15748" dataDxfId="862"/>
    <tableColumn id="15529" xr3:uid="{0B7F00D9-242D-4913-AFBF-A687D5AE538C}" name="15749" dataDxfId="861"/>
    <tableColumn id="15530" xr3:uid="{B4E9955E-044D-43D1-AF18-D7AC20033FA6}" name="15750" dataDxfId="860"/>
    <tableColumn id="15531" xr3:uid="{1794DD8D-8750-49BE-863B-E92F289FF7BE}" name="15751" dataDxfId="859"/>
    <tableColumn id="15532" xr3:uid="{FAC3208D-9C93-4152-BFC0-EDF2CA1F9CE8}" name="15752" dataDxfId="858"/>
    <tableColumn id="15533" xr3:uid="{A3335D79-88A2-47F0-BA3F-E49E12EC4B8C}" name="15753" dataDxfId="857"/>
    <tableColumn id="15534" xr3:uid="{820689B2-23F3-4802-85ED-20944A28B3F3}" name="15754" dataDxfId="856"/>
    <tableColumn id="15535" xr3:uid="{5553AE25-F873-4825-9EAB-211FA5DD7F6D}" name="15755" dataDxfId="855"/>
    <tableColumn id="15536" xr3:uid="{14A62295-78BC-45A1-B69E-852AF41CD243}" name="15756" dataDxfId="854"/>
    <tableColumn id="15537" xr3:uid="{7440C10C-2C56-467F-8AE4-CB4279ED2AB9}" name="15757" dataDxfId="853"/>
    <tableColumn id="15538" xr3:uid="{77D5BFF5-5970-4702-B12B-E208A4CE99E6}" name="15758" dataDxfId="852"/>
    <tableColumn id="15539" xr3:uid="{EFD00297-9092-4A0E-B349-6631E4B076AB}" name="15759" dataDxfId="851"/>
    <tableColumn id="15540" xr3:uid="{A3204AA7-8FF9-46D7-861F-C1F26C89A584}" name="15760" dataDxfId="850"/>
    <tableColumn id="15541" xr3:uid="{7EFE6517-FC6D-461B-B054-85BF785D021C}" name="15761" dataDxfId="849"/>
    <tableColumn id="15542" xr3:uid="{A88AE2EF-8C09-42DA-9A6E-BD1081401418}" name="15762" dataDxfId="848"/>
    <tableColumn id="15543" xr3:uid="{7F57DD1E-A01B-4AE5-A789-A1F91020E803}" name="15763" dataDxfId="847"/>
    <tableColumn id="15544" xr3:uid="{C2A9D36A-0E5A-419E-9487-C1424A06C110}" name="15764" dataDxfId="846"/>
    <tableColumn id="15545" xr3:uid="{6AD8FA34-2F89-407A-BBB9-0F1890455E44}" name="15765" dataDxfId="845"/>
    <tableColumn id="15546" xr3:uid="{E0B53DE8-969E-4CC3-B9EA-8DBB418B728E}" name="15766" dataDxfId="844"/>
    <tableColumn id="15547" xr3:uid="{AA94DD41-E853-4173-9D32-D11F04CDDE1A}" name="15767" dataDxfId="843"/>
    <tableColumn id="15548" xr3:uid="{B6E78AA9-ED9F-4B6C-B2BE-3D3BCA6F28AC}" name="15768" dataDxfId="842"/>
    <tableColumn id="15549" xr3:uid="{0E2F9E67-422C-4412-99C7-3C9FDA62126C}" name="15769" dataDxfId="841"/>
    <tableColumn id="15550" xr3:uid="{065C36E6-D008-49C8-B9E3-82B90E40526B}" name="15770" dataDxfId="840"/>
    <tableColumn id="15551" xr3:uid="{83A3CE69-BB4B-4B70-B2DC-7F7BD6B06A80}" name="15771" dataDxfId="839"/>
    <tableColumn id="15552" xr3:uid="{29565382-B344-4077-B2AF-F067838EA37C}" name="15772" dataDxfId="838"/>
    <tableColumn id="15553" xr3:uid="{98937429-2870-4B96-BB44-6A986F0DA5EE}" name="15773" dataDxfId="837"/>
    <tableColumn id="15554" xr3:uid="{CB59526F-E027-4B0A-9691-951F3C213611}" name="15774" dataDxfId="836"/>
    <tableColumn id="15555" xr3:uid="{6EAEC2E1-A44A-4CA9-8E64-83BAF18281FC}" name="15775" dataDxfId="835"/>
    <tableColumn id="15556" xr3:uid="{A3002685-E301-4CFC-A331-D0810CB05DD5}" name="15776" dataDxfId="834"/>
    <tableColumn id="15557" xr3:uid="{1BB729FB-6D7D-4136-AB73-DE24ADEEF197}" name="15777" dataDxfId="833"/>
    <tableColumn id="15558" xr3:uid="{0E8D9AAA-DDE8-45BC-A004-DC390024575A}" name="15778" dataDxfId="832"/>
    <tableColumn id="15559" xr3:uid="{EC03615F-ED42-479D-81A7-FD2D695E6EBC}" name="15779" dataDxfId="831"/>
    <tableColumn id="15560" xr3:uid="{86AE3D29-F3FC-4B70-83A9-A33891FD5366}" name="15780" dataDxfId="830"/>
    <tableColumn id="15561" xr3:uid="{2C5B4F56-4D06-480D-867A-07FF8CFF3DC1}" name="15781" dataDxfId="829"/>
    <tableColumn id="15562" xr3:uid="{45CDE562-9DC7-4A42-8F43-B5A9629D6A3E}" name="15782" dataDxfId="828"/>
    <tableColumn id="15563" xr3:uid="{53CD9F2A-516E-4F69-8756-5B591F4971DF}" name="15783" dataDxfId="827"/>
    <tableColumn id="15564" xr3:uid="{E2726212-BAA3-426A-8D31-0EDADFFEE27F}" name="15784" dataDxfId="826"/>
    <tableColumn id="15565" xr3:uid="{BDCA17B5-8B7E-42E7-8AA5-313AADDAC858}" name="15785" dataDxfId="825"/>
    <tableColumn id="15566" xr3:uid="{86FD3F15-A858-48DA-8CB0-FB32D68B681C}" name="15786" dataDxfId="824"/>
    <tableColumn id="15567" xr3:uid="{7CCA8E03-C189-40B8-A917-0EF28499B64D}" name="15787" dataDxfId="823"/>
    <tableColumn id="15568" xr3:uid="{0B76FECD-A73B-4893-A4E9-4471E079B949}" name="15788" dataDxfId="822"/>
    <tableColumn id="15569" xr3:uid="{D423FE52-22CA-425B-9A7C-6A3D1AA6DB03}" name="15789" dataDxfId="821"/>
    <tableColumn id="15570" xr3:uid="{EE80D5BB-AA12-45CF-BE80-951B5284B535}" name="15790" dataDxfId="820"/>
    <tableColumn id="15571" xr3:uid="{37383285-334F-45A9-A71C-74B7B504384F}" name="15791" dataDxfId="819"/>
    <tableColumn id="15572" xr3:uid="{B8AD9885-78A9-46DA-B1DC-3F32B29B096E}" name="15792" dataDxfId="818"/>
    <tableColumn id="15573" xr3:uid="{5C9DFFD3-36A3-4284-B4C6-2E750E981426}" name="15793" dataDxfId="817"/>
    <tableColumn id="15574" xr3:uid="{A9001C86-CBC5-430B-B885-DD8FAAC677E4}" name="15794" dataDxfId="816"/>
    <tableColumn id="15575" xr3:uid="{E12B87DE-184E-4C4B-850B-1198C1AC11E2}" name="15795" dataDxfId="815"/>
    <tableColumn id="15576" xr3:uid="{1804DBE0-96CC-4333-BD8B-BBD2A6D2C57F}" name="15796" dataDxfId="814"/>
    <tableColumn id="15577" xr3:uid="{55C3A9F3-C789-4176-BA3E-7C1036190E39}" name="15797" dataDxfId="813"/>
    <tableColumn id="15578" xr3:uid="{F6C535E4-EDEF-4DCA-8422-7BC9EB6900E2}" name="15798" dataDxfId="812"/>
    <tableColumn id="15579" xr3:uid="{2393343F-2F53-48AC-8B3A-ED96989B863E}" name="15799" dataDxfId="811"/>
    <tableColumn id="15580" xr3:uid="{FC288799-8845-4AEF-ADFE-E7E3DFBB1D6E}" name="15800" dataDxfId="810"/>
    <tableColumn id="15581" xr3:uid="{560A0A11-31F9-4A4D-B6AF-832924D43C7F}" name="15801" dataDxfId="809"/>
    <tableColumn id="15582" xr3:uid="{F4A5101D-100D-498D-BFB7-0808405F9E89}" name="15802" dataDxfId="808"/>
    <tableColumn id="15583" xr3:uid="{292918F5-E927-4FC2-9C70-7734E73576F1}" name="15803" dataDxfId="807"/>
    <tableColumn id="15584" xr3:uid="{959F9C14-2A59-43B0-9187-CC60C88BEA3F}" name="15804" dataDxfId="806"/>
    <tableColumn id="15585" xr3:uid="{F37528C7-A6E0-493B-99EE-95D8A3987CCE}" name="15805" dataDxfId="805"/>
    <tableColumn id="15586" xr3:uid="{7A012EDB-F336-4399-B592-79E793D945A7}" name="15806" dataDxfId="804"/>
    <tableColumn id="15587" xr3:uid="{063CC414-2ED1-4A08-A31D-AC2F84DDB47C}" name="15807" dataDxfId="803"/>
    <tableColumn id="15588" xr3:uid="{2ADE58E1-4D71-44B2-A407-6B918DAF5E03}" name="15808" dataDxfId="802"/>
    <tableColumn id="15589" xr3:uid="{CD00AD41-C7DB-4AAB-8050-307850535C97}" name="15809" dataDxfId="801"/>
    <tableColumn id="15590" xr3:uid="{5441D3A9-534E-4C47-A6A1-5FAAD44134D1}" name="15810" dataDxfId="800"/>
    <tableColumn id="15591" xr3:uid="{AAE9399F-DBC5-40EE-8343-FFCF11DBC7E0}" name="15811" dataDxfId="799"/>
    <tableColumn id="15592" xr3:uid="{0FE8EA50-6CB4-40FE-AACD-634B24162E38}" name="15812" dataDxfId="798"/>
    <tableColumn id="15593" xr3:uid="{7EB661B1-5A1A-49A1-98B4-CFB449BAC379}" name="15813" dataDxfId="797"/>
    <tableColumn id="15594" xr3:uid="{AAA79D53-5CA6-4FB6-8976-AC9D73632DF2}" name="15814" dataDxfId="796"/>
    <tableColumn id="15595" xr3:uid="{9F79C01E-2742-4B74-A24F-F0D764CB85B1}" name="15815" dataDxfId="795"/>
    <tableColumn id="15596" xr3:uid="{F62BE99F-13CF-4718-8156-DDB9B7AD42F6}" name="15816" dataDxfId="794"/>
    <tableColumn id="15597" xr3:uid="{39F8EC17-5078-45AD-89FF-B937124098B1}" name="15817" dataDxfId="793"/>
    <tableColumn id="15598" xr3:uid="{35D29FB7-8292-4A00-A5AB-53B996E15C0A}" name="15818" dataDxfId="792"/>
    <tableColumn id="15599" xr3:uid="{3B408364-4ED5-4C31-8001-7D82A3CAD5DB}" name="15819" dataDxfId="791"/>
    <tableColumn id="15600" xr3:uid="{0AF41AB5-012D-496B-9C8B-2852F850FE23}" name="15820" dataDxfId="790"/>
    <tableColumn id="15601" xr3:uid="{86F81976-E1C7-4766-B372-354E391E5B51}" name="15821" dataDxfId="789"/>
    <tableColumn id="15602" xr3:uid="{FB28A2E0-70D2-4683-B831-03AF3EA79B02}" name="15822" dataDxfId="788"/>
    <tableColumn id="15603" xr3:uid="{2ECE9744-5668-4B3F-B42E-417BC1F0420A}" name="15823" dataDxfId="787"/>
    <tableColumn id="15604" xr3:uid="{1A3B8965-B961-4673-AC0B-7218085BEAD8}" name="15824" dataDxfId="786"/>
    <tableColumn id="15605" xr3:uid="{4DA154F4-C1F4-481E-BEC1-AE0D54F6F18D}" name="15825" dataDxfId="785"/>
    <tableColumn id="15606" xr3:uid="{33879321-12DD-401A-8CD8-2F5437D833A5}" name="15826" dataDxfId="784"/>
    <tableColumn id="15607" xr3:uid="{D945C2A5-A65E-4261-9B01-463A316BA84A}" name="15827" dataDxfId="783"/>
    <tableColumn id="15608" xr3:uid="{76075DFD-BB9A-4D48-92F3-B2EE19612919}" name="15828" dataDxfId="782"/>
    <tableColumn id="15609" xr3:uid="{38595ABD-7BD6-4B0A-8D2A-41717BA0D557}" name="15829" dataDxfId="781"/>
    <tableColumn id="15610" xr3:uid="{71A6E956-0197-4224-A6CB-6853C1653AA8}" name="15830" dataDxfId="780"/>
    <tableColumn id="15611" xr3:uid="{F4B751E2-6F07-435A-9980-D4E4DA410885}" name="15831" dataDxfId="779"/>
    <tableColumn id="15612" xr3:uid="{D315ADF7-8EC8-4A05-9711-5E179FCF4E19}" name="15832" dataDxfId="778"/>
    <tableColumn id="15613" xr3:uid="{75498B06-E8FD-4018-A2F1-D1F5D91B1BE8}" name="15833" dataDxfId="777"/>
    <tableColumn id="15614" xr3:uid="{56AC9540-4E34-457C-B293-2984E814C769}" name="15834" dataDxfId="776"/>
    <tableColumn id="15615" xr3:uid="{3291BD4E-B9C5-4ECD-B5BE-240CFD781DB6}" name="15835" dataDxfId="775"/>
    <tableColumn id="15616" xr3:uid="{E916C6F3-14C6-450B-83EE-90D85BB343A3}" name="15836" dataDxfId="774"/>
    <tableColumn id="15617" xr3:uid="{8467DD0F-7738-424A-8335-3134C412B74E}" name="15837" dataDxfId="773"/>
    <tableColumn id="15618" xr3:uid="{41E32C1C-4204-43FE-8B59-3F0E28041F98}" name="15838" dataDxfId="772"/>
    <tableColumn id="15619" xr3:uid="{E1D3217E-668F-4D2A-95AB-7A58834F6F5B}" name="15839" dataDxfId="771"/>
    <tableColumn id="15620" xr3:uid="{6194CD46-96F7-420C-947B-DB5B1E1BC324}" name="15840" dataDxfId="770"/>
    <tableColumn id="15621" xr3:uid="{9232BC93-C46A-4CEE-B3E4-C9E458BEFB0E}" name="15841" dataDxfId="769"/>
    <tableColumn id="15622" xr3:uid="{13998438-A588-405B-A6C4-2F63DD08EAA3}" name="15842" dataDxfId="768"/>
    <tableColumn id="15623" xr3:uid="{64DAC73B-3BF8-47EC-9BD1-5354719270DF}" name="15843" dataDxfId="767"/>
    <tableColumn id="15624" xr3:uid="{B15B6FEF-D105-4CC1-A56D-CA2A5B2FB1BB}" name="15844" dataDxfId="766"/>
    <tableColumn id="15625" xr3:uid="{7AEC93C9-2AC7-487B-8756-69B0F6402FE0}" name="15845" dataDxfId="765"/>
    <tableColumn id="15626" xr3:uid="{EA0F8CA4-D919-42BC-BB53-FCD91EA1CA2A}" name="15846" dataDxfId="764"/>
    <tableColumn id="15627" xr3:uid="{C7E299E4-FB17-46D6-B397-A197AF70195C}" name="15847" dataDxfId="763"/>
    <tableColumn id="15628" xr3:uid="{BF1DD60D-6182-4946-975E-BFD1077A09DC}" name="15848" dataDxfId="762"/>
    <tableColumn id="15629" xr3:uid="{537695EE-D944-455B-B076-880D7EB0C012}" name="15849" dataDxfId="761"/>
    <tableColumn id="15630" xr3:uid="{B4639984-3334-4F27-8F4F-D49F97D2E476}" name="15850" dataDxfId="760"/>
    <tableColumn id="15631" xr3:uid="{6C9D3477-0386-4B06-A2DA-88658B35F07E}" name="15851" dataDxfId="759"/>
    <tableColumn id="15632" xr3:uid="{7A2EAB0D-AE07-46D9-8370-9B3F9B603BDC}" name="15852" dataDxfId="758"/>
    <tableColumn id="15633" xr3:uid="{53443B25-62AE-4F8C-BDE3-8315B62BD22B}" name="15853" dataDxfId="757"/>
    <tableColumn id="15634" xr3:uid="{97DD3916-A82E-4E00-9BBE-B63FC918E67E}" name="15854" dataDxfId="756"/>
    <tableColumn id="15635" xr3:uid="{B2EF4496-3B80-4F0C-B9D7-5A47B646D9F5}" name="15855" dataDxfId="755"/>
    <tableColumn id="15636" xr3:uid="{2FA8FDC9-5710-4B92-A70E-2A78783B5ABB}" name="15856" dataDxfId="754"/>
    <tableColumn id="15637" xr3:uid="{6BBB03FA-687A-403E-AB32-F91073C27E38}" name="15857" dataDxfId="753"/>
    <tableColumn id="15638" xr3:uid="{A5A79C39-4FF1-4678-BB07-8E3B16EE9998}" name="15858" dataDxfId="752"/>
    <tableColumn id="15639" xr3:uid="{529FEA38-0320-4769-9727-39EA1670DDDC}" name="15859" dataDxfId="751"/>
    <tableColumn id="15640" xr3:uid="{2F0B008E-A596-41FE-AAC7-1C3BFB08C6C7}" name="15860" dataDxfId="750"/>
    <tableColumn id="15641" xr3:uid="{155D2B1F-D09B-4149-A5EF-CE510C74D908}" name="15861" dataDxfId="749"/>
    <tableColumn id="15642" xr3:uid="{8AC3D4BB-631A-49B1-A360-04101E511F1F}" name="15862" dataDxfId="748"/>
    <tableColumn id="15643" xr3:uid="{0D199B7A-C3CD-4B53-A5CA-889BD80ABDDC}" name="15863" dataDxfId="747"/>
    <tableColumn id="15644" xr3:uid="{EED57514-CB67-4FE9-A4AF-29C72448883F}" name="15864" dataDxfId="746"/>
    <tableColumn id="15645" xr3:uid="{86B1FEEF-D74B-4713-B3D4-D5090D509544}" name="15865" dataDxfId="745"/>
    <tableColumn id="15646" xr3:uid="{5F8EE181-AE42-4681-A97B-C3382760EEB8}" name="15866" dataDxfId="744"/>
    <tableColumn id="15647" xr3:uid="{E3E2050F-8F6C-4A99-8D41-8CA7D8CEF2D6}" name="15867" dataDxfId="743"/>
    <tableColumn id="15648" xr3:uid="{1A49EA5D-39DA-4338-B98F-761AA28ECC4A}" name="15868" dataDxfId="742"/>
    <tableColumn id="15649" xr3:uid="{336C04D3-55DB-45D9-8D74-4163C57660F1}" name="15869" dataDxfId="741"/>
    <tableColumn id="15650" xr3:uid="{171A5E23-244D-4830-BF26-B327DEC90ABB}" name="15870" dataDxfId="740"/>
    <tableColumn id="15651" xr3:uid="{A55E5BDA-5F2A-4BEB-904F-6E9B1CA0323C}" name="15871" dataDxfId="739"/>
    <tableColumn id="15652" xr3:uid="{A8D0847E-D748-4DAA-899C-8B84FC1203C2}" name="15872" dataDxfId="738"/>
    <tableColumn id="15653" xr3:uid="{B5C001F3-A49B-4A80-8CEF-B589632BC505}" name="15873" dataDxfId="737"/>
    <tableColumn id="15654" xr3:uid="{F6B78C81-0C9A-4D22-8F4F-ACFED52E1D1B}" name="15874" dataDxfId="736"/>
    <tableColumn id="15655" xr3:uid="{30B5B79E-187F-42B4-8403-C01164DD8224}" name="15875" dataDxfId="735"/>
    <tableColumn id="15656" xr3:uid="{3458E53C-AE3E-4FC6-8973-09943CCFD446}" name="15876" dataDxfId="734"/>
    <tableColumn id="15657" xr3:uid="{07F1C972-AC68-4F40-9292-09A56F6ECF11}" name="15877" dataDxfId="733"/>
    <tableColumn id="15658" xr3:uid="{18E134D8-C539-420B-B66D-F5E8AD89AE71}" name="15878" dataDxfId="732"/>
    <tableColumn id="15659" xr3:uid="{DF1AE892-77E5-41B2-AC48-3A06D0789B11}" name="15879" dataDxfId="731"/>
    <tableColumn id="15660" xr3:uid="{D2621B27-1D13-4080-A138-7218F8400C8D}" name="15880" dataDxfId="730"/>
    <tableColumn id="15661" xr3:uid="{A639CF42-9619-4E45-9AA3-E05C4BF01EF5}" name="15881" dataDxfId="729"/>
    <tableColumn id="15662" xr3:uid="{CF3DC528-BD8B-4E4F-B90A-6419E4EB89C0}" name="15882" dataDxfId="728"/>
    <tableColumn id="15663" xr3:uid="{C9B1E0E6-D981-403B-A497-8A7ABA92BC26}" name="15883" dataDxfId="727"/>
    <tableColumn id="15664" xr3:uid="{56DC80ED-1304-4713-A577-B7E1B0DFFD7A}" name="15884" dataDxfId="726"/>
    <tableColumn id="15665" xr3:uid="{F3B1C2E7-8788-487F-B29B-4ECD3AD54D0E}" name="15885" dataDxfId="725"/>
    <tableColumn id="15666" xr3:uid="{11D24C1A-736B-4DD4-8975-A766B8D4DA96}" name="15886" dataDxfId="724"/>
    <tableColumn id="15667" xr3:uid="{BF5528B9-D6EB-4E92-ABD9-29B0A3A71432}" name="15887" dataDxfId="723"/>
    <tableColumn id="15668" xr3:uid="{368F23D3-601D-4AF3-8FD6-C4FCB9A87F81}" name="15888" dataDxfId="722"/>
    <tableColumn id="15669" xr3:uid="{1DE431F6-5774-4627-917F-AE5C87818D02}" name="15889" dataDxfId="721"/>
    <tableColumn id="15670" xr3:uid="{9202AF1A-2B2C-4AD0-9337-A632E25CDBC5}" name="15890" dataDxfId="720"/>
    <tableColumn id="15671" xr3:uid="{7194D46D-CE73-45B6-BE8E-62163F7D54CA}" name="15891" dataDxfId="719"/>
    <tableColumn id="15672" xr3:uid="{4D03E444-AA89-4EED-9F9F-9DB831FC7323}" name="15892" dataDxfId="718"/>
    <tableColumn id="15673" xr3:uid="{08517544-D721-456E-937C-B680713DF0D2}" name="15893" dataDxfId="717"/>
    <tableColumn id="15674" xr3:uid="{7845839A-5849-4A12-B9EB-A5501C8D63A5}" name="15894" dataDxfId="716"/>
    <tableColumn id="15675" xr3:uid="{07DCA891-D57B-40D4-AAC1-E0184AAB4E67}" name="15895" dataDxfId="715"/>
    <tableColumn id="15676" xr3:uid="{1BA799E3-2430-456B-9652-0A2BC81DC51F}" name="15896" dataDxfId="714"/>
    <tableColumn id="15677" xr3:uid="{A7E52DF3-4B1F-45A0-BA2A-A94D154C46B6}" name="15897" dataDxfId="713"/>
    <tableColumn id="15678" xr3:uid="{BE776D67-C9E3-424D-99FD-D5EF5588ACCD}" name="15898" dataDxfId="712"/>
    <tableColumn id="15679" xr3:uid="{3369F5A8-6A84-495D-B1B9-BE440FFE134F}" name="15899" dataDxfId="711"/>
    <tableColumn id="15680" xr3:uid="{29A653F2-1B54-4C9E-8CDE-B224F8CB401C}" name="15900" dataDxfId="710"/>
    <tableColumn id="15681" xr3:uid="{F85BD6F0-F0E4-43FC-ACD0-1FEDA959D23B}" name="15901" dataDxfId="709"/>
    <tableColumn id="15682" xr3:uid="{7E062491-D503-4207-B8D0-C09D1AE14905}" name="15902" dataDxfId="708"/>
    <tableColumn id="15683" xr3:uid="{35CFC973-32CE-40E5-9F7A-C95C7CB9FDD2}" name="15903" dataDxfId="707"/>
    <tableColumn id="15684" xr3:uid="{0420F8BA-C57D-4198-A816-E79B1B0158EF}" name="15904" dataDxfId="706"/>
    <tableColumn id="15685" xr3:uid="{5FF9B812-322D-42A5-88F0-02627E5C0E37}" name="15905" dataDxfId="705"/>
    <tableColumn id="15686" xr3:uid="{2C6CC17B-2896-411F-87B2-9375C538030B}" name="15906" dataDxfId="704"/>
    <tableColumn id="15687" xr3:uid="{078D3C6D-9AA5-41E8-AF3F-271318FB5FC7}" name="15907" dataDxfId="703"/>
    <tableColumn id="15688" xr3:uid="{8D925E01-0F45-4BB7-BA95-90D607B50F0B}" name="15908" dataDxfId="702"/>
    <tableColumn id="15689" xr3:uid="{4E3A4CE0-348F-4849-92F2-9DC2EC37C67E}" name="15909" dataDxfId="701"/>
    <tableColumn id="15690" xr3:uid="{C6F41E22-6B4F-4AB1-BF0F-54912F32A06D}" name="15910" dataDxfId="700"/>
    <tableColumn id="15691" xr3:uid="{79A8C100-DF18-49D7-9738-F78226591C1F}" name="15911" dataDxfId="699"/>
    <tableColumn id="15692" xr3:uid="{CFD9B444-7762-475B-B8C2-2ADDC55A7AD8}" name="15912" dataDxfId="698"/>
    <tableColumn id="15693" xr3:uid="{FFF47EC6-1C31-4E02-9A58-432540AFED5D}" name="15913" dataDxfId="697"/>
    <tableColumn id="15694" xr3:uid="{C8730953-9E07-4D60-9ED1-4662F63D253E}" name="15914" dataDxfId="696"/>
    <tableColumn id="15695" xr3:uid="{AA475B60-E95F-4247-B4DA-7DE5B03EFC39}" name="15915" dataDxfId="695"/>
    <tableColumn id="15696" xr3:uid="{3F40D905-32AA-4F2F-B105-5969063C467C}" name="15916" dataDxfId="694"/>
    <tableColumn id="15697" xr3:uid="{A577A822-2025-4E9D-A34F-720F541D368B}" name="15917" dataDxfId="693"/>
    <tableColumn id="15698" xr3:uid="{6B08A057-E496-4EDE-8536-501A709A60E9}" name="15918" dataDxfId="692"/>
    <tableColumn id="15699" xr3:uid="{4ABAD52B-6543-44FA-9E0C-1CC6DC0D274F}" name="15919" dataDxfId="691"/>
    <tableColumn id="15700" xr3:uid="{55547C5D-7B4C-4C62-BE27-121401BC58A8}" name="15920" dataDxfId="690"/>
    <tableColumn id="15701" xr3:uid="{8B145594-59ED-4A19-A6ED-39373BEB79AA}" name="15921" dataDxfId="689"/>
    <tableColumn id="15702" xr3:uid="{8AAD5850-2BC7-4EB4-9825-1FD21560148D}" name="15922" dataDxfId="688"/>
    <tableColumn id="15703" xr3:uid="{03968CE0-A9A6-4E4C-8498-13A92CCE7B71}" name="15923" dataDxfId="687"/>
    <tableColumn id="15704" xr3:uid="{88A7D75D-E3E7-4AD3-BAD7-D9096C37B855}" name="15924" dataDxfId="686"/>
    <tableColumn id="15705" xr3:uid="{9A36207D-CDA0-4186-8875-FC8AD25D9522}" name="15925" dataDxfId="685"/>
    <tableColumn id="15706" xr3:uid="{05CF385A-D7CB-468E-9E02-5660E22AFBDB}" name="15926" dataDxfId="684"/>
    <tableColumn id="15707" xr3:uid="{2696D3FE-8884-4B57-8B8D-B5020E37E6F6}" name="15927" dataDxfId="683"/>
    <tableColumn id="15708" xr3:uid="{BDD6CD14-3922-40A2-8B1C-0F8C6FE22993}" name="15928" dataDxfId="682"/>
    <tableColumn id="15709" xr3:uid="{35344A12-5B0D-4EB8-A4F1-942008B3F058}" name="15929" dataDxfId="681"/>
    <tableColumn id="15710" xr3:uid="{CF5E3083-03CA-4727-B837-C82E6EBE302D}" name="15930" dataDxfId="680"/>
    <tableColumn id="15711" xr3:uid="{BA93DDDE-EA05-43BA-A929-D016E7A2F6B8}" name="15931" dataDxfId="679"/>
    <tableColumn id="15712" xr3:uid="{803BCC05-33F5-47CF-864E-F96B3CC2C928}" name="15932" dataDxfId="678"/>
    <tableColumn id="15713" xr3:uid="{74B92FF9-F9AE-491A-A8DB-D26DDDF22AA1}" name="15933" dataDxfId="677"/>
    <tableColumn id="15714" xr3:uid="{E2AF598F-5364-4824-82C1-0579C8C170F3}" name="15934" dataDxfId="676"/>
    <tableColumn id="15715" xr3:uid="{78219AEA-B4B2-4140-B1EC-DA9690AD4A8D}" name="15935" dataDxfId="675"/>
    <tableColumn id="15716" xr3:uid="{50458398-999E-43CB-813D-A92B97DDAF3D}" name="15936" dataDxfId="674"/>
    <tableColumn id="15717" xr3:uid="{F9D02ED7-EB62-494E-8A03-63A6433E6961}" name="15937" dataDxfId="673"/>
    <tableColumn id="15718" xr3:uid="{4374BFBA-1796-4579-99D8-442B84EBEEFD}" name="15938" dataDxfId="672"/>
    <tableColumn id="15719" xr3:uid="{74F054B6-EC35-4B76-935D-71F182ED20C7}" name="15939" dataDxfId="671"/>
    <tableColumn id="15720" xr3:uid="{ECEBD2D3-B5F2-44B9-BB03-5EF003B2177B}" name="15940" dataDxfId="670"/>
    <tableColumn id="15721" xr3:uid="{12F45FF3-EF7E-414E-B01B-D914E4550364}" name="15941" dataDxfId="669"/>
    <tableColumn id="15722" xr3:uid="{2E69D438-0670-43FB-84BB-56A612770554}" name="15942" dataDxfId="668"/>
    <tableColumn id="15723" xr3:uid="{FB311B8A-EA67-431B-9FA7-6A06952D0DD8}" name="15943" dataDxfId="667"/>
    <tableColumn id="15724" xr3:uid="{CADF6F12-C44D-45FD-AC08-A6DA5A95048E}" name="15944" dataDxfId="666"/>
    <tableColumn id="15725" xr3:uid="{43B49DF9-0C8A-4D00-82B3-23E4797C8583}" name="15945" dataDxfId="665"/>
    <tableColumn id="15726" xr3:uid="{B625DF91-7C46-4F7E-8144-5AC27601171D}" name="15946" dataDxfId="664"/>
    <tableColumn id="15727" xr3:uid="{18DF371F-4DA3-4398-8DEB-FE8D50382C46}" name="15947" dataDxfId="663"/>
    <tableColumn id="15728" xr3:uid="{875E54FD-CA8E-4273-A4F3-09D6A6A1BC7B}" name="15948" dataDxfId="662"/>
    <tableColumn id="15729" xr3:uid="{DD40AE5D-B847-49F8-B8CE-84C0F6568816}" name="15949" dataDxfId="661"/>
    <tableColumn id="15730" xr3:uid="{C92F610A-97AE-41BF-B0D4-098F49183244}" name="15950" dataDxfId="660"/>
    <tableColumn id="15731" xr3:uid="{CF4FCDD8-E98A-4AF3-84B8-601D95CFAC57}" name="15951" dataDxfId="659"/>
    <tableColumn id="15732" xr3:uid="{660FF461-8B7A-4B8F-BF0B-6ED54A406DE3}" name="15952" dataDxfId="658"/>
    <tableColumn id="15733" xr3:uid="{0302A0F6-C153-4D0A-B89D-C1D02C7DB4F3}" name="15953" dataDxfId="657"/>
    <tableColumn id="15734" xr3:uid="{A9159776-458B-4D6D-A5EE-F60B5E6D2C6F}" name="15954" dataDxfId="656"/>
    <tableColumn id="15735" xr3:uid="{EAF7B948-4D92-4867-8E15-BCD9102A78C0}" name="15955" dataDxfId="655"/>
    <tableColumn id="15736" xr3:uid="{D8E7ED20-87C2-411E-9F93-5D96104A86B5}" name="15956" dataDxfId="654"/>
    <tableColumn id="15737" xr3:uid="{A8B43460-511D-47A1-8121-093FEF3BFDA4}" name="15957" dataDxfId="653"/>
    <tableColumn id="15738" xr3:uid="{FC3EA24E-CFD6-4490-AFAB-8D8AFA4F389D}" name="15958" dataDxfId="652"/>
    <tableColumn id="15739" xr3:uid="{E1CD4F1F-6B40-4C43-ADA0-FE0EF2A124B2}" name="15959" dataDxfId="651"/>
    <tableColumn id="15740" xr3:uid="{A63E73EE-ACE7-4BE9-94D9-09772A3E8841}" name="15960" dataDxfId="650"/>
    <tableColumn id="15741" xr3:uid="{5A130386-4EB5-44A3-974A-36988A9DC615}" name="15961" dataDxfId="649"/>
    <tableColumn id="15742" xr3:uid="{37454908-FCA7-47FA-9DDC-D26CB2A01779}" name="15962" dataDxfId="648"/>
    <tableColumn id="15743" xr3:uid="{E546B10A-560B-4010-89B5-606F7918237C}" name="15963" dataDxfId="647"/>
    <tableColumn id="15744" xr3:uid="{703B4B20-5B54-4A1F-8C3B-70F4ABAD01BD}" name="15964" dataDxfId="646"/>
    <tableColumn id="15745" xr3:uid="{E40A0365-A6D7-4BEA-AFC2-59E8EBE33E04}" name="15965" dataDxfId="645"/>
    <tableColumn id="15746" xr3:uid="{B236478A-AA75-4697-AFCA-07EE34F19A24}" name="15966" dataDxfId="644"/>
    <tableColumn id="15747" xr3:uid="{3E3BF332-073F-4EB9-B068-666CD0212074}" name="15967" dataDxfId="643"/>
    <tableColumn id="15748" xr3:uid="{F99B5DA4-7CC3-431D-BBC4-55ED618160D3}" name="15968" dataDxfId="642"/>
    <tableColumn id="15749" xr3:uid="{670C4078-81A6-43B7-8225-0A92A7A88B93}" name="15969" dataDxfId="641"/>
    <tableColumn id="15750" xr3:uid="{48680D6C-9193-4089-9A85-3700054AE09A}" name="15970" dataDxfId="640"/>
    <tableColumn id="15751" xr3:uid="{ACCDCBD4-D08F-4A28-A9C7-227F2DFC8CF0}" name="15971" dataDxfId="639"/>
    <tableColumn id="15752" xr3:uid="{A12B2C05-726C-4902-B092-9ECEED6788F7}" name="15972" dataDxfId="638"/>
    <tableColumn id="15753" xr3:uid="{3EAAE753-F96D-4BE7-BDBD-58273001ABFC}" name="15973" dataDxfId="637"/>
    <tableColumn id="15754" xr3:uid="{B2988911-17D8-493C-99CE-8593A9822608}" name="15974" dataDxfId="636"/>
    <tableColumn id="15755" xr3:uid="{003524E4-0205-4C06-A523-87EB42592226}" name="15975" dataDxfId="635"/>
    <tableColumn id="15756" xr3:uid="{95C4900F-809C-4748-821A-DC7F75400ACA}" name="15976" dataDxfId="634"/>
    <tableColumn id="15757" xr3:uid="{CAB5F6C2-2B74-413C-A4B0-10FAA11DC5C1}" name="15977" dataDxfId="633"/>
    <tableColumn id="15758" xr3:uid="{6908512E-D58E-450C-8076-9C0BD7F4117C}" name="15978" dataDxfId="632"/>
    <tableColumn id="15759" xr3:uid="{C1680680-80A4-418A-BB57-FE7D66D2664A}" name="15979" dataDxfId="631"/>
    <tableColumn id="15760" xr3:uid="{4EFD72F7-ECF8-40A2-AFFE-3AA03834620B}" name="15980" dataDxfId="630"/>
    <tableColumn id="15761" xr3:uid="{4B29825C-EB06-48BE-AD6F-EAEA82ECFE65}" name="15981" dataDxfId="629"/>
    <tableColumn id="15762" xr3:uid="{FB1D7587-FA3B-499F-8599-5609B729586C}" name="15982" dataDxfId="628"/>
    <tableColumn id="15763" xr3:uid="{6201833E-5687-4CC1-8916-789B58880882}" name="15983" dataDxfId="627"/>
    <tableColumn id="15764" xr3:uid="{7BBFD3A8-6F2D-4425-A892-80AF2035C4FF}" name="15984" dataDxfId="626"/>
    <tableColumn id="15765" xr3:uid="{243AF257-8708-456C-B2F7-5A4B8D31CB06}" name="15985" dataDxfId="625"/>
    <tableColumn id="15766" xr3:uid="{A97BBD50-A8DD-47E0-A11C-10853C14B79A}" name="15986" dataDxfId="624"/>
    <tableColumn id="15767" xr3:uid="{3CA9D9BE-AC09-422D-A17C-98352C4DECF3}" name="15987" dataDxfId="623"/>
    <tableColumn id="15768" xr3:uid="{22817E9F-790C-4768-8F99-7E105DB946E3}" name="15988" dataDxfId="622"/>
    <tableColumn id="15769" xr3:uid="{4B6B3552-351D-49A4-ACE6-B0B48DC03726}" name="15989" dataDxfId="621"/>
    <tableColumn id="15770" xr3:uid="{62E37CF0-D75E-44BD-9AF5-CD27557E71EF}" name="15990" dataDxfId="620"/>
    <tableColumn id="15771" xr3:uid="{007910DF-1B1C-4D50-8C8A-920CC3CD1658}" name="15991" dataDxfId="619"/>
    <tableColumn id="15772" xr3:uid="{E4DD786C-2EC1-4CCB-8F13-4042B64F32C6}" name="15992" dataDxfId="618"/>
    <tableColumn id="15773" xr3:uid="{1B5B2DFB-1A71-4BCE-959A-3FF023238A18}" name="15993" dataDxfId="617"/>
    <tableColumn id="15774" xr3:uid="{D9967D4D-49C2-4201-8174-1038A5ED1380}" name="15994" dataDxfId="616"/>
    <tableColumn id="15775" xr3:uid="{BF269420-F615-4DE1-9DEF-E1D4EEA616E0}" name="15995" dataDxfId="615"/>
    <tableColumn id="15776" xr3:uid="{3AC7FED4-2143-4147-8713-2985AB0CA2FA}" name="15996" dataDxfId="614"/>
    <tableColumn id="15777" xr3:uid="{30E23F70-F86F-40C0-84A3-9269FD3941CD}" name="15997" dataDxfId="613"/>
    <tableColumn id="15778" xr3:uid="{7092B790-6A48-4499-BEF4-0B1B0A2BA10D}" name="15998" dataDxfId="612"/>
    <tableColumn id="15779" xr3:uid="{C1729B64-646B-4B1D-AD86-56604CB98240}" name="15999" dataDxfId="611"/>
    <tableColumn id="15780" xr3:uid="{2535D3F8-9CCD-44A8-AB82-7221DE22C2BC}" name="16000" dataDxfId="610"/>
    <tableColumn id="15781" xr3:uid="{D3999B3E-2204-4FC8-B024-B039D54949F3}" name="16001" dataDxfId="609"/>
    <tableColumn id="15782" xr3:uid="{04175DDE-B0AC-4B3C-8EAB-1AF3CA9B181D}" name="16002" dataDxfId="608"/>
    <tableColumn id="15783" xr3:uid="{D908193B-501D-4A91-8492-A4A85B657E3B}" name="16003" dataDxfId="607"/>
    <tableColumn id="15784" xr3:uid="{66B932A8-0731-41B7-9E63-0E4A25B87B1F}" name="16004" dataDxfId="606"/>
    <tableColumn id="15785" xr3:uid="{FB899CD3-3F8B-4E0B-8556-E9E69B3F2307}" name="16005" dataDxfId="605"/>
    <tableColumn id="15786" xr3:uid="{5C5B2A08-ED1E-4FE5-94A8-FC061A071784}" name="16006" dataDxfId="604"/>
    <tableColumn id="15787" xr3:uid="{0E6C859B-707B-41EB-85C6-B7D8847A2309}" name="16007" dataDxfId="603"/>
    <tableColumn id="15788" xr3:uid="{C9A28FC7-2845-41CE-B394-0CB72787D83F}" name="16008" dataDxfId="602"/>
    <tableColumn id="15789" xr3:uid="{11FFC538-4F94-436F-88A2-5D2E0B5F7E19}" name="16009" dataDxfId="601"/>
    <tableColumn id="15790" xr3:uid="{FDA75914-DBF7-49DB-8F4B-35B982E0C562}" name="16010" dataDxfId="600"/>
    <tableColumn id="15791" xr3:uid="{FA2ECFF8-D51C-4906-A98E-44E0A45FE237}" name="16011" dataDxfId="599"/>
    <tableColumn id="15792" xr3:uid="{0A7C3A90-7085-4EBA-802D-8FC52C469A74}" name="16012" dataDxfId="598"/>
    <tableColumn id="15793" xr3:uid="{02783B39-EE1F-4C9A-90C7-DBACE54DA260}" name="16013" dataDxfId="597"/>
    <tableColumn id="15794" xr3:uid="{592B46BF-DCD1-47D4-8592-7591828747FC}" name="16014" dataDxfId="596"/>
    <tableColumn id="15795" xr3:uid="{D093C6D2-76A9-4033-BA57-7F5AFEA20475}" name="16015" dataDxfId="595"/>
    <tableColumn id="15796" xr3:uid="{45B67DC7-5DB7-4181-8D87-40B9E24F9FCF}" name="16016" dataDxfId="594"/>
    <tableColumn id="15797" xr3:uid="{7BCF0196-04BD-4C01-9F47-DAA39C1CEDA5}" name="16017" dataDxfId="593"/>
    <tableColumn id="15798" xr3:uid="{FBC04D9E-FA55-4CE5-B58C-50ADE8CC0F8E}" name="16018" dataDxfId="592"/>
    <tableColumn id="15799" xr3:uid="{664D3ABC-6B79-45D2-8A23-F3B48529D0B9}" name="16019" dataDxfId="591"/>
    <tableColumn id="15800" xr3:uid="{6576A396-21EC-490B-8E48-C1E7FA9F73C9}" name="16020" dataDxfId="590"/>
    <tableColumn id="15801" xr3:uid="{91D1E929-BE6E-4E01-8693-B80B1B293154}" name="16021" dataDxfId="589"/>
    <tableColumn id="15802" xr3:uid="{01E4D97A-22AB-4B06-8729-2D56BEA086D5}" name="16022" dataDxfId="588"/>
    <tableColumn id="15803" xr3:uid="{23D60C6A-6F1A-450D-91C0-179D86B930F0}" name="16023" dataDxfId="587"/>
    <tableColumn id="15804" xr3:uid="{F13F7E86-B417-4219-ADCB-633C2D0DE10B}" name="16024" dataDxfId="586"/>
    <tableColumn id="15805" xr3:uid="{1D5374FD-D277-4710-A221-5D4D01B4117E}" name="16025" dataDxfId="585"/>
    <tableColumn id="15806" xr3:uid="{06B3CCAF-85FA-47B1-A0E5-97AD14208B11}" name="16026" dataDxfId="584"/>
    <tableColumn id="15807" xr3:uid="{6B3BA2DC-B37A-4C09-BE71-81B67BABDF5E}" name="16027" dataDxfId="583"/>
    <tableColumn id="15808" xr3:uid="{100D7980-9EAE-4F89-B535-0D8D55147987}" name="16028" dataDxfId="582"/>
    <tableColumn id="15809" xr3:uid="{2E272C1B-23B4-4CED-A28B-A28C728F00FE}" name="16029" dataDxfId="581"/>
    <tableColumn id="15810" xr3:uid="{BEB7F09E-773E-4DC8-AE9B-7C6B313432D1}" name="16030" dataDxfId="580"/>
    <tableColumn id="15811" xr3:uid="{60B6FBB9-5462-418D-AA01-C0087C889E43}" name="16031" dataDxfId="579"/>
    <tableColumn id="15812" xr3:uid="{2AFC4777-FECE-4F9C-9356-7EB05542A042}" name="16032" dataDxfId="578"/>
    <tableColumn id="15813" xr3:uid="{151C93AC-D963-466F-ADA3-4D5288366518}" name="16033" dataDxfId="577"/>
    <tableColumn id="15814" xr3:uid="{6CECA307-7E98-4191-A93B-C7652A1D115C}" name="16034" dataDxfId="576"/>
    <tableColumn id="15815" xr3:uid="{E7A17168-A0ED-4F0B-8510-826F2E7BC73A}" name="16035" dataDxfId="575"/>
    <tableColumn id="15816" xr3:uid="{94446C42-17E4-4377-B4BC-2FBB98D24AB2}" name="16036" dataDxfId="574"/>
    <tableColumn id="15817" xr3:uid="{422EFDA9-8D5B-44FD-9757-7D13D4319060}" name="16037" dataDxfId="573"/>
    <tableColumn id="15818" xr3:uid="{095FA71A-6377-4A15-B4A9-EF4958DED7CE}" name="16038" dataDxfId="572"/>
    <tableColumn id="15819" xr3:uid="{A9892534-C1DD-4964-A817-D0C91C2F48E7}" name="16039" dataDxfId="571"/>
    <tableColumn id="15820" xr3:uid="{0BF99D19-A1F1-4B8C-9C6B-3CD94F0929EE}" name="16040" dataDxfId="570"/>
    <tableColumn id="15821" xr3:uid="{E49CE2C5-8A2E-4D14-A3AB-78AAE248E69B}" name="16041" dataDxfId="569"/>
    <tableColumn id="15822" xr3:uid="{29D0F530-D7EE-4FC9-A158-B19883D76749}" name="16042" dataDxfId="568"/>
    <tableColumn id="15823" xr3:uid="{E94757A0-5F93-4F82-BC13-F2DD038498C1}" name="16043" dataDxfId="567"/>
    <tableColumn id="15824" xr3:uid="{A81A32B3-4F9E-42B1-BEFE-33434ED16C38}" name="16044" dataDxfId="566"/>
    <tableColumn id="15825" xr3:uid="{941970C5-DDEA-4E5C-9516-888A7268D01B}" name="16045" dataDxfId="565"/>
    <tableColumn id="15826" xr3:uid="{1267C7BC-C68C-4677-939A-40B15E8684E1}" name="16046" dataDxfId="564"/>
    <tableColumn id="15827" xr3:uid="{70D79361-FB7D-4BB3-B77B-D5FC62A522CA}" name="16047" dataDxfId="563"/>
    <tableColumn id="15828" xr3:uid="{A640F203-3287-4738-822C-4DDB2BFBB98C}" name="16048" dataDxfId="562"/>
    <tableColumn id="15829" xr3:uid="{0D5C3AA6-DD90-4256-A2D1-E17509FFB4C4}" name="16049" dataDxfId="561"/>
    <tableColumn id="15830" xr3:uid="{76FC3E96-4806-498C-A2D7-9E857E93289C}" name="16050" dataDxfId="560"/>
    <tableColumn id="15831" xr3:uid="{828172B6-11E3-4D02-9570-03960C550CE2}" name="16051" dataDxfId="559"/>
    <tableColumn id="15832" xr3:uid="{2C51385A-1057-41DC-8AC0-B496F24036A1}" name="16052" dataDxfId="558"/>
    <tableColumn id="15833" xr3:uid="{93652181-8583-4218-8CFE-DFE31E86A1D1}" name="16053" dataDxfId="557"/>
    <tableColumn id="15834" xr3:uid="{48B81002-D333-4ED2-9EE2-F625F6C4D8AE}" name="16054" dataDxfId="556"/>
    <tableColumn id="15835" xr3:uid="{B6CF8C07-0046-49FD-94DA-CA0ED8D4390A}" name="16055" dataDxfId="555"/>
    <tableColumn id="15836" xr3:uid="{248B5F51-3E03-4790-9995-43F29091C721}" name="16056" dataDxfId="554"/>
    <tableColumn id="15837" xr3:uid="{9508922E-29FB-41CD-A92F-0CB68FF688F2}" name="16057" dataDxfId="553"/>
    <tableColumn id="15838" xr3:uid="{3F91D6D0-7AEC-4087-ACF3-5260139B2987}" name="16058" dataDxfId="552"/>
    <tableColumn id="15839" xr3:uid="{FE083433-046C-4FDF-9BFD-091AB11191AF}" name="16059" dataDxfId="551"/>
    <tableColumn id="15840" xr3:uid="{DA811DE4-43CB-4BEC-AAD3-AEB6C76DA4CF}" name="16060" dataDxfId="550"/>
    <tableColumn id="15841" xr3:uid="{A5A44AE3-26D5-4931-B037-737D9D2D9376}" name="16061" dataDxfId="549"/>
    <tableColumn id="15842" xr3:uid="{688D82E1-7B61-457A-BE95-814007DBD489}" name="16062" dataDxfId="548"/>
    <tableColumn id="15843" xr3:uid="{0A845AD9-A58A-4AE0-998B-45BEE63CE620}" name="16063" dataDxfId="547"/>
    <tableColumn id="15844" xr3:uid="{A1579F15-9D82-46B4-8CDE-DFA5FFBFF770}" name="16064" dataDxfId="546"/>
    <tableColumn id="15845" xr3:uid="{541DD59A-6ED7-41BF-94E4-1A59AF5D5478}" name="16065" dataDxfId="545"/>
    <tableColumn id="15846" xr3:uid="{F603753F-3937-42FA-94B8-A4916873F272}" name="16066" dataDxfId="544"/>
    <tableColumn id="15847" xr3:uid="{5343B833-76D5-4690-A06C-AB72FD53F9A9}" name="16067" dataDxfId="543"/>
    <tableColumn id="15848" xr3:uid="{B1735358-BF18-423C-85CA-3B7FA66421D2}" name="16068" dataDxfId="542"/>
    <tableColumn id="15849" xr3:uid="{50929A82-1F86-43E7-89D0-C4FC14ADFF76}" name="16069" dataDxfId="541"/>
    <tableColumn id="15850" xr3:uid="{F9E5AD87-C0C2-4CD3-83B9-4E4426E8223C}" name="16070" dataDxfId="540"/>
    <tableColumn id="15851" xr3:uid="{01688E5E-7D92-4CA1-A315-554836006452}" name="16071" dataDxfId="539"/>
    <tableColumn id="15852" xr3:uid="{08FEC256-AFC9-463F-A50F-E9EE26F0EA4B}" name="16072" dataDxfId="538"/>
    <tableColumn id="15853" xr3:uid="{BC50C61C-606B-458E-B3DA-E93B08B622BA}" name="16073" dataDxfId="537"/>
    <tableColumn id="15854" xr3:uid="{A77A918F-FB1D-4EC4-9E6B-5F57CE7B9B47}" name="16074" dataDxfId="536"/>
    <tableColumn id="15855" xr3:uid="{B58DF69C-DE36-4DB7-A5DE-3D62AF7D0220}" name="16075" dataDxfId="535"/>
    <tableColumn id="15856" xr3:uid="{1165D745-5549-43BB-AD8F-9CA64C4C8448}" name="16076" dataDxfId="534"/>
    <tableColumn id="15857" xr3:uid="{4506504D-16EF-41B3-880C-2EF1E44E8F69}" name="16077" dataDxfId="533"/>
    <tableColumn id="15858" xr3:uid="{02144406-9D83-4C2C-93AE-34B5A4EE6BF1}" name="16078" dataDxfId="532"/>
    <tableColumn id="15859" xr3:uid="{D98BEB41-BC18-45F2-AC9D-033B68AF4E3A}" name="16079" dataDxfId="531"/>
    <tableColumn id="15860" xr3:uid="{D79BCC00-B2CF-4E12-8F0B-1BC323AB67F3}" name="16080" dataDxfId="530"/>
    <tableColumn id="15861" xr3:uid="{CC8FE8D8-CEE4-4FC7-9B15-468354AE0566}" name="16081" dataDxfId="529"/>
    <tableColumn id="15862" xr3:uid="{DD26034C-2D29-480B-A39B-991A31048337}" name="16082" dataDxfId="528"/>
    <tableColumn id="15863" xr3:uid="{3CED6CE9-9863-4086-9676-95601AA245D4}" name="16083" dataDxfId="527"/>
    <tableColumn id="15864" xr3:uid="{3FCA0766-E41C-477F-827B-9A0ED1D41314}" name="16084" dataDxfId="526"/>
    <tableColumn id="15865" xr3:uid="{450568FE-D260-4C19-BA70-C65B12F33067}" name="16085" dataDxfId="525"/>
    <tableColumn id="15866" xr3:uid="{DE9C7D1E-2BDB-48AC-A693-2B0B0071FA28}" name="16086" dataDxfId="524"/>
    <tableColumn id="15867" xr3:uid="{7A4BA86B-ABC0-4A91-9433-BA6B2B9D5E6F}" name="16087" dataDxfId="523"/>
    <tableColumn id="15868" xr3:uid="{9FB7AA08-A60F-468F-BF35-306DF1E2EAB8}" name="16088" dataDxfId="522"/>
    <tableColumn id="15869" xr3:uid="{3F15AFE6-B881-4EC1-8D24-A9E0529424E2}" name="16089" dataDxfId="521"/>
    <tableColumn id="15870" xr3:uid="{F7AED141-41CE-459F-8DC6-962E043D42F6}" name="16090" dataDxfId="520"/>
    <tableColumn id="15871" xr3:uid="{48C3AEE0-E1FF-45E3-AAD6-0BCF7AC60B1A}" name="16091" dataDxfId="519"/>
    <tableColumn id="15872" xr3:uid="{451CA1AC-1DC6-4294-983A-9DE75B61C592}" name="16092" dataDxfId="518"/>
    <tableColumn id="15873" xr3:uid="{F6414EC7-1BB3-4BF7-9F3C-771E8F3FF978}" name="16093" dataDxfId="517"/>
    <tableColumn id="15874" xr3:uid="{841077DD-FD26-4F70-9F02-CD777CD3BA50}" name="16094" dataDxfId="516"/>
    <tableColumn id="15875" xr3:uid="{058C2BB6-D1E9-4875-9CE4-5F3BF7533997}" name="16095" dataDxfId="515"/>
    <tableColumn id="15876" xr3:uid="{27601F15-AACC-4AFF-85F2-B004987F9D26}" name="16096" dataDxfId="514"/>
    <tableColumn id="15877" xr3:uid="{B0966F3F-D917-493C-AC56-FEED28661755}" name="16097" dataDxfId="513"/>
    <tableColumn id="15878" xr3:uid="{74E00B08-39F0-4898-995C-39F160309115}" name="16098" dataDxfId="512"/>
    <tableColumn id="15879" xr3:uid="{565CD0F5-B625-4C8A-9042-0E0255CDA097}" name="16099" dataDxfId="511"/>
    <tableColumn id="15880" xr3:uid="{2AC9BE69-9624-47B7-A5F9-513994D181A9}" name="16100" dataDxfId="510"/>
    <tableColumn id="15881" xr3:uid="{2060F6E1-1BBA-4E38-A0D6-6AF57B2591F4}" name="16101" dataDxfId="509"/>
    <tableColumn id="15882" xr3:uid="{72742E85-E73F-4F6E-AEF2-6153BFC8236B}" name="16102" dataDxfId="508"/>
    <tableColumn id="15883" xr3:uid="{42642F2C-08DF-47DF-B391-72A2C7DE741B}" name="16103" dataDxfId="507"/>
    <tableColumn id="15884" xr3:uid="{54D30965-00BB-467C-AC38-0B5D797256CF}" name="16104" dataDxfId="506"/>
    <tableColumn id="15885" xr3:uid="{07F95F09-C56C-4034-B9C6-3E1902819746}" name="16105" dataDxfId="505"/>
    <tableColumn id="15886" xr3:uid="{8E449EDC-AC26-44E6-A788-B5EE2643B0AB}" name="16106" dataDxfId="504"/>
    <tableColumn id="15887" xr3:uid="{2023C310-E745-4BD8-A181-C643E66F027C}" name="16107" dataDxfId="503"/>
    <tableColumn id="15888" xr3:uid="{827BEB1E-45FE-49AE-9150-94FFCCA81A6F}" name="16108" dataDxfId="502"/>
    <tableColumn id="15889" xr3:uid="{234E5426-9948-4AD1-9ECC-F92E262972B7}" name="16109" dataDxfId="501"/>
    <tableColumn id="15890" xr3:uid="{A44969D5-9C4C-4DD3-903F-D9C5576F7CF1}" name="16110" dataDxfId="500"/>
    <tableColumn id="15891" xr3:uid="{60A4D992-86EA-4795-9146-78516865EAA5}" name="16111" dataDxfId="499"/>
    <tableColumn id="15892" xr3:uid="{9084FCCA-9836-457E-B2AE-368C6BAE8B24}" name="16112" dataDxfId="498"/>
    <tableColumn id="15893" xr3:uid="{EF5AD815-3337-40D2-85F7-60FABF1CAC77}" name="16113" dataDxfId="497"/>
    <tableColumn id="15894" xr3:uid="{0BD5E4CC-B185-4588-BB25-E3DCC68021E6}" name="16114" dataDxfId="496"/>
    <tableColumn id="15895" xr3:uid="{DBA692EB-5889-427B-95C3-3FACCD8391AA}" name="16115" dataDxfId="495"/>
    <tableColumn id="15896" xr3:uid="{8C8EF2D7-0ED2-428D-A88E-3B13EC10BA86}" name="16116" dataDxfId="494"/>
    <tableColumn id="15897" xr3:uid="{02F0E4C6-0801-4335-BF0A-A80A11EE665E}" name="16117" dataDxfId="493"/>
    <tableColumn id="15898" xr3:uid="{73022C1E-95B4-4599-9F20-18DE0B546D73}" name="16118" dataDxfId="492"/>
    <tableColumn id="15899" xr3:uid="{2EBFF0BA-3772-42DC-88DE-995CB46FD8D8}" name="16119" dataDxfId="491"/>
    <tableColumn id="15900" xr3:uid="{11A0EA5E-BE85-44D8-BA4F-A125BBB40A63}" name="16120" dataDxfId="490"/>
    <tableColumn id="15901" xr3:uid="{8A649A71-FCCB-4EA3-87E3-BE5EB4B039B6}" name="16121" dataDxfId="489"/>
    <tableColumn id="15902" xr3:uid="{EFD35710-AD52-482A-B3FB-D74D94F54937}" name="16122" dataDxfId="488"/>
    <tableColumn id="15903" xr3:uid="{8953EBD3-45DF-4CB9-BCF6-B4E6D8952131}" name="16123" dataDxfId="487"/>
    <tableColumn id="15904" xr3:uid="{B919154B-4166-47C5-AB94-CB819DAE3905}" name="16124" dataDxfId="486"/>
    <tableColumn id="15905" xr3:uid="{746642B5-89A8-400F-8F4B-E16B14755207}" name="16125" dataDxfId="485"/>
    <tableColumn id="15906" xr3:uid="{D51214DE-F7D9-4448-87DB-C1309432896C}" name="16126" dataDxfId="484"/>
    <tableColumn id="15907" xr3:uid="{9D6E1E99-15AC-4E1B-856A-840EB8A1BAC6}" name="16127" dataDxfId="483"/>
    <tableColumn id="15908" xr3:uid="{361FB80F-B570-4286-A9A4-0EEAE63E5172}" name="16128" dataDxfId="482"/>
    <tableColumn id="15909" xr3:uid="{C0E16F9A-0F53-4F7D-A1EC-6629389AD726}" name="16129" dataDxfId="481"/>
    <tableColumn id="15910" xr3:uid="{50D3E770-4985-4598-B3B0-3E2544C5E409}" name="16130" dataDxfId="480"/>
    <tableColumn id="15911" xr3:uid="{A426A96B-84BD-4DA1-9678-03BBCF5B36C7}" name="16131" dataDxfId="479"/>
    <tableColumn id="15912" xr3:uid="{77F09908-9FC6-4D27-9777-F9D4C021ACC4}" name="16132" dataDxfId="478"/>
    <tableColumn id="15913" xr3:uid="{DA5F58EC-1EAE-4317-9C11-816EF81AA8F6}" name="16133" dataDxfId="477"/>
    <tableColumn id="15914" xr3:uid="{069422FC-D8D3-471D-8B71-7E1E80D9A8E7}" name="16134" dataDxfId="476"/>
    <tableColumn id="15915" xr3:uid="{1B4C32E2-AB5E-4368-AEE0-3227C1223FF0}" name="16135" dataDxfId="475"/>
    <tableColumn id="15916" xr3:uid="{ACBF06D2-85BA-4557-88F3-F52F774BE807}" name="16136" dataDxfId="474"/>
    <tableColumn id="15917" xr3:uid="{5CC42007-1FC1-448B-8A26-A13541087F11}" name="16137" dataDxfId="473"/>
    <tableColumn id="15918" xr3:uid="{F041F21B-EA50-4688-8BE0-86788BF35EC0}" name="16138" dataDxfId="472"/>
    <tableColumn id="15919" xr3:uid="{5D557C36-0B89-4C11-B731-96DAB3F73394}" name="16139" dataDxfId="471"/>
    <tableColumn id="15920" xr3:uid="{6DD324AF-6156-44C2-94A9-DC70B467F8F2}" name="16140" dataDxfId="470"/>
    <tableColumn id="15921" xr3:uid="{455B1045-7E6C-4F39-BC6A-EA41C628913D}" name="16141" dataDxfId="469"/>
    <tableColumn id="15922" xr3:uid="{6DD7AB35-132A-4B44-87C5-6CF1A2377362}" name="16142" dataDxfId="468"/>
    <tableColumn id="15923" xr3:uid="{D060436B-473E-43F0-B04C-DD9B4BB595B3}" name="16143" dataDxfId="467"/>
    <tableColumn id="15924" xr3:uid="{543BD2E3-2E1C-4630-99C0-ADCF31BCE02B}" name="16144" dataDxfId="466"/>
    <tableColumn id="15925" xr3:uid="{961F7329-56CD-4E59-B8D0-FB2EDC006327}" name="16145" dataDxfId="465"/>
    <tableColumn id="15926" xr3:uid="{99D62739-5815-43BB-8D04-5CC7DF7C4DE6}" name="16146" dataDxfId="464"/>
    <tableColumn id="15927" xr3:uid="{63E2FA7A-C562-4004-8B63-9B324FDD2A71}" name="16147" dataDxfId="463"/>
    <tableColumn id="15928" xr3:uid="{0DDAA1C1-7268-4875-8E1E-923664A1D7DA}" name="16148" dataDxfId="462"/>
    <tableColumn id="15929" xr3:uid="{6B727482-DE3E-4DA5-B513-16E2A01C0FD6}" name="16149" dataDxfId="461"/>
    <tableColumn id="15930" xr3:uid="{4F87169A-91B2-467E-9187-9A0A37E384A4}" name="16150" dataDxfId="460"/>
    <tableColumn id="15931" xr3:uid="{06AB760F-DF4E-41F7-A49A-D172F9246703}" name="16151" dataDxfId="459"/>
    <tableColumn id="15932" xr3:uid="{6C8C8B63-31C1-4948-B975-9D5C4D1E2491}" name="16152" dataDxfId="458"/>
    <tableColumn id="15933" xr3:uid="{44790119-1A42-4F2A-801A-770D71952FB3}" name="16153" dataDxfId="457"/>
    <tableColumn id="15934" xr3:uid="{C3335E73-393A-422E-8640-BA1A63C79176}" name="16154" dataDxfId="456"/>
    <tableColumn id="15935" xr3:uid="{AE039930-B69E-4628-8B7E-7F826ABC7910}" name="16155" dataDxfId="455"/>
    <tableColumn id="15936" xr3:uid="{EB3065E2-B61B-4FEA-825C-2CC93BC926EF}" name="16156" dataDxfId="454"/>
    <tableColumn id="15937" xr3:uid="{C6CB8CE1-D3C8-4EC0-B540-7F11F232C49A}" name="16157" dataDxfId="453"/>
    <tableColumn id="15938" xr3:uid="{B46E9D39-F94A-4A4C-BD08-4ED29D738EDE}" name="16158" dataDxfId="452"/>
    <tableColumn id="15939" xr3:uid="{86F9B095-FA51-40C2-9657-DB1E9D149CDE}" name="16159" dataDxfId="451"/>
    <tableColumn id="15940" xr3:uid="{9825C282-4368-438C-AA91-FEA700BE809D}" name="16160" dataDxfId="450"/>
    <tableColumn id="15941" xr3:uid="{701C99AB-1FB9-42B7-BC63-FEE9082D4EA2}" name="16161" dataDxfId="449"/>
    <tableColumn id="15942" xr3:uid="{FF1C828D-A7FC-44DB-A2FE-7C693E6A80A1}" name="16162" dataDxfId="448"/>
    <tableColumn id="15943" xr3:uid="{9D525A3C-90C8-4DAF-BE55-F38A67CA3BEE}" name="16163" dataDxfId="447"/>
    <tableColumn id="15944" xr3:uid="{234C6760-6AF8-437A-BA45-5320B2733AD4}" name="16164" dataDxfId="446"/>
    <tableColumn id="15945" xr3:uid="{3BA30BC1-D3FF-41C4-BB3E-22DACDF41437}" name="16165" dataDxfId="445"/>
    <tableColumn id="15946" xr3:uid="{24CF8051-AEC2-4AA2-A6B3-525555233B44}" name="16166" dataDxfId="444"/>
    <tableColumn id="15947" xr3:uid="{BFC07C4E-7E6A-4A10-8D23-71020E718556}" name="16167" dataDxfId="443"/>
    <tableColumn id="15948" xr3:uid="{CEECAC74-9953-4E5A-947A-405EC4D50086}" name="16168" dataDxfId="442"/>
    <tableColumn id="15949" xr3:uid="{A7ACCD99-71FE-41C6-A8C6-CB7CB5752D0D}" name="16169" dataDxfId="441"/>
    <tableColumn id="15950" xr3:uid="{A05A42D8-93F9-498A-9C68-07E19E31B86C}" name="16170" dataDxfId="440"/>
    <tableColumn id="15951" xr3:uid="{EDD31E5D-7FFD-4A2E-9932-BAD72D6C42B1}" name="16171" dataDxfId="439"/>
    <tableColumn id="15952" xr3:uid="{BBB8FC13-63C4-4E26-B5C9-B3FB605653F2}" name="16172" dataDxfId="438"/>
    <tableColumn id="15953" xr3:uid="{8552CC9E-CEB0-4F42-A42B-1107E3D0AC1A}" name="16173" dataDxfId="437"/>
    <tableColumn id="15954" xr3:uid="{E70B88D5-3840-4D26-84F5-7C3CE268D5C4}" name="16174" dataDxfId="436"/>
    <tableColumn id="15955" xr3:uid="{5A76ED64-3311-4837-BF8B-C0B6E70B5A09}" name="16175" dataDxfId="435"/>
    <tableColumn id="15956" xr3:uid="{EF3A4954-430C-43E1-AE92-DA148FD1132C}" name="16176" dataDxfId="434"/>
    <tableColumn id="15957" xr3:uid="{1B0D7FD5-6F55-4333-BCE3-005EA27C78C6}" name="16177" dataDxfId="433"/>
    <tableColumn id="15958" xr3:uid="{C0C8FC16-F707-4E68-B7B0-88FDEB2CABC1}" name="16178" dataDxfId="432"/>
    <tableColumn id="15959" xr3:uid="{5AA2981B-4E30-4ABE-825C-89FDB666A63C}" name="16179" dataDxfId="431"/>
    <tableColumn id="15960" xr3:uid="{841B3A17-4230-4335-94CE-280FF55FE8F9}" name="16180" dataDxfId="430"/>
    <tableColumn id="15961" xr3:uid="{2C0844DA-356D-4A60-8C96-96EF9B17706F}" name="16181" dataDxfId="429"/>
    <tableColumn id="15962" xr3:uid="{4AC3FCE0-1601-4FD6-9375-28C3B21A76E3}" name="16182" dataDxfId="428"/>
    <tableColumn id="15963" xr3:uid="{B4E90790-731A-4565-99AF-73B29CA6CCA5}" name="16183" dataDxfId="427"/>
    <tableColumn id="15964" xr3:uid="{47DC7D4A-0F4D-43AB-8218-89D73A6523DE}" name="16184" dataDxfId="426"/>
    <tableColumn id="15965" xr3:uid="{15E88F9F-9B0F-40D9-A6F5-497504BB390A}" name="16185" dataDxfId="425"/>
    <tableColumn id="15966" xr3:uid="{DD621B78-48E3-48B8-B179-E0608522D2D9}" name="16186" dataDxfId="424"/>
    <tableColumn id="15967" xr3:uid="{643E9A06-D509-4DEA-B212-FFD50581C5B5}" name="16187" dataDxfId="423"/>
    <tableColumn id="15968" xr3:uid="{1F1CF1ED-6E28-4F32-AD7B-5AD8EDB85ECC}" name="16188" dataDxfId="422"/>
    <tableColumn id="15969" xr3:uid="{E1C12A9C-F36A-4869-B9F8-98C2024CDA8B}" name="16189" dataDxfId="421"/>
    <tableColumn id="15970" xr3:uid="{DBA26F22-9D8F-47A7-B6B2-F27E06BD99BC}" name="16190" dataDxfId="420"/>
    <tableColumn id="15971" xr3:uid="{2C7D2FB6-34B0-4535-AD6E-BFF6B21B0455}" name="16191" dataDxfId="419"/>
    <tableColumn id="15972" xr3:uid="{768EA423-EE75-4AB2-BC70-A1DFD1612544}" name="16192" dataDxfId="418"/>
    <tableColumn id="15973" xr3:uid="{812ADCB9-2EF7-46E3-98E7-F312F2F07973}" name="16193" dataDxfId="417"/>
    <tableColumn id="15974" xr3:uid="{7C53B423-D9F3-42E4-A40F-51762A8E67E8}" name="16194" dataDxfId="416"/>
    <tableColumn id="15975" xr3:uid="{7E7FB650-DCAA-4EF7-8E87-D51DD4A17A89}" name="16195" dataDxfId="415"/>
    <tableColumn id="15976" xr3:uid="{84057F71-45E5-4656-8DA7-CF6885D18668}" name="16196" dataDxfId="414"/>
    <tableColumn id="15977" xr3:uid="{D22EDB13-8A71-4122-8DBA-1BB522F5753C}" name="16197" dataDxfId="413"/>
    <tableColumn id="15978" xr3:uid="{792A481F-8125-4971-967D-4AE10EFCD033}" name="16198" dataDxfId="412"/>
    <tableColumn id="15979" xr3:uid="{8E80DF85-B8E0-4C97-AA1F-033C7E9C5549}" name="16199" dataDxfId="411"/>
    <tableColumn id="15980" xr3:uid="{649FD763-1165-42FC-9925-E1EC23288A8E}" name="16200" dataDxfId="410"/>
    <tableColumn id="15981" xr3:uid="{E00D8C18-E090-4639-A1B9-6FDBD5F7F95B}" name="16201" dataDxfId="409"/>
    <tableColumn id="15982" xr3:uid="{718F0345-64D2-413C-B3B8-2E83FA1EAD6C}" name="16202" dataDxfId="408"/>
    <tableColumn id="15983" xr3:uid="{F46DDCE8-8D0A-4EB7-B8B1-AE463022505A}" name="16203" dataDxfId="407"/>
    <tableColumn id="15984" xr3:uid="{D69A3097-AD96-4E4A-BF29-7D6A4EE70BBC}" name="16204" dataDxfId="406"/>
    <tableColumn id="15985" xr3:uid="{1C77DCD6-EE19-4ADB-8C03-8610F67E087F}" name="16205" dataDxfId="405"/>
    <tableColumn id="15986" xr3:uid="{0CC851D3-1600-4B6A-A17A-68C793E6111B}" name="16206" dataDxfId="404"/>
    <tableColumn id="15987" xr3:uid="{B4A6ED63-9257-4E88-B2C2-46469F2A2EEF}" name="16207" dataDxfId="403"/>
    <tableColumn id="15988" xr3:uid="{9CABA0E4-74AE-458E-8167-8EEF574CD608}" name="16208" dataDxfId="402"/>
    <tableColumn id="15989" xr3:uid="{32EA840B-38FF-436F-89C0-ECB766EFBF2D}" name="16209" dataDxfId="401"/>
    <tableColumn id="15990" xr3:uid="{217C6278-1A5D-4CAC-B219-E9E5B0C402B7}" name="16210" dataDxfId="400"/>
    <tableColumn id="15991" xr3:uid="{6BE498CC-5073-404D-ACBE-E451E3F1848D}" name="16211" dataDxfId="399"/>
    <tableColumn id="15992" xr3:uid="{F01B1BD3-0E3D-4A6E-A3FF-10B1B4E66B5B}" name="16212" dataDxfId="398"/>
    <tableColumn id="15993" xr3:uid="{A302D5DB-39E6-40F9-889C-30CB34581A98}" name="16213" dataDxfId="397"/>
    <tableColumn id="15994" xr3:uid="{E68DC70D-B023-42F2-93B1-8FC025DAA2A1}" name="16214" dataDxfId="396"/>
    <tableColumn id="15995" xr3:uid="{2D1486F4-62FF-41A6-A1AC-4FA028F756B8}" name="16215" dataDxfId="395"/>
    <tableColumn id="15996" xr3:uid="{AB3C019C-3624-439F-9D7D-20452F168510}" name="16216" dataDxfId="394"/>
    <tableColumn id="15997" xr3:uid="{2EFEA969-02B7-43FC-9A3E-0AA286966D96}" name="16217" dataDxfId="393"/>
    <tableColumn id="15998" xr3:uid="{C9523297-3001-45CC-8C8E-CE0BD415F1F2}" name="16218" dataDxfId="392"/>
    <tableColumn id="15999" xr3:uid="{5262D866-A4DC-491F-8580-E1A884064BBB}" name="16219" dataDxfId="391"/>
    <tableColumn id="16000" xr3:uid="{A8BA85AB-054E-4A98-BFAE-311D759D0CF7}" name="16220" dataDxfId="390"/>
    <tableColumn id="16001" xr3:uid="{694692A4-BFC6-4A89-A5EF-31E8F0604E63}" name="16221" dataDxfId="389"/>
    <tableColumn id="16002" xr3:uid="{BA43FBB9-40AB-4C79-BF32-6460019A2F72}" name="16222" dataDxfId="388"/>
    <tableColumn id="16003" xr3:uid="{881D34A2-1DE0-4983-839E-36D94F605069}" name="16223" dataDxfId="387"/>
    <tableColumn id="16004" xr3:uid="{3E664C45-6C75-475B-96F6-1A387C6E99F2}" name="16224" dataDxfId="386"/>
    <tableColumn id="16005" xr3:uid="{4BF23EE2-65F7-464B-80E3-10D1F210835C}" name="16225" dataDxfId="385"/>
    <tableColumn id="16006" xr3:uid="{536B9A6B-CA0C-4822-B802-3E5455B66320}" name="16226" dataDxfId="384"/>
    <tableColumn id="16007" xr3:uid="{BDD5356B-5DAA-47C0-98C6-B852A60271F3}" name="16227" dataDxfId="383"/>
    <tableColumn id="16008" xr3:uid="{1FA23ABD-8490-4043-9B2D-E6369B964B97}" name="16228" dataDxfId="382"/>
    <tableColumn id="16009" xr3:uid="{8D102CB0-4B33-4817-8D68-62E097A385C8}" name="16229" dataDxfId="381"/>
    <tableColumn id="16010" xr3:uid="{7ACD0DB7-D39C-4245-AD26-B131A1CF3AA8}" name="16230" dataDxfId="380"/>
    <tableColumn id="16011" xr3:uid="{529BA9E9-A903-4BC2-8C64-0EF24BE68DE0}" name="16231" dataDxfId="379"/>
    <tableColumn id="16012" xr3:uid="{07889B85-340C-4686-9808-7D62293EB68F}" name="16232" dataDxfId="378"/>
    <tableColumn id="16013" xr3:uid="{E6DA0985-FF02-4303-8C6A-CF9A6E28321D}" name="16233" dataDxfId="377"/>
    <tableColumn id="16014" xr3:uid="{E1154249-1A4A-474C-9590-F8B9D3770B3A}" name="16234" dataDxfId="376"/>
    <tableColumn id="16015" xr3:uid="{843B2064-7A2C-4E26-956B-B641A3208CDA}" name="16235" dataDxfId="375"/>
    <tableColumn id="16016" xr3:uid="{497F6524-C116-44E1-B6EC-9F5571EB93F7}" name="16236" dataDxfId="374"/>
    <tableColumn id="16017" xr3:uid="{0241F867-45D2-4E06-98A5-5260DAEDE76A}" name="16237" dataDxfId="373"/>
    <tableColumn id="16018" xr3:uid="{C0888391-F912-4100-9C05-ABF9F3C0839D}" name="16238" dataDxfId="372"/>
    <tableColumn id="16019" xr3:uid="{34E5961D-1474-43C1-BF05-F116231FC055}" name="16239" dataDxfId="371"/>
    <tableColumn id="16020" xr3:uid="{AF49699F-AB26-4DB0-8F4C-45E2F529988D}" name="16240" dataDxfId="370"/>
    <tableColumn id="16021" xr3:uid="{C7ADF822-2420-452F-8741-214E7EA2A437}" name="16241" dataDxfId="369"/>
    <tableColumn id="16022" xr3:uid="{D44F6067-3560-496B-BAE1-90B7F97C54E2}" name="16242" dataDxfId="368"/>
    <tableColumn id="16023" xr3:uid="{8156F62F-A569-46D3-8073-6AE3619D01CD}" name="16243" dataDxfId="367"/>
    <tableColumn id="16024" xr3:uid="{793F3AFE-A880-41FC-A5BB-41E85A072DF0}" name="16244" dataDxfId="366"/>
    <tableColumn id="16025" xr3:uid="{F9D14988-39A9-494E-9B9F-C467A7646F54}" name="16245" dataDxfId="365"/>
    <tableColumn id="16026" xr3:uid="{046D758E-D85D-4E88-8C1D-B1E20E3C1195}" name="16246" dataDxfId="364"/>
    <tableColumn id="16027" xr3:uid="{017D0759-6674-454D-BB71-1391745D6CE4}" name="16247" dataDxfId="363"/>
    <tableColumn id="16028" xr3:uid="{7C0C9E7F-0415-4A5E-9826-1D048E53FAF4}" name="16248" dataDxfId="362"/>
    <tableColumn id="16029" xr3:uid="{1146571B-8562-4CCA-89B1-086B1156367F}" name="16249" dataDxfId="361"/>
    <tableColumn id="16030" xr3:uid="{7B99FA05-8BC0-4FA9-B6CF-4B078C398BF0}" name="16250" dataDxfId="360"/>
    <tableColumn id="16031" xr3:uid="{D3852F8A-8CC0-4EDC-BAEF-2994BDB5C781}" name="16251" dataDxfId="359"/>
    <tableColumn id="16032" xr3:uid="{C2B1EC00-2410-4BCD-B08B-712D8B24D2BE}" name="16252" dataDxfId="358"/>
    <tableColumn id="16033" xr3:uid="{2B867523-E0A3-4DCC-94FC-504508EBFA27}" name="16253" dataDxfId="357"/>
    <tableColumn id="16034" xr3:uid="{B5D743E1-C5A2-4ADF-9355-F0EFC1A53E1F}" name="16254" dataDxfId="356"/>
    <tableColumn id="16035" xr3:uid="{9ED9B006-0B04-48CB-A89C-0FBD830BDD58}" name="16255" dataDxfId="355"/>
    <tableColumn id="16036" xr3:uid="{40654CA3-CC3C-404D-9A68-BB33BF962C95}" name="16256" dataDxfId="354"/>
    <tableColumn id="16037" xr3:uid="{E6D7DC64-FAF8-481D-90EC-6EF6ADE6C1E9}" name="16257" dataDxfId="353"/>
    <tableColumn id="16038" xr3:uid="{761F1514-8BCB-4ECF-A64F-0F9CEA18C0C1}" name="16258" dataDxfId="352"/>
    <tableColumn id="16039" xr3:uid="{656E4A6C-BECE-450C-9798-41B506E6C149}" name="16259" dataDxfId="351"/>
    <tableColumn id="16040" xr3:uid="{35DBD2ED-F8D7-43F9-AAA8-930B93B95970}" name="16260" dataDxfId="350"/>
    <tableColumn id="16041" xr3:uid="{5825E84E-3031-4D3A-BEC3-E1295F249677}" name="16261" dataDxfId="349"/>
    <tableColumn id="16042" xr3:uid="{EE2BA259-8518-4183-A0A2-5DBCA58F74EA}" name="16262" dataDxfId="348"/>
    <tableColumn id="16043" xr3:uid="{580F9A07-9634-4303-AA30-8689EB56C07D}" name="16263" dataDxfId="347"/>
    <tableColumn id="16044" xr3:uid="{A36F3E31-9307-4E5F-9B79-223EC4D23595}" name="16264" dataDxfId="346"/>
    <tableColumn id="16045" xr3:uid="{BF9D1356-ED32-4ACD-84A3-D82587184833}" name="16265" dataDxfId="345"/>
    <tableColumn id="16046" xr3:uid="{18BCEDA6-B049-44CA-BA79-45A29EC175FF}" name="16266" dataDxfId="344"/>
    <tableColumn id="16047" xr3:uid="{761AE9E5-9BD4-4C71-B86B-D8CEB2387ACF}" name="16267" dataDxfId="343"/>
    <tableColumn id="16048" xr3:uid="{287150A4-9AB6-4110-9270-6AFD4B2E7E6A}" name="16268" dataDxfId="342"/>
    <tableColumn id="16049" xr3:uid="{948C0540-82F1-49F9-A9AC-4A70F7473A9A}" name="16269" dataDxfId="341"/>
    <tableColumn id="16050" xr3:uid="{29E1AA35-760A-472E-83F1-9A8325DEE236}" name="16270" dataDxfId="340"/>
    <tableColumn id="16051" xr3:uid="{A36978D3-049F-48BC-A1F0-DBD5F6B60818}" name="16271" dataDxfId="339"/>
    <tableColumn id="16052" xr3:uid="{941A7192-2636-4EE2-88A6-9ABCB841CE7B}" name="16272" dataDxfId="338"/>
    <tableColumn id="16053" xr3:uid="{D5EFF024-4C3B-4784-A977-745738CD6F93}" name="16273" dataDxfId="337"/>
    <tableColumn id="16054" xr3:uid="{CBC1FD34-BC29-41BF-8B90-450C008F747B}" name="16274" dataDxfId="336"/>
    <tableColumn id="16055" xr3:uid="{DFDE8B7A-A7AA-4606-B86A-6155E379ECAB}" name="16275" dataDxfId="335"/>
    <tableColumn id="16056" xr3:uid="{EC47B11F-9020-4DE5-83ED-6D6FDBC0BC46}" name="16276" dataDxfId="334"/>
    <tableColumn id="16057" xr3:uid="{400C0BC2-47AE-480C-8E16-CF347160A561}" name="16277" dataDxfId="333"/>
    <tableColumn id="16058" xr3:uid="{AEC7183C-92C6-455F-A8E7-C622579EE9B5}" name="16278" dataDxfId="332"/>
    <tableColumn id="16059" xr3:uid="{E0DC8790-4EDA-4C70-83C4-08925F9AE768}" name="16279" dataDxfId="331"/>
    <tableColumn id="16060" xr3:uid="{05D52674-BBB7-4DA9-A082-617DC7BF95A3}" name="16280" dataDxfId="330"/>
    <tableColumn id="16061" xr3:uid="{17F710C1-A64A-43DB-B635-E396C8CA5C54}" name="16281" dataDxfId="329"/>
    <tableColumn id="16062" xr3:uid="{630ED457-38BA-47B1-AEEE-936D3824536E}" name="16282" dataDxfId="328"/>
    <tableColumn id="16063" xr3:uid="{6E46C084-D4BB-4558-887A-0BE797CC2AD9}" name="16283" dataDxfId="327"/>
    <tableColumn id="16064" xr3:uid="{F25AB3B7-7D53-4E7B-BA87-FDC65F309157}" name="16284" dataDxfId="326"/>
    <tableColumn id="16065" xr3:uid="{51CE6C21-4007-4393-93F2-353EAFB35D17}" name="16285" dataDxfId="325"/>
    <tableColumn id="16066" xr3:uid="{7D7017D0-82C5-4FC2-AEA5-A94345B29DFF}" name="16286" dataDxfId="324"/>
    <tableColumn id="16067" xr3:uid="{DC5511D2-65F4-4ED6-91E1-DDCE5D10F1D3}" name="16287" dataDxfId="323"/>
    <tableColumn id="16068" xr3:uid="{3F28D404-98EF-4123-ADFB-3A027DD56C0B}" name="16288" dataDxfId="322"/>
    <tableColumn id="16069" xr3:uid="{B282CDD6-EB18-4D7C-A02F-862ADFDCF61D}" name="16289" dataDxfId="321"/>
    <tableColumn id="16070" xr3:uid="{C5E3330C-BCC1-4F5A-8CF1-279B942500D1}" name="16290" dataDxfId="320"/>
    <tableColumn id="16071" xr3:uid="{788C9895-B72B-4A7B-8CD3-9CFB4238345F}" name="16291" dataDxfId="319"/>
    <tableColumn id="16072" xr3:uid="{4269B924-717D-4863-BA28-EE890A921EA9}" name="16292" dataDxfId="318"/>
    <tableColumn id="16073" xr3:uid="{5DEC15B1-5DD6-425C-A60B-06A331579F79}" name="16293" dataDxfId="317"/>
    <tableColumn id="16074" xr3:uid="{033919B7-3B72-4B06-AABD-A1F67DC7E684}" name="16294" dataDxfId="316"/>
    <tableColumn id="16075" xr3:uid="{526F5147-1099-4636-B0C2-8B62A4C570C6}" name="16295" dataDxfId="315"/>
    <tableColumn id="16076" xr3:uid="{F21DDDB9-AA6F-478C-B4E8-C5704141C5A1}" name="16296" dataDxfId="314"/>
    <tableColumn id="16077" xr3:uid="{F50A3987-8840-4EC8-97A2-A373A51183AA}" name="16297" dataDxfId="313"/>
    <tableColumn id="16078" xr3:uid="{F9D6AF09-F9D7-4285-97A4-15BDA6414E01}" name="16298" dataDxfId="312"/>
    <tableColumn id="16079" xr3:uid="{E0ECDC5D-FD13-4CC9-AEF8-80C3500E0AEF}" name="16299" dataDxfId="311"/>
    <tableColumn id="16080" xr3:uid="{B4598FD0-40E5-4853-93CF-D5BAD01652B9}" name="16300" dataDxfId="310"/>
    <tableColumn id="16081" xr3:uid="{B30333B8-B72C-4E6A-B59C-6B457A8390A3}" name="16301" dataDxfId="309"/>
    <tableColumn id="16082" xr3:uid="{DB3CAEE3-C471-45D2-8C73-F73AB2C9E300}" name="16302" dataDxfId="308"/>
    <tableColumn id="16083" xr3:uid="{7AB88087-647E-4B98-91A5-9B58DA21EBB2}" name="16303" dataDxfId="307"/>
    <tableColumn id="16084" xr3:uid="{E5CD6DC1-98BE-4C32-A410-6079F00E220B}" name="16304" dataDxfId="306"/>
    <tableColumn id="16085" xr3:uid="{35674753-C736-4935-8B67-BB6029E6CD28}" name="16305" dataDxfId="305"/>
    <tableColumn id="16086" xr3:uid="{B87D084C-DB1F-4CE2-9783-4BB00C7EFADF}" name="16306" dataDxfId="304"/>
    <tableColumn id="16087" xr3:uid="{C4961616-D885-4B74-A7F8-8E09CFBA1D07}" name="16307" dataDxfId="303"/>
    <tableColumn id="16088" xr3:uid="{05E24BDE-9210-4A8A-BAB0-22E5DD3269FC}" name="16308" dataDxfId="302"/>
    <tableColumn id="16089" xr3:uid="{F5B6D6D5-49DF-4B5A-B30E-71DBE20928EA}" name="16309" dataDxfId="301"/>
    <tableColumn id="16090" xr3:uid="{43E40266-0884-43A2-B6F1-F11EAE0431CB}" name="16310" dataDxfId="300"/>
    <tableColumn id="16091" xr3:uid="{39E8C5BC-A480-485E-9B79-2FFC558B7DA7}" name="16311" dataDxfId="299"/>
    <tableColumn id="16092" xr3:uid="{B13ADA93-8F8A-4B7B-BA07-8BEE9B34EDAB}" name="16312" dataDxfId="298"/>
    <tableColumn id="16093" xr3:uid="{1C079FF0-E0E3-462D-8884-3BF8E148862D}" name="16313" dataDxfId="297"/>
    <tableColumn id="16094" xr3:uid="{ADC8E42A-F6A7-4529-9D5A-E71003259D0A}" name="16314" dataDxfId="296"/>
    <tableColumn id="16095" xr3:uid="{93C08AF7-AC57-4795-A0D7-C6E9D4404A54}" name="16315" dataDxfId="295"/>
    <tableColumn id="16096" xr3:uid="{0C2D3F56-C050-4657-BD82-2B5F79EDAFEC}" name="16316" dataDxfId="294"/>
    <tableColumn id="16097" xr3:uid="{19A77C19-7547-476A-B875-EFA9DC4517AE}" name="16317" dataDxfId="293"/>
    <tableColumn id="16098" xr3:uid="{49C902F9-4358-4687-B9CA-6C17B9B29CCC}" name="16318" dataDxfId="292"/>
    <tableColumn id="16099" xr3:uid="{782C75D3-1C0C-4858-A660-19262194A43B}" name="16319" dataDxfId="291"/>
    <tableColumn id="16100" xr3:uid="{015E832A-6A34-4C22-8D04-F8A2185445B1}" name="16320" dataDxfId="290"/>
    <tableColumn id="16101" xr3:uid="{A492B9CA-998A-45D3-9220-808479D471DD}" name="16321" dataDxfId="289"/>
    <tableColumn id="16102" xr3:uid="{8AA0D2BF-64A0-4818-B4ED-3DCE2E916153}" name="16322" dataDxfId="288"/>
    <tableColumn id="16103" xr3:uid="{BC3FFB25-9030-46D8-8900-60E8A5A8D335}" name="16323" dataDxfId="287"/>
    <tableColumn id="16104" xr3:uid="{F752D368-F460-4E7E-8361-B8CBFE24A2FA}" name="16324" dataDxfId="286"/>
    <tableColumn id="16105" xr3:uid="{72130746-F384-4836-AD07-D759B4E20F9C}" name="16325" dataDxfId="285"/>
    <tableColumn id="16106" xr3:uid="{4B47B87C-06DE-451F-808F-F3E73C3C00B4}" name="16326" dataDxfId="284"/>
    <tableColumn id="16107" xr3:uid="{76C7EEA3-BABC-424D-A395-A22BC87289AF}" name="16327" dataDxfId="283"/>
    <tableColumn id="16108" xr3:uid="{68094846-DFE5-44A1-BA7C-E0499AB7D609}" name="16328" dataDxfId="282"/>
    <tableColumn id="16109" xr3:uid="{971996AE-87F1-45EC-8EC6-A1E7B2BCC1D9}" name="16329" dataDxfId="281"/>
    <tableColumn id="16110" xr3:uid="{F836E573-8107-4F51-A0AE-BCD460293B44}" name="16330" dataDxfId="280"/>
    <tableColumn id="16111" xr3:uid="{1C5EE192-B0B4-4C51-8199-83A5F24DF5A2}" name="16331" dataDxfId="279"/>
    <tableColumn id="16112" xr3:uid="{99B59452-A854-495F-BBCD-941AEE81ACCE}" name="16332" dataDxfId="278"/>
    <tableColumn id="16113" xr3:uid="{D917C87D-B87D-4E68-8C53-44E6B2B1B0AC}" name="16333" dataDxfId="277"/>
    <tableColumn id="16114" xr3:uid="{9ECB34B0-882A-49D3-963E-84671DEAF71E}" name="16334" dataDxfId="276"/>
    <tableColumn id="16115" xr3:uid="{9349F49B-B53B-42FA-970F-BCE57F958E04}" name="16335" dataDxfId="275"/>
    <tableColumn id="16116" xr3:uid="{88312E6F-1BE9-473F-B5D5-D050180A4FF6}" name="16336" dataDxfId="274"/>
    <tableColumn id="16117" xr3:uid="{F04B32E6-ADF8-4587-ADA8-C9935320A758}" name="16337" dataDxfId="273"/>
    <tableColumn id="16118" xr3:uid="{C690162D-D07A-4E14-8657-DF119FA06661}" name="16338" dataDxfId="272"/>
    <tableColumn id="16119" xr3:uid="{589C0A9B-19CF-4532-A948-68B5AD70EE06}" name="16339" dataDxfId="271"/>
    <tableColumn id="16120" xr3:uid="{E10EC279-E716-4902-970E-75B06CCEF284}" name="16340" dataDxfId="270"/>
    <tableColumn id="16121" xr3:uid="{F02FFD90-D171-4816-B43C-8B2D116CBF72}" name="16341" dataDxfId="269"/>
    <tableColumn id="16122" xr3:uid="{8A856D8C-EE9D-49A3-8B70-B775E0BAAF43}" name="16342" dataDxfId="268"/>
    <tableColumn id="16123" xr3:uid="{5B056234-8C9E-45A0-BB26-10C43E27F4FD}" name="16343" dataDxfId="267"/>
    <tableColumn id="16124" xr3:uid="{A4CEBFB6-C4BB-4F0E-BBDC-9C80C1C6D4BB}" name="16344" dataDxfId="266"/>
    <tableColumn id="16125" xr3:uid="{1F811CC0-3095-453C-8AAB-143FF08E6CD0}" name="16345" dataDxfId="265"/>
    <tableColumn id="16126" xr3:uid="{B3D812FA-03C8-4B8B-BB09-58F494894D31}" name="16346" dataDxfId="264"/>
    <tableColumn id="16127" xr3:uid="{EC771D23-3356-4A50-8A09-F43409F573B4}" name="16347" dataDxfId="263"/>
    <tableColumn id="16128" xr3:uid="{4DEE32B0-8EBD-49C6-93EE-D96D7A3BF358}" name="16348" dataDxfId="262"/>
    <tableColumn id="16129" xr3:uid="{63170CD7-3299-4408-8116-2F561FC1B27E}" name="16349" dataDxfId="261"/>
    <tableColumn id="16130" xr3:uid="{9F4DCCE3-B47F-41C8-8E7C-0A087DE3F997}" name="16350" dataDxfId="260"/>
    <tableColumn id="16131" xr3:uid="{C77742A2-D4E5-404B-8F35-301ED49F2076}" name="16351" dataDxfId="259"/>
    <tableColumn id="16132" xr3:uid="{E2765D4D-24F8-448A-980C-0F7DA31F50A5}" name="16352" dataDxfId="258"/>
    <tableColumn id="16133" xr3:uid="{F1A776CF-2E91-4DF4-90FC-33B494123501}" name="16353" dataDxfId="257"/>
    <tableColumn id="16134" xr3:uid="{71E1CD30-5DE3-4E25-A536-B3C27EDE4E39}" name="16354" dataDxfId="256"/>
    <tableColumn id="16135" xr3:uid="{8D5145ED-9E69-463F-9565-569FAC99CB13}" name="16355" dataDxfId="255"/>
    <tableColumn id="16136" xr3:uid="{D2E7DD6C-C6CF-4FA6-B07D-AD3C47F568BE}" name="16356" dataDxfId="254"/>
    <tableColumn id="16137" xr3:uid="{23D8DA9E-843F-4A12-A0EF-9F0229813DA0}" name="16357" dataDxfId="253"/>
    <tableColumn id="16138" xr3:uid="{EE62E4AE-FB49-4A7C-B49F-8EBCBCB6F75C}" name="16358" dataDxfId="252"/>
    <tableColumn id="16139" xr3:uid="{7A338330-F685-4F24-9312-A53E936DE2EA}" name="16359" dataDxfId="251"/>
    <tableColumn id="16140" xr3:uid="{D719D89C-2563-4331-B0EE-C10B5CD2EF25}" name="16360" dataDxfId="250"/>
    <tableColumn id="16141" xr3:uid="{2AC01604-9844-477B-8513-FCB9BA84B556}" name="16361" dataDxfId="249"/>
    <tableColumn id="16142" xr3:uid="{03A029A9-A85A-4E5A-98EC-382E6A43F4E1}" name="16362" dataDxfId="248"/>
    <tableColumn id="16143" xr3:uid="{635FC227-0F68-4069-A667-7F12FDDE2BC3}" name="16363" dataDxfId="247"/>
    <tableColumn id="16144" xr3:uid="{4487F103-5D9E-493D-BDE1-77CE03CCAC54}" name="16364" dataDxfId="246"/>
    <tableColumn id="16145" xr3:uid="{66C073D0-894E-4739-92DB-149CEB10066D}" name="16365" dataDxfId="245"/>
    <tableColumn id="16146" xr3:uid="{4A97D19C-C403-4873-BA5D-8D0116AB88A1}" name="16366" dataDxfId="244"/>
    <tableColumn id="16147" xr3:uid="{24366876-8113-4FC4-8507-80539F778A59}" name="16367" dataDxfId="243"/>
    <tableColumn id="16148" xr3:uid="{23C8BDE7-83EA-4E0B-BB2F-F4FAB48D92AD}" name="16368" dataDxfId="242"/>
    <tableColumn id="16149" xr3:uid="{B98FB453-1926-44EC-A250-6BFE6F240786}" name="16369" dataDxfId="241"/>
    <tableColumn id="16150" xr3:uid="{14080B9B-A5C6-4ADF-8840-DD7F0C63C61D}" name="16370" dataDxfId="240"/>
    <tableColumn id="16151" xr3:uid="{FCD1B875-D3DA-413A-9129-68B203507A8D}" name="16371" dataDxfId="239"/>
    <tableColumn id="16152" xr3:uid="{0C3F17A4-4D91-4EA7-BB83-1B72E7C7E26F}" name="16372" dataDxfId="238"/>
    <tableColumn id="16153" xr3:uid="{230762C3-28FF-4FF2-A86C-A09CB94DF1DD}" name="16373" dataDxfId="237"/>
    <tableColumn id="16154" xr3:uid="{F096E862-EF7E-4D93-975C-861DC8A5DC6C}" name="16374" dataDxfId="236"/>
    <tableColumn id="16155" xr3:uid="{1927CC16-0839-4D4C-9468-59A05901F3CF}" name="16375" dataDxfId="235"/>
    <tableColumn id="16156" xr3:uid="{471A46AF-88F4-49CB-A2E9-96C9A80D49AF}" name="16376" dataDxfId="234"/>
    <tableColumn id="16157" xr3:uid="{2EE09EDA-3582-4737-99BE-45AEDAFEA803}" name="16377" dataDxfId="233"/>
    <tableColumn id="16158" xr3:uid="{37AB5693-6A08-452D-B157-4EF63F35D19E}" name="16378" dataDxfId="232"/>
    <tableColumn id="16159" xr3:uid="{B0200B26-6E28-4AD1-AFEE-BC732A2D89C9}" name="16379" dataDxfId="231"/>
    <tableColumn id="16160" xr3:uid="{E35A832D-D095-4DE1-A4D3-F672043ED571}" name="16380" dataDxfId="230"/>
    <tableColumn id="16161" xr3:uid="{EA1D2447-3555-4CD5-8E2F-B371283CB441}" name="16381" dataDxfId="229"/>
    <tableColumn id="16162" xr3:uid="{975C3776-78BB-4FB0-9F39-8F7AE7B553E8}" name="16382" dataDxfId="228"/>
    <tableColumn id="16163" xr3:uid="{3CEBF24D-CF6C-4A4C-A12D-AD313D5F6579}" name="16383" dataDxfId="227"/>
    <tableColumn id="16164" xr3:uid="{7E3B8606-7BB5-4114-8CC1-F9DBA5EA4742}" name="16384" dataDxfId="226"/>
    <tableColumn id="16165" xr3:uid="{635BF31B-AB7C-479F-9C5E-A22844D2C97C}" name="16385" dataDxfId="225"/>
    <tableColumn id="16166" xr3:uid="{87A0815F-C717-4AA4-9BFE-577C52B93058}" name="16386" dataDxfId="224"/>
    <tableColumn id="16167" xr3:uid="{3FDA9AC3-E4D9-4CCA-BE2F-BF3B4DCC7766}" name="16387" dataDxfId="223"/>
    <tableColumn id="16168" xr3:uid="{1A9EE0A4-61B4-4EC6-8CB9-9ED237D2B19B}" name="16388" dataDxfId="222"/>
    <tableColumn id="16169" xr3:uid="{EB3FBA75-5857-4639-85AA-0E86657FBC64}" name="16389" dataDxfId="221"/>
    <tableColumn id="16170" xr3:uid="{80A0FD4E-91DA-404E-8216-7B88F6A8697D}" name="16390" dataDxfId="220"/>
    <tableColumn id="16171" xr3:uid="{88822018-3E6A-461F-A54E-D8E22EE871B1}" name="16391" dataDxfId="219"/>
    <tableColumn id="16172" xr3:uid="{7B03663C-4639-48EC-B436-F313E689DCE6}" name="16392" dataDxfId="218"/>
    <tableColumn id="16173" xr3:uid="{9091F6BB-92F0-4F27-923D-0E2A09D3FC10}" name="16393" dataDxfId="217"/>
    <tableColumn id="16174" xr3:uid="{45F4C8A0-E5F0-423B-AE6C-F67FB430D051}" name="16394" dataDxfId="216"/>
    <tableColumn id="16175" xr3:uid="{DC9FEA1B-6AF6-4D70-B1BF-941A10701AEB}" name="16395" dataDxfId="215"/>
    <tableColumn id="16176" xr3:uid="{904B72DE-F56A-438D-8ACE-05D7D8D6ABF7}" name="16396" dataDxfId="214"/>
    <tableColumn id="16177" xr3:uid="{D25EFCE3-2F05-42EE-9352-C10C1093D05A}" name="16397" dataDxfId="213"/>
    <tableColumn id="16178" xr3:uid="{001898D2-B4EC-405C-B9D6-F9ACDC09C15A}" name="16398" dataDxfId="212"/>
    <tableColumn id="16179" xr3:uid="{1F39E7E7-BEB3-41AB-856C-DF552C5D75D7}" name="16399" dataDxfId="211"/>
    <tableColumn id="16180" xr3:uid="{7B1E6220-16F0-4993-ABAF-12DD38CFDDA6}" name="16400" dataDxfId="210"/>
    <tableColumn id="16181" xr3:uid="{055816F3-B012-45DF-B674-159755E10E46}" name="16401" dataDxfId="209"/>
    <tableColumn id="16182" xr3:uid="{511B4B85-3C8F-4374-B135-7B29B1DB1592}" name="16402" dataDxfId="208"/>
    <tableColumn id="16183" xr3:uid="{D44BCF8E-C6BD-43D0-8902-3BB513FAA66E}" name="16403" dataDxfId="207"/>
    <tableColumn id="16184" xr3:uid="{89313737-C7E8-4AC9-95F9-E9C3FA82B77A}" name="16404" dataDxfId="206"/>
    <tableColumn id="16185" xr3:uid="{02686822-CE21-4381-9C19-5C9237BA7790}" name="16405" dataDxfId="205"/>
    <tableColumn id="16186" xr3:uid="{28E29E35-2E2C-4C04-8EBE-D93E9BD091D0}" name="16406" dataDxfId="204"/>
    <tableColumn id="16187" xr3:uid="{E7F698CA-1F51-4F90-959C-D10DD35D9BC6}" name="16407" dataDxfId="203"/>
    <tableColumn id="16188" xr3:uid="{8F424C42-16A5-4455-BB56-C46087CF82ED}" name="16408" dataDxfId="202"/>
    <tableColumn id="16189" xr3:uid="{0149A287-8151-4F42-9A68-98F93BDAEC99}" name="16409" dataDxfId="201"/>
    <tableColumn id="16190" xr3:uid="{30FBB440-92CD-44F7-A401-6F41DECFA22C}" name="16410" dataDxfId="200"/>
    <tableColumn id="16191" xr3:uid="{4F3FD982-756E-4837-95DA-2D31A77E7E08}" name="16411" dataDxfId="199"/>
    <tableColumn id="16192" xr3:uid="{DB562A06-2E21-4069-99D1-BF51049C9655}" name="16412" dataDxfId="198"/>
    <tableColumn id="16193" xr3:uid="{07278507-AFF5-4512-B9C9-BB70F8D8B43B}" name="16413" dataDxfId="197"/>
    <tableColumn id="16194" xr3:uid="{935EA83A-A651-4BA2-8599-02A3A04CBE50}" name="16414" dataDxfId="196"/>
    <tableColumn id="16195" xr3:uid="{04006422-248A-40E6-B45D-023CF415EFC4}" name="16415" dataDxfId="195"/>
    <tableColumn id="16196" xr3:uid="{196D60F7-9CA2-4393-B85A-10A9ED531DB6}" name="16416" dataDxfId="194"/>
    <tableColumn id="16197" xr3:uid="{EA8F34DF-808C-48E7-A0DD-59255B878874}" name="16417" dataDxfId="193"/>
    <tableColumn id="16198" xr3:uid="{497EABA8-2FE7-48DA-90E6-3905A192055D}" name="16418" dataDxfId="192"/>
    <tableColumn id="16199" xr3:uid="{1D8429C9-2CE6-4CDB-A8AC-18FF6856776F}" name="16419" dataDxfId="191"/>
    <tableColumn id="16200" xr3:uid="{C8C79FAE-F089-4576-80C5-60335CFA6372}" name="16420" dataDxfId="190"/>
    <tableColumn id="16201" xr3:uid="{0969D1B3-8575-46DA-880C-857B2DEEFB30}" name="16421" dataDxfId="189"/>
    <tableColumn id="16202" xr3:uid="{9FACCACF-80EA-4785-A168-1095C4E3F23A}" name="16422" dataDxfId="188"/>
    <tableColumn id="16203" xr3:uid="{E3673A17-A3E6-4D5B-9195-62A52DEFF951}" name="16423" dataDxfId="187"/>
    <tableColumn id="16204" xr3:uid="{D7608CC8-EDFC-4E0F-9ABD-958D41F8CA76}" name="16424" dataDxfId="186"/>
    <tableColumn id="16205" xr3:uid="{B6046189-9B00-48EE-B111-9985DCDB71E2}" name="16425" dataDxfId="185"/>
    <tableColumn id="16206" xr3:uid="{A6162B04-A142-4402-91C4-343688344C89}" name="16426" dataDxfId="184"/>
    <tableColumn id="16207" xr3:uid="{058B52C3-4D3E-402F-BED9-C9A0BB629EC4}" name="16427" dataDxfId="183"/>
    <tableColumn id="16208" xr3:uid="{F84EC170-43F2-44C3-98D1-DDD3E787185A}" name="16428" dataDxfId="182"/>
    <tableColumn id="16209" xr3:uid="{75F7DCB3-931E-45CE-9505-FD96181AEF71}" name="16429" dataDxfId="181"/>
    <tableColumn id="16210" xr3:uid="{3FFAE988-4D8D-44B2-A609-93BD9E911C99}" name="16430" dataDxfId="180"/>
    <tableColumn id="16211" xr3:uid="{8D9E35F2-9898-44BF-8CC4-47AEDFFC07F0}" name="16431" dataDxfId="179"/>
    <tableColumn id="16212" xr3:uid="{E43ACBDE-2C9E-4C1E-B316-7C6226360B0E}" name="16432" dataDxfId="178"/>
    <tableColumn id="16213" xr3:uid="{3C2B9E5A-DA9B-4DD1-B01D-C8C4DB0DB63B}" name="16433" dataDxfId="177"/>
    <tableColumn id="16214" xr3:uid="{ECA817AC-E212-41A7-8048-438BC2C307C6}" name="16434" dataDxfId="176"/>
    <tableColumn id="16215" xr3:uid="{EA6CE6AA-89A5-46CB-8E13-524A08E5D25E}" name="16435" dataDxfId="175"/>
    <tableColumn id="16216" xr3:uid="{AA2B9584-DF76-4589-8BAA-BD78112BDD8C}" name="16436" dataDxfId="174"/>
    <tableColumn id="16217" xr3:uid="{AE463586-E85A-4827-AFE0-BEAB07F01979}" name="16437" dataDxfId="173"/>
    <tableColumn id="16218" xr3:uid="{E8429416-8458-46EA-8088-FA088344DA84}" name="16438" dataDxfId="172"/>
    <tableColumn id="16219" xr3:uid="{2C5E16BA-EFFA-40F9-9FC8-2FB8A23D4CCA}" name="16439" dataDxfId="171"/>
    <tableColumn id="16220" xr3:uid="{BF3D5D71-7610-46CF-9F58-4211D5301DA2}" name="16440" dataDxfId="170"/>
    <tableColumn id="16221" xr3:uid="{53FE192D-97D1-4C11-8257-D8F38B5110F0}" name="16441" dataDxfId="169"/>
    <tableColumn id="16222" xr3:uid="{CC2776E2-A5AA-4284-B776-764837F6DADA}" name="16442" dataDxfId="168"/>
    <tableColumn id="16223" xr3:uid="{860D5D80-C684-4E6E-9CD1-C3F57865D0E0}" name="16443" dataDxfId="167"/>
    <tableColumn id="16224" xr3:uid="{55E52FCB-6B66-4114-9011-C4E84A30F169}" name="16444" dataDxfId="166"/>
    <tableColumn id="16225" xr3:uid="{C7ED7855-E78A-4230-89B5-3BC0C55D4943}" name="16445" dataDxfId="165"/>
    <tableColumn id="16226" xr3:uid="{33C464BE-3033-49C2-A6FA-8C74556ABF7C}" name="16446" dataDxfId="164"/>
    <tableColumn id="16227" xr3:uid="{59BFBF95-FAD0-4814-81DD-EB4B629DC898}" name="16447" dataDxfId="163"/>
    <tableColumn id="16228" xr3:uid="{1C2C2B2B-17EA-4153-BDB2-1310A679A84F}" name="16448" dataDxfId="162"/>
    <tableColumn id="16229" xr3:uid="{7FD8CFD0-D8B5-4F0F-AC2E-99F437AA253A}" name="16449" dataDxfId="161"/>
    <tableColumn id="16230" xr3:uid="{B4A557DF-E793-4B0B-B762-4E0FEAFF684C}" name="16450" dataDxfId="160"/>
    <tableColumn id="16231" xr3:uid="{B67AB061-7731-422D-803A-A5A0EC5AEF20}" name="16451" dataDxfId="159"/>
    <tableColumn id="16232" xr3:uid="{453E3039-AC8B-4CF3-9375-0A4EE1E4E751}" name="16452" dataDxfId="158"/>
    <tableColumn id="16233" xr3:uid="{46C0FBF3-BF5E-449B-830F-D4D5EEB6521C}" name="16453" dataDxfId="157"/>
    <tableColumn id="16234" xr3:uid="{E07377E8-B45C-455A-BDA1-C570746D673F}" name="16454" dataDxfId="156"/>
    <tableColumn id="16235" xr3:uid="{9D1D062A-A8E3-43B9-BD43-A543C003F046}" name="16455" dataDxfId="155"/>
    <tableColumn id="16236" xr3:uid="{EF10F407-E7B3-480D-B032-04E707898B99}" name="16456" dataDxfId="154"/>
    <tableColumn id="16237" xr3:uid="{2D0E5F5C-9AE7-4176-93C9-0B02804358EA}" name="16457" dataDxfId="153"/>
    <tableColumn id="16238" xr3:uid="{F13FBB3A-8986-49A0-B2B6-7D5DE8DD9693}" name="16458" dataDxfId="152"/>
    <tableColumn id="16239" xr3:uid="{D26D6911-0707-43E2-81D3-6BF2C8F77C6D}" name="16459" dataDxfId="151"/>
    <tableColumn id="16240" xr3:uid="{70FB15F7-948B-4461-B7A5-3EC718279A95}" name="16460" dataDxfId="150"/>
    <tableColumn id="16241" xr3:uid="{90405447-F10C-4473-8813-07DAA4F5CD61}" name="16461" dataDxfId="149"/>
    <tableColumn id="16242" xr3:uid="{44C0BE38-17B4-4C0E-8756-925C5A3B6934}" name="16462" dataDxfId="148"/>
    <tableColumn id="16243" xr3:uid="{ECA2DB0E-BBE7-43D1-A3BC-EC00D191E0E3}" name="16463" dataDxfId="147"/>
    <tableColumn id="16244" xr3:uid="{0EA049C4-3A0C-415C-BED5-EB4D12EDF514}" name="16464" dataDxfId="146"/>
    <tableColumn id="16245" xr3:uid="{04D52383-C398-48F4-9DFA-3B6D89E4657D}" name="16465" dataDxfId="145"/>
    <tableColumn id="16246" xr3:uid="{A83357D2-E72B-4467-82DA-0858B6E71EEF}" name="16466" dataDxfId="144"/>
    <tableColumn id="16247" xr3:uid="{05600CF9-6229-40C4-8F64-465FF15B101D}" name="16467" dataDxfId="143"/>
    <tableColumn id="16248" xr3:uid="{5A99791E-F73E-4D33-8A98-F6BBA5E2EBD5}" name="16468" dataDxfId="142"/>
    <tableColumn id="16249" xr3:uid="{B404DADD-5963-423D-BCCA-0C117E677982}" name="16469" dataDxfId="141"/>
    <tableColumn id="16250" xr3:uid="{5CCF217E-C0D6-4EAA-8CA2-8DC0B6F46128}" name="16470" dataDxfId="140"/>
    <tableColumn id="16251" xr3:uid="{56D14A98-D2B1-4841-89D3-455155EE2DD7}" name="16471" dataDxfId="139"/>
    <tableColumn id="16252" xr3:uid="{16713E87-3466-43E6-89E2-C8E7A59B4E91}" name="16472" dataDxfId="138"/>
    <tableColumn id="16253" xr3:uid="{DD6B86C2-E9BB-4ACA-B149-349F3EC84DB6}" name="16473" dataDxfId="137"/>
    <tableColumn id="16254" xr3:uid="{01392FE8-C924-4996-9B3B-915CBD6BCE6A}" name="16474" dataDxfId="136"/>
    <tableColumn id="16255" xr3:uid="{167ABDF8-D956-41D3-9181-14CDB171F2DD}" name="16475" dataDxfId="135"/>
    <tableColumn id="16256" xr3:uid="{06A6602A-B25F-4903-8F3B-C5234FFF9234}" name="16476" dataDxfId="134"/>
    <tableColumn id="16257" xr3:uid="{3EF0E2AC-6232-4C7F-962C-D927888A9E97}" name="16477" dataDxfId="133"/>
    <tableColumn id="16258" xr3:uid="{94DD22CF-1988-4A5E-B9FE-B667A9AA1EA3}" name="16478" dataDxfId="132"/>
    <tableColumn id="16259" xr3:uid="{7A4C7F74-17B8-4AD4-896A-D1B0AD5605CC}" name="16479" dataDxfId="131"/>
    <tableColumn id="16260" xr3:uid="{D2115C3B-B055-43ED-B9ED-826359992DD2}" name="16480" dataDxfId="130"/>
    <tableColumn id="16261" xr3:uid="{BA7FB758-2128-4BB5-B11D-2A62B5962E6B}" name="16481" dataDxfId="129"/>
    <tableColumn id="16262" xr3:uid="{2E56538D-10BD-4F34-ADC7-83DD444AE323}" name="16482" dataDxfId="128"/>
    <tableColumn id="16263" xr3:uid="{8535DE59-AF09-439F-B057-B825F5A6DF5A}" name="16483" dataDxfId="127"/>
    <tableColumn id="16264" xr3:uid="{A44D9E1F-EF6A-416B-82AD-BD59AEED13B5}" name="16484" dataDxfId="126"/>
    <tableColumn id="16265" xr3:uid="{C591EA53-0208-4F08-836F-8D53BDD0DD50}" name="16485" dataDxfId="125"/>
    <tableColumn id="16266" xr3:uid="{B3452A8C-F3C1-4F47-9ED3-8850F2BA806C}" name="16486" dataDxfId="124"/>
    <tableColumn id="16267" xr3:uid="{FA831C9C-5F9C-4E8C-8C31-29A956725381}" name="16487" dataDxfId="123"/>
    <tableColumn id="16268" xr3:uid="{6E15E50F-94D8-4029-B391-D40585087058}" name="16488" dataDxfId="122"/>
    <tableColumn id="16269" xr3:uid="{7147D78E-6F75-497A-9081-4383D556C2FB}" name="16489" dataDxfId="121"/>
    <tableColumn id="16270" xr3:uid="{26E1BC39-18E0-4E8C-97B2-E4DB797E3AAF}" name="16490" dataDxfId="120"/>
    <tableColumn id="16271" xr3:uid="{D0797DCD-D7A6-4609-95B4-30AF04AF436C}" name="16491" dataDxfId="119"/>
    <tableColumn id="16272" xr3:uid="{DF256EF4-1336-4078-8D15-4F7A59CF3DE8}" name="16492" dataDxfId="118"/>
    <tableColumn id="16273" xr3:uid="{BCAB61D4-9204-44AF-B1CD-884D8C9F200D}" name="16493" dataDxfId="117"/>
    <tableColumn id="16274" xr3:uid="{D4E13AD4-83FC-406A-90CD-DEE802A1D440}" name="16494" dataDxfId="116"/>
    <tableColumn id="16275" xr3:uid="{D8F48360-2A9A-443C-BE60-00D2493FD83A}" name="16495" dataDxfId="115"/>
    <tableColumn id="16276" xr3:uid="{5FC74C3E-22C6-4E00-9135-7980A4536E09}" name="16496" dataDxfId="114"/>
    <tableColumn id="16277" xr3:uid="{65DBEB48-3837-4061-97BF-64FD4BB015D4}" name="16497" dataDxfId="113"/>
    <tableColumn id="16278" xr3:uid="{3FF0B958-A363-453B-AAAB-1736D16E4D3B}" name="16498" dataDxfId="112"/>
    <tableColumn id="16279" xr3:uid="{8B5CF723-D846-4BD6-9769-0B01BF5C6AE2}" name="16499" dataDxfId="111"/>
    <tableColumn id="16280" xr3:uid="{3B4EE909-36F3-4DB9-962A-93394E16DC88}" name="16500" dataDxfId="110"/>
    <tableColumn id="16281" xr3:uid="{482888A0-861D-4F2D-B97A-0004188A2C24}" name="16501" dataDxfId="109"/>
    <tableColumn id="16282" xr3:uid="{F3E379BA-6F9B-4AFB-9E89-4F8CCF01EEE8}" name="16502" dataDxfId="108"/>
    <tableColumn id="16283" xr3:uid="{B26A1FA0-D8B7-421F-9419-2787E15C0E36}" name="16503" dataDxfId="107"/>
    <tableColumn id="16284" xr3:uid="{B65A3548-E993-4382-9FF2-8068EA930FE3}" name="16504" dataDxfId="106"/>
    <tableColumn id="16285" xr3:uid="{674C9905-8828-4970-AEA1-7C67CA5D33E9}" name="16505" dataDxfId="105"/>
    <tableColumn id="16286" xr3:uid="{EDD0E428-28F0-455D-B710-6BA5A0633444}" name="16506" dataDxfId="104"/>
    <tableColumn id="16287" xr3:uid="{3288444E-3AF2-48B4-8828-198F86D303AF}" name="16507" dataDxfId="103"/>
    <tableColumn id="16288" xr3:uid="{2D471CD6-F398-4C4C-8BD3-EDDE00BF1B23}" name="16508" dataDxfId="102"/>
    <tableColumn id="16289" xr3:uid="{CC1EF26A-B93C-4E2F-BBFD-665E08C65471}" name="16509" dataDxfId="101"/>
    <tableColumn id="16290" xr3:uid="{691A0750-2DC9-45FB-B103-08FA9D2E5DBA}" name="16510" dataDxfId="100"/>
    <tableColumn id="16291" xr3:uid="{3B4B8E5B-8CD7-41EA-9572-EA9A041030A5}" name="16511" dataDxfId="99"/>
    <tableColumn id="16292" xr3:uid="{22EF5530-7561-4865-9924-D53E9A937AAE}" name="16512" dataDxfId="98"/>
    <tableColumn id="16293" xr3:uid="{32ABD925-7DE9-4D39-B337-4786D039E69C}" name="16513" dataDxfId="97"/>
    <tableColumn id="16294" xr3:uid="{19A6EAD6-5DCB-48F9-85CE-BAF790013B80}" name="16514" dataDxfId="96"/>
    <tableColumn id="16295" xr3:uid="{7F72C0EA-6D78-47C4-BC5C-7F9EC5CAD41B}" name="16515" dataDxfId="95"/>
    <tableColumn id="16296" xr3:uid="{D4CA3923-FE86-4B5C-B996-335F65408A40}" name="16516" dataDxfId="94"/>
    <tableColumn id="16297" xr3:uid="{F666D932-5A4F-4037-8D8F-EF2733442270}" name="16517" dataDxfId="93"/>
    <tableColumn id="16298" xr3:uid="{70AA9C72-85D3-43AE-B9FC-FA73FD107987}" name="16518" dataDxfId="92"/>
    <tableColumn id="16299" xr3:uid="{495C24E9-147B-45CF-B140-F2AA958D349D}" name="16519" dataDxfId="91"/>
    <tableColumn id="16300" xr3:uid="{0912B038-BA48-4328-95D5-F1F2EA992D02}" name="16520" dataDxfId="90"/>
    <tableColumn id="16301" xr3:uid="{1928C94C-3F0D-4223-BBAE-6111BDBD3041}" name="16521" dataDxfId="89"/>
    <tableColumn id="16302" xr3:uid="{70B4E0A2-5F12-4A8E-8334-A5526118FF4D}" name="16522" dataDxfId="88"/>
    <tableColumn id="16303" xr3:uid="{26A1437F-0238-47C0-A714-39CA04C831DC}" name="16523" dataDxfId="87"/>
    <tableColumn id="16304" xr3:uid="{1CD8310D-1616-4560-A69F-63F022721939}" name="16524" dataDxfId="86"/>
    <tableColumn id="16305" xr3:uid="{1A971C56-F457-4405-B944-C66D8190CDD4}" name="16525" dataDxfId="85"/>
    <tableColumn id="16306" xr3:uid="{FA69E04F-20D7-4F31-A544-9972C7B53B21}" name="16526" dataDxfId="84"/>
    <tableColumn id="16307" xr3:uid="{36BBB74E-1D5F-4677-B687-16E8ED18B70C}" name="16527" dataDxfId="83"/>
    <tableColumn id="16308" xr3:uid="{986E9361-03B6-4960-BEC9-BC0991B2519F}" name="16528" dataDxfId="82"/>
    <tableColumn id="16309" xr3:uid="{FD195C3C-E986-4130-9952-F30A48C2184C}" name="16529" dataDxfId="81"/>
    <tableColumn id="16310" xr3:uid="{0AC00B50-2F13-4FF1-9F90-A0F413B151EC}" name="16530" dataDxfId="80"/>
    <tableColumn id="16311" xr3:uid="{5D9A9BAF-17C3-4F2B-ADE9-5CD234D9EFAD}" name="16531" dataDxfId="79"/>
    <tableColumn id="16312" xr3:uid="{6B705083-37A3-4DB5-A314-8F905AAB3130}" name="16532" dataDxfId="78"/>
    <tableColumn id="16313" xr3:uid="{7FF69CEE-BCBF-4AE6-841E-F225E2CFD0D4}" name="16533" dataDxfId="77"/>
    <tableColumn id="16314" xr3:uid="{C7214EF8-33C3-490C-B824-1FA156BB9068}" name="16534" dataDxfId="76"/>
    <tableColumn id="16315" xr3:uid="{87AC4DBC-76BA-47CB-854F-48C22620E35E}" name="16535" dataDxfId="75"/>
    <tableColumn id="16316" xr3:uid="{3A146C01-F764-42A0-B4B5-0748C611AAA2}" name="16536" dataDxfId="74"/>
    <tableColumn id="16317" xr3:uid="{0202C99A-5130-4B57-BCF2-6DBB880D9105}" name="16537" dataDxfId="73"/>
    <tableColumn id="16318" xr3:uid="{0BF98261-F0B4-40B2-BE09-1828E92FE040}" name="16538" dataDxfId="72"/>
    <tableColumn id="16319" xr3:uid="{822EE98E-070F-4827-B422-A85E5C8235F2}" name="16539" dataDxfId="71"/>
    <tableColumn id="16320" xr3:uid="{8F79001B-704F-4D1E-A627-78F61DD6E505}" name="16540" dataDxfId="70"/>
    <tableColumn id="16321" xr3:uid="{EB73F8D1-0D75-49B5-B0F0-B536CFBD5499}" name="16541" dataDxfId="69"/>
    <tableColumn id="16322" xr3:uid="{1769D08E-8EDB-498C-BF96-6E169CB67752}" name="16542" dataDxfId="68"/>
    <tableColumn id="16323" xr3:uid="{3ACEB8C6-1853-45A3-9135-4D09FA1DE58D}" name="16543" dataDxfId="67"/>
    <tableColumn id="16324" xr3:uid="{2A19EA6C-EC02-47FB-9F3F-7A5E0533219B}" name="16544" dataDxfId="66"/>
    <tableColumn id="16325" xr3:uid="{35790E30-F386-48C7-8AAD-A64B9D50085E}" name="16545" dataDxfId="65"/>
    <tableColumn id="16326" xr3:uid="{051BEF29-1129-48BD-AA9D-BE06B39537B2}" name="16546" dataDxfId="64"/>
    <tableColumn id="16327" xr3:uid="{597407DD-0034-4F03-99A1-D2103E02F19C}" name="16547" dataDxfId="63"/>
    <tableColumn id="16328" xr3:uid="{81DC597E-D4AA-4DA1-A0EF-AFD3A82F426A}" name="16548" dataDxfId="62"/>
    <tableColumn id="16329" xr3:uid="{D05C7200-0EB5-471A-AF5E-F61F248F1411}" name="16549" dataDxfId="61"/>
    <tableColumn id="16330" xr3:uid="{8E670A41-8048-48DD-9A9F-7EDE2F60EEA1}" name="16550" dataDxfId="60"/>
    <tableColumn id="16331" xr3:uid="{C6C0B324-A39E-4E1F-877D-BF49A1722F64}" name="16551" dataDxfId="59"/>
    <tableColumn id="16332" xr3:uid="{112CEB34-6BDE-44D5-9B98-E44DC15A76FB}" name="16552" dataDxfId="58"/>
    <tableColumn id="16333" xr3:uid="{A0512082-6513-47A5-8092-EABB8180084A}" name="16553" dataDxfId="57"/>
    <tableColumn id="16334" xr3:uid="{858C2654-60B2-409D-87A6-40B9D49AA18B}" name="16554" dataDxfId="56"/>
    <tableColumn id="16335" xr3:uid="{C989673F-7052-478B-8FBF-95739C92A660}" name="16555" dataDxfId="55"/>
    <tableColumn id="16336" xr3:uid="{5DBEF652-FBF2-443F-8C39-C81C3EFC53F9}" name="16556" dataDxfId="54"/>
    <tableColumn id="16337" xr3:uid="{3A093F19-FA45-4FFD-89F4-7B73AA881FFA}" name="16557" dataDxfId="53"/>
    <tableColumn id="16338" xr3:uid="{4249F807-FEBB-4C56-93D2-F98B2DA7C852}" name="16558" dataDxfId="52"/>
    <tableColumn id="16339" xr3:uid="{82A39E10-5D23-4259-ABAE-3F026AB14DC7}" name="16559" dataDxfId="51"/>
    <tableColumn id="16340" xr3:uid="{4DCF6CCA-9250-40B1-9A71-4F63C3257ED4}" name="16560" dataDxfId="50"/>
    <tableColumn id="16341" xr3:uid="{992BFE30-ADAA-4531-9996-80753065DA7C}" name="16561" dataDxfId="49"/>
    <tableColumn id="16342" xr3:uid="{47C40ADD-C75D-47D7-A8A2-6AF647FA9094}" name="16562" dataDxfId="48"/>
    <tableColumn id="16343" xr3:uid="{65F3712E-1474-403E-89AD-2AA070E496BF}" name="16563" dataDxfId="47"/>
    <tableColumn id="16344" xr3:uid="{7FFBE2EF-5680-47AD-88BD-DD76FAF7B78A}" name="16564" dataDxfId="46"/>
    <tableColumn id="16345" xr3:uid="{7F4D116E-3672-4D5B-AEBC-60F6E8FA38C9}" name="16565" dataDxfId="45"/>
    <tableColumn id="16346" xr3:uid="{EC28229E-A123-4771-BA92-6EEAC373F5F8}" name="16566" dataDxfId="44"/>
    <tableColumn id="16347" xr3:uid="{14A580DC-8B1E-4700-9477-D52DA53A9C96}" name="16567" dataDxfId="43"/>
    <tableColumn id="16348" xr3:uid="{E072548D-E2CB-412D-8ADB-5A7786B301E9}" name="16568" dataDxfId="42"/>
    <tableColumn id="16349" xr3:uid="{881CFB52-9B56-4510-A460-2256A194347A}" name="16569" dataDxfId="41"/>
    <tableColumn id="16350" xr3:uid="{9EB240B5-DBAB-4A4B-B5B0-C6ED65BE2AF2}" name="16570" dataDxfId="40"/>
    <tableColumn id="16351" xr3:uid="{4CCE78D3-DCDF-4C31-A6DB-1EBBDDD4077E}" name="16571" dataDxfId="39"/>
    <tableColumn id="16352" xr3:uid="{73B42E48-5EA1-4B6E-A193-0F9D1E6EEA5E}" name="16572" dataDxfId="38"/>
    <tableColumn id="16353" xr3:uid="{16B280B7-B498-466B-BC5E-CD7F79A08B1C}" name="16573" dataDxfId="37"/>
    <tableColumn id="16354" xr3:uid="{BB9C5D08-811F-4D77-B3AD-2847A31B9428}" name="16574" dataDxfId="36"/>
    <tableColumn id="16355" xr3:uid="{051AE0DD-52D9-4FA3-A2C0-DEE658CD2AAF}" name="16575" dataDxfId="35"/>
    <tableColumn id="16356" xr3:uid="{F16217D9-0E52-4049-A8A8-CD69503AD09F}" name="16576" dataDxfId="34"/>
    <tableColumn id="16357" xr3:uid="{276F150C-ADAA-40C1-9D2B-9004E2BB4CA7}" name="16577" dataDxfId="33"/>
    <tableColumn id="16358" xr3:uid="{5B104A50-33E2-4A95-B273-D2780E019D1C}" name="16578" dataDxfId="32"/>
    <tableColumn id="16359" xr3:uid="{9C83C201-DD75-4EA7-9288-D3879810D86A}" name="16579" dataDxfId="31"/>
    <tableColumn id="16360" xr3:uid="{CC20F405-4707-4634-A72C-18EF56B0711A}" name="16580" dataDxfId="30"/>
    <tableColumn id="16361" xr3:uid="{8A241D8C-DC03-4B56-8900-B9051E2E35B2}" name="16581" dataDxfId="29"/>
    <tableColumn id="16362" xr3:uid="{E298CC06-D55D-42A0-9714-53A3F114B3BB}" name="16582" dataDxfId="28"/>
    <tableColumn id="16363" xr3:uid="{4ACCD062-3D95-44CF-BEF9-AEE1C92B63B2}" name="16583" dataDxfId="27"/>
    <tableColumn id="16364" xr3:uid="{0DF09481-793C-403D-A9AD-0EBD7DC796B5}" name="16584" dataDxfId="26"/>
    <tableColumn id="16365" xr3:uid="{82454C43-AC99-4742-9AA5-620E9BB3EC89}" name="16585" dataDxfId="25"/>
    <tableColumn id="16366" xr3:uid="{5FC7BFF1-3D6B-40B3-9C05-9B06220D11DB}" name="16586" dataDxfId="24"/>
    <tableColumn id="16367" xr3:uid="{E372947B-2606-48EC-8FF0-74BB48454D1C}" name="16587" dataDxfId="23"/>
    <tableColumn id="16368" xr3:uid="{31EE9722-86F4-498F-9EF4-D65D519B060F}" name="16588" dataDxfId="22"/>
    <tableColumn id="16369" xr3:uid="{FF200AB8-20D6-4CE7-B45C-EA4781F9E500}" name="16589" dataDxfId="21"/>
    <tableColumn id="16370" xr3:uid="{73C98100-A9B8-4ABC-9C8F-BD28FE113C89}" name="16590" dataDxfId="20"/>
    <tableColumn id="16371" xr3:uid="{BED6040D-6AA2-48BF-A600-7E13889AA89C}" name="16591" dataDxfId="19"/>
    <tableColumn id="16372" xr3:uid="{D7EEF963-7F23-49E7-B04D-F5FB754AAF1D}" name="16592" dataDxfId="18"/>
    <tableColumn id="16373" xr3:uid="{46D55882-676D-46A3-9CB6-54D49707F2F2}" name="16593" dataDxfId="17"/>
    <tableColumn id="16374" xr3:uid="{37A01EF4-C1AE-48A3-B3B8-5DF08D2B6066}" name="16594" dataDxfId="16"/>
    <tableColumn id="16375" xr3:uid="{6A663100-065A-4F46-94E1-3DAEA3A99A9E}" name="16595" dataDxfId="15"/>
    <tableColumn id="16376" xr3:uid="{A5B29AE2-31E1-4B94-BBFA-7B7E5C5D4FC4}" name="16596" dataDxfId="14"/>
    <tableColumn id="16377" xr3:uid="{DEBB811F-F401-486C-A463-2A7BA032A6D7}" name="16597" dataDxfId="13"/>
    <tableColumn id="16378" xr3:uid="{AF56FCC9-FDB4-4FB1-8067-7792D16639B8}" name="16598" dataDxfId="12"/>
    <tableColumn id="16379" xr3:uid="{3F87D4AF-A22F-4300-BF54-1B57AF6A06C0}" name="16599" dataDxfId="11"/>
    <tableColumn id="16380" xr3:uid="{B0DFF178-9FA5-4436-923E-ACE3765B1787}" name="16600" dataDxfId="10"/>
    <tableColumn id="16381" xr3:uid="{1E2619B9-3495-41B3-B1E8-EDEEDF19F146}" name="16601" dataDxfId="9"/>
    <tableColumn id="16382" xr3:uid="{972AE9A6-8F7D-415C-971F-D48AF7714482}" name="16602" dataDxfId="8"/>
    <tableColumn id="16383" xr3:uid="{3A2B29BC-2AFA-4A5A-88B7-466386EBF7F7}" name="16603" dataDxfId="7"/>
    <tableColumn id="16384" xr3:uid="{883AE7D8-02C7-4F0C-B867-0B31B0518D93}" name="16604" dataDxfId="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1-26T21:37:11.12" personId="{B304B007-2523-486C-AD3D-B84324BE713F}" id="{0AE37E06-DCBF-43DB-A0DC-373895DDCC8F}">
    <text>Analyses with forest data 2017-18 and studies completed during 2025, or at least material are essentially produced during this year, could use column B as starting period, i.e. 2020. Later studies are recommended to use column C as starting period, i.e. 2025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1-26T21:37:11.12" personId="{B304B007-2523-486C-AD3D-B84324BE713F}" id="{C903AB1A-1EF9-41C2-BEB0-5DF0309E361F}">
    <text>Analyses with forest data 2017-18 and studies completed during 2025, or at least material are essentially produced during this year, could use column B as starting period, i.e. 2020. Later studies are recommended to use column C as starting period, i.e. 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0"/>
  <sheetViews>
    <sheetView zoomScaleNormal="100" workbookViewId="0">
      <pane ySplit="1" topLeftCell="A2" activePane="bottomLeft" state="frozen"/>
      <selection pane="bottomLeft" activeCell="G1" sqref="A1:G22"/>
    </sheetView>
  </sheetViews>
  <sheetFormatPr defaultRowHeight="16.5" x14ac:dyDescent="0.3"/>
  <cols>
    <col min="1" max="1" width="21.375" customWidth="1"/>
    <col min="2" max="2" width="8.625" customWidth="1"/>
    <col min="3" max="3" width="7" customWidth="1"/>
    <col min="4" max="7" width="7.625" style="12" customWidth="1"/>
    <col min="8" max="8" width="7.625" style="44" customWidth="1"/>
    <col min="9" max="9" width="6.125" customWidth="1"/>
    <col min="10" max="14" width="10.125" customWidth="1"/>
    <col min="15" max="15" width="14.125" customWidth="1"/>
  </cols>
  <sheetData>
    <row r="1" spans="1:17" s="2" customFormat="1" ht="51" customHeight="1" x14ac:dyDescent="0.3">
      <c r="A1" s="2" t="s">
        <v>107</v>
      </c>
      <c r="B1" s="2" t="s">
        <v>108</v>
      </c>
      <c r="C1" s="2" t="s">
        <v>70</v>
      </c>
      <c r="D1" s="15" t="s">
        <v>109</v>
      </c>
      <c r="E1" s="15" t="s">
        <v>169</v>
      </c>
      <c r="F1" s="15" t="s">
        <v>110</v>
      </c>
      <c r="G1" s="15" t="s">
        <v>180</v>
      </c>
      <c r="H1" s="15" t="s">
        <v>164</v>
      </c>
      <c r="I1" s="15" t="s">
        <v>144</v>
      </c>
      <c r="J1" s="14" t="s">
        <v>105</v>
      </c>
      <c r="K1" s="14" t="s">
        <v>103</v>
      </c>
      <c r="L1" s="14" t="s">
        <v>104</v>
      </c>
      <c r="M1" s="13" t="s">
        <v>131</v>
      </c>
      <c r="N1" s="18" t="s">
        <v>132</v>
      </c>
    </row>
    <row r="2" spans="1:17" ht="14.45" x14ac:dyDescent="0.3">
      <c r="A2" t="s">
        <v>111</v>
      </c>
      <c r="B2" t="s">
        <v>19</v>
      </c>
      <c r="C2" t="s">
        <v>150</v>
      </c>
      <c r="D2">
        <v>0</v>
      </c>
      <c r="E2" s="33" t="s">
        <v>170</v>
      </c>
      <c r="F2" s="6">
        <v>0.98</v>
      </c>
      <c r="G2" s="48">
        <v>20</v>
      </c>
      <c r="H2" s="42" t="s">
        <v>165</v>
      </c>
      <c r="I2" s="22" t="s">
        <v>145</v>
      </c>
      <c r="P2">
        <v>0</v>
      </c>
      <c r="Q2" t="s">
        <v>170</v>
      </c>
    </row>
    <row r="3" spans="1:17" ht="14.45" x14ac:dyDescent="0.3">
      <c r="A3" t="s">
        <v>112</v>
      </c>
      <c r="B3" t="s">
        <v>20</v>
      </c>
      <c r="C3" t="s">
        <v>150</v>
      </c>
      <c r="D3">
        <v>0</v>
      </c>
      <c r="E3" s="33" t="s">
        <v>170</v>
      </c>
      <c r="F3" s="6">
        <v>0.92</v>
      </c>
      <c r="G3" s="48">
        <v>0</v>
      </c>
      <c r="H3" s="42" t="s">
        <v>165</v>
      </c>
      <c r="I3" s="22" t="s">
        <v>145</v>
      </c>
      <c r="P3">
        <v>0</v>
      </c>
      <c r="Q3" t="s">
        <v>170</v>
      </c>
    </row>
    <row r="4" spans="1:17" ht="14.45" x14ac:dyDescent="0.3">
      <c r="A4" t="s">
        <v>113</v>
      </c>
      <c r="B4" t="s">
        <v>21</v>
      </c>
      <c r="C4" t="s">
        <v>150</v>
      </c>
      <c r="D4">
        <v>0</v>
      </c>
      <c r="E4" s="33" t="s">
        <v>170</v>
      </c>
      <c r="F4" s="6">
        <v>0.98</v>
      </c>
      <c r="G4" s="48">
        <v>20</v>
      </c>
      <c r="H4" s="42" t="s">
        <v>165</v>
      </c>
      <c r="I4" s="22" t="s">
        <v>145</v>
      </c>
      <c r="P4">
        <v>0</v>
      </c>
      <c r="Q4" t="s">
        <v>170</v>
      </c>
    </row>
    <row r="5" spans="1:17" ht="14.45" x14ac:dyDescent="0.3">
      <c r="A5" t="s">
        <v>114</v>
      </c>
      <c r="B5" t="s">
        <v>22</v>
      </c>
      <c r="C5" t="s">
        <v>150</v>
      </c>
      <c r="D5">
        <v>0</v>
      </c>
      <c r="E5" s="33" t="s">
        <v>170</v>
      </c>
      <c r="F5" s="6">
        <v>0.92</v>
      </c>
      <c r="G5" s="48">
        <v>0</v>
      </c>
      <c r="H5" s="42" t="s">
        <v>165</v>
      </c>
      <c r="I5" s="22" t="s">
        <v>145</v>
      </c>
      <c r="P5">
        <v>0</v>
      </c>
      <c r="Q5" t="s">
        <v>170</v>
      </c>
    </row>
    <row r="6" spans="1:17" ht="14.45" x14ac:dyDescent="0.3">
      <c r="A6" t="s">
        <v>181</v>
      </c>
      <c r="B6" t="s">
        <v>5</v>
      </c>
      <c r="C6" t="s">
        <v>150</v>
      </c>
      <c r="D6">
        <v>0</v>
      </c>
      <c r="E6" s="33" t="s">
        <v>170</v>
      </c>
      <c r="F6" s="6">
        <v>0.88</v>
      </c>
      <c r="G6" s="48">
        <v>0</v>
      </c>
      <c r="H6" s="42" t="s">
        <v>165</v>
      </c>
      <c r="I6" s="22" t="s">
        <v>145</v>
      </c>
      <c r="P6">
        <v>0</v>
      </c>
      <c r="Q6" t="s">
        <v>170</v>
      </c>
    </row>
    <row r="7" spans="1:17" ht="14.45" x14ac:dyDescent="0.3">
      <c r="A7" t="s">
        <v>115</v>
      </c>
      <c r="B7" t="s">
        <v>6</v>
      </c>
      <c r="C7" t="s">
        <v>150</v>
      </c>
      <c r="D7">
        <v>0</v>
      </c>
      <c r="E7" s="33" t="s">
        <v>173</v>
      </c>
      <c r="F7">
        <v>0</v>
      </c>
      <c r="G7" s="48">
        <v>0</v>
      </c>
      <c r="H7" s="42" t="s">
        <v>165</v>
      </c>
      <c r="I7" s="16"/>
      <c r="P7">
        <v>0</v>
      </c>
      <c r="Q7" t="s">
        <v>173</v>
      </c>
    </row>
    <row r="8" spans="1:17" ht="14.45" x14ac:dyDescent="0.3">
      <c r="A8" t="s">
        <v>116</v>
      </c>
      <c r="B8" t="s">
        <v>7</v>
      </c>
      <c r="C8" t="s">
        <v>150</v>
      </c>
      <c r="D8">
        <v>0</v>
      </c>
      <c r="E8" s="33" t="s">
        <v>173</v>
      </c>
      <c r="F8">
        <v>0</v>
      </c>
      <c r="G8" s="48">
        <v>0</v>
      </c>
      <c r="H8" s="42" t="s">
        <v>165</v>
      </c>
      <c r="I8" s="16"/>
      <c r="P8">
        <v>0</v>
      </c>
      <c r="Q8" t="s">
        <v>173</v>
      </c>
    </row>
    <row r="9" spans="1:17" ht="14.45" x14ac:dyDescent="0.3">
      <c r="A9" t="s">
        <v>117</v>
      </c>
      <c r="B9" t="s">
        <v>24</v>
      </c>
      <c r="C9" t="s">
        <v>4</v>
      </c>
      <c r="D9">
        <v>0</v>
      </c>
      <c r="E9" s="33" t="s">
        <v>172</v>
      </c>
      <c r="F9">
        <v>0.65</v>
      </c>
      <c r="G9" s="48">
        <v>0</v>
      </c>
      <c r="H9" s="42" t="s">
        <v>165</v>
      </c>
      <c r="I9" s="16" t="s">
        <v>136</v>
      </c>
      <c r="P9">
        <v>0</v>
      </c>
      <c r="Q9" t="s">
        <v>172</v>
      </c>
    </row>
    <row r="10" spans="1:17" ht="14.45" x14ac:dyDescent="0.3">
      <c r="A10" t="s">
        <v>118</v>
      </c>
      <c r="B10" t="s">
        <v>25</v>
      </c>
      <c r="C10" t="s">
        <v>4</v>
      </c>
      <c r="D10">
        <v>0</v>
      </c>
      <c r="E10" s="33" t="s">
        <v>172</v>
      </c>
      <c r="F10">
        <v>0</v>
      </c>
      <c r="G10" s="48">
        <v>0</v>
      </c>
      <c r="H10" s="42" t="s">
        <v>165</v>
      </c>
      <c r="I10" s="16" t="s">
        <v>145</v>
      </c>
      <c r="P10">
        <v>0</v>
      </c>
      <c r="Q10" t="s">
        <v>172</v>
      </c>
    </row>
    <row r="11" spans="1:17" ht="14.45" x14ac:dyDescent="0.3">
      <c r="A11" t="s">
        <v>16557</v>
      </c>
      <c r="B11" t="s">
        <v>16556</v>
      </c>
      <c r="C11" t="s">
        <v>129</v>
      </c>
      <c r="D11">
        <v>-0.1225429648006558</v>
      </c>
      <c r="E11" s="33" t="s">
        <v>134</v>
      </c>
      <c r="F11">
        <v>0</v>
      </c>
      <c r="G11" s="48">
        <v>0</v>
      </c>
      <c r="H11" s="43"/>
      <c r="I11" s="16"/>
      <c r="J11" s="12">
        <f>ConvFact!A2*ConvFact!A4</f>
        <v>0.23</v>
      </c>
      <c r="K11" s="21">
        <v>1.3</v>
      </c>
      <c r="L11">
        <v>0.4</v>
      </c>
      <c r="M11">
        <v>35</v>
      </c>
      <c r="N11">
        <v>115512122</v>
      </c>
      <c r="P11">
        <v>-0.1225429648006558</v>
      </c>
      <c r="Q11" t="s">
        <v>134</v>
      </c>
    </row>
    <row r="12" spans="1:17" ht="14.45" x14ac:dyDescent="0.3">
      <c r="A12" t="s">
        <v>119</v>
      </c>
      <c r="B12" t="s">
        <v>8</v>
      </c>
      <c r="C12" t="s">
        <v>0</v>
      </c>
      <c r="D12">
        <v>0</v>
      </c>
      <c r="E12" s="33" t="s">
        <v>136</v>
      </c>
      <c r="F12">
        <v>0</v>
      </c>
      <c r="G12" s="48">
        <v>0</v>
      </c>
      <c r="H12" s="43"/>
      <c r="I12" s="16"/>
      <c r="J12" s="12">
        <f>ConvFact!A2*ConvFact!A4/ConvFact!A3</f>
        <v>0.1020408163265306</v>
      </c>
      <c r="K12" s="21">
        <v>0.4</v>
      </c>
      <c r="L12">
        <v>0</v>
      </c>
      <c r="M12">
        <v>0</v>
      </c>
      <c r="N12">
        <v>0</v>
      </c>
      <c r="P12">
        <v>0</v>
      </c>
      <c r="Q12" t="s">
        <v>135</v>
      </c>
    </row>
    <row r="13" spans="1:17" ht="14.45" x14ac:dyDescent="0.3">
      <c r="A13" t="s">
        <v>120</v>
      </c>
      <c r="B13" t="s">
        <v>9</v>
      </c>
      <c r="C13" t="s">
        <v>0</v>
      </c>
      <c r="D13">
        <v>0</v>
      </c>
      <c r="E13" s="33" t="s">
        <v>135</v>
      </c>
      <c r="F13">
        <v>0</v>
      </c>
      <c r="G13" s="48">
        <v>0</v>
      </c>
      <c r="H13" s="43"/>
      <c r="I13" s="16"/>
      <c r="J13" s="12">
        <f>ConvFact!A2*ConvFact!A4/ConvFact!A3</f>
        <v>0.1020408163265306</v>
      </c>
      <c r="K13" s="21">
        <v>0.4</v>
      </c>
      <c r="L13">
        <v>0</v>
      </c>
      <c r="M13">
        <v>0</v>
      </c>
      <c r="N13">
        <v>0</v>
      </c>
      <c r="O13" s="2"/>
      <c r="P13">
        <v>0</v>
      </c>
      <c r="Q13" t="s">
        <v>136</v>
      </c>
    </row>
    <row r="14" spans="1:17" ht="14.45" x14ac:dyDescent="0.3">
      <c r="A14" t="s">
        <v>121</v>
      </c>
      <c r="B14" t="s">
        <v>52</v>
      </c>
      <c r="C14" t="s">
        <v>0</v>
      </c>
      <c r="D14">
        <v>0</v>
      </c>
      <c r="E14" s="33" t="s">
        <v>139</v>
      </c>
      <c r="F14">
        <v>0</v>
      </c>
      <c r="G14" s="48">
        <v>0</v>
      </c>
      <c r="H14" s="43"/>
      <c r="I14" s="16"/>
      <c r="J14" s="12">
        <f>ConvFact!A2*ConvFact!A4/ConvFact!A3</f>
        <v>0.1020408163265306</v>
      </c>
      <c r="K14" s="21">
        <v>0.5</v>
      </c>
      <c r="L14">
        <v>0</v>
      </c>
      <c r="M14">
        <v>0</v>
      </c>
      <c r="N14">
        <v>0</v>
      </c>
      <c r="O14" s="2"/>
      <c r="P14">
        <v>0</v>
      </c>
      <c r="Q14" t="s">
        <v>139</v>
      </c>
    </row>
    <row r="15" spans="1:17" ht="14.45" x14ac:dyDescent="0.3">
      <c r="A15" t="s">
        <v>122</v>
      </c>
      <c r="B15" t="s">
        <v>27</v>
      </c>
      <c r="C15" t="s">
        <v>1</v>
      </c>
      <c r="D15">
        <v>-0.5</v>
      </c>
      <c r="E15" s="33" t="s">
        <v>134</v>
      </c>
      <c r="F15">
        <v>0</v>
      </c>
      <c r="G15" s="48">
        <v>0</v>
      </c>
      <c r="H15" s="43"/>
      <c r="I15" s="16"/>
      <c r="J15" s="12">
        <v>0.45</v>
      </c>
      <c r="K15" s="21">
        <v>0</v>
      </c>
      <c r="L15">
        <v>0.4</v>
      </c>
      <c r="M15">
        <v>2</v>
      </c>
      <c r="N15">
        <v>37001679</v>
      </c>
      <c r="P15">
        <v>-0.5</v>
      </c>
      <c r="Q15" t="s">
        <v>134</v>
      </c>
    </row>
    <row r="16" spans="1:17" ht="14.45" x14ac:dyDescent="0.3">
      <c r="A16" t="s">
        <v>123</v>
      </c>
      <c r="B16" t="s">
        <v>26</v>
      </c>
      <c r="C16" t="s">
        <v>1</v>
      </c>
      <c r="D16">
        <v>-0.5</v>
      </c>
      <c r="E16" s="33" t="s">
        <v>134</v>
      </c>
      <c r="F16">
        <v>0</v>
      </c>
      <c r="G16" s="48">
        <v>0</v>
      </c>
      <c r="H16" s="43"/>
      <c r="I16" s="16"/>
      <c r="J16" s="12">
        <v>0.38800000000000001</v>
      </c>
      <c r="K16" s="21">
        <v>0</v>
      </c>
      <c r="L16">
        <v>0.4</v>
      </c>
      <c r="M16">
        <v>2</v>
      </c>
      <c r="N16">
        <v>0</v>
      </c>
      <c r="O16" s="2"/>
      <c r="P16">
        <v>-0.5</v>
      </c>
      <c r="Q16" t="s">
        <v>134</v>
      </c>
    </row>
    <row r="17" spans="1:17" ht="14.45" x14ac:dyDescent="0.3">
      <c r="A17" t="s">
        <v>124</v>
      </c>
      <c r="B17" t="s">
        <v>10</v>
      </c>
      <c r="C17" t="s">
        <v>1</v>
      </c>
      <c r="D17">
        <v>-1.93</v>
      </c>
      <c r="E17" s="33" t="s">
        <v>134</v>
      </c>
      <c r="F17">
        <v>0</v>
      </c>
      <c r="G17" s="48">
        <v>0</v>
      </c>
      <c r="H17" s="43"/>
      <c r="I17" s="16"/>
      <c r="J17" s="12">
        <v>0.45</v>
      </c>
      <c r="K17" s="21">
        <v>2.8</v>
      </c>
      <c r="L17">
        <v>0.4</v>
      </c>
      <c r="M17">
        <v>2</v>
      </c>
      <c r="N17">
        <v>0</v>
      </c>
      <c r="P17">
        <v>-1.93</v>
      </c>
      <c r="Q17" t="s">
        <v>134</v>
      </c>
    </row>
    <row r="18" spans="1:17" ht="14.45" x14ac:dyDescent="0.3">
      <c r="A18" t="s">
        <v>125</v>
      </c>
      <c r="B18" t="s">
        <v>29</v>
      </c>
      <c r="C18" t="s">
        <v>1</v>
      </c>
      <c r="D18">
        <v>-0.31123035623374551</v>
      </c>
      <c r="E18" s="33" t="s">
        <v>134</v>
      </c>
      <c r="F18">
        <v>0</v>
      </c>
      <c r="G18" s="48">
        <v>0</v>
      </c>
      <c r="H18" s="43"/>
      <c r="I18" s="16"/>
      <c r="J18" s="12">
        <f>J15/ConvFact!A15</f>
        <v>0.40909090909090906</v>
      </c>
      <c r="K18" s="21">
        <v>1</v>
      </c>
      <c r="L18">
        <v>0.4</v>
      </c>
      <c r="M18">
        <v>2</v>
      </c>
      <c r="N18">
        <v>0</v>
      </c>
      <c r="P18">
        <v>-0.31123035623374551</v>
      </c>
      <c r="Q18" t="s">
        <v>134</v>
      </c>
    </row>
    <row r="19" spans="1:17" ht="14.45" x14ac:dyDescent="0.3">
      <c r="A19" t="s">
        <v>126</v>
      </c>
      <c r="B19" t="s">
        <v>31</v>
      </c>
      <c r="C19" t="s">
        <v>1</v>
      </c>
      <c r="D19">
        <v>-0.49445162512436425</v>
      </c>
      <c r="E19" s="33" t="s">
        <v>134</v>
      </c>
      <c r="F19">
        <v>0</v>
      </c>
      <c r="G19" s="48">
        <v>0</v>
      </c>
      <c r="H19" s="43"/>
      <c r="I19" s="16"/>
      <c r="J19" s="12">
        <f>J15/ConvFact!A16</f>
        <v>0.34615384615384615</v>
      </c>
      <c r="K19" s="21">
        <v>0</v>
      </c>
      <c r="L19">
        <v>0.4</v>
      </c>
      <c r="M19">
        <v>2</v>
      </c>
      <c r="N19">
        <v>0</v>
      </c>
      <c r="P19">
        <v>-0.49445162512436425</v>
      </c>
      <c r="Q19" t="s">
        <v>134</v>
      </c>
    </row>
    <row r="20" spans="1:17" ht="14.45" x14ac:dyDescent="0.3">
      <c r="A20" t="s">
        <v>127</v>
      </c>
      <c r="B20" t="s">
        <v>30</v>
      </c>
      <c r="C20" t="s">
        <v>1</v>
      </c>
      <c r="D20">
        <v>-0.49445162512436425</v>
      </c>
      <c r="E20" s="33" t="s">
        <v>134</v>
      </c>
      <c r="F20">
        <v>0</v>
      </c>
      <c r="G20" s="48">
        <v>0</v>
      </c>
      <c r="H20" s="43"/>
      <c r="I20" s="16"/>
      <c r="J20" s="12">
        <f>J16/ConvFact!A17</f>
        <v>0.29846153846153844</v>
      </c>
      <c r="K20" s="21">
        <v>0</v>
      </c>
      <c r="L20">
        <v>0.4</v>
      </c>
      <c r="M20">
        <v>2</v>
      </c>
      <c r="N20">
        <v>0</v>
      </c>
      <c r="P20">
        <v>-0.49445162512436425</v>
      </c>
      <c r="Q20" t="s">
        <v>134</v>
      </c>
    </row>
    <row r="21" spans="1:17" ht="14.45" x14ac:dyDescent="0.3">
      <c r="A21" t="s">
        <v>128</v>
      </c>
      <c r="B21" t="s">
        <v>28</v>
      </c>
      <c r="C21" t="s">
        <v>1</v>
      </c>
      <c r="D21">
        <v>-0.5347389136270293</v>
      </c>
      <c r="E21" s="33" t="s">
        <v>134</v>
      </c>
      <c r="F21">
        <v>0</v>
      </c>
      <c r="G21" s="48">
        <v>0</v>
      </c>
      <c r="H21" s="43"/>
      <c r="I21" s="16"/>
      <c r="J21" s="12">
        <f>J16/ConvFact!A18</f>
        <v>0.35272727272727272</v>
      </c>
      <c r="K21" s="21">
        <v>0</v>
      </c>
      <c r="L21">
        <v>0.4</v>
      </c>
      <c r="M21">
        <v>2</v>
      </c>
      <c r="N21">
        <v>0</v>
      </c>
      <c r="P21">
        <v>-0.5347389136270293</v>
      </c>
      <c r="Q21" t="s">
        <v>134</v>
      </c>
    </row>
    <row r="22" spans="1:17" ht="14.45" x14ac:dyDescent="0.3">
      <c r="A22" t="s">
        <v>182</v>
      </c>
      <c r="B22" t="s">
        <v>183</v>
      </c>
      <c r="C22" t="s">
        <v>150</v>
      </c>
      <c r="D22">
        <v>-0.32200000000000001</v>
      </c>
      <c r="E22" s="33" t="s">
        <v>134</v>
      </c>
      <c r="F22" s="16">
        <v>0</v>
      </c>
      <c r="G22" s="48">
        <v>0</v>
      </c>
      <c r="H22" s="43"/>
      <c r="I22" s="16"/>
      <c r="J22" s="50"/>
      <c r="K22" s="51"/>
      <c r="L22" s="52"/>
      <c r="M22" s="52"/>
      <c r="N22" s="52"/>
      <c r="P22">
        <v>-0.32200000000000001</v>
      </c>
      <c r="Q22" t="s">
        <v>134</v>
      </c>
    </row>
    <row r="23" spans="1:17" ht="14.45" x14ac:dyDescent="0.3">
      <c r="E23" s="19"/>
      <c r="I23" s="16"/>
      <c r="J23" s="67"/>
      <c r="K23" s="67"/>
      <c r="L23" s="67"/>
      <c r="M23" s="67"/>
      <c r="N23" s="67"/>
    </row>
    <row r="24" spans="1:17" ht="14.45" x14ac:dyDescent="0.3">
      <c r="A24" t="s">
        <v>133</v>
      </c>
      <c r="D24" s="12">
        <v>1</v>
      </c>
      <c r="E24" s="19" t="s">
        <v>134</v>
      </c>
      <c r="F24" t="s">
        <v>137</v>
      </c>
      <c r="G24"/>
      <c r="H24" s="43"/>
    </row>
    <row r="25" spans="1:17" ht="14.45" x14ac:dyDescent="0.3">
      <c r="E25" s="19" t="s">
        <v>136</v>
      </c>
      <c r="F25" t="s">
        <v>141</v>
      </c>
      <c r="G25"/>
      <c r="H25" s="43"/>
    </row>
    <row r="26" spans="1:17" ht="14.45" x14ac:dyDescent="0.3">
      <c r="E26" s="19" t="s">
        <v>135</v>
      </c>
      <c r="F26" t="s">
        <v>138</v>
      </c>
      <c r="G26"/>
      <c r="H26" s="43"/>
    </row>
    <row r="27" spans="1:17" x14ac:dyDescent="0.3">
      <c r="D27" s="17" t="s">
        <v>130</v>
      </c>
      <c r="E27" s="20" t="s">
        <v>139</v>
      </c>
      <c r="F27" t="s">
        <v>140</v>
      </c>
      <c r="G27"/>
      <c r="H27" s="43"/>
    </row>
    <row r="28" spans="1:17" x14ac:dyDescent="0.3">
      <c r="E28" s="20" t="s">
        <v>170</v>
      </c>
      <c r="F28" t="s">
        <v>171</v>
      </c>
      <c r="G28"/>
      <c r="H28" s="43"/>
    </row>
    <row r="29" spans="1:17" x14ac:dyDescent="0.3">
      <c r="E29" s="19" t="s">
        <v>172</v>
      </c>
      <c r="F29" s="12" t="s">
        <v>175</v>
      </c>
    </row>
    <row r="30" spans="1:17" x14ac:dyDescent="0.3">
      <c r="E30" s="19" t="s">
        <v>173</v>
      </c>
      <c r="F30" s="12" t="s">
        <v>174</v>
      </c>
    </row>
  </sheetData>
  <pageMargins left="0.7" right="0.7" top="0.75" bottom="0.75" header="0.3" footer="0.3"/>
  <pageSetup paperSize="9" orientation="portrait" horizontalDpi="1200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J27"/>
  <sheetViews>
    <sheetView zoomScale="90" zoomScaleNormal="90" workbookViewId="0">
      <selection activeCell="A28" sqref="A28:XFD28"/>
    </sheetView>
  </sheetViews>
  <sheetFormatPr defaultRowHeight="16.5" x14ac:dyDescent="0.3"/>
  <cols>
    <col min="1" max="1" width="9.25" customWidth="1"/>
    <col min="2" max="6" width="11.875" customWidth="1"/>
  </cols>
  <sheetData>
    <row r="1" spans="1:10" ht="53.45" customHeight="1" x14ac:dyDescent="0.3">
      <c r="A1" s="1" t="s">
        <v>60</v>
      </c>
      <c r="B1" s="60" t="s">
        <v>201</v>
      </c>
      <c r="C1" s="60" t="s">
        <v>200</v>
      </c>
      <c r="D1" s="60" t="s">
        <v>58</v>
      </c>
      <c r="E1" s="61" t="s">
        <v>202</v>
      </c>
      <c r="F1" s="60" t="s">
        <v>102</v>
      </c>
      <c r="G1" s="2" t="s">
        <v>204</v>
      </c>
      <c r="H1" s="2"/>
    </row>
    <row r="2" spans="1:10" ht="14.45" x14ac:dyDescent="0.3">
      <c r="A2" t="s">
        <v>11</v>
      </c>
      <c r="B2" s="4">
        <f>[1]CostAnalysis!K13</f>
        <v>1103.6972079610969</v>
      </c>
      <c r="C2" s="4">
        <f>[1]CostAnalysis!L13</f>
        <v>411.71830985915494</v>
      </c>
      <c r="D2" s="4">
        <f>[1]CostAnalysis!M13</f>
        <v>403.83098591549293</v>
      </c>
      <c r="E2" s="4">
        <f>[1]CostAnalysis!N13</f>
        <v>20</v>
      </c>
      <c r="F2" s="4" t="str">
        <f>Factors!B11</f>
        <v>Sawnwd</v>
      </c>
      <c r="G2" s="4">
        <v>50000</v>
      </c>
      <c r="J2" s="4"/>
    </row>
    <row r="3" spans="1:10" ht="14.45" x14ac:dyDescent="0.3">
      <c r="A3" t="s">
        <v>12</v>
      </c>
      <c r="B3" s="4">
        <f>[1]CostAnalysis!K14</f>
        <v>1103.6972079610969</v>
      </c>
      <c r="C3" s="4">
        <f>[1]CostAnalysis!L14</f>
        <v>411.71830985915494</v>
      </c>
      <c r="D3" s="4">
        <f>[1]CostAnalysis!M14</f>
        <v>403.83098591549293</v>
      </c>
      <c r="E3" s="4">
        <f>[1]CostAnalysis!N14</f>
        <v>20</v>
      </c>
      <c r="F3" s="4" t="str">
        <f>Factors!B11</f>
        <v>Sawnwd</v>
      </c>
      <c r="G3" s="4">
        <v>50000</v>
      </c>
    </row>
    <row r="4" spans="1:10" ht="14.45" x14ac:dyDescent="0.3">
      <c r="A4" t="s">
        <v>177</v>
      </c>
      <c r="B4" s="4">
        <f>[1]CostAnalysis!K15</f>
        <v>1103.6972079610969</v>
      </c>
      <c r="C4" s="4">
        <f>[1]CostAnalysis!L15</f>
        <v>411.71830985915494</v>
      </c>
      <c r="D4" s="4">
        <f>[1]CostAnalysis!M15</f>
        <v>403.83098591549293</v>
      </c>
      <c r="E4" s="4">
        <f>[1]CostAnalysis!N15</f>
        <v>20</v>
      </c>
      <c r="F4" s="4" t="e">
        <f>Factors!#REF!</f>
        <v>#REF!</v>
      </c>
      <c r="G4" s="4">
        <v>50000</v>
      </c>
    </row>
    <row r="5" spans="1:10" ht="14.45" x14ac:dyDescent="0.3">
      <c r="A5" t="s">
        <v>13</v>
      </c>
      <c r="B5" s="4">
        <f>[1]CostAnalysis!K16</f>
        <v>1103.6972079610969</v>
      </c>
      <c r="C5" s="4">
        <f>[1]CostAnalysis!L16</f>
        <v>411.71830985915494</v>
      </c>
      <c r="D5" s="4">
        <f>[1]CostAnalysis!M16</f>
        <v>403.83098591549293</v>
      </c>
      <c r="E5" s="4">
        <f>[1]CostAnalysis!N16</f>
        <v>20</v>
      </c>
      <c r="F5" s="62" t="str">
        <f>Factors!B11</f>
        <v>Sawnwd</v>
      </c>
      <c r="G5" s="4">
        <v>50000</v>
      </c>
    </row>
    <row r="6" spans="1:10" ht="14.45" x14ac:dyDescent="0.3">
      <c r="A6" t="s">
        <v>14</v>
      </c>
      <c r="B6" s="4">
        <f>[1]CostAnalysis!K17</f>
        <v>1712.8415686390795</v>
      </c>
      <c r="C6" s="4">
        <f>[1]CostAnalysis!L17</f>
        <v>224.00000000000003</v>
      </c>
      <c r="D6" s="4">
        <f>[1]CostAnalysis!M17</f>
        <v>0</v>
      </c>
      <c r="E6" s="4">
        <f>[1]CostAnalysis!N17</f>
        <v>20</v>
      </c>
      <c r="F6" s="4" t="str">
        <f>Factors!B12</f>
        <v>Heat__</v>
      </c>
      <c r="G6" s="4">
        <v>50000</v>
      </c>
    </row>
    <row r="7" spans="1:10" ht="14.45" x14ac:dyDescent="0.3">
      <c r="A7" t="s">
        <v>18</v>
      </c>
      <c r="B7" s="4">
        <f>[1]CostAnalysis!K18</f>
        <v>171.28415686390781</v>
      </c>
      <c r="C7" s="4">
        <f>[1]CostAnalysis!L18</f>
        <v>298.66666666666669</v>
      </c>
      <c r="D7" s="4">
        <f>[1]CostAnalysis!M18</f>
        <v>0</v>
      </c>
      <c r="E7" s="4">
        <f>[1]CostAnalysis!N18</f>
        <v>20</v>
      </c>
      <c r="F7" s="4" t="s">
        <v>9</v>
      </c>
      <c r="G7" s="4">
        <v>50000</v>
      </c>
    </row>
    <row r="8" spans="1:10" ht="14.45" x14ac:dyDescent="0.3">
      <c r="A8" t="s">
        <v>142</v>
      </c>
      <c r="B8" s="4">
        <f>[1]CostAnalysis!K19</f>
        <v>6782.9208313805875</v>
      </c>
      <c r="C8" s="4">
        <f>[1]CostAnalysis!L19</f>
        <v>834.23414621983102</v>
      </c>
      <c r="D8" s="4">
        <f>[1]CostAnalysis!M19</f>
        <v>0</v>
      </c>
      <c r="E8" s="4">
        <f>[1]CostAnalysis!N19</f>
        <v>20</v>
      </c>
      <c r="F8" s="4" t="s">
        <v>52</v>
      </c>
      <c r="G8" s="4">
        <v>50000</v>
      </c>
    </row>
    <row r="9" spans="1:10" ht="14.45" x14ac:dyDescent="0.3">
      <c r="A9" t="s">
        <v>27</v>
      </c>
      <c r="B9" s="4">
        <f>[1]CostAnalysis!K20</f>
        <v>22350</v>
      </c>
      <c r="C9" s="4">
        <f>[1]CostAnalysis!L20</f>
        <v>1146.6666666666665</v>
      </c>
      <c r="D9" s="4">
        <f>[1]CostAnalysis!M20</f>
        <v>866.66666666666652</v>
      </c>
      <c r="E9" s="4">
        <f>[1]CostAnalysis!N20</f>
        <v>20</v>
      </c>
      <c r="F9" s="4" t="s">
        <v>27</v>
      </c>
      <c r="G9" s="4">
        <v>1</v>
      </c>
    </row>
    <row r="10" spans="1:10" ht="14.45" x14ac:dyDescent="0.3">
      <c r="A10" t="s">
        <v>43</v>
      </c>
      <c r="B10" s="4">
        <f>[1]CostAnalysis!K21</f>
        <v>19641.379310344826</v>
      </c>
      <c r="C10" s="4">
        <f>[1]CostAnalysis!L21</f>
        <v>1528.8888888888887</v>
      </c>
      <c r="D10" s="4">
        <f>[1]CostAnalysis!M21</f>
        <v>1309.4252873563219</v>
      </c>
      <c r="E10" s="4">
        <f>[1]CostAnalysis!N21</f>
        <v>20</v>
      </c>
      <c r="F10" s="4" t="s">
        <v>26</v>
      </c>
      <c r="G10" s="4">
        <v>1</v>
      </c>
    </row>
    <row r="11" spans="1:10" s="9" customFormat="1" ht="14.45" x14ac:dyDescent="0.3">
      <c r="A11" t="s">
        <v>26</v>
      </c>
      <c r="B11" s="4">
        <f>[1]CostAnalysis!K22</f>
        <v>8593.1034482758623</v>
      </c>
      <c r="C11" s="4">
        <f>[1]CostAnalysis!L22</f>
        <v>1528.8888888888887</v>
      </c>
      <c r="D11" s="4">
        <f>[1]CostAnalysis!M22</f>
        <v>1309.4252873563219</v>
      </c>
      <c r="E11" s="4">
        <f>[1]CostAnalysis!N22</f>
        <v>20</v>
      </c>
      <c r="F11" s="4" t="s">
        <v>26</v>
      </c>
      <c r="G11" s="4">
        <v>1</v>
      </c>
    </row>
    <row r="12" spans="1:10" ht="14.45" x14ac:dyDescent="0.3">
      <c r="A12" t="s">
        <v>10</v>
      </c>
      <c r="B12" s="4">
        <f>[1]CostAnalysis!K23</f>
        <v>22350</v>
      </c>
      <c r="C12" s="4">
        <f>[1]CostAnalysis!L23</f>
        <v>1146.6666666666665</v>
      </c>
      <c r="D12" s="4">
        <f>[1]CostAnalysis!M23</f>
        <v>866.66666666666652</v>
      </c>
      <c r="E12" s="4">
        <f>[1]CostAnalysis!N23</f>
        <v>20</v>
      </c>
      <c r="F12" s="4" t="s">
        <v>10</v>
      </c>
      <c r="G12" s="4">
        <v>1</v>
      </c>
    </row>
    <row r="13" spans="1:10" ht="14.45" x14ac:dyDescent="0.3">
      <c r="A13" t="s">
        <v>29</v>
      </c>
      <c r="B13" s="4">
        <f>[1]CostAnalysis!K24</f>
        <v>6334.684684684682</v>
      </c>
      <c r="C13" s="4">
        <f>[1]CostAnalysis!L24</f>
        <v>240</v>
      </c>
      <c r="D13" s="4">
        <f>[1]CostAnalysis!M24</f>
        <v>333.33333333333348</v>
      </c>
      <c r="E13" s="4">
        <f>[1]CostAnalysis!N24</f>
        <v>20</v>
      </c>
      <c r="F13" s="4" t="s">
        <v>29</v>
      </c>
      <c r="G13" s="4">
        <v>1</v>
      </c>
    </row>
    <row r="14" spans="1:10" ht="14.45" x14ac:dyDescent="0.3">
      <c r="A14" t="s">
        <v>31</v>
      </c>
      <c r="B14" s="4">
        <f>[1]CostAnalysis!K25</f>
        <v>8446.2462462462427</v>
      </c>
      <c r="C14" s="4">
        <f>[1]CostAnalysis!L25</f>
        <v>320</v>
      </c>
      <c r="D14" s="4">
        <f>[1]CostAnalysis!M25</f>
        <v>444.44444444444463</v>
      </c>
      <c r="E14" s="4">
        <f>[1]CostAnalysis!N25</f>
        <v>20</v>
      </c>
      <c r="F14" s="4" t="s">
        <v>31</v>
      </c>
      <c r="G14" s="4">
        <v>1</v>
      </c>
    </row>
    <row r="15" spans="1:10" ht="14.45" x14ac:dyDescent="0.3">
      <c r="A15" t="s">
        <v>30</v>
      </c>
      <c r="B15" s="4">
        <f>[1]CostAnalysis!K26</f>
        <v>5455.9386973180026</v>
      </c>
      <c r="C15" s="4">
        <f>[1]CostAnalysis!L26</f>
        <v>426.66666666666663</v>
      </c>
      <c r="D15" s="4">
        <f>[1]CostAnalysis!M26</f>
        <v>363.72924648786682</v>
      </c>
      <c r="E15" s="4">
        <f>[1]CostAnalysis!N26</f>
        <v>20</v>
      </c>
      <c r="F15" s="4" t="s">
        <v>30</v>
      </c>
      <c r="G15" s="4">
        <v>1</v>
      </c>
    </row>
    <row r="16" spans="1:10" ht="14.45" x14ac:dyDescent="0.3">
      <c r="A16" t="s">
        <v>28</v>
      </c>
      <c r="B16" s="4">
        <f>[1]CostAnalysis!K27</f>
        <v>4091.9540229885024</v>
      </c>
      <c r="C16" s="4">
        <f>[1]CostAnalysis!L27</f>
        <v>320</v>
      </c>
      <c r="D16" s="4">
        <f>[1]CostAnalysis!M27</f>
        <v>272.79693486590014</v>
      </c>
      <c r="E16" s="4">
        <f>[1]CostAnalysis!N27</f>
        <v>20</v>
      </c>
      <c r="F16" s="4" t="s">
        <v>28</v>
      </c>
      <c r="G16" s="4">
        <v>1</v>
      </c>
    </row>
    <row r="17" spans="1:7" ht="14.45" x14ac:dyDescent="0.3">
      <c r="A17" t="s">
        <v>38</v>
      </c>
      <c r="B17" s="4">
        <f>[1]CostAnalysis!K28</f>
        <v>1</v>
      </c>
      <c r="C17" s="4">
        <f>[1]CostAnalysis!L28</f>
        <v>1</v>
      </c>
      <c r="D17" s="4">
        <f>[1]CostAnalysis!M28</f>
        <v>1</v>
      </c>
      <c r="E17" s="4">
        <f>[1]CostAnalysis!N28</f>
        <v>20</v>
      </c>
      <c r="F17" s="4" t="s">
        <v>27</v>
      </c>
      <c r="G17" s="4">
        <v>1</v>
      </c>
    </row>
    <row r="18" spans="1:7" ht="14.45" x14ac:dyDescent="0.3">
      <c r="A18" t="s">
        <v>49</v>
      </c>
      <c r="B18" s="4">
        <f>[1]CostAnalysis!K29</f>
        <v>1</v>
      </c>
      <c r="C18" s="4">
        <f>[1]CostAnalysis!L29</f>
        <v>1</v>
      </c>
      <c r="D18" s="4">
        <f>[1]CostAnalysis!M29</f>
        <v>1</v>
      </c>
      <c r="E18" s="4">
        <f>[1]CostAnalysis!N29</f>
        <v>20</v>
      </c>
      <c r="F18" s="4" t="s">
        <v>29</v>
      </c>
      <c r="G18" s="4">
        <v>1</v>
      </c>
    </row>
    <row r="19" spans="1:7" ht="14.45" x14ac:dyDescent="0.3">
      <c r="A19" t="s">
        <v>50</v>
      </c>
      <c r="B19" s="4">
        <f>[1]CostAnalysis!K30</f>
        <v>1</v>
      </c>
      <c r="C19" s="4">
        <f>[1]CostAnalysis!L30</f>
        <v>1</v>
      </c>
      <c r="D19" s="4">
        <f>[1]CostAnalysis!M30</f>
        <v>1</v>
      </c>
      <c r="E19" s="4">
        <f>[1]CostAnalysis!N30</f>
        <v>20</v>
      </c>
      <c r="F19" s="4" t="s">
        <v>31</v>
      </c>
      <c r="G19" s="4">
        <v>1</v>
      </c>
    </row>
    <row r="20" spans="1:7" ht="14.45" x14ac:dyDescent="0.3">
      <c r="A20" t="s">
        <v>156</v>
      </c>
      <c r="B20" s="4">
        <f>[1]CostAnalysis!K31</f>
        <v>1</v>
      </c>
      <c r="C20" s="4">
        <f>[1]CostAnalysis!L31</f>
        <v>0</v>
      </c>
      <c r="D20" s="4">
        <f>[1]CostAnalysis!M31</f>
        <v>0</v>
      </c>
      <c r="E20" s="4">
        <f>[1]CostAnalysis!N31</f>
        <v>999</v>
      </c>
      <c r="F20" s="4" t="s">
        <v>146</v>
      </c>
      <c r="G20" s="4">
        <v>999999</v>
      </c>
    </row>
    <row r="21" spans="1:7" ht="14.45" x14ac:dyDescent="0.3">
      <c r="A21" t="s">
        <v>147</v>
      </c>
      <c r="B21" s="4">
        <f>[1]CostAnalysis!K32</f>
        <v>1</v>
      </c>
      <c r="C21" s="4">
        <f>[1]CostAnalysis!L32</f>
        <v>0</v>
      </c>
      <c r="D21" s="4">
        <f>[1]CostAnalysis!M32</f>
        <v>0</v>
      </c>
      <c r="E21" s="4">
        <f>[1]CostAnalysis!N32</f>
        <v>999</v>
      </c>
      <c r="F21" s="4" t="s">
        <v>21</v>
      </c>
      <c r="G21" s="4">
        <v>999999</v>
      </c>
    </row>
    <row r="22" spans="1:7" ht="14.45" x14ac:dyDescent="0.3">
      <c r="A22" t="s">
        <v>151</v>
      </c>
      <c r="B22" s="4">
        <f>[1]CostAnalysis!K33</f>
        <v>1</v>
      </c>
      <c r="C22" s="4">
        <f>[1]CostAnalysis!L33</f>
        <v>0</v>
      </c>
      <c r="D22" s="4">
        <f>[1]CostAnalysis!M33</f>
        <v>0</v>
      </c>
      <c r="E22" s="4">
        <f>[1]CostAnalysis!N33</f>
        <v>999</v>
      </c>
      <c r="F22" s="4" t="s">
        <v>148</v>
      </c>
      <c r="G22" s="4">
        <v>999999</v>
      </c>
    </row>
    <row r="23" spans="1:7" ht="14.45" x14ac:dyDescent="0.3">
      <c r="A23" t="s">
        <v>152</v>
      </c>
      <c r="B23" s="4">
        <f>[1]CostAnalysis!K34</f>
        <v>1</v>
      </c>
      <c r="C23" s="4">
        <f>[1]CostAnalysis!L34</f>
        <v>0</v>
      </c>
      <c r="D23" s="4">
        <f>[1]CostAnalysis!M34</f>
        <v>0</v>
      </c>
      <c r="E23" s="4">
        <f>[1]CostAnalysis!N34</f>
        <v>999</v>
      </c>
      <c r="F23" s="4" t="s">
        <v>22</v>
      </c>
      <c r="G23" s="4">
        <v>999999</v>
      </c>
    </row>
    <row r="24" spans="1:7" ht="14.45" x14ac:dyDescent="0.3">
      <c r="A24" t="s">
        <v>153</v>
      </c>
      <c r="B24" s="4">
        <f>[1]CostAnalysis!K35</f>
        <v>1</v>
      </c>
      <c r="C24" s="4">
        <f>[1]CostAnalysis!L35</f>
        <v>0</v>
      </c>
      <c r="D24" s="4">
        <f>[1]CostAnalysis!M35</f>
        <v>0</v>
      </c>
      <c r="E24" s="4">
        <f>[1]CostAnalysis!N35</f>
        <v>999</v>
      </c>
      <c r="F24" t="s">
        <v>149</v>
      </c>
      <c r="G24" s="4">
        <v>999999</v>
      </c>
    </row>
    <row r="25" spans="1:7" x14ac:dyDescent="0.3">
      <c r="A25" t="s">
        <v>154</v>
      </c>
      <c r="B25" s="4">
        <f>[1]CostAnalysis!K36</f>
        <v>1</v>
      </c>
      <c r="C25" s="4">
        <f>[1]CostAnalysis!L36</f>
        <v>0</v>
      </c>
      <c r="D25" s="4">
        <f>[1]CostAnalysis!M36</f>
        <v>0</v>
      </c>
      <c r="E25" s="4">
        <f>[1]CostAnalysis!N36</f>
        <v>999</v>
      </c>
      <c r="F25" t="s">
        <v>146</v>
      </c>
      <c r="G25" s="4">
        <v>50000</v>
      </c>
    </row>
    <row r="26" spans="1:7" x14ac:dyDescent="0.3">
      <c r="A26" t="s">
        <v>205</v>
      </c>
      <c r="B26" s="4">
        <v>1</v>
      </c>
      <c r="C26" s="4">
        <v>0</v>
      </c>
      <c r="D26" s="4">
        <v>0</v>
      </c>
      <c r="E26" s="4">
        <v>999</v>
      </c>
      <c r="F26" s="4" t="s">
        <v>146</v>
      </c>
      <c r="G26" s="4">
        <v>1</v>
      </c>
    </row>
    <row r="27" spans="1:7" x14ac:dyDescent="0.3">
      <c r="A27" t="s">
        <v>183</v>
      </c>
      <c r="B27" s="4">
        <f>[1]CostAnalysis!K37</f>
        <v>791</v>
      </c>
      <c r="C27" s="4">
        <f>[1]CostAnalysis!L37</f>
        <v>529</v>
      </c>
      <c r="D27" s="4">
        <f>[1]CostAnalysis!M37</f>
        <v>264</v>
      </c>
      <c r="E27" s="4">
        <f>[1]CostAnalysis!N37</f>
        <v>20</v>
      </c>
      <c r="F27" s="4" t="s">
        <v>183</v>
      </c>
      <c r="G27" s="4">
        <v>250000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84"/>
  <sheetViews>
    <sheetView tabSelected="1" zoomScale="85" zoomScaleNormal="85" workbookViewId="0">
      <pane ySplit="3" topLeftCell="A28" activePane="bottomLeft" state="frozen"/>
      <selection pane="bottomLeft" activeCell="D35" sqref="D35"/>
    </sheetView>
  </sheetViews>
  <sheetFormatPr defaultColWidth="9" defaultRowHeight="16.5" x14ac:dyDescent="0.3"/>
  <cols>
    <col min="1" max="3" width="7.625" style="25" bestFit="1" customWidth="1"/>
    <col min="4" max="5" width="5.5" style="25" customWidth="1"/>
    <col min="6" max="6" width="7.625" style="25" bestFit="1" customWidth="1"/>
    <col min="7" max="10" width="4.125" style="25" bestFit="1" customWidth="1"/>
    <col min="11" max="11" width="4.125" style="25" customWidth="1"/>
    <col min="12" max="23" width="4.125" style="25" bestFit="1" customWidth="1"/>
    <col min="24" max="27" width="4.75" style="25" bestFit="1" customWidth="1"/>
    <col min="28" max="28" width="4.625" style="26" bestFit="1" customWidth="1"/>
    <col min="29" max="30" width="5.25" style="26" bestFit="1" customWidth="1"/>
    <col min="31" max="37" width="4.625" style="25" customWidth="1"/>
  </cols>
  <sheetData>
    <row r="1" spans="1:16384" s="69" customFormat="1" ht="14.45" x14ac:dyDescent="0.35">
      <c r="A1" s="27" t="s">
        <v>71</v>
      </c>
      <c r="B1" s="27" t="s">
        <v>72</v>
      </c>
      <c r="C1" s="27" t="s">
        <v>73</v>
      </c>
      <c r="D1" s="27" t="s">
        <v>157</v>
      </c>
      <c r="E1" s="27" t="s">
        <v>196</v>
      </c>
      <c r="F1" s="27" t="s">
        <v>74</v>
      </c>
      <c r="G1" s="28" t="s">
        <v>75</v>
      </c>
      <c r="H1" s="28" t="s">
        <v>76</v>
      </c>
      <c r="I1" s="28" t="s">
        <v>77</v>
      </c>
      <c r="J1" s="28" t="s">
        <v>78</v>
      </c>
      <c r="K1" s="28" t="s">
        <v>79</v>
      </c>
      <c r="L1" s="28" t="s">
        <v>80</v>
      </c>
      <c r="M1" s="28" t="s">
        <v>81</v>
      </c>
      <c r="N1" s="28" t="s">
        <v>82</v>
      </c>
      <c r="O1" s="28" t="s">
        <v>83</v>
      </c>
      <c r="P1" s="28" t="s">
        <v>84</v>
      </c>
      <c r="Q1" s="28" t="s">
        <v>85</v>
      </c>
      <c r="R1" s="28" t="s">
        <v>86</v>
      </c>
      <c r="S1" s="28" t="s">
        <v>87</v>
      </c>
      <c r="T1" s="28" t="s">
        <v>88</v>
      </c>
      <c r="U1" s="28" t="s">
        <v>89</v>
      </c>
      <c r="V1" s="28" t="s">
        <v>90</v>
      </c>
      <c r="W1" s="28" t="s">
        <v>91</v>
      </c>
      <c r="X1" s="28" t="s">
        <v>92</v>
      </c>
      <c r="Y1" s="28" t="s">
        <v>93</v>
      </c>
      <c r="Z1" s="28" t="s">
        <v>94</v>
      </c>
      <c r="AA1" s="28" t="s">
        <v>95</v>
      </c>
      <c r="AB1" s="29" t="s">
        <v>96</v>
      </c>
      <c r="AC1" s="29" t="s">
        <v>97</v>
      </c>
      <c r="AD1" s="29" t="s">
        <v>98</v>
      </c>
      <c r="AE1" s="28" t="s">
        <v>99</v>
      </c>
      <c r="AF1" s="28" t="s">
        <v>184</v>
      </c>
      <c r="AG1" s="28" t="s">
        <v>186</v>
      </c>
      <c r="AH1" s="28" t="s">
        <v>187</v>
      </c>
      <c r="AI1" s="28" t="s">
        <v>188</v>
      </c>
      <c r="AJ1" s="28" t="s">
        <v>189</v>
      </c>
      <c r="AK1" s="28" t="s">
        <v>193</v>
      </c>
      <c r="AL1" s="69" t="s">
        <v>209</v>
      </c>
      <c r="AM1" s="69" t="s">
        <v>210</v>
      </c>
      <c r="AN1" s="69" t="s">
        <v>211</v>
      </c>
      <c r="AO1" s="69" t="s">
        <v>212</v>
      </c>
      <c r="AP1" s="69" t="s">
        <v>213</v>
      </c>
      <c r="AQ1" s="69" t="s">
        <v>214</v>
      </c>
      <c r="AR1" s="69" t="s">
        <v>215</v>
      </c>
      <c r="AS1" s="69" t="s">
        <v>216</v>
      </c>
      <c r="AT1" s="69" t="s">
        <v>217</v>
      </c>
      <c r="AU1" s="69" t="s">
        <v>218</v>
      </c>
      <c r="AV1" s="69" t="s">
        <v>219</v>
      </c>
      <c r="AW1" s="69" t="s">
        <v>220</v>
      </c>
      <c r="AX1" s="69" t="s">
        <v>221</v>
      </c>
      <c r="AY1" s="69" t="s">
        <v>222</v>
      </c>
      <c r="AZ1" s="69" t="s">
        <v>223</v>
      </c>
      <c r="BA1" s="69" t="s">
        <v>224</v>
      </c>
      <c r="BB1" s="69" t="s">
        <v>225</v>
      </c>
      <c r="BC1" s="69" t="s">
        <v>226</v>
      </c>
      <c r="BD1" s="69" t="s">
        <v>227</v>
      </c>
      <c r="BE1" s="69" t="s">
        <v>228</v>
      </c>
      <c r="BF1" s="69" t="s">
        <v>229</v>
      </c>
      <c r="BG1" s="69" t="s">
        <v>230</v>
      </c>
      <c r="BH1" s="69" t="s">
        <v>231</v>
      </c>
      <c r="BI1" s="69" t="s">
        <v>232</v>
      </c>
      <c r="BJ1" s="69" t="s">
        <v>233</v>
      </c>
      <c r="BK1" s="69" t="s">
        <v>234</v>
      </c>
      <c r="BL1" s="69" t="s">
        <v>235</v>
      </c>
      <c r="BM1" s="69" t="s">
        <v>236</v>
      </c>
      <c r="BN1" s="69" t="s">
        <v>237</v>
      </c>
      <c r="BO1" s="69" t="s">
        <v>238</v>
      </c>
      <c r="BP1" s="69" t="s">
        <v>239</v>
      </c>
      <c r="BQ1" s="69" t="s">
        <v>240</v>
      </c>
      <c r="BR1" s="69" t="s">
        <v>241</v>
      </c>
      <c r="BS1" s="69" t="s">
        <v>242</v>
      </c>
      <c r="BT1" s="69" t="s">
        <v>243</v>
      </c>
      <c r="BU1" s="69" t="s">
        <v>244</v>
      </c>
      <c r="BV1" s="69" t="s">
        <v>245</v>
      </c>
      <c r="BW1" s="69" t="s">
        <v>246</v>
      </c>
      <c r="BX1" s="69" t="s">
        <v>247</v>
      </c>
      <c r="BY1" s="69" t="s">
        <v>248</v>
      </c>
      <c r="BZ1" s="69" t="s">
        <v>249</v>
      </c>
      <c r="CA1" s="69" t="s">
        <v>250</v>
      </c>
      <c r="CB1" s="69" t="s">
        <v>251</v>
      </c>
      <c r="CC1" s="69" t="s">
        <v>252</v>
      </c>
      <c r="CD1" s="69" t="s">
        <v>253</v>
      </c>
      <c r="CE1" s="69" t="s">
        <v>254</v>
      </c>
      <c r="CF1" s="69" t="s">
        <v>255</v>
      </c>
      <c r="CG1" s="69" t="s">
        <v>256</v>
      </c>
      <c r="CH1" s="69" t="s">
        <v>257</v>
      </c>
      <c r="CI1" s="69" t="s">
        <v>258</v>
      </c>
      <c r="CJ1" s="69" t="s">
        <v>259</v>
      </c>
      <c r="CK1" s="69" t="s">
        <v>260</v>
      </c>
      <c r="CL1" s="69" t="s">
        <v>261</v>
      </c>
      <c r="CM1" s="69" t="s">
        <v>262</v>
      </c>
      <c r="CN1" s="69" t="s">
        <v>263</v>
      </c>
      <c r="CO1" s="69" t="s">
        <v>264</v>
      </c>
      <c r="CP1" s="69" t="s">
        <v>265</v>
      </c>
      <c r="CQ1" s="69" t="s">
        <v>266</v>
      </c>
      <c r="CR1" s="69" t="s">
        <v>267</v>
      </c>
      <c r="CS1" s="69" t="s">
        <v>268</v>
      </c>
      <c r="CT1" s="69" t="s">
        <v>269</v>
      </c>
      <c r="CU1" s="69" t="s">
        <v>270</v>
      </c>
      <c r="CV1" s="69" t="s">
        <v>271</v>
      </c>
      <c r="CW1" s="69" t="s">
        <v>272</v>
      </c>
      <c r="CX1" s="69" t="s">
        <v>273</v>
      </c>
      <c r="CY1" s="69" t="s">
        <v>274</v>
      </c>
      <c r="CZ1" s="69" t="s">
        <v>275</v>
      </c>
      <c r="DA1" s="69" t="s">
        <v>276</v>
      </c>
      <c r="DB1" s="69" t="s">
        <v>277</v>
      </c>
      <c r="DC1" s="69" t="s">
        <v>278</v>
      </c>
      <c r="DD1" s="69" t="s">
        <v>279</v>
      </c>
      <c r="DE1" s="69" t="s">
        <v>280</v>
      </c>
      <c r="DF1" s="69" t="s">
        <v>281</v>
      </c>
      <c r="DG1" s="69" t="s">
        <v>282</v>
      </c>
      <c r="DH1" s="69" t="s">
        <v>283</v>
      </c>
      <c r="DI1" s="69" t="s">
        <v>284</v>
      </c>
      <c r="DJ1" s="69" t="s">
        <v>285</v>
      </c>
      <c r="DK1" s="69" t="s">
        <v>286</v>
      </c>
      <c r="DL1" s="69" t="s">
        <v>287</v>
      </c>
      <c r="DM1" s="69" t="s">
        <v>288</v>
      </c>
      <c r="DN1" s="69" t="s">
        <v>289</v>
      </c>
      <c r="DO1" s="69" t="s">
        <v>290</v>
      </c>
      <c r="DP1" s="69" t="s">
        <v>291</v>
      </c>
      <c r="DQ1" s="69" t="s">
        <v>292</v>
      </c>
      <c r="DR1" s="69" t="s">
        <v>293</v>
      </c>
      <c r="DS1" s="69" t="s">
        <v>294</v>
      </c>
      <c r="DT1" s="69" t="s">
        <v>295</v>
      </c>
      <c r="DU1" s="69" t="s">
        <v>296</v>
      </c>
      <c r="DV1" s="69" t="s">
        <v>297</v>
      </c>
      <c r="DW1" s="69" t="s">
        <v>298</v>
      </c>
      <c r="DX1" s="69" t="s">
        <v>299</v>
      </c>
      <c r="DY1" s="69" t="s">
        <v>300</v>
      </c>
      <c r="DZ1" s="69" t="s">
        <v>301</v>
      </c>
      <c r="EA1" s="69" t="s">
        <v>302</v>
      </c>
      <c r="EB1" s="69" t="s">
        <v>303</v>
      </c>
      <c r="EC1" s="69" t="s">
        <v>304</v>
      </c>
      <c r="ED1" s="69" t="s">
        <v>305</v>
      </c>
      <c r="EE1" s="69" t="s">
        <v>306</v>
      </c>
      <c r="EF1" s="69" t="s">
        <v>307</v>
      </c>
      <c r="EG1" s="69" t="s">
        <v>308</v>
      </c>
      <c r="EH1" s="69" t="s">
        <v>309</v>
      </c>
      <c r="EI1" s="69" t="s">
        <v>310</v>
      </c>
      <c r="EJ1" s="69" t="s">
        <v>311</v>
      </c>
      <c r="EK1" s="69" t="s">
        <v>312</v>
      </c>
      <c r="EL1" s="69" t="s">
        <v>313</v>
      </c>
      <c r="EM1" s="69" t="s">
        <v>314</v>
      </c>
      <c r="EN1" s="69" t="s">
        <v>315</v>
      </c>
      <c r="EO1" s="69" t="s">
        <v>316</v>
      </c>
      <c r="EP1" s="69" t="s">
        <v>317</v>
      </c>
      <c r="EQ1" s="69" t="s">
        <v>318</v>
      </c>
      <c r="ER1" s="69" t="s">
        <v>319</v>
      </c>
      <c r="ES1" s="69" t="s">
        <v>320</v>
      </c>
      <c r="ET1" s="69" t="s">
        <v>321</v>
      </c>
      <c r="EU1" s="69" t="s">
        <v>322</v>
      </c>
      <c r="EV1" s="69" t="s">
        <v>323</v>
      </c>
      <c r="EW1" s="69" t="s">
        <v>324</v>
      </c>
      <c r="EX1" s="69" t="s">
        <v>325</v>
      </c>
      <c r="EY1" s="69" t="s">
        <v>326</v>
      </c>
      <c r="EZ1" s="69" t="s">
        <v>327</v>
      </c>
      <c r="FA1" s="69" t="s">
        <v>328</v>
      </c>
      <c r="FB1" s="69" t="s">
        <v>329</v>
      </c>
      <c r="FC1" s="69" t="s">
        <v>330</v>
      </c>
      <c r="FD1" s="69" t="s">
        <v>331</v>
      </c>
      <c r="FE1" s="69" t="s">
        <v>332</v>
      </c>
      <c r="FF1" s="69" t="s">
        <v>333</v>
      </c>
      <c r="FG1" s="69" t="s">
        <v>334</v>
      </c>
      <c r="FH1" s="69" t="s">
        <v>335</v>
      </c>
      <c r="FI1" s="69" t="s">
        <v>336</v>
      </c>
      <c r="FJ1" s="69" t="s">
        <v>337</v>
      </c>
      <c r="FK1" s="69" t="s">
        <v>338</v>
      </c>
      <c r="FL1" s="69" t="s">
        <v>339</v>
      </c>
      <c r="FM1" s="69" t="s">
        <v>340</v>
      </c>
      <c r="FN1" s="69" t="s">
        <v>341</v>
      </c>
      <c r="FO1" s="69" t="s">
        <v>342</v>
      </c>
      <c r="FP1" s="69" t="s">
        <v>343</v>
      </c>
      <c r="FQ1" s="69" t="s">
        <v>344</v>
      </c>
      <c r="FR1" s="69" t="s">
        <v>345</v>
      </c>
      <c r="FS1" s="69" t="s">
        <v>346</v>
      </c>
      <c r="FT1" s="69" t="s">
        <v>347</v>
      </c>
      <c r="FU1" s="69" t="s">
        <v>348</v>
      </c>
      <c r="FV1" s="69" t="s">
        <v>349</v>
      </c>
      <c r="FW1" s="69" t="s">
        <v>350</v>
      </c>
      <c r="FX1" s="69" t="s">
        <v>351</v>
      </c>
      <c r="FY1" s="69" t="s">
        <v>352</v>
      </c>
      <c r="FZ1" s="69" t="s">
        <v>353</v>
      </c>
      <c r="GA1" s="69" t="s">
        <v>354</v>
      </c>
      <c r="GB1" s="69" t="s">
        <v>355</v>
      </c>
      <c r="GC1" s="69" t="s">
        <v>356</v>
      </c>
      <c r="GD1" s="69" t="s">
        <v>357</v>
      </c>
      <c r="GE1" s="69" t="s">
        <v>358</v>
      </c>
      <c r="GF1" s="69" t="s">
        <v>359</v>
      </c>
      <c r="GG1" s="69" t="s">
        <v>360</v>
      </c>
      <c r="GH1" s="69" t="s">
        <v>361</v>
      </c>
      <c r="GI1" s="69" t="s">
        <v>362</v>
      </c>
      <c r="GJ1" s="69" t="s">
        <v>363</v>
      </c>
      <c r="GK1" s="69" t="s">
        <v>364</v>
      </c>
      <c r="GL1" s="69" t="s">
        <v>365</v>
      </c>
      <c r="GM1" s="69" t="s">
        <v>366</v>
      </c>
      <c r="GN1" s="69" t="s">
        <v>367</v>
      </c>
      <c r="GO1" s="69" t="s">
        <v>368</v>
      </c>
      <c r="GP1" s="69" t="s">
        <v>369</v>
      </c>
      <c r="GQ1" s="69" t="s">
        <v>370</v>
      </c>
      <c r="GR1" s="69" t="s">
        <v>371</v>
      </c>
      <c r="GS1" s="69" t="s">
        <v>372</v>
      </c>
      <c r="GT1" s="69" t="s">
        <v>373</v>
      </c>
      <c r="GU1" s="69" t="s">
        <v>374</v>
      </c>
      <c r="GV1" s="69" t="s">
        <v>375</v>
      </c>
      <c r="GW1" s="69" t="s">
        <v>376</v>
      </c>
      <c r="GX1" s="69" t="s">
        <v>377</v>
      </c>
      <c r="GY1" s="69" t="s">
        <v>378</v>
      </c>
      <c r="GZ1" s="69" t="s">
        <v>379</v>
      </c>
      <c r="HA1" s="69" t="s">
        <v>380</v>
      </c>
      <c r="HB1" s="69" t="s">
        <v>381</v>
      </c>
      <c r="HC1" s="69" t="s">
        <v>382</v>
      </c>
      <c r="HD1" s="69" t="s">
        <v>383</v>
      </c>
      <c r="HE1" s="69" t="s">
        <v>384</v>
      </c>
      <c r="HF1" s="69" t="s">
        <v>385</v>
      </c>
      <c r="HG1" s="69" t="s">
        <v>386</v>
      </c>
      <c r="HH1" s="69" t="s">
        <v>387</v>
      </c>
      <c r="HI1" s="69" t="s">
        <v>388</v>
      </c>
      <c r="HJ1" s="69" t="s">
        <v>389</v>
      </c>
      <c r="HK1" s="69" t="s">
        <v>390</v>
      </c>
      <c r="HL1" s="69" t="s">
        <v>391</v>
      </c>
      <c r="HM1" s="69" t="s">
        <v>392</v>
      </c>
      <c r="HN1" s="69" t="s">
        <v>393</v>
      </c>
      <c r="HO1" s="69" t="s">
        <v>394</v>
      </c>
      <c r="HP1" s="69" t="s">
        <v>395</v>
      </c>
      <c r="HQ1" s="69" t="s">
        <v>396</v>
      </c>
      <c r="HR1" s="69" t="s">
        <v>397</v>
      </c>
      <c r="HS1" s="69" t="s">
        <v>398</v>
      </c>
      <c r="HT1" s="69" t="s">
        <v>399</v>
      </c>
      <c r="HU1" s="69" t="s">
        <v>400</v>
      </c>
      <c r="HV1" s="69" t="s">
        <v>401</v>
      </c>
      <c r="HW1" s="69" t="s">
        <v>402</v>
      </c>
      <c r="HX1" s="69" t="s">
        <v>403</v>
      </c>
      <c r="HY1" s="69" t="s">
        <v>404</v>
      </c>
      <c r="HZ1" s="69" t="s">
        <v>405</v>
      </c>
      <c r="IA1" s="69" t="s">
        <v>406</v>
      </c>
      <c r="IB1" s="69" t="s">
        <v>407</v>
      </c>
      <c r="IC1" s="69" t="s">
        <v>408</v>
      </c>
      <c r="ID1" s="69" t="s">
        <v>409</v>
      </c>
      <c r="IE1" s="69" t="s">
        <v>410</v>
      </c>
      <c r="IF1" s="69" t="s">
        <v>411</v>
      </c>
      <c r="IG1" s="69" t="s">
        <v>412</v>
      </c>
      <c r="IH1" s="69" t="s">
        <v>413</v>
      </c>
      <c r="II1" s="69" t="s">
        <v>414</v>
      </c>
      <c r="IJ1" s="69" t="s">
        <v>415</v>
      </c>
      <c r="IK1" s="69" t="s">
        <v>416</v>
      </c>
      <c r="IL1" s="69" t="s">
        <v>417</v>
      </c>
      <c r="IM1" s="69" t="s">
        <v>418</v>
      </c>
      <c r="IN1" s="69" t="s">
        <v>419</v>
      </c>
      <c r="IO1" s="69" t="s">
        <v>420</v>
      </c>
      <c r="IP1" s="69" t="s">
        <v>421</v>
      </c>
      <c r="IQ1" s="69" t="s">
        <v>422</v>
      </c>
      <c r="IR1" s="69" t="s">
        <v>423</v>
      </c>
      <c r="IS1" s="69" t="s">
        <v>424</v>
      </c>
      <c r="IT1" s="69" t="s">
        <v>425</v>
      </c>
      <c r="IU1" s="69" t="s">
        <v>426</v>
      </c>
      <c r="IV1" s="69" t="s">
        <v>427</v>
      </c>
      <c r="IW1" s="69" t="s">
        <v>428</v>
      </c>
      <c r="IX1" s="69" t="s">
        <v>429</v>
      </c>
      <c r="IY1" s="69" t="s">
        <v>430</v>
      </c>
      <c r="IZ1" s="69" t="s">
        <v>431</v>
      </c>
      <c r="JA1" s="69" t="s">
        <v>432</v>
      </c>
      <c r="JB1" s="69" t="s">
        <v>433</v>
      </c>
      <c r="JC1" s="69" t="s">
        <v>434</v>
      </c>
      <c r="JD1" s="69" t="s">
        <v>435</v>
      </c>
      <c r="JE1" s="69" t="s">
        <v>436</v>
      </c>
      <c r="JF1" s="69" t="s">
        <v>437</v>
      </c>
      <c r="JG1" s="69" t="s">
        <v>438</v>
      </c>
      <c r="JH1" s="69" t="s">
        <v>439</v>
      </c>
      <c r="JI1" s="69" t="s">
        <v>440</v>
      </c>
      <c r="JJ1" s="69" t="s">
        <v>441</v>
      </c>
      <c r="JK1" s="69" t="s">
        <v>442</v>
      </c>
      <c r="JL1" s="69" t="s">
        <v>443</v>
      </c>
      <c r="JM1" s="69" t="s">
        <v>444</v>
      </c>
      <c r="JN1" s="69" t="s">
        <v>445</v>
      </c>
      <c r="JO1" s="69" t="s">
        <v>446</v>
      </c>
      <c r="JP1" s="69" t="s">
        <v>447</v>
      </c>
      <c r="JQ1" s="69" t="s">
        <v>448</v>
      </c>
      <c r="JR1" s="69" t="s">
        <v>449</v>
      </c>
      <c r="JS1" s="69" t="s">
        <v>450</v>
      </c>
      <c r="JT1" s="69" t="s">
        <v>451</v>
      </c>
      <c r="JU1" s="69" t="s">
        <v>452</v>
      </c>
      <c r="JV1" s="69" t="s">
        <v>453</v>
      </c>
      <c r="JW1" s="69" t="s">
        <v>454</v>
      </c>
      <c r="JX1" s="69" t="s">
        <v>455</v>
      </c>
      <c r="JY1" s="69" t="s">
        <v>456</v>
      </c>
      <c r="JZ1" s="69" t="s">
        <v>457</v>
      </c>
      <c r="KA1" s="69" t="s">
        <v>458</v>
      </c>
      <c r="KB1" s="69" t="s">
        <v>459</v>
      </c>
      <c r="KC1" s="69" t="s">
        <v>460</v>
      </c>
      <c r="KD1" s="69" t="s">
        <v>461</v>
      </c>
      <c r="KE1" s="69" t="s">
        <v>462</v>
      </c>
      <c r="KF1" s="69" t="s">
        <v>463</v>
      </c>
      <c r="KG1" s="69" t="s">
        <v>464</v>
      </c>
      <c r="KH1" s="69" t="s">
        <v>465</v>
      </c>
      <c r="KI1" s="69" t="s">
        <v>466</v>
      </c>
      <c r="KJ1" s="69" t="s">
        <v>467</v>
      </c>
      <c r="KK1" s="69" t="s">
        <v>468</v>
      </c>
      <c r="KL1" s="69" t="s">
        <v>469</v>
      </c>
      <c r="KM1" s="69" t="s">
        <v>470</v>
      </c>
      <c r="KN1" s="69" t="s">
        <v>471</v>
      </c>
      <c r="KO1" s="69" t="s">
        <v>472</v>
      </c>
      <c r="KP1" s="69" t="s">
        <v>473</v>
      </c>
      <c r="KQ1" s="69" t="s">
        <v>474</v>
      </c>
      <c r="KR1" s="69" t="s">
        <v>475</v>
      </c>
      <c r="KS1" s="69" t="s">
        <v>476</v>
      </c>
      <c r="KT1" s="69" t="s">
        <v>477</v>
      </c>
      <c r="KU1" s="69" t="s">
        <v>478</v>
      </c>
      <c r="KV1" s="69" t="s">
        <v>479</v>
      </c>
      <c r="KW1" s="69" t="s">
        <v>480</v>
      </c>
      <c r="KX1" s="69" t="s">
        <v>481</v>
      </c>
      <c r="KY1" s="69" t="s">
        <v>482</v>
      </c>
      <c r="KZ1" s="69" t="s">
        <v>483</v>
      </c>
      <c r="LA1" s="69" t="s">
        <v>484</v>
      </c>
      <c r="LB1" s="69" t="s">
        <v>485</v>
      </c>
      <c r="LC1" s="69" t="s">
        <v>486</v>
      </c>
      <c r="LD1" s="69" t="s">
        <v>487</v>
      </c>
      <c r="LE1" s="69" t="s">
        <v>488</v>
      </c>
      <c r="LF1" s="69" t="s">
        <v>489</v>
      </c>
      <c r="LG1" s="69" t="s">
        <v>490</v>
      </c>
      <c r="LH1" s="69" t="s">
        <v>491</v>
      </c>
      <c r="LI1" s="69" t="s">
        <v>492</v>
      </c>
      <c r="LJ1" s="69" t="s">
        <v>493</v>
      </c>
      <c r="LK1" s="69" t="s">
        <v>494</v>
      </c>
      <c r="LL1" s="69" t="s">
        <v>495</v>
      </c>
      <c r="LM1" s="69" t="s">
        <v>496</v>
      </c>
      <c r="LN1" s="69" t="s">
        <v>497</v>
      </c>
      <c r="LO1" s="69" t="s">
        <v>498</v>
      </c>
      <c r="LP1" s="69" t="s">
        <v>499</v>
      </c>
      <c r="LQ1" s="69" t="s">
        <v>500</v>
      </c>
      <c r="LR1" s="69" t="s">
        <v>501</v>
      </c>
      <c r="LS1" s="69" t="s">
        <v>502</v>
      </c>
      <c r="LT1" s="69" t="s">
        <v>503</v>
      </c>
      <c r="LU1" s="69" t="s">
        <v>504</v>
      </c>
      <c r="LV1" s="69" t="s">
        <v>505</v>
      </c>
      <c r="LW1" s="69" t="s">
        <v>506</v>
      </c>
      <c r="LX1" s="69" t="s">
        <v>507</v>
      </c>
      <c r="LY1" s="69" t="s">
        <v>508</v>
      </c>
      <c r="LZ1" s="69" t="s">
        <v>509</v>
      </c>
      <c r="MA1" s="69" t="s">
        <v>510</v>
      </c>
      <c r="MB1" s="69" t="s">
        <v>511</v>
      </c>
      <c r="MC1" s="69" t="s">
        <v>512</v>
      </c>
      <c r="MD1" s="69" t="s">
        <v>513</v>
      </c>
      <c r="ME1" s="69" t="s">
        <v>514</v>
      </c>
      <c r="MF1" s="69" t="s">
        <v>515</v>
      </c>
      <c r="MG1" s="69" t="s">
        <v>516</v>
      </c>
      <c r="MH1" s="69" t="s">
        <v>517</v>
      </c>
      <c r="MI1" s="69" t="s">
        <v>518</v>
      </c>
      <c r="MJ1" s="69" t="s">
        <v>519</v>
      </c>
      <c r="MK1" s="69" t="s">
        <v>520</v>
      </c>
      <c r="ML1" s="69" t="s">
        <v>521</v>
      </c>
      <c r="MM1" s="69" t="s">
        <v>522</v>
      </c>
      <c r="MN1" s="69" t="s">
        <v>523</v>
      </c>
      <c r="MO1" s="69" t="s">
        <v>524</v>
      </c>
      <c r="MP1" s="69" t="s">
        <v>525</v>
      </c>
      <c r="MQ1" s="69" t="s">
        <v>526</v>
      </c>
      <c r="MR1" s="69" t="s">
        <v>527</v>
      </c>
      <c r="MS1" s="69" t="s">
        <v>528</v>
      </c>
      <c r="MT1" s="69" t="s">
        <v>529</v>
      </c>
      <c r="MU1" s="69" t="s">
        <v>530</v>
      </c>
      <c r="MV1" s="69" t="s">
        <v>531</v>
      </c>
      <c r="MW1" s="69" t="s">
        <v>532</v>
      </c>
      <c r="MX1" s="69" t="s">
        <v>533</v>
      </c>
      <c r="MY1" s="69" t="s">
        <v>534</v>
      </c>
      <c r="MZ1" s="69" t="s">
        <v>535</v>
      </c>
      <c r="NA1" s="69" t="s">
        <v>536</v>
      </c>
      <c r="NB1" s="69" t="s">
        <v>537</v>
      </c>
      <c r="NC1" s="69" t="s">
        <v>538</v>
      </c>
      <c r="ND1" s="69" t="s">
        <v>539</v>
      </c>
      <c r="NE1" s="69" t="s">
        <v>540</v>
      </c>
      <c r="NF1" s="69" t="s">
        <v>541</v>
      </c>
      <c r="NG1" s="69" t="s">
        <v>542</v>
      </c>
      <c r="NH1" s="69" t="s">
        <v>543</v>
      </c>
      <c r="NI1" s="69" t="s">
        <v>544</v>
      </c>
      <c r="NJ1" s="69" t="s">
        <v>545</v>
      </c>
      <c r="NK1" s="69" t="s">
        <v>546</v>
      </c>
      <c r="NL1" s="69" t="s">
        <v>547</v>
      </c>
      <c r="NM1" s="69" t="s">
        <v>548</v>
      </c>
      <c r="NN1" s="69" t="s">
        <v>549</v>
      </c>
      <c r="NO1" s="69" t="s">
        <v>550</v>
      </c>
      <c r="NP1" s="69" t="s">
        <v>551</v>
      </c>
      <c r="NQ1" s="69" t="s">
        <v>552</v>
      </c>
      <c r="NR1" s="69" t="s">
        <v>553</v>
      </c>
      <c r="NS1" s="69" t="s">
        <v>554</v>
      </c>
      <c r="NT1" s="69" t="s">
        <v>555</v>
      </c>
      <c r="NU1" s="69" t="s">
        <v>556</v>
      </c>
      <c r="NV1" s="69" t="s">
        <v>557</v>
      </c>
      <c r="NW1" s="69" t="s">
        <v>558</v>
      </c>
      <c r="NX1" s="69" t="s">
        <v>559</v>
      </c>
      <c r="NY1" s="69" t="s">
        <v>560</v>
      </c>
      <c r="NZ1" s="69" t="s">
        <v>561</v>
      </c>
      <c r="OA1" s="69" t="s">
        <v>562</v>
      </c>
      <c r="OB1" s="69" t="s">
        <v>563</v>
      </c>
      <c r="OC1" s="69" t="s">
        <v>564</v>
      </c>
      <c r="OD1" s="69" t="s">
        <v>565</v>
      </c>
      <c r="OE1" s="69" t="s">
        <v>566</v>
      </c>
      <c r="OF1" s="69" t="s">
        <v>567</v>
      </c>
      <c r="OG1" s="69" t="s">
        <v>568</v>
      </c>
      <c r="OH1" s="69" t="s">
        <v>569</v>
      </c>
      <c r="OI1" s="69" t="s">
        <v>570</v>
      </c>
      <c r="OJ1" s="69" t="s">
        <v>571</v>
      </c>
      <c r="OK1" s="69" t="s">
        <v>572</v>
      </c>
      <c r="OL1" s="69" t="s">
        <v>573</v>
      </c>
      <c r="OM1" s="69" t="s">
        <v>574</v>
      </c>
      <c r="ON1" s="69" t="s">
        <v>575</v>
      </c>
      <c r="OO1" s="69" t="s">
        <v>576</v>
      </c>
      <c r="OP1" s="69" t="s">
        <v>577</v>
      </c>
      <c r="OQ1" s="69" t="s">
        <v>578</v>
      </c>
      <c r="OR1" s="69" t="s">
        <v>579</v>
      </c>
      <c r="OS1" s="69" t="s">
        <v>580</v>
      </c>
      <c r="OT1" s="69" t="s">
        <v>581</v>
      </c>
      <c r="OU1" s="69" t="s">
        <v>582</v>
      </c>
      <c r="OV1" s="69" t="s">
        <v>583</v>
      </c>
      <c r="OW1" s="69" t="s">
        <v>584</v>
      </c>
      <c r="OX1" s="69" t="s">
        <v>585</v>
      </c>
      <c r="OY1" s="69" t="s">
        <v>586</v>
      </c>
      <c r="OZ1" s="69" t="s">
        <v>587</v>
      </c>
      <c r="PA1" s="69" t="s">
        <v>588</v>
      </c>
      <c r="PB1" s="69" t="s">
        <v>589</v>
      </c>
      <c r="PC1" s="69" t="s">
        <v>590</v>
      </c>
      <c r="PD1" s="69" t="s">
        <v>591</v>
      </c>
      <c r="PE1" s="69" t="s">
        <v>592</v>
      </c>
      <c r="PF1" s="69" t="s">
        <v>593</v>
      </c>
      <c r="PG1" s="69" t="s">
        <v>594</v>
      </c>
      <c r="PH1" s="69" t="s">
        <v>595</v>
      </c>
      <c r="PI1" s="69" t="s">
        <v>596</v>
      </c>
      <c r="PJ1" s="69" t="s">
        <v>597</v>
      </c>
      <c r="PK1" s="69" t="s">
        <v>598</v>
      </c>
      <c r="PL1" s="69" t="s">
        <v>599</v>
      </c>
      <c r="PM1" s="69" t="s">
        <v>600</v>
      </c>
      <c r="PN1" s="69" t="s">
        <v>601</v>
      </c>
      <c r="PO1" s="69" t="s">
        <v>602</v>
      </c>
      <c r="PP1" s="69" t="s">
        <v>603</v>
      </c>
      <c r="PQ1" s="69" t="s">
        <v>604</v>
      </c>
      <c r="PR1" s="69" t="s">
        <v>605</v>
      </c>
      <c r="PS1" s="69" t="s">
        <v>606</v>
      </c>
      <c r="PT1" s="69" t="s">
        <v>607</v>
      </c>
      <c r="PU1" s="69" t="s">
        <v>608</v>
      </c>
      <c r="PV1" s="69" t="s">
        <v>609</v>
      </c>
      <c r="PW1" s="69" t="s">
        <v>610</v>
      </c>
      <c r="PX1" s="69" t="s">
        <v>611</v>
      </c>
      <c r="PY1" s="69" t="s">
        <v>612</v>
      </c>
      <c r="PZ1" s="69" t="s">
        <v>613</v>
      </c>
      <c r="QA1" s="69" t="s">
        <v>614</v>
      </c>
      <c r="QB1" s="69" t="s">
        <v>615</v>
      </c>
      <c r="QC1" s="69" t="s">
        <v>616</v>
      </c>
      <c r="QD1" s="69" t="s">
        <v>617</v>
      </c>
      <c r="QE1" s="69" t="s">
        <v>618</v>
      </c>
      <c r="QF1" s="69" t="s">
        <v>619</v>
      </c>
      <c r="QG1" s="69" t="s">
        <v>620</v>
      </c>
      <c r="QH1" s="69" t="s">
        <v>621</v>
      </c>
      <c r="QI1" s="69" t="s">
        <v>622</v>
      </c>
      <c r="QJ1" s="69" t="s">
        <v>623</v>
      </c>
      <c r="QK1" s="69" t="s">
        <v>624</v>
      </c>
      <c r="QL1" s="69" t="s">
        <v>625</v>
      </c>
      <c r="QM1" s="69" t="s">
        <v>626</v>
      </c>
      <c r="QN1" s="69" t="s">
        <v>627</v>
      </c>
      <c r="QO1" s="69" t="s">
        <v>628</v>
      </c>
      <c r="QP1" s="69" t="s">
        <v>629</v>
      </c>
      <c r="QQ1" s="69" t="s">
        <v>630</v>
      </c>
      <c r="QR1" s="69" t="s">
        <v>631</v>
      </c>
      <c r="QS1" s="69" t="s">
        <v>632</v>
      </c>
      <c r="QT1" s="69" t="s">
        <v>633</v>
      </c>
      <c r="QU1" s="69" t="s">
        <v>634</v>
      </c>
      <c r="QV1" s="69" t="s">
        <v>635</v>
      </c>
      <c r="QW1" s="69" t="s">
        <v>636</v>
      </c>
      <c r="QX1" s="69" t="s">
        <v>637</v>
      </c>
      <c r="QY1" s="69" t="s">
        <v>638</v>
      </c>
      <c r="QZ1" s="69" t="s">
        <v>639</v>
      </c>
      <c r="RA1" s="69" t="s">
        <v>640</v>
      </c>
      <c r="RB1" s="69" t="s">
        <v>641</v>
      </c>
      <c r="RC1" s="69" t="s">
        <v>642</v>
      </c>
      <c r="RD1" s="69" t="s">
        <v>643</v>
      </c>
      <c r="RE1" s="69" t="s">
        <v>644</v>
      </c>
      <c r="RF1" s="69" t="s">
        <v>645</v>
      </c>
      <c r="RG1" s="69" t="s">
        <v>646</v>
      </c>
      <c r="RH1" s="69" t="s">
        <v>647</v>
      </c>
      <c r="RI1" s="69" t="s">
        <v>648</v>
      </c>
      <c r="RJ1" s="69" t="s">
        <v>649</v>
      </c>
      <c r="RK1" s="69" t="s">
        <v>650</v>
      </c>
      <c r="RL1" s="69" t="s">
        <v>651</v>
      </c>
      <c r="RM1" s="69" t="s">
        <v>652</v>
      </c>
      <c r="RN1" s="69" t="s">
        <v>653</v>
      </c>
      <c r="RO1" s="69" t="s">
        <v>654</v>
      </c>
      <c r="RP1" s="69" t="s">
        <v>655</v>
      </c>
      <c r="RQ1" s="69" t="s">
        <v>656</v>
      </c>
      <c r="RR1" s="69" t="s">
        <v>657</v>
      </c>
      <c r="RS1" s="69" t="s">
        <v>658</v>
      </c>
      <c r="RT1" s="69" t="s">
        <v>659</v>
      </c>
      <c r="RU1" s="69" t="s">
        <v>660</v>
      </c>
      <c r="RV1" s="69" t="s">
        <v>661</v>
      </c>
      <c r="RW1" s="69" t="s">
        <v>662</v>
      </c>
      <c r="RX1" s="69" t="s">
        <v>663</v>
      </c>
      <c r="RY1" s="69" t="s">
        <v>664</v>
      </c>
      <c r="RZ1" s="69" t="s">
        <v>665</v>
      </c>
      <c r="SA1" s="69" t="s">
        <v>666</v>
      </c>
      <c r="SB1" s="69" t="s">
        <v>667</v>
      </c>
      <c r="SC1" s="69" t="s">
        <v>668</v>
      </c>
      <c r="SD1" s="69" t="s">
        <v>669</v>
      </c>
      <c r="SE1" s="69" t="s">
        <v>670</v>
      </c>
      <c r="SF1" s="69" t="s">
        <v>671</v>
      </c>
      <c r="SG1" s="69" t="s">
        <v>672</v>
      </c>
      <c r="SH1" s="69" t="s">
        <v>673</v>
      </c>
      <c r="SI1" s="69" t="s">
        <v>674</v>
      </c>
      <c r="SJ1" s="69" t="s">
        <v>675</v>
      </c>
      <c r="SK1" s="69" t="s">
        <v>676</v>
      </c>
      <c r="SL1" s="69" t="s">
        <v>677</v>
      </c>
      <c r="SM1" s="69" t="s">
        <v>678</v>
      </c>
      <c r="SN1" s="69" t="s">
        <v>679</v>
      </c>
      <c r="SO1" s="69" t="s">
        <v>680</v>
      </c>
      <c r="SP1" s="69" t="s">
        <v>681</v>
      </c>
      <c r="SQ1" s="69" t="s">
        <v>682</v>
      </c>
      <c r="SR1" s="69" t="s">
        <v>683</v>
      </c>
      <c r="SS1" s="69" t="s">
        <v>684</v>
      </c>
      <c r="ST1" s="69" t="s">
        <v>685</v>
      </c>
      <c r="SU1" s="69" t="s">
        <v>686</v>
      </c>
      <c r="SV1" s="69" t="s">
        <v>687</v>
      </c>
      <c r="SW1" s="69" t="s">
        <v>688</v>
      </c>
      <c r="SX1" s="69" t="s">
        <v>689</v>
      </c>
      <c r="SY1" s="69" t="s">
        <v>690</v>
      </c>
      <c r="SZ1" s="69" t="s">
        <v>691</v>
      </c>
      <c r="TA1" s="69" t="s">
        <v>692</v>
      </c>
      <c r="TB1" s="69" t="s">
        <v>693</v>
      </c>
      <c r="TC1" s="69" t="s">
        <v>694</v>
      </c>
      <c r="TD1" s="69" t="s">
        <v>695</v>
      </c>
      <c r="TE1" s="69" t="s">
        <v>696</v>
      </c>
      <c r="TF1" s="69" t="s">
        <v>697</v>
      </c>
      <c r="TG1" s="69" t="s">
        <v>698</v>
      </c>
      <c r="TH1" s="69" t="s">
        <v>699</v>
      </c>
      <c r="TI1" s="69" t="s">
        <v>700</v>
      </c>
      <c r="TJ1" s="69" t="s">
        <v>701</v>
      </c>
      <c r="TK1" s="69" t="s">
        <v>702</v>
      </c>
      <c r="TL1" s="69" t="s">
        <v>703</v>
      </c>
      <c r="TM1" s="69" t="s">
        <v>704</v>
      </c>
      <c r="TN1" s="69" t="s">
        <v>705</v>
      </c>
      <c r="TO1" s="69" t="s">
        <v>706</v>
      </c>
      <c r="TP1" s="69" t="s">
        <v>707</v>
      </c>
      <c r="TQ1" s="69" t="s">
        <v>708</v>
      </c>
      <c r="TR1" s="69" t="s">
        <v>709</v>
      </c>
      <c r="TS1" s="69" t="s">
        <v>710</v>
      </c>
      <c r="TT1" s="69" t="s">
        <v>711</v>
      </c>
      <c r="TU1" s="69" t="s">
        <v>712</v>
      </c>
      <c r="TV1" s="69" t="s">
        <v>713</v>
      </c>
      <c r="TW1" s="69" t="s">
        <v>714</v>
      </c>
      <c r="TX1" s="69" t="s">
        <v>715</v>
      </c>
      <c r="TY1" s="69" t="s">
        <v>716</v>
      </c>
      <c r="TZ1" s="69" t="s">
        <v>717</v>
      </c>
      <c r="UA1" s="69" t="s">
        <v>718</v>
      </c>
      <c r="UB1" s="69" t="s">
        <v>719</v>
      </c>
      <c r="UC1" s="69" t="s">
        <v>720</v>
      </c>
      <c r="UD1" s="69" t="s">
        <v>721</v>
      </c>
      <c r="UE1" s="69" t="s">
        <v>722</v>
      </c>
      <c r="UF1" s="69" t="s">
        <v>723</v>
      </c>
      <c r="UG1" s="69" t="s">
        <v>724</v>
      </c>
      <c r="UH1" s="69" t="s">
        <v>725</v>
      </c>
      <c r="UI1" s="69" t="s">
        <v>726</v>
      </c>
      <c r="UJ1" s="69" t="s">
        <v>727</v>
      </c>
      <c r="UK1" s="69" t="s">
        <v>728</v>
      </c>
      <c r="UL1" s="69" t="s">
        <v>729</v>
      </c>
      <c r="UM1" s="69" t="s">
        <v>730</v>
      </c>
      <c r="UN1" s="69" t="s">
        <v>731</v>
      </c>
      <c r="UO1" s="69" t="s">
        <v>732</v>
      </c>
      <c r="UP1" s="69" t="s">
        <v>733</v>
      </c>
      <c r="UQ1" s="69" t="s">
        <v>734</v>
      </c>
      <c r="UR1" s="69" t="s">
        <v>735</v>
      </c>
      <c r="US1" s="69" t="s">
        <v>736</v>
      </c>
      <c r="UT1" s="69" t="s">
        <v>737</v>
      </c>
      <c r="UU1" s="69" t="s">
        <v>738</v>
      </c>
      <c r="UV1" s="69" t="s">
        <v>739</v>
      </c>
      <c r="UW1" s="69" t="s">
        <v>740</v>
      </c>
      <c r="UX1" s="69" t="s">
        <v>741</v>
      </c>
      <c r="UY1" s="69" t="s">
        <v>742</v>
      </c>
      <c r="UZ1" s="69" t="s">
        <v>743</v>
      </c>
      <c r="VA1" s="69" t="s">
        <v>744</v>
      </c>
      <c r="VB1" s="69" t="s">
        <v>745</v>
      </c>
      <c r="VC1" s="69" t="s">
        <v>746</v>
      </c>
      <c r="VD1" s="69" t="s">
        <v>747</v>
      </c>
      <c r="VE1" s="69" t="s">
        <v>748</v>
      </c>
      <c r="VF1" s="69" t="s">
        <v>749</v>
      </c>
      <c r="VG1" s="69" t="s">
        <v>750</v>
      </c>
      <c r="VH1" s="69" t="s">
        <v>751</v>
      </c>
      <c r="VI1" s="69" t="s">
        <v>752</v>
      </c>
      <c r="VJ1" s="69" t="s">
        <v>753</v>
      </c>
      <c r="VK1" s="69" t="s">
        <v>754</v>
      </c>
      <c r="VL1" s="69" t="s">
        <v>755</v>
      </c>
      <c r="VM1" s="69" t="s">
        <v>756</v>
      </c>
      <c r="VN1" s="69" t="s">
        <v>757</v>
      </c>
      <c r="VO1" s="69" t="s">
        <v>758</v>
      </c>
      <c r="VP1" s="69" t="s">
        <v>759</v>
      </c>
      <c r="VQ1" s="69" t="s">
        <v>760</v>
      </c>
      <c r="VR1" s="69" t="s">
        <v>761</v>
      </c>
      <c r="VS1" s="69" t="s">
        <v>762</v>
      </c>
      <c r="VT1" s="69" t="s">
        <v>763</v>
      </c>
      <c r="VU1" s="69" t="s">
        <v>764</v>
      </c>
      <c r="VV1" s="69" t="s">
        <v>765</v>
      </c>
      <c r="VW1" s="69" t="s">
        <v>766</v>
      </c>
      <c r="VX1" s="69" t="s">
        <v>767</v>
      </c>
      <c r="VY1" s="69" t="s">
        <v>768</v>
      </c>
      <c r="VZ1" s="69" t="s">
        <v>769</v>
      </c>
      <c r="WA1" s="69" t="s">
        <v>770</v>
      </c>
      <c r="WB1" s="69" t="s">
        <v>771</v>
      </c>
      <c r="WC1" s="69" t="s">
        <v>772</v>
      </c>
      <c r="WD1" s="69" t="s">
        <v>773</v>
      </c>
      <c r="WE1" s="69" t="s">
        <v>774</v>
      </c>
      <c r="WF1" s="69" t="s">
        <v>775</v>
      </c>
      <c r="WG1" s="69" t="s">
        <v>776</v>
      </c>
      <c r="WH1" s="69" t="s">
        <v>777</v>
      </c>
      <c r="WI1" s="69" t="s">
        <v>778</v>
      </c>
      <c r="WJ1" s="69" t="s">
        <v>779</v>
      </c>
      <c r="WK1" s="69" t="s">
        <v>780</v>
      </c>
      <c r="WL1" s="69" t="s">
        <v>781</v>
      </c>
      <c r="WM1" s="69" t="s">
        <v>782</v>
      </c>
      <c r="WN1" s="69" t="s">
        <v>783</v>
      </c>
      <c r="WO1" s="69" t="s">
        <v>784</v>
      </c>
      <c r="WP1" s="69" t="s">
        <v>785</v>
      </c>
      <c r="WQ1" s="69" t="s">
        <v>786</v>
      </c>
      <c r="WR1" s="69" t="s">
        <v>787</v>
      </c>
      <c r="WS1" s="69" t="s">
        <v>788</v>
      </c>
      <c r="WT1" s="69" t="s">
        <v>789</v>
      </c>
      <c r="WU1" s="69" t="s">
        <v>790</v>
      </c>
      <c r="WV1" s="69" t="s">
        <v>791</v>
      </c>
      <c r="WW1" s="69" t="s">
        <v>792</v>
      </c>
      <c r="WX1" s="69" t="s">
        <v>793</v>
      </c>
      <c r="WY1" s="69" t="s">
        <v>794</v>
      </c>
      <c r="WZ1" s="69" t="s">
        <v>795</v>
      </c>
      <c r="XA1" s="69" t="s">
        <v>796</v>
      </c>
      <c r="XB1" s="69" t="s">
        <v>797</v>
      </c>
      <c r="XC1" s="69" t="s">
        <v>798</v>
      </c>
      <c r="XD1" s="69" t="s">
        <v>799</v>
      </c>
      <c r="XE1" s="69" t="s">
        <v>800</v>
      </c>
      <c r="XF1" s="69" t="s">
        <v>801</v>
      </c>
      <c r="XG1" s="69" t="s">
        <v>802</v>
      </c>
      <c r="XH1" s="69" t="s">
        <v>803</v>
      </c>
      <c r="XI1" s="69" t="s">
        <v>804</v>
      </c>
      <c r="XJ1" s="69" t="s">
        <v>805</v>
      </c>
      <c r="XK1" s="69" t="s">
        <v>806</v>
      </c>
      <c r="XL1" s="69" t="s">
        <v>807</v>
      </c>
      <c r="XM1" s="69" t="s">
        <v>808</v>
      </c>
      <c r="XN1" s="69" t="s">
        <v>809</v>
      </c>
      <c r="XO1" s="69" t="s">
        <v>810</v>
      </c>
      <c r="XP1" s="69" t="s">
        <v>811</v>
      </c>
      <c r="XQ1" s="69" t="s">
        <v>812</v>
      </c>
      <c r="XR1" s="69" t="s">
        <v>813</v>
      </c>
      <c r="XS1" s="69" t="s">
        <v>814</v>
      </c>
      <c r="XT1" s="69" t="s">
        <v>815</v>
      </c>
      <c r="XU1" s="69" t="s">
        <v>816</v>
      </c>
      <c r="XV1" s="69" t="s">
        <v>817</v>
      </c>
      <c r="XW1" s="69" t="s">
        <v>818</v>
      </c>
      <c r="XX1" s="69" t="s">
        <v>819</v>
      </c>
      <c r="XY1" s="69" t="s">
        <v>820</v>
      </c>
      <c r="XZ1" s="69" t="s">
        <v>821</v>
      </c>
      <c r="YA1" s="69" t="s">
        <v>822</v>
      </c>
      <c r="YB1" s="69" t="s">
        <v>823</v>
      </c>
      <c r="YC1" s="69" t="s">
        <v>824</v>
      </c>
      <c r="YD1" s="69" t="s">
        <v>825</v>
      </c>
      <c r="YE1" s="69" t="s">
        <v>826</v>
      </c>
      <c r="YF1" s="69" t="s">
        <v>827</v>
      </c>
      <c r="YG1" s="69" t="s">
        <v>828</v>
      </c>
      <c r="YH1" s="69" t="s">
        <v>829</v>
      </c>
      <c r="YI1" s="69" t="s">
        <v>830</v>
      </c>
      <c r="YJ1" s="69" t="s">
        <v>831</v>
      </c>
      <c r="YK1" s="69" t="s">
        <v>832</v>
      </c>
      <c r="YL1" s="69" t="s">
        <v>833</v>
      </c>
      <c r="YM1" s="69" t="s">
        <v>834</v>
      </c>
      <c r="YN1" s="69" t="s">
        <v>835</v>
      </c>
      <c r="YO1" s="69" t="s">
        <v>836</v>
      </c>
      <c r="YP1" s="69" t="s">
        <v>837</v>
      </c>
      <c r="YQ1" s="69" t="s">
        <v>838</v>
      </c>
      <c r="YR1" s="69" t="s">
        <v>839</v>
      </c>
      <c r="YS1" s="69" t="s">
        <v>840</v>
      </c>
      <c r="YT1" s="69" t="s">
        <v>841</v>
      </c>
      <c r="YU1" s="69" t="s">
        <v>842</v>
      </c>
      <c r="YV1" s="69" t="s">
        <v>843</v>
      </c>
      <c r="YW1" s="69" t="s">
        <v>844</v>
      </c>
      <c r="YX1" s="69" t="s">
        <v>845</v>
      </c>
      <c r="YY1" s="69" t="s">
        <v>846</v>
      </c>
      <c r="YZ1" s="69" t="s">
        <v>847</v>
      </c>
      <c r="ZA1" s="69" t="s">
        <v>848</v>
      </c>
      <c r="ZB1" s="69" t="s">
        <v>849</v>
      </c>
      <c r="ZC1" s="69" t="s">
        <v>850</v>
      </c>
      <c r="ZD1" s="69" t="s">
        <v>851</v>
      </c>
      <c r="ZE1" s="69" t="s">
        <v>852</v>
      </c>
      <c r="ZF1" s="69" t="s">
        <v>853</v>
      </c>
      <c r="ZG1" s="69" t="s">
        <v>854</v>
      </c>
      <c r="ZH1" s="69" t="s">
        <v>855</v>
      </c>
      <c r="ZI1" s="69" t="s">
        <v>856</v>
      </c>
      <c r="ZJ1" s="69" t="s">
        <v>857</v>
      </c>
      <c r="ZK1" s="69" t="s">
        <v>858</v>
      </c>
      <c r="ZL1" s="69" t="s">
        <v>859</v>
      </c>
      <c r="ZM1" s="69" t="s">
        <v>860</v>
      </c>
      <c r="ZN1" s="69" t="s">
        <v>861</v>
      </c>
      <c r="ZO1" s="69" t="s">
        <v>862</v>
      </c>
      <c r="ZP1" s="69" t="s">
        <v>863</v>
      </c>
      <c r="ZQ1" s="69" t="s">
        <v>864</v>
      </c>
      <c r="ZR1" s="69" t="s">
        <v>865</v>
      </c>
      <c r="ZS1" s="69" t="s">
        <v>866</v>
      </c>
      <c r="ZT1" s="69" t="s">
        <v>867</v>
      </c>
      <c r="ZU1" s="69" t="s">
        <v>868</v>
      </c>
      <c r="ZV1" s="69" t="s">
        <v>869</v>
      </c>
      <c r="ZW1" s="69" t="s">
        <v>870</v>
      </c>
      <c r="ZX1" s="69" t="s">
        <v>871</v>
      </c>
      <c r="ZY1" s="69" t="s">
        <v>872</v>
      </c>
      <c r="ZZ1" s="69" t="s">
        <v>873</v>
      </c>
      <c r="AAA1" s="69" t="s">
        <v>874</v>
      </c>
      <c r="AAB1" s="69" t="s">
        <v>875</v>
      </c>
      <c r="AAC1" s="69" t="s">
        <v>876</v>
      </c>
      <c r="AAD1" s="69" t="s">
        <v>877</v>
      </c>
      <c r="AAE1" s="69" t="s">
        <v>878</v>
      </c>
      <c r="AAF1" s="69" t="s">
        <v>879</v>
      </c>
      <c r="AAG1" s="69" t="s">
        <v>880</v>
      </c>
      <c r="AAH1" s="69" t="s">
        <v>881</v>
      </c>
      <c r="AAI1" s="69" t="s">
        <v>882</v>
      </c>
      <c r="AAJ1" s="69" t="s">
        <v>883</v>
      </c>
      <c r="AAK1" s="69" t="s">
        <v>884</v>
      </c>
      <c r="AAL1" s="69" t="s">
        <v>885</v>
      </c>
      <c r="AAM1" s="69" t="s">
        <v>886</v>
      </c>
      <c r="AAN1" s="69" t="s">
        <v>887</v>
      </c>
      <c r="AAO1" s="69" t="s">
        <v>888</v>
      </c>
      <c r="AAP1" s="69" t="s">
        <v>889</v>
      </c>
      <c r="AAQ1" s="69" t="s">
        <v>890</v>
      </c>
      <c r="AAR1" s="69" t="s">
        <v>891</v>
      </c>
      <c r="AAS1" s="69" t="s">
        <v>892</v>
      </c>
      <c r="AAT1" s="69" t="s">
        <v>893</v>
      </c>
      <c r="AAU1" s="69" t="s">
        <v>894</v>
      </c>
      <c r="AAV1" s="69" t="s">
        <v>895</v>
      </c>
      <c r="AAW1" s="69" t="s">
        <v>896</v>
      </c>
      <c r="AAX1" s="69" t="s">
        <v>897</v>
      </c>
      <c r="AAY1" s="69" t="s">
        <v>898</v>
      </c>
      <c r="AAZ1" s="69" t="s">
        <v>899</v>
      </c>
      <c r="ABA1" s="69" t="s">
        <v>900</v>
      </c>
      <c r="ABB1" s="69" t="s">
        <v>901</v>
      </c>
      <c r="ABC1" s="69" t="s">
        <v>902</v>
      </c>
      <c r="ABD1" s="69" t="s">
        <v>903</v>
      </c>
      <c r="ABE1" s="69" t="s">
        <v>904</v>
      </c>
      <c r="ABF1" s="69" t="s">
        <v>905</v>
      </c>
      <c r="ABG1" s="69" t="s">
        <v>906</v>
      </c>
      <c r="ABH1" s="69" t="s">
        <v>907</v>
      </c>
      <c r="ABI1" s="69" t="s">
        <v>908</v>
      </c>
      <c r="ABJ1" s="69" t="s">
        <v>909</v>
      </c>
      <c r="ABK1" s="69" t="s">
        <v>910</v>
      </c>
      <c r="ABL1" s="69" t="s">
        <v>911</v>
      </c>
      <c r="ABM1" s="69" t="s">
        <v>912</v>
      </c>
      <c r="ABN1" s="69" t="s">
        <v>913</v>
      </c>
      <c r="ABO1" s="69" t="s">
        <v>914</v>
      </c>
      <c r="ABP1" s="69" t="s">
        <v>915</v>
      </c>
      <c r="ABQ1" s="69" t="s">
        <v>916</v>
      </c>
      <c r="ABR1" s="69" t="s">
        <v>917</v>
      </c>
      <c r="ABS1" s="69" t="s">
        <v>918</v>
      </c>
      <c r="ABT1" s="69" t="s">
        <v>919</v>
      </c>
      <c r="ABU1" s="69" t="s">
        <v>920</v>
      </c>
      <c r="ABV1" s="69" t="s">
        <v>921</v>
      </c>
      <c r="ABW1" s="69" t="s">
        <v>922</v>
      </c>
      <c r="ABX1" s="69" t="s">
        <v>923</v>
      </c>
      <c r="ABY1" s="69" t="s">
        <v>924</v>
      </c>
      <c r="ABZ1" s="69" t="s">
        <v>925</v>
      </c>
      <c r="ACA1" s="69" t="s">
        <v>926</v>
      </c>
      <c r="ACB1" s="69" t="s">
        <v>927</v>
      </c>
      <c r="ACC1" s="69" t="s">
        <v>928</v>
      </c>
      <c r="ACD1" s="69" t="s">
        <v>929</v>
      </c>
      <c r="ACE1" s="69" t="s">
        <v>930</v>
      </c>
      <c r="ACF1" s="69" t="s">
        <v>931</v>
      </c>
      <c r="ACG1" s="69" t="s">
        <v>932</v>
      </c>
      <c r="ACH1" s="69" t="s">
        <v>933</v>
      </c>
      <c r="ACI1" s="69" t="s">
        <v>934</v>
      </c>
      <c r="ACJ1" s="69" t="s">
        <v>935</v>
      </c>
      <c r="ACK1" s="69" t="s">
        <v>936</v>
      </c>
      <c r="ACL1" s="69" t="s">
        <v>937</v>
      </c>
      <c r="ACM1" s="69" t="s">
        <v>938</v>
      </c>
      <c r="ACN1" s="69" t="s">
        <v>939</v>
      </c>
      <c r="ACO1" s="69" t="s">
        <v>940</v>
      </c>
      <c r="ACP1" s="69" t="s">
        <v>941</v>
      </c>
      <c r="ACQ1" s="69" t="s">
        <v>942</v>
      </c>
      <c r="ACR1" s="69" t="s">
        <v>943</v>
      </c>
      <c r="ACS1" s="69" t="s">
        <v>944</v>
      </c>
      <c r="ACT1" s="69" t="s">
        <v>945</v>
      </c>
      <c r="ACU1" s="69" t="s">
        <v>946</v>
      </c>
      <c r="ACV1" s="69" t="s">
        <v>947</v>
      </c>
      <c r="ACW1" s="69" t="s">
        <v>948</v>
      </c>
      <c r="ACX1" s="69" t="s">
        <v>949</v>
      </c>
      <c r="ACY1" s="69" t="s">
        <v>950</v>
      </c>
      <c r="ACZ1" s="69" t="s">
        <v>951</v>
      </c>
      <c r="ADA1" s="69" t="s">
        <v>952</v>
      </c>
      <c r="ADB1" s="69" t="s">
        <v>953</v>
      </c>
      <c r="ADC1" s="69" t="s">
        <v>954</v>
      </c>
      <c r="ADD1" s="69" t="s">
        <v>955</v>
      </c>
      <c r="ADE1" s="69" t="s">
        <v>956</v>
      </c>
      <c r="ADF1" s="69" t="s">
        <v>957</v>
      </c>
      <c r="ADG1" s="69" t="s">
        <v>958</v>
      </c>
      <c r="ADH1" s="69" t="s">
        <v>959</v>
      </c>
      <c r="ADI1" s="69" t="s">
        <v>960</v>
      </c>
      <c r="ADJ1" s="69" t="s">
        <v>961</v>
      </c>
      <c r="ADK1" s="69" t="s">
        <v>962</v>
      </c>
      <c r="ADL1" s="69" t="s">
        <v>963</v>
      </c>
      <c r="ADM1" s="69" t="s">
        <v>964</v>
      </c>
      <c r="ADN1" s="69" t="s">
        <v>965</v>
      </c>
      <c r="ADO1" s="69" t="s">
        <v>966</v>
      </c>
      <c r="ADP1" s="69" t="s">
        <v>967</v>
      </c>
      <c r="ADQ1" s="69" t="s">
        <v>968</v>
      </c>
      <c r="ADR1" s="69" t="s">
        <v>969</v>
      </c>
      <c r="ADS1" s="69" t="s">
        <v>970</v>
      </c>
      <c r="ADT1" s="69" t="s">
        <v>971</v>
      </c>
      <c r="ADU1" s="69" t="s">
        <v>972</v>
      </c>
      <c r="ADV1" s="69" t="s">
        <v>973</v>
      </c>
      <c r="ADW1" s="69" t="s">
        <v>974</v>
      </c>
      <c r="ADX1" s="69" t="s">
        <v>975</v>
      </c>
      <c r="ADY1" s="69" t="s">
        <v>976</v>
      </c>
      <c r="ADZ1" s="69" t="s">
        <v>977</v>
      </c>
      <c r="AEA1" s="69" t="s">
        <v>978</v>
      </c>
      <c r="AEB1" s="69" t="s">
        <v>979</v>
      </c>
      <c r="AEC1" s="69" t="s">
        <v>980</v>
      </c>
      <c r="AED1" s="69" t="s">
        <v>981</v>
      </c>
      <c r="AEE1" s="69" t="s">
        <v>982</v>
      </c>
      <c r="AEF1" s="69" t="s">
        <v>983</v>
      </c>
      <c r="AEG1" s="69" t="s">
        <v>984</v>
      </c>
      <c r="AEH1" s="69" t="s">
        <v>985</v>
      </c>
      <c r="AEI1" s="69" t="s">
        <v>986</v>
      </c>
      <c r="AEJ1" s="69" t="s">
        <v>987</v>
      </c>
      <c r="AEK1" s="69" t="s">
        <v>988</v>
      </c>
      <c r="AEL1" s="69" t="s">
        <v>989</v>
      </c>
      <c r="AEM1" s="69" t="s">
        <v>990</v>
      </c>
      <c r="AEN1" s="69" t="s">
        <v>991</v>
      </c>
      <c r="AEO1" s="69" t="s">
        <v>992</v>
      </c>
      <c r="AEP1" s="69" t="s">
        <v>993</v>
      </c>
      <c r="AEQ1" s="69" t="s">
        <v>994</v>
      </c>
      <c r="AER1" s="69" t="s">
        <v>995</v>
      </c>
      <c r="AES1" s="69" t="s">
        <v>996</v>
      </c>
      <c r="AET1" s="69" t="s">
        <v>997</v>
      </c>
      <c r="AEU1" s="69" t="s">
        <v>998</v>
      </c>
      <c r="AEV1" s="69" t="s">
        <v>999</v>
      </c>
      <c r="AEW1" s="69" t="s">
        <v>1000</v>
      </c>
      <c r="AEX1" s="69" t="s">
        <v>1001</v>
      </c>
      <c r="AEY1" s="69" t="s">
        <v>1002</v>
      </c>
      <c r="AEZ1" s="69" t="s">
        <v>1003</v>
      </c>
      <c r="AFA1" s="69" t="s">
        <v>1004</v>
      </c>
      <c r="AFB1" s="69" t="s">
        <v>1005</v>
      </c>
      <c r="AFC1" s="69" t="s">
        <v>1006</v>
      </c>
      <c r="AFD1" s="69" t="s">
        <v>1007</v>
      </c>
      <c r="AFE1" s="69" t="s">
        <v>1008</v>
      </c>
      <c r="AFF1" s="69" t="s">
        <v>1009</v>
      </c>
      <c r="AFG1" s="69" t="s">
        <v>1010</v>
      </c>
      <c r="AFH1" s="69" t="s">
        <v>1011</v>
      </c>
      <c r="AFI1" s="69" t="s">
        <v>1012</v>
      </c>
      <c r="AFJ1" s="69" t="s">
        <v>1013</v>
      </c>
      <c r="AFK1" s="69" t="s">
        <v>1014</v>
      </c>
      <c r="AFL1" s="69" t="s">
        <v>1015</v>
      </c>
      <c r="AFM1" s="69" t="s">
        <v>1016</v>
      </c>
      <c r="AFN1" s="69" t="s">
        <v>1017</v>
      </c>
      <c r="AFO1" s="69" t="s">
        <v>1018</v>
      </c>
      <c r="AFP1" s="69" t="s">
        <v>1019</v>
      </c>
      <c r="AFQ1" s="69" t="s">
        <v>1020</v>
      </c>
      <c r="AFR1" s="69" t="s">
        <v>1021</v>
      </c>
      <c r="AFS1" s="69" t="s">
        <v>1022</v>
      </c>
      <c r="AFT1" s="69" t="s">
        <v>1023</v>
      </c>
      <c r="AFU1" s="69" t="s">
        <v>1024</v>
      </c>
      <c r="AFV1" s="69" t="s">
        <v>1025</v>
      </c>
      <c r="AFW1" s="69" t="s">
        <v>1026</v>
      </c>
      <c r="AFX1" s="69" t="s">
        <v>1027</v>
      </c>
      <c r="AFY1" s="69" t="s">
        <v>1028</v>
      </c>
      <c r="AFZ1" s="69" t="s">
        <v>1029</v>
      </c>
      <c r="AGA1" s="69" t="s">
        <v>1030</v>
      </c>
      <c r="AGB1" s="69" t="s">
        <v>1031</v>
      </c>
      <c r="AGC1" s="69" t="s">
        <v>1032</v>
      </c>
      <c r="AGD1" s="69" t="s">
        <v>1033</v>
      </c>
      <c r="AGE1" s="69" t="s">
        <v>1034</v>
      </c>
      <c r="AGF1" s="69" t="s">
        <v>1035</v>
      </c>
      <c r="AGG1" s="69" t="s">
        <v>1036</v>
      </c>
      <c r="AGH1" s="69" t="s">
        <v>1037</v>
      </c>
      <c r="AGI1" s="69" t="s">
        <v>1038</v>
      </c>
      <c r="AGJ1" s="69" t="s">
        <v>1039</v>
      </c>
      <c r="AGK1" s="69" t="s">
        <v>1040</v>
      </c>
      <c r="AGL1" s="69" t="s">
        <v>1041</v>
      </c>
      <c r="AGM1" s="69" t="s">
        <v>1042</v>
      </c>
      <c r="AGN1" s="69" t="s">
        <v>1043</v>
      </c>
      <c r="AGO1" s="69" t="s">
        <v>1044</v>
      </c>
      <c r="AGP1" s="69" t="s">
        <v>1045</v>
      </c>
      <c r="AGQ1" s="69" t="s">
        <v>1046</v>
      </c>
      <c r="AGR1" s="69" t="s">
        <v>1047</v>
      </c>
      <c r="AGS1" s="69" t="s">
        <v>1048</v>
      </c>
      <c r="AGT1" s="69" t="s">
        <v>1049</v>
      </c>
      <c r="AGU1" s="69" t="s">
        <v>1050</v>
      </c>
      <c r="AGV1" s="69" t="s">
        <v>1051</v>
      </c>
      <c r="AGW1" s="69" t="s">
        <v>1052</v>
      </c>
      <c r="AGX1" s="69" t="s">
        <v>1053</v>
      </c>
      <c r="AGY1" s="69" t="s">
        <v>1054</v>
      </c>
      <c r="AGZ1" s="69" t="s">
        <v>1055</v>
      </c>
      <c r="AHA1" s="69" t="s">
        <v>1056</v>
      </c>
      <c r="AHB1" s="69" t="s">
        <v>1057</v>
      </c>
      <c r="AHC1" s="69" t="s">
        <v>1058</v>
      </c>
      <c r="AHD1" s="69" t="s">
        <v>1059</v>
      </c>
      <c r="AHE1" s="69" t="s">
        <v>1060</v>
      </c>
      <c r="AHF1" s="69" t="s">
        <v>1061</v>
      </c>
      <c r="AHG1" s="69" t="s">
        <v>1062</v>
      </c>
      <c r="AHH1" s="69" t="s">
        <v>1063</v>
      </c>
      <c r="AHI1" s="69" t="s">
        <v>1064</v>
      </c>
      <c r="AHJ1" s="69" t="s">
        <v>1065</v>
      </c>
      <c r="AHK1" s="69" t="s">
        <v>1066</v>
      </c>
      <c r="AHL1" s="69" t="s">
        <v>1067</v>
      </c>
      <c r="AHM1" s="69" t="s">
        <v>1068</v>
      </c>
      <c r="AHN1" s="69" t="s">
        <v>1069</v>
      </c>
      <c r="AHO1" s="69" t="s">
        <v>1070</v>
      </c>
      <c r="AHP1" s="69" t="s">
        <v>1071</v>
      </c>
      <c r="AHQ1" s="69" t="s">
        <v>1072</v>
      </c>
      <c r="AHR1" s="69" t="s">
        <v>1073</v>
      </c>
      <c r="AHS1" s="69" t="s">
        <v>1074</v>
      </c>
      <c r="AHT1" s="69" t="s">
        <v>1075</v>
      </c>
      <c r="AHU1" s="69" t="s">
        <v>1076</v>
      </c>
      <c r="AHV1" s="69" t="s">
        <v>1077</v>
      </c>
      <c r="AHW1" s="69" t="s">
        <v>1078</v>
      </c>
      <c r="AHX1" s="69" t="s">
        <v>1079</v>
      </c>
      <c r="AHY1" s="69" t="s">
        <v>1080</v>
      </c>
      <c r="AHZ1" s="69" t="s">
        <v>1081</v>
      </c>
      <c r="AIA1" s="69" t="s">
        <v>1082</v>
      </c>
      <c r="AIB1" s="69" t="s">
        <v>1083</v>
      </c>
      <c r="AIC1" s="69" t="s">
        <v>1084</v>
      </c>
      <c r="AID1" s="69" t="s">
        <v>1085</v>
      </c>
      <c r="AIE1" s="69" t="s">
        <v>1086</v>
      </c>
      <c r="AIF1" s="69" t="s">
        <v>1087</v>
      </c>
      <c r="AIG1" s="69" t="s">
        <v>1088</v>
      </c>
      <c r="AIH1" s="69" t="s">
        <v>1089</v>
      </c>
      <c r="AII1" s="69" t="s">
        <v>1090</v>
      </c>
      <c r="AIJ1" s="69" t="s">
        <v>1091</v>
      </c>
      <c r="AIK1" s="69" t="s">
        <v>1092</v>
      </c>
      <c r="AIL1" s="69" t="s">
        <v>1093</v>
      </c>
      <c r="AIM1" s="69" t="s">
        <v>1094</v>
      </c>
      <c r="AIN1" s="69" t="s">
        <v>1095</v>
      </c>
      <c r="AIO1" s="69" t="s">
        <v>1096</v>
      </c>
      <c r="AIP1" s="69" t="s">
        <v>1097</v>
      </c>
      <c r="AIQ1" s="69" t="s">
        <v>1098</v>
      </c>
      <c r="AIR1" s="69" t="s">
        <v>1099</v>
      </c>
      <c r="AIS1" s="69" t="s">
        <v>1100</v>
      </c>
      <c r="AIT1" s="69" t="s">
        <v>1101</v>
      </c>
      <c r="AIU1" s="69" t="s">
        <v>1102</v>
      </c>
      <c r="AIV1" s="69" t="s">
        <v>1103</v>
      </c>
      <c r="AIW1" s="69" t="s">
        <v>1104</v>
      </c>
      <c r="AIX1" s="69" t="s">
        <v>1105</v>
      </c>
      <c r="AIY1" s="69" t="s">
        <v>1106</v>
      </c>
      <c r="AIZ1" s="69" t="s">
        <v>1107</v>
      </c>
      <c r="AJA1" s="69" t="s">
        <v>1108</v>
      </c>
      <c r="AJB1" s="69" t="s">
        <v>1109</v>
      </c>
      <c r="AJC1" s="69" t="s">
        <v>1110</v>
      </c>
      <c r="AJD1" s="69" t="s">
        <v>1111</v>
      </c>
      <c r="AJE1" s="69" t="s">
        <v>1112</v>
      </c>
      <c r="AJF1" s="69" t="s">
        <v>1113</v>
      </c>
      <c r="AJG1" s="69" t="s">
        <v>1114</v>
      </c>
      <c r="AJH1" s="69" t="s">
        <v>1115</v>
      </c>
      <c r="AJI1" s="69" t="s">
        <v>1116</v>
      </c>
      <c r="AJJ1" s="69" t="s">
        <v>1117</v>
      </c>
      <c r="AJK1" s="69" t="s">
        <v>1118</v>
      </c>
      <c r="AJL1" s="69" t="s">
        <v>1119</v>
      </c>
      <c r="AJM1" s="69" t="s">
        <v>1120</v>
      </c>
      <c r="AJN1" s="69" t="s">
        <v>1121</v>
      </c>
      <c r="AJO1" s="69" t="s">
        <v>1122</v>
      </c>
      <c r="AJP1" s="69" t="s">
        <v>1123</v>
      </c>
      <c r="AJQ1" s="69" t="s">
        <v>1124</v>
      </c>
      <c r="AJR1" s="69" t="s">
        <v>1125</v>
      </c>
      <c r="AJS1" s="69" t="s">
        <v>1126</v>
      </c>
      <c r="AJT1" s="69" t="s">
        <v>1127</v>
      </c>
      <c r="AJU1" s="69" t="s">
        <v>1128</v>
      </c>
      <c r="AJV1" s="69" t="s">
        <v>1129</v>
      </c>
      <c r="AJW1" s="69" t="s">
        <v>1130</v>
      </c>
      <c r="AJX1" s="69" t="s">
        <v>1131</v>
      </c>
      <c r="AJY1" s="69" t="s">
        <v>1132</v>
      </c>
      <c r="AJZ1" s="69" t="s">
        <v>1133</v>
      </c>
      <c r="AKA1" s="69" t="s">
        <v>1134</v>
      </c>
      <c r="AKB1" s="69" t="s">
        <v>1135</v>
      </c>
      <c r="AKC1" s="69" t="s">
        <v>1136</v>
      </c>
      <c r="AKD1" s="69" t="s">
        <v>1137</v>
      </c>
      <c r="AKE1" s="69" t="s">
        <v>1138</v>
      </c>
      <c r="AKF1" s="69" t="s">
        <v>1139</v>
      </c>
      <c r="AKG1" s="69" t="s">
        <v>1140</v>
      </c>
      <c r="AKH1" s="69" t="s">
        <v>1141</v>
      </c>
      <c r="AKI1" s="69" t="s">
        <v>1142</v>
      </c>
      <c r="AKJ1" s="69" t="s">
        <v>1143</v>
      </c>
      <c r="AKK1" s="69" t="s">
        <v>1144</v>
      </c>
      <c r="AKL1" s="69" t="s">
        <v>1145</v>
      </c>
      <c r="AKM1" s="69" t="s">
        <v>1146</v>
      </c>
      <c r="AKN1" s="69" t="s">
        <v>1147</v>
      </c>
      <c r="AKO1" s="69" t="s">
        <v>1148</v>
      </c>
      <c r="AKP1" s="69" t="s">
        <v>1149</v>
      </c>
      <c r="AKQ1" s="69" t="s">
        <v>1150</v>
      </c>
      <c r="AKR1" s="69" t="s">
        <v>1151</v>
      </c>
      <c r="AKS1" s="69" t="s">
        <v>1152</v>
      </c>
      <c r="AKT1" s="69" t="s">
        <v>1153</v>
      </c>
      <c r="AKU1" s="69" t="s">
        <v>1154</v>
      </c>
      <c r="AKV1" s="69" t="s">
        <v>1155</v>
      </c>
      <c r="AKW1" s="69" t="s">
        <v>1156</v>
      </c>
      <c r="AKX1" s="69" t="s">
        <v>1157</v>
      </c>
      <c r="AKY1" s="69" t="s">
        <v>1158</v>
      </c>
      <c r="AKZ1" s="69" t="s">
        <v>1159</v>
      </c>
      <c r="ALA1" s="69" t="s">
        <v>1160</v>
      </c>
      <c r="ALB1" s="69" t="s">
        <v>1161</v>
      </c>
      <c r="ALC1" s="69" t="s">
        <v>1162</v>
      </c>
      <c r="ALD1" s="69" t="s">
        <v>1163</v>
      </c>
      <c r="ALE1" s="69" t="s">
        <v>1164</v>
      </c>
      <c r="ALF1" s="69" t="s">
        <v>1165</v>
      </c>
      <c r="ALG1" s="69" t="s">
        <v>1166</v>
      </c>
      <c r="ALH1" s="69" t="s">
        <v>1167</v>
      </c>
      <c r="ALI1" s="69" t="s">
        <v>1168</v>
      </c>
      <c r="ALJ1" s="69" t="s">
        <v>1169</v>
      </c>
      <c r="ALK1" s="69" t="s">
        <v>1170</v>
      </c>
      <c r="ALL1" s="69" t="s">
        <v>1171</v>
      </c>
      <c r="ALM1" s="69" t="s">
        <v>1172</v>
      </c>
      <c r="ALN1" s="69" t="s">
        <v>1173</v>
      </c>
      <c r="ALO1" s="69" t="s">
        <v>1174</v>
      </c>
      <c r="ALP1" s="69" t="s">
        <v>1175</v>
      </c>
      <c r="ALQ1" s="69" t="s">
        <v>1176</v>
      </c>
      <c r="ALR1" s="69" t="s">
        <v>1177</v>
      </c>
      <c r="ALS1" s="69" t="s">
        <v>1178</v>
      </c>
      <c r="ALT1" s="69" t="s">
        <v>1179</v>
      </c>
      <c r="ALU1" s="69" t="s">
        <v>1180</v>
      </c>
      <c r="ALV1" s="69" t="s">
        <v>1181</v>
      </c>
      <c r="ALW1" s="69" t="s">
        <v>1182</v>
      </c>
      <c r="ALX1" s="69" t="s">
        <v>1183</v>
      </c>
      <c r="ALY1" s="69" t="s">
        <v>1184</v>
      </c>
      <c r="ALZ1" s="69" t="s">
        <v>1185</v>
      </c>
      <c r="AMA1" s="69" t="s">
        <v>1186</v>
      </c>
      <c r="AMB1" s="69" t="s">
        <v>1187</v>
      </c>
      <c r="AMC1" s="69" t="s">
        <v>1188</v>
      </c>
      <c r="AMD1" s="69" t="s">
        <v>1189</v>
      </c>
      <c r="AME1" s="69" t="s">
        <v>1190</v>
      </c>
      <c r="AMF1" s="69" t="s">
        <v>1191</v>
      </c>
      <c r="AMG1" s="69" t="s">
        <v>1192</v>
      </c>
      <c r="AMH1" s="69" t="s">
        <v>1193</v>
      </c>
      <c r="AMI1" s="69" t="s">
        <v>1194</v>
      </c>
      <c r="AMJ1" s="69" t="s">
        <v>1195</v>
      </c>
      <c r="AMK1" s="69" t="s">
        <v>1196</v>
      </c>
      <c r="AML1" s="69" t="s">
        <v>1197</v>
      </c>
      <c r="AMM1" s="69" t="s">
        <v>1198</v>
      </c>
      <c r="AMN1" s="69" t="s">
        <v>1199</v>
      </c>
      <c r="AMO1" s="69" t="s">
        <v>1200</v>
      </c>
      <c r="AMP1" s="69" t="s">
        <v>1201</v>
      </c>
      <c r="AMQ1" s="69" t="s">
        <v>1202</v>
      </c>
      <c r="AMR1" s="69" t="s">
        <v>1203</v>
      </c>
      <c r="AMS1" s="69" t="s">
        <v>1204</v>
      </c>
      <c r="AMT1" s="69" t="s">
        <v>1205</v>
      </c>
      <c r="AMU1" s="69" t="s">
        <v>1206</v>
      </c>
      <c r="AMV1" s="69" t="s">
        <v>1207</v>
      </c>
      <c r="AMW1" s="69" t="s">
        <v>1208</v>
      </c>
      <c r="AMX1" s="69" t="s">
        <v>1209</v>
      </c>
      <c r="AMY1" s="69" t="s">
        <v>1210</v>
      </c>
      <c r="AMZ1" s="69" t="s">
        <v>1211</v>
      </c>
      <c r="ANA1" s="69" t="s">
        <v>1212</v>
      </c>
      <c r="ANB1" s="69" t="s">
        <v>1213</v>
      </c>
      <c r="ANC1" s="69" t="s">
        <v>1214</v>
      </c>
      <c r="AND1" s="69" t="s">
        <v>1215</v>
      </c>
      <c r="ANE1" s="69" t="s">
        <v>1216</v>
      </c>
      <c r="ANF1" s="69" t="s">
        <v>1217</v>
      </c>
      <c r="ANG1" s="69" t="s">
        <v>1218</v>
      </c>
      <c r="ANH1" s="69" t="s">
        <v>1219</v>
      </c>
      <c r="ANI1" s="69" t="s">
        <v>1220</v>
      </c>
      <c r="ANJ1" s="69" t="s">
        <v>1221</v>
      </c>
      <c r="ANK1" s="69" t="s">
        <v>1222</v>
      </c>
      <c r="ANL1" s="69" t="s">
        <v>1223</v>
      </c>
      <c r="ANM1" s="69" t="s">
        <v>1224</v>
      </c>
      <c r="ANN1" s="69" t="s">
        <v>1225</v>
      </c>
      <c r="ANO1" s="69" t="s">
        <v>1226</v>
      </c>
      <c r="ANP1" s="69" t="s">
        <v>1227</v>
      </c>
      <c r="ANQ1" s="69" t="s">
        <v>1228</v>
      </c>
      <c r="ANR1" s="69" t="s">
        <v>1229</v>
      </c>
      <c r="ANS1" s="69" t="s">
        <v>1230</v>
      </c>
      <c r="ANT1" s="69" t="s">
        <v>1231</v>
      </c>
      <c r="ANU1" s="69" t="s">
        <v>1232</v>
      </c>
      <c r="ANV1" s="69" t="s">
        <v>1233</v>
      </c>
      <c r="ANW1" s="69" t="s">
        <v>1234</v>
      </c>
      <c r="ANX1" s="69" t="s">
        <v>1235</v>
      </c>
      <c r="ANY1" s="69" t="s">
        <v>1236</v>
      </c>
      <c r="ANZ1" s="69" t="s">
        <v>1237</v>
      </c>
      <c r="AOA1" s="69" t="s">
        <v>1238</v>
      </c>
      <c r="AOB1" s="69" t="s">
        <v>1239</v>
      </c>
      <c r="AOC1" s="69" t="s">
        <v>1240</v>
      </c>
      <c r="AOD1" s="69" t="s">
        <v>1241</v>
      </c>
      <c r="AOE1" s="69" t="s">
        <v>1242</v>
      </c>
      <c r="AOF1" s="69" t="s">
        <v>1243</v>
      </c>
      <c r="AOG1" s="69" t="s">
        <v>1244</v>
      </c>
      <c r="AOH1" s="69" t="s">
        <v>1245</v>
      </c>
      <c r="AOI1" s="69" t="s">
        <v>1246</v>
      </c>
      <c r="AOJ1" s="69" t="s">
        <v>1247</v>
      </c>
      <c r="AOK1" s="69" t="s">
        <v>1248</v>
      </c>
      <c r="AOL1" s="69" t="s">
        <v>1249</v>
      </c>
      <c r="AOM1" s="69" t="s">
        <v>1250</v>
      </c>
      <c r="AON1" s="69" t="s">
        <v>1251</v>
      </c>
      <c r="AOO1" s="69" t="s">
        <v>1252</v>
      </c>
      <c r="AOP1" s="69" t="s">
        <v>1253</v>
      </c>
      <c r="AOQ1" s="69" t="s">
        <v>1254</v>
      </c>
      <c r="AOR1" s="69" t="s">
        <v>1255</v>
      </c>
      <c r="AOS1" s="69" t="s">
        <v>1256</v>
      </c>
      <c r="AOT1" s="69" t="s">
        <v>1257</v>
      </c>
      <c r="AOU1" s="69" t="s">
        <v>1258</v>
      </c>
      <c r="AOV1" s="69" t="s">
        <v>1259</v>
      </c>
      <c r="AOW1" s="69" t="s">
        <v>1260</v>
      </c>
      <c r="AOX1" s="69" t="s">
        <v>1261</v>
      </c>
      <c r="AOY1" s="69" t="s">
        <v>1262</v>
      </c>
      <c r="AOZ1" s="69" t="s">
        <v>1263</v>
      </c>
      <c r="APA1" s="69" t="s">
        <v>1264</v>
      </c>
      <c r="APB1" s="69" t="s">
        <v>1265</v>
      </c>
      <c r="APC1" s="69" t="s">
        <v>1266</v>
      </c>
      <c r="APD1" s="69" t="s">
        <v>1267</v>
      </c>
      <c r="APE1" s="69" t="s">
        <v>1268</v>
      </c>
      <c r="APF1" s="69" t="s">
        <v>1269</v>
      </c>
      <c r="APG1" s="69" t="s">
        <v>1270</v>
      </c>
      <c r="APH1" s="69" t="s">
        <v>1271</v>
      </c>
      <c r="API1" s="69" t="s">
        <v>1272</v>
      </c>
      <c r="APJ1" s="69" t="s">
        <v>1273</v>
      </c>
      <c r="APK1" s="69" t="s">
        <v>1274</v>
      </c>
      <c r="APL1" s="69" t="s">
        <v>1275</v>
      </c>
      <c r="APM1" s="69" t="s">
        <v>1276</v>
      </c>
      <c r="APN1" s="69" t="s">
        <v>1277</v>
      </c>
      <c r="APO1" s="69" t="s">
        <v>1278</v>
      </c>
      <c r="APP1" s="69" t="s">
        <v>1279</v>
      </c>
      <c r="APQ1" s="69" t="s">
        <v>1280</v>
      </c>
      <c r="APR1" s="69" t="s">
        <v>1281</v>
      </c>
      <c r="APS1" s="69" t="s">
        <v>1282</v>
      </c>
      <c r="APT1" s="69" t="s">
        <v>1283</v>
      </c>
      <c r="APU1" s="69" t="s">
        <v>1284</v>
      </c>
      <c r="APV1" s="69" t="s">
        <v>1285</v>
      </c>
      <c r="APW1" s="69" t="s">
        <v>1286</v>
      </c>
      <c r="APX1" s="69" t="s">
        <v>1287</v>
      </c>
      <c r="APY1" s="69" t="s">
        <v>1288</v>
      </c>
      <c r="APZ1" s="69" t="s">
        <v>1289</v>
      </c>
      <c r="AQA1" s="69" t="s">
        <v>1290</v>
      </c>
      <c r="AQB1" s="69" t="s">
        <v>1291</v>
      </c>
      <c r="AQC1" s="69" t="s">
        <v>1292</v>
      </c>
      <c r="AQD1" s="69" t="s">
        <v>1293</v>
      </c>
      <c r="AQE1" s="69" t="s">
        <v>1294</v>
      </c>
      <c r="AQF1" s="69" t="s">
        <v>1295</v>
      </c>
      <c r="AQG1" s="69" t="s">
        <v>1296</v>
      </c>
      <c r="AQH1" s="69" t="s">
        <v>1297</v>
      </c>
      <c r="AQI1" s="69" t="s">
        <v>1298</v>
      </c>
      <c r="AQJ1" s="69" t="s">
        <v>1299</v>
      </c>
      <c r="AQK1" s="69" t="s">
        <v>1300</v>
      </c>
      <c r="AQL1" s="69" t="s">
        <v>1301</v>
      </c>
      <c r="AQM1" s="69" t="s">
        <v>1302</v>
      </c>
      <c r="AQN1" s="69" t="s">
        <v>1303</v>
      </c>
      <c r="AQO1" s="69" t="s">
        <v>1304</v>
      </c>
      <c r="AQP1" s="69" t="s">
        <v>1305</v>
      </c>
      <c r="AQQ1" s="69" t="s">
        <v>1306</v>
      </c>
      <c r="AQR1" s="69" t="s">
        <v>1307</v>
      </c>
      <c r="AQS1" s="69" t="s">
        <v>1308</v>
      </c>
      <c r="AQT1" s="69" t="s">
        <v>1309</v>
      </c>
      <c r="AQU1" s="69" t="s">
        <v>1310</v>
      </c>
      <c r="AQV1" s="69" t="s">
        <v>1311</v>
      </c>
      <c r="AQW1" s="69" t="s">
        <v>1312</v>
      </c>
      <c r="AQX1" s="69" t="s">
        <v>1313</v>
      </c>
      <c r="AQY1" s="69" t="s">
        <v>1314</v>
      </c>
      <c r="AQZ1" s="69" t="s">
        <v>1315</v>
      </c>
      <c r="ARA1" s="69" t="s">
        <v>1316</v>
      </c>
      <c r="ARB1" s="69" t="s">
        <v>1317</v>
      </c>
      <c r="ARC1" s="69" t="s">
        <v>1318</v>
      </c>
      <c r="ARD1" s="69" t="s">
        <v>1319</v>
      </c>
      <c r="ARE1" s="69" t="s">
        <v>1320</v>
      </c>
      <c r="ARF1" s="69" t="s">
        <v>1321</v>
      </c>
      <c r="ARG1" s="69" t="s">
        <v>1322</v>
      </c>
      <c r="ARH1" s="69" t="s">
        <v>1323</v>
      </c>
      <c r="ARI1" s="69" t="s">
        <v>1324</v>
      </c>
      <c r="ARJ1" s="69" t="s">
        <v>1325</v>
      </c>
      <c r="ARK1" s="69" t="s">
        <v>1326</v>
      </c>
      <c r="ARL1" s="69" t="s">
        <v>1327</v>
      </c>
      <c r="ARM1" s="69" t="s">
        <v>1328</v>
      </c>
      <c r="ARN1" s="69" t="s">
        <v>1329</v>
      </c>
      <c r="ARO1" s="69" t="s">
        <v>1330</v>
      </c>
      <c r="ARP1" s="69" t="s">
        <v>1331</v>
      </c>
      <c r="ARQ1" s="69" t="s">
        <v>1332</v>
      </c>
      <c r="ARR1" s="69" t="s">
        <v>1333</v>
      </c>
      <c r="ARS1" s="69" t="s">
        <v>1334</v>
      </c>
      <c r="ART1" s="69" t="s">
        <v>1335</v>
      </c>
      <c r="ARU1" s="69" t="s">
        <v>1336</v>
      </c>
      <c r="ARV1" s="69" t="s">
        <v>1337</v>
      </c>
      <c r="ARW1" s="69" t="s">
        <v>1338</v>
      </c>
      <c r="ARX1" s="69" t="s">
        <v>1339</v>
      </c>
      <c r="ARY1" s="69" t="s">
        <v>1340</v>
      </c>
      <c r="ARZ1" s="69" t="s">
        <v>1341</v>
      </c>
      <c r="ASA1" s="69" t="s">
        <v>1342</v>
      </c>
      <c r="ASB1" s="69" t="s">
        <v>1343</v>
      </c>
      <c r="ASC1" s="69" t="s">
        <v>1344</v>
      </c>
      <c r="ASD1" s="69" t="s">
        <v>1345</v>
      </c>
      <c r="ASE1" s="69" t="s">
        <v>1346</v>
      </c>
      <c r="ASF1" s="69" t="s">
        <v>1347</v>
      </c>
      <c r="ASG1" s="69" t="s">
        <v>1348</v>
      </c>
      <c r="ASH1" s="69" t="s">
        <v>1349</v>
      </c>
      <c r="ASI1" s="69" t="s">
        <v>1350</v>
      </c>
      <c r="ASJ1" s="69" t="s">
        <v>1351</v>
      </c>
      <c r="ASK1" s="69" t="s">
        <v>1352</v>
      </c>
      <c r="ASL1" s="69" t="s">
        <v>1353</v>
      </c>
      <c r="ASM1" s="69" t="s">
        <v>1354</v>
      </c>
      <c r="ASN1" s="69" t="s">
        <v>1355</v>
      </c>
      <c r="ASO1" s="69" t="s">
        <v>1356</v>
      </c>
      <c r="ASP1" s="69" t="s">
        <v>1357</v>
      </c>
      <c r="ASQ1" s="69" t="s">
        <v>1358</v>
      </c>
      <c r="ASR1" s="69" t="s">
        <v>1359</v>
      </c>
      <c r="ASS1" s="69" t="s">
        <v>1360</v>
      </c>
      <c r="AST1" s="69" t="s">
        <v>1361</v>
      </c>
      <c r="ASU1" s="69" t="s">
        <v>1362</v>
      </c>
      <c r="ASV1" s="69" t="s">
        <v>1363</v>
      </c>
      <c r="ASW1" s="69" t="s">
        <v>1364</v>
      </c>
      <c r="ASX1" s="69" t="s">
        <v>1365</v>
      </c>
      <c r="ASY1" s="69" t="s">
        <v>1366</v>
      </c>
      <c r="ASZ1" s="69" t="s">
        <v>1367</v>
      </c>
      <c r="ATA1" s="69" t="s">
        <v>1368</v>
      </c>
      <c r="ATB1" s="69" t="s">
        <v>1369</v>
      </c>
      <c r="ATC1" s="69" t="s">
        <v>1370</v>
      </c>
      <c r="ATD1" s="69" t="s">
        <v>1371</v>
      </c>
      <c r="ATE1" s="69" t="s">
        <v>1372</v>
      </c>
      <c r="ATF1" s="69" t="s">
        <v>1373</v>
      </c>
      <c r="ATG1" s="69" t="s">
        <v>1374</v>
      </c>
      <c r="ATH1" s="69" t="s">
        <v>1375</v>
      </c>
      <c r="ATI1" s="69" t="s">
        <v>1376</v>
      </c>
      <c r="ATJ1" s="69" t="s">
        <v>1377</v>
      </c>
      <c r="ATK1" s="69" t="s">
        <v>1378</v>
      </c>
      <c r="ATL1" s="69" t="s">
        <v>1379</v>
      </c>
      <c r="ATM1" s="69" t="s">
        <v>1380</v>
      </c>
      <c r="ATN1" s="69" t="s">
        <v>1381</v>
      </c>
      <c r="ATO1" s="69" t="s">
        <v>1382</v>
      </c>
      <c r="ATP1" s="69" t="s">
        <v>1383</v>
      </c>
      <c r="ATQ1" s="69" t="s">
        <v>1384</v>
      </c>
      <c r="ATR1" s="69" t="s">
        <v>1385</v>
      </c>
      <c r="ATS1" s="69" t="s">
        <v>1386</v>
      </c>
      <c r="ATT1" s="69" t="s">
        <v>1387</v>
      </c>
      <c r="ATU1" s="69" t="s">
        <v>1388</v>
      </c>
      <c r="ATV1" s="69" t="s">
        <v>1389</v>
      </c>
      <c r="ATW1" s="69" t="s">
        <v>1390</v>
      </c>
      <c r="ATX1" s="69" t="s">
        <v>1391</v>
      </c>
      <c r="ATY1" s="69" t="s">
        <v>1392</v>
      </c>
      <c r="ATZ1" s="69" t="s">
        <v>1393</v>
      </c>
      <c r="AUA1" s="69" t="s">
        <v>1394</v>
      </c>
      <c r="AUB1" s="69" t="s">
        <v>1395</v>
      </c>
      <c r="AUC1" s="69" t="s">
        <v>1396</v>
      </c>
      <c r="AUD1" s="69" t="s">
        <v>1397</v>
      </c>
      <c r="AUE1" s="69" t="s">
        <v>1398</v>
      </c>
      <c r="AUF1" s="69" t="s">
        <v>1399</v>
      </c>
      <c r="AUG1" s="69" t="s">
        <v>1400</v>
      </c>
      <c r="AUH1" s="69" t="s">
        <v>1401</v>
      </c>
      <c r="AUI1" s="69" t="s">
        <v>1402</v>
      </c>
      <c r="AUJ1" s="69" t="s">
        <v>1403</v>
      </c>
      <c r="AUK1" s="69" t="s">
        <v>1404</v>
      </c>
      <c r="AUL1" s="69" t="s">
        <v>1405</v>
      </c>
      <c r="AUM1" s="69" t="s">
        <v>1406</v>
      </c>
      <c r="AUN1" s="69" t="s">
        <v>1407</v>
      </c>
      <c r="AUO1" s="69" t="s">
        <v>1408</v>
      </c>
      <c r="AUP1" s="69" t="s">
        <v>1409</v>
      </c>
      <c r="AUQ1" s="69" t="s">
        <v>1410</v>
      </c>
      <c r="AUR1" s="69" t="s">
        <v>1411</v>
      </c>
      <c r="AUS1" s="69" t="s">
        <v>1412</v>
      </c>
      <c r="AUT1" s="69" t="s">
        <v>1413</v>
      </c>
      <c r="AUU1" s="69" t="s">
        <v>1414</v>
      </c>
      <c r="AUV1" s="69" t="s">
        <v>1415</v>
      </c>
      <c r="AUW1" s="69" t="s">
        <v>1416</v>
      </c>
      <c r="AUX1" s="69" t="s">
        <v>1417</v>
      </c>
      <c r="AUY1" s="69" t="s">
        <v>1418</v>
      </c>
      <c r="AUZ1" s="69" t="s">
        <v>1419</v>
      </c>
      <c r="AVA1" s="69" t="s">
        <v>1420</v>
      </c>
      <c r="AVB1" s="69" t="s">
        <v>1421</v>
      </c>
      <c r="AVC1" s="69" t="s">
        <v>1422</v>
      </c>
      <c r="AVD1" s="69" t="s">
        <v>1423</v>
      </c>
      <c r="AVE1" s="69" t="s">
        <v>1424</v>
      </c>
      <c r="AVF1" s="69" t="s">
        <v>1425</v>
      </c>
      <c r="AVG1" s="69" t="s">
        <v>1426</v>
      </c>
      <c r="AVH1" s="69" t="s">
        <v>1427</v>
      </c>
      <c r="AVI1" s="69" t="s">
        <v>1428</v>
      </c>
      <c r="AVJ1" s="69" t="s">
        <v>1429</v>
      </c>
      <c r="AVK1" s="69" t="s">
        <v>1430</v>
      </c>
      <c r="AVL1" s="69" t="s">
        <v>1431</v>
      </c>
      <c r="AVM1" s="69" t="s">
        <v>1432</v>
      </c>
      <c r="AVN1" s="69" t="s">
        <v>1433</v>
      </c>
      <c r="AVO1" s="69" t="s">
        <v>1434</v>
      </c>
      <c r="AVP1" s="69" t="s">
        <v>1435</v>
      </c>
      <c r="AVQ1" s="69" t="s">
        <v>1436</v>
      </c>
      <c r="AVR1" s="69" t="s">
        <v>1437</v>
      </c>
      <c r="AVS1" s="69" t="s">
        <v>1438</v>
      </c>
      <c r="AVT1" s="69" t="s">
        <v>1439</v>
      </c>
      <c r="AVU1" s="69" t="s">
        <v>1440</v>
      </c>
      <c r="AVV1" s="69" t="s">
        <v>1441</v>
      </c>
      <c r="AVW1" s="69" t="s">
        <v>1442</v>
      </c>
      <c r="AVX1" s="69" t="s">
        <v>1443</v>
      </c>
      <c r="AVY1" s="69" t="s">
        <v>1444</v>
      </c>
      <c r="AVZ1" s="69" t="s">
        <v>1445</v>
      </c>
      <c r="AWA1" s="69" t="s">
        <v>1446</v>
      </c>
      <c r="AWB1" s="69" t="s">
        <v>1447</v>
      </c>
      <c r="AWC1" s="69" t="s">
        <v>1448</v>
      </c>
      <c r="AWD1" s="69" t="s">
        <v>1449</v>
      </c>
      <c r="AWE1" s="69" t="s">
        <v>1450</v>
      </c>
      <c r="AWF1" s="69" t="s">
        <v>1451</v>
      </c>
      <c r="AWG1" s="69" t="s">
        <v>1452</v>
      </c>
      <c r="AWH1" s="69" t="s">
        <v>1453</v>
      </c>
      <c r="AWI1" s="69" t="s">
        <v>1454</v>
      </c>
      <c r="AWJ1" s="69" t="s">
        <v>1455</v>
      </c>
      <c r="AWK1" s="69" t="s">
        <v>1456</v>
      </c>
      <c r="AWL1" s="69" t="s">
        <v>1457</v>
      </c>
      <c r="AWM1" s="69" t="s">
        <v>1458</v>
      </c>
      <c r="AWN1" s="69" t="s">
        <v>1459</v>
      </c>
      <c r="AWO1" s="69" t="s">
        <v>1460</v>
      </c>
      <c r="AWP1" s="69" t="s">
        <v>1461</v>
      </c>
      <c r="AWQ1" s="69" t="s">
        <v>1462</v>
      </c>
      <c r="AWR1" s="69" t="s">
        <v>1463</v>
      </c>
      <c r="AWS1" s="69" t="s">
        <v>1464</v>
      </c>
      <c r="AWT1" s="69" t="s">
        <v>1465</v>
      </c>
      <c r="AWU1" s="69" t="s">
        <v>1466</v>
      </c>
      <c r="AWV1" s="69" t="s">
        <v>1467</v>
      </c>
      <c r="AWW1" s="69" t="s">
        <v>1468</v>
      </c>
      <c r="AWX1" s="69" t="s">
        <v>1469</v>
      </c>
      <c r="AWY1" s="69" t="s">
        <v>1470</v>
      </c>
      <c r="AWZ1" s="69" t="s">
        <v>1471</v>
      </c>
      <c r="AXA1" s="69" t="s">
        <v>1472</v>
      </c>
      <c r="AXB1" s="69" t="s">
        <v>1473</v>
      </c>
      <c r="AXC1" s="69" t="s">
        <v>1474</v>
      </c>
      <c r="AXD1" s="69" t="s">
        <v>1475</v>
      </c>
      <c r="AXE1" s="69" t="s">
        <v>1476</v>
      </c>
      <c r="AXF1" s="69" t="s">
        <v>1477</v>
      </c>
      <c r="AXG1" s="69" t="s">
        <v>1478</v>
      </c>
      <c r="AXH1" s="69" t="s">
        <v>1479</v>
      </c>
      <c r="AXI1" s="69" t="s">
        <v>1480</v>
      </c>
      <c r="AXJ1" s="69" t="s">
        <v>1481</v>
      </c>
      <c r="AXK1" s="69" t="s">
        <v>1482</v>
      </c>
      <c r="AXL1" s="69" t="s">
        <v>1483</v>
      </c>
      <c r="AXM1" s="69" t="s">
        <v>1484</v>
      </c>
      <c r="AXN1" s="69" t="s">
        <v>1485</v>
      </c>
      <c r="AXO1" s="69" t="s">
        <v>1486</v>
      </c>
      <c r="AXP1" s="69" t="s">
        <v>1487</v>
      </c>
      <c r="AXQ1" s="69" t="s">
        <v>1488</v>
      </c>
      <c r="AXR1" s="69" t="s">
        <v>1489</v>
      </c>
      <c r="AXS1" s="69" t="s">
        <v>1490</v>
      </c>
      <c r="AXT1" s="69" t="s">
        <v>1491</v>
      </c>
      <c r="AXU1" s="69" t="s">
        <v>1492</v>
      </c>
      <c r="AXV1" s="69" t="s">
        <v>1493</v>
      </c>
      <c r="AXW1" s="69" t="s">
        <v>1494</v>
      </c>
      <c r="AXX1" s="69" t="s">
        <v>1495</v>
      </c>
      <c r="AXY1" s="69" t="s">
        <v>1496</v>
      </c>
      <c r="AXZ1" s="69" t="s">
        <v>1497</v>
      </c>
      <c r="AYA1" s="69" t="s">
        <v>1498</v>
      </c>
      <c r="AYB1" s="69" t="s">
        <v>1499</v>
      </c>
      <c r="AYC1" s="69" t="s">
        <v>1500</v>
      </c>
      <c r="AYD1" s="69" t="s">
        <v>1501</v>
      </c>
      <c r="AYE1" s="69" t="s">
        <v>1502</v>
      </c>
      <c r="AYF1" s="69" t="s">
        <v>1503</v>
      </c>
      <c r="AYG1" s="69" t="s">
        <v>1504</v>
      </c>
      <c r="AYH1" s="69" t="s">
        <v>1505</v>
      </c>
      <c r="AYI1" s="69" t="s">
        <v>1506</v>
      </c>
      <c r="AYJ1" s="69" t="s">
        <v>1507</v>
      </c>
      <c r="AYK1" s="69" t="s">
        <v>1508</v>
      </c>
      <c r="AYL1" s="69" t="s">
        <v>1509</v>
      </c>
      <c r="AYM1" s="69" t="s">
        <v>1510</v>
      </c>
      <c r="AYN1" s="69" t="s">
        <v>1511</v>
      </c>
      <c r="AYO1" s="69" t="s">
        <v>1512</v>
      </c>
      <c r="AYP1" s="69" t="s">
        <v>1513</v>
      </c>
      <c r="AYQ1" s="69" t="s">
        <v>1514</v>
      </c>
      <c r="AYR1" s="69" t="s">
        <v>1515</v>
      </c>
      <c r="AYS1" s="69" t="s">
        <v>1516</v>
      </c>
      <c r="AYT1" s="69" t="s">
        <v>1517</v>
      </c>
      <c r="AYU1" s="69" t="s">
        <v>1518</v>
      </c>
      <c r="AYV1" s="69" t="s">
        <v>1519</v>
      </c>
      <c r="AYW1" s="69" t="s">
        <v>1520</v>
      </c>
      <c r="AYX1" s="69" t="s">
        <v>1521</v>
      </c>
      <c r="AYY1" s="69" t="s">
        <v>1522</v>
      </c>
      <c r="AYZ1" s="69" t="s">
        <v>1523</v>
      </c>
      <c r="AZA1" s="69" t="s">
        <v>1524</v>
      </c>
      <c r="AZB1" s="69" t="s">
        <v>1525</v>
      </c>
      <c r="AZC1" s="69" t="s">
        <v>1526</v>
      </c>
      <c r="AZD1" s="69" t="s">
        <v>1527</v>
      </c>
      <c r="AZE1" s="69" t="s">
        <v>1528</v>
      </c>
      <c r="AZF1" s="69" t="s">
        <v>1529</v>
      </c>
      <c r="AZG1" s="69" t="s">
        <v>1530</v>
      </c>
      <c r="AZH1" s="69" t="s">
        <v>1531</v>
      </c>
      <c r="AZI1" s="69" t="s">
        <v>1532</v>
      </c>
      <c r="AZJ1" s="69" t="s">
        <v>1533</v>
      </c>
      <c r="AZK1" s="69" t="s">
        <v>1534</v>
      </c>
      <c r="AZL1" s="69" t="s">
        <v>1535</v>
      </c>
      <c r="AZM1" s="69" t="s">
        <v>1536</v>
      </c>
      <c r="AZN1" s="69" t="s">
        <v>1537</v>
      </c>
      <c r="AZO1" s="69" t="s">
        <v>1538</v>
      </c>
      <c r="AZP1" s="69" t="s">
        <v>1539</v>
      </c>
      <c r="AZQ1" s="69" t="s">
        <v>1540</v>
      </c>
      <c r="AZR1" s="69" t="s">
        <v>1541</v>
      </c>
      <c r="AZS1" s="69" t="s">
        <v>1542</v>
      </c>
      <c r="AZT1" s="69" t="s">
        <v>1543</v>
      </c>
      <c r="AZU1" s="69" t="s">
        <v>1544</v>
      </c>
      <c r="AZV1" s="69" t="s">
        <v>1545</v>
      </c>
      <c r="AZW1" s="69" t="s">
        <v>1546</v>
      </c>
      <c r="AZX1" s="69" t="s">
        <v>1547</v>
      </c>
      <c r="AZY1" s="69" t="s">
        <v>1548</v>
      </c>
      <c r="AZZ1" s="69" t="s">
        <v>1549</v>
      </c>
      <c r="BAA1" s="69" t="s">
        <v>1550</v>
      </c>
      <c r="BAB1" s="69" t="s">
        <v>1551</v>
      </c>
      <c r="BAC1" s="69" t="s">
        <v>1552</v>
      </c>
      <c r="BAD1" s="69" t="s">
        <v>1553</v>
      </c>
      <c r="BAE1" s="69" t="s">
        <v>1554</v>
      </c>
      <c r="BAF1" s="69" t="s">
        <v>1555</v>
      </c>
      <c r="BAG1" s="69" t="s">
        <v>1556</v>
      </c>
      <c r="BAH1" s="69" t="s">
        <v>1557</v>
      </c>
      <c r="BAI1" s="69" t="s">
        <v>1558</v>
      </c>
      <c r="BAJ1" s="69" t="s">
        <v>1559</v>
      </c>
      <c r="BAK1" s="69" t="s">
        <v>1560</v>
      </c>
      <c r="BAL1" s="69" t="s">
        <v>1561</v>
      </c>
      <c r="BAM1" s="69" t="s">
        <v>1562</v>
      </c>
      <c r="BAN1" s="69" t="s">
        <v>1563</v>
      </c>
      <c r="BAO1" s="69" t="s">
        <v>1564</v>
      </c>
      <c r="BAP1" s="69" t="s">
        <v>1565</v>
      </c>
      <c r="BAQ1" s="69" t="s">
        <v>1566</v>
      </c>
      <c r="BAR1" s="69" t="s">
        <v>1567</v>
      </c>
      <c r="BAS1" s="69" t="s">
        <v>1568</v>
      </c>
      <c r="BAT1" s="69" t="s">
        <v>1569</v>
      </c>
      <c r="BAU1" s="69" t="s">
        <v>1570</v>
      </c>
      <c r="BAV1" s="69" t="s">
        <v>1571</v>
      </c>
      <c r="BAW1" s="69" t="s">
        <v>1572</v>
      </c>
      <c r="BAX1" s="69" t="s">
        <v>1573</v>
      </c>
      <c r="BAY1" s="69" t="s">
        <v>1574</v>
      </c>
      <c r="BAZ1" s="69" t="s">
        <v>1575</v>
      </c>
      <c r="BBA1" s="69" t="s">
        <v>1576</v>
      </c>
      <c r="BBB1" s="69" t="s">
        <v>1577</v>
      </c>
      <c r="BBC1" s="69" t="s">
        <v>1578</v>
      </c>
      <c r="BBD1" s="69" t="s">
        <v>1579</v>
      </c>
      <c r="BBE1" s="69" t="s">
        <v>1580</v>
      </c>
      <c r="BBF1" s="69" t="s">
        <v>1581</v>
      </c>
      <c r="BBG1" s="69" t="s">
        <v>1582</v>
      </c>
      <c r="BBH1" s="69" t="s">
        <v>1583</v>
      </c>
      <c r="BBI1" s="69" t="s">
        <v>1584</v>
      </c>
      <c r="BBJ1" s="69" t="s">
        <v>1585</v>
      </c>
      <c r="BBK1" s="69" t="s">
        <v>1586</v>
      </c>
      <c r="BBL1" s="69" t="s">
        <v>1587</v>
      </c>
      <c r="BBM1" s="69" t="s">
        <v>1588</v>
      </c>
      <c r="BBN1" s="69" t="s">
        <v>1589</v>
      </c>
      <c r="BBO1" s="69" t="s">
        <v>1590</v>
      </c>
      <c r="BBP1" s="69" t="s">
        <v>1591</v>
      </c>
      <c r="BBQ1" s="69" t="s">
        <v>1592</v>
      </c>
      <c r="BBR1" s="69" t="s">
        <v>1593</v>
      </c>
      <c r="BBS1" s="69" t="s">
        <v>1594</v>
      </c>
      <c r="BBT1" s="69" t="s">
        <v>1595</v>
      </c>
      <c r="BBU1" s="69" t="s">
        <v>1596</v>
      </c>
      <c r="BBV1" s="69" t="s">
        <v>1597</v>
      </c>
      <c r="BBW1" s="69" t="s">
        <v>1598</v>
      </c>
      <c r="BBX1" s="69" t="s">
        <v>1599</v>
      </c>
      <c r="BBY1" s="69" t="s">
        <v>1600</v>
      </c>
      <c r="BBZ1" s="69" t="s">
        <v>1601</v>
      </c>
      <c r="BCA1" s="69" t="s">
        <v>1602</v>
      </c>
      <c r="BCB1" s="69" t="s">
        <v>1603</v>
      </c>
      <c r="BCC1" s="69" t="s">
        <v>1604</v>
      </c>
      <c r="BCD1" s="69" t="s">
        <v>1605</v>
      </c>
      <c r="BCE1" s="69" t="s">
        <v>1606</v>
      </c>
      <c r="BCF1" s="69" t="s">
        <v>1607</v>
      </c>
      <c r="BCG1" s="69" t="s">
        <v>1608</v>
      </c>
      <c r="BCH1" s="69" t="s">
        <v>1609</v>
      </c>
      <c r="BCI1" s="69" t="s">
        <v>1610</v>
      </c>
      <c r="BCJ1" s="69" t="s">
        <v>1611</v>
      </c>
      <c r="BCK1" s="69" t="s">
        <v>1612</v>
      </c>
      <c r="BCL1" s="69" t="s">
        <v>1613</v>
      </c>
      <c r="BCM1" s="69" t="s">
        <v>1614</v>
      </c>
      <c r="BCN1" s="69" t="s">
        <v>1615</v>
      </c>
      <c r="BCO1" s="69" t="s">
        <v>1616</v>
      </c>
      <c r="BCP1" s="69" t="s">
        <v>1617</v>
      </c>
      <c r="BCQ1" s="69" t="s">
        <v>1618</v>
      </c>
      <c r="BCR1" s="69" t="s">
        <v>1619</v>
      </c>
      <c r="BCS1" s="69" t="s">
        <v>1620</v>
      </c>
      <c r="BCT1" s="69" t="s">
        <v>1621</v>
      </c>
      <c r="BCU1" s="69" t="s">
        <v>1622</v>
      </c>
      <c r="BCV1" s="69" t="s">
        <v>1623</v>
      </c>
      <c r="BCW1" s="69" t="s">
        <v>1624</v>
      </c>
      <c r="BCX1" s="69" t="s">
        <v>1625</v>
      </c>
      <c r="BCY1" s="69" t="s">
        <v>1626</v>
      </c>
      <c r="BCZ1" s="69" t="s">
        <v>1627</v>
      </c>
      <c r="BDA1" s="69" t="s">
        <v>1628</v>
      </c>
      <c r="BDB1" s="69" t="s">
        <v>1629</v>
      </c>
      <c r="BDC1" s="69" t="s">
        <v>1630</v>
      </c>
      <c r="BDD1" s="69" t="s">
        <v>1631</v>
      </c>
      <c r="BDE1" s="69" t="s">
        <v>1632</v>
      </c>
      <c r="BDF1" s="69" t="s">
        <v>1633</v>
      </c>
      <c r="BDG1" s="69" t="s">
        <v>1634</v>
      </c>
      <c r="BDH1" s="69" t="s">
        <v>1635</v>
      </c>
      <c r="BDI1" s="69" t="s">
        <v>1636</v>
      </c>
      <c r="BDJ1" s="69" t="s">
        <v>1637</v>
      </c>
      <c r="BDK1" s="69" t="s">
        <v>1638</v>
      </c>
      <c r="BDL1" s="69" t="s">
        <v>1639</v>
      </c>
      <c r="BDM1" s="69" t="s">
        <v>1640</v>
      </c>
      <c r="BDN1" s="69" t="s">
        <v>1641</v>
      </c>
      <c r="BDO1" s="69" t="s">
        <v>1642</v>
      </c>
      <c r="BDP1" s="69" t="s">
        <v>1643</v>
      </c>
      <c r="BDQ1" s="69" t="s">
        <v>1644</v>
      </c>
      <c r="BDR1" s="69" t="s">
        <v>1645</v>
      </c>
      <c r="BDS1" s="69" t="s">
        <v>1646</v>
      </c>
      <c r="BDT1" s="69" t="s">
        <v>1647</v>
      </c>
      <c r="BDU1" s="69" t="s">
        <v>1648</v>
      </c>
      <c r="BDV1" s="69" t="s">
        <v>1649</v>
      </c>
      <c r="BDW1" s="69" t="s">
        <v>1650</v>
      </c>
      <c r="BDX1" s="69" t="s">
        <v>1651</v>
      </c>
      <c r="BDY1" s="69" t="s">
        <v>1652</v>
      </c>
      <c r="BDZ1" s="69" t="s">
        <v>1653</v>
      </c>
      <c r="BEA1" s="69" t="s">
        <v>1654</v>
      </c>
      <c r="BEB1" s="69" t="s">
        <v>1655</v>
      </c>
      <c r="BEC1" s="69" t="s">
        <v>1656</v>
      </c>
      <c r="BED1" s="69" t="s">
        <v>1657</v>
      </c>
      <c r="BEE1" s="69" t="s">
        <v>1658</v>
      </c>
      <c r="BEF1" s="69" t="s">
        <v>1659</v>
      </c>
      <c r="BEG1" s="69" t="s">
        <v>1660</v>
      </c>
      <c r="BEH1" s="69" t="s">
        <v>1661</v>
      </c>
      <c r="BEI1" s="69" t="s">
        <v>1662</v>
      </c>
      <c r="BEJ1" s="69" t="s">
        <v>1663</v>
      </c>
      <c r="BEK1" s="69" t="s">
        <v>1664</v>
      </c>
      <c r="BEL1" s="69" t="s">
        <v>1665</v>
      </c>
      <c r="BEM1" s="69" t="s">
        <v>1666</v>
      </c>
      <c r="BEN1" s="69" t="s">
        <v>1667</v>
      </c>
      <c r="BEO1" s="69" t="s">
        <v>1668</v>
      </c>
      <c r="BEP1" s="69" t="s">
        <v>1669</v>
      </c>
      <c r="BEQ1" s="69" t="s">
        <v>1670</v>
      </c>
      <c r="BER1" s="69" t="s">
        <v>1671</v>
      </c>
      <c r="BES1" s="69" t="s">
        <v>1672</v>
      </c>
      <c r="BET1" s="69" t="s">
        <v>1673</v>
      </c>
      <c r="BEU1" s="69" t="s">
        <v>1674</v>
      </c>
      <c r="BEV1" s="69" t="s">
        <v>1675</v>
      </c>
      <c r="BEW1" s="69" t="s">
        <v>1676</v>
      </c>
      <c r="BEX1" s="69" t="s">
        <v>1677</v>
      </c>
      <c r="BEY1" s="69" t="s">
        <v>1678</v>
      </c>
      <c r="BEZ1" s="69" t="s">
        <v>1679</v>
      </c>
      <c r="BFA1" s="69" t="s">
        <v>1680</v>
      </c>
      <c r="BFB1" s="69" t="s">
        <v>1681</v>
      </c>
      <c r="BFC1" s="69" t="s">
        <v>1682</v>
      </c>
      <c r="BFD1" s="69" t="s">
        <v>1683</v>
      </c>
      <c r="BFE1" s="69" t="s">
        <v>1684</v>
      </c>
      <c r="BFF1" s="69" t="s">
        <v>1685</v>
      </c>
      <c r="BFG1" s="69" t="s">
        <v>1686</v>
      </c>
      <c r="BFH1" s="69" t="s">
        <v>1687</v>
      </c>
      <c r="BFI1" s="69" t="s">
        <v>1688</v>
      </c>
      <c r="BFJ1" s="69" t="s">
        <v>1689</v>
      </c>
      <c r="BFK1" s="69" t="s">
        <v>1690</v>
      </c>
      <c r="BFL1" s="69" t="s">
        <v>1691</v>
      </c>
      <c r="BFM1" s="69" t="s">
        <v>1692</v>
      </c>
      <c r="BFN1" s="69" t="s">
        <v>1693</v>
      </c>
      <c r="BFO1" s="69" t="s">
        <v>1694</v>
      </c>
      <c r="BFP1" s="69" t="s">
        <v>1695</v>
      </c>
      <c r="BFQ1" s="69" t="s">
        <v>1696</v>
      </c>
      <c r="BFR1" s="69" t="s">
        <v>1697</v>
      </c>
      <c r="BFS1" s="69" t="s">
        <v>1698</v>
      </c>
      <c r="BFT1" s="69" t="s">
        <v>1699</v>
      </c>
      <c r="BFU1" s="69" t="s">
        <v>1700</v>
      </c>
      <c r="BFV1" s="69" t="s">
        <v>1701</v>
      </c>
      <c r="BFW1" s="69" t="s">
        <v>1702</v>
      </c>
      <c r="BFX1" s="69" t="s">
        <v>1703</v>
      </c>
      <c r="BFY1" s="69" t="s">
        <v>1704</v>
      </c>
      <c r="BFZ1" s="69" t="s">
        <v>1705</v>
      </c>
      <c r="BGA1" s="69" t="s">
        <v>1706</v>
      </c>
      <c r="BGB1" s="69" t="s">
        <v>1707</v>
      </c>
      <c r="BGC1" s="69" t="s">
        <v>1708</v>
      </c>
      <c r="BGD1" s="69" t="s">
        <v>1709</v>
      </c>
      <c r="BGE1" s="69" t="s">
        <v>1710</v>
      </c>
      <c r="BGF1" s="69" t="s">
        <v>1711</v>
      </c>
      <c r="BGG1" s="69" t="s">
        <v>1712</v>
      </c>
      <c r="BGH1" s="69" t="s">
        <v>1713</v>
      </c>
      <c r="BGI1" s="69" t="s">
        <v>1714</v>
      </c>
      <c r="BGJ1" s="69" t="s">
        <v>1715</v>
      </c>
      <c r="BGK1" s="69" t="s">
        <v>1716</v>
      </c>
      <c r="BGL1" s="69" t="s">
        <v>1717</v>
      </c>
      <c r="BGM1" s="69" t="s">
        <v>1718</v>
      </c>
      <c r="BGN1" s="69" t="s">
        <v>1719</v>
      </c>
      <c r="BGO1" s="69" t="s">
        <v>1720</v>
      </c>
      <c r="BGP1" s="69" t="s">
        <v>1721</v>
      </c>
      <c r="BGQ1" s="69" t="s">
        <v>1722</v>
      </c>
      <c r="BGR1" s="69" t="s">
        <v>1723</v>
      </c>
      <c r="BGS1" s="69" t="s">
        <v>1724</v>
      </c>
      <c r="BGT1" s="69" t="s">
        <v>1725</v>
      </c>
      <c r="BGU1" s="69" t="s">
        <v>1726</v>
      </c>
      <c r="BGV1" s="69" t="s">
        <v>1727</v>
      </c>
      <c r="BGW1" s="69" t="s">
        <v>1728</v>
      </c>
      <c r="BGX1" s="69" t="s">
        <v>1729</v>
      </c>
      <c r="BGY1" s="69" t="s">
        <v>1730</v>
      </c>
      <c r="BGZ1" s="69" t="s">
        <v>1731</v>
      </c>
      <c r="BHA1" s="69" t="s">
        <v>1732</v>
      </c>
      <c r="BHB1" s="69" t="s">
        <v>1733</v>
      </c>
      <c r="BHC1" s="69" t="s">
        <v>1734</v>
      </c>
      <c r="BHD1" s="69" t="s">
        <v>1735</v>
      </c>
      <c r="BHE1" s="69" t="s">
        <v>1736</v>
      </c>
      <c r="BHF1" s="69" t="s">
        <v>1737</v>
      </c>
      <c r="BHG1" s="69" t="s">
        <v>1738</v>
      </c>
      <c r="BHH1" s="69" t="s">
        <v>1739</v>
      </c>
      <c r="BHI1" s="69" t="s">
        <v>1740</v>
      </c>
      <c r="BHJ1" s="69" t="s">
        <v>1741</v>
      </c>
      <c r="BHK1" s="69" t="s">
        <v>1742</v>
      </c>
      <c r="BHL1" s="69" t="s">
        <v>1743</v>
      </c>
      <c r="BHM1" s="69" t="s">
        <v>1744</v>
      </c>
      <c r="BHN1" s="69" t="s">
        <v>1745</v>
      </c>
      <c r="BHO1" s="69" t="s">
        <v>1746</v>
      </c>
      <c r="BHP1" s="69" t="s">
        <v>1747</v>
      </c>
      <c r="BHQ1" s="69" t="s">
        <v>1748</v>
      </c>
      <c r="BHR1" s="69" t="s">
        <v>1749</v>
      </c>
      <c r="BHS1" s="69" t="s">
        <v>1750</v>
      </c>
      <c r="BHT1" s="69" t="s">
        <v>1751</v>
      </c>
      <c r="BHU1" s="69" t="s">
        <v>1752</v>
      </c>
      <c r="BHV1" s="69" t="s">
        <v>1753</v>
      </c>
      <c r="BHW1" s="69" t="s">
        <v>1754</v>
      </c>
      <c r="BHX1" s="69" t="s">
        <v>1755</v>
      </c>
      <c r="BHY1" s="69" t="s">
        <v>1756</v>
      </c>
      <c r="BHZ1" s="69" t="s">
        <v>1757</v>
      </c>
      <c r="BIA1" s="69" t="s">
        <v>1758</v>
      </c>
      <c r="BIB1" s="69" t="s">
        <v>1759</v>
      </c>
      <c r="BIC1" s="69" t="s">
        <v>1760</v>
      </c>
      <c r="BID1" s="69" t="s">
        <v>1761</v>
      </c>
      <c r="BIE1" s="69" t="s">
        <v>1762</v>
      </c>
      <c r="BIF1" s="69" t="s">
        <v>1763</v>
      </c>
      <c r="BIG1" s="69" t="s">
        <v>1764</v>
      </c>
      <c r="BIH1" s="69" t="s">
        <v>1765</v>
      </c>
      <c r="BII1" s="69" t="s">
        <v>1766</v>
      </c>
      <c r="BIJ1" s="69" t="s">
        <v>1767</v>
      </c>
      <c r="BIK1" s="69" t="s">
        <v>1768</v>
      </c>
      <c r="BIL1" s="69" t="s">
        <v>1769</v>
      </c>
      <c r="BIM1" s="69" t="s">
        <v>1770</v>
      </c>
      <c r="BIN1" s="69" t="s">
        <v>1771</v>
      </c>
      <c r="BIO1" s="69" t="s">
        <v>1772</v>
      </c>
      <c r="BIP1" s="69" t="s">
        <v>1773</v>
      </c>
      <c r="BIQ1" s="69" t="s">
        <v>1774</v>
      </c>
      <c r="BIR1" s="69" t="s">
        <v>1775</v>
      </c>
      <c r="BIS1" s="69" t="s">
        <v>1776</v>
      </c>
      <c r="BIT1" s="69" t="s">
        <v>1777</v>
      </c>
      <c r="BIU1" s="69" t="s">
        <v>1778</v>
      </c>
      <c r="BIV1" s="69" t="s">
        <v>1779</v>
      </c>
      <c r="BIW1" s="69" t="s">
        <v>1780</v>
      </c>
      <c r="BIX1" s="69" t="s">
        <v>1781</v>
      </c>
      <c r="BIY1" s="69" t="s">
        <v>1782</v>
      </c>
      <c r="BIZ1" s="69" t="s">
        <v>1783</v>
      </c>
      <c r="BJA1" s="69" t="s">
        <v>1784</v>
      </c>
      <c r="BJB1" s="69" t="s">
        <v>1785</v>
      </c>
      <c r="BJC1" s="69" t="s">
        <v>1786</v>
      </c>
      <c r="BJD1" s="69" t="s">
        <v>1787</v>
      </c>
      <c r="BJE1" s="69" t="s">
        <v>1788</v>
      </c>
      <c r="BJF1" s="69" t="s">
        <v>1789</v>
      </c>
      <c r="BJG1" s="69" t="s">
        <v>1790</v>
      </c>
      <c r="BJH1" s="69" t="s">
        <v>1791</v>
      </c>
      <c r="BJI1" s="69" t="s">
        <v>1792</v>
      </c>
      <c r="BJJ1" s="69" t="s">
        <v>1793</v>
      </c>
      <c r="BJK1" s="69" t="s">
        <v>1794</v>
      </c>
      <c r="BJL1" s="69" t="s">
        <v>1795</v>
      </c>
      <c r="BJM1" s="69" t="s">
        <v>1796</v>
      </c>
      <c r="BJN1" s="69" t="s">
        <v>1797</v>
      </c>
      <c r="BJO1" s="69" t="s">
        <v>1798</v>
      </c>
      <c r="BJP1" s="69" t="s">
        <v>1799</v>
      </c>
      <c r="BJQ1" s="69" t="s">
        <v>1800</v>
      </c>
      <c r="BJR1" s="69" t="s">
        <v>1801</v>
      </c>
      <c r="BJS1" s="69" t="s">
        <v>1802</v>
      </c>
      <c r="BJT1" s="69" t="s">
        <v>1803</v>
      </c>
      <c r="BJU1" s="69" t="s">
        <v>1804</v>
      </c>
      <c r="BJV1" s="69" t="s">
        <v>1805</v>
      </c>
      <c r="BJW1" s="69" t="s">
        <v>1806</v>
      </c>
      <c r="BJX1" s="69" t="s">
        <v>1807</v>
      </c>
      <c r="BJY1" s="69" t="s">
        <v>1808</v>
      </c>
      <c r="BJZ1" s="69" t="s">
        <v>1809</v>
      </c>
      <c r="BKA1" s="69" t="s">
        <v>1810</v>
      </c>
      <c r="BKB1" s="69" t="s">
        <v>1811</v>
      </c>
      <c r="BKC1" s="69" t="s">
        <v>1812</v>
      </c>
      <c r="BKD1" s="69" t="s">
        <v>1813</v>
      </c>
      <c r="BKE1" s="69" t="s">
        <v>1814</v>
      </c>
      <c r="BKF1" s="69" t="s">
        <v>1815</v>
      </c>
      <c r="BKG1" s="69" t="s">
        <v>1816</v>
      </c>
      <c r="BKH1" s="69" t="s">
        <v>1817</v>
      </c>
      <c r="BKI1" s="69" t="s">
        <v>1818</v>
      </c>
      <c r="BKJ1" s="69" t="s">
        <v>1819</v>
      </c>
      <c r="BKK1" s="69" t="s">
        <v>1820</v>
      </c>
      <c r="BKL1" s="69" t="s">
        <v>1821</v>
      </c>
      <c r="BKM1" s="69" t="s">
        <v>1822</v>
      </c>
      <c r="BKN1" s="69" t="s">
        <v>1823</v>
      </c>
      <c r="BKO1" s="69" t="s">
        <v>1824</v>
      </c>
      <c r="BKP1" s="69" t="s">
        <v>1825</v>
      </c>
      <c r="BKQ1" s="69" t="s">
        <v>1826</v>
      </c>
      <c r="BKR1" s="69" t="s">
        <v>1827</v>
      </c>
      <c r="BKS1" s="69" t="s">
        <v>1828</v>
      </c>
      <c r="BKT1" s="69" t="s">
        <v>1829</v>
      </c>
      <c r="BKU1" s="69" t="s">
        <v>1830</v>
      </c>
      <c r="BKV1" s="69" t="s">
        <v>1831</v>
      </c>
      <c r="BKW1" s="69" t="s">
        <v>1832</v>
      </c>
      <c r="BKX1" s="69" t="s">
        <v>1833</v>
      </c>
      <c r="BKY1" s="69" t="s">
        <v>1834</v>
      </c>
      <c r="BKZ1" s="69" t="s">
        <v>1835</v>
      </c>
      <c r="BLA1" s="69" t="s">
        <v>1836</v>
      </c>
      <c r="BLB1" s="69" t="s">
        <v>1837</v>
      </c>
      <c r="BLC1" s="69" t="s">
        <v>1838</v>
      </c>
      <c r="BLD1" s="69" t="s">
        <v>1839</v>
      </c>
      <c r="BLE1" s="69" t="s">
        <v>1840</v>
      </c>
      <c r="BLF1" s="69" t="s">
        <v>1841</v>
      </c>
      <c r="BLG1" s="69" t="s">
        <v>1842</v>
      </c>
      <c r="BLH1" s="69" t="s">
        <v>1843</v>
      </c>
      <c r="BLI1" s="69" t="s">
        <v>1844</v>
      </c>
      <c r="BLJ1" s="69" t="s">
        <v>1845</v>
      </c>
      <c r="BLK1" s="69" t="s">
        <v>1846</v>
      </c>
      <c r="BLL1" s="69" t="s">
        <v>1847</v>
      </c>
      <c r="BLM1" s="69" t="s">
        <v>1848</v>
      </c>
      <c r="BLN1" s="69" t="s">
        <v>1849</v>
      </c>
      <c r="BLO1" s="69" t="s">
        <v>1850</v>
      </c>
      <c r="BLP1" s="69" t="s">
        <v>1851</v>
      </c>
      <c r="BLQ1" s="69" t="s">
        <v>1852</v>
      </c>
      <c r="BLR1" s="69" t="s">
        <v>1853</v>
      </c>
      <c r="BLS1" s="69" t="s">
        <v>1854</v>
      </c>
      <c r="BLT1" s="69" t="s">
        <v>1855</v>
      </c>
      <c r="BLU1" s="69" t="s">
        <v>1856</v>
      </c>
      <c r="BLV1" s="69" t="s">
        <v>1857</v>
      </c>
      <c r="BLW1" s="69" t="s">
        <v>1858</v>
      </c>
      <c r="BLX1" s="69" t="s">
        <v>1859</v>
      </c>
      <c r="BLY1" s="69" t="s">
        <v>1860</v>
      </c>
      <c r="BLZ1" s="69" t="s">
        <v>1861</v>
      </c>
      <c r="BMA1" s="69" t="s">
        <v>1862</v>
      </c>
      <c r="BMB1" s="69" t="s">
        <v>1863</v>
      </c>
      <c r="BMC1" s="69" t="s">
        <v>1864</v>
      </c>
      <c r="BMD1" s="69" t="s">
        <v>1865</v>
      </c>
      <c r="BME1" s="69" t="s">
        <v>1866</v>
      </c>
      <c r="BMF1" s="69" t="s">
        <v>1867</v>
      </c>
      <c r="BMG1" s="69" t="s">
        <v>1868</v>
      </c>
      <c r="BMH1" s="69" t="s">
        <v>1869</v>
      </c>
      <c r="BMI1" s="69" t="s">
        <v>1870</v>
      </c>
      <c r="BMJ1" s="69" t="s">
        <v>1871</v>
      </c>
      <c r="BMK1" s="69" t="s">
        <v>1872</v>
      </c>
      <c r="BML1" s="69" t="s">
        <v>1873</v>
      </c>
      <c r="BMM1" s="69" t="s">
        <v>1874</v>
      </c>
      <c r="BMN1" s="69" t="s">
        <v>1875</v>
      </c>
      <c r="BMO1" s="69" t="s">
        <v>1876</v>
      </c>
      <c r="BMP1" s="69" t="s">
        <v>1877</v>
      </c>
      <c r="BMQ1" s="69" t="s">
        <v>1878</v>
      </c>
      <c r="BMR1" s="69" t="s">
        <v>1879</v>
      </c>
      <c r="BMS1" s="69" t="s">
        <v>1880</v>
      </c>
      <c r="BMT1" s="69" t="s">
        <v>1881</v>
      </c>
      <c r="BMU1" s="69" t="s">
        <v>1882</v>
      </c>
      <c r="BMV1" s="69" t="s">
        <v>1883</v>
      </c>
      <c r="BMW1" s="69" t="s">
        <v>1884</v>
      </c>
      <c r="BMX1" s="69" t="s">
        <v>1885</v>
      </c>
      <c r="BMY1" s="69" t="s">
        <v>1886</v>
      </c>
      <c r="BMZ1" s="69" t="s">
        <v>1887</v>
      </c>
      <c r="BNA1" s="69" t="s">
        <v>1888</v>
      </c>
      <c r="BNB1" s="69" t="s">
        <v>1889</v>
      </c>
      <c r="BNC1" s="69" t="s">
        <v>1890</v>
      </c>
      <c r="BND1" s="69" t="s">
        <v>1891</v>
      </c>
      <c r="BNE1" s="69" t="s">
        <v>1892</v>
      </c>
      <c r="BNF1" s="69" t="s">
        <v>1893</v>
      </c>
      <c r="BNG1" s="69" t="s">
        <v>1894</v>
      </c>
      <c r="BNH1" s="69" t="s">
        <v>1895</v>
      </c>
      <c r="BNI1" s="69" t="s">
        <v>1896</v>
      </c>
      <c r="BNJ1" s="69" t="s">
        <v>1897</v>
      </c>
      <c r="BNK1" s="69" t="s">
        <v>1898</v>
      </c>
      <c r="BNL1" s="69" t="s">
        <v>1899</v>
      </c>
      <c r="BNM1" s="69" t="s">
        <v>1900</v>
      </c>
      <c r="BNN1" s="69" t="s">
        <v>1901</v>
      </c>
      <c r="BNO1" s="69" t="s">
        <v>1902</v>
      </c>
      <c r="BNP1" s="69" t="s">
        <v>1903</v>
      </c>
      <c r="BNQ1" s="69" t="s">
        <v>1904</v>
      </c>
      <c r="BNR1" s="69" t="s">
        <v>1905</v>
      </c>
      <c r="BNS1" s="69" t="s">
        <v>1906</v>
      </c>
      <c r="BNT1" s="69" t="s">
        <v>1907</v>
      </c>
      <c r="BNU1" s="69" t="s">
        <v>1908</v>
      </c>
      <c r="BNV1" s="69" t="s">
        <v>1909</v>
      </c>
      <c r="BNW1" s="69" t="s">
        <v>1910</v>
      </c>
      <c r="BNX1" s="69" t="s">
        <v>1911</v>
      </c>
      <c r="BNY1" s="69" t="s">
        <v>1912</v>
      </c>
      <c r="BNZ1" s="69" t="s">
        <v>1913</v>
      </c>
      <c r="BOA1" s="69" t="s">
        <v>1914</v>
      </c>
      <c r="BOB1" s="69" t="s">
        <v>1915</v>
      </c>
      <c r="BOC1" s="69" t="s">
        <v>1916</v>
      </c>
      <c r="BOD1" s="69" t="s">
        <v>1917</v>
      </c>
      <c r="BOE1" s="69" t="s">
        <v>1918</v>
      </c>
      <c r="BOF1" s="69" t="s">
        <v>1919</v>
      </c>
      <c r="BOG1" s="69" t="s">
        <v>1920</v>
      </c>
      <c r="BOH1" s="69" t="s">
        <v>1921</v>
      </c>
      <c r="BOI1" s="69" t="s">
        <v>1922</v>
      </c>
      <c r="BOJ1" s="69" t="s">
        <v>1923</v>
      </c>
      <c r="BOK1" s="69" t="s">
        <v>1924</v>
      </c>
      <c r="BOL1" s="69" t="s">
        <v>1925</v>
      </c>
      <c r="BOM1" s="69" t="s">
        <v>1926</v>
      </c>
      <c r="BON1" s="69" t="s">
        <v>1927</v>
      </c>
      <c r="BOO1" s="69" t="s">
        <v>1928</v>
      </c>
      <c r="BOP1" s="69" t="s">
        <v>1929</v>
      </c>
      <c r="BOQ1" s="69" t="s">
        <v>1930</v>
      </c>
      <c r="BOR1" s="69" t="s">
        <v>1931</v>
      </c>
      <c r="BOS1" s="69" t="s">
        <v>1932</v>
      </c>
      <c r="BOT1" s="69" t="s">
        <v>1933</v>
      </c>
      <c r="BOU1" s="69" t="s">
        <v>1934</v>
      </c>
      <c r="BOV1" s="69" t="s">
        <v>1935</v>
      </c>
      <c r="BOW1" s="69" t="s">
        <v>1936</v>
      </c>
      <c r="BOX1" s="69" t="s">
        <v>1937</v>
      </c>
      <c r="BOY1" s="69" t="s">
        <v>1938</v>
      </c>
      <c r="BOZ1" s="69" t="s">
        <v>1939</v>
      </c>
      <c r="BPA1" s="69" t="s">
        <v>1940</v>
      </c>
      <c r="BPB1" s="69" t="s">
        <v>1941</v>
      </c>
      <c r="BPC1" s="69" t="s">
        <v>1942</v>
      </c>
      <c r="BPD1" s="69" t="s">
        <v>1943</v>
      </c>
      <c r="BPE1" s="69" t="s">
        <v>1944</v>
      </c>
      <c r="BPF1" s="69" t="s">
        <v>1945</v>
      </c>
      <c r="BPG1" s="69" t="s">
        <v>1946</v>
      </c>
      <c r="BPH1" s="69" t="s">
        <v>1947</v>
      </c>
      <c r="BPI1" s="69" t="s">
        <v>1948</v>
      </c>
      <c r="BPJ1" s="69" t="s">
        <v>1949</v>
      </c>
      <c r="BPK1" s="69" t="s">
        <v>1950</v>
      </c>
      <c r="BPL1" s="69" t="s">
        <v>1951</v>
      </c>
      <c r="BPM1" s="69" t="s">
        <v>1952</v>
      </c>
      <c r="BPN1" s="69" t="s">
        <v>1953</v>
      </c>
      <c r="BPO1" s="69" t="s">
        <v>1954</v>
      </c>
      <c r="BPP1" s="69" t="s">
        <v>1955</v>
      </c>
      <c r="BPQ1" s="69" t="s">
        <v>1956</v>
      </c>
      <c r="BPR1" s="69" t="s">
        <v>1957</v>
      </c>
      <c r="BPS1" s="69" t="s">
        <v>1958</v>
      </c>
      <c r="BPT1" s="69" t="s">
        <v>1959</v>
      </c>
      <c r="BPU1" s="69" t="s">
        <v>1960</v>
      </c>
      <c r="BPV1" s="69" t="s">
        <v>1961</v>
      </c>
      <c r="BPW1" s="69" t="s">
        <v>1962</v>
      </c>
      <c r="BPX1" s="69" t="s">
        <v>1963</v>
      </c>
      <c r="BPY1" s="69" t="s">
        <v>1964</v>
      </c>
      <c r="BPZ1" s="69" t="s">
        <v>1965</v>
      </c>
      <c r="BQA1" s="69" t="s">
        <v>1966</v>
      </c>
      <c r="BQB1" s="69" t="s">
        <v>1967</v>
      </c>
      <c r="BQC1" s="69" t="s">
        <v>1968</v>
      </c>
      <c r="BQD1" s="69" t="s">
        <v>1969</v>
      </c>
      <c r="BQE1" s="69" t="s">
        <v>1970</v>
      </c>
      <c r="BQF1" s="69" t="s">
        <v>1971</v>
      </c>
      <c r="BQG1" s="69" t="s">
        <v>1972</v>
      </c>
      <c r="BQH1" s="69" t="s">
        <v>1973</v>
      </c>
      <c r="BQI1" s="69" t="s">
        <v>1974</v>
      </c>
      <c r="BQJ1" s="69" t="s">
        <v>1975</v>
      </c>
      <c r="BQK1" s="69" t="s">
        <v>1976</v>
      </c>
      <c r="BQL1" s="69" t="s">
        <v>1977</v>
      </c>
      <c r="BQM1" s="69" t="s">
        <v>1978</v>
      </c>
      <c r="BQN1" s="69" t="s">
        <v>1979</v>
      </c>
      <c r="BQO1" s="69" t="s">
        <v>1980</v>
      </c>
      <c r="BQP1" s="69" t="s">
        <v>1981</v>
      </c>
      <c r="BQQ1" s="69" t="s">
        <v>1982</v>
      </c>
      <c r="BQR1" s="69" t="s">
        <v>1983</v>
      </c>
      <c r="BQS1" s="69" t="s">
        <v>1984</v>
      </c>
      <c r="BQT1" s="69" t="s">
        <v>1985</v>
      </c>
      <c r="BQU1" s="69" t="s">
        <v>1986</v>
      </c>
      <c r="BQV1" s="69" t="s">
        <v>1987</v>
      </c>
      <c r="BQW1" s="69" t="s">
        <v>1988</v>
      </c>
      <c r="BQX1" s="69" t="s">
        <v>1989</v>
      </c>
      <c r="BQY1" s="69" t="s">
        <v>1990</v>
      </c>
      <c r="BQZ1" s="69" t="s">
        <v>1991</v>
      </c>
      <c r="BRA1" s="69" t="s">
        <v>1992</v>
      </c>
      <c r="BRB1" s="69" t="s">
        <v>1993</v>
      </c>
      <c r="BRC1" s="69" t="s">
        <v>1994</v>
      </c>
      <c r="BRD1" s="69" t="s">
        <v>1995</v>
      </c>
      <c r="BRE1" s="69" t="s">
        <v>1996</v>
      </c>
      <c r="BRF1" s="69" t="s">
        <v>1997</v>
      </c>
      <c r="BRG1" s="69" t="s">
        <v>1998</v>
      </c>
      <c r="BRH1" s="69" t="s">
        <v>1999</v>
      </c>
      <c r="BRI1" s="69" t="s">
        <v>2000</v>
      </c>
      <c r="BRJ1" s="69" t="s">
        <v>2001</v>
      </c>
      <c r="BRK1" s="69" t="s">
        <v>2002</v>
      </c>
      <c r="BRL1" s="69" t="s">
        <v>2003</v>
      </c>
      <c r="BRM1" s="69" t="s">
        <v>2004</v>
      </c>
      <c r="BRN1" s="69" t="s">
        <v>2005</v>
      </c>
      <c r="BRO1" s="69" t="s">
        <v>2006</v>
      </c>
      <c r="BRP1" s="69" t="s">
        <v>2007</v>
      </c>
      <c r="BRQ1" s="69" t="s">
        <v>2008</v>
      </c>
      <c r="BRR1" s="69" t="s">
        <v>2009</v>
      </c>
      <c r="BRS1" s="69" t="s">
        <v>2010</v>
      </c>
      <c r="BRT1" s="69" t="s">
        <v>2011</v>
      </c>
      <c r="BRU1" s="69" t="s">
        <v>2012</v>
      </c>
      <c r="BRV1" s="69" t="s">
        <v>2013</v>
      </c>
      <c r="BRW1" s="69" t="s">
        <v>2014</v>
      </c>
      <c r="BRX1" s="69" t="s">
        <v>2015</v>
      </c>
      <c r="BRY1" s="69" t="s">
        <v>2016</v>
      </c>
      <c r="BRZ1" s="69" t="s">
        <v>2017</v>
      </c>
      <c r="BSA1" s="69" t="s">
        <v>2018</v>
      </c>
      <c r="BSB1" s="69" t="s">
        <v>2019</v>
      </c>
      <c r="BSC1" s="69" t="s">
        <v>2020</v>
      </c>
      <c r="BSD1" s="69" t="s">
        <v>2021</v>
      </c>
      <c r="BSE1" s="69" t="s">
        <v>2022</v>
      </c>
      <c r="BSF1" s="69" t="s">
        <v>2023</v>
      </c>
      <c r="BSG1" s="69" t="s">
        <v>2024</v>
      </c>
      <c r="BSH1" s="69" t="s">
        <v>2025</v>
      </c>
      <c r="BSI1" s="69" t="s">
        <v>2026</v>
      </c>
      <c r="BSJ1" s="69" t="s">
        <v>2027</v>
      </c>
      <c r="BSK1" s="69" t="s">
        <v>2028</v>
      </c>
      <c r="BSL1" s="69" t="s">
        <v>2029</v>
      </c>
      <c r="BSM1" s="69" t="s">
        <v>2030</v>
      </c>
      <c r="BSN1" s="69" t="s">
        <v>2031</v>
      </c>
      <c r="BSO1" s="69" t="s">
        <v>2032</v>
      </c>
      <c r="BSP1" s="69" t="s">
        <v>2033</v>
      </c>
      <c r="BSQ1" s="69" t="s">
        <v>2034</v>
      </c>
      <c r="BSR1" s="69" t="s">
        <v>2035</v>
      </c>
      <c r="BSS1" s="69" t="s">
        <v>2036</v>
      </c>
      <c r="BST1" s="69" t="s">
        <v>2037</v>
      </c>
      <c r="BSU1" s="69" t="s">
        <v>2038</v>
      </c>
      <c r="BSV1" s="69" t="s">
        <v>2039</v>
      </c>
      <c r="BSW1" s="69" t="s">
        <v>2040</v>
      </c>
      <c r="BSX1" s="69" t="s">
        <v>2041</v>
      </c>
      <c r="BSY1" s="69" t="s">
        <v>2042</v>
      </c>
      <c r="BSZ1" s="69" t="s">
        <v>2043</v>
      </c>
      <c r="BTA1" s="69" t="s">
        <v>2044</v>
      </c>
      <c r="BTB1" s="69" t="s">
        <v>2045</v>
      </c>
      <c r="BTC1" s="69" t="s">
        <v>2046</v>
      </c>
      <c r="BTD1" s="69" t="s">
        <v>2047</v>
      </c>
      <c r="BTE1" s="69" t="s">
        <v>2048</v>
      </c>
      <c r="BTF1" s="69" t="s">
        <v>2049</v>
      </c>
      <c r="BTG1" s="69" t="s">
        <v>2050</v>
      </c>
      <c r="BTH1" s="69" t="s">
        <v>2051</v>
      </c>
      <c r="BTI1" s="69" t="s">
        <v>2052</v>
      </c>
      <c r="BTJ1" s="69" t="s">
        <v>2053</v>
      </c>
      <c r="BTK1" s="69" t="s">
        <v>2054</v>
      </c>
      <c r="BTL1" s="69" t="s">
        <v>2055</v>
      </c>
      <c r="BTM1" s="69" t="s">
        <v>2056</v>
      </c>
      <c r="BTN1" s="69" t="s">
        <v>2057</v>
      </c>
      <c r="BTO1" s="69" t="s">
        <v>2058</v>
      </c>
      <c r="BTP1" s="69" t="s">
        <v>2059</v>
      </c>
      <c r="BTQ1" s="69" t="s">
        <v>2060</v>
      </c>
      <c r="BTR1" s="69" t="s">
        <v>2061</v>
      </c>
      <c r="BTS1" s="69" t="s">
        <v>2062</v>
      </c>
      <c r="BTT1" s="69" t="s">
        <v>2063</v>
      </c>
      <c r="BTU1" s="69" t="s">
        <v>2064</v>
      </c>
      <c r="BTV1" s="69" t="s">
        <v>2065</v>
      </c>
      <c r="BTW1" s="69" t="s">
        <v>2066</v>
      </c>
      <c r="BTX1" s="69" t="s">
        <v>2067</v>
      </c>
      <c r="BTY1" s="69" t="s">
        <v>2068</v>
      </c>
      <c r="BTZ1" s="69" t="s">
        <v>2069</v>
      </c>
      <c r="BUA1" s="69" t="s">
        <v>2070</v>
      </c>
      <c r="BUB1" s="69" t="s">
        <v>2071</v>
      </c>
      <c r="BUC1" s="69" t="s">
        <v>2072</v>
      </c>
      <c r="BUD1" s="69" t="s">
        <v>2073</v>
      </c>
      <c r="BUE1" s="69" t="s">
        <v>2074</v>
      </c>
      <c r="BUF1" s="69" t="s">
        <v>2075</v>
      </c>
      <c r="BUG1" s="69" t="s">
        <v>2076</v>
      </c>
      <c r="BUH1" s="69" t="s">
        <v>2077</v>
      </c>
      <c r="BUI1" s="69" t="s">
        <v>2078</v>
      </c>
      <c r="BUJ1" s="69" t="s">
        <v>2079</v>
      </c>
      <c r="BUK1" s="69" t="s">
        <v>2080</v>
      </c>
      <c r="BUL1" s="69" t="s">
        <v>2081</v>
      </c>
      <c r="BUM1" s="69" t="s">
        <v>2082</v>
      </c>
      <c r="BUN1" s="69" t="s">
        <v>2083</v>
      </c>
      <c r="BUO1" s="69" t="s">
        <v>2084</v>
      </c>
      <c r="BUP1" s="69" t="s">
        <v>2085</v>
      </c>
      <c r="BUQ1" s="69" t="s">
        <v>2086</v>
      </c>
      <c r="BUR1" s="69" t="s">
        <v>2087</v>
      </c>
      <c r="BUS1" s="69" t="s">
        <v>2088</v>
      </c>
      <c r="BUT1" s="69" t="s">
        <v>2089</v>
      </c>
      <c r="BUU1" s="69" t="s">
        <v>2090</v>
      </c>
      <c r="BUV1" s="69" t="s">
        <v>2091</v>
      </c>
      <c r="BUW1" s="69" t="s">
        <v>2092</v>
      </c>
      <c r="BUX1" s="69" t="s">
        <v>2093</v>
      </c>
      <c r="BUY1" s="69" t="s">
        <v>2094</v>
      </c>
      <c r="BUZ1" s="69" t="s">
        <v>2095</v>
      </c>
      <c r="BVA1" s="69" t="s">
        <v>2096</v>
      </c>
      <c r="BVB1" s="69" t="s">
        <v>2097</v>
      </c>
      <c r="BVC1" s="69" t="s">
        <v>2098</v>
      </c>
      <c r="BVD1" s="69" t="s">
        <v>2099</v>
      </c>
      <c r="BVE1" s="69" t="s">
        <v>2100</v>
      </c>
      <c r="BVF1" s="69" t="s">
        <v>2101</v>
      </c>
      <c r="BVG1" s="69" t="s">
        <v>2102</v>
      </c>
      <c r="BVH1" s="69" t="s">
        <v>2103</v>
      </c>
      <c r="BVI1" s="69" t="s">
        <v>2104</v>
      </c>
      <c r="BVJ1" s="69" t="s">
        <v>2105</v>
      </c>
      <c r="BVK1" s="69" t="s">
        <v>2106</v>
      </c>
      <c r="BVL1" s="69" t="s">
        <v>2107</v>
      </c>
      <c r="BVM1" s="69" t="s">
        <v>2108</v>
      </c>
      <c r="BVN1" s="69" t="s">
        <v>2109</v>
      </c>
      <c r="BVO1" s="69" t="s">
        <v>2110</v>
      </c>
      <c r="BVP1" s="69" t="s">
        <v>2111</v>
      </c>
      <c r="BVQ1" s="69" t="s">
        <v>2112</v>
      </c>
      <c r="BVR1" s="69" t="s">
        <v>2113</v>
      </c>
      <c r="BVS1" s="69" t="s">
        <v>2114</v>
      </c>
      <c r="BVT1" s="69" t="s">
        <v>2115</v>
      </c>
      <c r="BVU1" s="69" t="s">
        <v>2116</v>
      </c>
      <c r="BVV1" s="69" t="s">
        <v>2117</v>
      </c>
      <c r="BVW1" s="69" t="s">
        <v>2118</v>
      </c>
      <c r="BVX1" s="69" t="s">
        <v>2119</v>
      </c>
      <c r="BVY1" s="69" t="s">
        <v>2120</v>
      </c>
      <c r="BVZ1" s="69" t="s">
        <v>2121</v>
      </c>
      <c r="BWA1" s="69" t="s">
        <v>2122</v>
      </c>
      <c r="BWB1" s="69" t="s">
        <v>2123</v>
      </c>
      <c r="BWC1" s="69" t="s">
        <v>2124</v>
      </c>
      <c r="BWD1" s="69" t="s">
        <v>2125</v>
      </c>
      <c r="BWE1" s="69" t="s">
        <v>2126</v>
      </c>
      <c r="BWF1" s="69" t="s">
        <v>2127</v>
      </c>
      <c r="BWG1" s="69" t="s">
        <v>2128</v>
      </c>
      <c r="BWH1" s="69" t="s">
        <v>2129</v>
      </c>
      <c r="BWI1" s="69" t="s">
        <v>2130</v>
      </c>
      <c r="BWJ1" s="69" t="s">
        <v>2131</v>
      </c>
      <c r="BWK1" s="69" t="s">
        <v>2132</v>
      </c>
      <c r="BWL1" s="69" t="s">
        <v>2133</v>
      </c>
      <c r="BWM1" s="69" t="s">
        <v>2134</v>
      </c>
      <c r="BWN1" s="69" t="s">
        <v>2135</v>
      </c>
      <c r="BWO1" s="69" t="s">
        <v>2136</v>
      </c>
      <c r="BWP1" s="69" t="s">
        <v>2137</v>
      </c>
      <c r="BWQ1" s="69" t="s">
        <v>2138</v>
      </c>
      <c r="BWR1" s="69" t="s">
        <v>2139</v>
      </c>
      <c r="BWS1" s="69" t="s">
        <v>2140</v>
      </c>
      <c r="BWT1" s="69" t="s">
        <v>2141</v>
      </c>
      <c r="BWU1" s="69" t="s">
        <v>2142</v>
      </c>
      <c r="BWV1" s="69" t="s">
        <v>2143</v>
      </c>
      <c r="BWW1" s="69" t="s">
        <v>2144</v>
      </c>
      <c r="BWX1" s="69" t="s">
        <v>2145</v>
      </c>
      <c r="BWY1" s="69" t="s">
        <v>2146</v>
      </c>
      <c r="BWZ1" s="69" t="s">
        <v>2147</v>
      </c>
      <c r="BXA1" s="69" t="s">
        <v>2148</v>
      </c>
      <c r="BXB1" s="69" t="s">
        <v>2149</v>
      </c>
      <c r="BXC1" s="69" t="s">
        <v>2150</v>
      </c>
      <c r="BXD1" s="69" t="s">
        <v>2151</v>
      </c>
      <c r="BXE1" s="69" t="s">
        <v>2152</v>
      </c>
      <c r="BXF1" s="69" t="s">
        <v>2153</v>
      </c>
      <c r="BXG1" s="69" t="s">
        <v>2154</v>
      </c>
      <c r="BXH1" s="69" t="s">
        <v>2155</v>
      </c>
      <c r="BXI1" s="69" t="s">
        <v>2156</v>
      </c>
      <c r="BXJ1" s="69" t="s">
        <v>2157</v>
      </c>
      <c r="BXK1" s="69" t="s">
        <v>2158</v>
      </c>
      <c r="BXL1" s="69" t="s">
        <v>2159</v>
      </c>
      <c r="BXM1" s="69" t="s">
        <v>2160</v>
      </c>
      <c r="BXN1" s="69" t="s">
        <v>2161</v>
      </c>
      <c r="BXO1" s="69" t="s">
        <v>2162</v>
      </c>
      <c r="BXP1" s="69" t="s">
        <v>2163</v>
      </c>
      <c r="BXQ1" s="69" t="s">
        <v>2164</v>
      </c>
      <c r="BXR1" s="69" t="s">
        <v>2165</v>
      </c>
      <c r="BXS1" s="69" t="s">
        <v>2166</v>
      </c>
      <c r="BXT1" s="69" t="s">
        <v>2167</v>
      </c>
      <c r="BXU1" s="69" t="s">
        <v>2168</v>
      </c>
      <c r="BXV1" s="69" t="s">
        <v>2169</v>
      </c>
      <c r="BXW1" s="69" t="s">
        <v>2170</v>
      </c>
      <c r="BXX1" s="69" t="s">
        <v>2171</v>
      </c>
      <c r="BXY1" s="69" t="s">
        <v>2172</v>
      </c>
      <c r="BXZ1" s="69" t="s">
        <v>2173</v>
      </c>
      <c r="BYA1" s="69" t="s">
        <v>2174</v>
      </c>
      <c r="BYB1" s="69" t="s">
        <v>2175</v>
      </c>
      <c r="BYC1" s="69" t="s">
        <v>2176</v>
      </c>
      <c r="BYD1" s="69" t="s">
        <v>2177</v>
      </c>
      <c r="BYE1" s="69" t="s">
        <v>2178</v>
      </c>
      <c r="BYF1" s="69" t="s">
        <v>2179</v>
      </c>
      <c r="BYG1" s="69" t="s">
        <v>2180</v>
      </c>
      <c r="BYH1" s="69" t="s">
        <v>2181</v>
      </c>
      <c r="BYI1" s="69" t="s">
        <v>2182</v>
      </c>
      <c r="BYJ1" s="69" t="s">
        <v>2183</v>
      </c>
      <c r="BYK1" s="69" t="s">
        <v>2184</v>
      </c>
      <c r="BYL1" s="69" t="s">
        <v>2185</v>
      </c>
      <c r="BYM1" s="69" t="s">
        <v>2186</v>
      </c>
      <c r="BYN1" s="69" t="s">
        <v>2187</v>
      </c>
      <c r="BYO1" s="69" t="s">
        <v>2188</v>
      </c>
      <c r="BYP1" s="69" t="s">
        <v>2189</v>
      </c>
      <c r="BYQ1" s="69" t="s">
        <v>2190</v>
      </c>
      <c r="BYR1" s="69" t="s">
        <v>2191</v>
      </c>
      <c r="BYS1" s="69" t="s">
        <v>2192</v>
      </c>
      <c r="BYT1" s="69" t="s">
        <v>2193</v>
      </c>
      <c r="BYU1" s="69" t="s">
        <v>2194</v>
      </c>
      <c r="BYV1" s="69" t="s">
        <v>2195</v>
      </c>
      <c r="BYW1" s="69" t="s">
        <v>2196</v>
      </c>
      <c r="BYX1" s="69" t="s">
        <v>2197</v>
      </c>
      <c r="BYY1" s="69" t="s">
        <v>2198</v>
      </c>
      <c r="BYZ1" s="69" t="s">
        <v>2199</v>
      </c>
      <c r="BZA1" s="69" t="s">
        <v>2200</v>
      </c>
      <c r="BZB1" s="69" t="s">
        <v>2201</v>
      </c>
      <c r="BZC1" s="69" t="s">
        <v>2202</v>
      </c>
      <c r="BZD1" s="69" t="s">
        <v>2203</v>
      </c>
      <c r="BZE1" s="69" t="s">
        <v>2204</v>
      </c>
      <c r="BZF1" s="69" t="s">
        <v>2205</v>
      </c>
      <c r="BZG1" s="69" t="s">
        <v>2206</v>
      </c>
      <c r="BZH1" s="69" t="s">
        <v>2207</v>
      </c>
      <c r="BZI1" s="69" t="s">
        <v>2208</v>
      </c>
      <c r="BZJ1" s="69" t="s">
        <v>2209</v>
      </c>
      <c r="BZK1" s="69" t="s">
        <v>2210</v>
      </c>
      <c r="BZL1" s="69" t="s">
        <v>2211</v>
      </c>
      <c r="BZM1" s="69" t="s">
        <v>2212</v>
      </c>
      <c r="BZN1" s="69" t="s">
        <v>2213</v>
      </c>
      <c r="BZO1" s="69" t="s">
        <v>2214</v>
      </c>
      <c r="BZP1" s="69" t="s">
        <v>2215</v>
      </c>
      <c r="BZQ1" s="69" t="s">
        <v>2216</v>
      </c>
      <c r="BZR1" s="69" t="s">
        <v>2217</v>
      </c>
      <c r="BZS1" s="69" t="s">
        <v>2218</v>
      </c>
      <c r="BZT1" s="69" t="s">
        <v>2219</v>
      </c>
      <c r="BZU1" s="69" t="s">
        <v>2220</v>
      </c>
      <c r="BZV1" s="69" t="s">
        <v>2221</v>
      </c>
      <c r="BZW1" s="69" t="s">
        <v>2222</v>
      </c>
      <c r="BZX1" s="69" t="s">
        <v>2223</v>
      </c>
      <c r="BZY1" s="69" t="s">
        <v>2224</v>
      </c>
      <c r="BZZ1" s="69" t="s">
        <v>2225</v>
      </c>
      <c r="CAA1" s="69" t="s">
        <v>2226</v>
      </c>
      <c r="CAB1" s="69" t="s">
        <v>2227</v>
      </c>
      <c r="CAC1" s="69" t="s">
        <v>2228</v>
      </c>
      <c r="CAD1" s="69" t="s">
        <v>2229</v>
      </c>
      <c r="CAE1" s="69" t="s">
        <v>2230</v>
      </c>
      <c r="CAF1" s="69" t="s">
        <v>2231</v>
      </c>
      <c r="CAG1" s="69" t="s">
        <v>2232</v>
      </c>
      <c r="CAH1" s="69" t="s">
        <v>2233</v>
      </c>
      <c r="CAI1" s="69" t="s">
        <v>2234</v>
      </c>
      <c r="CAJ1" s="69" t="s">
        <v>2235</v>
      </c>
      <c r="CAK1" s="69" t="s">
        <v>2236</v>
      </c>
      <c r="CAL1" s="69" t="s">
        <v>2237</v>
      </c>
      <c r="CAM1" s="69" t="s">
        <v>2238</v>
      </c>
      <c r="CAN1" s="69" t="s">
        <v>2239</v>
      </c>
      <c r="CAO1" s="69" t="s">
        <v>2240</v>
      </c>
      <c r="CAP1" s="69" t="s">
        <v>2241</v>
      </c>
      <c r="CAQ1" s="69" t="s">
        <v>2242</v>
      </c>
      <c r="CAR1" s="69" t="s">
        <v>2243</v>
      </c>
      <c r="CAS1" s="69" t="s">
        <v>2244</v>
      </c>
      <c r="CAT1" s="69" t="s">
        <v>2245</v>
      </c>
      <c r="CAU1" s="69" t="s">
        <v>2246</v>
      </c>
      <c r="CAV1" s="69" t="s">
        <v>2247</v>
      </c>
      <c r="CAW1" s="69" t="s">
        <v>2248</v>
      </c>
      <c r="CAX1" s="69" t="s">
        <v>2249</v>
      </c>
      <c r="CAY1" s="69" t="s">
        <v>2250</v>
      </c>
      <c r="CAZ1" s="69" t="s">
        <v>2251</v>
      </c>
      <c r="CBA1" s="69" t="s">
        <v>2252</v>
      </c>
      <c r="CBB1" s="69" t="s">
        <v>2253</v>
      </c>
      <c r="CBC1" s="69" t="s">
        <v>2254</v>
      </c>
      <c r="CBD1" s="69" t="s">
        <v>2255</v>
      </c>
      <c r="CBE1" s="69" t="s">
        <v>2256</v>
      </c>
      <c r="CBF1" s="69" t="s">
        <v>2257</v>
      </c>
      <c r="CBG1" s="69" t="s">
        <v>2258</v>
      </c>
      <c r="CBH1" s="69" t="s">
        <v>2259</v>
      </c>
      <c r="CBI1" s="69" t="s">
        <v>2260</v>
      </c>
      <c r="CBJ1" s="69" t="s">
        <v>2261</v>
      </c>
      <c r="CBK1" s="69" t="s">
        <v>2262</v>
      </c>
      <c r="CBL1" s="69" t="s">
        <v>2263</v>
      </c>
      <c r="CBM1" s="69" t="s">
        <v>2264</v>
      </c>
      <c r="CBN1" s="69" t="s">
        <v>2265</v>
      </c>
      <c r="CBO1" s="69" t="s">
        <v>2266</v>
      </c>
      <c r="CBP1" s="69" t="s">
        <v>2267</v>
      </c>
      <c r="CBQ1" s="69" t="s">
        <v>2268</v>
      </c>
      <c r="CBR1" s="69" t="s">
        <v>2269</v>
      </c>
      <c r="CBS1" s="69" t="s">
        <v>2270</v>
      </c>
      <c r="CBT1" s="69" t="s">
        <v>2271</v>
      </c>
      <c r="CBU1" s="69" t="s">
        <v>2272</v>
      </c>
      <c r="CBV1" s="69" t="s">
        <v>2273</v>
      </c>
      <c r="CBW1" s="69" t="s">
        <v>2274</v>
      </c>
      <c r="CBX1" s="69" t="s">
        <v>2275</v>
      </c>
      <c r="CBY1" s="69" t="s">
        <v>2276</v>
      </c>
      <c r="CBZ1" s="69" t="s">
        <v>2277</v>
      </c>
      <c r="CCA1" s="69" t="s">
        <v>2278</v>
      </c>
      <c r="CCB1" s="69" t="s">
        <v>2279</v>
      </c>
      <c r="CCC1" s="69" t="s">
        <v>2280</v>
      </c>
      <c r="CCD1" s="69" t="s">
        <v>2281</v>
      </c>
      <c r="CCE1" s="69" t="s">
        <v>2282</v>
      </c>
      <c r="CCF1" s="69" t="s">
        <v>2283</v>
      </c>
      <c r="CCG1" s="69" t="s">
        <v>2284</v>
      </c>
      <c r="CCH1" s="69" t="s">
        <v>2285</v>
      </c>
      <c r="CCI1" s="69" t="s">
        <v>2286</v>
      </c>
      <c r="CCJ1" s="69" t="s">
        <v>2287</v>
      </c>
      <c r="CCK1" s="69" t="s">
        <v>2288</v>
      </c>
      <c r="CCL1" s="69" t="s">
        <v>2289</v>
      </c>
      <c r="CCM1" s="69" t="s">
        <v>2290</v>
      </c>
      <c r="CCN1" s="69" t="s">
        <v>2291</v>
      </c>
      <c r="CCO1" s="69" t="s">
        <v>2292</v>
      </c>
      <c r="CCP1" s="69" t="s">
        <v>2293</v>
      </c>
      <c r="CCQ1" s="69" t="s">
        <v>2294</v>
      </c>
      <c r="CCR1" s="69" t="s">
        <v>2295</v>
      </c>
      <c r="CCS1" s="69" t="s">
        <v>2296</v>
      </c>
      <c r="CCT1" s="69" t="s">
        <v>2297</v>
      </c>
      <c r="CCU1" s="69" t="s">
        <v>2298</v>
      </c>
      <c r="CCV1" s="69" t="s">
        <v>2299</v>
      </c>
      <c r="CCW1" s="69" t="s">
        <v>2300</v>
      </c>
      <c r="CCX1" s="69" t="s">
        <v>2301</v>
      </c>
      <c r="CCY1" s="69" t="s">
        <v>2302</v>
      </c>
      <c r="CCZ1" s="69" t="s">
        <v>2303</v>
      </c>
      <c r="CDA1" s="69" t="s">
        <v>2304</v>
      </c>
      <c r="CDB1" s="69" t="s">
        <v>2305</v>
      </c>
      <c r="CDC1" s="69" t="s">
        <v>2306</v>
      </c>
      <c r="CDD1" s="69" t="s">
        <v>2307</v>
      </c>
      <c r="CDE1" s="69" t="s">
        <v>2308</v>
      </c>
      <c r="CDF1" s="69" t="s">
        <v>2309</v>
      </c>
      <c r="CDG1" s="69" t="s">
        <v>2310</v>
      </c>
      <c r="CDH1" s="69" t="s">
        <v>2311</v>
      </c>
      <c r="CDI1" s="69" t="s">
        <v>2312</v>
      </c>
      <c r="CDJ1" s="69" t="s">
        <v>2313</v>
      </c>
      <c r="CDK1" s="69" t="s">
        <v>2314</v>
      </c>
      <c r="CDL1" s="69" t="s">
        <v>2315</v>
      </c>
      <c r="CDM1" s="69" t="s">
        <v>2316</v>
      </c>
      <c r="CDN1" s="69" t="s">
        <v>2317</v>
      </c>
      <c r="CDO1" s="69" t="s">
        <v>2318</v>
      </c>
      <c r="CDP1" s="69" t="s">
        <v>2319</v>
      </c>
      <c r="CDQ1" s="69" t="s">
        <v>2320</v>
      </c>
      <c r="CDR1" s="69" t="s">
        <v>2321</v>
      </c>
      <c r="CDS1" s="69" t="s">
        <v>2322</v>
      </c>
      <c r="CDT1" s="69" t="s">
        <v>2323</v>
      </c>
      <c r="CDU1" s="69" t="s">
        <v>2324</v>
      </c>
      <c r="CDV1" s="69" t="s">
        <v>2325</v>
      </c>
      <c r="CDW1" s="69" t="s">
        <v>2326</v>
      </c>
      <c r="CDX1" s="69" t="s">
        <v>2327</v>
      </c>
      <c r="CDY1" s="69" t="s">
        <v>2328</v>
      </c>
      <c r="CDZ1" s="69" t="s">
        <v>2329</v>
      </c>
      <c r="CEA1" s="69" t="s">
        <v>2330</v>
      </c>
      <c r="CEB1" s="69" t="s">
        <v>2331</v>
      </c>
      <c r="CEC1" s="69" t="s">
        <v>2332</v>
      </c>
      <c r="CED1" s="69" t="s">
        <v>2333</v>
      </c>
      <c r="CEE1" s="69" t="s">
        <v>2334</v>
      </c>
      <c r="CEF1" s="69" t="s">
        <v>2335</v>
      </c>
      <c r="CEG1" s="69" t="s">
        <v>2336</v>
      </c>
      <c r="CEH1" s="69" t="s">
        <v>2337</v>
      </c>
      <c r="CEI1" s="69" t="s">
        <v>2338</v>
      </c>
      <c r="CEJ1" s="69" t="s">
        <v>2339</v>
      </c>
      <c r="CEK1" s="69" t="s">
        <v>2340</v>
      </c>
      <c r="CEL1" s="69" t="s">
        <v>2341</v>
      </c>
      <c r="CEM1" s="69" t="s">
        <v>2342</v>
      </c>
      <c r="CEN1" s="69" t="s">
        <v>2343</v>
      </c>
      <c r="CEO1" s="69" t="s">
        <v>2344</v>
      </c>
      <c r="CEP1" s="69" t="s">
        <v>2345</v>
      </c>
      <c r="CEQ1" s="69" t="s">
        <v>2346</v>
      </c>
      <c r="CER1" s="69" t="s">
        <v>2347</v>
      </c>
      <c r="CES1" s="69" t="s">
        <v>2348</v>
      </c>
      <c r="CET1" s="69" t="s">
        <v>2349</v>
      </c>
      <c r="CEU1" s="69" t="s">
        <v>2350</v>
      </c>
      <c r="CEV1" s="69" t="s">
        <v>2351</v>
      </c>
      <c r="CEW1" s="69" t="s">
        <v>2352</v>
      </c>
      <c r="CEX1" s="69" t="s">
        <v>2353</v>
      </c>
      <c r="CEY1" s="69" t="s">
        <v>2354</v>
      </c>
      <c r="CEZ1" s="69" t="s">
        <v>2355</v>
      </c>
      <c r="CFA1" s="69" t="s">
        <v>2356</v>
      </c>
      <c r="CFB1" s="69" t="s">
        <v>2357</v>
      </c>
      <c r="CFC1" s="69" t="s">
        <v>2358</v>
      </c>
      <c r="CFD1" s="69" t="s">
        <v>2359</v>
      </c>
      <c r="CFE1" s="69" t="s">
        <v>2360</v>
      </c>
      <c r="CFF1" s="69" t="s">
        <v>2361</v>
      </c>
      <c r="CFG1" s="69" t="s">
        <v>2362</v>
      </c>
      <c r="CFH1" s="69" t="s">
        <v>2363</v>
      </c>
      <c r="CFI1" s="69" t="s">
        <v>2364</v>
      </c>
      <c r="CFJ1" s="69" t="s">
        <v>2365</v>
      </c>
      <c r="CFK1" s="69" t="s">
        <v>2366</v>
      </c>
      <c r="CFL1" s="69" t="s">
        <v>2367</v>
      </c>
      <c r="CFM1" s="69" t="s">
        <v>2368</v>
      </c>
      <c r="CFN1" s="69" t="s">
        <v>2369</v>
      </c>
      <c r="CFO1" s="69" t="s">
        <v>2370</v>
      </c>
      <c r="CFP1" s="69" t="s">
        <v>2371</v>
      </c>
      <c r="CFQ1" s="69" t="s">
        <v>2372</v>
      </c>
      <c r="CFR1" s="69" t="s">
        <v>2373</v>
      </c>
      <c r="CFS1" s="69" t="s">
        <v>2374</v>
      </c>
      <c r="CFT1" s="69" t="s">
        <v>2375</v>
      </c>
      <c r="CFU1" s="69" t="s">
        <v>2376</v>
      </c>
      <c r="CFV1" s="69" t="s">
        <v>2377</v>
      </c>
      <c r="CFW1" s="69" t="s">
        <v>2378</v>
      </c>
      <c r="CFX1" s="69" t="s">
        <v>2379</v>
      </c>
      <c r="CFY1" s="69" t="s">
        <v>2380</v>
      </c>
      <c r="CFZ1" s="69" t="s">
        <v>2381</v>
      </c>
      <c r="CGA1" s="69" t="s">
        <v>2382</v>
      </c>
      <c r="CGB1" s="69" t="s">
        <v>2383</v>
      </c>
      <c r="CGC1" s="69" t="s">
        <v>2384</v>
      </c>
      <c r="CGD1" s="69" t="s">
        <v>2385</v>
      </c>
      <c r="CGE1" s="69" t="s">
        <v>2386</v>
      </c>
      <c r="CGF1" s="69" t="s">
        <v>2387</v>
      </c>
      <c r="CGG1" s="69" t="s">
        <v>2388</v>
      </c>
      <c r="CGH1" s="69" t="s">
        <v>2389</v>
      </c>
      <c r="CGI1" s="69" t="s">
        <v>2390</v>
      </c>
      <c r="CGJ1" s="69" t="s">
        <v>2391</v>
      </c>
      <c r="CGK1" s="69" t="s">
        <v>2392</v>
      </c>
      <c r="CGL1" s="69" t="s">
        <v>2393</v>
      </c>
      <c r="CGM1" s="69" t="s">
        <v>2394</v>
      </c>
      <c r="CGN1" s="69" t="s">
        <v>2395</v>
      </c>
      <c r="CGO1" s="69" t="s">
        <v>2396</v>
      </c>
      <c r="CGP1" s="69" t="s">
        <v>2397</v>
      </c>
      <c r="CGQ1" s="69" t="s">
        <v>2398</v>
      </c>
      <c r="CGR1" s="69" t="s">
        <v>2399</v>
      </c>
      <c r="CGS1" s="69" t="s">
        <v>2400</v>
      </c>
      <c r="CGT1" s="69" t="s">
        <v>2401</v>
      </c>
      <c r="CGU1" s="69" t="s">
        <v>2402</v>
      </c>
      <c r="CGV1" s="69" t="s">
        <v>2403</v>
      </c>
      <c r="CGW1" s="69" t="s">
        <v>2404</v>
      </c>
      <c r="CGX1" s="69" t="s">
        <v>2405</v>
      </c>
      <c r="CGY1" s="69" t="s">
        <v>2406</v>
      </c>
      <c r="CGZ1" s="69" t="s">
        <v>2407</v>
      </c>
      <c r="CHA1" s="69" t="s">
        <v>2408</v>
      </c>
      <c r="CHB1" s="69" t="s">
        <v>2409</v>
      </c>
      <c r="CHC1" s="69" t="s">
        <v>2410</v>
      </c>
      <c r="CHD1" s="69" t="s">
        <v>2411</v>
      </c>
      <c r="CHE1" s="69" t="s">
        <v>2412</v>
      </c>
      <c r="CHF1" s="69" t="s">
        <v>2413</v>
      </c>
      <c r="CHG1" s="69" t="s">
        <v>2414</v>
      </c>
      <c r="CHH1" s="69" t="s">
        <v>2415</v>
      </c>
      <c r="CHI1" s="69" t="s">
        <v>2416</v>
      </c>
      <c r="CHJ1" s="69" t="s">
        <v>2417</v>
      </c>
      <c r="CHK1" s="69" t="s">
        <v>2418</v>
      </c>
      <c r="CHL1" s="69" t="s">
        <v>2419</v>
      </c>
      <c r="CHM1" s="69" t="s">
        <v>2420</v>
      </c>
      <c r="CHN1" s="69" t="s">
        <v>2421</v>
      </c>
      <c r="CHO1" s="69" t="s">
        <v>2422</v>
      </c>
      <c r="CHP1" s="69" t="s">
        <v>2423</v>
      </c>
      <c r="CHQ1" s="69" t="s">
        <v>2424</v>
      </c>
      <c r="CHR1" s="69" t="s">
        <v>2425</v>
      </c>
      <c r="CHS1" s="69" t="s">
        <v>2426</v>
      </c>
      <c r="CHT1" s="69" t="s">
        <v>2427</v>
      </c>
      <c r="CHU1" s="69" t="s">
        <v>2428</v>
      </c>
      <c r="CHV1" s="69" t="s">
        <v>2429</v>
      </c>
      <c r="CHW1" s="69" t="s">
        <v>2430</v>
      </c>
      <c r="CHX1" s="69" t="s">
        <v>2431</v>
      </c>
      <c r="CHY1" s="69" t="s">
        <v>2432</v>
      </c>
      <c r="CHZ1" s="69" t="s">
        <v>2433</v>
      </c>
      <c r="CIA1" s="69" t="s">
        <v>2434</v>
      </c>
      <c r="CIB1" s="69" t="s">
        <v>2435</v>
      </c>
      <c r="CIC1" s="69" t="s">
        <v>2436</v>
      </c>
      <c r="CID1" s="69" t="s">
        <v>2437</v>
      </c>
      <c r="CIE1" s="69" t="s">
        <v>2438</v>
      </c>
      <c r="CIF1" s="69" t="s">
        <v>2439</v>
      </c>
      <c r="CIG1" s="69" t="s">
        <v>2440</v>
      </c>
      <c r="CIH1" s="69" t="s">
        <v>2441</v>
      </c>
      <c r="CII1" s="69" t="s">
        <v>2442</v>
      </c>
      <c r="CIJ1" s="69" t="s">
        <v>2443</v>
      </c>
      <c r="CIK1" s="69" t="s">
        <v>2444</v>
      </c>
      <c r="CIL1" s="69" t="s">
        <v>2445</v>
      </c>
      <c r="CIM1" s="69" t="s">
        <v>2446</v>
      </c>
      <c r="CIN1" s="69" t="s">
        <v>2447</v>
      </c>
      <c r="CIO1" s="69" t="s">
        <v>2448</v>
      </c>
      <c r="CIP1" s="69" t="s">
        <v>2449</v>
      </c>
      <c r="CIQ1" s="69" t="s">
        <v>2450</v>
      </c>
      <c r="CIR1" s="69" t="s">
        <v>2451</v>
      </c>
      <c r="CIS1" s="69" t="s">
        <v>2452</v>
      </c>
      <c r="CIT1" s="69" t="s">
        <v>2453</v>
      </c>
      <c r="CIU1" s="69" t="s">
        <v>2454</v>
      </c>
      <c r="CIV1" s="69" t="s">
        <v>2455</v>
      </c>
      <c r="CIW1" s="69" t="s">
        <v>2456</v>
      </c>
      <c r="CIX1" s="69" t="s">
        <v>2457</v>
      </c>
      <c r="CIY1" s="69" t="s">
        <v>2458</v>
      </c>
      <c r="CIZ1" s="69" t="s">
        <v>2459</v>
      </c>
      <c r="CJA1" s="69" t="s">
        <v>2460</v>
      </c>
      <c r="CJB1" s="69" t="s">
        <v>2461</v>
      </c>
      <c r="CJC1" s="69" t="s">
        <v>2462</v>
      </c>
      <c r="CJD1" s="69" t="s">
        <v>2463</v>
      </c>
      <c r="CJE1" s="69" t="s">
        <v>2464</v>
      </c>
      <c r="CJF1" s="69" t="s">
        <v>2465</v>
      </c>
      <c r="CJG1" s="69" t="s">
        <v>2466</v>
      </c>
      <c r="CJH1" s="69" t="s">
        <v>2467</v>
      </c>
      <c r="CJI1" s="69" t="s">
        <v>2468</v>
      </c>
      <c r="CJJ1" s="69" t="s">
        <v>2469</v>
      </c>
      <c r="CJK1" s="69" t="s">
        <v>2470</v>
      </c>
      <c r="CJL1" s="69" t="s">
        <v>2471</v>
      </c>
      <c r="CJM1" s="69" t="s">
        <v>2472</v>
      </c>
      <c r="CJN1" s="69" t="s">
        <v>2473</v>
      </c>
      <c r="CJO1" s="69" t="s">
        <v>2474</v>
      </c>
      <c r="CJP1" s="69" t="s">
        <v>2475</v>
      </c>
      <c r="CJQ1" s="69" t="s">
        <v>2476</v>
      </c>
      <c r="CJR1" s="69" t="s">
        <v>2477</v>
      </c>
      <c r="CJS1" s="69" t="s">
        <v>2478</v>
      </c>
      <c r="CJT1" s="69" t="s">
        <v>2479</v>
      </c>
      <c r="CJU1" s="69" t="s">
        <v>2480</v>
      </c>
      <c r="CJV1" s="69" t="s">
        <v>2481</v>
      </c>
      <c r="CJW1" s="69" t="s">
        <v>2482</v>
      </c>
      <c r="CJX1" s="69" t="s">
        <v>2483</v>
      </c>
      <c r="CJY1" s="69" t="s">
        <v>2484</v>
      </c>
      <c r="CJZ1" s="69" t="s">
        <v>2485</v>
      </c>
      <c r="CKA1" s="69" t="s">
        <v>2486</v>
      </c>
      <c r="CKB1" s="69" t="s">
        <v>2487</v>
      </c>
      <c r="CKC1" s="69" t="s">
        <v>2488</v>
      </c>
      <c r="CKD1" s="69" t="s">
        <v>2489</v>
      </c>
      <c r="CKE1" s="69" t="s">
        <v>2490</v>
      </c>
      <c r="CKF1" s="69" t="s">
        <v>2491</v>
      </c>
      <c r="CKG1" s="69" t="s">
        <v>2492</v>
      </c>
      <c r="CKH1" s="69" t="s">
        <v>2493</v>
      </c>
      <c r="CKI1" s="69" t="s">
        <v>2494</v>
      </c>
      <c r="CKJ1" s="69" t="s">
        <v>2495</v>
      </c>
      <c r="CKK1" s="69" t="s">
        <v>2496</v>
      </c>
      <c r="CKL1" s="69" t="s">
        <v>2497</v>
      </c>
      <c r="CKM1" s="69" t="s">
        <v>2498</v>
      </c>
      <c r="CKN1" s="69" t="s">
        <v>2499</v>
      </c>
      <c r="CKO1" s="69" t="s">
        <v>2500</v>
      </c>
      <c r="CKP1" s="69" t="s">
        <v>2501</v>
      </c>
      <c r="CKQ1" s="69" t="s">
        <v>2502</v>
      </c>
      <c r="CKR1" s="69" t="s">
        <v>2503</v>
      </c>
      <c r="CKS1" s="69" t="s">
        <v>2504</v>
      </c>
      <c r="CKT1" s="69" t="s">
        <v>2505</v>
      </c>
      <c r="CKU1" s="69" t="s">
        <v>2506</v>
      </c>
      <c r="CKV1" s="69" t="s">
        <v>2507</v>
      </c>
      <c r="CKW1" s="69" t="s">
        <v>2508</v>
      </c>
      <c r="CKX1" s="69" t="s">
        <v>2509</v>
      </c>
      <c r="CKY1" s="69" t="s">
        <v>2510</v>
      </c>
      <c r="CKZ1" s="69" t="s">
        <v>2511</v>
      </c>
      <c r="CLA1" s="69" t="s">
        <v>2512</v>
      </c>
      <c r="CLB1" s="69" t="s">
        <v>2513</v>
      </c>
      <c r="CLC1" s="69" t="s">
        <v>2514</v>
      </c>
      <c r="CLD1" s="69" t="s">
        <v>2515</v>
      </c>
      <c r="CLE1" s="69" t="s">
        <v>2516</v>
      </c>
      <c r="CLF1" s="69" t="s">
        <v>2517</v>
      </c>
      <c r="CLG1" s="69" t="s">
        <v>2518</v>
      </c>
      <c r="CLH1" s="69" t="s">
        <v>2519</v>
      </c>
      <c r="CLI1" s="69" t="s">
        <v>2520</v>
      </c>
      <c r="CLJ1" s="69" t="s">
        <v>2521</v>
      </c>
      <c r="CLK1" s="69" t="s">
        <v>2522</v>
      </c>
      <c r="CLL1" s="69" t="s">
        <v>2523</v>
      </c>
      <c r="CLM1" s="69" t="s">
        <v>2524</v>
      </c>
      <c r="CLN1" s="69" t="s">
        <v>2525</v>
      </c>
      <c r="CLO1" s="69" t="s">
        <v>2526</v>
      </c>
      <c r="CLP1" s="69" t="s">
        <v>2527</v>
      </c>
      <c r="CLQ1" s="69" t="s">
        <v>2528</v>
      </c>
      <c r="CLR1" s="69" t="s">
        <v>2529</v>
      </c>
      <c r="CLS1" s="69" t="s">
        <v>2530</v>
      </c>
      <c r="CLT1" s="69" t="s">
        <v>2531</v>
      </c>
      <c r="CLU1" s="69" t="s">
        <v>2532</v>
      </c>
      <c r="CLV1" s="69" t="s">
        <v>2533</v>
      </c>
      <c r="CLW1" s="69" t="s">
        <v>2534</v>
      </c>
      <c r="CLX1" s="69" t="s">
        <v>2535</v>
      </c>
      <c r="CLY1" s="69" t="s">
        <v>2536</v>
      </c>
      <c r="CLZ1" s="69" t="s">
        <v>2537</v>
      </c>
      <c r="CMA1" s="69" t="s">
        <v>2538</v>
      </c>
      <c r="CMB1" s="69" t="s">
        <v>2539</v>
      </c>
      <c r="CMC1" s="69" t="s">
        <v>2540</v>
      </c>
      <c r="CMD1" s="69" t="s">
        <v>2541</v>
      </c>
      <c r="CME1" s="69" t="s">
        <v>2542</v>
      </c>
      <c r="CMF1" s="69" t="s">
        <v>2543</v>
      </c>
      <c r="CMG1" s="69" t="s">
        <v>2544</v>
      </c>
      <c r="CMH1" s="69" t="s">
        <v>2545</v>
      </c>
      <c r="CMI1" s="69" t="s">
        <v>2546</v>
      </c>
      <c r="CMJ1" s="69" t="s">
        <v>2547</v>
      </c>
      <c r="CMK1" s="69" t="s">
        <v>2548</v>
      </c>
      <c r="CML1" s="69" t="s">
        <v>2549</v>
      </c>
      <c r="CMM1" s="69" t="s">
        <v>2550</v>
      </c>
      <c r="CMN1" s="69" t="s">
        <v>2551</v>
      </c>
      <c r="CMO1" s="69" t="s">
        <v>2552</v>
      </c>
      <c r="CMP1" s="69" t="s">
        <v>2553</v>
      </c>
      <c r="CMQ1" s="69" t="s">
        <v>2554</v>
      </c>
      <c r="CMR1" s="69" t="s">
        <v>2555</v>
      </c>
      <c r="CMS1" s="69" t="s">
        <v>2556</v>
      </c>
      <c r="CMT1" s="69" t="s">
        <v>2557</v>
      </c>
      <c r="CMU1" s="69" t="s">
        <v>2558</v>
      </c>
      <c r="CMV1" s="69" t="s">
        <v>2559</v>
      </c>
      <c r="CMW1" s="69" t="s">
        <v>2560</v>
      </c>
      <c r="CMX1" s="69" t="s">
        <v>2561</v>
      </c>
      <c r="CMY1" s="69" t="s">
        <v>2562</v>
      </c>
      <c r="CMZ1" s="69" t="s">
        <v>2563</v>
      </c>
      <c r="CNA1" s="69" t="s">
        <v>2564</v>
      </c>
      <c r="CNB1" s="69" t="s">
        <v>2565</v>
      </c>
      <c r="CNC1" s="69" t="s">
        <v>2566</v>
      </c>
      <c r="CND1" s="69" t="s">
        <v>2567</v>
      </c>
      <c r="CNE1" s="69" t="s">
        <v>2568</v>
      </c>
      <c r="CNF1" s="69" t="s">
        <v>2569</v>
      </c>
      <c r="CNG1" s="69" t="s">
        <v>2570</v>
      </c>
      <c r="CNH1" s="69" t="s">
        <v>2571</v>
      </c>
      <c r="CNI1" s="69" t="s">
        <v>2572</v>
      </c>
      <c r="CNJ1" s="69" t="s">
        <v>2573</v>
      </c>
      <c r="CNK1" s="69" t="s">
        <v>2574</v>
      </c>
      <c r="CNL1" s="69" t="s">
        <v>2575</v>
      </c>
      <c r="CNM1" s="69" t="s">
        <v>2576</v>
      </c>
      <c r="CNN1" s="69" t="s">
        <v>2577</v>
      </c>
      <c r="CNO1" s="69" t="s">
        <v>2578</v>
      </c>
      <c r="CNP1" s="69" t="s">
        <v>2579</v>
      </c>
      <c r="CNQ1" s="69" t="s">
        <v>2580</v>
      </c>
      <c r="CNR1" s="69" t="s">
        <v>2581</v>
      </c>
      <c r="CNS1" s="69" t="s">
        <v>2582</v>
      </c>
      <c r="CNT1" s="69" t="s">
        <v>2583</v>
      </c>
      <c r="CNU1" s="69" t="s">
        <v>2584</v>
      </c>
      <c r="CNV1" s="69" t="s">
        <v>2585</v>
      </c>
      <c r="CNW1" s="69" t="s">
        <v>2586</v>
      </c>
      <c r="CNX1" s="69" t="s">
        <v>2587</v>
      </c>
      <c r="CNY1" s="69" t="s">
        <v>2588</v>
      </c>
      <c r="CNZ1" s="69" t="s">
        <v>2589</v>
      </c>
      <c r="COA1" s="69" t="s">
        <v>2590</v>
      </c>
      <c r="COB1" s="69" t="s">
        <v>2591</v>
      </c>
      <c r="COC1" s="69" t="s">
        <v>2592</v>
      </c>
      <c r="COD1" s="69" t="s">
        <v>2593</v>
      </c>
      <c r="COE1" s="69" t="s">
        <v>2594</v>
      </c>
      <c r="COF1" s="69" t="s">
        <v>2595</v>
      </c>
      <c r="COG1" s="69" t="s">
        <v>2596</v>
      </c>
      <c r="COH1" s="69" t="s">
        <v>2597</v>
      </c>
      <c r="COI1" s="69" t="s">
        <v>2598</v>
      </c>
      <c r="COJ1" s="69" t="s">
        <v>2599</v>
      </c>
      <c r="COK1" s="69" t="s">
        <v>2600</v>
      </c>
      <c r="COL1" s="69" t="s">
        <v>2601</v>
      </c>
      <c r="COM1" s="69" t="s">
        <v>2602</v>
      </c>
      <c r="CON1" s="69" t="s">
        <v>2603</v>
      </c>
      <c r="COO1" s="69" t="s">
        <v>2604</v>
      </c>
      <c r="COP1" s="69" t="s">
        <v>2605</v>
      </c>
      <c r="COQ1" s="69" t="s">
        <v>2606</v>
      </c>
      <c r="COR1" s="69" t="s">
        <v>2607</v>
      </c>
      <c r="COS1" s="69" t="s">
        <v>2608</v>
      </c>
      <c r="COT1" s="69" t="s">
        <v>2609</v>
      </c>
      <c r="COU1" s="69" t="s">
        <v>2610</v>
      </c>
      <c r="COV1" s="69" t="s">
        <v>2611</v>
      </c>
      <c r="COW1" s="69" t="s">
        <v>2612</v>
      </c>
      <c r="COX1" s="69" t="s">
        <v>2613</v>
      </c>
      <c r="COY1" s="69" t="s">
        <v>2614</v>
      </c>
      <c r="COZ1" s="69" t="s">
        <v>2615</v>
      </c>
      <c r="CPA1" s="69" t="s">
        <v>2616</v>
      </c>
      <c r="CPB1" s="69" t="s">
        <v>2617</v>
      </c>
      <c r="CPC1" s="69" t="s">
        <v>2618</v>
      </c>
      <c r="CPD1" s="69" t="s">
        <v>2619</v>
      </c>
      <c r="CPE1" s="69" t="s">
        <v>2620</v>
      </c>
      <c r="CPF1" s="69" t="s">
        <v>2621</v>
      </c>
      <c r="CPG1" s="69" t="s">
        <v>2622</v>
      </c>
      <c r="CPH1" s="69" t="s">
        <v>2623</v>
      </c>
      <c r="CPI1" s="69" t="s">
        <v>2624</v>
      </c>
      <c r="CPJ1" s="69" t="s">
        <v>2625</v>
      </c>
      <c r="CPK1" s="69" t="s">
        <v>2626</v>
      </c>
      <c r="CPL1" s="69" t="s">
        <v>2627</v>
      </c>
      <c r="CPM1" s="69" t="s">
        <v>2628</v>
      </c>
      <c r="CPN1" s="69" t="s">
        <v>2629</v>
      </c>
      <c r="CPO1" s="69" t="s">
        <v>2630</v>
      </c>
      <c r="CPP1" s="69" t="s">
        <v>2631</v>
      </c>
      <c r="CPQ1" s="69" t="s">
        <v>2632</v>
      </c>
      <c r="CPR1" s="69" t="s">
        <v>2633</v>
      </c>
      <c r="CPS1" s="69" t="s">
        <v>2634</v>
      </c>
      <c r="CPT1" s="69" t="s">
        <v>2635</v>
      </c>
      <c r="CPU1" s="69" t="s">
        <v>2636</v>
      </c>
      <c r="CPV1" s="69" t="s">
        <v>2637</v>
      </c>
      <c r="CPW1" s="69" t="s">
        <v>2638</v>
      </c>
      <c r="CPX1" s="69" t="s">
        <v>2639</v>
      </c>
      <c r="CPY1" s="69" t="s">
        <v>2640</v>
      </c>
      <c r="CPZ1" s="69" t="s">
        <v>2641</v>
      </c>
      <c r="CQA1" s="69" t="s">
        <v>2642</v>
      </c>
      <c r="CQB1" s="69" t="s">
        <v>2643</v>
      </c>
      <c r="CQC1" s="69" t="s">
        <v>2644</v>
      </c>
      <c r="CQD1" s="69" t="s">
        <v>2645</v>
      </c>
      <c r="CQE1" s="69" t="s">
        <v>2646</v>
      </c>
      <c r="CQF1" s="69" t="s">
        <v>2647</v>
      </c>
      <c r="CQG1" s="69" t="s">
        <v>2648</v>
      </c>
      <c r="CQH1" s="69" t="s">
        <v>2649</v>
      </c>
      <c r="CQI1" s="69" t="s">
        <v>2650</v>
      </c>
      <c r="CQJ1" s="69" t="s">
        <v>2651</v>
      </c>
      <c r="CQK1" s="69" t="s">
        <v>2652</v>
      </c>
      <c r="CQL1" s="69" t="s">
        <v>2653</v>
      </c>
      <c r="CQM1" s="69" t="s">
        <v>2654</v>
      </c>
      <c r="CQN1" s="69" t="s">
        <v>2655</v>
      </c>
      <c r="CQO1" s="69" t="s">
        <v>2656</v>
      </c>
      <c r="CQP1" s="69" t="s">
        <v>2657</v>
      </c>
      <c r="CQQ1" s="69" t="s">
        <v>2658</v>
      </c>
      <c r="CQR1" s="69" t="s">
        <v>2659</v>
      </c>
      <c r="CQS1" s="69" t="s">
        <v>2660</v>
      </c>
      <c r="CQT1" s="69" t="s">
        <v>2661</v>
      </c>
      <c r="CQU1" s="69" t="s">
        <v>2662</v>
      </c>
      <c r="CQV1" s="69" t="s">
        <v>2663</v>
      </c>
      <c r="CQW1" s="69" t="s">
        <v>2664</v>
      </c>
      <c r="CQX1" s="69" t="s">
        <v>2665</v>
      </c>
      <c r="CQY1" s="69" t="s">
        <v>2666</v>
      </c>
      <c r="CQZ1" s="69" t="s">
        <v>2667</v>
      </c>
      <c r="CRA1" s="69" t="s">
        <v>2668</v>
      </c>
      <c r="CRB1" s="69" t="s">
        <v>2669</v>
      </c>
      <c r="CRC1" s="69" t="s">
        <v>2670</v>
      </c>
      <c r="CRD1" s="69" t="s">
        <v>2671</v>
      </c>
      <c r="CRE1" s="69" t="s">
        <v>2672</v>
      </c>
      <c r="CRF1" s="69" t="s">
        <v>2673</v>
      </c>
      <c r="CRG1" s="69" t="s">
        <v>2674</v>
      </c>
      <c r="CRH1" s="69" t="s">
        <v>2675</v>
      </c>
      <c r="CRI1" s="69" t="s">
        <v>2676</v>
      </c>
      <c r="CRJ1" s="69" t="s">
        <v>2677</v>
      </c>
      <c r="CRK1" s="69" t="s">
        <v>2678</v>
      </c>
      <c r="CRL1" s="69" t="s">
        <v>2679</v>
      </c>
      <c r="CRM1" s="69" t="s">
        <v>2680</v>
      </c>
      <c r="CRN1" s="69" t="s">
        <v>2681</v>
      </c>
      <c r="CRO1" s="69" t="s">
        <v>2682</v>
      </c>
      <c r="CRP1" s="69" t="s">
        <v>2683</v>
      </c>
      <c r="CRQ1" s="69" t="s">
        <v>2684</v>
      </c>
      <c r="CRR1" s="69" t="s">
        <v>2685</v>
      </c>
      <c r="CRS1" s="69" t="s">
        <v>2686</v>
      </c>
      <c r="CRT1" s="69" t="s">
        <v>2687</v>
      </c>
      <c r="CRU1" s="69" t="s">
        <v>2688</v>
      </c>
      <c r="CRV1" s="69" t="s">
        <v>2689</v>
      </c>
      <c r="CRW1" s="69" t="s">
        <v>2690</v>
      </c>
      <c r="CRX1" s="69" t="s">
        <v>2691</v>
      </c>
      <c r="CRY1" s="69" t="s">
        <v>2692</v>
      </c>
      <c r="CRZ1" s="69" t="s">
        <v>2693</v>
      </c>
      <c r="CSA1" s="69" t="s">
        <v>2694</v>
      </c>
      <c r="CSB1" s="69" t="s">
        <v>2695</v>
      </c>
      <c r="CSC1" s="69" t="s">
        <v>2696</v>
      </c>
      <c r="CSD1" s="69" t="s">
        <v>2697</v>
      </c>
      <c r="CSE1" s="69" t="s">
        <v>2698</v>
      </c>
      <c r="CSF1" s="69" t="s">
        <v>2699</v>
      </c>
      <c r="CSG1" s="69" t="s">
        <v>2700</v>
      </c>
      <c r="CSH1" s="69" t="s">
        <v>2701</v>
      </c>
      <c r="CSI1" s="69" t="s">
        <v>2702</v>
      </c>
      <c r="CSJ1" s="69" t="s">
        <v>2703</v>
      </c>
      <c r="CSK1" s="69" t="s">
        <v>2704</v>
      </c>
      <c r="CSL1" s="69" t="s">
        <v>2705</v>
      </c>
      <c r="CSM1" s="69" t="s">
        <v>2706</v>
      </c>
      <c r="CSN1" s="69" t="s">
        <v>2707</v>
      </c>
      <c r="CSO1" s="69" t="s">
        <v>2708</v>
      </c>
      <c r="CSP1" s="69" t="s">
        <v>2709</v>
      </c>
      <c r="CSQ1" s="69" t="s">
        <v>2710</v>
      </c>
      <c r="CSR1" s="69" t="s">
        <v>2711</v>
      </c>
      <c r="CSS1" s="69" t="s">
        <v>2712</v>
      </c>
      <c r="CST1" s="69" t="s">
        <v>2713</v>
      </c>
      <c r="CSU1" s="69" t="s">
        <v>2714</v>
      </c>
      <c r="CSV1" s="69" t="s">
        <v>2715</v>
      </c>
      <c r="CSW1" s="69" t="s">
        <v>2716</v>
      </c>
      <c r="CSX1" s="69" t="s">
        <v>2717</v>
      </c>
      <c r="CSY1" s="69" t="s">
        <v>2718</v>
      </c>
      <c r="CSZ1" s="69" t="s">
        <v>2719</v>
      </c>
      <c r="CTA1" s="69" t="s">
        <v>2720</v>
      </c>
      <c r="CTB1" s="69" t="s">
        <v>2721</v>
      </c>
      <c r="CTC1" s="69" t="s">
        <v>2722</v>
      </c>
      <c r="CTD1" s="69" t="s">
        <v>2723</v>
      </c>
      <c r="CTE1" s="69" t="s">
        <v>2724</v>
      </c>
      <c r="CTF1" s="69" t="s">
        <v>2725</v>
      </c>
      <c r="CTG1" s="69" t="s">
        <v>2726</v>
      </c>
      <c r="CTH1" s="69" t="s">
        <v>2727</v>
      </c>
      <c r="CTI1" s="69" t="s">
        <v>2728</v>
      </c>
      <c r="CTJ1" s="69" t="s">
        <v>2729</v>
      </c>
      <c r="CTK1" s="69" t="s">
        <v>2730</v>
      </c>
      <c r="CTL1" s="69" t="s">
        <v>2731</v>
      </c>
      <c r="CTM1" s="69" t="s">
        <v>2732</v>
      </c>
      <c r="CTN1" s="69" t="s">
        <v>2733</v>
      </c>
      <c r="CTO1" s="69" t="s">
        <v>2734</v>
      </c>
      <c r="CTP1" s="69" t="s">
        <v>2735</v>
      </c>
      <c r="CTQ1" s="69" t="s">
        <v>2736</v>
      </c>
      <c r="CTR1" s="69" t="s">
        <v>2737</v>
      </c>
      <c r="CTS1" s="69" t="s">
        <v>2738</v>
      </c>
      <c r="CTT1" s="69" t="s">
        <v>2739</v>
      </c>
      <c r="CTU1" s="69" t="s">
        <v>2740</v>
      </c>
      <c r="CTV1" s="69" t="s">
        <v>2741</v>
      </c>
      <c r="CTW1" s="69" t="s">
        <v>2742</v>
      </c>
      <c r="CTX1" s="69" t="s">
        <v>2743</v>
      </c>
      <c r="CTY1" s="69" t="s">
        <v>2744</v>
      </c>
      <c r="CTZ1" s="69" t="s">
        <v>2745</v>
      </c>
      <c r="CUA1" s="69" t="s">
        <v>2746</v>
      </c>
      <c r="CUB1" s="69" t="s">
        <v>2747</v>
      </c>
      <c r="CUC1" s="69" t="s">
        <v>2748</v>
      </c>
      <c r="CUD1" s="69" t="s">
        <v>2749</v>
      </c>
      <c r="CUE1" s="69" t="s">
        <v>2750</v>
      </c>
      <c r="CUF1" s="69" t="s">
        <v>2751</v>
      </c>
      <c r="CUG1" s="69" t="s">
        <v>2752</v>
      </c>
      <c r="CUH1" s="69" t="s">
        <v>2753</v>
      </c>
      <c r="CUI1" s="69" t="s">
        <v>2754</v>
      </c>
      <c r="CUJ1" s="69" t="s">
        <v>2755</v>
      </c>
      <c r="CUK1" s="69" t="s">
        <v>2756</v>
      </c>
      <c r="CUL1" s="69" t="s">
        <v>2757</v>
      </c>
      <c r="CUM1" s="69" t="s">
        <v>2758</v>
      </c>
      <c r="CUN1" s="69" t="s">
        <v>2759</v>
      </c>
      <c r="CUO1" s="69" t="s">
        <v>2760</v>
      </c>
      <c r="CUP1" s="69" t="s">
        <v>2761</v>
      </c>
      <c r="CUQ1" s="69" t="s">
        <v>2762</v>
      </c>
      <c r="CUR1" s="69" t="s">
        <v>2763</v>
      </c>
      <c r="CUS1" s="69" t="s">
        <v>2764</v>
      </c>
      <c r="CUT1" s="69" t="s">
        <v>2765</v>
      </c>
      <c r="CUU1" s="69" t="s">
        <v>2766</v>
      </c>
      <c r="CUV1" s="69" t="s">
        <v>2767</v>
      </c>
      <c r="CUW1" s="69" t="s">
        <v>2768</v>
      </c>
      <c r="CUX1" s="69" t="s">
        <v>2769</v>
      </c>
      <c r="CUY1" s="69" t="s">
        <v>2770</v>
      </c>
      <c r="CUZ1" s="69" t="s">
        <v>2771</v>
      </c>
      <c r="CVA1" s="69" t="s">
        <v>2772</v>
      </c>
      <c r="CVB1" s="69" t="s">
        <v>2773</v>
      </c>
      <c r="CVC1" s="69" t="s">
        <v>2774</v>
      </c>
      <c r="CVD1" s="69" t="s">
        <v>2775</v>
      </c>
      <c r="CVE1" s="69" t="s">
        <v>2776</v>
      </c>
      <c r="CVF1" s="69" t="s">
        <v>2777</v>
      </c>
      <c r="CVG1" s="69" t="s">
        <v>2778</v>
      </c>
      <c r="CVH1" s="69" t="s">
        <v>2779</v>
      </c>
      <c r="CVI1" s="69" t="s">
        <v>2780</v>
      </c>
      <c r="CVJ1" s="69" t="s">
        <v>2781</v>
      </c>
      <c r="CVK1" s="69" t="s">
        <v>2782</v>
      </c>
      <c r="CVL1" s="69" t="s">
        <v>2783</v>
      </c>
      <c r="CVM1" s="69" t="s">
        <v>2784</v>
      </c>
      <c r="CVN1" s="69" t="s">
        <v>2785</v>
      </c>
      <c r="CVO1" s="69" t="s">
        <v>2786</v>
      </c>
      <c r="CVP1" s="69" t="s">
        <v>2787</v>
      </c>
      <c r="CVQ1" s="69" t="s">
        <v>2788</v>
      </c>
      <c r="CVR1" s="69" t="s">
        <v>2789</v>
      </c>
      <c r="CVS1" s="69" t="s">
        <v>2790</v>
      </c>
      <c r="CVT1" s="69" t="s">
        <v>2791</v>
      </c>
      <c r="CVU1" s="69" t="s">
        <v>2792</v>
      </c>
      <c r="CVV1" s="69" t="s">
        <v>2793</v>
      </c>
      <c r="CVW1" s="69" t="s">
        <v>2794</v>
      </c>
      <c r="CVX1" s="69" t="s">
        <v>2795</v>
      </c>
      <c r="CVY1" s="69" t="s">
        <v>2796</v>
      </c>
      <c r="CVZ1" s="69" t="s">
        <v>2797</v>
      </c>
      <c r="CWA1" s="69" t="s">
        <v>2798</v>
      </c>
      <c r="CWB1" s="69" t="s">
        <v>2799</v>
      </c>
      <c r="CWC1" s="69" t="s">
        <v>2800</v>
      </c>
      <c r="CWD1" s="69" t="s">
        <v>2801</v>
      </c>
      <c r="CWE1" s="69" t="s">
        <v>2802</v>
      </c>
      <c r="CWF1" s="69" t="s">
        <v>2803</v>
      </c>
      <c r="CWG1" s="69" t="s">
        <v>2804</v>
      </c>
      <c r="CWH1" s="69" t="s">
        <v>2805</v>
      </c>
      <c r="CWI1" s="69" t="s">
        <v>2806</v>
      </c>
      <c r="CWJ1" s="69" t="s">
        <v>2807</v>
      </c>
      <c r="CWK1" s="69" t="s">
        <v>2808</v>
      </c>
      <c r="CWL1" s="69" t="s">
        <v>2809</v>
      </c>
      <c r="CWM1" s="69" t="s">
        <v>2810</v>
      </c>
      <c r="CWN1" s="69" t="s">
        <v>2811</v>
      </c>
      <c r="CWO1" s="69" t="s">
        <v>2812</v>
      </c>
      <c r="CWP1" s="69" t="s">
        <v>2813</v>
      </c>
      <c r="CWQ1" s="69" t="s">
        <v>2814</v>
      </c>
      <c r="CWR1" s="69" t="s">
        <v>2815</v>
      </c>
      <c r="CWS1" s="69" t="s">
        <v>2816</v>
      </c>
      <c r="CWT1" s="69" t="s">
        <v>2817</v>
      </c>
      <c r="CWU1" s="69" t="s">
        <v>2818</v>
      </c>
      <c r="CWV1" s="69" t="s">
        <v>2819</v>
      </c>
      <c r="CWW1" s="69" t="s">
        <v>2820</v>
      </c>
      <c r="CWX1" s="69" t="s">
        <v>2821</v>
      </c>
      <c r="CWY1" s="69" t="s">
        <v>2822</v>
      </c>
      <c r="CWZ1" s="69" t="s">
        <v>2823</v>
      </c>
      <c r="CXA1" s="69" t="s">
        <v>2824</v>
      </c>
      <c r="CXB1" s="69" t="s">
        <v>2825</v>
      </c>
      <c r="CXC1" s="69" t="s">
        <v>2826</v>
      </c>
      <c r="CXD1" s="69" t="s">
        <v>2827</v>
      </c>
      <c r="CXE1" s="69" t="s">
        <v>2828</v>
      </c>
      <c r="CXF1" s="69" t="s">
        <v>2829</v>
      </c>
      <c r="CXG1" s="69" t="s">
        <v>2830</v>
      </c>
      <c r="CXH1" s="69" t="s">
        <v>2831</v>
      </c>
      <c r="CXI1" s="69" t="s">
        <v>2832</v>
      </c>
      <c r="CXJ1" s="69" t="s">
        <v>2833</v>
      </c>
      <c r="CXK1" s="69" t="s">
        <v>2834</v>
      </c>
      <c r="CXL1" s="69" t="s">
        <v>2835</v>
      </c>
      <c r="CXM1" s="69" t="s">
        <v>2836</v>
      </c>
      <c r="CXN1" s="69" t="s">
        <v>2837</v>
      </c>
      <c r="CXO1" s="69" t="s">
        <v>2838</v>
      </c>
      <c r="CXP1" s="69" t="s">
        <v>2839</v>
      </c>
      <c r="CXQ1" s="69" t="s">
        <v>2840</v>
      </c>
      <c r="CXR1" s="69" t="s">
        <v>2841</v>
      </c>
      <c r="CXS1" s="69" t="s">
        <v>2842</v>
      </c>
      <c r="CXT1" s="69" t="s">
        <v>2843</v>
      </c>
      <c r="CXU1" s="69" t="s">
        <v>2844</v>
      </c>
      <c r="CXV1" s="69" t="s">
        <v>2845</v>
      </c>
      <c r="CXW1" s="69" t="s">
        <v>2846</v>
      </c>
      <c r="CXX1" s="69" t="s">
        <v>2847</v>
      </c>
      <c r="CXY1" s="69" t="s">
        <v>2848</v>
      </c>
      <c r="CXZ1" s="69" t="s">
        <v>2849</v>
      </c>
      <c r="CYA1" s="69" t="s">
        <v>2850</v>
      </c>
      <c r="CYB1" s="69" t="s">
        <v>2851</v>
      </c>
      <c r="CYC1" s="69" t="s">
        <v>2852</v>
      </c>
      <c r="CYD1" s="69" t="s">
        <v>2853</v>
      </c>
      <c r="CYE1" s="69" t="s">
        <v>2854</v>
      </c>
      <c r="CYF1" s="69" t="s">
        <v>2855</v>
      </c>
      <c r="CYG1" s="69" t="s">
        <v>2856</v>
      </c>
      <c r="CYH1" s="69" t="s">
        <v>2857</v>
      </c>
      <c r="CYI1" s="69" t="s">
        <v>2858</v>
      </c>
      <c r="CYJ1" s="69" t="s">
        <v>2859</v>
      </c>
      <c r="CYK1" s="69" t="s">
        <v>2860</v>
      </c>
      <c r="CYL1" s="69" t="s">
        <v>2861</v>
      </c>
      <c r="CYM1" s="69" t="s">
        <v>2862</v>
      </c>
      <c r="CYN1" s="69" t="s">
        <v>2863</v>
      </c>
      <c r="CYO1" s="69" t="s">
        <v>2864</v>
      </c>
      <c r="CYP1" s="69" t="s">
        <v>2865</v>
      </c>
      <c r="CYQ1" s="69" t="s">
        <v>2866</v>
      </c>
      <c r="CYR1" s="69" t="s">
        <v>2867</v>
      </c>
      <c r="CYS1" s="69" t="s">
        <v>2868</v>
      </c>
      <c r="CYT1" s="69" t="s">
        <v>2869</v>
      </c>
      <c r="CYU1" s="69" t="s">
        <v>2870</v>
      </c>
      <c r="CYV1" s="69" t="s">
        <v>2871</v>
      </c>
      <c r="CYW1" s="69" t="s">
        <v>2872</v>
      </c>
      <c r="CYX1" s="69" t="s">
        <v>2873</v>
      </c>
      <c r="CYY1" s="69" t="s">
        <v>2874</v>
      </c>
      <c r="CYZ1" s="69" t="s">
        <v>2875</v>
      </c>
      <c r="CZA1" s="69" t="s">
        <v>2876</v>
      </c>
      <c r="CZB1" s="69" t="s">
        <v>2877</v>
      </c>
      <c r="CZC1" s="69" t="s">
        <v>2878</v>
      </c>
      <c r="CZD1" s="69" t="s">
        <v>2879</v>
      </c>
      <c r="CZE1" s="69" t="s">
        <v>2880</v>
      </c>
      <c r="CZF1" s="69" t="s">
        <v>2881</v>
      </c>
      <c r="CZG1" s="69" t="s">
        <v>2882</v>
      </c>
      <c r="CZH1" s="69" t="s">
        <v>2883</v>
      </c>
      <c r="CZI1" s="69" t="s">
        <v>2884</v>
      </c>
      <c r="CZJ1" s="69" t="s">
        <v>2885</v>
      </c>
      <c r="CZK1" s="69" t="s">
        <v>2886</v>
      </c>
      <c r="CZL1" s="69" t="s">
        <v>2887</v>
      </c>
      <c r="CZM1" s="69" t="s">
        <v>2888</v>
      </c>
      <c r="CZN1" s="69" t="s">
        <v>2889</v>
      </c>
      <c r="CZO1" s="69" t="s">
        <v>2890</v>
      </c>
      <c r="CZP1" s="69" t="s">
        <v>2891</v>
      </c>
      <c r="CZQ1" s="69" t="s">
        <v>2892</v>
      </c>
      <c r="CZR1" s="69" t="s">
        <v>2893</v>
      </c>
      <c r="CZS1" s="69" t="s">
        <v>2894</v>
      </c>
      <c r="CZT1" s="69" t="s">
        <v>2895</v>
      </c>
      <c r="CZU1" s="69" t="s">
        <v>2896</v>
      </c>
      <c r="CZV1" s="69" t="s">
        <v>2897</v>
      </c>
      <c r="CZW1" s="69" t="s">
        <v>2898</v>
      </c>
      <c r="CZX1" s="69" t="s">
        <v>2899</v>
      </c>
      <c r="CZY1" s="69" t="s">
        <v>2900</v>
      </c>
      <c r="CZZ1" s="69" t="s">
        <v>2901</v>
      </c>
      <c r="DAA1" s="69" t="s">
        <v>2902</v>
      </c>
      <c r="DAB1" s="69" t="s">
        <v>2903</v>
      </c>
      <c r="DAC1" s="69" t="s">
        <v>2904</v>
      </c>
      <c r="DAD1" s="69" t="s">
        <v>2905</v>
      </c>
      <c r="DAE1" s="69" t="s">
        <v>2906</v>
      </c>
      <c r="DAF1" s="69" t="s">
        <v>2907</v>
      </c>
      <c r="DAG1" s="69" t="s">
        <v>2908</v>
      </c>
      <c r="DAH1" s="69" t="s">
        <v>2909</v>
      </c>
      <c r="DAI1" s="69" t="s">
        <v>2910</v>
      </c>
      <c r="DAJ1" s="69" t="s">
        <v>2911</v>
      </c>
      <c r="DAK1" s="69" t="s">
        <v>2912</v>
      </c>
      <c r="DAL1" s="69" t="s">
        <v>2913</v>
      </c>
      <c r="DAM1" s="69" t="s">
        <v>2914</v>
      </c>
      <c r="DAN1" s="69" t="s">
        <v>2915</v>
      </c>
      <c r="DAO1" s="69" t="s">
        <v>2916</v>
      </c>
      <c r="DAP1" s="69" t="s">
        <v>2917</v>
      </c>
      <c r="DAQ1" s="69" t="s">
        <v>2918</v>
      </c>
      <c r="DAR1" s="69" t="s">
        <v>2919</v>
      </c>
      <c r="DAS1" s="69" t="s">
        <v>2920</v>
      </c>
      <c r="DAT1" s="69" t="s">
        <v>2921</v>
      </c>
      <c r="DAU1" s="69" t="s">
        <v>2922</v>
      </c>
      <c r="DAV1" s="69" t="s">
        <v>2923</v>
      </c>
      <c r="DAW1" s="69" t="s">
        <v>2924</v>
      </c>
      <c r="DAX1" s="69" t="s">
        <v>2925</v>
      </c>
      <c r="DAY1" s="69" t="s">
        <v>2926</v>
      </c>
      <c r="DAZ1" s="69" t="s">
        <v>2927</v>
      </c>
      <c r="DBA1" s="69" t="s">
        <v>2928</v>
      </c>
      <c r="DBB1" s="69" t="s">
        <v>2929</v>
      </c>
      <c r="DBC1" s="69" t="s">
        <v>2930</v>
      </c>
      <c r="DBD1" s="69" t="s">
        <v>2931</v>
      </c>
      <c r="DBE1" s="69" t="s">
        <v>2932</v>
      </c>
      <c r="DBF1" s="69" t="s">
        <v>2933</v>
      </c>
      <c r="DBG1" s="69" t="s">
        <v>2934</v>
      </c>
      <c r="DBH1" s="69" t="s">
        <v>2935</v>
      </c>
      <c r="DBI1" s="69" t="s">
        <v>2936</v>
      </c>
      <c r="DBJ1" s="69" t="s">
        <v>2937</v>
      </c>
      <c r="DBK1" s="69" t="s">
        <v>2938</v>
      </c>
      <c r="DBL1" s="69" t="s">
        <v>2939</v>
      </c>
      <c r="DBM1" s="69" t="s">
        <v>2940</v>
      </c>
      <c r="DBN1" s="69" t="s">
        <v>2941</v>
      </c>
      <c r="DBO1" s="69" t="s">
        <v>2942</v>
      </c>
      <c r="DBP1" s="69" t="s">
        <v>2943</v>
      </c>
      <c r="DBQ1" s="69" t="s">
        <v>2944</v>
      </c>
      <c r="DBR1" s="69" t="s">
        <v>2945</v>
      </c>
      <c r="DBS1" s="69" t="s">
        <v>2946</v>
      </c>
      <c r="DBT1" s="69" t="s">
        <v>2947</v>
      </c>
      <c r="DBU1" s="69" t="s">
        <v>2948</v>
      </c>
      <c r="DBV1" s="69" t="s">
        <v>2949</v>
      </c>
      <c r="DBW1" s="69" t="s">
        <v>2950</v>
      </c>
      <c r="DBX1" s="69" t="s">
        <v>2951</v>
      </c>
      <c r="DBY1" s="69" t="s">
        <v>2952</v>
      </c>
      <c r="DBZ1" s="69" t="s">
        <v>2953</v>
      </c>
      <c r="DCA1" s="69" t="s">
        <v>2954</v>
      </c>
      <c r="DCB1" s="69" t="s">
        <v>2955</v>
      </c>
      <c r="DCC1" s="69" t="s">
        <v>2956</v>
      </c>
      <c r="DCD1" s="69" t="s">
        <v>2957</v>
      </c>
      <c r="DCE1" s="69" t="s">
        <v>2958</v>
      </c>
      <c r="DCF1" s="69" t="s">
        <v>2959</v>
      </c>
      <c r="DCG1" s="69" t="s">
        <v>2960</v>
      </c>
      <c r="DCH1" s="69" t="s">
        <v>2961</v>
      </c>
      <c r="DCI1" s="69" t="s">
        <v>2962</v>
      </c>
      <c r="DCJ1" s="69" t="s">
        <v>2963</v>
      </c>
      <c r="DCK1" s="69" t="s">
        <v>2964</v>
      </c>
      <c r="DCL1" s="69" t="s">
        <v>2965</v>
      </c>
      <c r="DCM1" s="69" t="s">
        <v>2966</v>
      </c>
      <c r="DCN1" s="69" t="s">
        <v>2967</v>
      </c>
      <c r="DCO1" s="69" t="s">
        <v>2968</v>
      </c>
      <c r="DCP1" s="69" t="s">
        <v>2969</v>
      </c>
      <c r="DCQ1" s="69" t="s">
        <v>2970</v>
      </c>
      <c r="DCR1" s="69" t="s">
        <v>2971</v>
      </c>
      <c r="DCS1" s="69" t="s">
        <v>2972</v>
      </c>
      <c r="DCT1" s="69" t="s">
        <v>2973</v>
      </c>
      <c r="DCU1" s="69" t="s">
        <v>2974</v>
      </c>
      <c r="DCV1" s="69" t="s">
        <v>2975</v>
      </c>
      <c r="DCW1" s="69" t="s">
        <v>2976</v>
      </c>
      <c r="DCX1" s="69" t="s">
        <v>2977</v>
      </c>
      <c r="DCY1" s="69" t="s">
        <v>2978</v>
      </c>
      <c r="DCZ1" s="69" t="s">
        <v>2979</v>
      </c>
      <c r="DDA1" s="69" t="s">
        <v>2980</v>
      </c>
      <c r="DDB1" s="69" t="s">
        <v>2981</v>
      </c>
      <c r="DDC1" s="69" t="s">
        <v>2982</v>
      </c>
      <c r="DDD1" s="69" t="s">
        <v>2983</v>
      </c>
      <c r="DDE1" s="69" t="s">
        <v>2984</v>
      </c>
      <c r="DDF1" s="69" t="s">
        <v>2985</v>
      </c>
      <c r="DDG1" s="69" t="s">
        <v>2986</v>
      </c>
      <c r="DDH1" s="69" t="s">
        <v>2987</v>
      </c>
      <c r="DDI1" s="69" t="s">
        <v>2988</v>
      </c>
      <c r="DDJ1" s="69" t="s">
        <v>2989</v>
      </c>
      <c r="DDK1" s="69" t="s">
        <v>2990</v>
      </c>
      <c r="DDL1" s="69" t="s">
        <v>2991</v>
      </c>
      <c r="DDM1" s="69" t="s">
        <v>2992</v>
      </c>
      <c r="DDN1" s="69" t="s">
        <v>2993</v>
      </c>
      <c r="DDO1" s="69" t="s">
        <v>2994</v>
      </c>
      <c r="DDP1" s="69" t="s">
        <v>2995</v>
      </c>
      <c r="DDQ1" s="69" t="s">
        <v>2996</v>
      </c>
      <c r="DDR1" s="69" t="s">
        <v>2997</v>
      </c>
      <c r="DDS1" s="69" t="s">
        <v>2998</v>
      </c>
      <c r="DDT1" s="69" t="s">
        <v>2999</v>
      </c>
      <c r="DDU1" s="69" t="s">
        <v>3000</v>
      </c>
      <c r="DDV1" s="69" t="s">
        <v>3001</v>
      </c>
      <c r="DDW1" s="69" t="s">
        <v>3002</v>
      </c>
      <c r="DDX1" s="69" t="s">
        <v>3003</v>
      </c>
      <c r="DDY1" s="69" t="s">
        <v>3004</v>
      </c>
      <c r="DDZ1" s="69" t="s">
        <v>3005</v>
      </c>
      <c r="DEA1" s="69" t="s">
        <v>3006</v>
      </c>
      <c r="DEB1" s="69" t="s">
        <v>3007</v>
      </c>
      <c r="DEC1" s="69" t="s">
        <v>3008</v>
      </c>
      <c r="DED1" s="69" t="s">
        <v>3009</v>
      </c>
      <c r="DEE1" s="69" t="s">
        <v>3010</v>
      </c>
      <c r="DEF1" s="69" t="s">
        <v>3011</v>
      </c>
      <c r="DEG1" s="69" t="s">
        <v>3012</v>
      </c>
      <c r="DEH1" s="69" t="s">
        <v>3013</v>
      </c>
      <c r="DEI1" s="69" t="s">
        <v>3014</v>
      </c>
      <c r="DEJ1" s="69" t="s">
        <v>3015</v>
      </c>
      <c r="DEK1" s="69" t="s">
        <v>3016</v>
      </c>
      <c r="DEL1" s="69" t="s">
        <v>3017</v>
      </c>
      <c r="DEM1" s="69" t="s">
        <v>3018</v>
      </c>
      <c r="DEN1" s="69" t="s">
        <v>3019</v>
      </c>
      <c r="DEO1" s="69" t="s">
        <v>3020</v>
      </c>
      <c r="DEP1" s="69" t="s">
        <v>3021</v>
      </c>
      <c r="DEQ1" s="69" t="s">
        <v>3022</v>
      </c>
      <c r="DER1" s="69" t="s">
        <v>3023</v>
      </c>
      <c r="DES1" s="69" t="s">
        <v>3024</v>
      </c>
      <c r="DET1" s="69" t="s">
        <v>3025</v>
      </c>
      <c r="DEU1" s="69" t="s">
        <v>3026</v>
      </c>
      <c r="DEV1" s="69" t="s">
        <v>3027</v>
      </c>
      <c r="DEW1" s="69" t="s">
        <v>3028</v>
      </c>
      <c r="DEX1" s="69" t="s">
        <v>3029</v>
      </c>
      <c r="DEY1" s="69" t="s">
        <v>3030</v>
      </c>
      <c r="DEZ1" s="69" t="s">
        <v>3031</v>
      </c>
      <c r="DFA1" s="69" t="s">
        <v>3032</v>
      </c>
      <c r="DFB1" s="69" t="s">
        <v>3033</v>
      </c>
      <c r="DFC1" s="69" t="s">
        <v>3034</v>
      </c>
      <c r="DFD1" s="69" t="s">
        <v>3035</v>
      </c>
      <c r="DFE1" s="69" t="s">
        <v>3036</v>
      </c>
      <c r="DFF1" s="69" t="s">
        <v>3037</v>
      </c>
      <c r="DFG1" s="69" t="s">
        <v>3038</v>
      </c>
      <c r="DFH1" s="69" t="s">
        <v>3039</v>
      </c>
      <c r="DFI1" s="69" t="s">
        <v>3040</v>
      </c>
      <c r="DFJ1" s="69" t="s">
        <v>3041</v>
      </c>
      <c r="DFK1" s="69" t="s">
        <v>3042</v>
      </c>
      <c r="DFL1" s="69" t="s">
        <v>3043</v>
      </c>
      <c r="DFM1" s="69" t="s">
        <v>3044</v>
      </c>
      <c r="DFN1" s="69" t="s">
        <v>3045</v>
      </c>
      <c r="DFO1" s="69" t="s">
        <v>3046</v>
      </c>
      <c r="DFP1" s="69" t="s">
        <v>3047</v>
      </c>
      <c r="DFQ1" s="69" t="s">
        <v>3048</v>
      </c>
      <c r="DFR1" s="69" t="s">
        <v>3049</v>
      </c>
      <c r="DFS1" s="69" t="s">
        <v>3050</v>
      </c>
      <c r="DFT1" s="69" t="s">
        <v>3051</v>
      </c>
      <c r="DFU1" s="69" t="s">
        <v>3052</v>
      </c>
      <c r="DFV1" s="69" t="s">
        <v>3053</v>
      </c>
      <c r="DFW1" s="69" t="s">
        <v>3054</v>
      </c>
      <c r="DFX1" s="69" t="s">
        <v>3055</v>
      </c>
      <c r="DFY1" s="69" t="s">
        <v>3056</v>
      </c>
      <c r="DFZ1" s="69" t="s">
        <v>3057</v>
      </c>
      <c r="DGA1" s="69" t="s">
        <v>3058</v>
      </c>
      <c r="DGB1" s="69" t="s">
        <v>3059</v>
      </c>
      <c r="DGC1" s="69" t="s">
        <v>3060</v>
      </c>
      <c r="DGD1" s="69" t="s">
        <v>3061</v>
      </c>
      <c r="DGE1" s="69" t="s">
        <v>3062</v>
      </c>
      <c r="DGF1" s="69" t="s">
        <v>3063</v>
      </c>
      <c r="DGG1" s="69" t="s">
        <v>3064</v>
      </c>
      <c r="DGH1" s="69" t="s">
        <v>3065</v>
      </c>
      <c r="DGI1" s="69" t="s">
        <v>3066</v>
      </c>
      <c r="DGJ1" s="69" t="s">
        <v>3067</v>
      </c>
      <c r="DGK1" s="69" t="s">
        <v>3068</v>
      </c>
      <c r="DGL1" s="69" t="s">
        <v>3069</v>
      </c>
      <c r="DGM1" s="69" t="s">
        <v>3070</v>
      </c>
      <c r="DGN1" s="69" t="s">
        <v>3071</v>
      </c>
      <c r="DGO1" s="69" t="s">
        <v>3072</v>
      </c>
      <c r="DGP1" s="69" t="s">
        <v>3073</v>
      </c>
      <c r="DGQ1" s="69" t="s">
        <v>3074</v>
      </c>
      <c r="DGR1" s="69" t="s">
        <v>3075</v>
      </c>
      <c r="DGS1" s="69" t="s">
        <v>3076</v>
      </c>
      <c r="DGT1" s="69" t="s">
        <v>3077</v>
      </c>
      <c r="DGU1" s="69" t="s">
        <v>3078</v>
      </c>
      <c r="DGV1" s="69" t="s">
        <v>3079</v>
      </c>
      <c r="DGW1" s="69" t="s">
        <v>3080</v>
      </c>
      <c r="DGX1" s="69" t="s">
        <v>3081</v>
      </c>
      <c r="DGY1" s="69" t="s">
        <v>3082</v>
      </c>
      <c r="DGZ1" s="69" t="s">
        <v>3083</v>
      </c>
      <c r="DHA1" s="69" t="s">
        <v>3084</v>
      </c>
      <c r="DHB1" s="69" t="s">
        <v>3085</v>
      </c>
      <c r="DHC1" s="69" t="s">
        <v>3086</v>
      </c>
      <c r="DHD1" s="69" t="s">
        <v>3087</v>
      </c>
      <c r="DHE1" s="69" t="s">
        <v>3088</v>
      </c>
      <c r="DHF1" s="69" t="s">
        <v>3089</v>
      </c>
      <c r="DHG1" s="69" t="s">
        <v>3090</v>
      </c>
      <c r="DHH1" s="69" t="s">
        <v>3091</v>
      </c>
      <c r="DHI1" s="69" t="s">
        <v>3092</v>
      </c>
      <c r="DHJ1" s="69" t="s">
        <v>3093</v>
      </c>
      <c r="DHK1" s="69" t="s">
        <v>3094</v>
      </c>
      <c r="DHL1" s="69" t="s">
        <v>3095</v>
      </c>
      <c r="DHM1" s="69" t="s">
        <v>3096</v>
      </c>
      <c r="DHN1" s="69" t="s">
        <v>3097</v>
      </c>
      <c r="DHO1" s="69" t="s">
        <v>3098</v>
      </c>
      <c r="DHP1" s="69" t="s">
        <v>3099</v>
      </c>
      <c r="DHQ1" s="69" t="s">
        <v>3100</v>
      </c>
      <c r="DHR1" s="69" t="s">
        <v>3101</v>
      </c>
      <c r="DHS1" s="69" t="s">
        <v>3102</v>
      </c>
      <c r="DHT1" s="69" t="s">
        <v>3103</v>
      </c>
      <c r="DHU1" s="69" t="s">
        <v>3104</v>
      </c>
      <c r="DHV1" s="69" t="s">
        <v>3105</v>
      </c>
      <c r="DHW1" s="69" t="s">
        <v>3106</v>
      </c>
      <c r="DHX1" s="69" t="s">
        <v>3107</v>
      </c>
      <c r="DHY1" s="69" t="s">
        <v>3108</v>
      </c>
      <c r="DHZ1" s="69" t="s">
        <v>3109</v>
      </c>
      <c r="DIA1" s="69" t="s">
        <v>3110</v>
      </c>
      <c r="DIB1" s="69" t="s">
        <v>3111</v>
      </c>
      <c r="DIC1" s="69" t="s">
        <v>3112</v>
      </c>
      <c r="DID1" s="69" t="s">
        <v>3113</v>
      </c>
      <c r="DIE1" s="69" t="s">
        <v>3114</v>
      </c>
      <c r="DIF1" s="69" t="s">
        <v>3115</v>
      </c>
      <c r="DIG1" s="69" t="s">
        <v>3116</v>
      </c>
      <c r="DIH1" s="69" t="s">
        <v>3117</v>
      </c>
      <c r="DII1" s="69" t="s">
        <v>3118</v>
      </c>
      <c r="DIJ1" s="69" t="s">
        <v>3119</v>
      </c>
      <c r="DIK1" s="69" t="s">
        <v>3120</v>
      </c>
      <c r="DIL1" s="69" t="s">
        <v>3121</v>
      </c>
      <c r="DIM1" s="69" t="s">
        <v>3122</v>
      </c>
      <c r="DIN1" s="69" t="s">
        <v>3123</v>
      </c>
      <c r="DIO1" s="69" t="s">
        <v>3124</v>
      </c>
      <c r="DIP1" s="69" t="s">
        <v>3125</v>
      </c>
      <c r="DIQ1" s="69" t="s">
        <v>3126</v>
      </c>
      <c r="DIR1" s="69" t="s">
        <v>3127</v>
      </c>
      <c r="DIS1" s="69" t="s">
        <v>3128</v>
      </c>
      <c r="DIT1" s="69" t="s">
        <v>3129</v>
      </c>
      <c r="DIU1" s="69" t="s">
        <v>3130</v>
      </c>
      <c r="DIV1" s="69" t="s">
        <v>3131</v>
      </c>
      <c r="DIW1" s="69" t="s">
        <v>3132</v>
      </c>
      <c r="DIX1" s="69" t="s">
        <v>3133</v>
      </c>
      <c r="DIY1" s="69" t="s">
        <v>3134</v>
      </c>
      <c r="DIZ1" s="69" t="s">
        <v>3135</v>
      </c>
      <c r="DJA1" s="69" t="s">
        <v>3136</v>
      </c>
      <c r="DJB1" s="69" t="s">
        <v>3137</v>
      </c>
      <c r="DJC1" s="69" t="s">
        <v>3138</v>
      </c>
      <c r="DJD1" s="69" t="s">
        <v>3139</v>
      </c>
      <c r="DJE1" s="69" t="s">
        <v>3140</v>
      </c>
      <c r="DJF1" s="69" t="s">
        <v>3141</v>
      </c>
      <c r="DJG1" s="69" t="s">
        <v>3142</v>
      </c>
      <c r="DJH1" s="69" t="s">
        <v>3143</v>
      </c>
      <c r="DJI1" s="69" t="s">
        <v>3144</v>
      </c>
      <c r="DJJ1" s="69" t="s">
        <v>3145</v>
      </c>
      <c r="DJK1" s="69" t="s">
        <v>3146</v>
      </c>
      <c r="DJL1" s="69" t="s">
        <v>3147</v>
      </c>
      <c r="DJM1" s="69" t="s">
        <v>3148</v>
      </c>
      <c r="DJN1" s="69" t="s">
        <v>3149</v>
      </c>
      <c r="DJO1" s="69" t="s">
        <v>3150</v>
      </c>
      <c r="DJP1" s="69" t="s">
        <v>3151</v>
      </c>
      <c r="DJQ1" s="69" t="s">
        <v>3152</v>
      </c>
      <c r="DJR1" s="69" t="s">
        <v>3153</v>
      </c>
      <c r="DJS1" s="69" t="s">
        <v>3154</v>
      </c>
      <c r="DJT1" s="69" t="s">
        <v>3155</v>
      </c>
      <c r="DJU1" s="69" t="s">
        <v>3156</v>
      </c>
      <c r="DJV1" s="69" t="s">
        <v>3157</v>
      </c>
      <c r="DJW1" s="69" t="s">
        <v>3158</v>
      </c>
      <c r="DJX1" s="69" t="s">
        <v>3159</v>
      </c>
      <c r="DJY1" s="69" t="s">
        <v>3160</v>
      </c>
      <c r="DJZ1" s="69" t="s">
        <v>3161</v>
      </c>
      <c r="DKA1" s="69" t="s">
        <v>3162</v>
      </c>
      <c r="DKB1" s="69" t="s">
        <v>3163</v>
      </c>
      <c r="DKC1" s="69" t="s">
        <v>3164</v>
      </c>
      <c r="DKD1" s="69" t="s">
        <v>3165</v>
      </c>
      <c r="DKE1" s="69" t="s">
        <v>3166</v>
      </c>
      <c r="DKF1" s="69" t="s">
        <v>3167</v>
      </c>
      <c r="DKG1" s="69" t="s">
        <v>3168</v>
      </c>
      <c r="DKH1" s="69" t="s">
        <v>3169</v>
      </c>
      <c r="DKI1" s="69" t="s">
        <v>3170</v>
      </c>
      <c r="DKJ1" s="69" t="s">
        <v>3171</v>
      </c>
      <c r="DKK1" s="69" t="s">
        <v>3172</v>
      </c>
      <c r="DKL1" s="69" t="s">
        <v>3173</v>
      </c>
      <c r="DKM1" s="69" t="s">
        <v>3174</v>
      </c>
      <c r="DKN1" s="69" t="s">
        <v>3175</v>
      </c>
      <c r="DKO1" s="69" t="s">
        <v>3176</v>
      </c>
      <c r="DKP1" s="69" t="s">
        <v>3177</v>
      </c>
      <c r="DKQ1" s="69" t="s">
        <v>3178</v>
      </c>
      <c r="DKR1" s="69" t="s">
        <v>3179</v>
      </c>
      <c r="DKS1" s="69" t="s">
        <v>3180</v>
      </c>
      <c r="DKT1" s="69" t="s">
        <v>3181</v>
      </c>
      <c r="DKU1" s="69" t="s">
        <v>3182</v>
      </c>
      <c r="DKV1" s="69" t="s">
        <v>3183</v>
      </c>
      <c r="DKW1" s="69" t="s">
        <v>3184</v>
      </c>
      <c r="DKX1" s="69" t="s">
        <v>3185</v>
      </c>
      <c r="DKY1" s="69" t="s">
        <v>3186</v>
      </c>
      <c r="DKZ1" s="69" t="s">
        <v>3187</v>
      </c>
      <c r="DLA1" s="69" t="s">
        <v>3188</v>
      </c>
      <c r="DLB1" s="69" t="s">
        <v>3189</v>
      </c>
      <c r="DLC1" s="69" t="s">
        <v>3190</v>
      </c>
      <c r="DLD1" s="69" t="s">
        <v>3191</v>
      </c>
      <c r="DLE1" s="69" t="s">
        <v>3192</v>
      </c>
      <c r="DLF1" s="69" t="s">
        <v>3193</v>
      </c>
      <c r="DLG1" s="69" t="s">
        <v>3194</v>
      </c>
      <c r="DLH1" s="69" t="s">
        <v>3195</v>
      </c>
      <c r="DLI1" s="69" t="s">
        <v>3196</v>
      </c>
      <c r="DLJ1" s="69" t="s">
        <v>3197</v>
      </c>
      <c r="DLK1" s="69" t="s">
        <v>3198</v>
      </c>
      <c r="DLL1" s="69" t="s">
        <v>3199</v>
      </c>
      <c r="DLM1" s="69" t="s">
        <v>3200</v>
      </c>
      <c r="DLN1" s="69" t="s">
        <v>3201</v>
      </c>
      <c r="DLO1" s="69" t="s">
        <v>3202</v>
      </c>
      <c r="DLP1" s="69" t="s">
        <v>3203</v>
      </c>
      <c r="DLQ1" s="69" t="s">
        <v>3204</v>
      </c>
      <c r="DLR1" s="69" t="s">
        <v>3205</v>
      </c>
      <c r="DLS1" s="69" t="s">
        <v>3206</v>
      </c>
      <c r="DLT1" s="69" t="s">
        <v>3207</v>
      </c>
      <c r="DLU1" s="69" t="s">
        <v>3208</v>
      </c>
      <c r="DLV1" s="69" t="s">
        <v>3209</v>
      </c>
      <c r="DLW1" s="69" t="s">
        <v>3210</v>
      </c>
      <c r="DLX1" s="69" t="s">
        <v>3211</v>
      </c>
      <c r="DLY1" s="69" t="s">
        <v>3212</v>
      </c>
      <c r="DLZ1" s="69" t="s">
        <v>3213</v>
      </c>
      <c r="DMA1" s="69" t="s">
        <v>3214</v>
      </c>
      <c r="DMB1" s="69" t="s">
        <v>3215</v>
      </c>
      <c r="DMC1" s="69" t="s">
        <v>3216</v>
      </c>
      <c r="DMD1" s="69" t="s">
        <v>3217</v>
      </c>
      <c r="DME1" s="69" t="s">
        <v>3218</v>
      </c>
      <c r="DMF1" s="69" t="s">
        <v>3219</v>
      </c>
      <c r="DMG1" s="69" t="s">
        <v>3220</v>
      </c>
      <c r="DMH1" s="69" t="s">
        <v>3221</v>
      </c>
      <c r="DMI1" s="69" t="s">
        <v>3222</v>
      </c>
      <c r="DMJ1" s="69" t="s">
        <v>3223</v>
      </c>
      <c r="DMK1" s="69" t="s">
        <v>3224</v>
      </c>
      <c r="DML1" s="69" t="s">
        <v>3225</v>
      </c>
      <c r="DMM1" s="69" t="s">
        <v>3226</v>
      </c>
      <c r="DMN1" s="69" t="s">
        <v>3227</v>
      </c>
      <c r="DMO1" s="69" t="s">
        <v>3228</v>
      </c>
      <c r="DMP1" s="69" t="s">
        <v>3229</v>
      </c>
      <c r="DMQ1" s="69" t="s">
        <v>3230</v>
      </c>
      <c r="DMR1" s="69" t="s">
        <v>3231</v>
      </c>
      <c r="DMS1" s="69" t="s">
        <v>3232</v>
      </c>
      <c r="DMT1" s="69" t="s">
        <v>3233</v>
      </c>
      <c r="DMU1" s="69" t="s">
        <v>3234</v>
      </c>
      <c r="DMV1" s="69" t="s">
        <v>3235</v>
      </c>
      <c r="DMW1" s="69" t="s">
        <v>3236</v>
      </c>
      <c r="DMX1" s="69" t="s">
        <v>3237</v>
      </c>
      <c r="DMY1" s="69" t="s">
        <v>3238</v>
      </c>
      <c r="DMZ1" s="69" t="s">
        <v>3239</v>
      </c>
      <c r="DNA1" s="69" t="s">
        <v>3240</v>
      </c>
      <c r="DNB1" s="69" t="s">
        <v>3241</v>
      </c>
      <c r="DNC1" s="69" t="s">
        <v>3242</v>
      </c>
      <c r="DND1" s="69" t="s">
        <v>3243</v>
      </c>
      <c r="DNE1" s="69" t="s">
        <v>3244</v>
      </c>
      <c r="DNF1" s="69" t="s">
        <v>3245</v>
      </c>
      <c r="DNG1" s="69" t="s">
        <v>3246</v>
      </c>
      <c r="DNH1" s="69" t="s">
        <v>3247</v>
      </c>
      <c r="DNI1" s="69" t="s">
        <v>3248</v>
      </c>
      <c r="DNJ1" s="69" t="s">
        <v>3249</v>
      </c>
      <c r="DNK1" s="69" t="s">
        <v>3250</v>
      </c>
      <c r="DNL1" s="69" t="s">
        <v>3251</v>
      </c>
      <c r="DNM1" s="69" t="s">
        <v>3252</v>
      </c>
      <c r="DNN1" s="69" t="s">
        <v>3253</v>
      </c>
      <c r="DNO1" s="69" t="s">
        <v>3254</v>
      </c>
      <c r="DNP1" s="69" t="s">
        <v>3255</v>
      </c>
      <c r="DNQ1" s="69" t="s">
        <v>3256</v>
      </c>
      <c r="DNR1" s="69" t="s">
        <v>3257</v>
      </c>
      <c r="DNS1" s="69" t="s">
        <v>3258</v>
      </c>
      <c r="DNT1" s="69" t="s">
        <v>3259</v>
      </c>
      <c r="DNU1" s="69" t="s">
        <v>3260</v>
      </c>
      <c r="DNV1" s="69" t="s">
        <v>3261</v>
      </c>
      <c r="DNW1" s="69" t="s">
        <v>3262</v>
      </c>
      <c r="DNX1" s="69" t="s">
        <v>3263</v>
      </c>
      <c r="DNY1" s="69" t="s">
        <v>3264</v>
      </c>
      <c r="DNZ1" s="69" t="s">
        <v>3265</v>
      </c>
      <c r="DOA1" s="69" t="s">
        <v>3266</v>
      </c>
      <c r="DOB1" s="69" t="s">
        <v>3267</v>
      </c>
      <c r="DOC1" s="69" t="s">
        <v>3268</v>
      </c>
      <c r="DOD1" s="69" t="s">
        <v>3269</v>
      </c>
      <c r="DOE1" s="69" t="s">
        <v>3270</v>
      </c>
      <c r="DOF1" s="69" t="s">
        <v>3271</v>
      </c>
      <c r="DOG1" s="69" t="s">
        <v>3272</v>
      </c>
      <c r="DOH1" s="69" t="s">
        <v>3273</v>
      </c>
      <c r="DOI1" s="69" t="s">
        <v>3274</v>
      </c>
      <c r="DOJ1" s="69" t="s">
        <v>3275</v>
      </c>
      <c r="DOK1" s="69" t="s">
        <v>3276</v>
      </c>
      <c r="DOL1" s="69" t="s">
        <v>3277</v>
      </c>
      <c r="DOM1" s="69" t="s">
        <v>3278</v>
      </c>
      <c r="DON1" s="69" t="s">
        <v>3279</v>
      </c>
      <c r="DOO1" s="69" t="s">
        <v>3280</v>
      </c>
      <c r="DOP1" s="69" t="s">
        <v>3281</v>
      </c>
      <c r="DOQ1" s="69" t="s">
        <v>3282</v>
      </c>
      <c r="DOR1" s="69" t="s">
        <v>3283</v>
      </c>
      <c r="DOS1" s="69" t="s">
        <v>3284</v>
      </c>
      <c r="DOT1" s="69" t="s">
        <v>3285</v>
      </c>
      <c r="DOU1" s="69" t="s">
        <v>3286</v>
      </c>
      <c r="DOV1" s="69" t="s">
        <v>3287</v>
      </c>
      <c r="DOW1" s="69" t="s">
        <v>3288</v>
      </c>
      <c r="DOX1" s="69" t="s">
        <v>3289</v>
      </c>
      <c r="DOY1" s="69" t="s">
        <v>3290</v>
      </c>
      <c r="DOZ1" s="69" t="s">
        <v>3291</v>
      </c>
      <c r="DPA1" s="69" t="s">
        <v>3292</v>
      </c>
      <c r="DPB1" s="69" t="s">
        <v>3293</v>
      </c>
      <c r="DPC1" s="69" t="s">
        <v>3294</v>
      </c>
      <c r="DPD1" s="69" t="s">
        <v>3295</v>
      </c>
      <c r="DPE1" s="69" t="s">
        <v>3296</v>
      </c>
      <c r="DPF1" s="69" t="s">
        <v>3297</v>
      </c>
      <c r="DPG1" s="69" t="s">
        <v>3298</v>
      </c>
      <c r="DPH1" s="69" t="s">
        <v>3299</v>
      </c>
      <c r="DPI1" s="69" t="s">
        <v>3300</v>
      </c>
      <c r="DPJ1" s="69" t="s">
        <v>3301</v>
      </c>
      <c r="DPK1" s="69" t="s">
        <v>3302</v>
      </c>
      <c r="DPL1" s="69" t="s">
        <v>3303</v>
      </c>
      <c r="DPM1" s="69" t="s">
        <v>3304</v>
      </c>
      <c r="DPN1" s="69" t="s">
        <v>3305</v>
      </c>
      <c r="DPO1" s="69" t="s">
        <v>3306</v>
      </c>
      <c r="DPP1" s="69" t="s">
        <v>3307</v>
      </c>
      <c r="DPQ1" s="69" t="s">
        <v>3308</v>
      </c>
      <c r="DPR1" s="69" t="s">
        <v>3309</v>
      </c>
      <c r="DPS1" s="69" t="s">
        <v>3310</v>
      </c>
      <c r="DPT1" s="69" t="s">
        <v>3311</v>
      </c>
      <c r="DPU1" s="69" t="s">
        <v>3312</v>
      </c>
      <c r="DPV1" s="69" t="s">
        <v>3313</v>
      </c>
      <c r="DPW1" s="69" t="s">
        <v>3314</v>
      </c>
      <c r="DPX1" s="69" t="s">
        <v>3315</v>
      </c>
      <c r="DPY1" s="69" t="s">
        <v>3316</v>
      </c>
      <c r="DPZ1" s="69" t="s">
        <v>3317</v>
      </c>
      <c r="DQA1" s="69" t="s">
        <v>3318</v>
      </c>
      <c r="DQB1" s="69" t="s">
        <v>3319</v>
      </c>
      <c r="DQC1" s="69" t="s">
        <v>3320</v>
      </c>
      <c r="DQD1" s="69" t="s">
        <v>3321</v>
      </c>
      <c r="DQE1" s="69" t="s">
        <v>3322</v>
      </c>
      <c r="DQF1" s="69" t="s">
        <v>3323</v>
      </c>
      <c r="DQG1" s="69" t="s">
        <v>3324</v>
      </c>
      <c r="DQH1" s="69" t="s">
        <v>3325</v>
      </c>
      <c r="DQI1" s="69" t="s">
        <v>3326</v>
      </c>
      <c r="DQJ1" s="69" t="s">
        <v>3327</v>
      </c>
      <c r="DQK1" s="69" t="s">
        <v>3328</v>
      </c>
      <c r="DQL1" s="69" t="s">
        <v>3329</v>
      </c>
      <c r="DQM1" s="69" t="s">
        <v>3330</v>
      </c>
      <c r="DQN1" s="69" t="s">
        <v>3331</v>
      </c>
      <c r="DQO1" s="69" t="s">
        <v>3332</v>
      </c>
      <c r="DQP1" s="69" t="s">
        <v>3333</v>
      </c>
      <c r="DQQ1" s="69" t="s">
        <v>3334</v>
      </c>
      <c r="DQR1" s="69" t="s">
        <v>3335</v>
      </c>
      <c r="DQS1" s="69" t="s">
        <v>3336</v>
      </c>
      <c r="DQT1" s="69" t="s">
        <v>3337</v>
      </c>
      <c r="DQU1" s="69" t="s">
        <v>3338</v>
      </c>
      <c r="DQV1" s="69" t="s">
        <v>3339</v>
      </c>
      <c r="DQW1" s="69" t="s">
        <v>3340</v>
      </c>
      <c r="DQX1" s="69" t="s">
        <v>3341</v>
      </c>
      <c r="DQY1" s="69" t="s">
        <v>3342</v>
      </c>
      <c r="DQZ1" s="69" t="s">
        <v>3343</v>
      </c>
      <c r="DRA1" s="69" t="s">
        <v>3344</v>
      </c>
      <c r="DRB1" s="69" t="s">
        <v>3345</v>
      </c>
      <c r="DRC1" s="69" t="s">
        <v>3346</v>
      </c>
      <c r="DRD1" s="69" t="s">
        <v>3347</v>
      </c>
      <c r="DRE1" s="69" t="s">
        <v>3348</v>
      </c>
      <c r="DRF1" s="69" t="s">
        <v>3349</v>
      </c>
      <c r="DRG1" s="69" t="s">
        <v>3350</v>
      </c>
      <c r="DRH1" s="69" t="s">
        <v>3351</v>
      </c>
      <c r="DRI1" s="69" t="s">
        <v>3352</v>
      </c>
      <c r="DRJ1" s="69" t="s">
        <v>3353</v>
      </c>
      <c r="DRK1" s="69" t="s">
        <v>3354</v>
      </c>
      <c r="DRL1" s="69" t="s">
        <v>3355</v>
      </c>
      <c r="DRM1" s="69" t="s">
        <v>3356</v>
      </c>
      <c r="DRN1" s="69" t="s">
        <v>3357</v>
      </c>
      <c r="DRO1" s="69" t="s">
        <v>3358</v>
      </c>
      <c r="DRP1" s="69" t="s">
        <v>3359</v>
      </c>
      <c r="DRQ1" s="69" t="s">
        <v>3360</v>
      </c>
      <c r="DRR1" s="69" t="s">
        <v>3361</v>
      </c>
      <c r="DRS1" s="69" t="s">
        <v>3362</v>
      </c>
      <c r="DRT1" s="69" t="s">
        <v>3363</v>
      </c>
      <c r="DRU1" s="69" t="s">
        <v>3364</v>
      </c>
      <c r="DRV1" s="69" t="s">
        <v>3365</v>
      </c>
      <c r="DRW1" s="69" t="s">
        <v>3366</v>
      </c>
      <c r="DRX1" s="69" t="s">
        <v>3367</v>
      </c>
      <c r="DRY1" s="69" t="s">
        <v>3368</v>
      </c>
      <c r="DRZ1" s="69" t="s">
        <v>3369</v>
      </c>
      <c r="DSA1" s="69" t="s">
        <v>3370</v>
      </c>
      <c r="DSB1" s="69" t="s">
        <v>3371</v>
      </c>
      <c r="DSC1" s="69" t="s">
        <v>3372</v>
      </c>
      <c r="DSD1" s="69" t="s">
        <v>3373</v>
      </c>
      <c r="DSE1" s="69" t="s">
        <v>3374</v>
      </c>
      <c r="DSF1" s="69" t="s">
        <v>3375</v>
      </c>
      <c r="DSG1" s="69" t="s">
        <v>3376</v>
      </c>
      <c r="DSH1" s="69" t="s">
        <v>3377</v>
      </c>
      <c r="DSI1" s="69" t="s">
        <v>3378</v>
      </c>
      <c r="DSJ1" s="69" t="s">
        <v>3379</v>
      </c>
      <c r="DSK1" s="69" t="s">
        <v>3380</v>
      </c>
      <c r="DSL1" s="69" t="s">
        <v>3381</v>
      </c>
      <c r="DSM1" s="69" t="s">
        <v>3382</v>
      </c>
      <c r="DSN1" s="69" t="s">
        <v>3383</v>
      </c>
      <c r="DSO1" s="69" t="s">
        <v>3384</v>
      </c>
      <c r="DSP1" s="69" t="s">
        <v>3385</v>
      </c>
      <c r="DSQ1" s="69" t="s">
        <v>3386</v>
      </c>
      <c r="DSR1" s="69" t="s">
        <v>3387</v>
      </c>
      <c r="DSS1" s="69" t="s">
        <v>3388</v>
      </c>
      <c r="DST1" s="69" t="s">
        <v>3389</v>
      </c>
      <c r="DSU1" s="69" t="s">
        <v>3390</v>
      </c>
      <c r="DSV1" s="69" t="s">
        <v>3391</v>
      </c>
      <c r="DSW1" s="69" t="s">
        <v>3392</v>
      </c>
      <c r="DSX1" s="69" t="s">
        <v>3393</v>
      </c>
      <c r="DSY1" s="69" t="s">
        <v>3394</v>
      </c>
      <c r="DSZ1" s="69" t="s">
        <v>3395</v>
      </c>
      <c r="DTA1" s="69" t="s">
        <v>3396</v>
      </c>
      <c r="DTB1" s="69" t="s">
        <v>3397</v>
      </c>
      <c r="DTC1" s="69" t="s">
        <v>3398</v>
      </c>
      <c r="DTD1" s="69" t="s">
        <v>3399</v>
      </c>
      <c r="DTE1" s="69" t="s">
        <v>3400</v>
      </c>
      <c r="DTF1" s="69" t="s">
        <v>3401</v>
      </c>
      <c r="DTG1" s="69" t="s">
        <v>3402</v>
      </c>
      <c r="DTH1" s="69" t="s">
        <v>3403</v>
      </c>
      <c r="DTI1" s="69" t="s">
        <v>3404</v>
      </c>
      <c r="DTJ1" s="69" t="s">
        <v>3405</v>
      </c>
      <c r="DTK1" s="69" t="s">
        <v>3406</v>
      </c>
      <c r="DTL1" s="69" t="s">
        <v>3407</v>
      </c>
      <c r="DTM1" s="69" t="s">
        <v>3408</v>
      </c>
      <c r="DTN1" s="69" t="s">
        <v>3409</v>
      </c>
      <c r="DTO1" s="69" t="s">
        <v>3410</v>
      </c>
      <c r="DTP1" s="69" t="s">
        <v>3411</v>
      </c>
      <c r="DTQ1" s="69" t="s">
        <v>3412</v>
      </c>
      <c r="DTR1" s="69" t="s">
        <v>3413</v>
      </c>
      <c r="DTS1" s="69" t="s">
        <v>3414</v>
      </c>
      <c r="DTT1" s="69" t="s">
        <v>3415</v>
      </c>
      <c r="DTU1" s="69" t="s">
        <v>3416</v>
      </c>
      <c r="DTV1" s="69" t="s">
        <v>3417</v>
      </c>
      <c r="DTW1" s="69" t="s">
        <v>3418</v>
      </c>
      <c r="DTX1" s="69" t="s">
        <v>3419</v>
      </c>
      <c r="DTY1" s="69" t="s">
        <v>3420</v>
      </c>
      <c r="DTZ1" s="69" t="s">
        <v>3421</v>
      </c>
      <c r="DUA1" s="69" t="s">
        <v>3422</v>
      </c>
      <c r="DUB1" s="69" t="s">
        <v>3423</v>
      </c>
      <c r="DUC1" s="69" t="s">
        <v>3424</v>
      </c>
      <c r="DUD1" s="69" t="s">
        <v>3425</v>
      </c>
      <c r="DUE1" s="69" t="s">
        <v>3426</v>
      </c>
      <c r="DUF1" s="69" t="s">
        <v>3427</v>
      </c>
      <c r="DUG1" s="69" t="s">
        <v>3428</v>
      </c>
      <c r="DUH1" s="69" t="s">
        <v>3429</v>
      </c>
      <c r="DUI1" s="69" t="s">
        <v>3430</v>
      </c>
      <c r="DUJ1" s="69" t="s">
        <v>3431</v>
      </c>
      <c r="DUK1" s="69" t="s">
        <v>3432</v>
      </c>
      <c r="DUL1" s="69" t="s">
        <v>3433</v>
      </c>
      <c r="DUM1" s="69" t="s">
        <v>3434</v>
      </c>
      <c r="DUN1" s="69" t="s">
        <v>3435</v>
      </c>
      <c r="DUO1" s="69" t="s">
        <v>3436</v>
      </c>
      <c r="DUP1" s="69" t="s">
        <v>3437</v>
      </c>
      <c r="DUQ1" s="69" t="s">
        <v>3438</v>
      </c>
      <c r="DUR1" s="69" t="s">
        <v>3439</v>
      </c>
      <c r="DUS1" s="69" t="s">
        <v>3440</v>
      </c>
      <c r="DUT1" s="69" t="s">
        <v>3441</v>
      </c>
      <c r="DUU1" s="69" t="s">
        <v>3442</v>
      </c>
      <c r="DUV1" s="69" t="s">
        <v>3443</v>
      </c>
      <c r="DUW1" s="69" t="s">
        <v>3444</v>
      </c>
      <c r="DUX1" s="69" t="s">
        <v>3445</v>
      </c>
      <c r="DUY1" s="69" t="s">
        <v>3446</v>
      </c>
      <c r="DUZ1" s="69" t="s">
        <v>3447</v>
      </c>
      <c r="DVA1" s="69" t="s">
        <v>3448</v>
      </c>
      <c r="DVB1" s="69" t="s">
        <v>3449</v>
      </c>
      <c r="DVC1" s="69" t="s">
        <v>3450</v>
      </c>
      <c r="DVD1" s="69" t="s">
        <v>3451</v>
      </c>
      <c r="DVE1" s="69" t="s">
        <v>3452</v>
      </c>
      <c r="DVF1" s="69" t="s">
        <v>3453</v>
      </c>
      <c r="DVG1" s="69" t="s">
        <v>3454</v>
      </c>
      <c r="DVH1" s="69" t="s">
        <v>3455</v>
      </c>
      <c r="DVI1" s="69" t="s">
        <v>3456</v>
      </c>
      <c r="DVJ1" s="69" t="s">
        <v>3457</v>
      </c>
      <c r="DVK1" s="69" t="s">
        <v>3458</v>
      </c>
      <c r="DVL1" s="69" t="s">
        <v>3459</v>
      </c>
      <c r="DVM1" s="69" t="s">
        <v>3460</v>
      </c>
      <c r="DVN1" s="69" t="s">
        <v>3461</v>
      </c>
      <c r="DVO1" s="69" t="s">
        <v>3462</v>
      </c>
      <c r="DVP1" s="69" t="s">
        <v>3463</v>
      </c>
      <c r="DVQ1" s="69" t="s">
        <v>3464</v>
      </c>
      <c r="DVR1" s="69" t="s">
        <v>3465</v>
      </c>
      <c r="DVS1" s="69" t="s">
        <v>3466</v>
      </c>
      <c r="DVT1" s="69" t="s">
        <v>3467</v>
      </c>
      <c r="DVU1" s="69" t="s">
        <v>3468</v>
      </c>
      <c r="DVV1" s="69" t="s">
        <v>3469</v>
      </c>
      <c r="DVW1" s="69" t="s">
        <v>3470</v>
      </c>
      <c r="DVX1" s="69" t="s">
        <v>3471</v>
      </c>
      <c r="DVY1" s="69" t="s">
        <v>3472</v>
      </c>
      <c r="DVZ1" s="69" t="s">
        <v>3473</v>
      </c>
      <c r="DWA1" s="69" t="s">
        <v>3474</v>
      </c>
      <c r="DWB1" s="69" t="s">
        <v>3475</v>
      </c>
      <c r="DWC1" s="69" t="s">
        <v>3476</v>
      </c>
      <c r="DWD1" s="69" t="s">
        <v>3477</v>
      </c>
      <c r="DWE1" s="69" t="s">
        <v>3478</v>
      </c>
      <c r="DWF1" s="69" t="s">
        <v>3479</v>
      </c>
      <c r="DWG1" s="69" t="s">
        <v>3480</v>
      </c>
      <c r="DWH1" s="69" t="s">
        <v>3481</v>
      </c>
      <c r="DWI1" s="69" t="s">
        <v>3482</v>
      </c>
      <c r="DWJ1" s="69" t="s">
        <v>3483</v>
      </c>
      <c r="DWK1" s="69" t="s">
        <v>3484</v>
      </c>
      <c r="DWL1" s="69" t="s">
        <v>3485</v>
      </c>
      <c r="DWM1" s="69" t="s">
        <v>3486</v>
      </c>
      <c r="DWN1" s="69" t="s">
        <v>3487</v>
      </c>
      <c r="DWO1" s="69" t="s">
        <v>3488</v>
      </c>
      <c r="DWP1" s="69" t="s">
        <v>3489</v>
      </c>
      <c r="DWQ1" s="69" t="s">
        <v>3490</v>
      </c>
      <c r="DWR1" s="69" t="s">
        <v>3491</v>
      </c>
      <c r="DWS1" s="69" t="s">
        <v>3492</v>
      </c>
      <c r="DWT1" s="69" t="s">
        <v>3493</v>
      </c>
      <c r="DWU1" s="69" t="s">
        <v>3494</v>
      </c>
      <c r="DWV1" s="69" t="s">
        <v>3495</v>
      </c>
      <c r="DWW1" s="69" t="s">
        <v>3496</v>
      </c>
      <c r="DWX1" s="69" t="s">
        <v>3497</v>
      </c>
      <c r="DWY1" s="69" t="s">
        <v>3498</v>
      </c>
      <c r="DWZ1" s="69" t="s">
        <v>3499</v>
      </c>
      <c r="DXA1" s="69" t="s">
        <v>3500</v>
      </c>
      <c r="DXB1" s="69" t="s">
        <v>3501</v>
      </c>
      <c r="DXC1" s="69" t="s">
        <v>3502</v>
      </c>
      <c r="DXD1" s="69" t="s">
        <v>3503</v>
      </c>
      <c r="DXE1" s="69" t="s">
        <v>3504</v>
      </c>
      <c r="DXF1" s="69" t="s">
        <v>3505</v>
      </c>
      <c r="DXG1" s="69" t="s">
        <v>3506</v>
      </c>
      <c r="DXH1" s="69" t="s">
        <v>3507</v>
      </c>
      <c r="DXI1" s="69" t="s">
        <v>3508</v>
      </c>
      <c r="DXJ1" s="69" t="s">
        <v>3509</v>
      </c>
      <c r="DXK1" s="69" t="s">
        <v>3510</v>
      </c>
      <c r="DXL1" s="69" t="s">
        <v>3511</v>
      </c>
      <c r="DXM1" s="69" t="s">
        <v>3512</v>
      </c>
      <c r="DXN1" s="69" t="s">
        <v>3513</v>
      </c>
      <c r="DXO1" s="69" t="s">
        <v>3514</v>
      </c>
      <c r="DXP1" s="69" t="s">
        <v>3515</v>
      </c>
      <c r="DXQ1" s="69" t="s">
        <v>3516</v>
      </c>
      <c r="DXR1" s="69" t="s">
        <v>3517</v>
      </c>
      <c r="DXS1" s="69" t="s">
        <v>3518</v>
      </c>
      <c r="DXT1" s="69" t="s">
        <v>3519</v>
      </c>
      <c r="DXU1" s="69" t="s">
        <v>3520</v>
      </c>
      <c r="DXV1" s="69" t="s">
        <v>3521</v>
      </c>
      <c r="DXW1" s="69" t="s">
        <v>3522</v>
      </c>
      <c r="DXX1" s="69" t="s">
        <v>3523</v>
      </c>
      <c r="DXY1" s="69" t="s">
        <v>3524</v>
      </c>
      <c r="DXZ1" s="69" t="s">
        <v>3525</v>
      </c>
      <c r="DYA1" s="69" t="s">
        <v>3526</v>
      </c>
      <c r="DYB1" s="69" t="s">
        <v>3527</v>
      </c>
      <c r="DYC1" s="69" t="s">
        <v>3528</v>
      </c>
      <c r="DYD1" s="69" t="s">
        <v>3529</v>
      </c>
      <c r="DYE1" s="69" t="s">
        <v>3530</v>
      </c>
      <c r="DYF1" s="69" t="s">
        <v>3531</v>
      </c>
      <c r="DYG1" s="69" t="s">
        <v>3532</v>
      </c>
      <c r="DYH1" s="69" t="s">
        <v>3533</v>
      </c>
      <c r="DYI1" s="69" t="s">
        <v>3534</v>
      </c>
      <c r="DYJ1" s="69" t="s">
        <v>3535</v>
      </c>
      <c r="DYK1" s="69" t="s">
        <v>3536</v>
      </c>
      <c r="DYL1" s="69" t="s">
        <v>3537</v>
      </c>
      <c r="DYM1" s="69" t="s">
        <v>3538</v>
      </c>
      <c r="DYN1" s="69" t="s">
        <v>3539</v>
      </c>
      <c r="DYO1" s="69" t="s">
        <v>3540</v>
      </c>
      <c r="DYP1" s="69" t="s">
        <v>3541</v>
      </c>
      <c r="DYQ1" s="69" t="s">
        <v>3542</v>
      </c>
      <c r="DYR1" s="69" t="s">
        <v>3543</v>
      </c>
      <c r="DYS1" s="69" t="s">
        <v>3544</v>
      </c>
      <c r="DYT1" s="69" t="s">
        <v>3545</v>
      </c>
      <c r="DYU1" s="69" t="s">
        <v>3546</v>
      </c>
      <c r="DYV1" s="69" t="s">
        <v>3547</v>
      </c>
      <c r="DYW1" s="69" t="s">
        <v>3548</v>
      </c>
      <c r="DYX1" s="69" t="s">
        <v>3549</v>
      </c>
      <c r="DYY1" s="69" t="s">
        <v>3550</v>
      </c>
      <c r="DYZ1" s="69" t="s">
        <v>3551</v>
      </c>
      <c r="DZA1" s="69" t="s">
        <v>3552</v>
      </c>
      <c r="DZB1" s="69" t="s">
        <v>3553</v>
      </c>
      <c r="DZC1" s="69" t="s">
        <v>3554</v>
      </c>
      <c r="DZD1" s="69" t="s">
        <v>3555</v>
      </c>
      <c r="DZE1" s="69" t="s">
        <v>3556</v>
      </c>
      <c r="DZF1" s="69" t="s">
        <v>3557</v>
      </c>
      <c r="DZG1" s="69" t="s">
        <v>3558</v>
      </c>
      <c r="DZH1" s="69" t="s">
        <v>3559</v>
      </c>
      <c r="DZI1" s="69" t="s">
        <v>3560</v>
      </c>
      <c r="DZJ1" s="69" t="s">
        <v>3561</v>
      </c>
      <c r="DZK1" s="69" t="s">
        <v>3562</v>
      </c>
      <c r="DZL1" s="69" t="s">
        <v>3563</v>
      </c>
      <c r="DZM1" s="69" t="s">
        <v>3564</v>
      </c>
      <c r="DZN1" s="69" t="s">
        <v>3565</v>
      </c>
      <c r="DZO1" s="69" t="s">
        <v>3566</v>
      </c>
      <c r="DZP1" s="69" t="s">
        <v>3567</v>
      </c>
      <c r="DZQ1" s="69" t="s">
        <v>3568</v>
      </c>
      <c r="DZR1" s="69" t="s">
        <v>3569</v>
      </c>
      <c r="DZS1" s="69" t="s">
        <v>3570</v>
      </c>
      <c r="DZT1" s="69" t="s">
        <v>3571</v>
      </c>
      <c r="DZU1" s="69" t="s">
        <v>3572</v>
      </c>
      <c r="DZV1" s="69" t="s">
        <v>3573</v>
      </c>
      <c r="DZW1" s="69" t="s">
        <v>3574</v>
      </c>
      <c r="DZX1" s="69" t="s">
        <v>3575</v>
      </c>
      <c r="DZY1" s="69" t="s">
        <v>3576</v>
      </c>
      <c r="DZZ1" s="69" t="s">
        <v>3577</v>
      </c>
      <c r="EAA1" s="69" t="s">
        <v>3578</v>
      </c>
      <c r="EAB1" s="69" t="s">
        <v>3579</v>
      </c>
      <c r="EAC1" s="69" t="s">
        <v>3580</v>
      </c>
      <c r="EAD1" s="69" t="s">
        <v>3581</v>
      </c>
      <c r="EAE1" s="69" t="s">
        <v>3582</v>
      </c>
      <c r="EAF1" s="69" t="s">
        <v>3583</v>
      </c>
      <c r="EAG1" s="69" t="s">
        <v>3584</v>
      </c>
      <c r="EAH1" s="69" t="s">
        <v>3585</v>
      </c>
      <c r="EAI1" s="69" t="s">
        <v>3586</v>
      </c>
      <c r="EAJ1" s="69" t="s">
        <v>3587</v>
      </c>
      <c r="EAK1" s="69" t="s">
        <v>3588</v>
      </c>
      <c r="EAL1" s="69" t="s">
        <v>3589</v>
      </c>
      <c r="EAM1" s="69" t="s">
        <v>3590</v>
      </c>
      <c r="EAN1" s="69" t="s">
        <v>3591</v>
      </c>
      <c r="EAO1" s="69" t="s">
        <v>3592</v>
      </c>
      <c r="EAP1" s="69" t="s">
        <v>3593</v>
      </c>
      <c r="EAQ1" s="69" t="s">
        <v>3594</v>
      </c>
      <c r="EAR1" s="69" t="s">
        <v>3595</v>
      </c>
      <c r="EAS1" s="69" t="s">
        <v>3596</v>
      </c>
      <c r="EAT1" s="69" t="s">
        <v>3597</v>
      </c>
      <c r="EAU1" s="69" t="s">
        <v>3598</v>
      </c>
      <c r="EAV1" s="69" t="s">
        <v>3599</v>
      </c>
      <c r="EAW1" s="69" t="s">
        <v>3600</v>
      </c>
      <c r="EAX1" s="69" t="s">
        <v>3601</v>
      </c>
      <c r="EAY1" s="69" t="s">
        <v>3602</v>
      </c>
      <c r="EAZ1" s="69" t="s">
        <v>3603</v>
      </c>
      <c r="EBA1" s="69" t="s">
        <v>3604</v>
      </c>
      <c r="EBB1" s="69" t="s">
        <v>3605</v>
      </c>
      <c r="EBC1" s="69" t="s">
        <v>3606</v>
      </c>
      <c r="EBD1" s="69" t="s">
        <v>3607</v>
      </c>
      <c r="EBE1" s="69" t="s">
        <v>3608</v>
      </c>
      <c r="EBF1" s="69" t="s">
        <v>3609</v>
      </c>
      <c r="EBG1" s="69" t="s">
        <v>3610</v>
      </c>
      <c r="EBH1" s="69" t="s">
        <v>3611</v>
      </c>
      <c r="EBI1" s="69" t="s">
        <v>3612</v>
      </c>
      <c r="EBJ1" s="69" t="s">
        <v>3613</v>
      </c>
      <c r="EBK1" s="69" t="s">
        <v>3614</v>
      </c>
      <c r="EBL1" s="69" t="s">
        <v>3615</v>
      </c>
      <c r="EBM1" s="69" t="s">
        <v>3616</v>
      </c>
      <c r="EBN1" s="69" t="s">
        <v>3617</v>
      </c>
      <c r="EBO1" s="69" t="s">
        <v>3618</v>
      </c>
      <c r="EBP1" s="69" t="s">
        <v>3619</v>
      </c>
      <c r="EBQ1" s="69" t="s">
        <v>3620</v>
      </c>
      <c r="EBR1" s="69" t="s">
        <v>3621</v>
      </c>
      <c r="EBS1" s="69" t="s">
        <v>3622</v>
      </c>
      <c r="EBT1" s="69" t="s">
        <v>3623</v>
      </c>
      <c r="EBU1" s="69" t="s">
        <v>3624</v>
      </c>
      <c r="EBV1" s="69" t="s">
        <v>3625</v>
      </c>
      <c r="EBW1" s="69" t="s">
        <v>3626</v>
      </c>
      <c r="EBX1" s="69" t="s">
        <v>3627</v>
      </c>
      <c r="EBY1" s="69" t="s">
        <v>3628</v>
      </c>
      <c r="EBZ1" s="69" t="s">
        <v>3629</v>
      </c>
      <c r="ECA1" s="69" t="s">
        <v>3630</v>
      </c>
      <c r="ECB1" s="69" t="s">
        <v>3631</v>
      </c>
      <c r="ECC1" s="69" t="s">
        <v>3632</v>
      </c>
      <c r="ECD1" s="69" t="s">
        <v>3633</v>
      </c>
      <c r="ECE1" s="69" t="s">
        <v>3634</v>
      </c>
      <c r="ECF1" s="69" t="s">
        <v>3635</v>
      </c>
      <c r="ECG1" s="69" t="s">
        <v>3636</v>
      </c>
      <c r="ECH1" s="69" t="s">
        <v>3637</v>
      </c>
      <c r="ECI1" s="69" t="s">
        <v>3638</v>
      </c>
      <c r="ECJ1" s="69" t="s">
        <v>3639</v>
      </c>
      <c r="ECK1" s="69" t="s">
        <v>3640</v>
      </c>
      <c r="ECL1" s="69" t="s">
        <v>3641</v>
      </c>
      <c r="ECM1" s="69" t="s">
        <v>3642</v>
      </c>
      <c r="ECN1" s="69" t="s">
        <v>3643</v>
      </c>
      <c r="ECO1" s="69" t="s">
        <v>3644</v>
      </c>
      <c r="ECP1" s="69" t="s">
        <v>3645</v>
      </c>
      <c r="ECQ1" s="69" t="s">
        <v>3646</v>
      </c>
      <c r="ECR1" s="69" t="s">
        <v>3647</v>
      </c>
      <c r="ECS1" s="69" t="s">
        <v>3648</v>
      </c>
      <c r="ECT1" s="69" t="s">
        <v>3649</v>
      </c>
      <c r="ECU1" s="69" t="s">
        <v>3650</v>
      </c>
      <c r="ECV1" s="69" t="s">
        <v>3651</v>
      </c>
      <c r="ECW1" s="69" t="s">
        <v>3652</v>
      </c>
      <c r="ECX1" s="69" t="s">
        <v>3653</v>
      </c>
      <c r="ECY1" s="69" t="s">
        <v>3654</v>
      </c>
      <c r="ECZ1" s="69" t="s">
        <v>3655</v>
      </c>
      <c r="EDA1" s="69" t="s">
        <v>3656</v>
      </c>
      <c r="EDB1" s="69" t="s">
        <v>3657</v>
      </c>
      <c r="EDC1" s="69" t="s">
        <v>3658</v>
      </c>
      <c r="EDD1" s="69" t="s">
        <v>3659</v>
      </c>
      <c r="EDE1" s="69" t="s">
        <v>3660</v>
      </c>
      <c r="EDF1" s="69" t="s">
        <v>3661</v>
      </c>
      <c r="EDG1" s="69" t="s">
        <v>3662</v>
      </c>
      <c r="EDH1" s="69" t="s">
        <v>3663</v>
      </c>
      <c r="EDI1" s="69" t="s">
        <v>3664</v>
      </c>
      <c r="EDJ1" s="69" t="s">
        <v>3665</v>
      </c>
      <c r="EDK1" s="69" t="s">
        <v>3666</v>
      </c>
      <c r="EDL1" s="69" t="s">
        <v>3667</v>
      </c>
      <c r="EDM1" s="69" t="s">
        <v>3668</v>
      </c>
      <c r="EDN1" s="69" t="s">
        <v>3669</v>
      </c>
      <c r="EDO1" s="69" t="s">
        <v>3670</v>
      </c>
      <c r="EDP1" s="69" t="s">
        <v>3671</v>
      </c>
      <c r="EDQ1" s="69" t="s">
        <v>3672</v>
      </c>
      <c r="EDR1" s="69" t="s">
        <v>3673</v>
      </c>
      <c r="EDS1" s="69" t="s">
        <v>3674</v>
      </c>
      <c r="EDT1" s="69" t="s">
        <v>3675</v>
      </c>
      <c r="EDU1" s="69" t="s">
        <v>3676</v>
      </c>
      <c r="EDV1" s="69" t="s">
        <v>3677</v>
      </c>
      <c r="EDW1" s="69" t="s">
        <v>3678</v>
      </c>
      <c r="EDX1" s="69" t="s">
        <v>3679</v>
      </c>
      <c r="EDY1" s="69" t="s">
        <v>3680</v>
      </c>
      <c r="EDZ1" s="69" t="s">
        <v>3681</v>
      </c>
      <c r="EEA1" s="69" t="s">
        <v>3682</v>
      </c>
      <c r="EEB1" s="69" t="s">
        <v>3683</v>
      </c>
      <c r="EEC1" s="69" t="s">
        <v>3684</v>
      </c>
      <c r="EED1" s="69" t="s">
        <v>3685</v>
      </c>
      <c r="EEE1" s="69" t="s">
        <v>3686</v>
      </c>
      <c r="EEF1" s="69" t="s">
        <v>3687</v>
      </c>
      <c r="EEG1" s="69" t="s">
        <v>3688</v>
      </c>
      <c r="EEH1" s="69" t="s">
        <v>3689</v>
      </c>
      <c r="EEI1" s="69" t="s">
        <v>3690</v>
      </c>
      <c r="EEJ1" s="69" t="s">
        <v>3691</v>
      </c>
      <c r="EEK1" s="69" t="s">
        <v>3692</v>
      </c>
      <c r="EEL1" s="69" t="s">
        <v>3693</v>
      </c>
      <c r="EEM1" s="69" t="s">
        <v>3694</v>
      </c>
      <c r="EEN1" s="69" t="s">
        <v>3695</v>
      </c>
      <c r="EEO1" s="69" t="s">
        <v>3696</v>
      </c>
      <c r="EEP1" s="69" t="s">
        <v>3697</v>
      </c>
      <c r="EEQ1" s="69" t="s">
        <v>3698</v>
      </c>
      <c r="EER1" s="69" t="s">
        <v>3699</v>
      </c>
      <c r="EES1" s="69" t="s">
        <v>3700</v>
      </c>
      <c r="EET1" s="69" t="s">
        <v>3701</v>
      </c>
      <c r="EEU1" s="69" t="s">
        <v>3702</v>
      </c>
      <c r="EEV1" s="69" t="s">
        <v>3703</v>
      </c>
      <c r="EEW1" s="69" t="s">
        <v>3704</v>
      </c>
      <c r="EEX1" s="69" t="s">
        <v>3705</v>
      </c>
      <c r="EEY1" s="69" t="s">
        <v>3706</v>
      </c>
      <c r="EEZ1" s="69" t="s">
        <v>3707</v>
      </c>
      <c r="EFA1" s="69" t="s">
        <v>3708</v>
      </c>
      <c r="EFB1" s="69" t="s">
        <v>3709</v>
      </c>
      <c r="EFC1" s="69" t="s">
        <v>3710</v>
      </c>
      <c r="EFD1" s="69" t="s">
        <v>3711</v>
      </c>
      <c r="EFE1" s="69" t="s">
        <v>3712</v>
      </c>
      <c r="EFF1" s="69" t="s">
        <v>3713</v>
      </c>
      <c r="EFG1" s="69" t="s">
        <v>3714</v>
      </c>
      <c r="EFH1" s="69" t="s">
        <v>3715</v>
      </c>
      <c r="EFI1" s="69" t="s">
        <v>3716</v>
      </c>
      <c r="EFJ1" s="69" t="s">
        <v>3717</v>
      </c>
      <c r="EFK1" s="69" t="s">
        <v>3718</v>
      </c>
      <c r="EFL1" s="69" t="s">
        <v>3719</v>
      </c>
      <c r="EFM1" s="69" t="s">
        <v>3720</v>
      </c>
      <c r="EFN1" s="69" t="s">
        <v>3721</v>
      </c>
      <c r="EFO1" s="69" t="s">
        <v>3722</v>
      </c>
      <c r="EFP1" s="69" t="s">
        <v>3723</v>
      </c>
      <c r="EFQ1" s="69" t="s">
        <v>3724</v>
      </c>
      <c r="EFR1" s="69" t="s">
        <v>3725</v>
      </c>
      <c r="EFS1" s="69" t="s">
        <v>3726</v>
      </c>
      <c r="EFT1" s="69" t="s">
        <v>3727</v>
      </c>
      <c r="EFU1" s="69" t="s">
        <v>3728</v>
      </c>
      <c r="EFV1" s="69" t="s">
        <v>3729</v>
      </c>
      <c r="EFW1" s="69" t="s">
        <v>3730</v>
      </c>
      <c r="EFX1" s="69" t="s">
        <v>3731</v>
      </c>
      <c r="EFY1" s="69" t="s">
        <v>3732</v>
      </c>
      <c r="EFZ1" s="69" t="s">
        <v>3733</v>
      </c>
      <c r="EGA1" s="69" t="s">
        <v>3734</v>
      </c>
      <c r="EGB1" s="69" t="s">
        <v>3735</v>
      </c>
      <c r="EGC1" s="69" t="s">
        <v>3736</v>
      </c>
      <c r="EGD1" s="69" t="s">
        <v>3737</v>
      </c>
      <c r="EGE1" s="69" t="s">
        <v>3738</v>
      </c>
      <c r="EGF1" s="69" t="s">
        <v>3739</v>
      </c>
      <c r="EGG1" s="69" t="s">
        <v>3740</v>
      </c>
      <c r="EGH1" s="69" t="s">
        <v>3741</v>
      </c>
      <c r="EGI1" s="69" t="s">
        <v>3742</v>
      </c>
      <c r="EGJ1" s="69" t="s">
        <v>3743</v>
      </c>
      <c r="EGK1" s="69" t="s">
        <v>3744</v>
      </c>
      <c r="EGL1" s="69" t="s">
        <v>3745</v>
      </c>
      <c r="EGM1" s="69" t="s">
        <v>3746</v>
      </c>
      <c r="EGN1" s="69" t="s">
        <v>3747</v>
      </c>
      <c r="EGO1" s="69" t="s">
        <v>3748</v>
      </c>
      <c r="EGP1" s="69" t="s">
        <v>3749</v>
      </c>
      <c r="EGQ1" s="69" t="s">
        <v>3750</v>
      </c>
      <c r="EGR1" s="69" t="s">
        <v>3751</v>
      </c>
      <c r="EGS1" s="69" t="s">
        <v>3752</v>
      </c>
      <c r="EGT1" s="69" t="s">
        <v>3753</v>
      </c>
      <c r="EGU1" s="69" t="s">
        <v>3754</v>
      </c>
      <c r="EGV1" s="69" t="s">
        <v>3755</v>
      </c>
      <c r="EGW1" s="69" t="s">
        <v>3756</v>
      </c>
      <c r="EGX1" s="69" t="s">
        <v>3757</v>
      </c>
      <c r="EGY1" s="69" t="s">
        <v>3758</v>
      </c>
      <c r="EGZ1" s="69" t="s">
        <v>3759</v>
      </c>
      <c r="EHA1" s="69" t="s">
        <v>3760</v>
      </c>
      <c r="EHB1" s="69" t="s">
        <v>3761</v>
      </c>
      <c r="EHC1" s="69" t="s">
        <v>3762</v>
      </c>
      <c r="EHD1" s="69" t="s">
        <v>3763</v>
      </c>
      <c r="EHE1" s="69" t="s">
        <v>3764</v>
      </c>
      <c r="EHF1" s="69" t="s">
        <v>3765</v>
      </c>
      <c r="EHG1" s="69" t="s">
        <v>3766</v>
      </c>
      <c r="EHH1" s="69" t="s">
        <v>3767</v>
      </c>
      <c r="EHI1" s="69" t="s">
        <v>3768</v>
      </c>
      <c r="EHJ1" s="69" t="s">
        <v>3769</v>
      </c>
      <c r="EHK1" s="69" t="s">
        <v>3770</v>
      </c>
      <c r="EHL1" s="69" t="s">
        <v>3771</v>
      </c>
      <c r="EHM1" s="69" t="s">
        <v>3772</v>
      </c>
      <c r="EHN1" s="69" t="s">
        <v>3773</v>
      </c>
      <c r="EHO1" s="69" t="s">
        <v>3774</v>
      </c>
      <c r="EHP1" s="69" t="s">
        <v>3775</v>
      </c>
      <c r="EHQ1" s="69" t="s">
        <v>3776</v>
      </c>
      <c r="EHR1" s="69" t="s">
        <v>3777</v>
      </c>
      <c r="EHS1" s="69" t="s">
        <v>3778</v>
      </c>
      <c r="EHT1" s="69" t="s">
        <v>3779</v>
      </c>
      <c r="EHU1" s="69" t="s">
        <v>3780</v>
      </c>
      <c r="EHV1" s="69" t="s">
        <v>3781</v>
      </c>
      <c r="EHW1" s="69" t="s">
        <v>3782</v>
      </c>
      <c r="EHX1" s="69" t="s">
        <v>3783</v>
      </c>
      <c r="EHY1" s="69" t="s">
        <v>3784</v>
      </c>
      <c r="EHZ1" s="69" t="s">
        <v>3785</v>
      </c>
      <c r="EIA1" s="69" t="s">
        <v>3786</v>
      </c>
      <c r="EIB1" s="69" t="s">
        <v>3787</v>
      </c>
      <c r="EIC1" s="69" t="s">
        <v>3788</v>
      </c>
      <c r="EID1" s="69" t="s">
        <v>3789</v>
      </c>
      <c r="EIE1" s="69" t="s">
        <v>3790</v>
      </c>
      <c r="EIF1" s="69" t="s">
        <v>3791</v>
      </c>
      <c r="EIG1" s="69" t="s">
        <v>3792</v>
      </c>
      <c r="EIH1" s="69" t="s">
        <v>3793</v>
      </c>
      <c r="EII1" s="69" t="s">
        <v>3794</v>
      </c>
      <c r="EIJ1" s="69" t="s">
        <v>3795</v>
      </c>
      <c r="EIK1" s="69" t="s">
        <v>3796</v>
      </c>
      <c r="EIL1" s="69" t="s">
        <v>3797</v>
      </c>
      <c r="EIM1" s="69" t="s">
        <v>3798</v>
      </c>
      <c r="EIN1" s="69" t="s">
        <v>3799</v>
      </c>
      <c r="EIO1" s="69" t="s">
        <v>3800</v>
      </c>
      <c r="EIP1" s="69" t="s">
        <v>3801</v>
      </c>
      <c r="EIQ1" s="69" t="s">
        <v>3802</v>
      </c>
      <c r="EIR1" s="69" t="s">
        <v>3803</v>
      </c>
      <c r="EIS1" s="69" t="s">
        <v>3804</v>
      </c>
      <c r="EIT1" s="69" t="s">
        <v>3805</v>
      </c>
      <c r="EIU1" s="69" t="s">
        <v>3806</v>
      </c>
      <c r="EIV1" s="69" t="s">
        <v>3807</v>
      </c>
      <c r="EIW1" s="69" t="s">
        <v>3808</v>
      </c>
      <c r="EIX1" s="69" t="s">
        <v>3809</v>
      </c>
      <c r="EIY1" s="69" t="s">
        <v>3810</v>
      </c>
      <c r="EIZ1" s="69" t="s">
        <v>3811</v>
      </c>
      <c r="EJA1" s="69" t="s">
        <v>3812</v>
      </c>
      <c r="EJB1" s="69" t="s">
        <v>3813</v>
      </c>
      <c r="EJC1" s="69" t="s">
        <v>3814</v>
      </c>
      <c r="EJD1" s="69" t="s">
        <v>3815</v>
      </c>
      <c r="EJE1" s="69" t="s">
        <v>3816</v>
      </c>
      <c r="EJF1" s="69" t="s">
        <v>3817</v>
      </c>
      <c r="EJG1" s="69" t="s">
        <v>3818</v>
      </c>
      <c r="EJH1" s="69" t="s">
        <v>3819</v>
      </c>
      <c r="EJI1" s="69" t="s">
        <v>3820</v>
      </c>
      <c r="EJJ1" s="69" t="s">
        <v>3821</v>
      </c>
      <c r="EJK1" s="69" t="s">
        <v>3822</v>
      </c>
      <c r="EJL1" s="69" t="s">
        <v>3823</v>
      </c>
      <c r="EJM1" s="69" t="s">
        <v>3824</v>
      </c>
      <c r="EJN1" s="69" t="s">
        <v>3825</v>
      </c>
      <c r="EJO1" s="69" t="s">
        <v>3826</v>
      </c>
      <c r="EJP1" s="69" t="s">
        <v>3827</v>
      </c>
      <c r="EJQ1" s="69" t="s">
        <v>3828</v>
      </c>
      <c r="EJR1" s="69" t="s">
        <v>3829</v>
      </c>
      <c r="EJS1" s="69" t="s">
        <v>3830</v>
      </c>
      <c r="EJT1" s="69" t="s">
        <v>3831</v>
      </c>
      <c r="EJU1" s="69" t="s">
        <v>3832</v>
      </c>
      <c r="EJV1" s="69" t="s">
        <v>3833</v>
      </c>
      <c r="EJW1" s="69" t="s">
        <v>3834</v>
      </c>
      <c r="EJX1" s="69" t="s">
        <v>3835</v>
      </c>
      <c r="EJY1" s="69" t="s">
        <v>3836</v>
      </c>
      <c r="EJZ1" s="69" t="s">
        <v>3837</v>
      </c>
      <c r="EKA1" s="69" t="s">
        <v>3838</v>
      </c>
      <c r="EKB1" s="69" t="s">
        <v>3839</v>
      </c>
      <c r="EKC1" s="69" t="s">
        <v>3840</v>
      </c>
      <c r="EKD1" s="69" t="s">
        <v>3841</v>
      </c>
      <c r="EKE1" s="69" t="s">
        <v>3842</v>
      </c>
      <c r="EKF1" s="69" t="s">
        <v>3843</v>
      </c>
      <c r="EKG1" s="69" t="s">
        <v>3844</v>
      </c>
      <c r="EKH1" s="69" t="s">
        <v>3845</v>
      </c>
      <c r="EKI1" s="69" t="s">
        <v>3846</v>
      </c>
      <c r="EKJ1" s="69" t="s">
        <v>3847</v>
      </c>
      <c r="EKK1" s="69" t="s">
        <v>3848</v>
      </c>
      <c r="EKL1" s="69" t="s">
        <v>3849</v>
      </c>
      <c r="EKM1" s="69" t="s">
        <v>3850</v>
      </c>
      <c r="EKN1" s="69" t="s">
        <v>3851</v>
      </c>
      <c r="EKO1" s="69" t="s">
        <v>3852</v>
      </c>
      <c r="EKP1" s="69" t="s">
        <v>3853</v>
      </c>
      <c r="EKQ1" s="69" t="s">
        <v>3854</v>
      </c>
      <c r="EKR1" s="69" t="s">
        <v>3855</v>
      </c>
      <c r="EKS1" s="69" t="s">
        <v>3856</v>
      </c>
      <c r="EKT1" s="69" t="s">
        <v>3857</v>
      </c>
      <c r="EKU1" s="69" t="s">
        <v>3858</v>
      </c>
      <c r="EKV1" s="69" t="s">
        <v>3859</v>
      </c>
      <c r="EKW1" s="69" t="s">
        <v>3860</v>
      </c>
      <c r="EKX1" s="69" t="s">
        <v>3861</v>
      </c>
      <c r="EKY1" s="69" t="s">
        <v>3862</v>
      </c>
      <c r="EKZ1" s="69" t="s">
        <v>3863</v>
      </c>
      <c r="ELA1" s="69" t="s">
        <v>3864</v>
      </c>
      <c r="ELB1" s="69" t="s">
        <v>3865</v>
      </c>
      <c r="ELC1" s="69" t="s">
        <v>3866</v>
      </c>
      <c r="ELD1" s="69" t="s">
        <v>3867</v>
      </c>
      <c r="ELE1" s="69" t="s">
        <v>3868</v>
      </c>
      <c r="ELF1" s="69" t="s">
        <v>3869</v>
      </c>
      <c r="ELG1" s="69" t="s">
        <v>3870</v>
      </c>
      <c r="ELH1" s="69" t="s">
        <v>3871</v>
      </c>
      <c r="ELI1" s="69" t="s">
        <v>3872</v>
      </c>
      <c r="ELJ1" s="69" t="s">
        <v>3873</v>
      </c>
      <c r="ELK1" s="69" t="s">
        <v>3874</v>
      </c>
      <c r="ELL1" s="69" t="s">
        <v>3875</v>
      </c>
      <c r="ELM1" s="69" t="s">
        <v>3876</v>
      </c>
      <c r="ELN1" s="69" t="s">
        <v>3877</v>
      </c>
      <c r="ELO1" s="69" t="s">
        <v>3878</v>
      </c>
      <c r="ELP1" s="69" t="s">
        <v>3879</v>
      </c>
      <c r="ELQ1" s="69" t="s">
        <v>3880</v>
      </c>
      <c r="ELR1" s="69" t="s">
        <v>3881</v>
      </c>
      <c r="ELS1" s="69" t="s">
        <v>3882</v>
      </c>
      <c r="ELT1" s="69" t="s">
        <v>3883</v>
      </c>
      <c r="ELU1" s="69" t="s">
        <v>3884</v>
      </c>
      <c r="ELV1" s="69" t="s">
        <v>3885</v>
      </c>
      <c r="ELW1" s="69" t="s">
        <v>3886</v>
      </c>
      <c r="ELX1" s="69" t="s">
        <v>3887</v>
      </c>
      <c r="ELY1" s="69" t="s">
        <v>3888</v>
      </c>
      <c r="ELZ1" s="69" t="s">
        <v>3889</v>
      </c>
      <c r="EMA1" s="69" t="s">
        <v>3890</v>
      </c>
      <c r="EMB1" s="69" t="s">
        <v>3891</v>
      </c>
      <c r="EMC1" s="69" t="s">
        <v>3892</v>
      </c>
      <c r="EMD1" s="69" t="s">
        <v>3893</v>
      </c>
      <c r="EME1" s="69" t="s">
        <v>3894</v>
      </c>
      <c r="EMF1" s="69" t="s">
        <v>3895</v>
      </c>
      <c r="EMG1" s="69" t="s">
        <v>3896</v>
      </c>
      <c r="EMH1" s="69" t="s">
        <v>3897</v>
      </c>
      <c r="EMI1" s="69" t="s">
        <v>3898</v>
      </c>
      <c r="EMJ1" s="69" t="s">
        <v>3899</v>
      </c>
      <c r="EMK1" s="69" t="s">
        <v>3900</v>
      </c>
      <c r="EML1" s="69" t="s">
        <v>3901</v>
      </c>
      <c r="EMM1" s="69" t="s">
        <v>3902</v>
      </c>
      <c r="EMN1" s="69" t="s">
        <v>3903</v>
      </c>
      <c r="EMO1" s="69" t="s">
        <v>3904</v>
      </c>
      <c r="EMP1" s="69" t="s">
        <v>3905</v>
      </c>
      <c r="EMQ1" s="69" t="s">
        <v>3906</v>
      </c>
      <c r="EMR1" s="69" t="s">
        <v>3907</v>
      </c>
      <c r="EMS1" s="69" t="s">
        <v>3908</v>
      </c>
      <c r="EMT1" s="69" t="s">
        <v>3909</v>
      </c>
      <c r="EMU1" s="69" t="s">
        <v>3910</v>
      </c>
      <c r="EMV1" s="69" t="s">
        <v>3911</v>
      </c>
      <c r="EMW1" s="69" t="s">
        <v>3912</v>
      </c>
      <c r="EMX1" s="69" t="s">
        <v>3913</v>
      </c>
      <c r="EMY1" s="69" t="s">
        <v>3914</v>
      </c>
      <c r="EMZ1" s="69" t="s">
        <v>3915</v>
      </c>
      <c r="ENA1" s="69" t="s">
        <v>3916</v>
      </c>
      <c r="ENB1" s="69" t="s">
        <v>3917</v>
      </c>
      <c r="ENC1" s="69" t="s">
        <v>3918</v>
      </c>
      <c r="END1" s="69" t="s">
        <v>3919</v>
      </c>
      <c r="ENE1" s="69" t="s">
        <v>3920</v>
      </c>
      <c r="ENF1" s="69" t="s">
        <v>3921</v>
      </c>
      <c r="ENG1" s="69" t="s">
        <v>3922</v>
      </c>
      <c r="ENH1" s="69" t="s">
        <v>3923</v>
      </c>
      <c r="ENI1" s="69" t="s">
        <v>3924</v>
      </c>
      <c r="ENJ1" s="69" t="s">
        <v>3925</v>
      </c>
      <c r="ENK1" s="69" t="s">
        <v>3926</v>
      </c>
      <c r="ENL1" s="69" t="s">
        <v>3927</v>
      </c>
      <c r="ENM1" s="69" t="s">
        <v>3928</v>
      </c>
      <c r="ENN1" s="69" t="s">
        <v>3929</v>
      </c>
      <c r="ENO1" s="69" t="s">
        <v>3930</v>
      </c>
      <c r="ENP1" s="69" t="s">
        <v>3931</v>
      </c>
      <c r="ENQ1" s="69" t="s">
        <v>3932</v>
      </c>
      <c r="ENR1" s="69" t="s">
        <v>3933</v>
      </c>
      <c r="ENS1" s="69" t="s">
        <v>3934</v>
      </c>
      <c r="ENT1" s="69" t="s">
        <v>3935</v>
      </c>
      <c r="ENU1" s="69" t="s">
        <v>3936</v>
      </c>
      <c r="ENV1" s="69" t="s">
        <v>3937</v>
      </c>
      <c r="ENW1" s="69" t="s">
        <v>3938</v>
      </c>
      <c r="ENX1" s="69" t="s">
        <v>3939</v>
      </c>
      <c r="ENY1" s="69" t="s">
        <v>3940</v>
      </c>
      <c r="ENZ1" s="69" t="s">
        <v>3941</v>
      </c>
      <c r="EOA1" s="69" t="s">
        <v>3942</v>
      </c>
      <c r="EOB1" s="69" t="s">
        <v>3943</v>
      </c>
      <c r="EOC1" s="69" t="s">
        <v>3944</v>
      </c>
      <c r="EOD1" s="69" t="s">
        <v>3945</v>
      </c>
      <c r="EOE1" s="69" t="s">
        <v>3946</v>
      </c>
      <c r="EOF1" s="69" t="s">
        <v>3947</v>
      </c>
      <c r="EOG1" s="69" t="s">
        <v>3948</v>
      </c>
      <c r="EOH1" s="69" t="s">
        <v>3949</v>
      </c>
      <c r="EOI1" s="69" t="s">
        <v>3950</v>
      </c>
      <c r="EOJ1" s="69" t="s">
        <v>3951</v>
      </c>
      <c r="EOK1" s="69" t="s">
        <v>3952</v>
      </c>
      <c r="EOL1" s="69" t="s">
        <v>3953</v>
      </c>
      <c r="EOM1" s="69" t="s">
        <v>3954</v>
      </c>
      <c r="EON1" s="69" t="s">
        <v>3955</v>
      </c>
      <c r="EOO1" s="69" t="s">
        <v>3956</v>
      </c>
      <c r="EOP1" s="69" t="s">
        <v>3957</v>
      </c>
      <c r="EOQ1" s="69" t="s">
        <v>3958</v>
      </c>
      <c r="EOR1" s="69" t="s">
        <v>3959</v>
      </c>
      <c r="EOS1" s="69" t="s">
        <v>3960</v>
      </c>
      <c r="EOT1" s="69" t="s">
        <v>3961</v>
      </c>
      <c r="EOU1" s="69" t="s">
        <v>3962</v>
      </c>
      <c r="EOV1" s="69" t="s">
        <v>3963</v>
      </c>
      <c r="EOW1" s="69" t="s">
        <v>3964</v>
      </c>
      <c r="EOX1" s="69" t="s">
        <v>3965</v>
      </c>
      <c r="EOY1" s="69" t="s">
        <v>3966</v>
      </c>
      <c r="EOZ1" s="69" t="s">
        <v>3967</v>
      </c>
      <c r="EPA1" s="69" t="s">
        <v>3968</v>
      </c>
      <c r="EPB1" s="69" t="s">
        <v>3969</v>
      </c>
      <c r="EPC1" s="69" t="s">
        <v>3970</v>
      </c>
      <c r="EPD1" s="69" t="s">
        <v>3971</v>
      </c>
      <c r="EPE1" s="69" t="s">
        <v>3972</v>
      </c>
      <c r="EPF1" s="69" t="s">
        <v>3973</v>
      </c>
      <c r="EPG1" s="69" t="s">
        <v>3974</v>
      </c>
      <c r="EPH1" s="69" t="s">
        <v>3975</v>
      </c>
      <c r="EPI1" s="69" t="s">
        <v>3976</v>
      </c>
      <c r="EPJ1" s="69" t="s">
        <v>3977</v>
      </c>
      <c r="EPK1" s="69" t="s">
        <v>3978</v>
      </c>
      <c r="EPL1" s="69" t="s">
        <v>3979</v>
      </c>
      <c r="EPM1" s="69" t="s">
        <v>3980</v>
      </c>
      <c r="EPN1" s="69" t="s">
        <v>3981</v>
      </c>
      <c r="EPO1" s="69" t="s">
        <v>3982</v>
      </c>
      <c r="EPP1" s="69" t="s">
        <v>3983</v>
      </c>
      <c r="EPQ1" s="69" t="s">
        <v>3984</v>
      </c>
      <c r="EPR1" s="69" t="s">
        <v>3985</v>
      </c>
      <c r="EPS1" s="69" t="s">
        <v>3986</v>
      </c>
      <c r="EPT1" s="69" t="s">
        <v>3987</v>
      </c>
      <c r="EPU1" s="69" t="s">
        <v>3988</v>
      </c>
      <c r="EPV1" s="69" t="s">
        <v>3989</v>
      </c>
      <c r="EPW1" s="69" t="s">
        <v>3990</v>
      </c>
      <c r="EPX1" s="69" t="s">
        <v>3991</v>
      </c>
      <c r="EPY1" s="69" t="s">
        <v>3992</v>
      </c>
      <c r="EPZ1" s="69" t="s">
        <v>3993</v>
      </c>
      <c r="EQA1" s="69" t="s">
        <v>3994</v>
      </c>
      <c r="EQB1" s="69" t="s">
        <v>3995</v>
      </c>
      <c r="EQC1" s="69" t="s">
        <v>3996</v>
      </c>
      <c r="EQD1" s="69" t="s">
        <v>3997</v>
      </c>
      <c r="EQE1" s="69" t="s">
        <v>3998</v>
      </c>
      <c r="EQF1" s="69" t="s">
        <v>3999</v>
      </c>
      <c r="EQG1" s="69" t="s">
        <v>4000</v>
      </c>
      <c r="EQH1" s="69" t="s">
        <v>4001</v>
      </c>
      <c r="EQI1" s="69" t="s">
        <v>4002</v>
      </c>
      <c r="EQJ1" s="69" t="s">
        <v>4003</v>
      </c>
      <c r="EQK1" s="69" t="s">
        <v>4004</v>
      </c>
      <c r="EQL1" s="69" t="s">
        <v>4005</v>
      </c>
      <c r="EQM1" s="69" t="s">
        <v>4006</v>
      </c>
      <c r="EQN1" s="69" t="s">
        <v>4007</v>
      </c>
      <c r="EQO1" s="69" t="s">
        <v>4008</v>
      </c>
      <c r="EQP1" s="69" t="s">
        <v>4009</v>
      </c>
      <c r="EQQ1" s="69" t="s">
        <v>4010</v>
      </c>
      <c r="EQR1" s="69" t="s">
        <v>4011</v>
      </c>
      <c r="EQS1" s="69" t="s">
        <v>4012</v>
      </c>
      <c r="EQT1" s="69" t="s">
        <v>4013</v>
      </c>
      <c r="EQU1" s="69" t="s">
        <v>4014</v>
      </c>
      <c r="EQV1" s="69" t="s">
        <v>4015</v>
      </c>
      <c r="EQW1" s="69" t="s">
        <v>4016</v>
      </c>
      <c r="EQX1" s="69" t="s">
        <v>4017</v>
      </c>
      <c r="EQY1" s="69" t="s">
        <v>4018</v>
      </c>
      <c r="EQZ1" s="69" t="s">
        <v>4019</v>
      </c>
      <c r="ERA1" s="69" t="s">
        <v>4020</v>
      </c>
      <c r="ERB1" s="69" t="s">
        <v>4021</v>
      </c>
      <c r="ERC1" s="69" t="s">
        <v>4022</v>
      </c>
      <c r="ERD1" s="69" t="s">
        <v>4023</v>
      </c>
      <c r="ERE1" s="69" t="s">
        <v>4024</v>
      </c>
      <c r="ERF1" s="69" t="s">
        <v>4025</v>
      </c>
      <c r="ERG1" s="69" t="s">
        <v>4026</v>
      </c>
      <c r="ERH1" s="69" t="s">
        <v>4027</v>
      </c>
      <c r="ERI1" s="69" t="s">
        <v>4028</v>
      </c>
      <c r="ERJ1" s="69" t="s">
        <v>4029</v>
      </c>
      <c r="ERK1" s="69" t="s">
        <v>4030</v>
      </c>
      <c r="ERL1" s="69" t="s">
        <v>4031</v>
      </c>
      <c r="ERM1" s="69" t="s">
        <v>4032</v>
      </c>
      <c r="ERN1" s="69" t="s">
        <v>4033</v>
      </c>
      <c r="ERO1" s="69" t="s">
        <v>4034</v>
      </c>
      <c r="ERP1" s="69" t="s">
        <v>4035</v>
      </c>
      <c r="ERQ1" s="69" t="s">
        <v>4036</v>
      </c>
      <c r="ERR1" s="69" t="s">
        <v>4037</v>
      </c>
      <c r="ERS1" s="69" t="s">
        <v>4038</v>
      </c>
      <c r="ERT1" s="69" t="s">
        <v>4039</v>
      </c>
      <c r="ERU1" s="69" t="s">
        <v>4040</v>
      </c>
      <c r="ERV1" s="69" t="s">
        <v>4041</v>
      </c>
      <c r="ERW1" s="69" t="s">
        <v>4042</v>
      </c>
      <c r="ERX1" s="69" t="s">
        <v>4043</v>
      </c>
      <c r="ERY1" s="69" t="s">
        <v>4044</v>
      </c>
      <c r="ERZ1" s="69" t="s">
        <v>4045</v>
      </c>
      <c r="ESA1" s="69" t="s">
        <v>4046</v>
      </c>
      <c r="ESB1" s="69" t="s">
        <v>4047</v>
      </c>
      <c r="ESC1" s="69" t="s">
        <v>4048</v>
      </c>
      <c r="ESD1" s="69" t="s">
        <v>4049</v>
      </c>
      <c r="ESE1" s="69" t="s">
        <v>4050</v>
      </c>
      <c r="ESF1" s="69" t="s">
        <v>4051</v>
      </c>
      <c r="ESG1" s="69" t="s">
        <v>4052</v>
      </c>
      <c r="ESH1" s="69" t="s">
        <v>4053</v>
      </c>
      <c r="ESI1" s="69" t="s">
        <v>4054</v>
      </c>
      <c r="ESJ1" s="69" t="s">
        <v>4055</v>
      </c>
      <c r="ESK1" s="69" t="s">
        <v>4056</v>
      </c>
      <c r="ESL1" s="69" t="s">
        <v>4057</v>
      </c>
      <c r="ESM1" s="69" t="s">
        <v>4058</v>
      </c>
      <c r="ESN1" s="69" t="s">
        <v>4059</v>
      </c>
      <c r="ESO1" s="69" t="s">
        <v>4060</v>
      </c>
      <c r="ESP1" s="69" t="s">
        <v>4061</v>
      </c>
      <c r="ESQ1" s="69" t="s">
        <v>4062</v>
      </c>
      <c r="ESR1" s="69" t="s">
        <v>4063</v>
      </c>
      <c r="ESS1" s="69" t="s">
        <v>4064</v>
      </c>
      <c r="EST1" s="69" t="s">
        <v>4065</v>
      </c>
      <c r="ESU1" s="69" t="s">
        <v>4066</v>
      </c>
      <c r="ESV1" s="69" t="s">
        <v>4067</v>
      </c>
      <c r="ESW1" s="69" t="s">
        <v>4068</v>
      </c>
      <c r="ESX1" s="69" t="s">
        <v>4069</v>
      </c>
      <c r="ESY1" s="69" t="s">
        <v>4070</v>
      </c>
      <c r="ESZ1" s="69" t="s">
        <v>4071</v>
      </c>
      <c r="ETA1" s="69" t="s">
        <v>4072</v>
      </c>
      <c r="ETB1" s="69" t="s">
        <v>4073</v>
      </c>
      <c r="ETC1" s="69" t="s">
        <v>4074</v>
      </c>
      <c r="ETD1" s="69" t="s">
        <v>4075</v>
      </c>
      <c r="ETE1" s="69" t="s">
        <v>4076</v>
      </c>
      <c r="ETF1" s="69" t="s">
        <v>4077</v>
      </c>
      <c r="ETG1" s="69" t="s">
        <v>4078</v>
      </c>
      <c r="ETH1" s="69" t="s">
        <v>4079</v>
      </c>
      <c r="ETI1" s="69" t="s">
        <v>4080</v>
      </c>
      <c r="ETJ1" s="69" t="s">
        <v>4081</v>
      </c>
      <c r="ETK1" s="69" t="s">
        <v>4082</v>
      </c>
      <c r="ETL1" s="69" t="s">
        <v>4083</v>
      </c>
      <c r="ETM1" s="69" t="s">
        <v>4084</v>
      </c>
      <c r="ETN1" s="69" t="s">
        <v>4085</v>
      </c>
      <c r="ETO1" s="69" t="s">
        <v>4086</v>
      </c>
      <c r="ETP1" s="69" t="s">
        <v>4087</v>
      </c>
      <c r="ETQ1" s="69" t="s">
        <v>4088</v>
      </c>
      <c r="ETR1" s="69" t="s">
        <v>4089</v>
      </c>
      <c r="ETS1" s="69" t="s">
        <v>4090</v>
      </c>
      <c r="ETT1" s="69" t="s">
        <v>4091</v>
      </c>
      <c r="ETU1" s="69" t="s">
        <v>4092</v>
      </c>
      <c r="ETV1" s="69" t="s">
        <v>4093</v>
      </c>
      <c r="ETW1" s="69" t="s">
        <v>4094</v>
      </c>
      <c r="ETX1" s="69" t="s">
        <v>4095</v>
      </c>
      <c r="ETY1" s="69" t="s">
        <v>4096</v>
      </c>
      <c r="ETZ1" s="69" t="s">
        <v>4097</v>
      </c>
      <c r="EUA1" s="69" t="s">
        <v>4098</v>
      </c>
      <c r="EUB1" s="69" t="s">
        <v>4099</v>
      </c>
      <c r="EUC1" s="69" t="s">
        <v>4100</v>
      </c>
      <c r="EUD1" s="69" t="s">
        <v>4101</v>
      </c>
      <c r="EUE1" s="69" t="s">
        <v>4102</v>
      </c>
      <c r="EUF1" s="69" t="s">
        <v>4103</v>
      </c>
      <c r="EUG1" s="69" t="s">
        <v>4104</v>
      </c>
      <c r="EUH1" s="69" t="s">
        <v>4105</v>
      </c>
      <c r="EUI1" s="69" t="s">
        <v>4106</v>
      </c>
      <c r="EUJ1" s="69" t="s">
        <v>4107</v>
      </c>
      <c r="EUK1" s="69" t="s">
        <v>4108</v>
      </c>
      <c r="EUL1" s="69" t="s">
        <v>4109</v>
      </c>
      <c r="EUM1" s="69" t="s">
        <v>4110</v>
      </c>
      <c r="EUN1" s="69" t="s">
        <v>4111</v>
      </c>
      <c r="EUO1" s="69" t="s">
        <v>4112</v>
      </c>
      <c r="EUP1" s="69" t="s">
        <v>4113</v>
      </c>
      <c r="EUQ1" s="69" t="s">
        <v>4114</v>
      </c>
      <c r="EUR1" s="69" t="s">
        <v>4115</v>
      </c>
      <c r="EUS1" s="69" t="s">
        <v>4116</v>
      </c>
      <c r="EUT1" s="69" t="s">
        <v>4117</v>
      </c>
      <c r="EUU1" s="69" t="s">
        <v>4118</v>
      </c>
      <c r="EUV1" s="69" t="s">
        <v>4119</v>
      </c>
      <c r="EUW1" s="69" t="s">
        <v>4120</v>
      </c>
      <c r="EUX1" s="69" t="s">
        <v>4121</v>
      </c>
      <c r="EUY1" s="69" t="s">
        <v>4122</v>
      </c>
      <c r="EUZ1" s="69" t="s">
        <v>4123</v>
      </c>
      <c r="EVA1" s="69" t="s">
        <v>4124</v>
      </c>
      <c r="EVB1" s="69" t="s">
        <v>4125</v>
      </c>
      <c r="EVC1" s="69" t="s">
        <v>4126</v>
      </c>
      <c r="EVD1" s="69" t="s">
        <v>4127</v>
      </c>
      <c r="EVE1" s="69" t="s">
        <v>4128</v>
      </c>
      <c r="EVF1" s="69" t="s">
        <v>4129</v>
      </c>
      <c r="EVG1" s="69" t="s">
        <v>4130</v>
      </c>
      <c r="EVH1" s="69" t="s">
        <v>4131</v>
      </c>
      <c r="EVI1" s="69" t="s">
        <v>4132</v>
      </c>
      <c r="EVJ1" s="69" t="s">
        <v>4133</v>
      </c>
      <c r="EVK1" s="69" t="s">
        <v>4134</v>
      </c>
      <c r="EVL1" s="69" t="s">
        <v>4135</v>
      </c>
      <c r="EVM1" s="69" t="s">
        <v>4136</v>
      </c>
      <c r="EVN1" s="69" t="s">
        <v>4137</v>
      </c>
      <c r="EVO1" s="69" t="s">
        <v>4138</v>
      </c>
      <c r="EVP1" s="69" t="s">
        <v>4139</v>
      </c>
      <c r="EVQ1" s="69" t="s">
        <v>4140</v>
      </c>
      <c r="EVR1" s="69" t="s">
        <v>4141</v>
      </c>
      <c r="EVS1" s="69" t="s">
        <v>4142</v>
      </c>
      <c r="EVT1" s="69" t="s">
        <v>4143</v>
      </c>
      <c r="EVU1" s="69" t="s">
        <v>4144</v>
      </c>
      <c r="EVV1" s="69" t="s">
        <v>4145</v>
      </c>
      <c r="EVW1" s="69" t="s">
        <v>4146</v>
      </c>
      <c r="EVX1" s="69" t="s">
        <v>4147</v>
      </c>
      <c r="EVY1" s="69" t="s">
        <v>4148</v>
      </c>
      <c r="EVZ1" s="69" t="s">
        <v>4149</v>
      </c>
      <c r="EWA1" s="69" t="s">
        <v>4150</v>
      </c>
      <c r="EWB1" s="69" t="s">
        <v>4151</v>
      </c>
      <c r="EWC1" s="69" t="s">
        <v>4152</v>
      </c>
      <c r="EWD1" s="69" t="s">
        <v>4153</v>
      </c>
      <c r="EWE1" s="69" t="s">
        <v>4154</v>
      </c>
      <c r="EWF1" s="69" t="s">
        <v>4155</v>
      </c>
      <c r="EWG1" s="69" t="s">
        <v>4156</v>
      </c>
      <c r="EWH1" s="69" t="s">
        <v>4157</v>
      </c>
      <c r="EWI1" s="69" t="s">
        <v>4158</v>
      </c>
      <c r="EWJ1" s="69" t="s">
        <v>4159</v>
      </c>
      <c r="EWK1" s="69" t="s">
        <v>4160</v>
      </c>
      <c r="EWL1" s="69" t="s">
        <v>4161</v>
      </c>
      <c r="EWM1" s="69" t="s">
        <v>4162</v>
      </c>
      <c r="EWN1" s="69" t="s">
        <v>4163</v>
      </c>
      <c r="EWO1" s="69" t="s">
        <v>4164</v>
      </c>
      <c r="EWP1" s="69" t="s">
        <v>4165</v>
      </c>
      <c r="EWQ1" s="69" t="s">
        <v>4166</v>
      </c>
      <c r="EWR1" s="69" t="s">
        <v>4167</v>
      </c>
      <c r="EWS1" s="69" t="s">
        <v>4168</v>
      </c>
      <c r="EWT1" s="69" t="s">
        <v>4169</v>
      </c>
      <c r="EWU1" s="69" t="s">
        <v>4170</v>
      </c>
      <c r="EWV1" s="69" t="s">
        <v>4171</v>
      </c>
      <c r="EWW1" s="69" t="s">
        <v>4172</v>
      </c>
      <c r="EWX1" s="69" t="s">
        <v>4173</v>
      </c>
      <c r="EWY1" s="69" t="s">
        <v>4174</v>
      </c>
      <c r="EWZ1" s="69" t="s">
        <v>4175</v>
      </c>
      <c r="EXA1" s="69" t="s">
        <v>4176</v>
      </c>
      <c r="EXB1" s="69" t="s">
        <v>4177</v>
      </c>
      <c r="EXC1" s="69" t="s">
        <v>4178</v>
      </c>
      <c r="EXD1" s="69" t="s">
        <v>4179</v>
      </c>
      <c r="EXE1" s="69" t="s">
        <v>4180</v>
      </c>
      <c r="EXF1" s="69" t="s">
        <v>4181</v>
      </c>
      <c r="EXG1" s="69" t="s">
        <v>4182</v>
      </c>
      <c r="EXH1" s="69" t="s">
        <v>4183</v>
      </c>
      <c r="EXI1" s="69" t="s">
        <v>4184</v>
      </c>
      <c r="EXJ1" s="69" t="s">
        <v>4185</v>
      </c>
      <c r="EXK1" s="69" t="s">
        <v>4186</v>
      </c>
      <c r="EXL1" s="69" t="s">
        <v>4187</v>
      </c>
      <c r="EXM1" s="69" t="s">
        <v>4188</v>
      </c>
      <c r="EXN1" s="69" t="s">
        <v>4189</v>
      </c>
      <c r="EXO1" s="69" t="s">
        <v>4190</v>
      </c>
      <c r="EXP1" s="69" t="s">
        <v>4191</v>
      </c>
      <c r="EXQ1" s="69" t="s">
        <v>4192</v>
      </c>
      <c r="EXR1" s="69" t="s">
        <v>4193</v>
      </c>
      <c r="EXS1" s="69" t="s">
        <v>4194</v>
      </c>
      <c r="EXT1" s="69" t="s">
        <v>4195</v>
      </c>
      <c r="EXU1" s="69" t="s">
        <v>4196</v>
      </c>
      <c r="EXV1" s="69" t="s">
        <v>4197</v>
      </c>
      <c r="EXW1" s="69" t="s">
        <v>4198</v>
      </c>
      <c r="EXX1" s="69" t="s">
        <v>4199</v>
      </c>
      <c r="EXY1" s="69" t="s">
        <v>4200</v>
      </c>
      <c r="EXZ1" s="69" t="s">
        <v>4201</v>
      </c>
      <c r="EYA1" s="69" t="s">
        <v>4202</v>
      </c>
      <c r="EYB1" s="69" t="s">
        <v>4203</v>
      </c>
      <c r="EYC1" s="69" t="s">
        <v>4204</v>
      </c>
      <c r="EYD1" s="69" t="s">
        <v>4205</v>
      </c>
      <c r="EYE1" s="69" t="s">
        <v>4206</v>
      </c>
      <c r="EYF1" s="69" t="s">
        <v>4207</v>
      </c>
      <c r="EYG1" s="69" t="s">
        <v>4208</v>
      </c>
      <c r="EYH1" s="69" t="s">
        <v>4209</v>
      </c>
      <c r="EYI1" s="69" t="s">
        <v>4210</v>
      </c>
      <c r="EYJ1" s="69" t="s">
        <v>4211</v>
      </c>
      <c r="EYK1" s="69" t="s">
        <v>4212</v>
      </c>
      <c r="EYL1" s="69" t="s">
        <v>4213</v>
      </c>
      <c r="EYM1" s="69" t="s">
        <v>4214</v>
      </c>
      <c r="EYN1" s="69" t="s">
        <v>4215</v>
      </c>
      <c r="EYO1" s="69" t="s">
        <v>4216</v>
      </c>
      <c r="EYP1" s="69" t="s">
        <v>4217</v>
      </c>
      <c r="EYQ1" s="69" t="s">
        <v>4218</v>
      </c>
      <c r="EYR1" s="69" t="s">
        <v>4219</v>
      </c>
      <c r="EYS1" s="69" t="s">
        <v>4220</v>
      </c>
      <c r="EYT1" s="69" t="s">
        <v>4221</v>
      </c>
      <c r="EYU1" s="69" t="s">
        <v>4222</v>
      </c>
      <c r="EYV1" s="69" t="s">
        <v>4223</v>
      </c>
      <c r="EYW1" s="69" t="s">
        <v>4224</v>
      </c>
      <c r="EYX1" s="69" t="s">
        <v>4225</v>
      </c>
      <c r="EYY1" s="69" t="s">
        <v>4226</v>
      </c>
      <c r="EYZ1" s="69" t="s">
        <v>4227</v>
      </c>
      <c r="EZA1" s="69" t="s">
        <v>4228</v>
      </c>
      <c r="EZB1" s="69" t="s">
        <v>4229</v>
      </c>
      <c r="EZC1" s="69" t="s">
        <v>4230</v>
      </c>
      <c r="EZD1" s="69" t="s">
        <v>4231</v>
      </c>
      <c r="EZE1" s="69" t="s">
        <v>4232</v>
      </c>
      <c r="EZF1" s="69" t="s">
        <v>4233</v>
      </c>
      <c r="EZG1" s="69" t="s">
        <v>4234</v>
      </c>
      <c r="EZH1" s="69" t="s">
        <v>4235</v>
      </c>
      <c r="EZI1" s="69" t="s">
        <v>4236</v>
      </c>
      <c r="EZJ1" s="69" t="s">
        <v>4237</v>
      </c>
      <c r="EZK1" s="69" t="s">
        <v>4238</v>
      </c>
      <c r="EZL1" s="69" t="s">
        <v>4239</v>
      </c>
      <c r="EZM1" s="69" t="s">
        <v>4240</v>
      </c>
      <c r="EZN1" s="69" t="s">
        <v>4241</v>
      </c>
      <c r="EZO1" s="69" t="s">
        <v>4242</v>
      </c>
      <c r="EZP1" s="69" t="s">
        <v>4243</v>
      </c>
      <c r="EZQ1" s="69" t="s">
        <v>4244</v>
      </c>
      <c r="EZR1" s="69" t="s">
        <v>4245</v>
      </c>
      <c r="EZS1" s="69" t="s">
        <v>4246</v>
      </c>
      <c r="EZT1" s="69" t="s">
        <v>4247</v>
      </c>
      <c r="EZU1" s="69" t="s">
        <v>4248</v>
      </c>
      <c r="EZV1" s="69" t="s">
        <v>4249</v>
      </c>
      <c r="EZW1" s="69" t="s">
        <v>4250</v>
      </c>
      <c r="EZX1" s="69" t="s">
        <v>4251</v>
      </c>
      <c r="EZY1" s="69" t="s">
        <v>4252</v>
      </c>
      <c r="EZZ1" s="69" t="s">
        <v>4253</v>
      </c>
      <c r="FAA1" s="69" t="s">
        <v>4254</v>
      </c>
      <c r="FAB1" s="69" t="s">
        <v>4255</v>
      </c>
      <c r="FAC1" s="69" t="s">
        <v>4256</v>
      </c>
      <c r="FAD1" s="69" t="s">
        <v>4257</v>
      </c>
      <c r="FAE1" s="69" t="s">
        <v>4258</v>
      </c>
      <c r="FAF1" s="69" t="s">
        <v>4259</v>
      </c>
      <c r="FAG1" s="69" t="s">
        <v>4260</v>
      </c>
      <c r="FAH1" s="69" t="s">
        <v>4261</v>
      </c>
      <c r="FAI1" s="69" t="s">
        <v>4262</v>
      </c>
      <c r="FAJ1" s="69" t="s">
        <v>4263</v>
      </c>
      <c r="FAK1" s="69" t="s">
        <v>4264</v>
      </c>
      <c r="FAL1" s="69" t="s">
        <v>4265</v>
      </c>
      <c r="FAM1" s="69" t="s">
        <v>4266</v>
      </c>
      <c r="FAN1" s="69" t="s">
        <v>4267</v>
      </c>
      <c r="FAO1" s="69" t="s">
        <v>4268</v>
      </c>
      <c r="FAP1" s="69" t="s">
        <v>4269</v>
      </c>
      <c r="FAQ1" s="69" t="s">
        <v>4270</v>
      </c>
      <c r="FAR1" s="69" t="s">
        <v>4271</v>
      </c>
      <c r="FAS1" s="69" t="s">
        <v>4272</v>
      </c>
      <c r="FAT1" s="69" t="s">
        <v>4273</v>
      </c>
      <c r="FAU1" s="69" t="s">
        <v>4274</v>
      </c>
      <c r="FAV1" s="69" t="s">
        <v>4275</v>
      </c>
      <c r="FAW1" s="69" t="s">
        <v>4276</v>
      </c>
      <c r="FAX1" s="69" t="s">
        <v>4277</v>
      </c>
      <c r="FAY1" s="69" t="s">
        <v>4278</v>
      </c>
      <c r="FAZ1" s="69" t="s">
        <v>4279</v>
      </c>
      <c r="FBA1" s="69" t="s">
        <v>4280</v>
      </c>
      <c r="FBB1" s="69" t="s">
        <v>4281</v>
      </c>
      <c r="FBC1" s="69" t="s">
        <v>4282</v>
      </c>
      <c r="FBD1" s="69" t="s">
        <v>4283</v>
      </c>
      <c r="FBE1" s="69" t="s">
        <v>4284</v>
      </c>
      <c r="FBF1" s="69" t="s">
        <v>4285</v>
      </c>
      <c r="FBG1" s="69" t="s">
        <v>4286</v>
      </c>
      <c r="FBH1" s="69" t="s">
        <v>4287</v>
      </c>
      <c r="FBI1" s="69" t="s">
        <v>4288</v>
      </c>
      <c r="FBJ1" s="69" t="s">
        <v>4289</v>
      </c>
      <c r="FBK1" s="69" t="s">
        <v>4290</v>
      </c>
      <c r="FBL1" s="69" t="s">
        <v>4291</v>
      </c>
      <c r="FBM1" s="69" t="s">
        <v>4292</v>
      </c>
      <c r="FBN1" s="69" t="s">
        <v>4293</v>
      </c>
      <c r="FBO1" s="69" t="s">
        <v>4294</v>
      </c>
      <c r="FBP1" s="69" t="s">
        <v>4295</v>
      </c>
      <c r="FBQ1" s="69" t="s">
        <v>4296</v>
      </c>
      <c r="FBR1" s="69" t="s">
        <v>4297</v>
      </c>
      <c r="FBS1" s="69" t="s">
        <v>4298</v>
      </c>
      <c r="FBT1" s="69" t="s">
        <v>4299</v>
      </c>
      <c r="FBU1" s="69" t="s">
        <v>4300</v>
      </c>
      <c r="FBV1" s="69" t="s">
        <v>4301</v>
      </c>
      <c r="FBW1" s="69" t="s">
        <v>4302</v>
      </c>
      <c r="FBX1" s="69" t="s">
        <v>4303</v>
      </c>
      <c r="FBY1" s="69" t="s">
        <v>4304</v>
      </c>
      <c r="FBZ1" s="69" t="s">
        <v>4305</v>
      </c>
      <c r="FCA1" s="69" t="s">
        <v>4306</v>
      </c>
      <c r="FCB1" s="69" t="s">
        <v>4307</v>
      </c>
      <c r="FCC1" s="69" t="s">
        <v>4308</v>
      </c>
      <c r="FCD1" s="69" t="s">
        <v>4309</v>
      </c>
      <c r="FCE1" s="69" t="s">
        <v>4310</v>
      </c>
      <c r="FCF1" s="69" t="s">
        <v>4311</v>
      </c>
      <c r="FCG1" s="69" t="s">
        <v>4312</v>
      </c>
      <c r="FCH1" s="69" t="s">
        <v>4313</v>
      </c>
      <c r="FCI1" s="69" t="s">
        <v>4314</v>
      </c>
      <c r="FCJ1" s="69" t="s">
        <v>4315</v>
      </c>
      <c r="FCK1" s="69" t="s">
        <v>4316</v>
      </c>
      <c r="FCL1" s="69" t="s">
        <v>4317</v>
      </c>
      <c r="FCM1" s="69" t="s">
        <v>4318</v>
      </c>
      <c r="FCN1" s="69" t="s">
        <v>4319</v>
      </c>
      <c r="FCO1" s="69" t="s">
        <v>4320</v>
      </c>
      <c r="FCP1" s="69" t="s">
        <v>4321</v>
      </c>
      <c r="FCQ1" s="69" t="s">
        <v>4322</v>
      </c>
      <c r="FCR1" s="69" t="s">
        <v>4323</v>
      </c>
      <c r="FCS1" s="69" t="s">
        <v>4324</v>
      </c>
      <c r="FCT1" s="69" t="s">
        <v>4325</v>
      </c>
      <c r="FCU1" s="69" t="s">
        <v>4326</v>
      </c>
      <c r="FCV1" s="69" t="s">
        <v>4327</v>
      </c>
      <c r="FCW1" s="69" t="s">
        <v>4328</v>
      </c>
      <c r="FCX1" s="69" t="s">
        <v>4329</v>
      </c>
      <c r="FCY1" s="69" t="s">
        <v>4330</v>
      </c>
      <c r="FCZ1" s="69" t="s">
        <v>4331</v>
      </c>
      <c r="FDA1" s="69" t="s">
        <v>4332</v>
      </c>
      <c r="FDB1" s="69" t="s">
        <v>4333</v>
      </c>
      <c r="FDC1" s="69" t="s">
        <v>4334</v>
      </c>
      <c r="FDD1" s="69" t="s">
        <v>4335</v>
      </c>
      <c r="FDE1" s="69" t="s">
        <v>4336</v>
      </c>
      <c r="FDF1" s="69" t="s">
        <v>4337</v>
      </c>
      <c r="FDG1" s="69" t="s">
        <v>4338</v>
      </c>
      <c r="FDH1" s="69" t="s">
        <v>4339</v>
      </c>
      <c r="FDI1" s="69" t="s">
        <v>4340</v>
      </c>
      <c r="FDJ1" s="69" t="s">
        <v>4341</v>
      </c>
      <c r="FDK1" s="69" t="s">
        <v>4342</v>
      </c>
      <c r="FDL1" s="69" t="s">
        <v>4343</v>
      </c>
      <c r="FDM1" s="69" t="s">
        <v>4344</v>
      </c>
      <c r="FDN1" s="69" t="s">
        <v>4345</v>
      </c>
      <c r="FDO1" s="69" t="s">
        <v>4346</v>
      </c>
      <c r="FDP1" s="69" t="s">
        <v>4347</v>
      </c>
      <c r="FDQ1" s="69" t="s">
        <v>4348</v>
      </c>
      <c r="FDR1" s="69" t="s">
        <v>4349</v>
      </c>
      <c r="FDS1" s="69" t="s">
        <v>4350</v>
      </c>
      <c r="FDT1" s="69" t="s">
        <v>4351</v>
      </c>
      <c r="FDU1" s="69" t="s">
        <v>4352</v>
      </c>
      <c r="FDV1" s="69" t="s">
        <v>4353</v>
      </c>
      <c r="FDW1" s="69" t="s">
        <v>4354</v>
      </c>
      <c r="FDX1" s="69" t="s">
        <v>4355</v>
      </c>
      <c r="FDY1" s="69" t="s">
        <v>4356</v>
      </c>
      <c r="FDZ1" s="69" t="s">
        <v>4357</v>
      </c>
      <c r="FEA1" s="69" t="s">
        <v>4358</v>
      </c>
      <c r="FEB1" s="69" t="s">
        <v>4359</v>
      </c>
      <c r="FEC1" s="69" t="s">
        <v>4360</v>
      </c>
      <c r="FED1" s="69" t="s">
        <v>4361</v>
      </c>
      <c r="FEE1" s="69" t="s">
        <v>4362</v>
      </c>
      <c r="FEF1" s="69" t="s">
        <v>4363</v>
      </c>
      <c r="FEG1" s="69" t="s">
        <v>4364</v>
      </c>
      <c r="FEH1" s="69" t="s">
        <v>4365</v>
      </c>
      <c r="FEI1" s="69" t="s">
        <v>4366</v>
      </c>
      <c r="FEJ1" s="69" t="s">
        <v>4367</v>
      </c>
      <c r="FEK1" s="69" t="s">
        <v>4368</v>
      </c>
      <c r="FEL1" s="69" t="s">
        <v>4369</v>
      </c>
      <c r="FEM1" s="69" t="s">
        <v>4370</v>
      </c>
      <c r="FEN1" s="69" t="s">
        <v>4371</v>
      </c>
      <c r="FEO1" s="69" t="s">
        <v>4372</v>
      </c>
      <c r="FEP1" s="69" t="s">
        <v>4373</v>
      </c>
      <c r="FEQ1" s="69" t="s">
        <v>4374</v>
      </c>
      <c r="FER1" s="69" t="s">
        <v>4375</v>
      </c>
      <c r="FES1" s="69" t="s">
        <v>4376</v>
      </c>
      <c r="FET1" s="69" t="s">
        <v>4377</v>
      </c>
      <c r="FEU1" s="69" t="s">
        <v>4378</v>
      </c>
      <c r="FEV1" s="69" t="s">
        <v>4379</v>
      </c>
      <c r="FEW1" s="69" t="s">
        <v>4380</v>
      </c>
      <c r="FEX1" s="69" t="s">
        <v>4381</v>
      </c>
      <c r="FEY1" s="69" t="s">
        <v>4382</v>
      </c>
      <c r="FEZ1" s="69" t="s">
        <v>4383</v>
      </c>
      <c r="FFA1" s="69" t="s">
        <v>4384</v>
      </c>
      <c r="FFB1" s="69" t="s">
        <v>4385</v>
      </c>
      <c r="FFC1" s="69" t="s">
        <v>4386</v>
      </c>
      <c r="FFD1" s="69" t="s">
        <v>4387</v>
      </c>
      <c r="FFE1" s="69" t="s">
        <v>4388</v>
      </c>
      <c r="FFF1" s="69" t="s">
        <v>4389</v>
      </c>
      <c r="FFG1" s="69" t="s">
        <v>4390</v>
      </c>
      <c r="FFH1" s="69" t="s">
        <v>4391</v>
      </c>
      <c r="FFI1" s="69" t="s">
        <v>4392</v>
      </c>
      <c r="FFJ1" s="69" t="s">
        <v>4393</v>
      </c>
      <c r="FFK1" s="69" t="s">
        <v>4394</v>
      </c>
      <c r="FFL1" s="69" t="s">
        <v>4395</v>
      </c>
      <c r="FFM1" s="69" t="s">
        <v>4396</v>
      </c>
      <c r="FFN1" s="69" t="s">
        <v>4397</v>
      </c>
      <c r="FFO1" s="69" t="s">
        <v>4398</v>
      </c>
      <c r="FFP1" s="69" t="s">
        <v>4399</v>
      </c>
      <c r="FFQ1" s="69" t="s">
        <v>4400</v>
      </c>
      <c r="FFR1" s="69" t="s">
        <v>4401</v>
      </c>
      <c r="FFS1" s="69" t="s">
        <v>4402</v>
      </c>
      <c r="FFT1" s="69" t="s">
        <v>4403</v>
      </c>
      <c r="FFU1" s="69" t="s">
        <v>4404</v>
      </c>
      <c r="FFV1" s="69" t="s">
        <v>4405</v>
      </c>
      <c r="FFW1" s="69" t="s">
        <v>4406</v>
      </c>
      <c r="FFX1" s="69" t="s">
        <v>4407</v>
      </c>
      <c r="FFY1" s="69" t="s">
        <v>4408</v>
      </c>
      <c r="FFZ1" s="69" t="s">
        <v>4409</v>
      </c>
      <c r="FGA1" s="69" t="s">
        <v>4410</v>
      </c>
      <c r="FGB1" s="69" t="s">
        <v>4411</v>
      </c>
      <c r="FGC1" s="69" t="s">
        <v>4412</v>
      </c>
      <c r="FGD1" s="69" t="s">
        <v>4413</v>
      </c>
      <c r="FGE1" s="69" t="s">
        <v>4414</v>
      </c>
      <c r="FGF1" s="69" t="s">
        <v>4415</v>
      </c>
      <c r="FGG1" s="69" t="s">
        <v>4416</v>
      </c>
      <c r="FGH1" s="69" t="s">
        <v>4417</v>
      </c>
      <c r="FGI1" s="69" t="s">
        <v>4418</v>
      </c>
      <c r="FGJ1" s="69" t="s">
        <v>4419</v>
      </c>
      <c r="FGK1" s="69" t="s">
        <v>4420</v>
      </c>
      <c r="FGL1" s="69" t="s">
        <v>4421</v>
      </c>
      <c r="FGM1" s="69" t="s">
        <v>4422</v>
      </c>
      <c r="FGN1" s="69" t="s">
        <v>4423</v>
      </c>
      <c r="FGO1" s="69" t="s">
        <v>4424</v>
      </c>
      <c r="FGP1" s="69" t="s">
        <v>4425</v>
      </c>
      <c r="FGQ1" s="69" t="s">
        <v>4426</v>
      </c>
      <c r="FGR1" s="69" t="s">
        <v>4427</v>
      </c>
      <c r="FGS1" s="69" t="s">
        <v>4428</v>
      </c>
      <c r="FGT1" s="69" t="s">
        <v>4429</v>
      </c>
      <c r="FGU1" s="69" t="s">
        <v>4430</v>
      </c>
      <c r="FGV1" s="69" t="s">
        <v>4431</v>
      </c>
      <c r="FGW1" s="69" t="s">
        <v>4432</v>
      </c>
      <c r="FGX1" s="69" t="s">
        <v>4433</v>
      </c>
      <c r="FGY1" s="69" t="s">
        <v>4434</v>
      </c>
      <c r="FGZ1" s="69" t="s">
        <v>4435</v>
      </c>
      <c r="FHA1" s="69" t="s">
        <v>4436</v>
      </c>
      <c r="FHB1" s="69" t="s">
        <v>4437</v>
      </c>
      <c r="FHC1" s="69" t="s">
        <v>4438</v>
      </c>
      <c r="FHD1" s="69" t="s">
        <v>4439</v>
      </c>
      <c r="FHE1" s="69" t="s">
        <v>4440</v>
      </c>
      <c r="FHF1" s="69" t="s">
        <v>4441</v>
      </c>
      <c r="FHG1" s="69" t="s">
        <v>4442</v>
      </c>
      <c r="FHH1" s="69" t="s">
        <v>4443</v>
      </c>
      <c r="FHI1" s="69" t="s">
        <v>4444</v>
      </c>
      <c r="FHJ1" s="69" t="s">
        <v>4445</v>
      </c>
      <c r="FHK1" s="69" t="s">
        <v>4446</v>
      </c>
      <c r="FHL1" s="69" t="s">
        <v>4447</v>
      </c>
      <c r="FHM1" s="69" t="s">
        <v>4448</v>
      </c>
      <c r="FHN1" s="69" t="s">
        <v>4449</v>
      </c>
      <c r="FHO1" s="69" t="s">
        <v>4450</v>
      </c>
      <c r="FHP1" s="69" t="s">
        <v>4451</v>
      </c>
      <c r="FHQ1" s="69" t="s">
        <v>4452</v>
      </c>
      <c r="FHR1" s="69" t="s">
        <v>4453</v>
      </c>
      <c r="FHS1" s="69" t="s">
        <v>4454</v>
      </c>
      <c r="FHT1" s="69" t="s">
        <v>4455</v>
      </c>
      <c r="FHU1" s="69" t="s">
        <v>4456</v>
      </c>
      <c r="FHV1" s="69" t="s">
        <v>4457</v>
      </c>
      <c r="FHW1" s="69" t="s">
        <v>4458</v>
      </c>
      <c r="FHX1" s="69" t="s">
        <v>4459</v>
      </c>
      <c r="FHY1" s="69" t="s">
        <v>4460</v>
      </c>
      <c r="FHZ1" s="69" t="s">
        <v>4461</v>
      </c>
      <c r="FIA1" s="69" t="s">
        <v>4462</v>
      </c>
      <c r="FIB1" s="69" t="s">
        <v>4463</v>
      </c>
      <c r="FIC1" s="69" t="s">
        <v>4464</v>
      </c>
      <c r="FID1" s="69" t="s">
        <v>4465</v>
      </c>
      <c r="FIE1" s="69" t="s">
        <v>4466</v>
      </c>
      <c r="FIF1" s="69" t="s">
        <v>4467</v>
      </c>
      <c r="FIG1" s="69" t="s">
        <v>4468</v>
      </c>
      <c r="FIH1" s="69" t="s">
        <v>4469</v>
      </c>
      <c r="FII1" s="69" t="s">
        <v>4470</v>
      </c>
      <c r="FIJ1" s="69" t="s">
        <v>4471</v>
      </c>
      <c r="FIK1" s="69" t="s">
        <v>4472</v>
      </c>
      <c r="FIL1" s="69" t="s">
        <v>4473</v>
      </c>
      <c r="FIM1" s="69" t="s">
        <v>4474</v>
      </c>
      <c r="FIN1" s="69" t="s">
        <v>4475</v>
      </c>
      <c r="FIO1" s="69" t="s">
        <v>4476</v>
      </c>
      <c r="FIP1" s="69" t="s">
        <v>4477</v>
      </c>
      <c r="FIQ1" s="69" t="s">
        <v>4478</v>
      </c>
      <c r="FIR1" s="69" t="s">
        <v>4479</v>
      </c>
      <c r="FIS1" s="69" t="s">
        <v>4480</v>
      </c>
      <c r="FIT1" s="69" t="s">
        <v>4481</v>
      </c>
      <c r="FIU1" s="69" t="s">
        <v>4482</v>
      </c>
      <c r="FIV1" s="69" t="s">
        <v>4483</v>
      </c>
      <c r="FIW1" s="69" t="s">
        <v>4484</v>
      </c>
      <c r="FIX1" s="69" t="s">
        <v>4485</v>
      </c>
      <c r="FIY1" s="69" t="s">
        <v>4486</v>
      </c>
      <c r="FIZ1" s="69" t="s">
        <v>4487</v>
      </c>
      <c r="FJA1" s="69" t="s">
        <v>4488</v>
      </c>
      <c r="FJB1" s="69" t="s">
        <v>4489</v>
      </c>
      <c r="FJC1" s="69" t="s">
        <v>4490</v>
      </c>
      <c r="FJD1" s="69" t="s">
        <v>4491</v>
      </c>
      <c r="FJE1" s="69" t="s">
        <v>4492</v>
      </c>
      <c r="FJF1" s="69" t="s">
        <v>4493</v>
      </c>
      <c r="FJG1" s="69" t="s">
        <v>4494</v>
      </c>
      <c r="FJH1" s="69" t="s">
        <v>4495</v>
      </c>
      <c r="FJI1" s="69" t="s">
        <v>4496</v>
      </c>
      <c r="FJJ1" s="69" t="s">
        <v>4497</v>
      </c>
      <c r="FJK1" s="69" t="s">
        <v>4498</v>
      </c>
      <c r="FJL1" s="69" t="s">
        <v>4499</v>
      </c>
      <c r="FJM1" s="69" t="s">
        <v>4500</v>
      </c>
      <c r="FJN1" s="69" t="s">
        <v>4501</v>
      </c>
      <c r="FJO1" s="69" t="s">
        <v>4502</v>
      </c>
      <c r="FJP1" s="69" t="s">
        <v>4503</v>
      </c>
      <c r="FJQ1" s="69" t="s">
        <v>4504</v>
      </c>
      <c r="FJR1" s="69" t="s">
        <v>4505</v>
      </c>
      <c r="FJS1" s="69" t="s">
        <v>4506</v>
      </c>
      <c r="FJT1" s="69" t="s">
        <v>4507</v>
      </c>
      <c r="FJU1" s="69" t="s">
        <v>4508</v>
      </c>
      <c r="FJV1" s="69" t="s">
        <v>4509</v>
      </c>
      <c r="FJW1" s="69" t="s">
        <v>4510</v>
      </c>
      <c r="FJX1" s="69" t="s">
        <v>4511</v>
      </c>
      <c r="FJY1" s="69" t="s">
        <v>4512</v>
      </c>
      <c r="FJZ1" s="69" t="s">
        <v>4513</v>
      </c>
      <c r="FKA1" s="69" t="s">
        <v>4514</v>
      </c>
      <c r="FKB1" s="69" t="s">
        <v>4515</v>
      </c>
      <c r="FKC1" s="69" t="s">
        <v>4516</v>
      </c>
      <c r="FKD1" s="69" t="s">
        <v>4517</v>
      </c>
      <c r="FKE1" s="69" t="s">
        <v>4518</v>
      </c>
      <c r="FKF1" s="69" t="s">
        <v>4519</v>
      </c>
      <c r="FKG1" s="69" t="s">
        <v>4520</v>
      </c>
      <c r="FKH1" s="69" t="s">
        <v>4521</v>
      </c>
      <c r="FKI1" s="69" t="s">
        <v>4522</v>
      </c>
      <c r="FKJ1" s="69" t="s">
        <v>4523</v>
      </c>
      <c r="FKK1" s="69" t="s">
        <v>4524</v>
      </c>
      <c r="FKL1" s="69" t="s">
        <v>4525</v>
      </c>
      <c r="FKM1" s="69" t="s">
        <v>4526</v>
      </c>
      <c r="FKN1" s="69" t="s">
        <v>4527</v>
      </c>
      <c r="FKO1" s="69" t="s">
        <v>4528</v>
      </c>
      <c r="FKP1" s="69" t="s">
        <v>4529</v>
      </c>
      <c r="FKQ1" s="69" t="s">
        <v>4530</v>
      </c>
      <c r="FKR1" s="69" t="s">
        <v>4531</v>
      </c>
      <c r="FKS1" s="69" t="s">
        <v>4532</v>
      </c>
      <c r="FKT1" s="69" t="s">
        <v>4533</v>
      </c>
      <c r="FKU1" s="69" t="s">
        <v>4534</v>
      </c>
      <c r="FKV1" s="69" t="s">
        <v>4535</v>
      </c>
      <c r="FKW1" s="69" t="s">
        <v>4536</v>
      </c>
      <c r="FKX1" s="69" t="s">
        <v>4537</v>
      </c>
      <c r="FKY1" s="69" t="s">
        <v>4538</v>
      </c>
      <c r="FKZ1" s="69" t="s">
        <v>4539</v>
      </c>
      <c r="FLA1" s="69" t="s">
        <v>4540</v>
      </c>
      <c r="FLB1" s="69" t="s">
        <v>4541</v>
      </c>
      <c r="FLC1" s="69" t="s">
        <v>4542</v>
      </c>
      <c r="FLD1" s="69" t="s">
        <v>4543</v>
      </c>
      <c r="FLE1" s="69" t="s">
        <v>4544</v>
      </c>
      <c r="FLF1" s="69" t="s">
        <v>4545</v>
      </c>
      <c r="FLG1" s="69" t="s">
        <v>4546</v>
      </c>
      <c r="FLH1" s="69" t="s">
        <v>4547</v>
      </c>
      <c r="FLI1" s="69" t="s">
        <v>4548</v>
      </c>
      <c r="FLJ1" s="69" t="s">
        <v>4549</v>
      </c>
      <c r="FLK1" s="69" t="s">
        <v>4550</v>
      </c>
      <c r="FLL1" s="69" t="s">
        <v>4551</v>
      </c>
      <c r="FLM1" s="69" t="s">
        <v>4552</v>
      </c>
      <c r="FLN1" s="69" t="s">
        <v>4553</v>
      </c>
      <c r="FLO1" s="69" t="s">
        <v>4554</v>
      </c>
      <c r="FLP1" s="69" t="s">
        <v>4555</v>
      </c>
      <c r="FLQ1" s="69" t="s">
        <v>4556</v>
      </c>
      <c r="FLR1" s="69" t="s">
        <v>4557</v>
      </c>
      <c r="FLS1" s="69" t="s">
        <v>4558</v>
      </c>
      <c r="FLT1" s="69" t="s">
        <v>4559</v>
      </c>
      <c r="FLU1" s="69" t="s">
        <v>4560</v>
      </c>
      <c r="FLV1" s="69" t="s">
        <v>4561</v>
      </c>
      <c r="FLW1" s="69" t="s">
        <v>4562</v>
      </c>
      <c r="FLX1" s="69" t="s">
        <v>4563</v>
      </c>
      <c r="FLY1" s="69" t="s">
        <v>4564</v>
      </c>
      <c r="FLZ1" s="69" t="s">
        <v>4565</v>
      </c>
      <c r="FMA1" s="69" t="s">
        <v>4566</v>
      </c>
      <c r="FMB1" s="69" t="s">
        <v>4567</v>
      </c>
      <c r="FMC1" s="69" t="s">
        <v>4568</v>
      </c>
      <c r="FMD1" s="69" t="s">
        <v>4569</v>
      </c>
      <c r="FME1" s="69" t="s">
        <v>4570</v>
      </c>
      <c r="FMF1" s="69" t="s">
        <v>4571</v>
      </c>
      <c r="FMG1" s="69" t="s">
        <v>4572</v>
      </c>
      <c r="FMH1" s="69" t="s">
        <v>4573</v>
      </c>
      <c r="FMI1" s="69" t="s">
        <v>4574</v>
      </c>
      <c r="FMJ1" s="69" t="s">
        <v>4575</v>
      </c>
      <c r="FMK1" s="69" t="s">
        <v>4576</v>
      </c>
      <c r="FML1" s="69" t="s">
        <v>4577</v>
      </c>
      <c r="FMM1" s="69" t="s">
        <v>4578</v>
      </c>
      <c r="FMN1" s="69" t="s">
        <v>4579</v>
      </c>
      <c r="FMO1" s="69" t="s">
        <v>4580</v>
      </c>
      <c r="FMP1" s="69" t="s">
        <v>4581</v>
      </c>
      <c r="FMQ1" s="69" t="s">
        <v>4582</v>
      </c>
      <c r="FMR1" s="69" t="s">
        <v>4583</v>
      </c>
      <c r="FMS1" s="69" t="s">
        <v>4584</v>
      </c>
      <c r="FMT1" s="69" t="s">
        <v>4585</v>
      </c>
      <c r="FMU1" s="69" t="s">
        <v>4586</v>
      </c>
      <c r="FMV1" s="69" t="s">
        <v>4587</v>
      </c>
      <c r="FMW1" s="69" t="s">
        <v>4588</v>
      </c>
      <c r="FMX1" s="69" t="s">
        <v>4589</v>
      </c>
      <c r="FMY1" s="69" t="s">
        <v>4590</v>
      </c>
      <c r="FMZ1" s="69" t="s">
        <v>4591</v>
      </c>
      <c r="FNA1" s="69" t="s">
        <v>4592</v>
      </c>
      <c r="FNB1" s="69" t="s">
        <v>4593</v>
      </c>
      <c r="FNC1" s="69" t="s">
        <v>4594</v>
      </c>
      <c r="FND1" s="69" t="s">
        <v>4595</v>
      </c>
      <c r="FNE1" s="69" t="s">
        <v>4596</v>
      </c>
      <c r="FNF1" s="69" t="s">
        <v>4597</v>
      </c>
      <c r="FNG1" s="69" t="s">
        <v>4598</v>
      </c>
      <c r="FNH1" s="69" t="s">
        <v>4599</v>
      </c>
      <c r="FNI1" s="69" t="s">
        <v>4600</v>
      </c>
      <c r="FNJ1" s="69" t="s">
        <v>4601</v>
      </c>
      <c r="FNK1" s="69" t="s">
        <v>4602</v>
      </c>
      <c r="FNL1" s="69" t="s">
        <v>4603</v>
      </c>
      <c r="FNM1" s="69" t="s">
        <v>4604</v>
      </c>
      <c r="FNN1" s="69" t="s">
        <v>4605</v>
      </c>
      <c r="FNO1" s="69" t="s">
        <v>4606</v>
      </c>
      <c r="FNP1" s="69" t="s">
        <v>4607</v>
      </c>
      <c r="FNQ1" s="69" t="s">
        <v>4608</v>
      </c>
      <c r="FNR1" s="69" t="s">
        <v>4609</v>
      </c>
      <c r="FNS1" s="69" t="s">
        <v>4610</v>
      </c>
      <c r="FNT1" s="69" t="s">
        <v>4611</v>
      </c>
      <c r="FNU1" s="69" t="s">
        <v>4612</v>
      </c>
      <c r="FNV1" s="69" t="s">
        <v>4613</v>
      </c>
      <c r="FNW1" s="69" t="s">
        <v>4614</v>
      </c>
      <c r="FNX1" s="69" t="s">
        <v>4615</v>
      </c>
      <c r="FNY1" s="69" t="s">
        <v>4616</v>
      </c>
      <c r="FNZ1" s="69" t="s">
        <v>4617</v>
      </c>
      <c r="FOA1" s="69" t="s">
        <v>4618</v>
      </c>
      <c r="FOB1" s="69" t="s">
        <v>4619</v>
      </c>
      <c r="FOC1" s="69" t="s">
        <v>4620</v>
      </c>
      <c r="FOD1" s="69" t="s">
        <v>4621</v>
      </c>
      <c r="FOE1" s="69" t="s">
        <v>4622</v>
      </c>
      <c r="FOF1" s="69" t="s">
        <v>4623</v>
      </c>
      <c r="FOG1" s="69" t="s">
        <v>4624</v>
      </c>
      <c r="FOH1" s="69" t="s">
        <v>4625</v>
      </c>
      <c r="FOI1" s="69" t="s">
        <v>4626</v>
      </c>
      <c r="FOJ1" s="69" t="s">
        <v>4627</v>
      </c>
      <c r="FOK1" s="69" t="s">
        <v>4628</v>
      </c>
      <c r="FOL1" s="69" t="s">
        <v>4629</v>
      </c>
      <c r="FOM1" s="69" t="s">
        <v>4630</v>
      </c>
      <c r="FON1" s="69" t="s">
        <v>4631</v>
      </c>
      <c r="FOO1" s="69" t="s">
        <v>4632</v>
      </c>
      <c r="FOP1" s="69" t="s">
        <v>4633</v>
      </c>
      <c r="FOQ1" s="69" t="s">
        <v>4634</v>
      </c>
      <c r="FOR1" s="69" t="s">
        <v>4635</v>
      </c>
      <c r="FOS1" s="69" t="s">
        <v>4636</v>
      </c>
      <c r="FOT1" s="69" t="s">
        <v>4637</v>
      </c>
      <c r="FOU1" s="69" t="s">
        <v>4638</v>
      </c>
      <c r="FOV1" s="69" t="s">
        <v>4639</v>
      </c>
      <c r="FOW1" s="69" t="s">
        <v>4640</v>
      </c>
      <c r="FOX1" s="69" t="s">
        <v>4641</v>
      </c>
      <c r="FOY1" s="69" t="s">
        <v>4642</v>
      </c>
      <c r="FOZ1" s="69" t="s">
        <v>4643</v>
      </c>
      <c r="FPA1" s="69" t="s">
        <v>4644</v>
      </c>
      <c r="FPB1" s="69" t="s">
        <v>4645</v>
      </c>
      <c r="FPC1" s="69" t="s">
        <v>4646</v>
      </c>
      <c r="FPD1" s="69" t="s">
        <v>4647</v>
      </c>
      <c r="FPE1" s="69" t="s">
        <v>4648</v>
      </c>
      <c r="FPF1" s="69" t="s">
        <v>4649</v>
      </c>
      <c r="FPG1" s="69" t="s">
        <v>4650</v>
      </c>
      <c r="FPH1" s="69" t="s">
        <v>4651</v>
      </c>
      <c r="FPI1" s="69" t="s">
        <v>4652</v>
      </c>
      <c r="FPJ1" s="69" t="s">
        <v>4653</v>
      </c>
      <c r="FPK1" s="69" t="s">
        <v>4654</v>
      </c>
      <c r="FPL1" s="69" t="s">
        <v>4655</v>
      </c>
      <c r="FPM1" s="69" t="s">
        <v>4656</v>
      </c>
      <c r="FPN1" s="69" t="s">
        <v>4657</v>
      </c>
      <c r="FPO1" s="69" t="s">
        <v>4658</v>
      </c>
      <c r="FPP1" s="69" t="s">
        <v>4659</v>
      </c>
      <c r="FPQ1" s="69" t="s">
        <v>4660</v>
      </c>
      <c r="FPR1" s="69" t="s">
        <v>4661</v>
      </c>
      <c r="FPS1" s="69" t="s">
        <v>4662</v>
      </c>
      <c r="FPT1" s="69" t="s">
        <v>4663</v>
      </c>
      <c r="FPU1" s="69" t="s">
        <v>4664</v>
      </c>
      <c r="FPV1" s="69" t="s">
        <v>4665</v>
      </c>
      <c r="FPW1" s="69" t="s">
        <v>4666</v>
      </c>
      <c r="FPX1" s="69" t="s">
        <v>4667</v>
      </c>
      <c r="FPY1" s="69" t="s">
        <v>4668</v>
      </c>
      <c r="FPZ1" s="69" t="s">
        <v>4669</v>
      </c>
      <c r="FQA1" s="69" t="s">
        <v>4670</v>
      </c>
      <c r="FQB1" s="69" t="s">
        <v>4671</v>
      </c>
      <c r="FQC1" s="69" t="s">
        <v>4672</v>
      </c>
      <c r="FQD1" s="69" t="s">
        <v>4673</v>
      </c>
      <c r="FQE1" s="69" t="s">
        <v>4674</v>
      </c>
      <c r="FQF1" s="69" t="s">
        <v>4675</v>
      </c>
      <c r="FQG1" s="69" t="s">
        <v>4676</v>
      </c>
      <c r="FQH1" s="69" t="s">
        <v>4677</v>
      </c>
      <c r="FQI1" s="69" t="s">
        <v>4678</v>
      </c>
      <c r="FQJ1" s="69" t="s">
        <v>4679</v>
      </c>
      <c r="FQK1" s="69" t="s">
        <v>4680</v>
      </c>
      <c r="FQL1" s="69" t="s">
        <v>4681</v>
      </c>
      <c r="FQM1" s="69" t="s">
        <v>4682</v>
      </c>
      <c r="FQN1" s="69" t="s">
        <v>4683</v>
      </c>
      <c r="FQO1" s="69" t="s">
        <v>4684</v>
      </c>
      <c r="FQP1" s="69" t="s">
        <v>4685</v>
      </c>
      <c r="FQQ1" s="69" t="s">
        <v>4686</v>
      </c>
      <c r="FQR1" s="69" t="s">
        <v>4687</v>
      </c>
      <c r="FQS1" s="69" t="s">
        <v>4688</v>
      </c>
      <c r="FQT1" s="69" t="s">
        <v>4689</v>
      </c>
      <c r="FQU1" s="69" t="s">
        <v>4690</v>
      </c>
      <c r="FQV1" s="69" t="s">
        <v>4691</v>
      </c>
      <c r="FQW1" s="69" t="s">
        <v>4692</v>
      </c>
      <c r="FQX1" s="69" t="s">
        <v>4693</v>
      </c>
      <c r="FQY1" s="69" t="s">
        <v>4694</v>
      </c>
      <c r="FQZ1" s="69" t="s">
        <v>4695</v>
      </c>
      <c r="FRA1" s="69" t="s">
        <v>4696</v>
      </c>
      <c r="FRB1" s="69" t="s">
        <v>4697</v>
      </c>
      <c r="FRC1" s="69" t="s">
        <v>4698</v>
      </c>
      <c r="FRD1" s="69" t="s">
        <v>4699</v>
      </c>
      <c r="FRE1" s="69" t="s">
        <v>4700</v>
      </c>
      <c r="FRF1" s="69" t="s">
        <v>4701</v>
      </c>
      <c r="FRG1" s="69" t="s">
        <v>4702</v>
      </c>
      <c r="FRH1" s="69" t="s">
        <v>4703</v>
      </c>
      <c r="FRI1" s="69" t="s">
        <v>4704</v>
      </c>
      <c r="FRJ1" s="69" t="s">
        <v>4705</v>
      </c>
      <c r="FRK1" s="69" t="s">
        <v>4706</v>
      </c>
      <c r="FRL1" s="69" t="s">
        <v>4707</v>
      </c>
      <c r="FRM1" s="69" t="s">
        <v>4708</v>
      </c>
      <c r="FRN1" s="69" t="s">
        <v>4709</v>
      </c>
      <c r="FRO1" s="69" t="s">
        <v>4710</v>
      </c>
      <c r="FRP1" s="69" t="s">
        <v>4711</v>
      </c>
      <c r="FRQ1" s="69" t="s">
        <v>4712</v>
      </c>
      <c r="FRR1" s="69" t="s">
        <v>4713</v>
      </c>
      <c r="FRS1" s="69" t="s">
        <v>4714</v>
      </c>
      <c r="FRT1" s="69" t="s">
        <v>4715</v>
      </c>
      <c r="FRU1" s="69" t="s">
        <v>4716</v>
      </c>
      <c r="FRV1" s="69" t="s">
        <v>4717</v>
      </c>
      <c r="FRW1" s="69" t="s">
        <v>4718</v>
      </c>
      <c r="FRX1" s="69" t="s">
        <v>4719</v>
      </c>
      <c r="FRY1" s="69" t="s">
        <v>4720</v>
      </c>
      <c r="FRZ1" s="69" t="s">
        <v>4721</v>
      </c>
      <c r="FSA1" s="69" t="s">
        <v>4722</v>
      </c>
      <c r="FSB1" s="69" t="s">
        <v>4723</v>
      </c>
      <c r="FSC1" s="69" t="s">
        <v>4724</v>
      </c>
      <c r="FSD1" s="69" t="s">
        <v>4725</v>
      </c>
      <c r="FSE1" s="69" t="s">
        <v>4726</v>
      </c>
      <c r="FSF1" s="69" t="s">
        <v>4727</v>
      </c>
      <c r="FSG1" s="69" t="s">
        <v>4728</v>
      </c>
      <c r="FSH1" s="69" t="s">
        <v>4729</v>
      </c>
      <c r="FSI1" s="69" t="s">
        <v>4730</v>
      </c>
      <c r="FSJ1" s="69" t="s">
        <v>4731</v>
      </c>
      <c r="FSK1" s="69" t="s">
        <v>4732</v>
      </c>
      <c r="FSL1" s="69" t="s">
        <v>4733</v>
      </c>
      <c r="FSM1" s="69" t="s">
        <v>4734</v>
      </c>
      <c r="FSN1" s="69" t="s">
        <v>4735</v>
      </c>
      <c r="FSO1" s="69" t="s">
        <v>4736</v>
      </c>
      <c r="FSP1" s="69" t="s">
        <v>4737</v>
      </c>
      <c r="FSQ1" s="69" t="s">
        <v>4738</v>
      </c>
      <c r="FSR1" s="69" t="s">
        <v>4739</v>
      </c>
      <c r="FSS1" s="69" t="s">
        <v>4740</v>
      </c>
      <c r="FST1" s="69" t="s">
        <v>4741</v>
      </c>
      <c r="FSU1" s="69" t="s">
        <v>4742</v>
      </c>
      <c r="FSV1" s="69" t="s">
        <v>4743</v>
      </c>
      <c r="FSW1" s="69" t="s">
        <v>4744</v>
      </c>
      <c r="FSX1" s="69" t="s">
        <v>4745</v>
      </c>
      <c r="FSY1" s="69" t="s">
        <v>4746</v>
      </c>
      <c r="FSZ1" s="69" t="s">
        <v>4747</v>
      </c>
      <c r="FTA1" s="69" t="s">
        <v>4748</v>
      </c>
      <c r="FTB1" s="69" t="s">
        <v>4749</v>
      </c>
      <c r="FTC1" s="69" t="s">
        <v>4750</v>
      </c>
      <c r="FTD1" s="69" t="s">
        <v>4751</v>
      </c>
      <c r="FTE1" s="69" t="s">
        <v>4752</v>
      </c>
      <c r="FTF1" s="69" t="s">
        <v>4753</v>
      </c>
      <c r="FTG1" s="69" t="s">
        <v>4754</v>
      </c>
      <c r="FTH1" s="69" t="s">
        <v>4755</v>
      </c>
      <c r="FTI1" s="69" t="s">
        <v>4756</v>
      </c>
      <c r="FTJ1" s="69" t="s">
        <v>4757</v>
      </c>
      <c r="FTK1" s="69" t="s">
        <v>4758</v>
      </c>
      <c r="FTL1" s="69" t="s">
        <v>4759</v>
      </c>
      <c r="FTM1" s="69" t="s">
        <v>4760</v>
      </c>
      <c r="FTN1" s="69" t="s">
        <v>4761</v>
      </c>
      <c r="FTO1" s="69" t="s">
        <v>4762</v>
      </c>
      <c r="FTP1" s="69" t="s">
        <v>4763</v>
      </c>
      <c r="FTQ1" s="69" t="s">
        <v>4764</v>
      </c>
      <c r="FTR1" s="69" t="s">
        <v>4765</v>
      </c>
      <c r="FTS1" s="69" t="s">
        <v>4766</v>
      </c>
      <c r="FTT1" s="69" t="s">
        <v>4767</v>
      </c>
      <c r="FTU1" s="69" t="s">
        <v>4768</v>
      </c>
      <c r="FTV1" s="69" t="s">
        <v>4769</v>
      </c>
      <c r="FTW1" s="69" t="s">
        <v>4770</v>
      </c>
      <c r="FTX1" s="69" t="s">
        <v>4771</v>
      </c>
      <c r="FTY1" s="69" t="s">
        <v>4772</v>
      </c>
      <c r="FTZ1" s="69" t="s">
        <v>4773</v>
      </c>
      <c r="FUA1" s="69" t="s">
        <v>4774</v>
      </c>
      <c r="FUB1" s="69" t="s">
        <v>4775</v>
      </c>
      <c r="FUC1" s="69" t="s">
        <v>4776</v>
      </c>
      <c r="FUD1" s="69" t="s">
        <v>4777</v>
      </c>
      <c r="FUE1" s="69" t="s">
        <v>4778</v>
      </c>
      <c r="FUF1" s="69" t="s">
        <v>4779</v>
      </c>
      <c r="FUG1" s="69" t="s">
        <v>4780</v>
      </c>
      <c r="FUH1" s="69" t="s">
        <v>4781</v>
      </c>
      <c r="FUI1" s="69" t="s">
        <v>4782</v>
      </c>
      <c r="FUJ1" s="69" t="s">
        <v>4783</v>
      </c>
      <c r="FUK1" s="69" t="s">
        <v>4784</v>
      </c>
      <c r="FUL1" s="69" t="s">
        <v>4785</v>
      </c>
      <c r="FUM1" s="69" t="s">
        <v>4786</v>
      </c>
      <c r="FUN1" s="69" t="s">
        <v>4787</v>
      </c>
      <c r="FUO1" s="69" t="s">
        <v>4788</v>
      </c>
      <c r="FUP1" s="69" t="s">
        <v>4789</v>
      </c>
      <c r="FUQ1" s="69" t="s">
        <v>4790</v>
      </c>
      <c r="FUR1" s="69" t="s">
        <v>4791</v>
      </c>
      <c r="FUS1" s="69" t="s">
        <v>4792</v>
      </c>
      <c r="FUT1" s="69" t="s">
        <v>4793</v>
      </c>
      <c r="FUU1" s="69" t="s">
        <v>4794</v>
      </c>
      <c r="FUV1" s="69" t="s">
        <v>4795</v>
      </c>
      <c r="FUW1" s="69" t="s">
        <v>4796</v>
      </c>
      <c r="FUX1" s="69" t="s">
        <v>4797</v>
      </c>
      <c r="FUY1" s="69" t="s">
        <v>4798</v>
      </c>
      <c r="FUZ1" s="69" t="s">
        <v>4799</v>
      </c>
      <c r="FVA1" s="69" t="s">
        <v>4800</v>
      </c>
      <c r="FVB1" s="69" t="s">
        <v>4801</v>
      </c>
      <c r="FVC1" s="69" t="s">
        <v>4802</v>
      </c>
      <c r="FVD1" s="69" t="s">
        <v>4803</v>
      </c>
      <c r="FVE1" s="69" t="s">
        <v>4804</v>
      </c>
      <c r="FVF1" s="69" t="s">
        <v>4805</v>
      </c>
      <c r="FVG1" s="69" t="s">
        <v>4806</v>
      </c>
      <c r="FVH1" s="69" t="s">
        <v>4807</v>
      </c>
      <c r="FVI1" s="69" t="s">
        <v>4808</v>
      </c>
      <c r="FVJ1" s="69" t="s">
        <v>4809</v>
      </c>
      <c r="FVK1" s="69" t="s">
        <v>4810</v>
      </c>
      <c r="FVL1" s="69" t="s">
        <v>4811</v>
      </c>
      <c r="FVM1" s="69" t="s">
        <v>4812</v>
      </c>
      <c r="FVN1" s="69" t="s">
        <v>4813</v>
      </c>
      <c r="FVO1" s="69" t="s">
        <v>4814</v>
      </c>
      <c r="FVP1" s="69" t="s">
        <v>4815</v>
      </c>
      <c r="FVQ1" s="69" t="s">
        <v>4816</v>
      </c>
      <c r="FVR1" s="69" t="s">
        <v>4817</v>
      </c>
      <c r="FVS1" s="69" t="s">
        <v>4818</v>
      </c>
      <c r="FVT1" s="69" t="s">
        <v>4819</v>
      </c>
      <c r="FVU1" s="69" t="s">
        <v>4820</v>
      </c>
      <c r="FVV1" s="69" t="s">
        <v>4821</v>
      </c>
      <c r="FVW1" s="69" t="s">
        <v>4822</v>
      </c>
      <c r="FVX1" s="69" t="s">
        <v>4823</v>
      </c>
      <c r="FVY1" s="69" t="s">
        <v>4824</v>
      </c>
      <c r="FVZ1" s="69" t="s">
        <v>4825</v>
      </c>
      <c r="FWA1" s="69" t="s">
        <v>4826</v>
      </c>
      <c r="FWB1" s="69" t="s">
        <v>4827</v>
      </c>
      <c r="FWC1" s="69" t="s">
        <v>4828</v>
      </c>
      <c r="FWD1" s="69" t="s">
        <v>4829</v>
      </c>
      <c r="FWE1" s="69" t="s">
        <v>4830</v>
      </c>
      <c r="FWF1" s="69" t="s">
        <v>4831</v>
      </c>
      <c r="FWG1" s="69" t="s">
        <v>4832</v>
      </c>
      <c r="FWH1" s="69" t="s">
        <v>4833</v>
      </c>
      <c r="FWI1" s="69" t="s">
        <v>4834</v>
      </c>
      <c r="FWJ1" s="69" t="s">
        <v>4835</v>
      </c>
      <c r="FWK1" s="69" t="s">
        <v>4836</v>
      </c>
      <c r="FWL1" s="69" t="s">
        <v>4837</v>
      </c>
      <c r="FWM1" s="69" t="s">
        <v>4838</v>
      </c>
      <c r="FWN1" s="69" t="s">
        <v>4839</v>
      </c>
      <c r="FWO1" s="69" t="s">
        <v>4840</v>
      </c>
      <c r="FWP1" s="69" t="s">
        <v>4841</v>
      </c>
      <c r="FWQ1" s="69" t="s">
        <v>4842</v>
      </c>
      <c r="FWR1" s="69" t="s">
        <v>4843</v>
      </c>
      <c r="FWS1" s="69" t="s">
        <v>4844</v>
      </c>
      <c r="FWT1" s="69" t="s">
        <v>4845</v>
      </c>
      <c r="FWU1" s="69" t="s">
        <v>4846</v>
      </c>
      <c r="FWV1" s="69" t="s">
        <v>4847</v>
      </c>
      <c r="FWW1" s="69" t="s">
        <v>4848</v>
      </c>
      <c r="FWX1" s="69" t="s">
        <v>4849</v>
      </c>
      <c r="FWY1" s="69" t="s">
        <v>4850</v>
      </c>
      <c r="FWZ1" s="69" t="s">
        <v>4851</v>
      </c>
      <c r="FXA1" s="69" t="s">
        <v>4852</v>
      </c>
      <c r="FXB1" s="69" t="s">
        <v>4853</v>
      </c>
      <c r="FXC1" s="69" t="s">
        <v>4854</v>
      </c>
      <c r="FXD1" s="69" t="s">
        <v>4855</v>
      </c>
      <c r="FXE1" s="69" t="s">
        <v>4856</v>
      </c>
      <c r="FXF1" s="69" t="s">
        <v>4857</v>
      </c>
      <c r="FXG1" s="69" t="s">
        <v>4858</v>
      </c>
      <c r="FXH1" s="69" t="s">
        <v>4859</v>
      </c>
      <c r="FXI1" s="69" t="s">
        <v>4860</v>
      </c>
      <c r="FXJ1" s="69" t="s">
        <v>4861</v>
      </c>
      <c r="FXK1" s="69" t="s">
        <v>4862</v>
      </c>
      <c r="FXL1" s="69" t="s">
        <v>4863</v>
      </c>
      <c r="FXM1" s="69" t="s">
        <v>4864</v>
      </c>
      <c r="FXN1" s="69" t="s">
        <v>4865</v>
      </c>
      <c r="FXO1" s="69" t="s">
        <v>4866</v>
      </c>
      <c r="FXP1" s="69" t="s">
        <v>4867</v>
      </c>
      <c r="FXQ1" s="69" t="s">
        <v>4868</v>
      </c>
      <c r="FXR1" s="69" t="s">
        <v>4869</v>
      </c>
      <c r="FXS1" s="69" t="s">
        <v>4870</v>
      </c>
      <c r="FXT1" s="69" t="s">
        <v>4871</v>
      </c>
      <c r="FXU1" s="69" t="s">
        <v>4872</v>
      </c>
      <c r="FXV1" s="69" t="s">
        <v>4873</v>
      </c>
      <c r="FXW1" s="69" t="s">
        <v>4874</v>
      </c>
      <c r="FXX1" s="69" t="s">
        <v>4875</v>
      </c>
      <c r="FXY1" s="69" t="s">
        <v>4876</v>
      </c>
      <c r="FXZ1" s="69" t="s">
        <v>4877</v>
      </c>
      <c r="FYA1" s="69" t="s">
        <v>4878</v>
      </c>
      <c r="FYB1" s="69" t="s">
        <v>4879</v>
      </c>
      <c r="FYC1" s="69" t="s">
        <v>4880</v>
      </c>
      <c r="FYD1" s="69" t="s">
        <v>4881</v>
      </c>
      <c r="FYE1" s="69" t="s">
        <v>4882</v>
      </c>
      <c r="FYF1" s="69" t="s">
        <v>4883</v>
      </c>
      <c r="FYG1" s="69" t="s">
        <v>4884</v>
      </c>
      <c r="FYH1" s="69" t="s">
        <v>4885</v>
      </c>
      <c r="FYI1" s="69" t="s">
        <v>4886</v>
      </c>
      <c r="FYJ1" s="69" t="s">
        <v>4887</v>
      </c>
      <c r="FYK1" s="69" t="s">
        <v>4888</v>
      </c>
      <c r="FYL1" s="69" t="s">
        <v>4889</v>
      </c>
      <c r="FYM1" s="69" t="s">
        <v>4890</v>
      </c>
      <c r="FYN1" s="69" t="s">
        <v>4891</v>
      </c>
      <c r="FYO1" s="69" t="s">
        <v>4892</v>
      </c>
      <c r="FYP1" s="69" t="s">
        <v>4893</v>
      </c>
      <c r="FYQ1" s="69" t="s">
        <v>4894</v>
      </c>
      <c r="FYR1" s="69" t="s">
        <v>4895</v>
      </c>
      <c r="FYS1" s="69" t="s">
        <v>4896</v>
      </c>
      <c r="FYT1" s="69" t="s">
        <v>4897</v>
      </c>
      <c r="FYU1" s="69" t="s">
        <v>4898</v>
      </c>
      <c r="FYV1" s="69" t="s">
        <v>4899</v>
      </c>
      <c r="FYW1" s="69" t="s">
        <v>4900</v>
      </c>
      <c r="FYX1" s="69" t="s">
        <v>4901</v>
      </c>
      <c r="FYY1" s="69" t="s">
        <v>4902</v>
      </c>
      <c r="FYZ1" s="69" t="s">
        <v>4903</v>
      </c>
      <c r="FZA1" s="69" t="s">
        <v>4904</v>
      </c>
      <c r="FZB1" s="69" t="s">
        <v>4905</v>
      </c>
      <c r="FZC1" s="69" t="s">
        <v>4906</v>
      </c>
      <c r="FZD1" s="69" t="s">
        <v>4907</v>
      </c>
      <c r="FZE1" s="69" t="s">
        <v>4908</v>
      </c>
      <c r="FZF1" s="69" t="s">
        <v>4909</v>
      </c>
      <c r="FZG1" s="69" t="s">
        <v>4910</v>
      </c>
      <c r="FZH1" s="69" t="s">
        <v>4911</v>
      </c>
      <c r="FZI1" s="69" t="s">
        <v>4912</v>
      </c>
      <c r="FZJ1" s="69" t="s">
        <v>4913</v>
      </c>
      <c r="FZK1" s="69" t="s">
        <v>4914</v>
      </c>
      <c r="FZL1" s="69" t="s">
        <v>4915</v>
      </c>
      <c r="FZM1" s="69" t="s">
        <v>4916</v>
      </c>
      <c r="FZN1" s="69" t="s">
        <v>4917</v>
      </c>
      <c r="FZO1" s="69" t="s">
        <v>4918</v>
      </c>
      <c r="FZP1" s="69" t="s">
        <v>4919</v>
      </c>
      <c r="FZQ1" s="69" t="s">
        <v>4920</v>
      </c>
      <c r="FZR1" s="69" t="s">
        <v>4921</v>
      </c>
      <c r="FZS1" s="69" t="s">
        <v>4922</v>
      </c>
      <c r="FZT1" s="69" t="s">
        <v>4923</v>
      </c>
      <c r="FZU1" s="69" t="s">
        <v>4924</v>
      </c>
      <c r="FZV1" s="69" t="s">
        <v>4925</v>
      </c>
      <c r="FZW1" s="69" t="s">
        <v>4926</v>
      </c>
      <c r="FZX1" s="69" t="s">
        <v>4927</v>
      </c>
      <c r="FZY1" s="69" t="s">
        <v>4928</v>
      </c>
      <c r="FZZ1" s="69" t="s">
        <v>4929</v>
      </c>
      <c r="GAA1" s="69" t="s">
        <v>4930</v>
      </c>
      <c r="GAB1" s="69" t="s">
        <v>4931</v>
      </c>
      <c r="GAC1" s="69" t="s">
        <v>4932</v>
      </c>
      <c r="GAD1" s="69" t="s">
        <v>4933</v>
      </c>
      <c r="GAE1" s="69" t="s">
        <v>4934</v>
      </c>
      <c r="GAF1" s="69" t="s">
        <v>4935</v>
      </c>
      <c r="GAG1" s="69" t="s">
        <v>4936</v>
      </c>
      <c r="GAH1" s="69" t="s">
        <v>4937</v>
      </c>
      <c r="GAI1" s="69" t="s">
        <v>4938</v>
      </c>
      <c r="GAJ1" s="69" t="s">
        <v>4939</v>
      </c>
      <c r="GAK1" s="69" t="s">
        <v>4940</v>
      </c>
      <c r="GAL1" s="69" t="s">
        <v>4941</v>
      </c>
      <c r="GAM1" s="69" t="s">
        <v>4942</v>
      </c>
      <c r="GAN1" s="69" t="s">
        <v>4943</v>
      </c>
      <c r="GAO1" s="69" t="s">
        <v>4944</v>
      </c>
      <c r="GAP1" s="69" t="s">
        <v>4945</v>
      </c>
      <c r="GAQ1" s="69" t="s">
        <v>4946</v>
      </c>
      <c r="GAR1" s="69" t="s">
        <v>4947</v>
      </c>
      <c r="GAS1" s="69" t="s">
        <v>4948</v>
      </c>
      <c r="GAT1" s="69" t="s">
        <v>4949</v>
      </c>
      <c r="GAU1" s="69" t="s">
        <v>4950</v>
      </c>
      <c r="GAV1" s="69" t="s">
        <v>4951</v>
      </c>
      <c r="GAW1" s="69" t="s">
        <v>4952</v>
      </c>
      <c r="GAX1" s="69" t="s">
        <v>4953</v>
      </c>
      <c r="GAY1" s="69" t="s">
        <v>4954</v>
      </c>
      <c r="GAZ1" s="69" t="s">
        <v>4955</v>
      </c>
      <c r="GBA1" s="69" t="s">
        <v>4956</v>
      </c>
      <c r="GBB1" s="69" t="s">
        <v>4957</v>
      </c>
      <c r="GBC1" s="69" t="s">
        <v>4958</v>
      </c>
      <c r="GBD1" s="69" t="s">
        <v>4959</v>
      </c>
      <c r="GBE1" s="69" t="s">
        <v>4960</v>
      </c>
      <c r="GBF1" s="69" t="s">
        <v>4961</v>
      </c>
      <c r="GBG1" s="69" t="s">
        <v>4962</v>
      </c>
      <c r="GBH1" s="69" t="s">
        <v>4963</v>
      </c>
      <c r="GBI1" s="69" t="s">
        <v>4964</v>
      </c>
      <c r="GBJ1" s="69" t="s">
        <v>4965</v>
      </c>
      <c r="GBK1" s="69" t="s">
        <v>4966</v>
      </c>
      <c r="GBL1" s="69" t="s">
        <v>4967</v>
      </c>
      <c r="GBM1" s="69" t="s">
        <v>4968</v>
      </c>
      <c r="GBN1" s="69" t="s">
        <v>4969</v>
      </c>
      <c r="GBO1" s="69" t="s">
        <v>4970</v>
      </c>
      <c r="GBP1" s="69" t="s">
        <v>4971</v>
      </c>
      <c r="GBQ1" s="69" t="s">
        <v>4972</v>
      </c>
      <c r="GBR1" s="69" t="s">
        <v>4973</v>
      </c>
      <c r="GBS1" s="69" t="s">
        <v>4974</v>
      </c>
      <c r="GBT1" s="69" t="s">
        <v>4975</v>
      </c>
      <c r="GBU1" s="69" t="s">
        <v>4976</v>
      </c>
      <c r="GBV1" s="69" t="s">
        <v>4977</v>
      </c>
      <c r="GBW1" s="69" t="s">
        <v>4978</v>
      </c>
      <c r="GBX1" s="69" t="s">
        <v>4979</v>
      </c>
      <c r="GBY1" s="69" t="s">
        <v>4980</v>
      </c>
      <c r="GBZ1" s="69" t="s">
        <v>4981</v>
      </c>
      <c r="GCA1" s="69" t="s">
        <v>4982</v>
      </c>
      <c r="GCB1" s="69" t="s">
        <v>4983</v>
      </c>
      <c r="GCC1" s="69" t="s">
        <v>4984</v>
      </c>
      <c r="GCD1" s="69" t="s">
        <v>4985</v>
      </c>
      <c r="GCE1" s="69" t="s">
        <v>4986</v>
      </c>
      <c r="GCF1" s="69" t="s">
        <v>4987</v>
      </c>
      <c r="GCG1" s="69" t="s">
        <v>4988</v>
      </c>
      <c r="GCH1" s="69" t="s">
        <v>4989</v>
      </c>
      <c r="GCI1" s="69" t="s">
        <v>4990</v>
      </c>
      <c r="GCJ1" s="69" t="s">
        <v>4991</v>
      </c>
      <c r="GCK1" s="69" t="s">
        <v>4992</v>
      </c>
      <c r="GCL1" s="69" t="s">
        <v>4993</v>
      </c>
      <c r="GCM1" s="69" t="s">
        <v>4994</v>
      </c>
      <c r="GCN1" s="69" t="s">
        <v>4995</v>
      </c>
      <c r="GCO1" s="69" t="s">
        <v>4996</v>
      </c>
      <c r="GCP1" s="69" t="s">
        <v>4997</v>
      </c>
      <c r="GCQ1" s="69" t="s">
        <v>4998</v>
      </c>
      <c r="GCR1" s="69" t="s">
        <v>4999</v>
      </c>
      <c r="GCS1" s="69" t="s">
        <v>5000</v>
      </c>
      <c r="GCT1" s="69" t="s">
        <v>5001</v>
      </c>
      <c r="GCU1" s="69" t="s">
        <v>5002</v>
      </c>
      <c r="GCV1" s="69" t="s">
        <v>5003</v>
      </c>
      <c r="GCW1" s="69" t="s">
        <v>5004</v>
      </c>
      <c r="GCX1" s="69" t="s">
        <v>5005</v>
      </c>
      <c r="GCY1" s="69" t="s">
        <v>5006</v>
      </c>
      <c r="GCZ1" s="69" t="s">
        <v>5007</v>
      </c>
      <c r="GDA1" s="69" t="s">
        <v>5008</v>
      </c>
      <c r="GDB1" s="69" t="s">
        <v>5009</v>
      </c>
      <c r="GDC1" s="69" t="s">
        <v>5010</v>
      </c>
      <c r="GDD1" s="69" t="s">
        <v>5011</v>
      </c>
      <c r="GDE1" s="69" t="s">
        <v>5012</v>
      </c>
      <c r="GDF1" s="69" t="s">
        <v>5013</v>
      </c>
      <c r="GDG1" s="69" t="s">
        <v>5014</v>
      </c>
      <c r="GDH1" s="69" t="s">
        <v>5015</v>
      </c>
      <c r="GDI1" s="69" t="s">
        <v>5016</v>
      </c>
      <c r="GDJ1" s="69" t="s">
        <v>5017</v>
      </c>
      <c r="GDK1" s="69" t="s">
        <v>5018</v>
      </c>
      <c r="GDL1" s="69" t="s">
        <v>5019</v>
      </c>
      <c r="GDM1" s="69" t="s">
        <v>5020</v>
      </c>
      <c r="GDN1" s="69" t="s">
        <v>5021</v>
      </c>
      <c r="GDO1" s="69" t="s">
        <v>5022</v>
      </c>
      <c r="GDP1" s="69" t="s">
        <v>5023</v>
      </c>
      <c r="GDQ1" s="69" t="s">
        <v>5024</v>
      </c>
      <c r="GDR1" s="69" t="s">
        <v>5025</v>
      </c>
      <c r="GDS1" s="69" t="s">
        <v>5026</v>
      </c>
      <c r="GDT1" s="69" t="s">
        <v>5027</v>
      </c>
      <c r="GDU1" s="69" t="s">
        <v>5028</v>
      </c>
      <c r="GDV1" s="69" t="s">
        <v>5029</v>
      </c>
      <c r="GDW1" s="69" t="s">
        <v>5030</v>
      </c>
      <c r="GDX1" s="69" t="s">
        <v>5031</v>
      </c>
      <c r="GDY1" s="69" t="s">
        <v>5032</v>
      </c>
      <c r="GDZ1" s="69" t="s">
        <v>5033</v>
      </c>
      <c r="GEA1" s="69" t="s">
        <v>5034</v>
      </c>
      <c r="GEB1" s="69" t="s">
        <v>5035</v>
      </c>
      <c r="GEC1" s="69" t="s">
        <v>5036</v>
      </c>
      <c r="GED1" s="69" t="s">
        <v>5037</v>
      </c>
      <c r="GEE1" s="69" t="s">
        <v>5038</v>
      </c>
      <c r="GEF1" s="69" t="s">
        <v>5039</v>
      </c>
      <c r="GEG1" s="69" t="s">
        <v>5040</v>
      </c>
      <c r="GEH1" s="69" t="s">
        <v>5041</v>
      </c>
      <c r="GEI1" s="69" t="s">
        <v>5042</v>
      </c>
      <c r="GEJ1" s="69" t="s">
        <v>5043</v>
      </c>
      <c r="GEK1" s="69" t="s">
        <v>5044</v>
      </c>
      <c r="GEL1" s="69" t="s">
        <v>5045</v>
      </c>
      <c r="GEM1" s="69" t="s">
        <v>5046</v>
      </c>
      <c r="GEN1" s="69" t="s">
        <v>5047</v>
      </c>
      <c r="GEO1" s="69" t="s">
        <v>5048</v>
      </c>
      <c r="GEP1" s="69" t="s">
        <v>5049</v>
      </c>
      <c r="GEQ1" s="69" t="s">
        <v>5050</v>
      </c>
      <c r="GER1" s="69" t="s">
        <v>5051</v>
      </c>
      <c r="GES1" s="69" t="s">
        <v>5052</v>
      </c>
      <c r="GET1" s="69" t="s">
        <v>5053</v>
      </c>
      <c r="GEU1" s="69" t="s">
        <v>5054</v>
      </c>
      <c r="GEV1" s="69" t="s">
        <v>5055</v>
      </c>
      <c r="GEW1" s="69" t="s">
        <v>5056</v>
      </c>
      <c r="GEX1" s="69" t="s">
        <v>5057</v>
      </c>
      <c r="GEY1" s="69" t="s">
        <v>5058</v>
      </c>
      <c r="GEZ1" s="69" t="s">
        <v>5059</v>
      </c>
      <c r="GFA1" s="69" t="s">
        <v>5060</v>
      </c>
      <c r="GFB1" s="69" t="s">
        <v>5061</v>
      </c>
      <c r="GFC1" s="69" t="s">
        <v>5062</v>
      </c>
      <c r="GFD1" s="69" t="s">
        <v>5063</v>
      </c>
      <c r="GFE1" s="69" t="s">
        <v>5064</v>
      </c>
      <c r="GFF1" s="69" t="s">
        <v>5065</v>
      </c>
      <c r="GFG1" s="69" t="s">
        <v>5066</v>
      </c>
      <c r="GFH1" s="69" t="s">
        <v>5067</v>
      </c>
      <c r="GFI1" s="69" t="s">
        <v>5068</v>
      </c>
      <c r="GFJ1" s="69" t="s">
        <v>5069</v>
      </c>
      <c r="GFK1" s="69" t="s">
        <v>5070</v>
      </c>
      <c r="GFL1" s="69" t="s">
        <v>5071</v>
      </c>
      <c r="GFM1" s="69" t="s">
        <v>5072</v>
      </c>
      <c r="GFN1" s="69" t="s">
        <v>5073</v>
      </c>
      <c r="GFO1" s="69" t="s">
        <v>5074</v>
      </c>
      <c r="GFP1" s="69" t="s">
        <v>5075</v>
      </c>
      <c r="GFQ1" s="69" t="s">
        <v>5076</v>
      </c>
      <c r="GFR1" s="69" t="s">
        <v>5077</v>
      </c>
      <c r="GFS1" s="69" t="s">
        <v>5078</v>
      </c>
      <c r="GFT1" s="69" t="s">
        <v>5079</v>
      </c>
      <c r="GFU1" s="69" t="s">
        <v>5080</v>
      </c>
      <c r="GFV1" s="69" t="s">
        <v>5081</v>
      </c>
      <c r="GFW1" s="69" t="s">
        <v>5082</v>
      </c>
      <c r="GFX1" s="69" t="s">
        <v>5083</v>
      </c>
      <c r="GFY1" s="69" t="s">
        <v>5084</v>
      </c>
      <c r="GFZ1" s="69" t="s">
        <v>5085</v>
      </c>
      <c r="GGA1" s="69" t="s">
        <v>5086</v>
      </c>
      <c r="GGB1" s="69" t="s">
        <v>5087</v>
      </c>
      <c r="GGC1" s="69" t="s">
        <v>5088</v>
      </c>
      <c r="GGD1" s="69" t="s">
        <v>5089</v>
      </c>
      <c r="GGE1" s="69" t="s">
        <v>5090</v>
      </c>
      <c r="GGF1" s="69" t="s">
        <v>5091</v>
      </c>
      <c r="GGG1" s="69" t="s">
        <v>5092</v>
      </c>
      <c r="GGH1" s="69" t="s">
        <v>5093</v>
      </c>
      <c r="GGI1" s="69" t="s">
        <v>5094</v>
      </c>
      <c r="GGJ1" s="69" t="s">
        <v>5095</v>
      </c>
      <c r="GGK1" s="69" t="s">
        <v>5096</v>
      </c>
      <c r="GGL1" s="69" t="s">
        <v>5097</v>
      </c>
      <c r="GGM1" s="69" t="s">
        <v>5098</v>
      </c>
      <c r="GGN1" s="69" t="s">
        <v>5099</v>
      </c>
      <c r="GGO1" s="69" t="s">
        <v>5100</v>
      </c>
      <c r="GGP1" s="69" t="s">
        <v>5101</v>
      </c>
      <c r="GGQ1" s="69" t="s">
        <v>5102</v>
      </c>
      <c r="GGR1" s="69" t="s">
        <v>5103</v>
      </c>
      <c r="GGS1" s="69" t="s">
        <v>5104</v>
      </c>
      <c r="GGT1" s="69" t="s">
        <v>5105</v>
      </c>
      <c r="GGU1" s="69" t="s">
        <v>5106</v>
      </c>
      <c r="GGV1" s="69" t="s">
        <v>5107</v>
      </c>
      <c r="GGW1" s="69" t="s">
        <v>5108</v>
      </c>
      <c r="GGX1" s="69" t="s">
        <v>5109</v>
      </c>
      <c r="GGY1" s="69" t="s">
        <v>5110</v>
      </c>
      <c r="GGZ1" s="69" t="s">
        <v>5111</v>
      </c>
      <c r="GHA1" s="69" t="s">
        <v>5112</v>
      </c>
      <c r="GHB1" s="69" t="s">
        <v>5113</v>
      </c>
      <c r="GHC1" s="69" t="s">
        <v>5114</v>
      </c>
      <c r="GHD1" s="69" t="s">
        <v>5115</v>
      </c>
      <c r="GHE1" s="69" t="s">
        <v>5116</v>
      </c>
      <c r="GHF1" s="69" t="s">
        <v>5117</v>
      </c>
      <c r="GHG1" s="69" t="s">
        <v>5118</v>
      </c>
      <c r="GHH1" s="69" t="s">
        <v>5119</v>
      </c>
      <c r="GHI1" s="69" t="s">
        <v>5120</v>
      </c>
      <c r="GHJ1" s="69" t="s">
        <v>5121</v>
      </c>
      <c r="GHK1" s="69" t="s">
        <v>5122</v>
      </c>
      <c r="GHL1" s="69" t="s">
        <v>5123</v>
      </c>
      <c r="GHM1" s="69" t="s">
        <v>5124</v>
      </c>
      <c r="GHN1" s="69" t="s">
        <v>5125</v>
      </c>
      <c r="GHO1" s="69" t="s">
        <v>5126</v>
      </c>
      <c r="GHP1" s="69" t="s">
        <v>5127</v>
      </c>
      <c r="GHQ1" s="69" t="s">
        <v>5128</v>
      </c>
      <c r="GHR1" s="69" t="s">
        <v>5129</v>
      </c>
      <c r="GHS1" s="69" t="s">
        <v>5130</v>
      </c>
      <c r="GHT1" s="69" t="s">
        <v>5131</v>
      </c>
      <c r="GHU1" s="69" t="s">
        <v>5132</v>
      </c>
      <c r="GHV1" s="69" t="s">
        <v>5133</v>
      </c>
      <c r="GHW1" s="69" t="s">
        <v>5134</v>
      </c>
      <c r="GHX1" s="69" t="s">
        <v>5135</v>
      </c>
      <c r="GHY1" s="69" t="s">
        <v>5136</v>
      </c>
      <c r="GHZ1" s="69" t="s">
        <v>5137</v>
      </c>
      <c r="GIA1" s="69" t="s">
        <v>5138</v>
      </c>
      <c r="GIB1" s="69" t="s">
        <v>5139</v>
      </c>
      <c r="GIC1" s="69" t="s">
        <v>5140</v>
      </c>
      <c r="GID1" s="69" t="s">
        <v>5141</v>
      </c>
      <c r="GIE1" s="69" t="s">
        <v>5142</v>
      </c>
      <c r="GIF1" s="69" t="s">
        <v>5143</v>
      </c>
      <c r="GIG1" s="69" t="s">
        <v>5144</v>
      </c>
      <c r="GIH1" s="69" t="s">
        <v>5145</v>
      </c>
      <c r="GII1" s="69" t="s">
        <v>5146</v>
      </c>
      <c r="GIJ1" s="69" t="s">
        <v>5147</v>
      </c>
      <c r="GIK1" s="69" t="s">
        <v>5148</v>
      </c>
      <c r="GIL1" s="69" t="s">
        <v>5149</v>
      </c>
      <c r="GIM1" s="69" t="s">
        <v>5150</v>
      </c>
      <c r="GIN1" s="69" t="s">
        <v>5151</v>
      </c>
      <c r="GIO1" s="69" t="s">
        <v>5152</v>
      </c>
      <c r="GIP1" s="69" t="s">
        <v>5153</v>
      </c>
      <c r="GIQ1" s="69" t="s">
        <v>5154</v>
      </c>
      <c r="GIR1" s="69" t="s">
        <v>5155</v>
      </c>
      <c r="GIS1" s="69" t="s">
        <v>5156</v>
      </c>
      <c r="GIT1" s="69" t="s">
        <v>5157</v>
      </c>
      <c r="GIU1" s="69" t="s">
        <v>5158</v>
      </c>
      <c r="GIV1" s="69" t="s">
        <v>5159</v>
      </c>
      <c r="GIW1" s="69" t="s">
        <v>5160</v>
      </c>
      <c r="GIX1" s="69" t="s">
        <v>5161</v>
      </c>
      <c r="GIY1" s="69" t="s">
        <v>5162</v>
      </c>
      <c r="GIZ1" s="69" t="s">
        <v>5163</v>
      </c>
      <c r="GJA1" s="69" t="s">
        <v>5164</v>
      </c>
      <c r="GJB1" s="69" t="s">
        <v>5165</v>
      </c>
      <c r="GJC1" s="69" t="s">
        <v>5166</v>
      </c>
      <c r="GJD1" s="69" t="s">
        <v>5167</v>
      </c>
      <c r="GJE1" s="69" t="s">
        <v>5168</v>
      </c>
      <c r="GJF1" s="69" t="s">
        <v>5169</v>
      </c>
      <c r="GJG1" s="69" t="s">
        <v>5170</v>
      </c>
      <c r="GJH1" s="69" t="s">
        <v>5171</v>
      </c>
      <c r="GJI1" s="69" t="s">
        <v>5172</v>
      </c>
      <c r="GJJ1" s="69" t="s">
        <v>5173</v>
      </c>
      <c r="GJK1" s="69" t="s">
        <v>5174</v>
      </c>
      <c r="GJL1" s="69" t="s">
        <v>5175</v>
      </c>
      <c r="GJM1" s="69" t="s">
        <v>5176</v>
      </c>
      <c r="GJN1" s="69" t="s">
        <v>5177</v>
      </c>
      <c r="GJO1" s="69" t="s">
        <v>5178</v>
      </c>
      <c r="GJP1" s="69" t="s">
        <v>5179</v>
      </c>
      <c r="GJQ1" s="69" t="s">
        <v>5180</v>
      </c>
      <c r="GJR1" s="69" t="s">
        <v>5181</v>
      </c>
      <c r="GJS1" s="69" t="s">
        <v>5182</v>
      </c>
      <c r="GJT1" s="69" t="s">
        <v>5183</v>
      </c>
      <c r="GJU1" s="69" t="s">
        <v>5184</v>
      </c>
      <c r="GJV1" s="69" t="s">
        <v>5185</v>
      </c>
      <c r="GJW1" s="69" t="s">
        <v>5186</v>
      </c>
      <c r="GJX1" s="69" t="s">
        <v>5187</v>
      </c>
      <c r="GJY1" s="69" t="s">
        <v>5188</v>
      </c>
      <c r="GJZ1" s="69" t="s">
        <v>5189</v>
      </c>
      <c r="GKA1" s="69" t="s">
        <v>5190</v>
      </c>
      <c r="GKB1" s="69" t="s">
        <v>5191</v>
      </c>
      <c r="GKC1" s="69" t="s">
        <v>5192</v>
      </c>
      <c r="GKD1" s="69" t="s">
        <v>5193</v>
      </c>
      <c r="GKE1" s="69" t="s">
        <v>5194</v>
      </c>
      <c r="GKF1" s="69" t="s">
        <v>5195</v>
      </c>
      <c r="GKG1" s="69" t="s">
        <v>5196</v>
      </c>
      <c r="GKH1" s="69" t="s">
        <v>5197</v>
      </c>
      <c r="GKI1" s="69" t="s">
        <v>5198</v>
      </c>
      <c r="GKJ1" s="69" t="s">
        <v>5199</v>
      </c>
      <c r="GKK1" s="69" t="s">
        <v>5200</v>
      </c>
      <c r="GKL1" s="69" t="s">
        <v>5201</v>
      </c>
      <c r="GKM1" s="69" t="s">
        <v>5202</v>
      </c>
      <c r="GKN1" s="69" t="s">
        <v>5203</v>
      </c>
      <c r="GKO1" s="69" t="s">
        <v>5204</v>
      </c>
      <c r="GKP1" s="69" t="s">
        <v>5205</v>
      </c>
      <c r="GKQ1" s="69" t="s">
        <v>5206</v>
      </c>
      <c r="GKR1" s="69" t="s">
        <v>5207</v>
      </c>
      <c r="GKS1" s="69" t="s">
        <v>5208</v>
      </c>
      <c r="GKT1" s="69" t="s">
        <v>5209</v>
      </c>
      <c r="GKU1" s="69" t="s">
        <v>5210</v>
      </c>
      <c r="GKV1" s="69" t="s">
        <v>5211</v>
      </c>
      <c r="GKW1" s="69" t="s">
        <v>5212</v>
      </c>
      <c r="GKX1" s="69" t="s">
        <v>5213</v>
      </c>
      <c r="GKY1" s="69" t="s">
        <v>5214</v>
      </c>
      <c r="GKZ1" s="69" t="s">
        <v>5215</v>
      </c>
      <c r="GLA1" s="69" t="s">
        <v>5216</v>
      </c>
      <c r="GLB1" s="69" t="s">
        <v>5217</v>
      </c>
      <c r="GLC1" s="69" t="s">
        <v>5218</v>
      </c>
      <c r="GLD1" s="69" t="s">
        <v>5219</v>
      </c>
      <c r="GLE1" s="69" t="s">
        <v>5220</v>
      </c>
      <c r="GLF1" s="69" t="s">
        <v>5221</v>
      </c>
      <c r="GLG1" s="69" t="s">
        <v>5222</v>
      </c>
      <c r="GLH1" s="69" t="s">
        <v>5223</v>
      </c>
      <c r="GLI1" s="69" t="s">
        <v>5224</v>
      </c>
      <c r="GLJ1" s="69" t="s">
        <v>5225</v>
      </c>
      <c r="GLK1" s="69" t="s">
        <v>5226</v>
      </c>
      <c r="GLL1" s="69" t="s">
        <v>5227</v>
      </c>
      <c r="GLM1" s="69" t="s">
        <v>5228</v>
      </c>
      <c r="GLN1" s="69" t="s">
        <v>5229</v>
      </c>
      <c r="GLO1" s="69" t="s">
        <v>5230</v>
      </c>
      <c r="GLP1" s="69" t="s">
        <v>5231</v>
      </c>
      <c r="GLQ1" s="69" t="s">
        <v>5232</v>
      </c>
      <c r="GLR1" s="69" t="s">
        <v>5233</v>
      </c>
      <c r="GLS1" s="69" t="s">
        <v>5234</v>
      </c>
      <c r="GLT1" s="69" t="s">
        <v>5235</v>
      </c>
      <c r="GLU1" s="69" t="s">
        <v>5236</v>
      </c>
      <c r="GLV1" s="69" t="s">
        <v>5237</v>
      </c>
      <c r="GLW1" s="69" t="s">
        <v>5238</v>
      </c>
      <c r="GLX1" s="69" t="s">
        <v>5239</v>
      </c>
      <c r="GLY1" s="69" t="s">
        <v>5240</v>
      </c>
      <c r="GLZ1" s="69" t="s">
        <v>5241</v>
      </c>
      <c r="GMA1" s="69" t="s">
        <v>5242</v>
      </c>
      <c r="GMB1" s="69" t="s">
        <v>5243</v>
      </c>
      <c r="GMC1" s="69" t="s">
        <v>5244</v>
      </c>
      <c r="GMD1" s="69" t="s">
        <v>5245</v>
      </c>
      <c r="GME1" s="69" t="s">
        <v>5246</v>
      </c>
      <c r="GMF1" s="69" t="s">
        <v>5247</v>
      </c>
      <c r="GMG1" s="69" t="s">
        <v>5248</v>
      </c>
      <c r="GMH1" s="69" t="s">
        <v>5249</v>
      </c>
      <c r="GMI1" s="69" t="s">
        <v>5250</v>
      </c>
      <c r="GMJ1" s="69" t="s">
        <v>5251</v>
      </c>
      <c r="GMK1" s="69" t="s">
        <v>5252</v>
      </c>
      <c r="GML1" s="69" t="s">
        <v>5253</v>
      </c>
      <c r="GMM1" s="69" t="s">
        <v>5254</v>
      </c>
      <c r="GMN1" s="69" t="s">
        <v>5255</v>
      </c>
      <c r="GMO1" s="69" t="s">
        <v>5256</v>
      </c>
      <c r="GMP1" s="69" t="s">
        <v>5257</v>
      </c>
      <c r="GMQ1" s="69" t="s">
        <v>5258</v>
      </c>
      <c r="GMR1" s="69" t="s">
        <v>5259</v>
      </c>
      <c r="GMS1" s="69" t="s">
        <v>5260</v>
      </c>
      <c r="GMT1" s="69" t="s">
        <v>5261</v>
      </c>
      <c r="GMU1" s="69" t="s">
        <v>5262</v>
      </c>
      <c r="GMV1" s="69" t="s">
        <v>5263</v>
      </c>
      <c r="GMW1" s="69" t="s">
        <v>5264</v>
      </c>
      <c r="GMX1" s="69" t="s">
        <v>5265</v>
      </c>
      <c r="GMY1" s="69" t="s">
        <v>5266</v>
      </c>
      <c r="GMZ1" s="69" t="s">
        <v>5267</v>
      </c>
      <c r="GNA1" s="69" t="s">
        <v>5268</v>
      </c>
      <c r="GNB1" s="69" t="s">
        <v>5269</v>
      </c>
      <c r="GNC1" s="69" t="s">
        <v>5270</v>
      </c>
      <c r="GND1" s="69" t="s">
        <v>5271</v>
      </c>
      <c r="GNE1" s="69" t="s">
        <v>5272</v>
      </c>
      <c r="GNF1" s="69" t="s">
        <v>5273</v>
      </c>
      <c r="GNG1" s="69" t="s">
        <v>5274</v>
      </c>
      <c r="GNH1" s="69" t="s">
        <v>5275</v>
      </c>
      <c r="GNI1" s="69" t="s">
        <v>5276</v>
      </c>
      <c r="GNJ1" s="69" t="s">
        <v>5277</v>
      </c>
      <c r="GNK1" s="69" t="s">
        <v>5278</v>
      </c>
      <c r="GNL1" s="69" t="s">
        <v>5279</v>
      </c>
      <c r="GNM1" s="69" t="s">
        <v>5280</v>
      </c>
      <c r="GNN1" s="69" t="s">
        <v>5281</v>
      </c>
      <c r="GNO1" s="69" t="s">
        <v>5282</v>
      </c>
      <c r="GNP1" s="69" t="s">
        <v>5283</v>
      </c>
      <c r="GNQ1" s="69" t="s">
        <v>5284</v>
      </c>
      <c r="GNR1" s="69" t="s">
        <v>5285</v>
      </c>
      <c r="GNS1" s="69" t="s">
        <v>5286</v>
      </c>
      <c r="GNT1" s="69" t="s">
        <v>5287</v>
      </c>
      <c r="GNU1" s="69" t="s">
        <v>5288</v>
      </c>
      <c r="GNV1" s="69" t="s">
        <v>5289</v>
      </c>
      <c r="GNW1" s="69" t="s">
        <v>5290</v>
      </c>
      <c r="GNX1" s="69" t="s">
        <v>5291</v>
      </c>
      <c r="GNY1" s="69" t="s">
        <v>5292</v>
      </c>
      <c r="GNZ1" s="69" t="s">
        <v>5293</v>
      </c>
      <c r="GOA1" s="69" t="s">
        <v>5294</v>
      </c>
      <c r="GOB1" s="69" t="s">
        <v>5295</v>
      </c>
      <c r="GOC1" s="69" t="s">
        <v>5296</v>
      </c>
      <c r="GOD1" s="69" t="s">
        <v>5297</v>
      </c>
      <c r="GOE1" s="69" t="s">
        <v>5298</v>
      </c>
      <c r="GOF1" s="69" t="s">
        <v>5299</v>
      </c>
      <c r="GOG1" s="69" t="s">
        <v>5300</v>
      </c>
      <c r="GOH1" s="69" t="s">
        <v>5301</v>
      </c>
      <c r="GOI1" s="69" t="s">
        <v>5302</v>
      </c>
      <c r="GOJ1" s="69" t="s">
        <v>5303</v>
      </c>
      <c r="GOK1" s="69" t="s">
        <v>5304</v>
      </c>
      <c r="GOL1" s="69" t="s">
        <v>5305</v>
      </c>
      <c r="GOM1" s="69" t="s">
        <v>5306</v>
      </c>
      <c r="GON1" s="69" t="s">
        <v>5307</v>
      </c>
      <c r="GOO1" s="69" t="s">
        <v>5308</v>
      </c>
      <c r="GOP1" s="69" t="s">
        <v>5309</v>
      </c>
      <c r="GOQ1" s="69" t="s">
        <v>5310</v>
      </c>
      <c r="GOR1" s="69" t="s">
        <v>5311</v>
      </c>
      <c r="GOS1" s="69" t="s">
        <v>5312</v>
      </c>
      <c r="GOT1" s="69" t="s">
        <v>5313</v>
      </c>
      <c r="GOU1" s="69" t="s">
        <v>5314</v>
      </c>
      <c r="GOV1" s="69" t="s">
        <v>5315</v>
      </c>
      <c r="GOW1" s="69" t="s">
        <v>5316</v>
      </c>
      <c r="GOX1" s="69" t="s">
        <v>5317</v>
      </c>
      <c r="GOY1" s="69" t="s">
        <v>5318</v>
      </c>
      <c r="GOZ1" s="69" t="s">
        <v>5319</v>
      </c>
      <c r="GPA1" s="69" t="s">
        <v>5320</v>
      </c>
      <c r="GPB1" s="69" t="s">
        <v>5321</v>
      </c>
      <c r="GPC1" s="69" t="s">
        <v>5322</v>
      </c>
      <c r="GPD1" s="69" t="s">
        <v>5323</v>
      </c>
      <c r="GPE1" s="69" t="s">
        <v>5324</v>
      </c>
      <c r="GPF1" s="69" t="s">
        <v>5325</v>
      </c>
      <c r="GPG1" s="69" t="s">
        <v>5326</v>
      </c>
      <c r="GPH1" s="69" t="s">
        <v>5327</v>
      </c>
      <c r="GPI1" s="69" t="s">
        <v>5328</v>
      </c>
      <c r="GPJ1" s="69" t="s">
        <v>5329</v>
      </c>
      <c r="GPK1" s="69" t="s">
        <v>5330</v>
      </c>
      <c r="GPL1" s="69" t="s">
        <v>5331</v>
      </c>
      <c r="GPM1" s="69" t="s">
        <v>5332</v>
      </c>
      <c r="GPN1" s="69" t="s">
        <v>5333</v>
      </c>
      <c r="GPO1" s="69" t="s">
        <v>5334</v>
      </c>
      <c r="GPP1" s="69" t="s">
        <v>5335</v>
      </c>
      <c r="GPQ1" s="69" t="s">
        <v>5336</v>
      </c>
      <c r="GPR1" s="69" t="s">
        <v>5337</v>
      </c>
      <c r="GPS1" s="69" t="s">
        <v>5338</v>
      </c>
      <c r="GPT1" s="69" t="s">
        <v>5339</v>
      </c>
      <c r="GPU1" s="69" t="s">
        <v>5340</v>
      </c>
      <c r="GPV1" s="69" t="s">
        <v>5341</v>
      </c>
      <c r="GPW1" s="69" t="s">
        <v>5342</v>
      </c>
      <c r="GPX1" s="69" t="s">
        <v>5343</v>
      </c>
      <c r="GPY1" s="69" t="s">
        <v>5344</v>
      </c>
      <c r="GPZ1" s="69" t="s">
        <v>5345</v>
      </c>
      <c r="GQA1" s="69" t="s">
        <v>5346</v>
      </c>
      <c r="GQB1" s="69" t="s">
        <v>5347</v>
      </c>
      <c r="GQC1" s="69" t="s">
        <v>5348</v>
      </c>
      <c r="GQD1" s="69" t="s">
        <v>5349</v>
      </c>
      <c r="GQE1" s="69" t="s">
        <v>5350</v>
      </c>
      <c r="GQF1" s="69" t="s">
        <v>5351</v>
      </c>
      <c r="GQG1" s="69" t="s">
        <v>5352</v>
      </c>
      <c r="GQH1" s="69" t="s">
        <v>5353</v>
      </c>
      <c r="GQI1" s="69" t="s">
        <v>5354</v>
      </c>
      <c r="GQJ1" s="69" t="s">
        <v>5355</v>
      </c>
      <c r="GQK1" s="69" t="s">
        <v>5356</v>
      </c>
      <c r="GQL1" s="69" t="s">
        <v>5357</v>
      </c>
      <c r="GQM1" s="69" t="s">
        <v>5358</v>
      </c>
      <c r="GQN1" s="69" t="s">
        <v>5359</v>
      </c>
      <c r="GQO1" s="69" t="s">
        <v>5360</v>
      </c>
      <c r="GQP1" s="69" t="s">
        <v>5361</v>
      </c>
      <c r="GQQ1" s="69" t="s">
        <v>5362</v>
      </c>
      <c r="GQR1" s="69" t="s">
        <v>5363</v>
      </c>
      <c r="GQS1" s="69" t="s">
        <v>5364</v>
      </c>
      <c r="GQT1" s="69" t="s">
        <v>5365</v>
      </c>
      <c r="GQU1" s="69" t="s">
        <v>5366</v>
      </c>
      <c r="GQV1" s="69" t="s">
        <v>5367</v>
      </c>
      <c r="GQW1" s="69" t="s">
        <v>5368</v>
      </c>
      <c r="GQX1" s="69" t="s">
        <v>5369</v>
      </c>
      <c r="GQY1" s="69" t="s">
        <v>5370</v>
      </c>
      <c r="GQZ1" s="69" t="s">
        <v>5371</v>
      </c>
      <c r="GRA1" s="69" t="s">
        <v>5372</v>
      </c>
      <c r="GRB1" s="69" t="s">
        <v>5373</v>
      </c>
      <c r="GRC1" s="69" t="s">
        <v>5374</v>
      </c>
      <c r="GRD1" s="69" t="s">
        <v>5375</v>
      </c>
      <c r="GRE1" s="69" t="s">
        <v>5376</v>
      </c>
      <c r="GRF1" s="69" t="s">
        <v>5377</v>
      </c>
      <c r="GRG1" s="69" t="s">
        <v>5378</v>
      </c>
      <c r="GRH1" s="69" t="s">
        <v>5379</v>
      </c>
      <c r="GRI1" s="69" t="s">
        <v>5380</v>
      </c>
      <c r="GRJ1" s="69" t="s">
        <v>5381</v>
      </c>
      <c r="GRK1" s="69" t="s">
        <v>5382</v>
      </c>
      <c r="GRL1" s="69" t="s">
        <v>5383</v>
      </c>
      <c r="GRM1" s="69" t="s">
        <v>5384</v>
      </c>
      <c r="GRN1" s="69" t="s">
        <v>5385</v>
      </c>
      <c r="GRO1" s="69" t="s">
        <v>5386</v>
      </c>
      <c r="GRP1" s="69" t="s">
        <v>5387</v>
      </c>
      <c r="GRQ1" s="69" t="s">
        <v>5388</v>
      </c>
      <c r="GRR1" s="69" t="s">
        <v>5389</v>
      </c>
      <c r="GRS1" s="69" t="s">
        <v>5390</v>
      </c>
      <c r="GRT1" s="69" t="s">
        <v>5391</v>
      </c>
      <c r="GRU1" s="69" t="s">
        <v>5392</v>
      </c>
      <c r="GRV1" s="69" t="s">
        <v>5393</v>
      </c>
      <c r="GRW1" s="69" t="s">
        <v>5394</v>
      </c>
      <c r="GRX1" s="69" t="s">
        <v>5395</v>
      </c>
      <c r="GRY1" s="69" t="s">
        <v>5396</v>
      </c>
      <c r="GRZ1" s="69" t="s">
        <v>5397</v>
      </c>
      <c r="GSA1" s="69" t="s">
        <v>5398</v>
      </c>
      <c r="GSB1" s="69" t="s">
        <v>5399</v>
      </c>
      <c r="GSC1" s="69" t="s">
        <v>5400</v>
      </c>
      <c r="GSD1" s="69" t="s">
        <v>5401</v>
      </c>
      <c r="GSE1" s="69" t="s">
        <v>5402</v>
      </c>
      <c r="GSF1" s="69" t="s">
        <v>5403</v>
      </c>
      <c r="GSG1" s="69" t="s">
        <v>5404</v>
      </c>
      <c r="GSH1" s="69" t="s">
        <v>5405</v>
      </c>
      <c r="GSI1" s="69" t="s">
        <v>5406</v>
      </c>
      <c r="GSJ1" s="69" t="s">
        <v>5407</v>
      </c>
      <c r="GSK1" s="69" t="s">
        <v>5408</v>
      </c>
      <c r="GSL1" s="69" t="s">
        <v>5409</v>
      </c>
      <c r="GSM1" s="69" t="s">
        <v>5410</v>
      </c>
      <c r="GSN1" s="69" t="s">
        <v>5411</v>
      </c>
      <c r="GSO1" s="69" t="s">
        <v>5412</v>
      </c>
      <c r="GSP1" s="69" t="s">
        <v>5413</v>
      </c>
      <c r="GSQ1" s="69" t="s">
        <v>5414</v>
      </c>
      <c r="GSR1" s="69" t="s">
        <v>5415</v>
      </c>
      <c r="GSS1" s="69" t="s">
        <v>5416</v>
      </c>
      <c r="GST1" s="69" t="s">
        <v>5417</v>
      </c>
      <c r="GSU1" s="69" t="s">
        <v>5418</v>
      </c>
      <c r="GSV1" s="69" t="s">
        <v>5419</v>
      </c>
      <c r="GSW1" s="69" t="s">
        <v>5420</v>
      </c>
      <c r="GSX1" s="69" t="s">
        <v>5421</v>
      </c>
      <c r="GSY1" s="69" t="s">
        <v>5422</v>
      </c>
      <c r="GSZ1" s="69" t="s">
        <v>5423</v>
      </c>
      <c r="GTA1" s="69" t="s">
        <v>5424</v>
      </c>
      <c r="GTB1" s="69" t="s">
        <v>5425</v>
      </c>
      <c r="GTC1" s="69" t="s">
        <v>5426</v>
      </c>
      <c r="GTD1" s="69" t="s">
        <v>5427</v>
      </c>
      <c r="GTE1" s="69" t="s">
        <v>5428</v>
      </c>
      <c r="GTF1" s="69" t="s">
        <v>5429</v>
      </c>
      <c r="GTG1" s="69" t="s">
        <v>5430</v>
      </c>
      <c r="GTH1" s="69" t="s">
        <v>5431</v>
      </c>
      <c r="GTI1" s="69" t="s">
        <v>5432</v>
      </c>
      <c r="GTJ1" s="69" t="s">
        <v>5433</v>
      </c>
      <c r="GTK1" s="69" t="s">
        <v>5434</v>
      </c>
      <c r="GTL1" s="69" t="s">
        <v>5435</v>
      </c>
      <c r="GTM1" s="69" t="s">
        <v>5436</v>
      </c>
      <c r="GTN1" s="69" t="s">
        <v>5437</v>
      </c>
      <c r="GTO1" s="69" t="s">
        <v>5438</v>
      </c>
      <c r="GTP1" s="69" t="s">
        <v>5439</v>
      </c>
      <c r="GTQ1" s="69" t="s">
        <v>5440</v>
      </c>
      <c r="GTR1" s="69" t="s">
        <v>5441</v>
      </c>
      <c r="GTS1" s="69" t="s">
        <v>5442</v>
      </c>
      <c r="GTT1" s="69" t="s">
        <v>5443</v>
      </c>
      <c r="GTU1" s="69" t="s">
        <v>5444</v>
      </c>
      <c r="GTV1" s="69" t="s">
        <v>5445</v>
      </c>
      <c r="GTW1" s="69" t="s">
        <v>5446</v>
      </c>
      <c r="GTX1" s="69" t="s">
        <v>5447</v>
      </c>
      <c r="GTY1" s="69" t="s">
        <v>5448</v>
      </c>
      <c r="GTZ1" s="69" t="s">
        <v>5449</v>
      </c>
      <c r="GUA1" s="69" t="s">
        <v>5450</v>
      </c>
      <c r="GUB1" s="69" t="s">
        <v>5451</v>
      </c>
      <c r="GUC1" s="69" t="s">
        <v>5452</v>
      </c>
      <c r="GUD1" s="69" t="s">
        <v>5453</v>
      </c>
      <c r="GUE1" s="69" t="s">
        <v>5454</v>
      </c>
      <c r="GUF1" s="69" t="s">
        <v>5455</v>
      </c>
      <c r="GUG1" s="69" t="s">
        <v>5456</v>
      </c>
      <c r="GUH1" s="69" t="s">
        <v>5457</v>
      </c>
      <c r="GUI1" s="69" t="s">
        <v>5458</v>
      </c>
      <c r="GUJ1" s="69" t="s">
        <v>5459</v>
      </c>
      <c r="GUK1" s="69" t="s">
        <v>5460</v>
      </c>
      <c r="GUL1" s="69" t="s">
        <v>5461</v>
      </c>
      <c r="GUM1" s="69" t="s">
        <v>5462</v>
      </c>
      <c r="GUN1" s="69" t="s">
        <v>5463</v>
      </c>
      <c r="GUO1" s="69" t="s">
        <v>5464</v>
      </c>
      <c r="GUP1" s="69" t="s">
        <v>5465</v>
      </c>
      <c r="GUQ1" s="69" t="s">
        <v>5466</v>
      </c>
      <c r="GUR1" s="69" t="s">
        <v>5467</v>
      </c>
      <c r="GUS1" s="69" t="s">
        <v>5468</v>
      </c>
      <c r="GUT1" s="69" t="s">
        <v>5469</v>
      </c>
      <c r="GUU1" s="69" t="s">
        <v>5470</v>
      </c>
      <c r="GUV1" s="69" t="s">
        <v>5471</v>
      </c>
      <c r="GUW1" s="69" t="s">
        <v>5472</v>
      </c>
      <c r="GUX1" s="69" t="s">
        <v>5473</v>
      </c>
      <c r="GUY1" s="69" t="s">
        <v>5474</v>
      </c>
      <c r="GUZ1" s="69" t="s">
        <v>5475</v>
      </c>
      <c r="GVA1" s="69" t="s">
        <v>5476</v>
      </c>
      <c r="GVB1" s="69" t="s">
        <v>5477</v>
      </c>
      <c r="GVC1" s="69" t="s">
        <v>5478</v>
      </c>
      <c r="GVD1" s="69" t="s">
        <v>5479</v>
      </c>
      <c r="GVE1" s="69" t="s">
        <v>5480</v>
      </c>
      <c r="GVF1" s="69" t="s">
        <v>5481</v>
      </c>
      <c r="GVG1" s="69" t="s">
        <v>5482</v>
      </c>
      <c r="GVH1" s="69" t="s">
        <v>5483</v>
      </c>
      <c r="GVI1" s="69" t="s">
        <v>5484</v>
      </c>
      <c r="GVJ1" s="69" t="s">
        <v>5485</v>
      </c>
      <c r="GVK1" s="69" t="s">
        <v>5486</v>
      </c>
      <c r="GVL1" s="69" t="s">
        <v>5487</v>
      </c>
      <c r="GVM1" s="69" t="s">
        <v>5488</v>
      </c>
      <c r="GVN1" s="69" t="s">
        <v>5489</v>
      </c>
      <c r="GVO1" s="69" t="s">
        <v>5490</v>
      </c>
      <c r="GVP1" s="69" t="s">
        <v>5491</v>
      </c>
      <c r="GVQ1" s="69" t="s">
        <v>5492</v>
      </c>
      <c r="GVR1" s="69" t="s">
        <v>5493</v>
      </c>
      <c r="GVS1" s="69" t="s">
        <v>5494</v>
      </c>
      <c r="GVT1" s="69" t="s">
        <v>5495</v>
      </c>
      <c r="GVU1" s="69" t="s">
        <v>5496</v>
      </c>
      <c r="GVV1" s="69" t="s">
        <v>5497</v>
      </c>
      <c r="GVW1" s="69" t="s">
        <v>5498</v>
      </c>
      <c r="GVX1" s="69" t="s">
        <v>5499</v>
      </c>
      <c r="GVY1" s="69" t="s">
        <v>5500</v>
      </c>
      <c r="GVZ1" s="69" t="s">
        <v>5501</v>
      </c>
      <c r="GWA1" s="69" t="s">
        <v>5502</v>
      </c>
      <c r="GWB1" s="69" t="s">
        <v>5503</v>
      </c>
      <c r="GWC1" s="69" t="s">
        <v>5504</v>
      </c>
      <c r="GWD1" s="69" t="s">
        <v>5505</v>
      </c>
      <c r="GWE1" s="69" t="s">
        <v>5506</v>
      </c>
      <c r="GWF1" s="69" t="s">
        <v>5507</v>
      </c>
      <c r="GWG1" s="69" t="s">
        <v>5508</v>
      </c>
      <c r="GWH1" s="69" t="s">
        <v>5509</v>
      </c>
      <c r="GWI1" s="69" t="s">
        <v>5510</v>
      </c>
      <c r="GWJ1" s="69" t="s">
        <v>5511</v>
      </c>
      <c r="GWK1" s="69" t="s">
        <v>5512</v>
      </c>
      <c r="GWL1" s="69" t="s">
        <v>5513</v>
      </c>
      <c r="GWM1" s="69" t="s">
        <v>5514</v>
      </c>
      <c r="GWN1" s="69" t="s">
        <v>5515</v>
      </c>
      <c r="GWO1" s="69" t="s">
        <v>5516</v>
      </c>
      <c r="GWP1" s="69" t="s">
        <v>5517</v>
      </c>
      <c r="GWQ1" s="69" t="s">
        <v>5518</v>
      </c>
      <c r="GWR1" s="69" t="s">
        <v>5519</v>
      </c>
      <c r="GWS1" s="69" t="s">
        <v>5520</v>
      </c>
      <c r="GWT1" s="69" t="s">
        <v>5521</v>
      </c>
      <c r="GWU1" s="69" t="s">
        <v>5522</v>
      </c>
      <c r="GWV1" s="69" t="s">
        <v>5523</v>
      </c>
      <c r="GWW1" s="69" t="s">
        <v>5524</v>
      </c>
      <c r="GWX1" s="69" t="s">
        <v>5525</v>
      </c>
      <c r="GWY1" s="69" t="s">
        <v>5526</v>
      </c>
      <c r="GWZ1" s="69" t="s">
        <v>5527</v>
      </c>
      <c r="GXA1" s="69" t="s">
        <v>5528</v>
      </c>
      <c r="GXB1" s="69" t="s">
        <v>5529</v>
      </c>
      <c r="GXC1" s="69" t="s">
        <v>5530</v>
      </c>
      <c r="GXD1" s="69" t="s">
        <v>5531</v>
      </c>
      <c r="GXE1" s="69" t="s">
        <v>5532</v>
      </c>
      <c r="GXF1" s="69" t="s">
        <v>5533</v>
      </c>
      <c r="GXG1" s="69" t="s">
        <v>5534</v>
      </c>
      <c r="GXH1" s="69" t="s">
        <v>5535</v>
      </c>
      <c r="GXI1" s="69" t="s">
        <v>5536</v>
      </c>
      <c r="GXJ1" s="69" t="s">
        <v>5537</v>
      </c>
      <c r="GXK1" s="69" t="s">
        <v>5538</v>
      </c>
      <c r="GXL1" s="69" t="s">
        <v>5539</v>
      </c>
      <c r="GXM1" s="69" t="s">
        <v>5540</v>
      </c>
      <c r="GXN1" s="69" t="s">
        <v>5541</v>
      </c>
      <c r="GXO1" s="69" t="s">
        <v>5542</v>
      </c>
      <c r="GXP1" s="69" t="s">
        <v>5543</v>
      </c>
      <c r="GXQ1" s="69" t="s">
        <v>5544</v>
      </c>
      <c r="GXR1" s="69" t="s">
        <v>5545</v>
      </c>
      <c r="GXS1" s="69" t="s">
        <v>5546</v>
      </c>
      <c r="GXT1" s="69" t="s">
        <v>5547</v>
      </c>
      <c r="GXU1" s="69" t="s">
        <v>5548</v>
      </c>
      <c r="GXV1" s="69" t="s">
        <v>5549</v>
      </c>
      <c r="GXW1" s="69" t="s">
        <v>5550</v>
      </c>
      <c r="GXX1" s="69" t="s">
        <v>5551</v>
      </c>
      <c r="GXY1" s="69" t="s">
        <v>5552</v>
      </c>
      <c r="GXZ1" s="69" t="s">
        <v>5553</v>
      </c>
      <c r="GYA1" s="69" t="s">
        <v>5554</v>
      </c>
      <c r="GYB1" s="69" t="s">
        <v>5555</v>
      </c>
      <c r="GYC1" s="69" t="s">
        <v>5556</v>
      </c>
      <c r="GYD1" s="69" t="s">
        <v>5557</v>
      </c>
      <c r="GYE1" s="69" t="s">
        <v>5558</v>
      </c>
      <c r="GYF1" s="69" t="s">
        <v>5559</v>
      </c>
      <c r="GYG1" s="69" t="s">
        <v>5560</v>
      </c>
      <c r="GYH1" s="69" t="s">
        <v>5561</v>
      </c>
      <c r="GYI1" s="69" t="s">
        <v>5562</v>
      </c>
      <c r="GYJ1" s="69" t="s">
        <v>5563</v>
      </c>
      <c r="GYK1" s="69" t="s">
        <v>5564</v>
      </c>
      <c r="GYL1" s="69" t="s">
        <v>5565</v>
      </c>
      <c r="GYM1" s="69" t="s">
        <v>5566</v>
      </c>
      <c r="GYN1" s="69" t="s">
        <v>5567</v>
      </c>
      <c r="GYO1" s="69" t="s">
        <v>5568</v>
      </c>
      <c r="GYP1" s="69" t="s">
        <v>5569</v>
      </c>
      <c r="GYQ1" s="69" t="s">
        <v>5570</v>
      </c>
      <c r="GYR1" s="69" t="s">
        <v>5571</v>
      </c>
      <c r="GYS1" s="69" t="s">
        <v>5572</v>
      </c>
      <c r="GYT1" s="69" t="s">
        <v>5573</v>
      </c>
      <c r="GYU1" s="69" t="s">
        <v>5574</v>
      </c>
      <c r="GYV1" s="69" t="s">
        <v>5575</v>
      </c>
      <c r="GYW1" s="69" t="s">
        <v>5576</v>
      </c>
      <c r="GYX1" s="69" t="s">
        <v>5577</v>
      </c>
      <c r="GYY1" s="69" t="s">
        <v>5578</v>
      </c>
      <c r="GYZ1" s="69" t="s">
        <v>5579</v>
      </c>
      <c r="GZA1" s="69" t="s">
        <v>5580</v>
      </c>
      <c r="GZB1" s="69" t="s">
        <v>5581</v>
      </c>
      <c r="GZC1" s="69" t="s">
        <v>5582</v>
      </c>
      <c r="GZD1" s="69" t="s">
        <v>5583</v>
      </c>
      <c r="GZE1" s="69" t="s">
        <v>5584</v>
      </c>
      <c r="GZF1" s="69" t="s">
        <v>5585</v>
      </c>
      <c r="GZG1" s="69" t="s">
        <v>5586</v>
      </c>
      <c r="GZH1" s="69" t="s">
        <v>5587</v>
      </c>
      <c r="GZI1" s="69" t="s">
        <v>5588</v>
      </c>
      <c r="GZJ1" s="69" t="s">
        <v>5589</v>
      </c>
      <c r="GZK1" s="69" t="s">
        <v>5590</v>
      </c>
      <c r="GZL1" s="69" t="s">
        <v>5591</v>
      </c>
      <c r="GZM1" s="69" t="s">
        <v>5592</v>
      </c>
      <c r="GZN1" s="69" t="s">
        <v>5593</v>
      </c>
      <c r="GZO1" s="69" t="s">
        <v>5594</v>
      </c>
      <c r="GZP1" s="69" t="s">
        <v>5595</v>
      </c>
      <c r="GZQ1" s="69" t="s">
        <v>5596</v>
      </c>
      <c r="GZR1" s="69" t="s">
        <v>5597</v>
      </c>
      <c r="GZS1" s="69" t="s">
        <v>5598</v>
      </c>
      <c r="GZT1" s="69" t="s">
        <v>5599</v>
      </c>
      <c r="GZU1" s="69" t="s">
        <v>5600</v>
      </c>
      <c r="GZV1" s="69" t="s">
        <v>5601</v>
      </c>
      <c r="GZW1" s="69" t="s">
        <v>5602</v>
      </c>
      <c r="GZX1" s="69" t="s">
        <v>5603</v>
      </c>
      <c r="GZY1" s="69" t="s">
        <v>5604</v>
      </c>
      <c r="GZZ1" s="69" t="s">
        <v>5605</v>
      </c>
      <c r="HAA1" s="69" t="s">
        <v>5606</v>
      </c>
      <c r="HAB1" s="69" t="s">
        <v>5607</v>
      </c>
      <c r="HAC1" s="69" t="s">
        <v>5608</v>
      </c>
      <c r="HAD1" s="69" t="s">
        <v>5609</v>
      </c>
      <c r="HAE1" s="69" t="s">
        <v>5610</v>
      </c>
      <c r="HAF1" s="69" t="s">
        <v>5611</v>
      </c>
      <c r="HAG1" s="69" t="s">
        <v>5612</v>
      </c>
      <c r="HAH1" s="69" t="s">
        <v>5613</v>
      </c>
      <c r="HAI1" s="69" t="s">
        <v>5614</v>
      </c>
      <c r="HAJ1" s="69" t="s">
        <v>5615</v>
      </c>
      <c r="HAK1" s="69" t="s">
        <v>5616</v>
      </c>
      <c r="HAL1" s="69" t="s">
        <v>5617</v>
      </c>
      <c r="HAM1" s="69" t="s">
        <v>5618</v>
      </c>
      <c r="HAN1" s="69" t="s">
        <v>5619</v>
      </c>
      <c r="HAO1" s="69" t="s">
        <v>5620</v>
      </c>
      <c r="HAP1" s="69" t="s">
        <v>5621</v>
      </c>
      <c r="HAQ1" s="69" t="s">
        <v>5622</v>
      </c>
      <c r="HAR1" s="69" t="s">
        <v>5623</v>
      </c>
      <c r="HAS1" s="69" t="s">
        <v>5624</v>
      </c>
      <c r="HAT1" s="69" t="s">
        <v>5625</v>
      </c>
      <c r="HAU1" s="69" t="s">
        <v>5626</v>
      </c>
      <c r="HAV1" s="69" t="s">
        <v>5627</v>
      </c>
      <c r="HAW1" s="69" t="s">
        <v>5628</v>
      </c>
      <c r="HAX1" s="69" t="s">
        <v>5629</v>
      </c>
      <c r="HAY1" s="69" t="s">
        <v>5630</v>
      </c>
      <c r="HAZ1" s="69" t="s">
        <v>5631</v>
      </c>
      <c r="HBA1" s="69" t="s">
        <v>5632</v>
      </c>
      <c r="HBB1" s="69" t="s">
        <v>5633</v>
      </c>
      <c r="HBC1" s="69" t="s">
        <v>5634</v>
      </c>
      <c r="HBD1" s="69" t="s">
        <v>5635</v>
      </c>
      <c r="HBE1" s="69" t="s">
        <v>5636</v>
      </c>
      <c r="HBF1" s="69" t="s">
        <v>5637</v>
      </c>
      <c r="HBG1" s="69" t="s">
        <v>5638</v>
      </c>
      <c r="HBH1" s="69" t="s">
        <v>5639</v>
      </c>
      <c r="HBI1" s="69" t="s">
        <v>5640</v>
      </c>
      <c r="HBJ1" s="69" t="s">
        <v>5641</v>
      </c>
      <c r="HBK1" s="69" t="s">
        <v>5642</v>
      </c>
      <c r="HBL1" s="69" t="s">
        <v>5643</v>
      </c>
      <c r="HBM1" s="69" t="s">
        <v>5644</v>
      </c>
      <c r="HBN1" s="69" t="s">
        <v>5645</v>
      </c>
      <c r="HBO1" s="69" t="s">
        <v>5646</v>
      </c>
      <c r="HBP1" s="69" t="s">
        <v>5647</v>
      </c>
      <c r="HBQ1" s="69" t="s">
        <v>5648</v>
      </c>
      <c r="HBR1" s="69" t="s">
        <v>5649</v>
      </c>
      <c r="HBS1" s="69" t="s">
        <v>5650</v>
      </c>
      <c r="HBT1" s="69" t="s">
        <v>5651</v>
      </c>
      <c r="HBU1" s="69" t="s">
        <v>5652</v>
      </c>
      <c r="HBV1" s="69" t="s">
        <v>5653</v>
      </c>
      <c r="HBW1" s="69" t="s">
        <v>5654</v>
      </c>
      <c r="HBX1" s="69" t="s">
        <v>5655</v>
      </c>
      <c r="HBY1" s="69" t="s">
        <v>5656</v>
      </c>
      <c r="HBZ1" s="69" t="s">
        <v>5657</v>
      </c>
      <c r="HCA1" s="69" t="s">
        <v>5658</v>
      </c>
      <c r="HCB1" s="69" t="s">
        <v>5659</v>
      </c>
      <c r="HCC1" s="69" t="s">
        <v>5660</v>
      </c>
      <c r="HCD1" s="69" t="s">
        <v>5661</v>
      </c>
      <c r="HCE1" s="69" t="s">
        <v>5662</v>
      </c>
      <c r="HCF1" s="69" t="s">
        <v>5663</v>
      </c>
      <c r="HCG1" s="69" t="s">
        <v>5664</v>
      </c>
      <c r="HCH1" s="69" t="s">
        <v>5665</v>
      </c>
      <c r="HCI1" s="69" t="s">
        <v>5666</v>
      </c>
      <c r="HCJ1" s="69" t="s">
        <v>5667</v>
      </c>
      <c r="HCK1" s="69" t="s">
        <v>5668</v>
      </c>
      <c r="HCL1" s="69" t="s">
        <v>5669</v>
      </c>
      <c r="HCM1" s="69" t="s">
        <v>5670</v>
      </c>
      <c r="HCN1" s="69" t="s">
        <v>5671</v>
      </c>
      <c r="HCO1" s="69" t="s">
        <v>5672</v>
      </c>
      <c r="HCP1" s="69" t="s">
        <v>5673</v>
      </c>
      <c r="HCQ1" s="69" t="s">
        <v>5674</v>
      </c>
      <c r="HCR1" s="69" t="s">
        <v>5675</v>
      </c>
      <c r="HCS1" s="69" t="s">
        <v>5676</v>
      </c>
      <c r="HCT1" s="69" t="s">
        <v>5677</v>
      </c>
      <c r="HCU1" s="69" t="s">
        <v>5678</v>
      </c>
      <c r="HCV1" s="69" t="s">
        <v>5679</v>
      </c>
      <c r="HCW1" s="69" t="s">
        <v>5680</v>
      </c>
      <c r="HCX1" s="69" t="s">
        <v>5681</v>
      </c>
      <c r="HCY1" s="69" t="s">
        <v>5682</v>
      </c>
      <c r="HCZ1" s="69" t="s">
        <v>5683</v>
      </c>
      <c r="HDA1" s="69" t="s">
        <v>5684</v>
      </c>
      <c r="HDB1" s="69" t="s">
        <v>5685</v>
      </c>
      <c r="HDC1" s="69" t="s">
        <v>5686</v>
      </c>
      <c r="HDD1" s="69" t="s">
        <v>5687</v>
      </c>
      <c r="HDE1" s="69" t="s">
        <v>5688</v>
      </c>
      <c r="HDF1" s="69" t="s">
        <v>5689</v>
      </c>
      <c r="HDG1" s="69" t="s">
        <v>5690</v>
      </c>
      <c r="HDH1" s="69" t="s">
        <v>5691</v>
      </c>
      <c r="HDI1" s="69" t="s">
        <v>5692</v>
      </c>
      <c r="HDJ1" s="69" t="s">
        <v>5693</v>
      </c>
      <c r="HDK1" s="69" t="s">
        <v>5694</v>
      </c>
      <c r="HDL1" s="69" t="s">
        <v>5695</v>
      </c>
      <c r="HDM1" s="69" t="s">
        <v>5696</v>
      </c>
      <c r="HDN1" s="69" t="s">
        <v>5697</v>
      </c>
      <c r="HDO1" s="69" t="s">
        <v>5698</v>
      </c>
      <c r="HDP1" s="69" t="s">
        <v>5699</v>
      </c>
      <c r="HDQ1" s="69" t="s">
        <v>5700</v>
      </c>
      <c r="HDR1" s="69" t="s">
        <v>5701</v>
      </c>
      <c r="HDS1" s="69" t="s">
        <v>5702</v>
      </c>
      <c r="HDT1" s="69" t="s">
        <v>5703</v>
      </c>
      <c r="HDU1" s="69" t="s">
        <v>5704</v>
      </c>
      <c r="HDV1" s="69" t="s">
        <v>5705</v>
      </c>
      <c r="HDW1" s="69" t="s">
        <v>5706</v>
      </c>
      <c r="HDX1" s="69" t="s">
        <v>5707</v>
      </c>
      <c r="HDY1" s="69" t="s">
        <v>5708</v>
      </c>
      <c r="HDZ1" s="69" t="s">
        <v>5709</v>
      </c>
      <c r="HEA1" s="69" t="s">
        <v>5710</v>
      </c>
      <c r="HEB1" s="69" t="s">
        <v>5711</v>
      </c>
      <c r="HEC1" s="69" t="s">
        <v>5712</v>
      </c>
      <c r="HED1" s="69" t="s">
        <v>5713</v>
      </c>
      <c r="HEE1" s="69" t="s">
        <v>5714</v>
      </c>
      <c r="HEF1" s="69" t="s">
        <v>5715</v>
      </c>
      <c r="HEG1" s="69" t="s">
        <v>5716</v>
      </c>
      <c r="HEH1" s="69" t="s">
        <v>5717</v>
      </c>
      <c r="HEI1" s="69" t="s">
        <v>5718</v>
      </c>
      <c r="HEJ1" s="69" t="s">
        <v>5719</v>
      </c>
      <c r="HEK1" s="69" t="s">
        <v>5720</v>
      </c>
      <c r="HEL1" s="69" t="s">
        <v>5721</v>
      </c>
      <c r="HEM1" s="69" t="s">
        <v>5722</v>
      </c>
      <c r="HEN1" s="69" t="s">
        <v>5723</v>
      </c>
      <c r="HEO1" s="69" t="s">
        <v>5724</v>
      </c>
      <c r="HEP1" s="69" t="s">
        <v>5725</v>
      </c>
      <c r="HEQ1" s="69" t="s">
        <v>5726</v>
      </c>
      <c r="HER1" s="69" t="s">
        <v>5727</v>
      </c>
      <c r="HES1" s="69" t="s">
        <v>5728</v>
      </c>
      <c r="HET1" s="69" t="s">
        <v>5729</v>
      </c>
      <c r="HEU1" s="69" t="s">
        <v>5730</v>
      </c>
      <c r="HEV1" s="69" t="s">
        <v>5731</v>
      </c>
      <c r="HEW1" s="69" t="s">
        <v>5732</v>
      </c>
      <c r="HEX1" s="69" t="s">
        <v>5733</v>
      </c>
      <c r="HEY1" s="69" t="s">
        <v>5734</v>
      </c>
      <c r="HEZ1" s="69" t="s">
        <v>5735</v>
      </c>
      <c r="HFA1" s="69" t="s">
        <v>5736</v>
      </c>
      <c r="HFB1" s="69" t="s">
        <v>5737</v>
      </c>
      <c r="HFC1" s="69" t="s">
        <v>5738</v>
      </c>
      <c r="HFD1" s="69" t="s">
        <v>5739</v>
      </c>
      <c r="HFE1" s="69" t="s">
        <v>5740</v>
      </c>
      <c r="HFF1" s="69" t="s">
        <v>5741</v>
      </c>
      <c r="HFG1" s="69" t="s">
        <v>5742</v>
      </c>
      <c r="HFH1" s="69" t="s">
        <v>5743</v>
      </c>
      <c r="HFI1" s="69" t="s">
        <v>5744</v>
      </c>
      <c r="HFJ1" s="69" t="s">
        <v>5745</v>
      </c>
      <c r="HFK1" s="69" t="s">
        <v>5746</v>
      </c>
      <c r="HFL1" s="69" t="s">
        <v>5747</v>
      </c>
      <c r="HFM1" s="69" t="s">
        <v>5748</v>
      </c>
      <c r="HFN1" s="69" t="s">
        <v>5749</v>
      </c>
      <c r="HFO1" s="69" t="s">
        <v>5750</v>
      </c>
      <c r="HFP1" s="69" t="s">
        <v>5751</v>
      </c>
      <c r="HFQ1" s="69" t="s">
        <v>5752</v>
      </c>
      <c r="HFR1" s="69" t="s">
        <v>5753</v>
      </c>
      <c r="HFS1" s="69" t="s">
        <v>5754</v>
      </c>
      <c r="HFT1" s="69" t="s">
        <v>5755</v>
      </c>
      <c r="HFU1" s="69" t="s">
        <v>5756</v>
      </c>
      <c r="HFV1" s="69" t="s">
        <v>5757</v>
      </c>
      <c r="HFW1" s="69" t="s">
        <v>5758</v>
      </c>
      <c r="HFX1" s="69" t="s">
        <v>5759</v>
      </c>
      <c r="HFY1" s="69" t="s">
        <v>5760</v>
      </c>
      <c r="HFZ1" s="69" t="s">
        <v>5761</v>
      </c>
      <c r="HGA1" s="69" t="s">
        <v>5762</v>
      </c>
      <c r="HGB1" s="69" t="s">
        <v>5763</v>
      </c>
      <c r="HGC1" s="69" t="s">
        <v>5764</v>
      </c>
      <c r="HGD1" s="69" t="s">
        <v>5765</v>
      </c>
      <c r="HGE1" s="69" t="s">
        <v>5766</v>
      </c>
      <c r="HGF1" s="69" t="s">
        <v>5767</v>
      </c>
      <c r="HGG1" s="69" t="s">
        <v>5768</v>
      </c>
      <c r="HGH1" s="69" t="s">
        <v>5769</v>
      </c>
      <c r="HGI1" s="69" t="s">
        <v>5770</v>
      </c>
      <c r="HGJ1" s="69" t="s">
        <v>5771</v>
      </c>
      <c r="HGK1" s="69" t="s">
        <v>5772</v>
      </c>
      <c r="HGL1" s="69" t="s">
        <v>5773</v>
      </c>
      <c r="HGM1" s="69" t="s">
        <v>5774</v>
      </c>
      <c r="HGN1" s="69" t="s">
        <v>5775</v>
      </c>
      <c r="HGO1" s="69" t="s">
        <v>5776</v>
      </c>
      <c r="HGP1" s="69" t="s">
        <v>5777</v>
      </c>
      <c r="HGQ1" s="69" t="s">
        <v>5778</v>
      </c>
      <c r="HGR1" s="69" t="s">
        <v>5779</v>
      </c>
      <c r="HGS1" s="69" t="s">
        <v>5780</v>
      </c>
      <c r="HGT1" s="69" t="s">
        <v>5781</v>
      </c>
      <c r="HGU1" s="69" t="s">
        <v>5782</v>
      </c>
      <c r="HGV1" s="69" t="s">
        <v>5783</v>
      </c>
      <c r="HGW1" s="69" t="s">
        <v>5784</v>
      </c>
      <c r="HGX1" s="69" t="s">
        <v>5785</v>
      </c>
      <c r="HGY1" s="69" t="s">
        <v>5786</v>
      </c>
      <c r="HGZ1" s="69" t="s">
        <v>5787</v>
      </c>
      <c r="HHA1" s="69" t="s">
        <v>5788</v>
      </c>
      <c r="HHB1" s="69" t="s">
        <v>5789</v>
      </c>
      <c r="HHC1" s="69" t="s">
        <v>5790</v>
      </c>
      <c r="HHD1" s="69" t="s">
        <v>5791</v>
      </c>
      <c r="HHE1" s="69" t="s">
        <v>5792</v>
      </c>
      <c r="HHF1" s="69" t="s">
        <v>5793</v>
      </c>
      <c r="HHG1" s="69" t="s">
        <v>5794</v>
      </c>
      <c r="HHH1" s="69" t="s">
        <v>5795</v>
      </c>
      <c r="HHI1" s="69" t="s">
        <v>5796</v>
      </c>
      <c r="HHJ1" s="69" t="s">
        <v>5797</v>
      </c>
      <c r="HHK1" s="69" t="s">
        <v>5798</v>
      </c>
      <c r="HHL1" s="69" t="s">
        <v>5799</v>
      </c>
      <c r="HHM1" s="69" t="s">
        <v>5800</v>
      </c>
      <c r="HHN1" s="69" t="s">
        <v>5801</v>
      </c>
      <c r="HHO1" s="69" t="s">
        <v>5802</v>
      </c>
      <c r="HHP1" s="69" t="s">
        <v>5803</v>
      </c>
      <c r="HHQ1" s="69" t="s">
        <v>5804</v>
      </c>
      <c r="HHR1" s="69" t="s">
        <v>5805</v>
      </c>
      <c r="HHS1" s="69" t="s">
        <v>5806</v>
      </c>
      <c r="HHT1" s="69" t="s">
        <v>5807</v>
      </c>
      <c r="HHU1" s="69" t="s">
        <v>5808</v>
      </c>
      <c r="HHV1" s="69" t="s">
        <v>5809</v>
      </c>
      <c r="HHW1" s="69" t="s">
        <v>5810</v>
      </c>
      <c r="HHX1" s="69" t="s">
        <v>5811</v>
      </c>
      <c r="HHY1" s="69" t="s">
        <v>5812</v>
      </c>
      <c r="HHZ1" s="69" t="s">
        <v>5813</v>
      </c>
      <c r="HIA1" s="69" t="s">
        <v>5814</v>
      </c>
      <c r="HIB1" s="69" t="s">
        <v>5815</v>
      </c>
      <c r="HIC1" s="69" t="s">
        <v>5816</v>
      </c>
      <c r="HID1" s="69" t="s">
        <v>5817</v>
      </c>
      <c r="HIE1" s="69" t="s">
        <v>5818</v>
      </c>
      <c r="HIF1" s="69" t="s">
        <v>5819</v>
      </c>
      <c r="HIG1" s="69" t="s">
        <v>5820</v>
      </c>
      <c r="HIH1" s="69" t="s">
        <v>5821</v>
      </c>
      <c r="HII1" s="69" t="s">
        <v>5822</v>
      </c>
      <c r="HIJ1" s="69" t="s">
        <v>5823</v>
      </c>
      <c r="HIK1" s="69" t="s">
        <v>5824</v>
      </c>
      <c r="HIL1" s="69" t="s">
        <v>5825</v>
      </c>
      <c r="HIM1" s="69" t="s">
        <v>5826</v>
      </c>
      <c r="HIN1" s="69" t="s">
        <v>5827</v>
      </c>
      <c r="HIO1" s="69" t="s">
        <v>5828</v>
      </c>
      <c r="HIP1" s="69" t="s">
        <v>5829</v>
      </c>
      <c r="HIQ1" s="69" t="s">
        <v>5830</v>
      </c>
      <c r="HIR1" s="69" t="s">
        <v>5831</v>
      </c>
      <c r="HIS1" s="69" t="s">
        <v>5832</v>
      </c>
      <c r="HIT1" s="69" t="s">
        <v>5833</v>
      </c>
      <c r="HIU1" s="69" t="s">
        <v>5834</v>
      </c>
      <c r="HIV1" s="69" t="s">
        <v>5835</v>
      </c>
      <c r="HIW1" s="69" t="s">
        <v>5836</v>
      </c>
      <c r="HIX1" s="69" t="s">
        <v>5837</v>
      </c>
      <c r="HIY1" s="69" t="s">
        <v>5838</v>
      </c>
      <c r="HIZ1" s="69" t="s">
        <v>5839</v>
      </c>
      <c r="HJA1" s="69" t="s">
        <v>5840</v>
      </c>
      <c r="HJB1" s="69" t="s">
        <v>5841</v>
      </c>
      <c r="HJC1" s="69" t="s">
        <v>5842</v>
      </c>
      <c r="HJD1" s="69" t="s">
        <v>5843</v>
      </c>
      <c r="HJE1" s="69" t="s">
        <v>5844</v>
      </c>
      <c r="HJF1" s="69" t="s">
        <v>5845</v>
      </c>
      <c r="HJG1" s="69" t="s">
        <v>5846</v>
      </c>
      <c r="HJH1" s="69" t="s">
        <v>5847</v>
      </c>
      <c r="HJI1" s="69" t="s">
        <v>5848</v>
      </c>
      <c r="HJJ1" s="69" t="s">
        <v>5849</v>
      </c>
      <c r="HJK1" s="69" t="s">
        <v>5850</v>
      </c>
      <c r="HJL1" s="69" t="s">
        <v>5851</v>
      </c>
      <c r="HJM1" s="69" t="s">
        <v>5852</v>
      </c>
      <c r="HJN1" s="69" t="s">
        <v>5853</v>
      </c>
      <c r="HJO1" s="69" t="s">
        <v>5854</v>
      </c>
      <c r="HJP1" s="69" t="s">
        <v>5855</v>
      </c>
      <c r="HJQ1" s="69" t="s">
        <v>5856</v>
      </c>
      <c r="HJR1" s="69" t="s">
        <v>5857</v>
      </c>
      <c r="HJS1" s="69" t="s">
        <v>5858</v>
      </c>
      <c r="HJT1" s="69" t="s">
        <v>5859</v>
      </c>
      <c r="HJU1" s="69" t="s">
        <v>5860</v>
      </c>
      <c r="HJV1" s="69" t="s">
        <v>5861</v>
      </c>
      <c r="HJW1" s="69" t="s">
        <v>5862</v>
      </c>
      <c r="HJX1" s="69" t="s">
        <v>5863</v>
      </c>
      <c r="HJY1" s="69" t="s">
        <v>5864</v>
      </c>
      <c r="HJZ1" s="69" t="s">
        <v>5865</v>
      </c>
      <c r="HKA1" s="69" t="s">
        <v>5866</v>
      </c>
      <c r="HKB1" s="69" t="s">
        <v>5867</v>
      </c>
      <c r="HKC1" s="69" t="s">
        <v>5868</v>
      </c>
      <c r="HKD1" s="69" t="s">
        <v>5869</v>
      </c>
      <c r="HKE1" s="69" t="s">
        <v>5870</v>
      </c>
      <c r="HKF1" s="69" t="s">
        <v>5871</v>
      </c>
      <c r="HKG1" s="69" t="s">
        <v>5872</v>
      </c>
      <c r="HKH1" s="69" t="s">
        <v>5873</v>
      </c>
      <c r="HKI1" s="69" t="s">
        <v>5874</v>
      </c>
      <c r="HKJ1" s="69" t="s">
        <v>5875</v>
      </c>
      <c r="HKK1" s="69" t="s">
        <v>5876</v>
      </c>
      <c r="HKL1" s="69" t="s">
        <v>5877</v>
      </c>
      <c r="HKM1" s="69" t="s">
        <v>5878</v>
      </c>
      <c r="HKN1" s="69" t="s">
        <v>5879</v>
      </c>
      <c r="HKO1" s="69" t="s">
        <v>5880</v>
      </c>
      <c r="HKP1" s="69" t="s">
        <v>5881</v>
      </c>
      <c r="HKQ1" s="69" t="s">
        <v>5882</v>
      </c>
      <c r="HKR1" s="69" t="s">
        <v>5883</v>
      </c>
      <c r="HKS1" s="69" t="s">
        <v>5884</v>
      </c>
      <c r="HKT1" s="69" t="s">
        <v>5885</v>
      </c>
      <c r="HKU1" s="69" t="s">
        <v>5886</v>
      </c>
      <c r="HKV1" s="69" t="s">
        <v>5887</v>
      </c>
      <c r="HKW1" s="69" t="s">
        <v>5888</v>
      </c>
      <c r="HKX1" s="69" t="s">
        <v>5889</v>
      </c>
      <c r="HKY1" s="69" t="s">
        <v>5890</v>
      </c>
      <c r="HKZ1" s="69" t="s">
        <v>5891</v>
      </c>
      <c r="HLA1" s="69" t="s">
        <v>5892</v>
      </c>
      <c r="HLB1" s="69" t="s">
        <v>5893</v>
      </c>
      <c r="HLC1" s="69" t="s">
        <v>5894</v>
      </c>
      <c r="HLD1" s="69" t="s">
        <v>5895</v>
      </c>
      <c r="HLE1" s="69" t="s">
        <v>5896</v>
      </c>
      <c r="HLF1" s="69" t="s">
        <v>5897</v>
      </c>
      <c r="HLG1" s="69" t="s">
        <v>5898</v>
      </c>
      <c r="HLH1" s="69" t="s">
        <v>5899</v>
      </c>
      <c r="HLI1" s="69" t="s">
        <v>5900</v>
      </c>
      <c r="HLJ1" s="69" t="s">
        <v>5901</v>
      </c>
      <c r="HLK1" s="69" t="s">
        <v>5902</v>
      </c>
      <c r="HLL1" s="69" t="s">
        <v>5903</v>
      </c>
      <c r="HLM1" s="69" t="s">
        <v>5904</v>
      </c>
      <c r="HLN1" s="69" t="s">
        <v>5905</v>
      </c>
      <c r="HLO1" s="69" t="s">
        <v>5906</v>
      </c>
      <c r="HLP1" s="69" t="s">
        <v>5907</v>
      </c>
      <c r="HLQ1" s="69" t="s">
        <v>5908</v>
      </c>
      <c r="HLR1" s="69" t="s">
        <v>5909</v>
      </c>
      <c r="HLS1" s="69" t="s">
        <v>5910</v>
      </c>
      <c r="HLT1" s="69" t="s">
        <v>5911</v>
      </c>
      <c r="HLU1" s="69" t="s">
        <v>5912</v>
      </c>
      <c r="HLV1" s="69" t="s">
        <v>5913</v>
      </c>
      <c r="HLW1" s="69" t="s">
        <v>5914</v>
      </c>
      <c r="HLX1" s="69" t="s">
        <v>5915</v>
      </c>
      <c r="HLY1" s="69" t="s">
        <v>5916</v>
      </c>
      <c r="HLZ1" s="69" t="s">
        <v>5917</v>
      </c>
      <c r="HMA1" s="69" t="s">
        <v>5918</v>
      </c>
      <c r="HMB1" s="69" t="s">
        <v>5919</v>
      </c>
      <c r="HMC1" s="69" t="s">
        <v>5920</v>
      </c>
      <c r="HMD1" s="69" t="s">
        <v>5921</v>
      </c>
      <c r="HME1" s="69" t="s">
        <v>5922</v>
      </c>
      <c r="HMF1" s="69" t="s">
        <v>5923</v>
      </c>
      <c r="HMG1" s="69" t="s">
        <v>5924</v>
      </c>
      <c r="HMH1" s="69" t="s">
        <v>5925</v>
      </c>
      <c r="HMI1" s="69" t="s">
        <v>5926</v>
      </c>
      <c r="HMJ1" s="69" t="s">
        <v>5927</v>
      </c>
      <c r="HMK1" s="69" t="s">
        <v>5928</v>
      </c>
      <c r="HML1" s="69" t="s">
        <v>5929</v>
      </c>
      <c r="HMM1" s="69" t="s">
        <v>5930</v>
      </c>
      <c r="HMN1" s="69" t="s">
        <v>5931</v>
      </c>
      <c r="HMO1" s="69" t="s">
        <v>5932</v>
      </c>
      <c r="HMP1" s="69" t="s">
        <v>5933</v>
      </c>
      <c r="HMQ1" s="69" t="s">
        <v>5934</v>
      </c>
      <c r="HMR1" s="69" t="s">
        <v>5935</v>
      </c>
      <c r="HMS1" s="69" t="s">
        <v>5936</v>
      </c>
      <c r="HMT1" s="69" t="s">
        <v>5937</v>
      </c>
      <c r="HMU1" s="69" t="s">
        <v>5938</v>
      </c>
      <c r="HMV1" s="69" t="s">
        <v>5939</v>
      </c>
      <c r="HMW1" s="69" t="s">
        <v>5940</v>
      </c>
      <c r="HMX1" s="69" t="s">
        <v>5941</v>
      </c>
      <c r="HMY1" s="69" t="s">
        <v>5942</v>
      </c>
      <c r="HMZ1" s="69" t="s">
        <v>5943</v>
      </c>
      <c r="HNA1" s="69" t="s">
        <v>5944</v>
      </c>
      <c r="HNB1" s="69" t="s">
        <v>5945</v>
      </c>
      <c r="HNC1" s="69" t="s">
        <v>5946</v>
      </c>
      <c r="HND1" s="69" t="s">
        <v>5947</v>
      </c>
      <c r="HNE1" s="69" t="s">
        <v>5948</v>
      </c>
      <c r="HNF1" s="69" t="s">
        <v>5949</v>
      </c>
      <c r="HNG1" s="69" t="s">
        <v>5950</v>
      </c>
      <c r="HNH1" s="69" t="s">
        <v>5951</v>
      </c>
      <c r="HNI1" s="69" t="s">
        <v>5952</v>
      </c>
      <c r="HNJ1" s="69" t="s">
        <v>5953</v>
      </c>
      <c r="HNK1" s="69" t="s">
        <v>5954</v>
      </c>
      <c r="HNL1" s="69" t="s">
        <v>5955</v>
      </c>
      <c r="HNM1" s="69" t="s">
        <v>5956</v>
      </c>
      <c r="HNN1" s="69" t="s">
        <v>5957</v>
      </c>
      <c r="HNO1" s="69" t="s">
        <v>5958</v>
      </c>
      <c r="HNP1" s="69" t="s">
        <v>5959</v>
      </c>
      <c r="HNQ1" s="69" t="s">
        <v>5960</v>
      </c>
      <c r="HNR1" s="69" t="s">
        <v>5961</v>
      </c>
      <c r="HNS1" s="69" t="s">
        <v>5962</v>
      </c>
      <c r="HNT1" s="69" t="s">
        <v>5963</v>
      </c>
      <c r="HNU1" s="69" t="s">
        <v>5964</v>
      </c>
      <c r="HNV1" s="69" t="s">
        <v>5965</v>
      </c>
      <c r="HNW1" s="69" t="s">
        <v>5966</v>
      </c>
      <c r="HNX1" s="69" t="s">
        <v>5967</v>
      </c>
      <c r="HNY1" s="69" t="s">
        <v>5968</v>
      </c>
      <c r="HNZ1" s="69" t="s">
        <v>5969</v>
      </c>
      <c r="HOA1" s="69" t="s">
        <v>5970</v>
      </c>
      <c r="HOB1" s="69" t="s">
        <v>5971</v>
      </c>
      <c r="HOC1" s="69" t="s">
        <v>5972</v>
      </c>
      <c r="HOD1" s="69" t="s">
        <v>5973</v>
      </c>
      <c r="HOE1" s="69" t="s">
        <v>5974</v>
      </c>
      <c r="HOF1" s="69" t="s">
        <v>5975</v>
      </c>
      <c r="HOG1" s="69" t="s">
        <v>5976</v>
      </c>
      <c r="HOH1" s="69" t="s">
        <v>5977</v>
      </c>
      <c r="HOI1" s="69" t="s">
        <v>5978</v>
      </c>
      <c r="HOJ1" s="69" t="s">
        <v>5979</v>
      </c>
      <c r="HOK1" s="69" t="s">
        <v>5980</v>
      </c>
      <c r="HOL1" s="69" t="s">
        <v>5981</v>
      </c>
      <c r="HOM1" s="69" t="s">
        <v>5982</v>
      </c>
      <c r="HON1" s="69" t="s">
        <v>5983</v>
      </c>
      <c r="HOO1" s="69" t="s">
        <v>5984</v>
      </c>
      <c r="HOP1" s="69" t="s">
        <v>5985</v>
      </c>
      <c r="HOQ1" s="69" t="s">
        <v>5986</v>
      </c>
      <c r="HOR1" s="69" t="s">
        <v>5987</v>
      </c>
      <c r="HOS1" s="69" t="s">
        <v>5988</v>
      </c>
      <c r="HOT1" s="69" t="s">
        <v>5989</v>
      </c>
      <c r="HOU1" s="69" t="s">
        <v>5990</v>
      </c>
      <c r="HOV1" s="69" t="s">
        <v>5991</v>
      </c>
      <c r="HOW1" s="69" t="s">
        <v>5992</v>
      </c>
      <c r="HOX1" s="69" t="s">
        <v>5993</v>
      </c>
      <c r="HOY1" s="69" t="s">
        <v>5994</v>
      </c>
      <c r="HOZ1" s="69" t="s">
        <v>5995</v>
      </c>
      <c r="HPA1" s="69" t="s">
        <v>5996</v>
      </c>
      <c r="HPB1" s="69" t="s">
        <v>5997</v>
      </c>
      <c r="HPC1" s="69" t="s">
        <v>5998</v>
      </c>
      <c r="HPD1" s="69" t="s">
        <v>5999</v>
      </c>
      <c r="HPE1" s="69" t="s">
        <v>6000</v>
      </c>
      <c r="HPF1" s="69" t="s">
        <v>6001</v>
      </c>
      <c r="HPG1" s="69" t="s">
        <v>6002</v>
      </c>
      <c r="HPH1" s="69" t="s">
        <v>6003</v>
      </c>
      <c r="HPI1" s="69" t="s">
        <v>6004</v>
      </c>
      <c r="HPJ1" s="69" t="s">
        <v>6005</v>
      </c>
      <c r="HPK1" s="69" t="s">
        <v>6006</v>
      </c>
      <c r="HPL1" s="69" t="s">
        <v>6007</v>
      </c>
      <c r="HPM1" s="69" t="s">
        <v>6008</v>
      </c>
      <c r="HPN1" s="69" t="s">
        <v>6009</v>
      </c>
      <c r="HPO1" s="69" t="s">
        <v>6010</v>
      </c>
      <c r="HPP1" s="69" t="s">
        <v>6011</v>
      </c>
      <c r="HPQ1" s="69" t="s">
        <v>6012</v>
      </c>
      <c r="HPR1" s="69" t="s">
        <v>6013</v>
      </c>
      <c r="HPS1" s="69" t="s">
        <v>6014</v>
      </c>
      <c r="HPT1" s="69" t="s">
        <v>6015</v>
      </c>
      <c r="HPU1" s="69" t="s">
        <v>6016</v>
      </c>
      <c r="HPV1" s="69" t="s">
        <v>6017</v>
      </c>
      <c r="HPW1" s="69" t="s">
        <v>6018</v>
      </c>
      <c r="HPX1" s="69" t="s">
        <v>6019</v>
      </c>
      <c r="HPY1" s="69" t="s">
        <v>6020</v>
      </c>
      <c r="HPZ1" s="69" t="s">
        <v>6021</v>
      </c>
      <c r="HQA1" s="69" t="s">
        <v>6022</v>
      </c>
      <c r="HQB1" s="69" t="s">
        <v>6023</v>
      </c>
      <c r="HQC1" s="69" t="s">
        <v>6024</v>
      </c>
      <c r="HQD1" s="69" t="s">
        <v>6025</v>
      </c>
      <c r="HQE1" s="69" t="s">
        <v>6026</v>
      </c>
      <c r="HQF1" s="69" t="s">
        <v>6027</v>
      </c>
      <c r="HQG1" s="69" t="s">
        <v>6028</v>
      </c>
      <c r="HQH1" s="69" t="s">
        <v>6029</v>
      </c>
      <c r="HQI1" s="69" t="s">
        <v>6030</v>
      </c>
      <c r="HQJ1" s="69" t="s">
        <v>6031</v>
      </c>
      <c r="HQK1" s="69" t="s">
        <v>6032</v>
      </c>
      <c r="HQL1" s="69" t="s">
        <v>6033</v>
      </c>
      <c r="HQM1" s="69" t="s">
        <v>6034</v>
      </c>
      <c r="HQN1" s="69" t="s">
        <v>6035</v>
      </c>
      <c r="HQO1" s="69" t="s">
        <v>6036</v>
      </c>
      <c r="HQP1" s="69" t="s">
        <v>6037</v>
      </c>
      <c r="HQQ1" s="69" t="s">
        <v>6038</v>
      </c>
      <c r="HQR1" s="69" t="s">
        <v>6039</v>
      </c>
      <c r="HQS1" s="69" t="s">
        <v>6040</v>
      </c>
      <c r="HQT1" s="69" t="s">
        <v>6041</v>
      </c>
      <c r="HQU1" s="69" t="s">
        <v>6042</v>
      </c>
      <c r="HQV1" s="69" t="s">
        <v>6043</v>
      </c>
      <c r="HQW1" s="69" t="s">
        <v>6044</v>
      </c>
      <c r="HQX1" s="69" t="s">
        <v>6045</v>
      </c>
      <c r="HQY1" s="69" t="s">
        <v>6046</v>
      </c>
      <c r="HQZ1" s="69" t="s">
        <v>6047</v>
      </c>
      <c r="HRA1" s="69" t="s">
        <v>6048</v>
      </c>
      <c r="HRB1" s="69" t="s">
        <v>6049</v>
      </c>
      <c r="HRC1" s="69" t="s">
        <v>6050</v>
      </c>
      <c r="HRD1" s="69" t="s">
        <v>6051</v>
      </c>
      <c r="HRE1" s="69" t="s">
        <v>6052</v>
      </c>
      <c r="HRF1" s="69" t="s">
        <v>6053</v>
      </c>
      <c r="HRG1" s="69" t="s">
        <v>6054</v>
      </c>
      <c r="HRH1" s="69" t="s">
        <v>6055</v>
      </c>
      <c r="HRI1" s="69" t="s">
        <v>6056</v>
      </c>
      <c r="HRJ1" s="69" t="s">
        <v>6057</v>
      </c>
      <c r="HRK1" s="69" t="s">
        <v>6058</v>
      </c>
      <c r="HRL1" s="69" t="s">
        <v>6059</v>
      </c>
      <c r="HRM1" s="69" t="s">
        <v>6060</v>
      </c>
      <c r="HRN1" s="69" t="s">
        <v>6061</v>
      </c>
      <c r="HRO1" s="69" t="s">
        <v>6062</v>
      </c>
      <c r="HRP1" s="69" t="s">
        <v>6063</v>
      </c>
      <c r="HRQ1" s="69" t="s">
        <v>6064</v>
      </c>
      <c r="HRR1" s="69" t="s">
        <v>6065</v>
      </c>
      <c r="HRS1" s="69" t="s">
        <v>6066</v>
      </c>
      <c r="HRT1" s="69" t="s">
        <v>6067</v>
      </c>
      <c r="HRU1" s="69" t="s">
        <v>6068</v>
      </c>
      <c r="HRV1" s="69" t="s">
        <v>6069</v>
      </c>
      <c r="HRW1" s="69" t="s">
        <v>6070</v>
      </c>
      <c r="HRX1" s="69" t="s">
        <v>6071</v>
      </c>
      <c r="HRY1" s="69" t="s">
        <v>6072</v>
      </c>
      <c r="HRZ1" s="69" t="s">
        <v>6073</v>
      </c>
      <c r="HSA1" s="69" t="s">
        <v>6074</v>
      </c>
      <c r="HSB1" s="69" t="s">
        <v>6075</v>
      </c>
      <c r="HSC1" s="69" t="s">
        <v>6076</v>
      </c>
      <c r="HSD1" s="69" t="s">
        <v>6077</v>
      </c>
      <c r="HSE1" s="69" t="s">
        <v>6078</v>
      </c>
      <c r="HSF1" s="69" t="s">
        <v>6079</v>
      </c>
      <c r="HSG1" s="69" t="s">
        <v>6080</v>
      </c>
      <c r="HSH1" s="69" t="s">
        <v>6081</v>
      </c>
      <c r="HSI1" s="69" t="s">
        <v>6082</v>
      </c>
      <c r="HSJ1" s="69" t="s">
        <v>6083</v>
      </c>
      <c r="HSK1" s="69" t="s">
        <v>6084</v>
      </c>
      <c r="HSL1" s="69" t="s">
        <v>6085</v>
      </c>
      <c r="HSM1" s="69" t="s">
        <v>6086</v>
      </c>
      <c r="HSN1" s="69" t="s">
        <v>6087</v>
      </c>
      <c r="HSO1" s="69" t="s">
        <v>6088</v>
      </c>
      <c r="HSP1" s="69" t="s">
        <v>6089</v>
      </c>
      <c r="HSQ1" s="69" t="s">
        <v>6090</v>
      </c>
      <c r="HSR1" s="69" t="s">
        <v>6091</v>
      </c>
      <c r="HSS1" s="69" t="s">
        <v>6092</v>
      </c>
      <c r="HST1" s="69" t="s">
        <v>6093</v>
      </c>
      <c r="HSU1" s="69" t="s">
        <v>6094</v>
      </c>
      <c r="HSV1" s="69" t="s">
        <v>6095</v>
      </c>
      <c r="HSW1" s="69" t="s">
        <v>6096</v>
      </c>
      <c r="HSX1" s="69" t="s">
        <v>6097</v>
      </c>
      <c r="HSY1" s="69" t="s">
        <v>6098</v>
      </c>
      <c r="HSZ1" s="69" t="s">
        <v>6099</v>
      </c>
      <c r="HTA1" s="69" t="s">
        <v>6100</v>
      </c>
      <c r="HTB1" s="69" t="s">
        <v>6101</v>
      </c>
      <c r="HTC1" s="69" t="s">
        <v>6102</v>
      </c>
      <c r="HTD1" s="69" t="s">
        <v>6103</v>
      </c>
      <c r="HTE1" s="69" t="s">
        <v>6104</v>
      </c>
      <c r="HTF1" s="69" t="s">
        <v>6105</v>
      </c>
      <c r="HTG1" s="69" t="s">
        <v>6106</v>
      </c>
      <c r="HTH1" s="69" t="s">
        <v>6107</v>
      </c>
      <c r="HTI1" s="69" t="s">
        <v>6108</v>
      </c>
      <c r="HTJ1" s="69" t="s">
        <v>6109</v>
      </c>
      <c r="HTK1" s="69" t="s">
        <v>6110</v>
      </c>
      <c r="HTL1" s="69" t="s">
        <v>6111</v>
      </c>
      <c r="HTM1" s="69" t="s">
        <v>6112</v>
      </c>
      <c r="HTN1" s="69" t="s">
        <v>6113</v>
      </c>
      <c r="HTO1" s="69" t="s">
        <v>6114</v>
      </c>
      <c r="HTP1" s="69" t="s">
        <v>6115</v>
      </c>
      <c r="HTQ1" s="69" t="s">
        <v>6116</v>
      </c>
      <c r="HTR1" s="69" t="s">
        <v>6117</v>
      </c>
      <c r="HTS1" s="69" t="s">
        <v>6118</v>
      </c>
      <c r="HTT1" s="69" t="s">
        <v>6119</v>
      </c>
      <c r="HTU1" s="69" t="s">
        <v>6120</v>
      </c>
      <c r="HTV1" s="69" t="s">
        <v>6121</v>
      </c>
      <c r="HTW1" s="69" t="s">
        <v>6122</v>
      </c>
      <c r="HTX1" s="69" t="s">
        <v>6123</v>
      </c>
      <c r="HTY1" s="69" t="s">
        <v>6124</v>
      </c>
      <c r="HTZ1" s="69" t="s">
        <v>6125</v>
      </c>
      <c r="HUA1" s="69" t="s">
        <v>6126</v>
      </c>
      <c r="HUB1" s="69" t="s">
        <v>6127</v>
      </c>
      <c r="HUC1" s="69" t="s">
        <v>6128</v>
      </c>
      <c r="HUD1" s="69" t="s">
        <v>6129</v>
      </c>
      <c r="HUE1" s="69" t="s">
        <v>6130</v>
      </c>
      <c r="HUF1" s="69" t="s">
        <v>6131</v>
      </c>
      <c r="HUG1" s="69" t="s">
        <v>6132</v>
      </c>
      <c r="HUH1" s="69" t="s">
        <v>6133</v>
      </c>
      <c r="HUI1" s="69" t="s">
        <v>6134</v>
      </c>
      <c r="HUJ1" s="69" t="s">
        <v>6135</v>
      </c>
      <c r="HUK1" s="69" t="s">
        <v>6136</v>
      </c>
      <c r="HUL1" s="69" t="s">
        <v>6137</v>
      </c>
      <c r="HUM1" s="69" t="s">
        <v>6138</v>
      </c>
      <c r="HUN1" s="69" t="s">
        <v>6139</v>
      </c>
      <c r="HUO1" s="69" t="s">
        <v>6140</v>
      </c>
      <c r="HUP1" s="69" t="s">
        <v>6141</v>
      </c>
      <c r="HUQ1" s="69" t="s">
        <v>6142</v>
      </c>
      <c r="HUR1" s="69" t="s">
        <v>6143</v>
      </c>
      <c r="HUS1" s="69" t="s">
        <v>6144</v>
      </c>
      <c r="HUT1" s="69" t="s">
        <v>6145</v>
      </c>
      <c r="HUU1" s="69" t="s">
        <v>6146</v>
      </c>
      <c r="HUV1" s="69" t="s">
        <v>6147</v>
      </c>
      <c r="HUW1" s="69" t="s">
        <v>6148</v>
      </c>
      <c r="HUX1" s="69" t="s">
        <v>6149</v>
      </c>
      <c r="HUY1" s="69" t="s">
        <v>6150</v>
      </c>
      <c r="HUZ1" s="69" t="s">
        <v>6151</v>
      </c>
      <c r="HVA1" s="69" t="s">
        <v>6152</v>
      </c>
      <c r="HVB1" s="69" t="s">
        <v>6153</v>
      </c>
      <c r="HVC1" s="69" t="s">
        <v>6154</v>
      </c>
      <c r="HVD1" s="69" t="s">
        <v>6155</v>
      </c>
      <c r="HVE1" s="69" t="s">
        <v>6156</v>
      </c>
      <c r="HVF1" s="69" t="s">
        <v>6157</v>
      </c>
      <c r="HVG1" s="69" t="s">
        <v>6158</v>
      </c>
      <c r="HVH1" s="69" t="s">
        <v>6159</v>
      </c>
      <c r="HVI1" s="69" t="s">
        <v>6160</v>
      </c>
      <c r="HVJ1" s="69" t="s">
        <v>6161</v>
      </c>
      <c r="HVK1" s="69" t="s">
        <v>6162</v>
      </c>
      <c r="HVL1" s="69" t="s">
        <v>6163</v>
      </c>
      <c r="HVM1" s="69" t="s">
        <v>6164</v>
      </c>
      <c r="HVN1" s="69" t="s">
        <v>6165</v>
      </c>
      <c r="HVO1" s="69" t="s">
        <v>6166</v>
      </c>
      <c r="HVP1" s="69" t="s">
        <v>6167</v>
      </c>
      <c r="HVQ1" s="69" t="s">
        <v>6168</v>
      </c>
      <c r="HVR1" s="69" t="s">
        <v>6169</v>
      </c>
      <c r="HVS1" s="69" t="s">
        <v>6170</v>
      </c>
      <c r="HVT1" s="69" t="s">
        <v>6171</v>
      </c>
      <c r="HVU1" s="69" t="s">
        <v>6172</v>
      </c>
      <c r="HVV1" s="69" t="s">
        <v>6173</v>
      </c>
      <c r="HVW1" s="69" t="s">
        <v>6174</v>
      </c>
      <c r="HVX1" s="69" t="s">
        <v>6175</v>
      </c>
      <c r="HVY1" s="69" t="s">
        <v>6176</v>
      </c>
      <c r="HVZ1" s="69" t="s">
        <v>6177</v>
      </c>
      <c r="HWA1" s="69" t="s">
        <v>6178</v>
      </c>
      <c r="HWB1" s="69" t="s">
        <v>6179</v>
      </c>
      <c r="HWC1" s="69" t="s">
        <v>6180</v>
      </c>
      <c r="HWD1" s="69" t="s">
        <v>6181</v>
      </c>
      <c r="HWE1" s="69" t="s">
        <v>6182</v>
      </c>
      <c r="HWF1" s="69" t="s">
        <v>6183</v>
      </c>
      <c r="HWG1" s="69" t="s">
        <v>6184</v>
      </c>
      <c r="HWH1" s="69" t="s">
        <v>6185</v>
      </c>
      <c r="HWI1" s="69" t="s">
        <v>6186</v>
      </c>
      <c r="HWJ1" s="69" t="s">
        <v>6187</v>
      </c>
      <c r="HWK1" s="69" t="s">
        <v>6188</v>
      </c>
      <c r="HWL1" s="69" t="s">
        <v>6189</v>
      </c>
      <c r="HWM1" s="69" t="s">
        <v>6190</v>
      </c>
      <c r="HWN1" s="69" t="s">
        <v>6191</v>
      </c>
      <c r="HWO1" s="69" t="s">
        <v>6192</v>
      </c>
      <c r="HWP1" s="69" t="s">
        <v>6193</v>
      </c>
      <c r="HWQ1" s="69" t="s">
        <v>6194</v>
      </c>
      <c r="HWR1" s="69" t="s">
        <v>6195</v>
      </c>
      <c r="HWS1" s="69" t="s">
        <v>6196</v>
      </c>
      <c r="HWT1" s="69" t="s">
        <v>6197</v>
      </c>
      <c r="HWU1" s="69" t="s">
        <v>6198</v>
      </c>
      <c r="HWV1" s="69" t="s">
        <v>6199</v>
      </c>
      <c r="HWW1" s="69" t="s">
        <v>6200</v>
      </c>
      <c r="HWX1" s="69" t="s">
        <v>6201</v>
      </c>
      <c r="HWY1" s="69" t="s">
        <v>6202</v>
      </c>
      <c r="HWZ1" s="69" t="s">
        <v>6203</v>
      </c>
      <c r="HXA1" s="69" t="s">
        <v>6204</v>
      </c>
      <c r="HXB1" s="69" t="s">
        <v>6205</v>
      </c>
      <c r="HXC1" s="69" t="s">
        <v>6206</v>
      </c>
      <c r="HXD1" s="69" t="s">
        <v>6207</v>
      </c>
      <c r="HXE1" s="69" t="s">
        <v>6208</v>
      </c>
      <c r="HXF1" s="69" t="s">
        <v>6209</v>
      </c>
      <c r="HXG1" s="69" t="s">
        <v>6210</v>
      </c>
      <c r="HXH1" s="69" t="s">
        <v>6211</v>
      </c>
      <c r="HXI1" s="69" t="s">
        <v>6212</v>
      </c>
      <c r="HXJ1" s="69" t="s">
        <v>6213</v>
      </c>
      <c r="HXK1" s="69" t="s">
        <v>6214</v>
      </c>
      <c r="HXL1" s="69" t="s">
        <v>6215</v>
      </c>
      <c r="HXM1" s="69" t="s">
        <v>6216</v>
      </c>
      <c r="HXN1" s="69" t="s">
        <v>6217</v>
      </c>
      <c r="HXO1" s="69" t="s">
        <v>6218</v>
      </c>
      <c r="HXP1" s="69" t="s">
        <v>6219</v>
      </c>
      <c r="HXQ1" s="69" t="s">
        <v>6220</v>
      </c>
      <c r="HXR1" s="69" t="s">
        <v>6221</v>
      </c>
      <c r="HXS1" s="69" t="s">
        <v>6222</v>
      </c>
      <c r="HXT1" s="69" t="s">
        <v>6223</v>
      </c>
      <c r="HXU1" s="69" t="s">
        <v>6224</v>
      </c>
      <c r="HXV1" s="69" t="s">
        <v>6225</v>
      </c>
      <c r="HXW1" s="69" t="s">
        <v>6226</v>
      </c>
      <c r="HXX1" s="69" t="s">
        <v>6227</v>
      </c>
      <c r="HXY1" s="69" t="s">
        <v>6228</v>
      </c>
      <c r="HXZ1" s="69" t="s">
        <v>6229</v>
      </c>
      <c r="HYA1" s="69" t="s">
        <v>6230</v>
      </c>
      <c r="HYB1" s="69" t="s">
        <v>6231</v>
      </c>
      <c r="HYC1" s="69" t="s">
        <v>6232</v>
      </c>
      <c r="HYD1" s="69" t="s">
        <v>6233</v>
      </c>
      <c r="HYE1" s="69" t="s">
        <v>6234</v>
      </c>
      <c r="HYF1" s="69" t="s">
        <v>6235</v>
      </c>
      <c r="HYG1" s="69" t="s">
        <v>6236</v>
      </c>
      <c r="HYH1" s="69" t="s">
        <v>6237</v>
      </c>
      <c r="HYI1" s="69" t="s">
        <v>6238</v>
      </c>
      <c r="HYJ1" s="69" t="s">
        <v>6239</v>
      </c>
      <c r="HYK1" s="69" t="s">
        <v>6240</v>
      </c>
      <c r="HYL1" s="69" t="s">
        <v>6241</v>
      </c>
      <c r="HYM1" s="69" t="s">
        <v>6242</v>
      </c>
      <c r="HYN1" s="69" t="s">
        <v>6243</v>
      </c>
      <c r="HYO1" s="69" t="s">
        <v>6244</v>
      </c>
      <c r="HYP1" s="69" t="s">
        <v>6245</v>
      </c>
      <c r="HYQ1" s="69" t="s">
        <v>6246</v>
      </c>
      <c r="HYR1" s="69" t="s">
        <v>6247</v>
      </c>
      <c r="HYS1" s="69" t="s">
        <v>6248</v>
      </c>
      <c r="HYT1" s="69" t="s">
        <v>6249</v>
      </c>
      <c r="HYU1" s="69" t="s">
        <v>6250</v>
      </c>
      <c r="HYV1" s="69" t="s">
        <v>6251</v>
      </c>
      <c r="HYW1" s="69" t="s">
        <v>6252</v>
      </c>
      <c r="HYX1" s="69" t="s">
        <v>6253</v>
      </c>
      <c r="HYY1" s="69" t="s">
        <v>6254</v>
      </c>
      <c r="HYZ1" s="69" t="s">
        <v>6255</v>
      </c>
      <c r="HZA1" s="69" t="s">
        <v>6256</v>
      </c>
      <c r="HZB1" s="69" t="s">
        <v>6257</v>
      </c>
      <c r="HZC1" s="69" t="s">
        <v>6258</v>
      </c>
      <c r="HZD1" s="69" t="s">
        <v>6259</v>
      </c>
      <c r="HZE1" s="69" t="s">
        <v>6260</v>
      </c>
      <c r="HZF1" s="69" t="s">
        <v>6261</v>
      </c>
      <c r="HZG1" s="69" t="s">
        <v>6262</v>
      </c>
      <c r="HZH1" s="69" t="s">
        <v>6263</v>
      </c>
      <c r="HZI1" s="69" t="s">
        <v>6264</v>
      </c>
      <c r="HZJ1" s="69" t="s">
        <v>6265</v>
      </c>
      <c r="HZK1" s="69" t="s">
        <v>6266</v>
      </c>
      <c r="HZL1" s="69" t="s">
        <v>6267</v>
      </c>
      <c r="HZM1" s="69" t="s">
        <v>6268</v>
      </c>
      <c r="HZN1" s="69" t="s">
        <v>6269</v>
      </c>
      <c r="HZO1" s="69" t="s">
        <v>6270</v>
      </c>
      <c r="HZP1" s="69" t="s">
        <v>6271</v>
      </c>
      <c r="HZQ1" s="69" t="s">
        <v>6272</v>
      </c>
      <c r="HZR1" s="69" t="s">
        <v>6273</v>
      </c>
      <c r="HZS1" s="69" t="s">
        <v>6274</v>
      </c>
      <c r="HZT1" s="69" t="s">
        <v>6275</v>
      </c>
      <c r="HZU1" s="69" t="s">
        <v>6276</v>
      </c>
      <c r="HZV1" s="69" t="s">
        <v>6277</v>
      </c>
      <c r="HZW1" s="69" t="s">
        <v>6278</v>
      </c>
      <c r="HZX1" s="69" t="s">
        <v>6279</v>
      </c>
      <c r="HZY1" s="69" t="s">
        <v>6280</v>
      </c>
      <c r="HZZ1" s="69" t="s">
        <v>6281</v>
      </c>
      <c r="IAA1" s="69" t="s">
        <v>6282</v>
      </c>
      <c r="IAB1" s="69" t="s">
        <v>6283</v>
      </c>
      <c r="IAC1" s="69" t="s">
        <v>6284</v>
      </c>
      <c r="IAD1" s="69" t="s">
        <v>6285</v>
      </c>
      <c r="IAE1" s="69" t="s">
        <v>6286</v>
      </c>
      <c r="IAF1" s="69" t="s">
        <v>6287</v>
      </c>
      <c r="IAG1" s="69" t="s">
        <v>6288</v>
      </c>
      <c r="IAH1" s="69" t="s">
        <v>6289</v>
      </c>
      <c r="IAI1" s="69" t="s">
        <v>6290</v>
      </c>
      <c r="IAJ1" s="69" t="s">
        <v>6291</v>
      </c>
      <c r="IAK1" s="69" t="s">
        <v>6292</v>
      </c>
      <c r="IAL1" s="69" t="s">
        <v>6293</v>
      </c>
      <c r="IAM1" s="69" t="s">
        <v>6294</v>
      </c>
      <c r="IAN1" s="69" t="s">
        <v>6295</v>
      </c>
      <c r="IAO1" s="69" t="s">
        <v>6296</v>
      </c>
      <c r="IAP1" s="69" t="s">
        <v>6297</v>
      </c>
      <c r="IAQ1" s="69" t="s">
        <v>6298</v>
      </c>
      <c r="IAR1" s="69" t="s">
        <v>6299</v>
      </c>
      <c r="IAS1" s="69" t="s">
        <v>6300</v>
      </c>
      <c r="IAT1" s="69" t="s">
        <v>6301</v>
      </c>
      <c r="IAU1" s="69" t="s">
        <v>6302</v>
      </c>
      <c r="IAV1" s="69" t="s">
        <v>6303</v>
      </c>
      <c r="IAW1" s="69" t="s">
        <v>6304</v>
      </c>
      <c r="IAX1" s="69" t="s">
        <v>6305</v>
      </c>
      <c r="IAY1" s="69" t="s">
        <v>6306</v>
      </c>
      <c r="IAZ1" s="69" t="s">
        <v>6307</v>
      </c>
      <c r="IBA1" s="69" t="s">
        <v>6308</v>
      </c>
      <c r="IBB1" s="69" t="s">
        <v>6309</v>
      </c>
      <c r="IBC1" s="69" t="s">
        <v>6310</v>
      </c>
      <c r="IBD1" s="69" t="s">
        <v>6311</v>
      </c>
      <c r="IBE1" s="69" t="s">
        <v>6312</v>
      </c>
      <c r="IBF1" s="69" t="s">
        <v>6313</v>
      </c>
      <c r="IBG1" s="69" t="s">
        <v>6314</v>
      </c>
      <c r="IBH1" s="69" t="s">
        <v>6315</v>
      </c>
      <c r="IBI1" s="69" t="s">
        <v>6316</v>
      </c>
      <c r="IBJ1" s="69" t="s">
        <v>6317</v>
      </c>
      <c r="IBK1" s="69" t="s">
        <v>6318</v>
      </c>
      <c r="IBL1" s="69" t="s">
        <v>6319</v>
      </c>
      <c r="IBM1" s="69" t="s">
        <v>6320</v>
      </c>
      <c r="IBN1" s="69" t="s">
        <v>6321</v>
      </c>
      <c r="IBO1" s="69" t="s">
        <v>6322</v>
      </c>
      <c r="IBP1" s="69" t="s">
        <v>6323</v>
      </c>
      <c r="IBQ1" s="69" t="s">
        <v>6324</v>
      </c>
      <c r="IBR1" s="69" t="s">
        <v>6325</v>
      </c>
      <c r="IBS1" s="69" t="s">
        <v>6326</v>
      </c>
      <c r="IBT1" s="69" t="s">
        <v>6327</v>
      </c>
      <c r="IBU1" s="69" t="s">
        <v>6328</v>
      </c>
      <c r="IBV1" s="69" t="s">
        <v>6329</v>
      </c>
      <c r="IBW1" s="69" t="s">
        <v>6330</v>
      </c>
      <c r="IBX1" s="69" t="s">
        <v>6331</v>
      </c>
      <c r="IBY1" s="69" t="s">
        <v>6332</v>
      </c>
      <c r="IBZ1" s="69" t="s">
        <v>6333</v>
      </c>
      <c r="ICA1" s="69" t="s">
        <v>6334</v>
      </c>
      <c r="ICB1" s="69" t="s">
        <v>6335</v>
      </c>
      <c r="ICC1" s="69" t="s">
        <v>6336</v>
      </c>
      <c r="ICD1" s="69" t="s">
        <v>6337</v>
      </c>
      <c r="ICE1" s="69" t="s">
        <v>6338</v>
      </c>
      <c r="ICF1" s="69" t="s">
        <v>6339</v>
      </c>
      <c r="ICG1" s="69" t="s">
        <v>6340</v>
      </c>
      <c r="ICH1" s="69" t="s">
        <v>6341</v>
      </c>
      <c r="ICI1" s="69" t="s">
        <v>6342</v>
      </c>
      <c r="ICJ1" s="69" t="s">
        <v>6343</v>
      </c>
      <c r="ICK1" s="69" t="s">
        <v>6344</v>
      </c>
      <c r="ICL1" s="69" t="s">
        <v>6345</v>
      </c>
      <c r="ICM1" s="69" t="s">
        <v>6346</v>
      </c>
      <c r="ICN1" s="69" t="s">
        <v>6347</v>
      </c>
      <c r="ICO1" s="69" t="s">
        <v>6348</v>
      </c>
      <c r="ICP1" s="69" t="s">
        <v>6349</v>
      </c>
      <c r="ICQ1" s="69" t="s">
        <v>6350</v>
      </c>
      <c r="ICR1" s="69" t="s">
        <v>6351</v>
      </c>
      <c r="ICS1" s="69" t="s">
        <v>6352</v>
      </c>
      <c r="ICT1" s="69" t="s">
        <v>6353</v>
      </c>
      <c r="ICU1" s="69" t="s">
        <v>6354</v>
      </c>
      <c r="ICV1" s="69" t="s">
        <v>6355</v>
      </c>
      <c r="ICW1" s="69" t="s">
        <v>6356</v>
      </c>
      <c r="ICX1" s="69" t="s">
        <v>6357</v>
      </c>
      <c r="ICY1" s="69" t="s">
        <v>6358</v>
      </c>
      <c r="ICZ1" s="69" t="s">
        <v>6359</v>
      </c>
      <c r="IDA1" s="69" t="s">
        <v>6360</v>
      </c>
      <c r="IDB1" s="69" t="s">
        <v>6361</v>
      </c>
      <c r="IDC1" s="69" t="s">
        <v>6362</v>
      </c>
      <c r="IDD1" s="69" t="s">
        <v>6363</v>
      </c>
      <c r="IDE1" s="69" t="s">
        <v>6364</v>
      </c>
      <c r="IDF1" s="69" t="s">
        <v>6365</v>
      </c>
      <c r="IDG1" s="69" t="s">
        <v>6366</v>
      </c>
      <c r="IDH1" s="69" t="s">
        <v>6367</v>
      </c>
      <c r="IDI1" s="69" t="s">
        <v>6368</v>
      </c>
      <c r="IDJ1" s="69" t="s">
        <v>6369</v>
      </c>
      <c r="IDK1" s="69" t="s">
        <v>6370</v>
      </c>
      <c r="IDL1" s="69" t="s">
        <v>6371</v>
      </c>
      <c r="IDM1" s="69" t="s">
        <v>6372</v>
      </c>
      <c r="IDN1" s="69" t="s">
        <v>6373</v>
      </c>
      <c r="IDO1" s="69" t="s">
        <v>6374</v>
      </c>
      <c r="IDP1" s="69" t="s">
        <v>6375</v>
      </c>
      <c r="IDQ1" s="69" t="s">
        <v>6376</v>
      </c>
      <c r="IDR1" s="69" t="s">
        <v>6377</v>
      </c>
      <c r="IDS1" s="69" t="s">
        <v>6378</v>
      </c>
      <c r="IDT1" s="69" t="s">
        <v>6379</v>
      </c>
      <c r="IDU1" s="69" t="s">
        <v>6380</v>
      </c>
      <c r="IDV1" s="69" t="s">
        <v>6381</v>
      </c>
      <c r="IDW1" s="69" t="s">
        <v>6382</v>
      </c>
      <c r="IDX1" s="69" t="s">
        <v>6383</v>
      </c>
      <c r="IDY1" s="69" t="s">
        <v>6384</v>
      </c>
      <c r="IDZ1" s="69" t="s">
        <v>6385</v>
      </c>
      <c r="IEA1" s="69" t="s">
        <v>6386</v>
      </c>
      <c r="IEB1" s="69" t="s">
        <v>6387</v>
      </c>
      <c r="IEC1" s="69" t="s">
        <v>6388</v>
      </c>
      <c r="IED1" s="69" t="s">
        <v>6389</v>
      </c>
      <c r="IEE1" s="69" t="s">
        <v>6390</v>
      </c>
      <c r="IEF1" s="69" t="s">
        <v>6391</v>
      </c>
      <c r="IEG1" s="69" t="s">
        <v>6392</v>
      </c>
      <c r="IEH1" s="69" t="s">
        <v>6393</v>
      </c>
      <c r="IEI1" s="69" t="s">
        <v>6394</v>
      </c>
      <c r="IEJ1" s="69" t="s">
        <v>6395</v>
      </c>
      <c r="IEK1" s="69" t="s">
        <v>6396</v>
      </c>
      <c r="IEL1" s="69" t="s">
        <v>6397</v>
      </c>
      <c r="IEM1" s="69" t="s">
        <v>6398</v>
      </c>
      <c r="IEN1" s="69" t="s">
        <v>6399</v>
      </c>
      <c r="IEO1" s="69" t="s">
        <v>6400</v>
      </c>
      <c r="IEP1" s="69" t="s">
        <v>6401</v>
      </c>
      <c r="IEQ1" s="69" t="s">
        <v>6402</v>
      </c>
      <c r="IER1" s="69" t="s">
        <v>6403</v>
      </c>
      <c r="IES1" s="69" t="s">
        <v>6404</v>
      </c>
      <c r="IET1" s="69" t="s">
        <v>6405</v>
      </c>
      <c r="IEU1" s="69" t="s">
        <v>6406</v>
      </c>
      <c r="IEV1" s="69" t="s">
        <v>6407</v>
      </c>
      <c r="IEW1" s="69" t="s">
        <v>6408</v>
      </c>
      <c r="IEX1" s="69" t="s">
        <v>6409</v>
      </c>
      <c r="IEY1" s="69" t="s">
        <v>6410</v>
      </c>
      <c r="IEZ1" s="69" t="s">
        <v>6411</v>
      </c>
      <c r="IFA1" s="69" t="s">
        <v>6412</v>
      </c>
      <c r="IFB1" s="69" t="s">
        <v>6413</v>
      </c>
      <c r="IFC1" s="69" t="s">
        <v>6414</v>
      </c>
      <c r="IFD1" s="69" t="s">
        <v>6415</v>
      </c>
      <c r="IFE1" s="69" t="s">
        <v>6416</v>
      </c>
      <c r="IFF1" s="69" t="s">
        <v>6417</v>
      </c>
      <c r="IFG1" s="69" t="s">
        <v>6418</v>
      </c>
      <c r="IFH1" s="69" t="s">
        <v>6419</v>
      </c>
      <c r="IFI1" s="69" t="s">
        <v>6420</v>
      </c>
      <c r="IFJ1" s="69" t="s">
        <v>6421</v>
      </c>
      <c r="IFK1" s="69" t="s">
        <v>6422</v>
      </c>
      <c r="IFL1" s="69" t="s">
        <v>6423</v>
      </c>
      <c r="IFM1" s="69" t="s">
        <v>6424</v>
      </c>
      <c r="IFN1" s="69" t="s">
        <v>6425</v>
      </c>
      <c r="IFO1" s="69" t="s">
        <v>6426</v>
      </c>
      <c r="IFP1" s="69" t="s">
        <v>6427</v>
      </c>
      <c r="IFQ1" s="69" t="s">
        <v>6428</v>
      </c>
      <c r="IFR1" s="69" t="s">
        <v>6429</v>
      </c>
      <c r="IFS1" s="69" t="s">
        <v>6430</v>
      </c>
      <c r="IFT1" s="69" t="s">
        <v>6431</v>
      </c>
      <c r="IFU1" s="69" t="s">
        <v>6432</v>
      </c>
      <c r="IFV1" s="69" t="s">
        <v>6433</v>
      </c>
      <c r="IFW1" s="69" t="s">
        <v>6434</v>
      </c>
      <c r="IFX1" s="69" t="s">
        <v>6435</v>
      </c>
      <c r="IFY1" s="69" t="s">
        <v>6436</v>
      </c>
      <c r="IFZ1" s="69" t="s">
        <v>6437</v>
      </c>
      <c r="IGA1" s="69" t="s">
        <v>6438</v>
      </c>
      <c r="IGB1" s="69" t="s">
        <v>6439</v>
      </c>
      <c r="IGC1" s="69" t="s">
        <v>6440</v>
      </c>
      <c r="IGD1" s="69" t="s">
        <v>6441</v>
      </c>
      <c r="IGE1" s="69" t="s">
        <v>6442</v>
      </c>
      <c r="IGF1" s="69" t="s">
        <v>6443</v>
      </c>
      <c r="IGG1" s="69" t="s">
        <v>6444</v>
      </c>
      <c r="IGH1" s="69" t="s">
        <v>6445</v>
      </c>
      <c r="IGI1" s="69" t="s">
        <v>6446</v>
      </c>
      <c r="IGJ1" s="69" t="s">
        <v>6447</v>
      </c>
      <c r="IGK1" s="69" t="s">
        <v>6448</v>
      </c>
      <c r="IGL1" s="69" t="s">
        <v>6449</v>
      </c>
      <c r="IGM1" s="69" t="s">
        <v>6450</v>
      </c>
      <c r="IGN1" s="69" t="s">
        <v>6451</v>
      </c>
      <c r="IGO1" s="69" t="s">
        <v>6452</v>
      </c>
      <c r="IGP1" s="69" t="s">
        <v>6453</v>
      </c>
      <c r="IGQ1" s="69" t="s">
        <v>6454</v>
      </c>
      <c r="IGR1" s="69" t="s">
        <v>6455</v>
      </c>
      <c r="IGS1" s="69" t="s">
        <v>6456</v>
      </c>
      <c r="IGT1" s="69" t="s">
        <v>6457</v>
      </c>
      <c r="IGU1" s="69" t="s">
        <v>6458</v>
      </c>
      <c r="IGV1" s="69" t="s">
        <v>6459</v>
      </c>
      <c r="IGW1" s="69" t="s">
        <v>6460</v>
      </c>
      <c r="IGX1" s="69" t="s">
        <v>6461</v>
      </c>
      <c r="IGY1" s="69" t="s">
        <v>6462</v>
      </c>
      <c r="IGZ1" s="69" t="s">
        <v>6463</v>
      </c>
      <c r="IHA1" s="69" t="s">
        <v>6464</v>
      </c>
      <c r="IHB1" s="69" t="s">
        <v>6465</v>
      </c>
      <c r="IHC1" s="69" t="s">
        <v>6466</v>
      </c>
      <c r="IHD1" s="69" t="s">
        <v>6467</v>
      </c>
      <c r="IHE1" s="69" t="s">
        <v>6468</v>
      </c>
      <c r="IHF1" s="69" t="s">
        <v>6469</v>
      </c>
      <c r="IHG1" s="69" t="s">
        <v>6470</v>
      </c>
      <c r="IHH1" s="69" t="s">
        <v>6471</v>
      </c>
      <c r="IHI1" s="69" t="s">
        <v>6472</v>
      </c>
      <c r="IHJ1" s="69" t="s">
        <v>6473</v>
      </c>
      <c r="IHK1" s="69" t="s">
        <v>6474</v>
      </c>
      <c r="IHL1" s="69" t="s">
        <v>6475</v>
      </c>
      <c r="IHM1" s="69" t="s">
        <v>6476</v>
      </c>
      <c r="IHN1" s="69" t="s">
        <v>6477</v>
      </c>
      <c r="IHO1" s="69" t="s">
        <v>6478</v>
      </c>
      <c r="IHP1" s="69" t="s">
        <v>6479</v>
      </c>
      <c r="IHQ1" s="69" t="s">
        <v>6480</v>
      </c>
      <c r="IHR1" s="69" t="s">
        <v>6481</v>
      </c>
      <c r="IHS1" s="69" t="s">
        <v>6482</v>
      </c>
      <c r="IHT1" s="69" t="s">
        <v>6483</v>
      </c>
      <c r="IHU1" s="69" t="s">
        <v>6484</v>
      </c>
      <c r="IHV1" s="69" t="s">
        <v>6485</v>
      </c>
      <c r="IHW1" s="69" t="s">
        <v>6486</v>
      </c>
      <c r="IHX1" s="69" t="s">
        <v>6487</v>
      </c>
      <c r="IHY1" s="69" t="s">
        <v>6488</v>
      </c>
      <c r="IHZ1" s="69" t="s">
        <v>6489</v>
      </c>
      <c r="IIA1" s="69" t="s">
        <v>6490</v>
      </c>
      <c r="IIB1" s="69" t="s">
        <v>6491</v>
      </c>
      <c r="IIC1" s="69" t="s">
        <v>6492</v>
      </c>
      <c r="IID1" s="69" t="s">
        <v>6493</v>
      </c>
      <c r="IIE1" s="69" t="s">
        <v>6494</v>
      </c>
      <c r="IIF1" s="69" t="s">
        <v>6495</v>
      </c>
      <c r="IIG1" s="69" t="s">
        <v>6496</v>
      </c>
      <c r="IIH1" s="69" t="s">
        <v>6497</v>
      </c>
      <c r="III1" s="69" t="s">
        <v>6498</v>
      </c>
      <c r="IIJ1" s="69" t="s">
        <v>6499</v>
      </c>
      <c r="IIK1" s="69" t="s">
        <v>6500</v>
      </c>
      <c r="IIL1" s="69" t="s">
        <v>6501</v>
      </c>
      <c r="IIM1" s="69" t="s">
        <v>6502</v>
      </c>
      <c r="IIN1" s="69" t="s">
        <v>6503</v>
      </c>
      <c r="IIO1" s="69" t="s">
        <v>6504</v>
      </c>
      <c r="IIP1" s="69" t="s">
        <v>6505</v>
      </c>
      <c r="IIQ1" s="69" t="s">
        <v>6506</v>
      </c>
      <c r="IIR1" s="69" t="s">
        <v>6507</v>
      </c>
      <c r="IIS1" s="69" t="s">
        <v>6508</v>
      </c>
      <c r="IIT1" s="69" t="s">
        <v>6509</v>
      </c>
      <c r="IIU1" s="69" t="s">
        <v>6510</v>
      </c>
      <c r="IIV1" s="69" t="s">
        <v>6511</v>
      </c>
      <c r="IIW1" s="69" t="s">
        <v>6512</v>
      </c>
      <c r="IIX1" s="69" t="s">
        <v>6513</v>
      </c>
      <c r="IIY1" s="69" t="s">
        <v>6514</v>
      </c>
      <c r="IIZ1" s="69" t="s">
        <v>6515</v>
      </c>
      <c r="IJA1" s="69" t="s">
        <v>6516</v>
      </c>
      <c r="IJB1" s="69" t="s">
        <v>6517</v>
      </c>
      <c r="IJC1" s="69" t="s">
        <v>6518</v>
      </c>
      <c r="IJD1" s="69" t="s">
        <v>6519</v>
      </c>
      <c r="IJE1" s="69" t="s">
        <v>6520</v>
      </c>
      <c r="IJF1" s="69" t="s">
        <v>6521</v>
      </c>
      <c r="IJG1" s="69" t="s">
        <v>6522</v>
      </c>
      <c r="IJH1" s="69" t="s">
        <v>6523</v>
      </c>
      <c r="IJI1" s="69" t="s">
        <v>6524</v>
      </c>
      <c r="IJJ1" s="69" t="s">
        <v>6525</v>
      </c>
      <c r="IJK1" s="69" t="s">
        <v>6526</v>
      </c>
      <c r="IJL1" s="69" t="s">
        <v>6527</v>
      </c>
      <c r="IJM1" s="69" t="s">
        <v>6528</v>
      </c>
      <c r="IJN1" s="69" t="s">
        <v>6529</v>
      </c>
      <c r="IJO1" s="69" t="s">
        <v>6530</v>
      </c>
      <c r="IJP1" s="69" t="s">
        <v>6531</v>
      </c>
      <c r="IJQ1" s="69" t="s">
        <v>6532</v>
      </c>
      <c r="IJR1" s="69" t="s">
        <v>6533</v>
      </c>
      <c r="IJS1" s="69" t="s">
        <v>6534</v>
      </c>
      <c r="IJT1" s="69" t="s">
        <v>6535</v>
      </c>
      <c r="IJU1" s="69" t="s">
        <v>6536</v>
      </c>
      <c r="IJV1" s="69" t="s">
        <v>6537</v>
      </c>
      <c r="IJW1" s="69" t="s">
        <v>6538</v>
      </c>
      <c r="IJX1" s="69" t="s">
        <v>6539</v>
      </c>
      <c r="IJY1" s="69" t="s">
        <v>6540</v>
      </c>
      <c r="IJZ1" s="69" t="s">
        <v>6541</v>
      </c>
      <c r="IKA1" s="69" t="s">
        <v>6542</v>
      </c>
      <c r="IKB1" s="69" t="s">
        <v>6543</v>
      </c>
      <c r="IKC1" s="69" t="s">
        <v>6544</v>
      </c>
      <c r="IKD1" s="69" t="s">
        <v>6545</v>
      </c>
      <c r="IKE1" s="69" t="s">
        <v>6546</v>
      </c>
      <c r="IKF1" s="69" t="s">
        <v>6547</v>
      </c>
      <c r="IKG1" s="69" t="s">
        <v>6548</v>
      </c>
      <c r="IKH1" s="69" t="s">
        <v>6549</v>
      </c>
      <c r="IKI1" s="69" t="s">
        <v>6550</v>
      </c>
      <c r="IKJ1" s="69" t="s">
        <v>6551</v>
      </c>
      <c r="IKK1" s="69" t="s">
        <v>6552</v>
      </c>
      <c r="IKL1" s="69" t="s">
        <v>6553</v>
      </c>
      <c r="IKM1" s="69" t="s">
        <v>6554</v>
      </c>
      <c r="IKN1" s="69" t="s">
        <v>6555</v>
      </c>
      <c r="IKO1" s="69" t="s">
        <v>6556</v>
      </c>
      <c r="IKP1" s="69" t="s">
        <v>6557</v>
      </c>
      <c r="IKQ1" s="69" t="s">
        <v>6558</v>
      </c>
      <c r="IKR1" s="69" t="s">
        <v>6559</v>
      </c>
      <c r="IKS1" s="69" t="s">
        <v>6560</v>
      </c>
      <c r="IKT1" s="69" t="s">
        <v>6561</v>
      </c>
      <c r="IKU1" s="69" t="s">
        <v>6562</v>
      </c>
      <c r="IKV1" s="69" t="s">
        <v>6563</v>
      </c>
      <c r="IKW1" s="69" t="s">
        <v>6564</v>
      </c>
      <c r="IKX1" s="69" t="s">
        <v>6565</v>
      </c>
      <c r="IKY1" s="69" t="s">
        <v>6566</v>
      </c>
      <c r="IKZ1" s="69" t="s">
        <v>6567</v>
      </c>
      <c r="ILA1" s="69" t="s">
        <v>6568</v>
      </c>
      <c r="ILB1" s="69" t="s">
        <v>6569</v>
      </c>
      <c r="ILC1" s="69" t="s">
        <v>6570</v>
      </c>
      <c r="ILD1" s="69" t="s">
        <v>6571</v>
      </c>
      <c r="ILE1" s="69" t="s">
        <v>6572</v>
      </c>
      <c r="ILF1" s="69" t="s">
        <v>6573</v>
      </c>
      <c r="ILG1" s="69" t="s">
        <v>6574</v>
      </c>
      <c r="ILH1" s="69" t="s">
        <v>6575</v>
      </c>
      <c r="ILI1" s="69" t="s">
        <v>6576</v>
      </c>
      <c r="ILJ1" s="69" t="s">
        <v>6577</v>
      </c>
      <c r="ILK1" s="69" t="s">
        <v>6578</v>
      </c>
      <c r="ILL1" s="69" t="s">
        <v>6579</v>
      </c>
      <c r="ILM1" s="69" t="s">
        <v>6580</v>
      </c>
      <c r="ILN1" s="69" t="s">
        <v>6581</v>
      </c>
      <c r="ILO1" s="69" t="s">
        <v>6582</v>
      </c>
      <c r="ILP1" s="69" t="s">
        <v>6583</v>
      </c>
      <c r="ILQ1" s="69" t="s">
        <v>6584</v>
      </c>
      <c r="ILR1" s="69" t="s">
        <v>6585</v>
      </c>
      <c r="ILS1" s="69" t="s">
        <v>6586</v>
      </c>
      <c r="ILT1" s="69" t="s">
        <v>6587</v>
      </c>
      <c r="ILU1" s="69" t="s">
        <v>6588</v>
      </c>
      <c r="ILV1" s="69" t="s">
        <v>6589</v>
      </c>
      <c r="ILW1" s="69" t="s">
        <v>6590</v>
      </c>
      <c r="ILX1" s="69" t="s">
        <v>6591</v>
      </c>
      <c r="ILY1" s="69" t="s">
        <v>6592</v>
      </c>
      <c r="ILZ1" s="69" t="s">
        <v>6593</v>
      </c>
      <c r="IMA1" s="69" t="s">
        <v>6594</v>
      </c>
      <c r="IMB1" s="69" t="s">
        <v>6595</v>
      </c>
      <c r="IMC1" s="69" t="s">
        <v>6596</v>
      </c>
      <c r="IMD1" s="69" t="s">
        <v>6597</v>
      </c>
      <c r="IME1" s="69" t="s">
        <v>6598</v>
      </c>
      <c r="IMF1" s="69" t="s">
        <v>6599</v>
      </c>
      <c r="IMG1" s="69" t="s">
        <v>6600</v>
      </c>
      <c r="IMH1" s="69" t="s">
        <v>6601</v>
      </c>
      <c r="IMI1" s="69" t="s">
        <v>6602</v>
      </c>
      <c r="IMJ1" s="69" t="s">
        <v>6603</v>
      </c>
      <c r="IMK1" s="69" t="s">
        <v>6604</v>
      </c>
      <c r="IML1" s="69" t="s">
        <v>6605</v>
      </c>
      <c r="IMM1" s="69" t="s">
        <v>6606</v>
      </c>
      <c r="IMN1" s="69" t="s">
        <v>6607</v>
      </c>
      <c r="IMO1" s="69" t="s">
        <v>6608</v>
      </c>
      <c r="IMP1" s="69" t="s">
        <v>6609</v>
      </c>
      <c r="IMQ1" s="69" t="s">
        <v>6610</v>
      </c>
      <c r="IMR1" s="69" t="s">
        <v>6611</v>
      </c>
      <c r="IMS1" s="69" t="s">
        <v>6612</v>
      </c>
      <c r="IMT1" s="69" t="s">
        <v>6613</v>
      </c>
      <c r="IMU1" s="69" t="s">
        <v>6614</v>
      </c>
      <c r="IMV1" s="69" t="s">
        <v>6615</v>
      </c>
      <c r="IMW1" s="69" t="s">
        <v>6616</v>
      </c>
      <c r="IMX1" s="69" t="s">
        <v>6617</v>
      </c>
      <c r="IMY1" s="69" t="s">
        <v>6618</v>
      </c>
      <c r="IMZ1" s="69" t="s">
        <v>6619</v>
      </c>
      <c r="INA1" s="69" t="s">
        <v>6620</v>
      </c>
      <c r="INB1" s="69" t="s">
        <v>6621</v>
      </c>
      <c r="INC1" s="69" t="s">
        <v>6622</v>
      </c>
      <c r="IND1" s="69" t="s">
        <v>6623</v>
      </c>
      <c r="INE1" s="69" t="s">
        <v>6624</v>
      </c>
      <c r="INF1" s="69" t="s">
        <v>6625</v>
      </c>
      <c r="ING1" s="69" t="s">
        <v>6626</v>
      </c>
      <c r="INH1" s="69" t="s">
        <v>6627</v>
      </c>
      <c r="INI1" s="69" t="s">
        <v>6628</v>
      </c>
      <c r="INJ1" s="69" t="s">
        <v>6629</v>
      </c>
      <c r="INK1" s="69" t="s">
        <v>6630</v>
      </c>
      <c r="INL1" s="69" t="s">
        <v>6631</v>
      </c>
      <c r="INM1" s="69" t="s">
        <v>6632</v>
      </c>
      <c r="INN1" s="69" t="s">
        <v>6633</v>
      </c>
      <c r="INO1" s="69" t="s">
        <v>6634</v>
      </c>
      <c r="INP1" s="69" t="s">
        <v>6635</v>
      </c>
      <c r="INQ1" s="69" t="s">
        <v>6636</v>
      </c>
      <c r="INR1" s="69" t="s">
        <v>6637</v>
      </c>
      <c r="INS1" s="69" t="s">
        <v>6638</v>
      </c>
      <c r="INT1" s="69" t="s">
        <v>6639</v>
      </c>
      <c r="INU1" s="69" t="s">
        <v>6640</v>
      </c>
      <c r="INV1" s="69" t="s">
        <v>6641</v>
      </c>
      <c r="INW1" s="69" t="s">
        <v>6642</v>
      </c>
      <c r="INX1" s="69" t="s">
        <v>6643</v>
      </c>
      <c r="INY1" s="69" t="s">
        <v>6644</v>
      </c>
      <c r="INZ1" s="69" t="s">
        <v>6645</v>
      </c>
      <c r="IOA1" s="69" t="s">
        <v>6646</v>
      </c>
      <c r="IOB1" s="69" t="s">
        <v>6647</v>
      </c>
      <c r="IOC1" s="69" t="s">
        <v>6648</v>
      </c>
      <c r="IOD1" s="69" t="s">
        <v>6649</v>
      </c>
      <c r="IOE1" s="69" t="s">
        <v>6650</v>
      </c>
      <c r="IOF1" s="69" t="s">
        <v>6651</v>
      </c>
      <c r="IOG1" s="69" t="s">
        <v>6652</v>
      </c>
      <c r="IOH1" s="69" t="s">
        <v>6653</v>
      </c>
      <c r="IOI1" s="69" t="s">
        <v>6654</v>
      </c>
      <c r="IOJ1" s="69" t="s">
        <v>6655</v>
      </c>
      <c r="IOK1" s="69" t="s">
        <v>6656</v>
      </c>
      <c r="IOL1" s="69" t="s">
        <v>6657</v>
      </c>
      <c r="IOM1" s="69" t="s">
        <v>6658</v>
      </c>
      <c r="ION1" s="69" t="s">
        <v>6659</v>
      </c>
      <c r="IOO1" s="69" t="s">
        <v>6660</v>
      </c>
      <c r="IOP1" s="69" t="s">
        <v>6661</v>
      </c>
      <c r="IOQ1" s="69" t="s">
        <v>6662</v>
      </c>
      <c r="IOR1" s="69" t="s">
        <v>6663</v>
      </c>
      <c r="IOS1" s="69" t="s">
        <v>6664</v>
      </c>
      <c r="IOT1" s="69" t="s">
        <v>6665</v>
      </c>
      <c r="IOU1" s="69" t="s">
        <v>6666</v>
      </c>
      <c r="IOV1" s="69" t="s">
        <v>6667</v>
      </c>
      <c r="IOW1" s="69" t="s">
        <v>6668</v>
      </c>
      <c r="IOX1" s="69" t="s">
        <v>6669</v>
      </c>
      <c r="IOY1" s="69" t="s">
        <v>6670</v>
      </c>
      <c r="IOZ1" s="69" t="s">
        <v>6671</v>
      </c>
      <c r="IPA1" s="69" t="s">
        <v>6672</v>
      </c>
      <c r="IPB1" s="69" t="s">
        <v>6673</v>
      </c>
      <c r="IPC1" s="69" t="s">
        <v>6674</v>
      </c>
      <c r="IPD1" s="69" t="s">
        <v>6675</v>
      </c>
      <c r="IPE1" s="69" t="s">
        <v>6676</v>
      </c>
      <c r="IPF1" s="69" t="s">
        <v>6677</v>
      </c>
      <c r="IPG1" s="69" t="s">
        <v>6678</v>
      </c>
      <c r="IPH1" s="69" t="s">
        <v>6679</v>
      </c>
      <c r="IPI1" s="69" t="s">
        <v>6680</v>
      </c>
      <c r="IPJ1" s="69" t="s">
        <v>6681</v>
      </c>
      <c r="IPK1" s="69" t="s">
        <v>6682</v>
      </c>
      <c r="IPL1" s="69" t="s">
        <v>6683</v>
      </c>
      <c r="IPM1" s="69" t="s">
        <v>6684</v>
      </c>
      <c r="IPN1" s="69" t="s">
        <v>6685</v>
      </c>
      <c r="IPO1" s="69" t="s">
        <v>6686</v>
      </c>
      <c r="IPP1" s="69" t="s">
        <v>6687</v>
      </c>
      <c r="IPQ1" s="69" t="s">
        <v>6688</v>
      </c>
      <c r="IPR1" s="69" t="s">
        <v>6689</v>
      </c>
      <c r="IPS1" s="69" t="s">
        <v>6690</v>
      </c>
      <c r="IPT1" s="69" t="s">
        <v>6691</v>
      </c>
      <c r="IPU1" s="69" t="s">
        <v>6692</v>
      </c>
      <c r="IPV1" s="69" t="s">
        <v>6693</v>
      </c>
      <c r="IPW1" s="69" t="s">
        <v>6694</v>
      </c>
      <c r="IPX1" s="69" t="s">
        <v>6695</v>
      </c>
      <c r="IPY1" s="69" t="s">
        <v>6696</v>
      </c>
      <c r="IPZ1" s="69" t="s">
        <v>6697</v>
      </c>
      <c r="IQA1" s="69" t="s">
        <v>6698</v>
      </c>
      <c r="IQB1" s="69" t="s">
        <v>6699</v>
      </c>
      <c r="IQC1" s="69" t="s">
        <v>6700</v>
      </c>
      <c r="IQD1" s="69" t="s">
        <v>6701</v>
      </c>
      <c r="IQE1" s="69" t="s">
        <v>6702</v>
      </c>
      <c r="IQF1" s="69" t="s">
        <v>6703</v>
      </c>
      <c r="IQG1" s="69" t="s">
        <v>6704</v>
      </c>
      <c r="IQH1" s="69" t="s">
        <v>6705</v>
      </c>
      <c r="IQI1" s="69" t="s">
        <v>6706</v>
      </c>
      <c r="IQJ1" s="69" t="s">
        <v>6707</v>
      </c>
      <c r="IQK1" s="69" t="s">
        <v>6708</v>
      </c>
      <c r="IQL1" s="69" t="s">
        <v>6709</v>
      </c>
      <c r="IQM1" s="69" t="s">
        <v>6710</v>
      </c>
      <c r="IQN1" s="69" t="s">
        <v>6711</v>
      </c>
      <c r="IQO1" s="69" t="s">
        <v>6712</v>
      </c>
      <c r="IQP1" s="69" t="s">
        <v>6713</v>
      </c>
      <c r="IQQ1" s="69" t="s">
        <v>6714</v>
      </c>
      <c r="IQR1" s="69" t="s">
        <v>6715</v>
      </c>
      <c r="IQS1" s="69" t="s">
        <v>6716</v>
      </c>
      <c r="IQT1" s="69" t="s">
        <v>6717</v>
      </c>
      <c r="IQU1" s="69" t="s">
        <v>6718</v>
      </c>
      <c r="IQV1" s="69" t="s">
        <v>6719</v>
      </c>
      <c r="IQW1" s="69" t="s">
        <v>6720</v>
      </c>
      <c r="IQX1" s="69" t="s">
        <v>6721</v>
      </c>
      <c r="IQY1" s="69" t="s">
        <v>6722</v>
      </c>
      <c r="IQZ1" s="69" t="s">
        <v>6723</v>
      </c>
      <c r="IRA1" s="69" t="s">
        <v>6724</v>
      </c>
      <c r="IRB1" s="69" t="s">
        <v>6725</v>
      </c>
      <c r="IRC1" s="69" t="s">
        <v>6726</v>
      </c>
      <c r="IRD1" s="69" t="s">
        <v>6727</v>
      </c>
      <c r="IRE1" s="69" t="s">
        <v>6728</v>
      </c>
      <c r="IRF1" s="69" t="s">
        <v>6729</v>
      </c>
      <c r="IRG1" s="69" t="s">
        <v>6730</v>
      </c>
      <c r="IRH1" s="69" t="s">
        <v>6731</v>
      </c>
      <c r="IRI1" s="69" t="s">
        <v>6732</v>
      </c>
      <c r="IRJ1" s="69" t="s">
        <v>6733</v>
      </c>
      <c r="IRK1" s="69" t="s">
        <v>6734</v>
      </c>
      <c r="IRL1" s="69" t="s">
        <v>6735</v>
      </c>
      <c r="IRM1" s="69" t="s">
        <v>6736</v>
      </c>
      <c r="IRN1" s="69" t="s">
        <v>6737</v>
      </c>
      <c r="IRO1" s="69" t="s">
        <v>6738</v>
      </c>
      <c r="IRP1" s="69" t="s">
        <v>6739</v>
      </c>
      <c r="IRQ1" s="69" t="s">
        <v>6740</v>
      </c>
      <c r="IRR1" s="69" t="s">
        <v>6741</v>
      </c>
      <c r="IRS1" s="69" t="s">
        <v>6742</v>
      </c>
      <c r="IRT1" s="69" t="s">
        <v>6743</v>
      </c>
      <c r="IRU1" s="69" t="s">
        <v>6744</v>
      </c>
      <c r="IRV1" s="69" t="s">
        <v>6745</v>
      </c>
      <c r="IRW1" s="69" t="s">
        <v>6746</v>
      </c>
      <c r="IRX1" s="69" t="s">
        <v>6747</v>
      </c>
      <c r="IRY1" s="69" t="s">
        <v>6748</v>
      </c>
      <c r="IRZ1" s="69" t="s">
        <v>6749</v>
      </c>
      <c r="ISA1" s="69" t="s">
        <v>6750</v>
      </c>
      <c r="ISB1" s="69" t="s">
        <v>6751</v>
      </c>
      <c r="ISC1" s="69" t="s">
        <v>6752</v>
      </c>
      <c r="ISD1" s="69" t="s">
        <v>6753</v>
      </c>
      <c r="ISE1" s="69" t="s">
        <v>6754</v>
      </c>
      <c r="ISF1" s="69" t="s">
        <v>6755</v>
      </c>
      <c r="ISG1" s="69" t="s">
        <v>6756</v>
      </c>
      <c r="ISH1" s="69" t="s">
        <v>6757</v>
      </c>
      <c r="ISI1" s="69" t="s">
        <v>6758</v>
      </c>
      <c r="ISJ1" s="69" t="s">
        <v>6759</v>
      </c>
      <c r="ISK1" s="69" t="s">
        <v>6760</v>
      </c>
      <c r="ISL1" s="69" t="s">
        <v>6761</v>
      </c>
      <c r="ISM1" s="69" t="s">
        <v>6762</v>
      </c>
      <c r="ISN1" s="69" t="s">
        <v>6763</v>
      </c>
      <c r="ISO1" s="69" t="s">
        <v>6764</v>
      </c>
      <c r="ISP1" s="69" t="s">
        <v>6765</v>
      </c>
      <c r="ISQ1" s="69" t="s">
        <v>6766</v>
      </c>
      <c r="ISR1" s="69" t="s">
        <v>6767</v>
      </c>
      <c r="ISS1" s="69" t="s">
        <v>6768</v>
      </c>
      <c r="IST1" s="69" t="s">
        <v>6769</v>
      </c>
      <c r="ISU1" s="69" t="s">
        <v>6770</v>
      </c>
      <c r="ISV1" s="69" t="s">
        <v>6771</v>
      </c>
      <c r="ISW1" s="69" t="s">
        <v>6772</v>
      </c>
      <c r="ISX1" s="69" t="s">
        <v>6773</v>
      </c>
      <c r="ISY1" s="69" t="s">
        <v>6774</v>
      </c>
      <c r="ISZ1" s="69" t="s">
        <v>6775</v>
      </c>
      <c r="ITA1" s="69" t="s">
        <v>6776</v>
      </c>
      <c r="ITB1" s="69" t="s">
        <v>6777</v>
      </c>
      <c r="ITC1" s="69" t="s">
        <v>6778</v>
      </c>
      <c r="ITD1" s="69" t="s">
        <v>6779</v>
      </c>
      <c r="ITE1" s="69" t="s">
        <v>6780</v>
      </c>
      <c r="ITF1" s="69" t="s">
        <v>6781</v>
      </c>
      <c r="ITG1" s="69" t="s">
        <v>6782</v>
      </c>
      <c r="ITH1" s="69" t="s">
        <v>6783</v>
      </c>
      <c r="ITI1" s="69" t="s">
        <v>6784</v>
      </c>
      <c r="ITJ1" s="69" t="s">
        <v>6785</v>
      </c>
      <c r="ITK1" s="69" t="s">
        <v>6786</v>
      </c>
      <c r="ITL1" s="69" t="s">
        <v>6787</v>
      </c>
      <c r="ITM1" s="69" t="s">
        <v>6788</v>
      </c>
      <c r="ITN1" s="69" t="s">
        <v>6789</v>
      </c>
      <c r="ITO1" s="69" t="s">
        <v>6790</v>
      </c>
      <c r="ITP1" s="69" t="s">
        <v>6791</v>
      </c>
      <c r="ITQ1" s="69" t="s">
        <v>6792</v>
      </c>
      <c r="ITR1" s="69" t="s">
        <v>6793</v>
      </c>
      <c r="ITS1" s="69" t="s">
        <v>6794</v>
      </c>
      <c r="ITT1" s="69" t="s">
        <v>6795</v>
      </c>
      <c r="ITU1" s="69" t="s">
        <v>6796</v>
      </c>
      <c r="ITV1" s="69" t="s">
        <v>6797</v>
      </c>
      <c r="ITW1" s="69" t="s">
        <v>6798</v>
      </c>
      <c r="ITX1" s="69" t="s">
        <v>6799</v>
      </c>
      <c r="ITY1" s="69" t="s">
        <v>6800</v>
      </c>
      <c r="ITZ1" s="69" t="s">
        <v>6801</v>
      </c>
      <c r="IUA1" s="69" t="s">
        <v>6802</v>
      </c>
      <c r="IUB1" s="69" t="s">
        <v>6803</v>
      </c>
      <c r="IUC1" s="69" t="s">
        <v>6804</v>
      </c>
      <c r="IUD1" s="69" t="s">
        <v>6805</v>
      </c>
      <c r="IUE1" s="69" t="s">
        <v>6806</v>
      </c>
      <c r="IUF1" s="69" t="s">
        <v>6807</v>
      </c>
      <c r="IUG1" s="69" t="s">
        <v>6808</v>
      </c>
      <c r="IUH1" s="69" t="s">
        <v>6809</v>
      </c>
      <c r="IUI1" s="69" t="s">
        <v>6810</v>
      </c>
      <c r="IUJ1" s="69" t="s">
        <v>6811</v>
      </c>
      <c r="IUK1" s="69" t="s">
        <v>6812</v>
      </c>
      <c r="IUL1" s="69" t="s">
        <v>6813</v>
      </c>
      <c r="IUM1" s="69" t="s">
        <v>6814</v>
      </c>
      <c r="IUN1" s="69" t="s">
        <v>6815</v>
      </c>
      <c r="IUO1" s="69" t="s">
        <v>6816</v>
      </c>
      <c r="IUP1" s="69" t="s">
        <v>6817</v>
      </c>
      <c r="IUQ1" s="69" t="s">
        <v>6818</v>
      </c>
      <c r="IUR1" s="69" t="s">
        <v>6819</v>
      </c>
      <c r="IUS1" s="69" t="s">
        <v>6820</v>
      </c>
      <c r="IUT1" s="69" t="s">
        <v>6821</v>
      </c>
      <c r="IUU1" s="69" t="s">
        <v>6822</v>
      </c>
      <c r="IUV1" s="69" t="s">
        <v>6823</v>
      </c>
      <c r="IUW1" s="69" t="s">
        <v>6824</v>
      </c>
      <c r="IUX1" s="69" t="s">
        <v>6825</v>
      </c>
      <c r="IUY1" s="69" t="s">
        <v>6826</v>
      </c>
      <c r="IUZ1" s="69" t="s">
        <v>6827</v>
      </c>
      <c r="IVA1" s="69" t="s">
        <v>6828</v>
      </c>
      <c r="IVB1" s="69" t="s">
        <v>6829</v>
      </c>
      <c r="IVC1" s="69" t="s">
        <v>6830</v>
      </c>
      <c r="IVD1" s="69" t="s">
        <v>6831</v>
      </c>
      <c r="IVE1" s="69" t="s">
        <v>6832</v>
      </c>
      <c r="IVF1" s="69" t="s">
        <v>6833</v>
      </c>
      <c r="IVG1" s="69" t="s">
        <v>6834</v>
      </c>
      <c r="IVH1" s="69" t="s">
        <v>6835</v>
      </c>
      <c r="IVI1" s="69" t="s">
        <v>6836</v>
      </c>
      <c r="IVJ1" s="69" t="s">
        <v>6837</v>
      </c>
      <c r="IVK1" s="69" t="s">
        <v>6838</v>
      </c>
      <c r="IVL1" s="69" t="s">
        <v>6839</v>
      </c>
      <c r="IVM1" s="69" t="s">
        <v>6840</v>
      </c>
      <c r="IVN1" s="69" t="s">
        <v>6841</v>
      </c>
      <c r="IVO1" s="69" t="s">
        <v>6842</v>
      </c>
      <c r="IVP1" s="69" t="s">
        <v>6843</v>
      </c>
      <c r="IVQ1" s="69" t="s">
        <v>6844</v>
      </c>
      <c r="IVR1" s="69" t="s">
        <v>6845</v>
      </c>
      <c r="IVS1" s="69" t="s">
        <v>6846</v>
      </c>
      <c r="IVT1" s="69" t="s">
        <v>6847</v>
      </c>
      <c r="IVU1" s="69" t="s">
        <v>6848</v>
      </c>
      <c r="IVV1" s="69" t="s">
        <v>6849</v>
      </c>
      <c r="IVW1" s="69" t="s">
        <v>6850</v>
      </c>
      <c r="IVX1" s="69" t="s">
        <v>6851</v>
      </c>
      <c r="IVY1" s="69" t="s">
        <v>6852</v>
      </c>
      <c r="IVZ1" s="69" t="s">
        <v>6853</v>
      </c>
      <c r="IWA1" s="69" t="s">
        <v>6854</v>
      </c>
      <c r="IWB1" s="69" t="s">
        <v>6855</v>
      </c>
      <c r="IWC1" s="69" t="s">
        <v>6856</v>
      </c>
      <c r="IWD1" s="69" t="s">
        <v>6857</v>
      </c>
      <c r="IWE1" s="69" t="s">
        <v>6858</v>
      </c>
      <c r="IWF1" s="69" t="s">
        <v>6859</v>
      </c>
      <c r="IWG1" s="69" t="s">
        <v>6860</v>
      </c>
      <c r="IWH1" s="69" t="s">
        <v>6861</v>
      </c>
      <c r="IWI1" s="69" t="s">
        <v>6862</v>
      </c>
      <c r="IWJ1" s="69" t="s">
        <v>6863</v>
      </c>
      <c r="IWK1" s="69" t="s">
        <v>6864</v>
      </c>
      <c r="IWL1" s="69" t="s">
        <v>6865</v>
      </c>
      <c r="IWM1" s="69" t="s">
        <v>6866</v>
      </c>
      <c r="IWN1" s="69" t="s">
        <v>6867</v>
      </c>
      <c r="IWO1" s="69" t="s">
        <v>6868</v>
      </c>
      <c r="IWP1" s="69" t="s">
        <v>6869</v>
      </c>
      <c r="IWQ1" s="69" t="s">
        <v>6870</v>
      </c>
      <c r="IWR1" s="69" t="s">
        <v>6871</v>
      </c>
      <c r="IWS1" s="69" t="s">
        <v>6872</v>
      </c>
      <c r="IWT1" s="69" t="s">
        <v>6873</v>
      </c>
      <c r="IWU1" s="69" t="s">
        <v>6874</v>
      </c>
      <c r="IWV1" s="69" t="s">
        <v>6875</v>
      </c>
      <c r="IWW1" s="69" t="s">
        <v>6876</v>
      </c>
      <c r="IWX1" s="69" t="s">
        <v>6877</v>
      </c>
      <c r="IWY1" s="69" t="s">
        <v>6878</v>
      </c>
      <c r="IWZ1" s="69" t="s">
        <v>6879</v>
      </c>
      <c r="IXA1" s="69" t="s">
        <v>6880</v>
      </c>
      <c r="IXB1" s="69" t="s">
        <v>6881</v>
      </c>
      <c r="IXC1" s="69" t="s">
        <v>6882</v>
      </c>
      <c r="IXD1" s="69" t="s">
        <v>6883</v>
      </c>
      <c r="IXE1" s="69" t="s">
        <v>6884</v>
      </c>
      <c r="IXF1" s="69" t="s">
        <v>6885</v>
      </c>
      <c r="IXG1" s="69" t="s">
        <v>6886</v>
      </c>
      <c r="IXH1" s="69" t="s">
        <v>6887</v>
      </c>
      <c r="IXI1" s="69" t="s">
        <v>6888</v>
      </c>
      <c r="IXJ1" s="69" t="s">
        <v>6889</v>
      </c>
      <c r="IXK1" s="69" t="s">
        <v>6890</v>
      </c>
      <c r="IXL1" s="69" t="s">
        <v>6891</v>
      </c>
      <c r="IXM1" s="69" t="s">
        <v>6892</v>
      </c>
      <c r="IXN1" s="69" t="s">
        <v>6893</v>
      </c>
      <c r="IXO1" s="69" t="s">
        <v>6894</v>
      </c>
      <c r="IXP1" s="69" t="s">
        <v>6895</v>
      </c>
      <c r="IXQ1" s="69" t="s">
        <v>6896</v>
      </c>
      <c r="IXR1" s="69" t="s">
        <v>6897</v>
      </c>
      <c r="IXS1" s="69" t="s">
        <v>6898</v>
      </c>
      <c r="IXT1" s="69" t="s">
        <v>6899</v>
      </c>
      <c r="IXU1" s="69" t="s">
        <v>6900</v>
      </c>
      <c r="IXV1" s="69" t="s">
        <v>6901</v>
      </c>
      <c r="IXW1" s="69" t="s">
        <v>6902</v>
      </c>
      <c r="IXX1" s="69" t="s">
        <v>6903</v>
      </c>
      <c r="IXY1" s="69" t="s">
        <v>6904</v>
      </c>
      <c r="IXZ1" s="69" t="s">
        <v>6905</v>
      </c>
      <c r="IYA1" s="69" t="s">
        <v>6906</v>
      </c>
      <c r="IYB1" s="69" t="s">
        <v>6907</v>
      </c>
      <c r="IYC1" s="69" t="s">
        <v>6908</v>
      </c>
      <c r="IYD1" s="69" t="s">
        <v>6909</v>
      </c>
      <c r="IYE1" s="69" t="s">
        <v>6910</v>
      </c>
      <c r="IYF1" s="69" t="s">
        <v>6911</v>
      </c>
      <c r="IYG1" s="69" t="s">
        <v>6912</v>
      </c>
      <c r="IYH1" s="69" t="s">
        <v>6913</v>
      </c>
      <c r="IYI1" s="69" t="s">
        <v>6914</v>
      </c>
      <c r="IYJ1" s="69" t="s">
        <v>6915</v>
      </c>
      <c r="IYK1" s="69" t="s">
        <v>6916</v>
      </c>
      <c r="IYL1" s="69" t="s">
        <v>6917</v>
      </c>
      <c r="IYM1" s="69" t="s">
        <v>6918</v>
      </c>
      <c r="IYN1" s="69" t="s">
        <v>6919</v>
      </c>
      <c r="IYO1" s="69" t="s">
        <v>6920</v>
      </c>
      <c r="IYP1" s="69" t="s">
        <v>6921</v>
      </c>
      <c r="IYQ1" s="69" t="s">
        <v>6922</v>
      </c>
      <c r="IYR1" s="69" t="s">
        <v>6923</v>
      </c>
      <c r="IYS1" s="69" t="s">
        <v>6924</v>
      </c>
      <c r="IYT1" s="69" t="s">
        <v>6925</v>
      </c>
      <c r="IYU1" s="69" t="s">
        <v>6926</v>
      </c>
      <c r="IYV1" s="69" t="s">
        <v>6927</v>
      </c>
      <c r="IYW1" s="69" t="s">
        <v>6928</v>
      </c>
      <c r="IYX1" s="69" t="s">
        <v>6929</v>
      </c>
      <c r="IYY1" s="69" t="s">
        <v>6930</v>
      </c>
      <c r="IYZ1" s="69" t="s">
        <v>6931</v>
      </c>
      <c r="IZA1" s="69" t="s">
        <v>6932</v>
      </c>
      <c r="IZB1" s="69" t="s">
        <v>6933</v>
      </c>
      <c r="IZC1" s="69" t="s">
        <v>6934</v>
      </c>
      <c r="IZD1" s="69" t="s">
        <v>6935</v>
      </c>
      <c r="IZE1" s="69" t="s">
        <v>6936</v>
      </c>
      <c r="IZF1" s="69" t="s">
        <v>6937</v>
      </c>
      <c r="IZG1" s="69" t="s">
        <v>6938</v>
      </c>
      <c r="IZH1" s="69" t="s">
        <v>6939</v>
      </c>
      <c r="IZI1" s="69" t="s">
        <v>6940</v>
      </c>
      <c r="IZJ1" s="69" t="s">
        <v>6941</v>
      </c>
      <c r="IZK1" s="69" t="s">
        <v>6942</v>
      </c>
      <c r="IZL1" s="69" t="s">
        <v>6943</v>
      </c>
      <c r="IZM1" s="69" t="s">
        <v>6944</v>
      </c>
      <c r="IZN1" s="69" t="s">
        <v>6945</v>
      </c>
      <c r="IZO1" s="69" t="s">
        <v>6946</v>
      </c>
      <c r="IZP1" s="69" t="s">
        <v>6947</v>
      </c>
      <c r="IZQ1" s="69" t="s">
        <v>6948</v>
      </c>
      <c r="IZR1" s="69" t="s">
        <v>6949</v>
      </c>
      <c r="IZS1" s="69" t="s">
        <v>6950</v>
      </c>
      <c r="IZT1" s="69" t="s">
        <v>6951</v>
      </c>
      <c r="IZU1" s="69" t="s">
        <v>6952</v>
      </c>
      <c r="IZV1" s="69" t="s">
        <v>6953</v>
      </c>
      <c r="IZW1" s="69" t="s">
        <v>6954</v>
      </c>
      <c r="IZX1" s="69" t="s">
        <v>6955</v>
      </c>
      <c r="IZY1" s="69" t="s">
        <v>6956</v>
      </c>
      <c r="IZZ1" s="69" t="s">
        <v>6957</v>
      </c>
      <c r="JAA1" s="69" t="s">
        <v>6958</v>
      </c>
      <c r="JAB1" s="69" t="s">
        <v>6959</v>
      </c>
      <c r="JAC1" s="69" t="s">
        <v>6960</v>
      </c>
      <c r="JAD1" s="69" t="s">
        <v>6961</v>
      </c>
      <c r="JAE1" s="69" t="s">
        <v>6962</v>
      </c>
      <c r="JAF1" s="69" t="s">
        <v>6963</v>
      </c>
      <c r="JAG1" s="69" t="s">
        <v>6964</v>
      </c>
      <c r="JAH1" s="69" t="s">
        <v>6965</v>
      </c>
      <c r="JAI1" s="69" t="s">
        <v>6966</v>
      </c>
      <c r="JAJ1" s="69" t="s">
        <v>6967</v>
      </c>
      <c r="JAK1" s="69" t="s">
        <v>6968</v>
      </c>
      <c r="JAL1" s="69" t="s">
        <v>6969</v>
      </c>
      <c r="JAM1" s="69" t="s">
        <v>6970</v>
      </c>
      <c r="JAN1" s="69" t="s">
        <v>6971</v>
      </c>
      <c r="JAO1" s="69" t="s">
        <v>6972</v>
      </c>
      <c r="JAP1" s="69" t="s">
        <v>6973</v>
      </c>
      <c r="JAQ1" s="69" t="s">
        <v>6974</v>
      </c>
      <c r="JAR1" s="69" t="s">
        <v>6975</v>
      </c>
      <c r="JAS1" s="69" t="s">
        <v>6976</v>
      </c>
      <c r="JAT1" s="69" t="s">
        <v>6977</v>
      </c>
      <c r="JAU1" s="69" t="s">
        <v>6978</v>
      </c>
      <c r="JAV1" s="69" t="s">
        <v>6979</v>
      </c>
      <c r="JAW1" s="69" t="s">
        <v>6980</v>
      </c>
      <c r="JAX1" s="69" t="s">
        <v>6981</v>
      </c>
      <c r="JAY1" s="69" t="s">
        <v>6982</v>
      </c>
      <c r="JAZ1" s="69" t="s">
        <v>6983</v>
      </c>
      <c r="JBA1" s="69" t="s">
        <v>6984</v>
      </c>
      <c r="JBB1" s="69" t="s">
        <v>6985</v>
      </c>
      <c r="JBC1" s="69" t="s">
        <v>6986</v>
      </c>
      <c r="JBD1" s="69" t="s">
        <v>6987</v>
      </c>
      <c r="JBE1" s="69" t="s">
        <v>6988</v>
      </c>
      <c r="JBF1" s="69" t="s">
        <v>6989</v>
      </c>
      <c r="JBG1" s="69" t="s">
        <v>6990</v>
      </c>
      <c r="JBH1" s="69" t="s">
        <v>6991</v>
      </c>
      <c r="JBI1" s="69" t="s">
        <v>6992</v>
      </c>
      <c r="JBJ1" s="69" t="s">
        <v>6993</v>
      </c>
      <c r="JBK1" s="69" t="s">
        <v>6994</v>
      </c>
      <c r="JBL1" s="69" t="s">
        <v>6995</v>
      </c>
      <c r="JBM1" s="69" t="s">
        <v>6996</v>
      </c>
      <c r="JBN1" s="69" t="s">
        <v>6997</v>
      </c>
      <c r="JBO1" s="69" t="s">
        <v>6998</v>
      </c>
      <c r="JBP1" s="69" t="s">
        <v>6999</v>
      </c>
      <c r="JBQ1" s="69" t="s">
        <v>7000</v>
      </c>
      <c r="JBR1" s="69" t="s">
        <v>7001</v>
      </c>
      <c r="JBS1" s="69" t="s">
        <v>7002</v>
      </c>
      <c r="JBT1" s="69" t="s">
        <v>7003</v>
      </c>
      <c r="JBU1" s="69" t="s">
        <v>7004</v>
      </c>
      <c r="JBV1" s="69" t="s">
        <v>7005</v>
      </c>
      <c r="JBW1" s="69" t="s">
        <v>7006</v>
      </c>
      <c r="JBX1" s="69" t="s">
        <v>7007</v>
      </c>
      <c r="JBY1" s="69" t="s">
        <v>7008</v>
      </c>
      <c r="JBZ1" s="69" t="s">
        <v>7009</v>
      </c>
      <c r="JCA1" s="69" t="s">
        <v>7010</v>
      </c>
      <c r="JCB1" s="69" t="s">
        <v>7011</v>
      </c>
      <c r="JCC1" s="69" t="s">
        <v>7012</v>
      </c>
      <c r="JCD1" s="69" t="s">
        <v>7013</v>
      </c>
      <c r="JCE1" s="69" t="s">
        <v>7014</v>
      </c>
      <c r="JCF1" s="69" t="s">
        <v>7015</v>
      </c>
      <c r="JCG1" s="69" t="s">
        <v>7016</v>
      </c>
      <c r="JCH1" s="69" t="s">
        <v>7017</v>
      </c>
      <c r="JCI1" s="69" t="s">
        <v>7018</v>
      </c>
      <c r="JCJ1" s="69" t="s">
        <v>7019</v>
      </c>
      <c r="JCK1" s="69" t="s">
        <v>7020</v>
      </c>
      <c r="JCL1" s="69" t="s">
        <v>7021</v>
      </c>
      <c r="JCM1" s="69" t="s">
        <v>7022</v>
      </c>
      <c r="JCN1" s="69" t="s">
        <v>7023</v>
      </c>
      <c r="JCO1" s="69" t="s">
        <v>7024</v>
      </c>
      <c r="JCP1" s="69" t="s">
        <v>7025</v>
      </c>
      <c r="JCQ1" s="69" t="s">
        <v>7026</v>
      </c>
      <c r="JCR1" s="69" t="s">
        <v>7027</v>
      </c>
      <c r="JCS1" s="69" t="s">
        <v>7028</v>
      </c>
      <c r="JCT1" s="69" t="s">
        <v>7029</v>
      </c>
      <c r="JCU1" s="69" t="s">
        <v>7030</v>
      </c>
      <c r="JCV1" s="69" t="s">
        <v>7031</v>
      </c>
      <c r="JCW1" s="69" t="s">
        <v>7032</v>
      </c>
      <c r="JCX1" s="69" t="s">
        <v>7033</v>
      </c>
      <c r="JCY1" s="69" t="s">
        <v>7034</v>
      </c>
      <c r="JCZ1" s="69" t="s">
        <v>7035</v>
      </c>
      <c r="JDA1" s="69" t="s">
        <v>7036</v>
      </c>
      <c r="JDB1" s="69" t="s">
        <v>7037</v>
      </c>
      <c r="JDC1" s="69" t="s">
        <v>7038</v>
      </c>
      <c r="JDD1" s="69" t="s">
        <v>7039</v>
      </c>
      <c r="JDE1" s="69" t="s">
        <v>7040</v>
      </c>
      <c r="JDF1" s="69" t="s">
        <v>7041</v>
      </c>
      <c r="JDG1" s="69" t="s">
        <v>7042</v>
      </c>
      <c r="JDH1" s="69" t="s">
        <v>7043</v>
      </c>
      <c r="JDI1" s="69" t="s">
        <v>7044</v>
      </c>
      <c r="JDJ1" s="69" t="s">
        <v>7045</v>
      </c>
      <c r="JDK1" s="69" t="s">
        <v>7046</v>
      </c>
      <c r="JDL1" s="69" t="s">
        <v>7047</v>
      </c>
      <c r="JDM1" s="69" t="s">
        <v>7048</v>
      </c>
      <c r="JDN1" s="69" t="s">
        <v>7049</v>
      </c>
      <c r="JDO1" s="69" t="s">
        <v>7050</v>
      </c>
      <c r="JDP1" s="69" t="s">
        <v>7051</v>
      </c>
      <c r="JDQ1" s="69" t="s">
        <v>7052</v>
      </c>
      <c r="JDR1" s="69" t="s">
        <v>7053</v>
      </c>
      <c r="JDS1" s="69" t="s">
        <v>7054</v>
      </c>
      <c r="JDT1" s="69" t="s">
        <v>7055</v>
      </c>
      <c r="JDU1" s="69" t="s">
        <v>7056</v>
      </c>
      <c r="JDV1" s="69" t="s">
        <v>7057</v>
      </c>
      <c r="JDW1" s="69" t="s">
        <v>7058</v>
      </c>
      <c r="JDX1" s="69" t="s">
        <v>7059</v>
      </c>
      <c r="JDY1" s="69" t="s">
        <v>7060</v>
      </c>
      <c r="JDZ1" s="69" t="s">
        <v>7061</v>
      </c>
      <c r="JEA1" s="69" t="s">
        <v>7062</v>
      </c>
      <c r="JEB1" s="69" t="s">
        <v>7063</v>
      </c>
      <c r="JEC1" s="69" t="s">
        <v>7064</v>
      </c>
      <c r="JED1" s="69" t="s">
        <v>7065</v>
      </c>
      <c r="JEE1" s="69" t="s">
        <v>7066</v>
      </c>
      <c r="JEF1" s="69" t="s">
        <v>7067</v>
      </c>
      <c r="JEG1" s="69" t="s">
        <v>7068</v>
      </c>
      <c r="JEH1" s="69" t="s">
        <v>7069</v>
      </c>
      <c r="JEI1" s="69" t="s">
        <v>7070</v>
      </c>
      <c r="JEJ1" s="69" t="s">
        <v>7071</v>
      </c>
      <c r="JEK1" s="69" t="s">
        <v>7072</v>
      </c>
      <c r="JEL1" s="69" t="s">
        <v>7073</v>
      </c>
      <c r="JEM1" s="69" t="s">
        <v>7074</v>
      </c>
      <c r="JEN1" s="69" t="s">
        <v>7075</v>
      </c>
      <c r="JEO1" s="69" t="s">
        <v>7076</v>
      </c>
      <c r="JEP1" s="69" t="s">
        <v>7077</v>
      </c>
      <c r="JEQ1" s="69" t="s">
        <v>7078</v>
      </c>
      <c r="JER1" s="69" t="s">
        <v>7079</v>
      </c>
      <c r="JES1" s="69" t="s">
        <v>7080</v>
      </c>
      <c r="JET1" s="69" t="s">
        <v>7081</v>
      </c>
      <c r="JEU1" s="69" t="s">
        <v>7082</v>
      </c>
      <c r="JEV1" s="69" t="s">
        <v>7083</v>
      </c>
      <c r="JEW1" s="69" t="s">
        <v>7084</v>
      </c>
      <c r="JEX1" s="69" t="s">
        <v>7085</v>
      </c>
      <c r="JEY1" s="69" t="s">
        <v>7086</v>
      </c>
      <c r="JEZ1" s="69" t="s">
        <v>7087</v>
      </c>
      <c r="JFA1" s="69" t="s">
        <v>7088</v>
      </c>
      <c r="JFB1" s="69" t="s">
        <v>7089</v>
      </c>
      <c r="JFC1" s="69" t="s">
        <v>7090</v>
      </c>
      <c r="JFD1" s="69" t="s">
        <v>7091</v>
      </c>
      <c r="JFE1" s="69" t="s">
        <v>7092</v>
      </c>
      <c r="JFF1" s="69" t="s">
        <v>7093</v>
      </c>
      <c r="JFG1" s="69" t="s">
        <v>7094</v>
      </c>
      <c r="JFH1" s="69" t="s">
        <v>7095</v>
      </c>
      <c r="JFI1" s="69" t="s">
        <v>7096</v>
      </c>
      <c r="JFJ1" s="69" t="s">
        <v>7097</v>
      </c>
      <c r="JFK1" s="69" t="s">
        <v>7098</v>
      </c>
      <c r="JFL1" s="69" t="s">
        <v>7099</v>
      </c>
      <c r="JFM1" s="69" t="s">
        <v>7100</v>
      </c>
      <c r="JFN1" s="69" t="s">
        <v>7101</v>
      </c>
      <c r="JFO1" s="69" t="s">
        <v>7102</v>
      </c>
      <c r="JFP1" s="69" t="s">
        <v>7103</v>
      </c>
      <c r="JFQ1" s="69" t="s">
        <v>7104</v>
      </c>
      <c r="JFR1" s="69" t="s">
        <v>7105</v>
      </c>
      <c r="JFS1" s="69" t="s">
        <v>7106</v>
      </c>
      <c r="JFT1" s="69" t="s">
        <v>7107</v>
      </c>
      <c r="JFU1" s="69" t="s">
        <v>7108</v>
      </c>
      <c r="JFV1" s="69" t="s">
        <v>7109</v>
      </c>
      <c r="JFW1" s="69" t="s">
        <v>7110</v>
      </c>
      <c r="JFX1" s="69" t="s">
        <v>7111</v>
      </c>
      <c r="JFY1" s="69" t="s">
        <v>7112</v>
      </c>
      <c r="JFZ1" s="69" t="s">
        <v>7113</v>
      </c>
      <c r="JGA1" s="69" t="s">
        <v>7114</v>
      </c>
      <c r="JGB1" s="69" t="s">
        <v>7115</v>
      </c>
      <c r="JGC1" s="69" t="s">
        <v>7116</v>
      </c>
      <c r="JGD1" s="69" t="s">
        <v>7117</v>
      </c>
      <c r="JGE1" s="69" t="s">
        <v>7118</v>
      </c>
      <c r="JGF1" s="69" t="s">
        <v>7119</v>
      </c>
      <c r="JGG1" s="69" t="s">
        <v>7120</v>
      </c>
      <c r="JGH1" s="69" t="s">
        <v>7121</v>
      </c>
      <c r="JGI1" s="69" t="s">
        <v>7122</v>
      </c>
      <c r="JGJ1" s="69" t="s">
        <v>7123</v>
      </c>
      <c r="JGK1" s="69" t="s">
        <v>7124</v>
      </c>
      <c r="JGL1" s="69" t="s">
        <v>7125</v>
      </c>
      <c r="JGM1" s="69" t="s">
        <v>7126</v>
      </c>
      <c r="JGN1" s="69" t="s">
        <v>7127</v>
      </c>
      <c r="JGO1" s="69" t="s">
        <v>7128</v>
      </c>
      <c r="JGP1" s="69" t="s">
        <v>7129</v>
      </c>
      <c r="JGQ1" s="69" t="s">
        <v>7130</v>
      </c>
      <c r="JGR1" s="69" t="s">
        <v>7131</v>
      </c>
      <c r="JGS1" s="69" t="s">
        <v>7132</v>
      </c>
      <c r="JGT1" s="69" t="s">
        <v>7133</v>
      </c>
      <c r="JGU1" s="69" t="s">
        <v>7134</v>
      </c>
      <c r="JGV1" s="69" t="s">
        <v>7135</v>
      </c>
      <c r="JGW1" s="69" t="s">
        <v>7136</v>
      </c>
      <c r="JGX1" s="69" t="s">
        <v>7137</v>
      </c>
      <c r="JGY1" s="69" t="s">
        <v>7138</v>
      </c>
      <c r="JGZ1" s="69" t="s">
        <v>7139</v>
      </c>
      <c r="JHA1" s="69" t="s">
        <v>7140</v>
      </c>
      <c r="JHB1" s="69" t="s">
        <v>7141</v>
      </c>
      <c r="JHC1" s="69" t="s">
        <v>7142</v>
      </c>
      <c r="JHD1" s="69" t="s">
        <v>7143</v>
      </c>
      <c r="JHE1" s="69" t="s">
        <v>7144</v>
      </c>
      <c r="JHF1" s="69" t="s">
        <v>7145</v>
      </c>
      <c r="JHG1" s="69" t="s">
        <v>7146</v>
      </c>
      <c r="JHH1" s="69" t="s">
        <v>7147</v>
      </c>
      <c r="JHI1" s="69" t="s">
        <v>7148</v>
      </c>
      <c r="JHJ1" s="69" t="s">
        <v>7149</v>
      </c>
      <c r="JHK1" s="69" t="s">
        <v>7150</v>
      </c>
      <c r="JHL1" s="69" t="s">
        <v>7151</v>
      </c>
      <c r="JHM1" s="69" t="s">
        <v>7152</v>
      </c>
      <c r="JHN1" s="69" t="s">
        <v>7153</v>
      </c>
      <c r="JHO1" s="69" t="s">
        <v>7154</v>
      </c>
      <c r="JHP1" s="69" t="s">
        <v>7155</v>
      </c>
      <c r="JHQ1" s="69" t="s">
        <v>7156</v>
      </c>
      <c r="JHR1" s="69" t="s">
        <v>7157</v>
      </c>
      <c r="JHS1" s="69" t="s">
        <v>7158</v>
      </c>
      <c r="JHT1" s="69" t="s">
        <v>7159</v>
      </c>
      <c r="JHU1" s="69" t="s">
        <v>7160</v>
      </c>
      <c r="JHV1" s="69" t="s">
        <v>7161</v>
      </c>
      <c r="JHW1" s="69" t="s">
        <v>7162</v>
      </c>
      <c r="JHX1" s="69" t="s">
        <v>7163</v>
      </c>
      <c r="JHY1" s="69" t="s">
        <v>7164</v>
      </c>
      <c r="JHZ1" s="69" t="s">
        <v>7165</v>
      </c>
      <c r="JIA1" s="69" t="s">
        <v>7166</v>
      </c>
      <c r="JIB1" s="69" t="s">
        <v>7167</v>
      </c>
      <c r="JIC1" s="69" t="s">
        <v>7168</v>
      </c>
      <c r="JID1" s="69" t="s">
        <v>7169</v>
      </c>
      <c r="JIE1" s="69" t="s">
        <v>7170</v>
      </c>
      <c r="JIF1" s="69" t="s">
        <v>7171</v>
      </c>
      <c r="JIG1" s="69" t="s">
        <v>7172</v>
      </c>
      <c r="JIH1" s="69" t="s">
        <v>7173</v>
      </c>
      <c r="JII1" s="69" t="s">
        <v>7174</v>
      </c>
      <c r="JIJ1" s="69" t="s">
        <v>7175</v>
      </c>
      <c r="JIK1" s="69" t="s">
        <v>7176</v>
      </c>
      <c r="JIL1" s="69" t="s">
        <v>7177</v>
      </c>
      <c r="JIM1" s="69" t="s">
        <v>7178</v>
      </c>
      <c r="JIN1" s="69" t="s">
        <v>7179</v>
      </c>
      <c r="JIO1" s="69" t="s">
        <v>7180</v>
      </c>
      <c r="JIP1" s="69" t="s">
        <v>7181</v>
      </c>
      <c r="JIQ1" s="69" t="s">
        <v>7182</v>
      </c>
      <c r="JIR1" s="69" t="s">
        <v>7183</v>
      </c>
      <c r="JIS1" s="69" t="s">
        <v>7184</v>
      </c>
      <c r="JIT1" s="69" t="s">
        <v>7185</v>
      </c>
      <c r="JIU1" s="69" t="s">
        <v>7186</v>
      </c>
      <c r="JIV1" s="69" t="s">
        <v>7187</v>
      </c>
      <c r="JIW1" s="69" t="s">
        <v>7188</v>
      </c>
      <c r="JIX1" s="69" t="s">
        <v>7189</v>
      </c>
      <c r="JIY1" s="69" t="s">
        <v>7190</v>
      </c>
      <c r="JIZ1" s="69" t="s">
        <v>7191</v>
      </c>
      <c r="JJA1" s="69" t="s">
        <v>7192</v>
      </c>
      <c r="JJB1" s="69" t="s">
        <v>7193</v>
      </c>
      <c r="JJC1" s="69" t="s">
        <v>7194</v>
      </c>
      <c r="JJD1" s="69" t="s">
        <v>7195</v>
      </c>
      <c r="JJE1" s="69" t="s">
        <v>7196</v>
      </c>
      <c r="JJF1" s="69" t="s">
        <v>7197</v>
      </c>
      <c r="JJG1" s="69" t="s">
        <v>7198</v>
      </c>
      <c r="JJH1" s="69" t="s">
        <v>7199</v>
      </c>
      <c r="JJI1" s="69" t="s">
        <v>7200</v>
      </c>
      <c r="JJJ1" s="69" t="s">
        <v>7201</v>
      </c>
      <c r="JJK1" s="69" t="s">
        <v>7202</v>
      </c>
      <c r="JJL1" s="69" t="s">
        <v>7203</v>
      </c>
      <c r="JJM1" s="69" t="s">
        <v>7204</v>
      </c>
      <c r="JJN1" s="69" t="s">
        <v>7205</v>
      </c>
      <c r="JJO1" s="69" t="s">
        <v>7206</v>
      </c>
      <c r="JJP1" s="69" t="s">
        <v>7207</v>
      </c>
      <c r="JJQ1" s="69" t="s">
        <v>7208</v>
      </c>
      <c r="JJR1" s="69" t="s">
        <v>7209</v>
      </c>
      <c r="JJS1" s="69" t="s">
        <v>7210</v>
      </c>
      <c r="JJT1" s="69" t="s">
        <v>7211</v>
      </c>
      <c r="JJU1" s="69" t="s">
        <v>7212</v>
      </c>
      <c r="JJV1" s="69" t="s">
        <v>7213</v>
      </c>
      <c r="JJW1" s="69" t="s">
        <v>7214</v>
      </c>
      <c r="JJX1" s="69" t="s">
        <v>7215</v>
      </c>
      <c r="JJY1" s="69" t="s">
        <v>7216</v>
      </c>
      <c r="JJZ1" s="69" t="s">
        <v>7217</v>
      </c>
      <c r="JKA1" s="69" t="s">
        <v>7218</v>
      </c>
      <c r="JKB1" s="69" t="s">
        <v>7219</v>
      </c>
      <c r="JKC1" s="69" t="s">
        <v>7220</v>
      </c>
      <c r="JKD1" s="69" t="s">
        <v>7221</v>
      </c>
      <c r="JKE1" s="69" t="s">
        <v>7222</v>
      </c>
      <c r="JKF1" s="69" t="s">
        <v>7223</v>
      </c>
      <c r="JKG1" s="69" t="s">
        <v>7224</v>
      </c>
      <c r="JKH1" s="69" t="s">
        <v>7225</v>
      </c>
      <c r="JKI1" s="69" t="s">
        <v>7226</v>
      </c>
      <c r="JKJ1" s="69" t="s">
        <v>7227</v>
      </c>
      <c r="JKK1" s="69" t="s">
        <v>7228</v>
      </c>
      <c r="JKL1" s="69" t="s">
        <v>7229</v>
      </c>
      <c r="JKM1" s="69" t="s">
        <v>7230</v>
      </c>
      <c r="JKN1" s="69" t="s">
        <v>7231</v>
      </c>
      <c r="JKO1" s="69" t="s">
        <v>7232</v>
      </c>
      <c r="JKP1" s="69" t="s">
        <v>7233</v>
      </c>
      <c r="JKQ1" s="69" t="s">
        <v>7234</v>
      </c>
      <c r="JKR1" s="69" t="s">
        <v>7235</v>
      </c>
      <c r="JKS1" s="69" t="s">
        <v>7236</v>
      </c>
      <c r="JKT1" s="69" t="s">
        <v>7237</v>
      </c>
      <c r="JKU1" s="69" t="s">
        <v>7238</v>
      </c>
      <c r="JKV1" s="69" t="s">
        <v>7239</v>
      </c>
      <c r="JKW1" s="69" t="s">
        <v>7240</v>
      </c>
      <c r="JKX1" s="69" t="s">
        <v>7241</v>
      </c>
      <c r="JKY1" s="69" t="s">
        <v>7242</v>
      </c>
      <c r="JKZ1" s="69" t="s">
        <v>7243</v>
      </c>
      <c r="JLA1" s="69" t="s">
        <v>7244</v>
      </c>
      <c r="JLB1" s="69" t="s">
        <v>7245</v>
      </c>
      <c r="JLC1" s="69" t="s">
        <v>7246</v>
      </c>
      <c r="JLD1" s="69" t="s">
        <v>7247</v>
      </c>
      <c r="JLE1" s="69" t="s">
        <v>7248</v>
      </c>
      <c r="JLF1" s="69" t="s">
        <v>7249</v>
      </c>
      <c r="JLG1" s="69" t="s">
        <v>7250</v>
      </c>
      <c r="JLH1" s="69" t="s">
        <v>7251</v>
      </c>
      <c r="JLI1" s="69" t="s">
        <v>7252</v>
      </c>
      <c r="JLJ1" s="69" t="s">
        <v>7253</v>
      </c>
      <c r="JLK1" s="69" t="s">
        <v>7254</v>
      </c>
      <c r="JLL1" s="69" t="s">
        <v>7255</v>
      </c>
      <c r="JLM1" s="69" t="s">
        <v>7256</v>
      </c>
      <c r="JLN1" s="69" t="s">
        <v>7257</v>
      </c>
      <c r="JLO1" s="69" t="s">
        <v>7258</v>
      </c>
      <c r="JLP1" s="69" t="s">
        <v>7259</v>
      </c>
      <c r="JLQ1" s="69" t="s">
        <v>7260</v>
      </c>
      <c r="JLR1" s="69" t="s">
        <v>7261</v>
      </c>
      <c r="JLS1" s="69" t="s">
        <v>7262</v>
      </c>
      <c r="JLT1" s="69" t="s">
        <v>7263</v>
      </c>
      <c r="JLU1" s="69" t="s">
        <v>7264</v>
      </c>
      <c r="JLV1" s="69" t="s">
        <v>7265</v>
      </c>
      <c r="JLW1" s="69" t="s">
        <v>7266</v>
      </c>
      <c r="JLX1" s="69" t="s">
        <v>7267</v>
      </c>
      <c r="JLY1" s="69" t="s">
        <v>7268</v>
      </c>
      <c r="JLZ1" s="69" t="s">
        <v>7269</v>
      </c>
      <c r="JMA1" s="69" t="s">
        <v>7270</v>
      </c>
      <c r="JMB1" s="69" t="s">
        <v>7271</v>
      </c>
      <c r="JMC1" s="69" t="s">
        <v>7272</v>
      </c>
      <c r="JMD1" s="69" t="s">
        <v>7273</v>
      </c>
      <c r="JME1" s="69" t="s">
        <v>7274</v>
      </c>
      <c r="JMF1" s="69" t="s">
        <v>7275</v>
      </c>
      <c r="JMG1" s="69" t="s">
        <v>7276</v>
      </c>
      <c r="JMH1" s="69" t="s">
        <v>7277</v>
      </c>
      <c r="JMI1" s="69" t="s">
        <v>7278</v>
      </c>
      <c r="JMJ1" s="69" t="s">
        <v>7279</v>
      </c>
      <c r="JMK1" s="69" t="s">
        <v>7280</v>
      </c>
      <c r="JML1" s="69" t="s">
        <v>7281</v>
      </c>
      <c r="JMM1" s="69" t="s">
        <v>7282</v>
      </c>
      <c r="JMN1" s="69" t="s">
        <v>7283</v>
      </c>
      <c r="JMO1" s="69" t="s">
        <v>7284</v>
      </c>
      <c r="JMP1" s="69" t="s">
        <v>7285</v>
      </c>
      <c r="JMQ1" s="69" t="s">
        <v>7286</v>
      </c>
      <c r="JMR1" s="69" t="s">
        <v>7287</v>
      </c>
      <c r="JMS1" s="69" t="s">
        <v>7288</v>
      </c>
      <c r="JMT1" s="69" t="s">
        <v>7289</v>
      </c>
      <c r="JMU1" s="69" t="s">
        <v>7290</v>
      </c>
      <c r="JMV1" s="69" t="s">
        <v>7291</v>
      </c>
      <c r="JMW1" s="69" t="s">
        <v>7292</v>
      </c>
      <c r="JMX1" s="69" t="s">
        <v>7293</v>
      </c>
      <c r="JMY1" s="69" t="s">
        <v>7294</v>
      </c>
      <c r="JMZ1" s="69" t="s">
        <v>7295</v>
      </c>
      <c r="JNA1" s="69" t="s">
        <v>7296</v>
      </c>
      <c r="JNB1" s="69" t="s">
        <v>7297</v>
      </c>
      <c r="JNC1" s="69" t="s">
        <v>7298</v>
      </c>
      <c r="JND1" s="69" t="s">
        <v>7299</v>
      </c>
      <c r="JNE1" s="69" t="s">
        <v>7300</v>
      </c>
      <c r="JNF1" s="69" t="s">
        <v>7301</v>
      </c>
      <c r="JNG1" s="69" t="s">
        <v>7302</v>
      </c>
      <c r="JNH1" s="69" t="s">
        <v>7303</v>
      </c>
      <c r="JNI1" s="69" t="s">
        <v>7304</v>
      </c>
      <c r="JNJ1" s="69" t="s">
        <v>7305</v>
      </c>
      <c r="JNK1" s="69" t="s">
        <v>7306</v>
      </c>
      <c r="JNL1" s="69" t="s">
        <v>7307</v>
      </c>
      <c r="JNM1" s="69" t="s">
        <v>7308</v>
      </c>
      <c r="JNN1" s="69" t="s">
        <v>7309</v>
      </c>
      <c r="JNO1" s="69" t="s">
        <v>7310</v>
      </c>
      <c r="JNP1" s="69" t="s">
        <v>7311</v>
      </c>
      <c r="JNQ1" s="69" t="s">
        <v>7312</v>
      </c>
      <c r="JNR1" s="69" t="s">
        <v>7313</v>
      </c>
      <c r="JNS1" s="69" t="s">
        <v>7314</v>
      </c>
      <c r="JNT1" s="69" t="s">
        <v>7315</v>
      </c>
      <c r="JNU1" s="69" t="s">
        <v>7316</v>
      </c>
      <c r="JNV1" s="69" t="s">
        <v>7317</v>
      </c>
      <c r="JNW1" s="69" t="s">
        <v>7318</v>
      </c>
      <c r="JNX1" s="69" t="s">
        <v>7319</v>
      </c>
      <c r="JNY1" s="69" t="s">
        <v>7320</v>
      </c>
      <c r="JNZ1" s="69" t="s">
        <v>7321</v>
      </c>
      <c r="JOA1" s="69" t="s">
        <v>7322</v>
      </c>
      <c r="JOB1" s="69" t="s">
        <v>7323</v>
      </c>
      <c r="JOC1" s="69" t="s">
        <v>7324</v>
      </c>
      <c r="JOD1" s="69" t="s">
        <v>7325</v>
      </c>
      <c r="JOE1" s="69" t="s">
        <v>7326</v>
      </c>
      <c r="JOF1" s="69" t="s">
        <v>7327</v>
      </c>
      <c r="JOG1" s="69" t="s">
        <v>7328</v>
      </c>
      <c r="JOH1" s="69" t="s">
        <v>7329</v>
      </c>
      <c r="JOI1" s="69" t="s">
        <v>7330</v>
      </c>
      <c r="JOJ1" s="69" t="s">
        <v>7331</v>
      </c>
      <c r="JOK1" s="69" t="s">
        <v>7332</v>
      </c>
      <c r="JOL1" s="69" t="s">
        <v>7333</v>
      </c>
      <c r="JOM1" s="69" t="s">
        <v>7334</v>
      </c>
      <c r="JON1" s="69" t="s">
        <v>7335</v>
      </c>
      <c r="JOO1" s="69" t="s">
        <v>7336</v>
      </c>
      <c r="JOP1" s="69" t="s">
        <v>7337</v>
      </c>
      <c r="JOQ1" s="69" t="s">
        <v>7338</v>
      </c>
      <c r="JOR1" s="69" t="s">
        <v>7339</v>
      </c>
      <c r="JOS1" s="69" t="s">
        <v>7340</v>
      </c>
      <c r="JOT1" s="69" t="s">
        <v>7341</v>
      </c>
      <c r="JOU1" s="69" t="s">
        <v>7342</v>
      </c>
      <c r="JOV1" s="69" t="s">
        <v>7343</v>
      </c>
      <c r="JOW1" s="69" t="s">
        <v>7344</v>
      </c>
      <c r="JOX1" s="69" t="s">
        <v>7345</v>
      </c>
      <c r="JOY1" s="69" t="s">
        <v>7346</v>
      </c>
      <c r="JOZ1" s="69" t="s">
        <v>7347</v>
      </c>
      <c r="JPA1" s="69" t="s">
        <v>7348</v>
      </c>
      <c r="JPB1" s="69" t="s">
        <v>7349</v>
      </c>
      <c r="JPC1" s="69" t="s">
        <v>7350</v>
      </c>
      <c r="JPD1" s="69" t="s">
        <v>7351</v>
      </c>
      <c r="JPE1" s="69" t="s">
        <v>7352</v>
      </c>
      <c r="JPF1" s="69" t="s">
        <v>7353</v>
      </c>
      <c r="JPG1" s="69" t="s">
        <v>7354</v>
      </c>
      <c r="JPH1" s="69" t="s">
        <v>7355</v>
      </c>
      <c r="JPI1" s="69" t="s">
        <v>7356</v>
      </c>
      <c r="JPJ1" s="69" t="s">
        <v>7357</v>
      </c>
      <c r="JPK1" s="69" t="s">
        <v>7358</v>
      </c>
      <c r="JPL1" s="69" t="s">
        <v>7359</v>
      </c>
      <c r="JPM1" s="69" t="s">
        <v>7360</v>
      </c>
      <c r="JPN1" s="69" t="s">
        <v>7361</v>
      </c>
      <c r="JPO1" s="69" t="s">
        <v>7362</v>
      </c>
      <c r="JPP1" s="69" t="s">
        <v>7363</v>
      </c>
      <c r="JPQ1" s="69" t="s">
        <v>7364</v>
      </c>
      <c r="JPR1" s="69" t="s">
        <v>7365</v>
      </c>
      <c r="JPS1" s="69" t="s">
        <v>7366</v>
      </c>
      <c r="JPT1" s="69" t="s">
        <v>7367</v>
      </c>
      <c r="JPU1" s="69" t="s">
        <v>7368</v>
      </c>
      <c r="JPV1" s="69" t="s">
        <v>7369</v>
      </c>
      <c r="JPW1" s="69" t="s">
        <v>7370</v>
      </c>
      <c r="JPX1" s="69" t="s">
        <v>7371</v>
      </c>
      <c r="JPY1" s="69" t="s">
        <v>7372</v>
      </c>
      <c r="JPZ1" s="69" t="s">
        <v>7373</v>
      </c>
      <c r="JQA1" s="69" t="s">
        <v>7374</v>
      </c>
      <c r="JQB1" s="69" t="s">
        <v>7375</v>
      </c>
      <c r="JQC1" s="69" t="s">
        <v>7376</v>
      </c>
      <c r="JQD1" s="69" t="s">
        <v>7377</v>
      </c>
      <c r="JQE1" s="69" t="s">
        <v>7378</v>
      </c>
      <c r="JQF1" s="69" t="s">
        <v>7379</v>
      </c>
      <c r="JQG1" s="69" t="s">
        <v>7380</v>
      </c>
      <c r="JQH1" s="69" t="s">
        <v>7381</v>
      </c>
      <c r="JQI1" s="69" t="s">
        <v>7382</v>
      </c>
      <c r="JQJ1" s="69" t="s">
        <v>7383</v>
      </c>
      <c r="JQK1" s="69" t="s">
        <v>7384</v>
      </c>
      <c r="JQL1" s="69" t="s">
        <v>7385</v>
      </c>
      <c r="JQM1" s="69" t="s">
        <v>7386</v>
      </c>
      <c r="JQN1" s="69" t="s">
        <v>7387</v>
      </c>
      <c r="JQO1" s="69" t="s">
        <v>7388</v>
      </c>
      <c r="JQP1" s="69" t="s">
        <v>7389</v>
      </c>
      <c r="JQQ1" s="69" t="s">
        <v>7390</v>
      </c>
      <c r="JQR1" s="69" t="s">
        <v>7391</v>
      </c>
      <c r="JQS1" s="69" t="s">
        <v>7392</v>
      </c>
      <c r="JQT1" s="69" t="s">
        <v>7393</v>
      </c>
      <c r="JQU1" s="69" t="s">
        <v>7394</v>
      </c>
      <c r="JQV1" s="69" t="s">
        <v>7395</v>
      </c>
      <c r="JQW1" s="69" t="s">
        <v>7396</v>
      </c>
      <c r="JQX1" s="69" t="s">
        <v>7397</v>
      </c>
      <c r="JQY1" s="69" t="s">
        <v>7398</v>
      </c>
      <c r="JQZ1" s="69" t="s">
        <v>7399</v>
      </c>
      <c r="JRA1" s="69" t="s">
        <v>7400</v>
      </c>
      <c r="JRB1" s="69" t="s">
        <v>7401</v>
      </c>
      <c r="JRC1" s="69" t="s">
        <v>7402</v>
      </c>
      <c r="JRD1" s="69" t="s">
        <v>7403</v>
      </c>
      <c r="JRE1" s="69" t="s">
        <v>7404</v>
      </c>
      <c r="JRF1" s="69" t="s">
        <v>7405</v>
      </c>
      <c r="JRG1" s="69" t="s">
        <v>7406</v>
      </c>
      <c r="JRH1" s="69" t="s">
        <v>7407</v>
      </c>
      <c r="JRI1" s="69" t="s">
        <v>7408</v>
      </c>
      <c r="JRJ1" s="69" t="s">
        <v>7409</v>
      </c>
      <c r="JRK1" s="69" t="s">
        <v>7410</v>
      </c>
      <c r="JRL1" s="69" t="s">
        <v>7411</v>
      </c>
      <c r="JRM1" s="69" t="s">
        <v>7412</v>
      </c>
      <c r="JRN1" s="69" t="s">
        <v>7413</v>
      </c>
      <c r="JRO1" s="69" t="s">
        <v>7414</v>
      </c>
      <c r="JRP1" s="69" t="s">
        <v>7415</v>
      </c>
      <c r="JRQ1" s="69" t="s">
        <v>7416</v>
      </c>
      <c r="JRR1" s="69" t="s">
        <v>7417</v>
      </c>
      <c r="JRS1" s="69" t="s">
        <v>7418</v>
      </c>
      <c r="JRT1" s="69" t="s">
        <v>7419</v>
      </c>
      <c r="JRU1" s="69" t="s">
        <v>7420</v>
      </c>
      <c r="JRV1" s="69" t="s">
        <v>7421</v>
      </c>
      <c r="JRW1" s="69" t="s">
        <v>7422</v>
      </c>
      <c r="JRX1" s="69" t="s">
        <v>7423</v>
      </c>
      <c r="JRY1" s="69" t="s">
        <v>7424</v>
      </c>
      <c r="JRZ1" s="69" t="s">
        <v>7425</v>
      </c>
      <c r="JSA1" s="69" t="s">
        <v>7426</v>
      </c>
      <c r="JSB1" s="69" t="s">
        <v>7427</v>
      </c>
      <c r="JSC1" s="69" t="s">
        <v>7428</v>
      </c>
      <c r="JSD1" s="69" t="s">
        <v>7429</v>
      </c>
      <c r="JSE1" s="69" t="s">
        <v>7430</v>
      </c>
      <c r="JSF1" s="69" t="s">
        <v>7431</v>
      </c>
      <c r="JSG1" s="69" t="s">
        <v>7432</v>
      </c>
      <c r="JSH1" s="69" t="s">
        <v>7433</v>
      </c>
      <c r="JSI1" s="69" t="s">
        <v>7434</v>
      </c>
      <c r="JSJ1" s="69" t="s">
        <v>7435</v>
      </c>
      <c r="JSK1" s="69" t="s">
        <v>7436</v>
      </c>
      <c r="JSL1" s="69" t="s">
        <v>7437</v>
      </c>
      <c r="JSM1" s="69" t="s">
        <v>7438</v>
      </c>
      <c r="JSN1" s="69" t="s">
        <v>7439</v>
      </c>
      <c r="JSO1" s="69" t="s">
        <v>7440</v>
      </c>
      <c r="JSP1" s="69" t="s">
        <v>7441</v>
      </c>
      <c r="JSQ1" s="69" t="s">
        <v>7442</v>
      </c>
      <c r="JSR1" s="69" t="s">
        <v>7443</v>
      </c>
      <c r="JSS1" s="69" t="s">
        <v>7444</v>
      </c>
      <c r="JST1" s="69" t="s">
        <v>7445</v>
      </c>
      <c r="JSU1" s="69" t="s">
        <v>7446</v>
      </c>
      <c r="JSV1" s="69" t="s">
        <v>7447</v>
      </c>
      <c r="JSW1" s="69" t="s">
        <v>7448</v>
      </c>
      <c r="JSX1" s="69" t="s">
        <v>7449</v>
      </c>
      <c r="JSY1" s="69" t="s">
        <v>7450</v>
      </c>
      <c r="JSZ1" s="69" t="s">
        <v>7451</v>
      </c>
      <c r="JTA1" s="69" t="s">
        <v>7452</v>
      </c>
      <c r="JTB1" s="69" t="s">
        <v>7453</v>
      </c>
      <c r="JTC1" s="69" t="s">
        <v>7454</v>
      </c>
      <c r="JTD1" s="69" t="s">
        <v>7455</v>
      </c>
      <c r="JTE1" s="69" t="s">
        <v>7456</v>
      </c>
      <c r="JTF1" s="69" t="s">
        <v>7457</v>
      </c>
      <c r="JTG1" s="69" t="s">
        <v>7458</v>
      </c>
      <c r="JTH1" s="69" t="s">
        <v>7459</v>
      </c>
      <c r="JTI1" s="69" t="s">
        <v>7460</v>
      </c>
      <c r="JTJ1" s="69" t="s">
        <v>7461</v>
      </c>
      <c r="JTK1" s="69" t="s">
        <v>7462</v>
      </c>
      <c r="JTL1" s="69" t="s">
        <v>7463</v>
      </c>
      <c r="JTM1" s="69" t="s">
        <v>7464</v>
      </c>
      <c r="JTN1" s="69" t="s">
        <v>7465</v>
      </c>
      <c r="JTO1" s="69" t="s">
        <v>7466</v>
      </c>
      <c r="JTP1" s="69" t="s">
        <v>7467</v>
      </c>
      <c r="JTQ1" s="69" t="s">
        <v>7468</v>
      </c>
      <c r="JTR1" s="69" t="s">
        <v>7469</v>
      </c>
      <c r="JTS1" s="69" t="s">
        <v>7470</v>
      </c>
      <c r="JTT1" s="69" t="s">
        <v>7471</v>
      </c>
      <c r="JTU1" s="69" t="s">
        <v>7472</v>
      </c>
      <c r="JTV1" s="69" t="s">
        <v>7473</v>
      </c>
      <c r="JTW1" s="69" t="s">
        <v>7474</v>
      </c>
      <c r="JTX1" s="69" t="s">
        <v>7475</v>
      </c>
      <c r="JTY1" s="69" t="s">
        <v>7476</v>
      </c>
      <c r="JTZ1" s="69" t="s">
        <v>7477</v>
      </c>
      <c r="JUA1" s="69" t="s">
        <v>7478</v>
      </c>
      <c r="JUB1" s="69" t="s">
        <v>7479</v>
      </c>
      <c r="JUC1" s="69" t="s">
        <v>7480</v>
      </c>
      <c r="JUD1" s="69" t="s">
        <v>7481</v>
      </c>
      <c r="JUE1" s="69" t="s">
        <v>7482</v>
      </c>
      <c r="JUF1" s="69" t="s">
        <v>7483</v>
      </c>
      <c r="JUG1" s="69" t="s">
        <v>7484</v>
      </c>
      <c r="JUH1" s="69" t="s">
        <v>7485</v>
      </c>
      <c r="JUI1" s="69" t="s">
        <v>7486</v>
      </c>
      <c r="JUJ1" s="69" t="s">
        <v>7487</v>
      </c>
      <c r="JUK1" s="69" t="s">
        <v>7488</v>
      </c>
      <c r="JUL1" s="69" t="s">
        <v>7489</v>
      </c>
      <c r="JUM1" s="69" t="s">
        <v>7490</v>
      </c>
      <c r="JUN1" s="69" t="s">
        <v>7491</v>
      </c>
      <c r="JUO1" s="69" t="s">
        <v>7492</v>
      </c>
      <c r="JUP1" s="69" t="s">
        <v>7493</v>
      </c>
      <c r="JUQ1" s="69" t="s">
        <v>7494</v>
      </c>
      <c r="JUR1" s="69" t="s">
        <v>7495</v>
      </c>
      <c r="JUS1" s="69" t="s">
        <v>7496</v>
      </c>
      <c r="JUT1" s="69" t="s">
        <v>7497</v>
      </c>
      <c r="JUU1" s="69" t="s">
        <v>7498</v>
      </c>
      <c r="JUV1" s="69" t="s">
        <v>7499</v>
      </c>
      <c r="JUW1" s="69" t="s">
        <v>7500</v>
      </c>
      <c r="JUX1" s="69" t="s">
        <v>7501</v>
      </c>
      <c r="JUY1" s="69" t="s">
        <v>7502</v>
      </c>
      <c r="JUZ1" s="69" t="s">
        <v>7503</v>
      </c>
      <c r="JVA1" s="69" t="s">
        <v>7504</v>
      </c>
      <c r="JVB1" s="69" t="s">
        <v>7505</v>
      </c>
      <c r="JVC1" s="69" t="s">
        <v>7506</v>
      </c>
      <c r="JVD1" s="69" t="s">
        <v>7507</v>
      </c>
      <c r="JVE1" s="69" t="s">
        <v>7508</v>
      </c>
      <c r="JVF1" s="69" t="s">
        <v>7509</v>
      </c>
      <c r="JVG1" s="69" t="s">
        <v>7510</v>
      </c>
      <c r="JVH1" s="69" t="s">
        <v>7511</v>
      </c>
      <c r="JVI1" s="69" t="s">
        <v>7512</v>
      </c>
      <c r="JVJ1" s="69" t="s">
        <v>7513</v>
      </c>
      <c r="JVK1" s="69" t="s">
        <v>7514</v>
      </c>
      <c r="JVL1" s="69" t="s">
        <v>7515</v>
      </c>
      <c r="JVM1" s="69" t="s">
        <v>7516</v>
      </c>
      <c r="JVN1" s="69" t="s">
        <v>7517</v>
      </c>
      <c r="JVO1" s="69" t="s">
        <v>7518</v>
      </c>
      <c r="JVP1" s="69" t="s">
        <v>7519</v>
      </c>
      <c r="JVQ1" s="69" t="s">
        <v>7520</v>
      </c>
      <c r="JVR1" s="69" t="s">
        <v>7521</v>
      </c>
      <c r="JVS1" s="69" t="s">
        <v>7522</v>
      </c>
      <c r="JVT1" s="69" t="s">
        <v>7523</v>
      </c>
      <c r="JVU1" s="69" t="s">
        <v>7524</v>
      </c>
      <c r="JVV1" s="69" t="s">
        <v>7525</v>
      </c>
      <c r="JVW1" s="69" t="s">
        <v>7526</v>
      </c>
      <c r="JVX1" s="69" t="s">
        <v>7527</v>
      </c>
      <c r="JVY1" s="69" t="s">
        <v>7528</v>
      </c>
      <c r="JVZ1" s="69" t="s">
        <v>7529</v>
      </c>
      <c r="JWA1" s="69" t="s">
        <v>7530</v>
      </c>
      <c r="JWB1" s="69" t="s">
        <v>7531</v>
      </c>
      <c r="JWC1" s="69" t="s">
        <v>7532</v>
      </c>
      <c r="JWD1" s="69" t="s">
        <v>7533</v>
      </c>
      <c r="JWE1" s="69" t="s">
        <v>7534</v>
      </c>
      <c r="JWF1" s="69" t="s">
        <v>7535</v>
      </c>
      <c r="JWG1" s="69" t="s">
        <v>7536</v>
      </c>
      <c r="JWH1" s="69" t="s">
        <v>7537</v>
      </c>
      <c r="JWI1" s="69" t="s">
        <v>7538</v>
      </c>
      <c r="JWJ1" s="69" t="s">
        <v>7539</v>
      </c>
      <c r="JWK1" s="69" t="s">
        <v>7540</v>
      </c>
      <c r="JWL1" s="69" t="s">
        <v>7541</v>
      </c>
      <c r="JWM1" s="69" t="s">
        <v>7542</v>
      </c>
      <c r="JWN1" s="69" t="s">
        <v>7543</v>
      </c>
      <c r="JWO1" s="69" t="s">
        <v>7544</v>
      </c>
      <c r="JWP1" s="69" t="s">
        <v>7545</v>
      </c>
      <c r="JWQ1" s="69" t="s">
        <v>7546</v>
      </c>
      <c r="JWR1" s="69" t="s">
        <v>7547</v>
      </c>
      <c r="JWS1" s="69" t="s">
        <v>7548</v>
      </c>
      <c r="JWT1" s="69" t="s">
        <v>7549</v>
      </c>
      <c r="JWU1" s="69" t="s">
        <v>7550</v>
      </c>
      <c r="JWV1" s="69" t="s">
        <v>7551</v>
      </c>
      <c r="JWW1" s="69" t="s">
        <v>7552</v>
      </c>
      <c r="JWX1" s="69" t="s">
        <v>7553</v>
      </c>
      <c r="JWY1" s="69" t="s">
        <v>7554</v>
      </c>
      <c r="JWZ1" s="69" t="s">
        <v>7555</v>
      </c>
      <c r="JXA1" s="69" t="s">
        <v>7556</v>
      </c>
      <c r="JXB1" s="69" t="s">
        <v>7557</v>
      </c>
      <c r="JXC1" s="69" t="s">
        <v>7558</v>
      </c>
      <c r="JXD1" s="69" t="s">
        <v>7559</v>
      </c>
      <c r="JXE1" s="69" t="s">
        <v>7560</v>
      </c>
      <c r="JXF1" s="69" t="s">
        <v>7561</v>
      </c>
      <c r="JXG1" s="69" t="s">
        <v>7562</v>
      </c>
      <c r="JXH1" s="69" t="s">
        <v>7563</v>
      </c>
      <c r="JXI1" s="69" t="s">
        <v>7564</v>
      </c>
      <c r="JXJ1" s="69" t="s">
        <v>7565</v>
      </c>
      <c r="JXK1" s="69" t="s">
        <v>7566</v>
      </c>
      <c r="JXL1" s="69" t="s">
        <v>7567</v>
      </c>
      <c r="JXM1" s="69" t="s">
        <v>7568</v>
      </c>
      <c r="JXN1" s="69" t="s">
        <v>7569</v>
      </c>
      <c r="JXO1" s="69" t="s">
        <v>7570</v>
      </c>
      <c r="JXP1" s="69" t="s">
        <v>7571</v>
      </c>
      <c r="JXQ1" s="69" t="s">
        <v>7572</v>
      </c>
      <c r="JXR1" s="69" t="s">
        <v>7573</v>
      </c>
      <c r="JXS1" s="69" t="s">
        <v>7574</v>
      </c>
      <c r="JXT1" s="69" t="s">
        <v>7575</v>
      </c>
      <c r="JXU1" s="69" t="s">
        <v>7576</v>
      </c>
      <c r="JXV1" s="69" t="s">
        <v>7577</v>
      </c>
      <c r="JXW1" s="69" t="s">
        <v>7578</v>
      </c>
      <c r="JXX1" s="69" t="s">
        <v>7579</v>
      </c>
      <c r="JXY1" s="69" t="s">
        <v>7580</v>
      </c>
      <c r="JXZ1" s="69" t="s">
        <v>7581</v>
      </c>
      <c r="JYA1" s="69" t="s">
        <v>7582</v>
      </c>
      <c r="JYB1" s="69" t="s">
        <v>7583</v>
      </c>
      <c r="JYC1" s="69" t="s">
        <v>7584</v>
      </c>
      <c r="JYD1" s="69" t="s">
        <v>7585</v>
      </c>
      <c r="JYE1" s="69" t="s">
        <v>7586</v>
      </c>
      <c r="JYF1" s="69" t="s">
        <v>7587</v>
      </c>
      <c r="JYG1" s="69" t="s">
        <v>7588</v>
      </c>
      <c r="JYH1" s="69" t="s">
        <v>7589</v>
      </c>
      <c r="JYI1" s="69" t="s">
        <v>7590</v>
      </c>
      <c r="JYJ1" s="69" t="s">
        <v>7591</v>
      </c>
      <c r="JYK1" s="69" t="s">
        <v>7592</v>
      </c>
      <c r="JYL1" s="69" t="s">
        <v>7593</v>
      </c>
      <c r="JYM1" s="69" t="s">
        <v>7594</v>
      </c>
      <c r="JYN1" s="69" t="s">
        <v>7595</v>
      </c>
      <c r="JYO1" s="69" t="s">
        <v>7596</v>
      </c>
      <c r="JYP1" s="69" t="s">
        <v>7597</v>
      </c>
      <c r="JYQ1" s="69" t="s">
        <v>7598</v>
      </c>
      <c r="JYR1" s="69" t="s">
        <v>7599</v>
      </c>
      <c r="JYS1" s="69" t="s">
        <v>7600</v>
      </c>
      <c r="JYT1" s="69" t="s">
        <v>7601</v>
      </c>
      <c r="JYU1" s="69" t="s">
        <v>7602</v>
      </c>
      <c r="JYV1" s="69" t="s">
        <v>7603</v>
      </c>
      <c r="JYW1" s="69" t="s">
        <v>7604</v>
      </c>
      <c r="JYX1" s="69" t="s">
        <v>7605</v>
      </c>
      <c r="JYY1" s="69" t="s">
        <v>7606</v>
      </c>
      <c r="JYZ1" s="69" t="s">
        <v>7607</v>
      </c>
      <c r="JZA1" s="69" t="s">
        <v>7608</v>
      </c>
      <c r="JZB1" s="69" t="s">
        <v>7609</v>
      </c>
      <c r="JZC1" s="69" t="s">
        <v>7610</v>
      </c>
      <c r="JZD1" s="69" t="s">
        <v>7611</v>
      </c>
      <c r="JZE1" s="69" t="s">
        <v>7612</v>
      </c>
      <c r="JZF1" s="69" t="s">
        <v>7613</v>
      </c>
      <c r="JZG1" s="69" t="s">
        <v>7614</v>
      </c>
      <c r="JZH1" s="69" t="s">
        <v>7615</v>
      </c>
      <c r="JZI1" s="69" t="s">
        <v>7616</v>
      </c>
      <c r="JZJ1" s="69" t="s">
        <v>7617</v>
      </c>
      <c r="JZK1" s="69" t="s">
        <v>7618</v>
      </c>
      <c r="JZL1" s="69" t="s">
        <v>7619</v>
      </c>
      <c r="JZM1" s="69" t="s">
        <v>7620</v>
      </c>
      <c r="JZN1" s="69" t="s">
        <v>7621</v>
      </c>
      <c r="JZO1" s="69" t="s">
        <v>7622</v>
      </c>
      <c r="JZP1" s="69" t="s">
        <v>7623</v>
      </c>
      <c r="JZQ1" s="69" t="s">
        <v>7624</v>
      </c>
      <c r="JZR1" s="69" t="s">
        <v>7625</v>
      </c>
      <c r="JZS1" s="69" t="s">
        <v>7626</v>
      </c>
      <c r="JZT1" s="69" t="s">
        <v>7627</v>
      </c>
      <c r="JZU1" s="69" t="s">
        <v>7628</v>
      </c>
      <c r="JZV1" s="69" t="s">
        <v>7629</v>
      </c>
      <c r="JZW1" s="69" t="s">
        <v>7630</v>
      </c>
      <c r="JZX1" s="69" t="s">
        <v>7631</v>
      </c>
      <c r="JZY1" s="69" t="s">
        <v>7632</v>
      </c>
      <c r="JZZ1" s="69" t="s">
        <v>7633</v>
      </c>
      <c r="KAA1" s="69" t="s">
        <v>7634</v>
      </c>
      <c r="KAB1" s="69" t="s">
        <v>7635</v>
      </c>
      <c r="KAC1" s="69" t="s">
        <v>7636</v>
      </c>
      <c r="KAD1" s="69" t="s">
        <v>7637</v>
      </c>
      <c r="KAE1" s="69" t="s">
        <v>7638</v>
      </c>
      <c r="KAF1" s="69" t="s">
        <v>7639</v>
      </c>
      <c r="KAG1" s="69" t="s">
        <v>7640</v>
      </c>
      <c r="KAH1" s="69" t="s">
        <v>7641</v>
      </c>
      <c r="KAI1" s="69" t="s">
        <v>7642</v>
      </c>
      <c r="KAJ1" s="69" t="s">
        <v>7643</v>
      </c>
      <c r="KAK1" s="69" t="s">
        <v>7644</v>
      </c>
      <c r="KAL1" s="69" t="s">
        <v>7645</v>
      </c>
      <c r="KAM1" s="69" t="s">
        <v>7646</v>
      </c>
      <c r="KAN1" s="69" t="s">
        <v>7647</v>
      </c>
      <c r="KAO1" s="69" t="s">
        <v>7648</v>
      </c>
      <c r="KAP1" s="69" t="s">
        <v>7649</v>
      </c>
      <c r="KAQ1" s="69" t="s">
        <v>7650</v>
      </c>
      <c r="KAR1" s="69" t="s">
        <v>7651</v>
      </c>
      <c r="KAS1" s="69" t="s">
        <v>7652</v>
      </c>
      <c r="KAT1" s="69" t="s">
        <v>7653</v>
      </c>
      <c r="KAU1" s="69" t="s">
        <v>7654</v>
      </c>
      <c r="KAV1" s="69" t="s">
        <v>7655</v>
      </c>
      <c r="KAW1" s="69" t="s">
        <v>7656</v>
      </c>
      <c r="KAX1" s="69" t="s">
        <v>7657</v>
      </c>
      <c r="KAY1" s="69" t="s">
        <v>7658</v>
      </c>
      <c r="KAZ1" s="69" t="s">
        <v>7659</v>
      </c>
      <c r="KBA1" s="69" t="s">
        <v>7660</v>
      </c>
      <c r="KBB1" s="69" t="s">
        <v>7661</v>
      </c>
      <c r="KBC1" s="69" t="s">
        <v>7662</v>
      </c>
      <c r="KBD1" s="69" t="s">
        <v>7663</v>
      </c>
      <c r="KBE1" s="69" t="s">
        <v>7664</v>
      </c>
      <c r="KBF1" s="69" t="s">
        <v>7665</v>
      </c>
      <c r="KBG1" s="69" t="s">
        <v>7666</v>
      </c>
      <c r="KBH1" s="69" t="s">
        <v>7667</v>
      </c>
      <c r="KBI1" s="69" t="s">
        <v>7668</v>
      </c>
      <c r="KBJ1" s="69" t="s">
        <v>7669</v>
      </c>
      <c r="KBK1" s="69" t="s">
        <v>7670</v>
      </c>
      <c r="KBL1" s="69" t="s">
        <v>7671</v>
      </c>
      <c r="KBM1" s="69" t="s">
        <v>7672</v>
      </c>
      <c r="KBN1" s="69" t="s">
        <v>7673</v>
      </c>
      <c r="KBO1" s="69" t="s">
        <v>7674</v>
      </c>
      <c r="KBP1" s="69" t="s">
        <v>7675</v>
      </c>
      <c r="KBQ1" s="69" t="s">
        <v>7676</v>
      </c>
      <c r="KBR1" s="69" t="s">
        <v>7677</v>
      </c>
      <c r="KBS1" s="69" t="s">
        <v>7678</v>
      </c>
      <c r="KBT1" s="69" t="s">
        <v>7679</v>
      </c>
      <c r="KBU1" s="69" t="s">
        <v>7680</v>
      </c>
      <c r="KBV1" s="69" t="s">
        <v>7681</v>
      </c>
      <c r="KBW1" s="69" t="s">
        <v>7682</v>
      </c>
      <c r="KBX1" s="69" t="s">
        <v>7683</v>
      </c>
      <c r="KBY1" s="69" t="s">
        <v>7684</v>
      </c>
      <c r="KBZ1" s="69" t="s">
        <v>7685</v>
      </c>
      <c r="KCA1" s="69" t="s">
        <v>7686</v>
      </c>
      <c r="KCB1" s="69" t="s">
        <v>7687</v>
      </c>
      <c r="KCC1" s="69" t="s">
        <v>7688</v>
      </c>
      <c r="KCD1" s="69" t="s">
        <v>7689</v>
      </c>
      <c r="KCE1" s="69" t="s">
        <v>7690</v>
      </c>
      <c r="KCF1" s="69" t="s">
        <v>7691</v>
      </c>
      <c r="KCG1" s="69" t="s">
        <v>7692</v>
      </c>
      <c r="KCH1" s="69" t="s">
        <v>7693</v>
      </c>
      <c r="KCI1" s="69" t="s">
        <v>7694</v>
      </c>
      <c r="KCJ1" s="69" t="s">
        <v>7695</v>
      </c>
      <c r="KCK1" s="69" t="s">
        <v>7696</v>
      </c>
      <c r="KCL1" s="69" t="s">
        <v>7697</v>
      </c>
      <c r="KCM1" s="69" t="s">
        <v>7698</v>
      </c>
      <c r="KCN1" s="69" t="s">
        <v>7699</v>
      </c>
      <c r="KCO1" s="69" t="s">
        <v>7700</v>
      </c>
      <c r="KCP1" s="69" t="s">
        <v>7701</v>
      </c>
      <c r="KCQ1" s="69" t="s">
        <v>7702</v>
      </c>
      <c r="KCR1" s="69" t="s">
        <v>7703</v>
      </c>
      <c r="KCS1" s="69" t="s">
        <v>7704</v>
      </c>
      <c r="KCT1" s="69" t="s">
        <v>7705</v>
      </c>
      <c r="KCU1" s="69" t="s">
        <v>7706</v>
      </c>
      <c r="KCV1" s="69" t="s">
        <v>7707</v>
      </c>
      <c r="KCW1" s="69" t="s">
        <v>7708</v>
      </c>
      <c r="KCX1" s="69" t="s">
        <v>7709</v>
      </c>
      <c r="KCY1" s="69" t="s">
        <v>7710</v>
      </c>
      <c r="KCZ1" s="69" t="s">
        <v>7711</v>
      </c>
      <c r="KDA1" s="69" t="s">
        <v>7712</v>
      </c>
      <c r="KDB1" s="69" t="s">
        <v>7713</v>
      </c>
      <c r="KDC1" s="69" t="s">
        <v>7714</v>
      </c>
      <c r="KDD1" s="69" t="s">
        <v>7715</v>
      </c>
      <c r="KDE1" s="69" t="s">
        <v>7716</v>
      </c>
      <c r="KDF1" s="69" t="s">
        <v>7717</v>
      </c>
      <c r="KDG1" s="69" t="s">
        <v>7718</v>
      </c>
      <c r="KDH1" s="69" t="s">
        <v>7719</v>
      </c>
      <c r="KDI1" s="69" t="s">
        <v>7720</v>
      </c>
      <c r="KDJ1" s="69" t="s">
        <v>7721</v>
      </c>
      <c r="KDK1" s="69" t="s">
        <v>7722</v>
      </c>
      <c r="KDL1" s="69" t="s">
        <v>7723</v>
      </c>
      <c r="KDM1" s="69" t="s">
        <v>7724</v>
      </c>
      <c r="KDN1" s="69" t="s">
        <v>7725</v>
      </c>
      <c r="KDO1" s="69" t="s">
        <v>7726</v>
      </c>
      <c r="KDP1" s="69" t="s">
        <v>7727</v>
      </c>
      <c r="KDQ1" s="69" t="s">
        <v>7728</v>
      </c>
      <c r="KDR1" s="69" t="s">
        <v>7729</v>
      </c>
      <c r="KDS1" s="69" t="s">
        <v>7730</v>
      </c>
      <c r="KDT1" s="69" t="s">
        <v>7731</v>
      </c>
      <c r="KDU1" s="69" t="s">
        <v>7732</v>
      </c>
      <c r="KDV1" s="69" t="s">
        <v>7733</v>
      </c>
      <c r="KDW1" s="69" t="s">
        <v>7734</v>
      </c>
      <c r="KDX1" s="69" t="s">
        <v>7735</v>
      </c>
      <c r="KDY1" s="69" t="s">
        <v>7736</v>
      </c>
      <c r="KDZ1" s="69" t="s">
        <v>7737</v>
      </c>
      <c r="KEA1" s="69" t="s">
        <v>7738</v>
      </c>
      <c r="KEB1" s="69" t="s">
        <v>7739</v>
      </c>
      <c r="KEC1" s="69" t="s">
        <v>7740</v>
      </c>
      <c r="KED1" s="69" t="s">
        <v>7741</v>
      </c>
      <c r="KEE1" s="69" t="s">
        <v>7742</v>
      </c>
      <c r="KEF1" s="69" t="s">
        <v>7743</v>
      </c>
      <c r="KEG1" s="69" t="s">
        <v>7744</v>
      </c>
      <c r="KEH1" s="69" t="s">
        <v>7745</v>
      </c>
      <c r="KEI1" s="69" t="s">
        <v>7746</v>
      </c>
      <c r="KEJ1" s="69" t="s">
        <v>7747</v>
      </c>
      <c r="KEK1" s="69" t="s">
        <v>7748</v>
      </c>
      <c r="KEL1" s="69" t="s">
        <v>7749</v>
      </c>
      <c r="KEM1" s="69" t="s">
        <v>7750</v>
      </c>
      <c r="KEN1" s="69" t="s">
        <v>7751</v>
      </c>
      <c r="KEO1" s="69" t="s">
        <v>7752</v>
      </c>
      <c r="KEP1" s="69" t="s">
        <v>7753</v>
      </c>
      <c r="KEQ1" s="69" t="s">
        <v>7754</v>
      </c>
      <c r="KER1" s="69" t="s">
        <v>7755</v>
      </c>
      <c r="KES1" s="69" t="s">
        <v>7756</v>
      </c>
      <c r="KET1" s="69" t="s">
        <v>7757</v>
      </c>
      <c r="KEU1" s="69" t="s">
        <v>7758</v>
      </c>
      <c r="KEV1" s="69" t="s">
        <v>7759</v>
      </c>
      <c r="KEW1" s="69" t="s">
        <v>7760</v>
      </c>
      <c r="KEX1" s="69" t="s">
        <v>7761</v>
      </c>
      <c r="KEY1" s="69" t="s">
        <v>7762</v>
      </c>
      <c r="KEZ1" s="69" t="s">
        <v>7763</v>
      </c>
      <c r="KFA1" s="69" t="s">
        <v>7764</v>
      </c>
      <c r="KFB1" s="69" t="s">
        <v>7765</v>
      </c>
      <c r="KFC1" s="69" t="s">
        <v>7766</v>
      </c>
      <c r="KFD1" s="69" t="s">
        <v>7767</v>
      </c>
      <c r="KFE1" s="69" t="s">
        <v>7768</v>
      </c>
      <c r="KFF1" s="69" t="s">
        <v>7769</v>
      </c>
      <c r="KFG1" s="69" t="s">
        <v>7770</v>
      </c>
      <c r="KFH1" s="69" t="s">
        <v>7771</v>
      </c>
      <c r="KFI1" s="69" t="s">
        <v>7772</v>
      </c>
      <c r="KFJ1" s="69" t="s">
        <v>7773</v>
      </c>
      <c r="KFK1" s="69" t="s">
        <v>7774</v>
      </c>
      <c r="KFL1" s="69" t="s">
        <v>7775</v>
      </c>
      <c r="KFM1" s="69" t="s">
        <v>7776</v>
      </c>
      <c r="KFN1" s="69" t="s">
        <v>7777</v>
      </c>
      <c r="KFO1" s="69" t="s">
        <v>7778</v>
      </c>
      <c r="KFP1" s="69" t="s">
        <v>7779</v>
      </c>
      <c r="KFQ1" s="69" t="s">
        <v>7780</v>
      </c>
      <c r="KFR1" s="69" t="s">
        <v>7781</v>
      </c>
      <c r="KFS1" s="69" t="s">
        <v>7782</v>
      </c>
      <c r="KFT1" s="69" t="s">
        <v>7783</v>
      </c>
      <c r="KFU1" s="69" t="s">
        <v>7784</v>
      </c>
      <c r="KFV1" s="69" t="s">
        <v>7785</v>
      </c>
      <c r="KFW1" s="69" t="s">
        <v>7786</v>
      </c>
      <c r="KFX1" s="69" t="s">
        <v>7787</v>
      </c>
      <c r="KFY1" s="69" t="s">
        <v>7788</v>
      </c>
      <c r="KFZ1" s="69" t="s">
        <v>7789</v>
      </c>
      <c r="KGA1" s="69" t="s">
        <v>7790</v>
      </c>
      <c r="KGB1" s="69" t="s">
        <v>7791</v>
      </c>
      <c r="KGC1" s="69" t="s">
        <v>7792</v>
      </c>
      <c r="KGD1" s="69" t="s">
        <v>7793</v>
      </c>
      <c r="KGE1" s="69" t="s">
        <v>7794</v>
      </c>
      <c r="KGF1" s="69" t="s">
        <v>7795</v>
      </c>
      <c r="KGG1" s="69" t="s">
        <v>7796</v>
      </c>
      <c r="KGH1" s="69" t="s">
        <v>7797</v>
      </c>
      <c r="KGI1" s="69" t="s">
        <v>7798</v>
      </c>
      <c r="KGJ1" s="69" t="s">
        <v>7799</v>
      </c>
      <c r="KGK1" s="69" t="s">
        <v>7800</v>
      </c>
      <c r="KGL1" s="69" t="s">
        <v>7801</v>
      </c>
      <c r="KGM1" s="69" t="s">
        <v>7802</v>
      </c>
      <c r="KGN1" s="69" t="s">
        <v>7803</v>
      </c>
      <c r="KGO1" s="69" t="s">
        <v>7804</v>
      </c>
      <c r="KGP1" s="69" t="s">
        <v>7805</v>
      </c>
      <c r="KGQ1" s="69" t="s">
        <v>7806</v>
      </c>
      <c r="KGR1" s="69" t="s">
        <v>7807</v>
      </c>
      <c r="KGS1" s="69" t="s">
        <v>7808</v>
      </c>
      <c r="KGT1" s="69" t="s">
        <v>7809</v>
      </c>
      <c r="KGU1" s="69" t="s">
        <v>7810</v>
      </c>
      <c r="KGV1" s="69" t="s">
        <v>7811</v>
      </c>
      <c r="KGW1" s="69" t="s">
        <v>7812</v>
      </c>
      <c r="KGX1" s="69" t="s">
        <v>7813</v>
      </c>
      <c r="KGY1" s="69" t="s">
        <v>7814</v>
      </c>
      <c r="KGZ1" s="69" t="s">
        <v>7815</v>
      </c>
      <c r="KHA1" s="69" t="s">
        <v>7816</v>
      </c>
      <c r="KHB1" s="69" t="s">
        <v>7817</v>
      </c>
      <c r="KHC1" s="69" t="s">
        <v>7818</v>
      </c>
      <c r="KHD1" s="69" t="s">
        <v>7819</v>
      </c>
      <c r="KHE1" s="69" t="s">
        <v>7820</v>
      </c>
      <c r="KHF1" s="69" t="s">
        <v>7821</v>
      </c>
      <c r="KHG1" s="69" t="s">
        <v>7822</v>
      </c>
      <c r="KHH1" s="69" t="s">
        <v>7823</v>
      </c>
      <c r="KHI1" s="69" t="s">
        <v>7824</v>
      </c>
      <c r="KHJ1" s="69" t="s">
        <v>7825</v>
      </c>
      <c r="KHK1" s="69" t="s">
        <v>7826</v>
      </c>
      <c r="KHL1" s="69" t="s">
        <v>7827</v>
      </c>
      <c r="KHM1" s="69" t="s">
        <v>7828</v>
      </c>
      <c r="KHN1" s="69" t="s">
        <v>7829</v>
      </c>
      <c r="KHO1" s="69" t="s">
        <v>7830</v>
      </c>
      <c r="KHP1" s="69" t="s">
        <v>7831</v>
      </c>
      <c r="KHQ1" s="69" t="s">
        <v>7832</v>
      </c>
      <c r="KHR1" s="69" t="s">
        <v>7833</v>
      </c>
      <c r="KHS1" s="69" t="s">
        <v>7834</v>
      </c>
      <c r="KHT1" s="69" t="s">
        <v>7835</v>
      </c>
      <c r="KHU1" s="69" t="s">
        <v>7836</v>
      </c>
      <c r="KHV1" s="69" t="s">
        <v>7837</v>
      </c>
      <c r="KHW1" s="69" t="s">
        <v>7838</v>
      </c>
      <c r="KHX1" s="69" t="s">
        <v>7839</v>
      </c>
      <c r="KHY1" s="69" t="s">
        <v>7840</v>
      </c>
      <c r="KHZ1" s="69" t="s">
        <v>7841</v>
      </c>
      <c r="KIA1" s="69" t="s">
        <v>7842</v>
      </c>
      <c r="KIB1" s="69" t="s">
        <v>7843</v>
      </c>
      <c r="KIC1" s="69" t="s">
        <v>7844</v>
      </c>
      <c r="KID1" s="69" t="s">
        <v>7845</v>
      </c>
      <c r="KIE1" s="69" t="s">
        <v>7846</v>
      </c>
      <c r="KIF1" s="69" t="s">
        <v>7847</v>
      </c>
      <c r="KIG1" s="69" t="s">
        <v>7848</v>
      </c>
      <c r="KIH1" s="69" t="s">
        <v>7849</v>
      </c>
      <c r="KII1" s="69" t="s">
        <v>7850</v>
      </c>
      <c r="KIJ1" s="69" t="s">
        <v>7851</v>
      </c>
      <c r="KIK1" s="69" t="s">
        <v>7852</v>
      </c>
      <c r="KIL1" s="69" t="s">
        <v>7853</v>
      </c>
      <c r="KIM1" s="69" t="s">
        <v>7854</v>
      </c>
      <c r="KIN1" s="69" t="s">
        <v>7855</v>
      </c>
      <c r="KIO1" s="69" t="s">
        <v>7856</v>
      </c>
      <c r="KIP1" s="69" t="s">
        <v>7857</v>
      </c>
      <c r="KIQ1" s="69" t="s">
        <v>7858</v>
      </c>
      <c r="KIR1" s="69" t="s">
        <v>7859</v>
      </c>
      <c r="KIS1" s="69" t="s">
        <v>7860</v>
      </c>
      <c r="KIT1" s="69" t="s">
        <v>7861</v>
      </c>
      <c r="KIU1" s="69" t="s">
        <v>7862</v>
      </c>
      <c r="KIV1" s="69" t="s">
        <v>7863</v>
      </c>
      <c r="KIW1" s="69" t="s">
        <v>7864</v>
      </c>
      <c r="KIX1" s="69" t="s">
        <v>7865</v>
      </c>
      <c r="KIY1" s="69" t="s">
        <v>7866</v>
      </c>
      <c r="KIZ1" s="69" t="s">
        <v>7867</v>
      </c>
      <c r="KJA1" s="69" t="s">
        <v>7868</v>
      </c>
      <c r="KJB1" s="69" t="s">
        <v>7869</v>
      </c>
      <c r="KJC1" s="69" t="s">
        <v>7870</v>
      </c>
      <c r="KJD1" s="69" t="s">
        <v>7871</v>
      </c>
      <c r="KJE1" s="69" t="s">
        <v>7872</v>
      </c>
      <c r="KJF1" s="69" t="s">
        <v>7873</v>
      </c>
      <c r="KJG1" s="69" t="s">
        <v>7874</v>
      </c>
      <c r="KJH1" s="69" t="s">
        <v>7875</v>
      </c>
      <c r="KJI1" s="69" t="s">
        <v>7876</v>
      </c>
      <c r="KJJ1" s="69" t="s">
        <v>7877</v>
      </c>
      <c r="KJK1" s="69" t="s">
        <v>7878</v>
      </c>
      <c r="KJL1" s="69" t="s">
        <v>7879</v>
      </c>
      <c r="KJM1" s="69" t="s">
        <v>7880</v>
      </c>
      <c r="KJN1" s="69" t="s">
        <v>7881</v>
      </c>
      <c r="KJO1" s="69" t="s">
        <v>7882</v>
      </c>
      <c r="KJP1" s="69" t="s">
        <v>7883</v>
      </c>
      <c r="KJQ1" s="69" t="s">
        <v>7884</v>
      </c>
      <c r="KJR1" s="69" t="s">
        <v>7885</v>
      </c>
      <c r="KJS1" s="69" t="s">
        <v>7886</v>
      </c>
      <c r="KJT1" s="69" t="s">
        <v>7887</v>
      </c>
      <c r="KJU1" s="69" t="s">
        <v>7888</v>
      </c>
      <c r="KJV1" s="69" t="s">
        <v>7889</v>
      </c>
      <c r="KJW1" s="69" t="s">
        <v>7890</v>
      </c>
      <c r="KJX1" s="69" t="s">
        <v>7891</v>
      </c>
      <c r="KJY1" s="69" t="s">
        <v>7892</v>
      </c>
      <c r="KJZ1" s="69" t="s">
        <v>7893</v>
      </c>
      <c r="KKA1" s="69" t="s">
        <v>7894</v>
      </c>
      <c r="KKB1" s="69" t="s">
        <v>7895</v>
      </c>
      <c r="KKC1" s="69" t="s">
        <v>7896</v>
      </c>
      <c r="KKD1" s="69" t="s">
        <v>7897</v>
      </c>
      <c r="KKE1" s="69" t="s">
        <v>7898</v>
      </c>
      <c r="KKF1" s="69" t="s">
        <v>7899</v>
      </c>
      <c r="KKG1" s="69" t="s">
        <v>7900</v>
      </c>
      <c r="KKH1" s="69" t="s">
        <v>7901</v>
      </c>
      <c r="KKI1" s="69" t="s">
        <v>7902</v>
      </c>
      <c r="KKJ1" s="69" t="s">
        <v>7903</v>
      </c>
      <c r="KKK1" s="69" t="s">
        <v>7904</v>
      </c>
      <c r="KKL1" s="69" t="s">
        <v>7905</v>
      </c>
      <c r="KKM1" s="69" t="s">
        <v>7906</v>
      </c>
      <c r="KKN1" s="69" t="s">
        <v>7907</v>
      </c>
      <c r="KKO1" s="69" t="s">
        <v>7908</v>
      </c>
      <c r="KKP1" s="69" t="s">
        <v>7909</v>
      </c>
      <c r="KKQ1" s="69" t="s">
        <v>7910</v>
      </c>
      <c r="KKR1" s="69" t="s">
        <v>7911</v>
      </c>
      <c r="KKS1" s="69" t="s">
        <v>7912</v>
      </c>
      <c r="KKT1" s="69" t="s">
        <v>7913</v>
      </c>
      <c r="KKU1" s="69" t="s">
        <v>7914</v>
      </c>
      <c r="KKV1" s="69" t="s">
        <v>7915</v>
      </c>
      <c r="KKW1" s="69" t="s">
        <v>7916</v>
      </c>
      <c r="KKX1" s="69" t="s">
        <v>7917</v>
      </c>
      <c r="KKY1" s="69" t="s">
        <v>7918</v>
      </c>
      <c r="KKZ1" s="69" t="s">
        <v>7919</v>
      </c>
      <c r="KLA1" s="69" t="s">
        <v>7920</v>
      </c>
      <c r="KLB1" s="69" t="s">
        <v>7921</v>
      </c>
      <c r="KLC1" s="69" t="s">
        <v>7922</v>
      </c>
      <c r="KLD1" s="69" t="s">
        <v>7923</v>
      </c>
      <c r="KLE1" s="69" t="s">
        <v>7924</v>
      </c>
      <c r="KLF1" s="69" t="s">
        <v>7925</v>
      </c>
      <c r="KLG1" s="69" t="s">
        <v>7926</v>
      </c>
      <c r="KLH1" s="69" t="s">
        <v>7927</v>
      </c>
      <c r="KLI1" s="69" t="s">
        <v>7928</v>
      </c>
      <c r="KLJ1" s="69" t="s">
        <v>7929</v>
      </c>
      <c r="KLK1" s="69" t="s">
        <v>7930</v>
      </c>
      <c r="KLL1" s="69" t="s">
        <v>7931</v>
      </c>
      <c r="KLM1" s="69" t="s">
        <v>7932</v>
      </c>
      <c r="KLN1" s="69" t="s">
        <v>7933</v>
      </c>
      <c r="KLO1" s="69" t="s">
        <v>7934</v>
      </c>
      <c r="KLP1" s="69" t="s">
        <v>7935</v>
      </c>
      <c r="KLQ1" s="69" t="s">
        <v>7936</v>
      </c>
      <c r="KLR1" s="69" t="s">
        <v>7937</v>
      </c>
      <c r="KLS1" s="69" t="s">
        <v>7938</v>
      </c>
      <c r="KLT1" s="69" t="s">
        <v>7939</v>
      </c>
      <c r="KLU1" s="69" t="s">
        <v>7940</v>
      </c>
      <c r="KLV1" s="69" t="s">
        <v>7941</v>
      </c>
      <c r="KLW1" s="69" t="s">
        <v>7942</v>
      </c>
      <c r="KLX1" s="69" t="s">
        <v>7943</v>
      </c>
      <c r="KLY1" s="69" t="s">
        <v>7944</v>
      </c>
      <c r="KLZ1" s="69" t="s">
        <v>7945</v>
      </c>
      <c r="KMA1" s="69" t="s">
        <v>7946</v>
      </c>
      <c r="KMB1" s="69" t="s">
        <v>7947</v>
      </c>
      <c r="KMC1" s="69" t="s">
        <v>7948</v>
      </c>
      <c r="KMD1" s="69" t="s">
        <v>7949</v>
      </c>
      <c r="KME1" s="69" t="s">
        <v>7950</v>
      </c>
      <c r="KMF1" s="69" t="s">
        <v>7951</v>
      </c>
      <c r="KMG1" s="69" t="s">
        <v>7952</v>
      </c>
      <c r="KMH1" s="69" t="s">
        <v>7953</v>
      </c>
      <c r="KMI1" s="69" t="s">
        <v>7954</v>
      </c>
      <c r="KMJ1" s="69" t="s">
        <v>7955</v>
      </c>
      <c r="KMK1" s="69" t="s">
        <v>7956</v>
      </c>
      <c r="KML1" s="69" t="s">
        <v>7957</v>
      </c>
      <c r="KMM1" s="69" t="s">
        <v>7958</v>
      </c>
      <c r="KMN1" s="69" t="s">
        <v>7959</v>
      </c>
      <c r="KMO1" s="69" t="s">
        <v>7960</v>
      </c>
      <c r="KMP1" s="69" t="s">
        <v>7961</v>
      </c>
      <c r="KMQ1" s="69" t="s">
        <v>7962</v>
      </c>
      <c r="KMR1" s="69" t="s">
        <v>7963</v>
      </c>
      <c r="KMS1" s="69" t="s">
        <v>7964</v>
      </c>
      <c r="KMT1" s="69" t="s">
        <v>7965</v>
      </c>
      <c r="KMU1" s="69" t="s">
        <v>7966</v>
      </c>
      <c r="KMV1" s="69" t="s">
        <v>7967</v>
      </c>
      <c r="KMW1" s="69" t="s">
        <v>7968</v>
      </c>
      <c r="KMX1" s="69" t="s">
        <v>7969</v>
      </c>
      <c r="KMY1" s="69" t="s">
        <v>7970</v>
      </c>
      <c r="KMZ1" s="69" t="s">
        <v>7971</v>
      </c>
      <c r="KNA1" s="69" t="s">
        <v>7972</v>
      </c>
      <c r="KNB1" s="69" t="s">
        <v>7973</v>
      </c>
      <c r="KNC1" s="69" t="s">
        <v>7974</v>
      </c>
      <c r="KND1" s="69" t="s">
        <v>7975</v>
      </c>
      <c r="KNE1" s="69" t="s">
        <v>7976</v>
      </c>
      <c r="KNF1" s="69" t="s">
        <v>7977</v>
      </c>
      <c r="KNG1" s="69" t="s">
        <v>7978</v>
      </c>
      <c r="KNH1" s="69" t="s">
        <v>7979</v>
      </c>
      <c r="KNI1" s="69" t="s">
        <v>7980</v>
      </c>
      <c r="KNJ1" s="69" t="s">
        <v>7981</v>
      </c>
      <c r="KNK1" s="69" t="s">
        <v>7982</v>
      </c>
      <c r="KNL1" s="69" t="s">
        <v>7983</v>
      </c>
      <c r="KNM1" s="69" t="s">
        <v>7984</v>
      </c>
      <c r="KNN1" s="69" t="s">
        <v>7985</v>
      </c>
      <c r="KNO1" s="69" t="s">
        <v>7986</v>
      </c>
      <c r="KNP1" s="69" t="s">
        <v>7987</v>
      </c>
      <c r="KNQ1" s="69" t="s">
        <v>7988</v>
      </c>
      <c r="KNR1" s="69" t="s">
        <v>7989</v>
      </c>
      <c r="KNS1" s="69" t="s">
        <v>7990</v>
      </c>
      <c r="KNT1" s="69" t="s">
        <v>7991</v>
      </c>
      <c r="KNU1" s="69" t="s">
        <v>7992</v>
      </c>
      <c r="KNV1" s="69" t="s">
        <v>7993</v>
      </c>
      <c r="KNW1" s="69" t="s">
        <v>7994</v>
      </c>
      <c r="KNX1" s="69" t="s">
        <v>7995</v>
      </c>
      <c r="KNY1" s="69" t="s">
        <v>7996</v>
      </c>
      <c r="KNZ1" s="69" t="s">
        <v>7997</v>
      </c>
      <c r="KOA1" s="69" t="s">
        <v>7998</v>
      </c>
      <c r="KOB1" s="69" t="s">
        <v>7999</v>
      </c>
      <c r="KOC1" s="69" t="s">
        <v>8000</v>
      </c>
      <c r="KOD1" s="69" t="s">
        <v>8001</v>
      </c>
      <c r="KOE1" s="69" t="s">
        <v>8002</v>
      </c>
      <c r="KOF1" s="69" t="s">
        <v>8003</v>
      </c>
      <c r="KOG1" s="69" t="s">
        <v>8004</v>
      </c>
      <c r="KOH1" s="69" t="s">
        <v>8005</v>
      </c>
      <c r="KOI1" s="69" t="s">
        <v>8006</v>
      </c>
      <c r="KOJ1" s="69" t="s">
        <v>8007</v>
      </c>
      <c r="KOK1" s="69" t="s">
        <v>8008</v>
      </c>
      <c r="KOL1" s="69" t="s">
        <v>8009</v>
      </c>
      <c r="KOM1" s="69" t="s">
        <v>8010</v>
      </c>
      <c r="KON1" s="69" t="s">
        <v>8011</v>
      </c>
      <c r="KOO1" s="69" t="s">
        <v>8012</v>
      </c>
      <c r="KOP1" s="69" t="s">
        <v>8013</v>
      </c>
      <c r="KOQ1" s="69" t="s">
        <v>8014</v>
      </c>
      <c r="KOR1" s="69" t="s">
        <v>8015</v>
      </c>
      <c r="KOS1" s="69" t="s">
        <v>8016</v>
      </c>
      <c r="KOT1" s="69" t="s">
        <v>8017</v>
      </c>
      <c r="KOU1" s="69" t="s">
        <v>8018</v>
      </c>
      <c r="KOV1" s="69" t="s">
        <v>8019</v>
      </c>
      <c r="KOW1" s="69" t="s">
        <v>8020</v>
      </c>
      <c r="KOX1" s="69" t="s">
        <v>8021</v>
      </c>
      <c r="KOY1" s="69" t="s">
        <v>8022</v>
      </c>
      <c r="KOZ1" s="69" t="s">
        <v>8023</v>
      </c>
      <c r="KPA1" s="69" t="s">
        <v>8024</v>
      </c>
      <c r="KPB1" s="69" t="s">
        <v>8025</v>
      </c>
      <c r="KPC1" s="69" t="s">
        <v>8026</v>
      </c>
      <c r="KPD1" s="69" t="s">
        <v>8027</v>
      </c>
      <c r="KPE1" s="69" t="s">
        <v>8028</v>
      </c>
      <c r="KPF1" s="69" t="s">
        <v>8029</v>
      </c>
      <c r="KPG1" s="69" t="s">
        <v>8030</v>
      </c>
      <c r="KPH1" s="69" t="s">
        <v>8031</v>
      </c>
      <c r="KPI1" s="69" t="s">
        <v>8032</v>
      </c>
      <c r="KPJ1" s="69" t="s">
        <v>8033</v>
      </c>
      <c r="KPK1" s="69" t="s">
        <v>8034</v>
      </c>
      <c r="KPL1" s="69" t="s">
        <v>8035</v>
      </c>
      <c r="KPM1" s="69" t="s">
        <v>8036</v>
      </c>
      <c r="KPN1" s="69" t="s">
        <v>8037</v>
      </c>
      <c r="KPO1" s="69" t="s">
        <v>8038</v>
      </c>
      <c r="KPP1" s="69" t="s">
        <v>8039</v>
      </c>
      <c r="KPQ1" s="69" t="s">
        <v>8040</v>
      </c>
      <c r="KPR1" s="69" t="s">
        <v>8041</v>
      </c>
      <c r="KPS1" s="69" t="s">
        <v>8042</v>
      </c>
      <c r="KPT1" s="69" t="s">
        <v>8043</v>
      </c>
      <c r="KPU1" s="69" t="s">
        <v>8044</v>
      </c>
      <c r="KPV1" s="69" t="s">
        <v>8045</v>
      </c>
      <c r="KPW1" s="69" t="s">
        <v>8046</v>
      </c>
      <c r="KPX1" s="69" t="s">
        <v>8047</v>
      </c>
      <c r="KPY1" s="69" t="s">
        <v>8048</v>
      </c>
      <c r="KPZ1" s="69" t="s">
        <v>8049</v>
      </c>
      <c r="KQA1" s="69" t="s">
        <v>8050</v>
      </c>
      <c r="KQB1" s="69" t="s">
        <v>8051</v>
      </c>
      <c r="KQC1" s="69" t="s">
        <v>8052</v>
      </c>
      <c r="KQD1" s="69" t="s">
        <v>8053</v>
      </c>
      <c r="KQE1" s="69" t="s">
        <v>8054</v>
      </c>
      <c r="KQF1" s="69" t="s">
        <v>8055</v>
      </c>
      <c r="KQG1" s="69" t="s">
        <v>8056</v>
      </c>
      <c r="KQH1" s="69" t="s">
        <v>8057</v>
      </c>
      <c r="KQI1" s="69" t="s">
        <v>8058</v>
      </c>
      <c r="KQJ1" s="69" t="s">
        <v>8059</v>
      </c>
      <c r="KQK1" s="69" t="s">
        <v>8060</v>
      </c>
      <c r="KQL1" s="69" t="s">
        <v>8061</v>
      </c>
      <c r="KQM1" s="69" t="s">
        <v>8062</v>
      </c>
      <c r="KQN1" s="69" t="s">
        <v>8063</v>
      </c>
      <c r="KQO1" s="69" t="s">
        <v>8064</v>
      </c>
      <c r="KQP1" s="69" t="s">
        <v>8065</v>
      </c>
      <c r="KQQ1" s="69" t="s">
        <v>8066</v>
      </c>
      <c r="KQR1" s="69" t="s">
        <v>8067</v>
      </c>
      <c r="KQS1" s="69" t="s">
        <v>8068</v>
      </c>
      <c r="KQT1" s="69" t="s">
        <v>8069</v>
      </c>
      <c r="KQU1" s="69" t="s">
        <v>8070</v>
      </c>
      <c r="KQV1" s="69" t="s">
        <v>8071</v>
      </c>
      <c r="KQW1" s="69" t="s">
        <v>8072</v>
      </c>
      <c r="KQX1" s="69" t="s">
        <v>8073</v>
      </c>
      <c r="KQY1" s="69" t="s">
        <v>8074</v>
      </c>
      <c r="KQZ1" s="69" t="s">
        <v>8075</v>
      </c>
      <c r="KRA1" s="69" t="s">
        <v>8076</v>
      </c>
      <c r="KRB1" s="69" t="s">
        <v>8077</v>
      </c>
      <c r="KRC1" s="69" t="s">
        <v>8078</v>
      </c>
      <c r="KRD1" s="69" t="s">
        <v>8079</v>
      </c>
      <c r="KRE1" s="69" t="s">
        <v>8080</v>
      </c>
      <c r="KRF1" s="69" t="s">
        <v>8081</v>
      </c>
      <c r="KRG1" s="69" t="s">
        <v>8082</v>
      </c>
      <c r="KRH1" s="69" t="s">
        <v>8083</v>
      </c>
      <c r="KRI1" s="69" t="s">
        <v>8084</v>
      </c>
      <c r="KRJ1" s="69" t="s">
        <v>8085</v>
      </c>
      <c r="KRK1" s="69" t="s">
        <v>8086</v>
      </c>
      <c r="KRL1" s="69" t="s">
        <v>8087</v>
      </c>
      <c r="KRM1" s="69" t="s">
        <v>8088</v>
      </c>
      <c r="KRN1" s="69" t="s">
        <v>8089</v>
      </c>
      <c r="KRO1" s="69" t="s">
        <v>8090</v>
      </c>
      <c r="KRP1" s="69" t="s">
        <v>8091</v>
      </c>
      <c r="KRQ1" s="69" t="s">
        <v>8092</v>
      </c>
      <c r="KRR1" s="69" t="s">
        <v>8093</v>
      </c>
      <c r="KRS1" s="69" t="s">
        <v>8094</v>
      </c>
      <c r="KRT1" s="69" t="s">
        <v>8095</v>
      </c>
      <c r="KRU1" s="69" t="s">
        <v>8096</v>
      </c>
      <c r="KRV1" s="69" t="s">
        <v>8097</v>
      </c>
      <c r="KRW1" s="69" t="s">
        <v>8098</v>
      </c>
      <c r="KRX1" s="69" t="s">
        <v>8099</v>
      </c>
      <c r="KRY1" s="69" t="s">
        <v>8100</v>
      </c>
      <c r="KRZ1" s="69" t="s">
        <v>8101</v>
      </c>
      <c r="KSA1" s="69" t="s">
        <v>8102</v>
      </c>
      <c r="KSB1" s="69" t="s">
        <v>8103</v>
      </c>
      <c r="KSC1" s="69" t="s">
        <v>8104</v>
      </c>
      <c r="KSD1" s="69" t="s">
        <v>8105</v>
      </c>
      <c r="KSE1" s="69" t="s">
        <v>8106</v>
      </c>
      <c r="KSF1" s="69" t="s">
        <v>8107</v>
      </c>
      <c r="KSG1" s="69" t="s">
        <v>8108</v>
      </c>
      <c r="KSH1" s="69" t="s">
        <v>8109</v>
      </c>
      <c r="KSI1" s="69" t="s">
        <v>8110</v>
      </c>
      <c r="KSJ1" s="69" t="s">
        <v>8111</v>
      </c>
      <c r="KSK1" s="69" t="s">
        <v>8112</v>
      </c>
      <c r="KSL1" s="69" t="s">
        <v>8113</v>
      </c>
      <c r="KSM1" s="69" t="s">
        <v>8114</v>
      </c>
      <c r="KSN1" s="69" t="s">
        <v>8115</v>
      </c>
      <c r="KSO1" s="69" t="s">
        <v>8116</v>
      </c>
      <c r="KSP1" s="69" t="s">
        <v>8117</v>
      </c>
      <c r="KSQ1" s="69" t="s">
        <v>8118</v>
      </c>
      <c r="KSR1" s="69" t="s">
        <v>8119</v>
      </c>
      <c r="KSS1" s="69" t="s">
        <v>8120</v>
      </c>
      <c r="KST1" s="69" t="s">
        <v>8121</v>
      </c>
      <c r="KSU1" s="69" t="s">
        <v>8122</v>
      </c>
      <c r="KSV1" s="69" t="s">
        <v>8123</v>
      </c>
      <c r="KSW1" s="69" t="s">
        <v>8124</v>
      </c>
      <c r="KSX1" s="69" t="s">
        <v>8125</v>
      </c>
      <c r="KSY1" s="69" t="s">
        <v>8126</v>
      </c>
      <c r="KSZ1" s="69" t="s">
        <v>8127</v>
      </c>
      <c r="KTA1" s="69" t="s">
        <v>8128</v>
      </c>
      <c r="KTB1" s="69" t="s">
        <v>8129</v>
      </c>
      <c r="KTC1" s="69" t="s">
        <v>8130</v>
      </c>
      <c r="KTD1" s="69" t="s">
        <v>8131</v>
      </c>
      <c r="KTE1" s="69" t="s">
        <v>8132</v>
      </c>
      <c r="KTF1" s="69" t="s">
        <v>8133</v>
      </c>
      <c r="KTG1" s="69" t="s">
        <v>8134</v>
      </c>
      <c r="KTH1" s="69" t="s">
        <v>8135</v>
      </c>
      <c r="KTI1" s="69" t="s">
        <v>8136</v>
      </c>
      <c r="KTJ1" s="69" t="s">
        <v>8137</v>
      </c>
      <c r="KTK1" s="69" t="s">
        <v>8138</v>
      </c>
      <c r="KTL1" s="69" t="s">
        <v>8139</v>
      </c>
      <c r="KTM1" s="69" t="s">
        <v>8140</v>
      </c>
      <c r="KTN1" s="69" t="s">
        <v>8141</v>
      </c>
      <c r="KTO1" s="69" t="s">
        <v>8142</v>
      </c>
      <c r="KTP1" s="69" t="s">
        <v>8143</v>
      </c>
      <c r="KTQ1" s="69" t="s">
        <v>8144</v>
      </c>
      <c r="KTR1" s="69" t="s">
        <v>8145</v>
      </c>
      <c r="KTS1" s="69" t="s">
        <v>8146</v>
      </c>
      <c r="KTT1" s="69" t="s">
        <v>8147</v>
      </c>
      <c r="KTU1" s="69" t="s">
        <v>8148</v>
      </c>
      <c r="KTV1" s="69" t="s">
        <v>8149</v>
      </c>
      <c r="KTW1" s="69" t="s">
        <v>8150</v>
      </c>
      <c r="KTX1" s="69" t="s">
        <v>8151</v>
      </c>
      <c r="KTY1" s="69" t="s">
        <v>8152</v>
      </c>
      <c r="KTZ1" s="69" t="s">
        <v>8153</v>
      </c>
      <c r="KUA1" s="69" t="s">
        <v>8154</v>
      </c>
      <c r="KUB1" s="69" t="s">
        <v>8155</v>
      </c>
      <c r="KUC1" s="69" t="s">
        <v>8156</v>
      </c>
      <c r="KUD1" s="69" t="s">
        <v>8157</v>
      </c>
      <c r="KUE1" s="69" t="s">
        <v>8158</v>
      </c>
      <c r="KUF1" s="69" t="s">
        <v>8159</v>
      </c>
      <c r="KUG1" s="69" t="s">
        <v>8160</v>
      </c>
      <c r="KUH1" s="69" t="s">
        <v>8161</v>
      </c>
      <c r="KUI1" s="69" t="s">
        <v>8162</v>
      </c>
      <c r="KUJ1" s="69" t="s">
        <v>8163</v>
      </c>
      <c r="KUK1" s="69" t="s">
        <v>8164</v>
      </c>
      <c r="KUL1" s="69" t="s">
        <v>8165</v>
      </c>
      <c r="KUM1" s="69" t="s">
        <v>8166</v>
      </c>
      <c r="KUN1" s="69" t="s">
        <v>8167</v>
      </c>
      <c r="KUO1" s="69" t="s">
        <v>8168</v>
      </c>
      <c r="KUP1" s="69" t="s">
        <v>8169</v>
      </c>
      <c r="KUQ1" s="69" t="s">
        <v>8170</v>
      </c>
      <c r="KUR1" s="69" t="s">
        <v>8171</v>
      </c>
      <c r="KUS1" s="69" t="s">
        <v>8172</v>
      </c>
      <c r="KUT1" s="69" t="s">
        <v>8173</v>
      </c>
      <c r="KUU1" s="69" t="s">
        <v>8174</v>
      </c>
      <c r="KUV1" s="69" t="s">
        <v>8175</v>
      </c>
      <c r="KUW1" s="69" t="s">
        <v>8176</v>
      </c>
      <c r="KUX1" s="69" t="s">
        <v>8177</v>
      </c>
      <c r="KUY1" s="69" t="s">
        <v>8178</v>
      </c>
      <c r="KUZ1" s="69" t="s">
        <v>8179</v>
      </c>
      <c r="KVA1" s="69" t="s">
        <v>8180</v>
      </c>
      <c r="KVB1" s="69" t="s">
        <v>8181</v>
      </c>
      <c r="KVC1" s="69" t="s">
        <v>8182</v>
      </c>
      <c r="KVD1" s="69" t="s">
        <v>8183</v>
      </c>
      <c r="KVE1" s="69" t="s">
        <v>8184</v>
      </c>
      <c r="KVF1" s="69" t="s">
        <v>8185</v>
      </c>
      <c r="KVG1" s="69" t="s">
        <v>8186</v>
      </c>
      <c r="KVH1" s="69" t="s">
        <v>8187</v>
      </c>
      <c r="KVI1" s="69" t="s">
        <v>8188</v>
      </c>
      <c r="KVJ1" s="69" t="s">
        <v>8189</v>
      </c>
      <c r="KVK1" s="69" t="s">
        <v>8190</v>
      </c>
      <c r="KVL1" s="69" t="s">
        <v>8191</v>
      </c>
      <c r="KVM1" s="69" t="s">
        <v>8192</v>
      </c>
      <c r="KVN1" s="69" t="s">
        <v>8193</v>
      </c>
      <c r="KVO1" s="69" t="s">
        <v>8194</v>
      </c>
      <c r="KVP1" s="69" t="s">
        <v>8195</v>
      </c>
      <c r="KVQ1" s="69" t="s">
        <v>8196</v>
      </c>
      <c r="KVR1" s="69" t="s">
        <v>8197</v>
      </c>
      <c r="KVS1" s="69" t="s">
        <v>8198</v>
      </c>
      <c r="KVT1" s="69" t="s">
        <v>8199</v>
      </c>
      <c r="KVU1" s="69" t="s">
        <v>8200</v>
      </c>
      <c r="KVV1" s="69" t="s">
        <v>8201</v>
      </c>
      <c r="KVW1" s="69" t="s">
        <v>8202</v>
      </c>
      <c r="KVX1" s="69" t="s">
        <v>8203</v>
      </c>
      <c r="KVY1" s="69" t="s">
        <v>8204</v>
      </c>
      <c r="KVZ1" s="69" t="s">
        <v>8205</v>
      </c>
      <c r="KWA1" s="69" t="s">
        <v>8206</v>
      </c>
      <c r="KWB1" s="69" t="s">
        <v>8207</v>
      </c>
      <c r="KWC1" s="69" t="s">
        <v>8208</v>
      </c>
      <c r="KWD1" s="69" t="s">
        <v>8209</v>
      </c>
      <c r="KWE1" s="69" t="s">
        <v>8210</v>
      </c>
      <c r="KWF1" s="69" t="s">
        <v>8211</v>
      </c>
      <c r="KWG1" s="69" t="s">
        <v>8212</v>
      </c>
      <c r="KWH1" s="69" t="s">
        <v>8213</v>
      </c>
      <c r="KWI1" s="69" t="s">
        <v>8214</v>
      </c>
      <c r="KWJ1" s="69" t="s">
        <v>8215</v>
      </c>
      <c r="KWK1" s="69" t="s">
        <v>8216</v>
      </c>
      <c r="KWL1" s="69" t="s">
        <v>8217</v>
      </c>
      <c r="KWM1" s="69" t="s">
        <v>8218</v>
      </c>
      <c r="KWN1" s="69" t="s">
        <v>8219</v>
      </c>
      <c r="KWO1" s="69" t="s">
        <v>8220</v>
      </c>
      <c r="KWP1" s="69" t="s">
        <v>8221</v>
      </c>
      <c r="KWQ1" s="69" t="s">
        <v>8222</v>
      </c>
      <c r="KWR1" s="69" t="s">
        <v>8223</v>
      </c>
      <c r="KWS1" s="69" t="s">
        <v>8224</v>
      </c>
      <c r="KWT1" s="69" t="s">
        <v>8225</v>
      </c>
      <c r="KWU1" s="69" t="s">
        <v>8226</v>
      </c>
      <c r="KWV1" s="69" t="s">
        <v>8227</v>
      </c>
      <c r="KWW1" s="69" t="s">
        <v>8228</v>
      </c>
      <c r="KWX1" s="69" t="s">
        <v>8229</v>
      </c>
      <c r="KWY1" s="69" t="s">
        <v>8230</v>
      </c>
      <c r="KWZ1" s="69" t="s">
        <v>8231</v>
      </c>
      <c r="KXA1" s="69" t="s">
        <v>8232</v>
      </c>
      <c r="KXB1" s="69" t="s">
        <v>8233</v>
      </c>
      <c r="KXC1" s="69" t="s">
        <v>8234</v>
      </c>
      <c r="KXD1" s="69" t="s">
        <v>8235</v>
      </c>
      <c r="KXE1" s="69" t="s">
        <v>8236</v>
      </c>
      <c r="KXF1" s="69" t="s">
        <v>8237</v>
      </c>
      <c r="KXG1" s="69" t="s">
        <v>8238</v>
      </c>
      <c r="KXH1" s="69" t="s">
        <v>8239</v>
      </c>
      <c r="KXI1" s="69" t="s">
        <v>8240</v>
      </c>
      <c r="KXJ1" s="69" t="s">
        <v>8241</v>
      </c>
      <c r="KXK1" s="69" t="s">
        <v>8242</v>
      </c>
      <c r="KXL1" s="69" t="s">
        <v>8243</v>
      </c>
      <c r="KXM1" s="69" t="s">
        <v>8244</v>
      </c>
      <c r="KXN1" s="69" t="s">
        <v>8245</v>
      </c>
      <c r="KXO1" s="69" t="s">
        <v>8246</v>
      </c>
      <c r="KXP1" s="69" t="s">
        <v>8247</v>
      </c>
      <c r="KXQ1" s="69" t="s">
        <v>8248</v>
      </c>
      <c r="KXR1" s="69" t="s">
        <v>8249</v>
      </c>
      <c r="KXS1" s="69" t="s">
        <v>8250</v>
      </c>
      <c r="KXT1" s="69" t="s">
        <v>8251</v>
      </c>
      <c r="KXU1" s="69" t="s">
        <v>8252</v>
      </c>
      <c r="KXV1" s="69" t="s">
        <v>8253</v>
      </c>
      <c r="KXW1" s="69" t="s">
        <v>8254</v>
      </c>
      <c r="KXX1" s="69" t="s">
        <v>8255</v>
      </c>
      <c r="KXY1" s="69" t="s">
        <v>8256</v>
      </c>
      <c r="KXZ1" s="69" t="s">
        <v>8257</v>
      </c>
      <c r="KYA1" s="69" t="s">
        <v>8258</v>
      </c>
      <c r="KYB1" s="69" t="s">
        <v>8259</v>
      </c>
      <c r="KYC1" s="69" t="s">
        <v>8260</v>
      </c>
      <c r="KYD1" s="69" t="s">
        <v>8261</v>
      </c>
      <c r="KYE1" s="69" t="s">
        <v>8262</v>
      </c>
      <c r="KYF1" s="69" t="s">
        <v>8263</v>
      </c>
      <c r="KYG1" s="69" t="s">
        <v>8264</v>
      </c>
      <c r="KYH1" s="69" t="s">
        <v>8265</v>
      </c>
      <c r="KYI1" s="69" t="s">
        <v>8266</v>
      </c>
      <c r="KYJ1" s="69" t="s">
        <v>8267</v>
      </c>
      <c r="KYK1" s="69" t="s">
        <v>8268</v>
      </c>
      <c r="KYL1" s="69" t="s">
        <v>8269</v>
      </c>
      <c r="KYM1" s="69" t="s">
        <v>8270</v>
      </c>
      <c r="KYN1" s="69" t="s">
        <v>8271</v>
      </c>
      <c r="KYO1" s="69" t="s">
        <v>8272</v>
      </c>
      <c r="KYP1" s="69" t="s">
        <v>8273</v>
      </c>
      <c r="KYQ1" s="69" t="s">
        <v>8274</v>
      </c>
      <c r="KYR1" s="69" t="s">
        <v>8275</v>
      </c>
      <c r="KYS1" s="69" t="s">
        <v>8276</v>
      </c>
      <c r="KYT1" s="69" t="s">
        <v>8277</v>
      </c>
      <c r="KYU1" s="69" t="s">
        <v>8278</v>
      </c>
      <c r="KYV1" s="69" t="s">
        <v>8279</v>
      </c>
      <c r="KYW1" s="69" t="s">
        <v>8280</v>
      </c>
      <c r="KYX1" s="69" t="s">
        <v>8281</v>
      </c>
      <c r="KYY1" s="69" t="s">
        <v>8282</v>
      </c>
      <c r="KYZ1" s="69" t="s">
        <v>8283</v>
      </c>
      <c r="KZA1" s="69" t="s">
        <v>8284</v>
      </c>
      <c r="KZB1" s="69" t="s">
        <v>8285</v>
      </c>
      <c r="KZC1" s="69" t="s">
        <v>8286</v>
      </c>
      <c r="KZD1" s="69" t="s">
        <v>8287</v>
      </c>
      <c r="KZE1" s="69" t="s">
        <v>8288</v>
      </c>
      <c r="KZF1" s="69" t="s">
        <v>8289</v>
      </c>
      <c r="KZG1" s="69" t="s">
        <v>8290</v>
      </c>
      <c r="KZH1" s="69" t="s">
        <v>8291</v>
      </c>
      <c r="KZI1" s="69" t="s">
        <v>8292</v>
      </c>
      <c r="KZJ1" s="69" t="s">
        <v>8293</v>
      </c>
      <c r="KZK1" s="69" t="s">
        <v>8294</v>
      </c>
      <c r="KZL1" s="69" t="s">
        <v>8295</v>
      </c>
      <c r="KZM1" s="69" t="s">
        <v>8296</v>
      </c>
      <c r="KZN1" s="69" t="s">
        <v>8297</v>
      </c>
      <c r="KZO1" s="69" t="s">
        <v>8298</v>
      </c>
      <c r="KZP1" s="69" t="s">
        <v>8299</v>
      </c>
      <c r="KZQ1" s="69" t="s">
        <v>8300</v>
      </c>
      <c r="KZR1" s="69" t="s">
        <v>8301</v>
      </c>
      <c r="KZS1" s="69" t="s">
        <v>8302</v>
      </c>
      <c r="KZT1" s="69" t="s">
        <v>8303</v>
      </c>
      <c r="KZU1" s="69" t="s">
        <v>8304</v>
      </c>
      <c r="KZV1" s="69" t="s">
        <v>8305</v>
      </c>
      <c r="KZW1" s="69" t="s">
        <v>8306</v>
      </c>
      <c r="KZX1" s="69" t="s">
        <v>8307</v>
      </c>
      <c r="KZY1" s="69" t="s">
        <v>8308</v>
      </c>
      <c r="KZZ1" s="69" t="s">
        <v>8309</v>
      </c>
      <c r="LAA1" s="69" t="s">
        <v>8310</v>
      </c>
      <c r="LAB1" s="69" t="s">
        <v>8311</v>
      </c>
      <c r="LAC1" s="69" t="s">
        <v>8312</v>
      </c>
      <c r="LAD1" s="69" t="s">
        <v>8313</v>
      </c>
      <c r="LAE1" s="69" t="s">
        <v>8314</v>
      </c>
      <c r="LAF1" s="69" t="s">
        <v>8315</v>
      </c>
      <c r="LAG1" s="69" t="s">
        <v>8316</v>
      </c>
      <c r="LAH1" s="69" t="s">
        <v>8317</v>
      </c>
      <c r="LAI1" s="69" t="s">
        <v>8318</v>
      </c>
      <c r="LAJ1" s="69" t="s">
        <v>8319</v>
      </c>
      <c r="LAK1" s="69" t="s">
        <v>8320</v>
      </c>
      <c r="LAL1" s="69" t="s">
        <v>8321</v>
      </c>
      <c r="LAM1" s="69" t="s">
        <v>8322</v>
      </c>
      <c r="LAN1" s="69" t="s">
        <v>8323</v>
      </c>
      <c r="LAO1" s="69" t="s">
        <v>8324</v>
      </c>
      <c r="LAP1" s="69" t="s">
        <v>8325</v>
      </c>
      <c r="LAQ1" s="69" t="s">
        <v>8326</v>
      </c>
      <c r="LAR1" s="69" t="s">
        <v>8327</v>
      </c>
      <c r="LAS1" s="69" t="s">
        <v>8328</v>
      </c>
      <c r="LAT1" s="69" t="s">
        <v>8329</v>
      </c>
      <c r="LAU1" s="69" t="s">
        <v>8330</v>
      </c>
      <c r="LAV1" s="69" t="s">
        <v>8331</v>
      </c>
      <c r="LAW1" s="69" t="s">
        <v>8332</v>
      </c>
      <c r="LAX1" s="69" t="s">
        <v>8333</v>
      </c>
      <c r="LAY1" s="69" t="s">
        <v>8334</v>
      </c>
      <c r="LAZ1" s="69" t="s">
        <v>8335</v>
      </c>
      <c r="LBA1" s="69" t="s">
        <v>8336</v>
      </c>
      <c r="LBB1" s="69" t="s">
        <v>8337</v>
      </c>
      <c r="LBC1" s="69" t="s">
        <v>8338</v>
      </c>
      <c r="LBD1" s="69" t="s">
        <v>8339</v>
      </c>
      <c r="LBE1" s="69" t="s">
        <v>8340</v>
      </c>
      <c r="LBF1" s="69" t="s">
        <v>8341</v>
      </c>
      <c r="LBG1" s="69" t="s">
        <v>8342</v>
      </c>
      <c r="LBH1" s="69" t="s">
        <v>8343</v>
      </c>
      <c r="LBI1" s="69" t="s">
        <v>8344</v>
      </c>
      <c r="LBJ1" s="69" t="s">
        <v>8345</v>
      </c>
      <c r="LBK1" s="69" t="s">
        <v>8346</v>
      </c>
      <c r="LBL1" s="69" t="s">
        <v>8347</v>
      </c>
      <c r="LBM1" s="69" t="s">
        <v>8348</v>
      </c>
      <c r="LBN1" s="69" t="s">
        <v>8349</v>
      </c>
      <c r="LBO1" s="69" t="s">
        <v>8350</v>
      </c>
      <c r="LBP1" s="69" t="s">
        <v>8351</v>
      </c>
      <c r="LBQ1" s="69" t="s">
        <v>8352</v>
      </c>
      <c r="LBR1" s="69" t="s">
        <v>8353</v>
      </c>
      <c r="LBS1" s="69" t="s">
        <v>8354</v>
      </c>
      <c r="LBT1" s="69" t="s">
        <v>8355</v>
      </c>
      <c r="LBU1" s="69" t="s">
        <v>8356</v>
      </c>
      <c r="LBV1" s="69" t="s">
        <v>8357</v>
      </c>
      <c r="LBW1" s="69" t="s">
        <v>8358</v>
      </c>
      <c r="LBX1" s="69" t="s">
        <v>8359</v>
      </c>
      <c r="LBY1" s="69" t="s">
        <v>8360</v>
      </c>
      <c r="LBZ1" s="69" t="s">
        <v>8361</v>
      </c>
      <c r="LCA1" s="69" t="s">
        <v>8362</v>
      </c>
      <c r="LCB1" s="69" t="s">
        <v>8363</v>
      </c>
      <c r="LCC1" s="69" t="s">
        <v>8364</v>
      </c>
      <c r="LCD1" s="69" t="s">
        <v>8365</v>
      </c>
      <c r="LCE1" s="69" t="s">
        <v>8366</v>
      </c>
      <c r="LCF1" s="69" t="s">
        <v>8367</v>
      </c>
      <c r="LCG1" s="69" t="s">
        <v>8368</v>
      </c>
      <c r="LCH1" s="69" t="s">
        <v>8369</v>
      </c>
      <c r="LCI1" s="69" t="s">
        <v>8370</v>
      </c>
      <c r="LCJ1" s="69" t="s">
        <v>8371</v>
      </c>
      <c r="LCK1" s="69" t="s">
        <v>8372</v>
      </c>
      <c r="LCL1" s="69" t="s">
        <v>8373</v>
      </c>
      <c r="LCM1" s="69" t="s">
        <v>8374</v>
      </c>
      <c r="LCN1" s="69" t="s">
        <v>8375</v>
      </c>
      <c r="LCO1" s="69" t="s">
        <v>8376</v>
      </c>
      <c r="LCP1" s="69" t="s">
        <v>8377</v>
      </c>
      <c r="LCQ1" s="69" t="s">
        <v>8378</v>
      </c>
      <c r="LCR1" s="69" t="s">
        <v>8379</v>
      </c>
      <c r="LCS1" s="69" t="s">
        <v>8380</v>
      </c>
      <c r="LCT1" s="69" t="s">
        <v>8381</v>
      </c>
      <c r="LCU1" s="69" t="s">
        <v>8382</v>
      </c>
      <c r="LCV1" s="69" t="s">
        <v>8383</v>
      </c>
      <c r="LCW1" s="69" t="s">
        <v>8384</v>
      </c>
      <c r="LCX1" s="69" t="s">
        <v>8385</v>
      </c>
      <c r="LCY1" s="69" t="s">
        <v>8386</v>
      </c>
      <c r="LCZ1" s="69" t="s">
        <v>8387</v>
      </c>
      <c r="LDA1" s="69" t="s">
        <v>8388</v>
      </c>
      <c r="LDB1" s="69" t="s">
        <v>8389</v>
      </c>
      <c r="LDC1" s="69" t="s">
        <v>8390</v>
      </c>
      <c r="LDD1" s="69" t="s">
        <v>8391</v>
      </c>
      <c r="LDE1" s="69" t="s">
        <v>8392</v>
      </c>
      <c r="LDF1" s="69" t="s">
        <v>8393</v>
      </c>
      <c r="LDG1" s="69" t="s">
        <v>8394</v>
      </c>
      <c r="LDH1" s="69" t="s">
        <v>8395</v>
      </c>
      <c r="LDI1" s="69" t="s">
        <v>8396</v>
      </c>
      <c r="LDJ1" s="69" t="s">
        <v>8397</v>
      </c>
      <c r="LDK1" s="69" t="s">
        <v>8398</v>
      </c>
      <c r="LDL1" s="69" t="s">
        <v>8399</v>
      </c>
      <c r="LDM1" s="69" t="s">
        <v>8400</v>
      </c>
      <c r="LDN1" s="69" t="s">
        <v>8401</v>
      </c>
      <c r="LDO1" s="69" t="s">
        <v>8402</v>
      </c>
      <c r="LDP1" s="69" t="s">
        <v>8403</v>
      </c>
      <c r="LDQ1" s="69" t="s">
        <v>8404</v>
      </c>
      <c r="LDR1" s="69" t="s">
        <v>8405</v>
      </c>
      <c r="LDS1" s="69" t="s">
        <v>8406</v>
      </c>
      <c r="LDT1" s="69" t="s">
        <v>8407</v>
      </c>
      <c r="LDU1" s="69" t="s">
        <v>8408</v>
      </c>
      <c r="LDV1" s="69" t="s">
        <v>8409</v>
      </c>
      <c r="LDW1" s="69" t="s">
        <v>8410</v>
      </c>
      <c r="LDX1" s="69" t="s">
        <v>8411</v>
      </c>
      <c r="LDY1" s="69" t="s">
        <v>8412</v>
      </c>
      <c r="LDZ1" s="69" t="s">
        <v>8413</v>
      </c>
      <c r="LEA1" s="69" t="s">
        <v>8414</v>
      </c>
      <c r="LEB1" s="69" t="s">
        <v>8415</v>
      </c>
      <c r="LEC1" s="69" t="s">
        <v>8416</v>
      </c>
      <c r="LED1" s="69" t="s">
        <v>8417</v>
      </c>
      <c r="LEE1" s="69" t="s">
        <v>8418</v>
      </c>
      <c r="LEF1" s="69" t="s">
        <v>8419</v>
      </c>
      <c r="LEG1" s="69" t="s">
        <v>8420</v>
      </c>
      <c r="LEH1" s="69" t="s">
        <v>8421</v>
      </c>
      <c r="LEI1" s="69" t="s">
        <v>8422</v>
      </c>
      <c r="LEJ1" s="69" t="s">
        <v>8423</v>
      </c>
      <c r="LEK1" s="69" t="s">
        <v>8424</v>
      </c>
      <c r="LEL1" s="69" t="s">
        <v>8425</v>
      </c>
      <c r="LEM1" s="69" t="s">
        <v>8426</v>
      </c>
      <c r="LEN1" s="69" t="s">
        <v>8427</v>
      </c>
      <c r="LEO1" s="69" t="s">
        <v>8428</v>
      </c>
      <c r="LEP1" s="69" t="s">
        <v>8429</v>
      </c>
      <c r="LEQ1" s="69" t="s">
        <v>8430</v>
      </c>
      <c r="LER1" s="69" t="s">
        <v>8431</v>
      </c>
      <c r="LES1" s="69" t="s">
        <v>8432</v>
      </c>
      <c r="LET1" s="69" t="s">
        <v>8433</v>
      </c>
      <c r="LEU1" s="69" t="s">
        <v>8434</v>
      </c>
      <c r="LEV1" s="69" t="s">
        <v>8435</v>
      </c>
      <c r="LEW1" s="69" t="s">
        <v>8436</v>
      </c>
      <c r="LEX1" s="69" t="s">
        <v>8437</v>
      </c>
      <c r="LEY1" s="69" t="s">
        <v>8438</v>
      </c>
      <c r="LEZ1" s="69" t="s">
        <v>8439</v>
      </c>
      <c r="LFA1" s="69" t="s">
        <v>8440</v>
      </c>
      <c r="LFB1" s="69" t="s">
        <v>8441</v>
      </c>
      <c r="LFC1" s="69" t="s">
        <v>8442</v>
      </c>
      <c r="LFD1" s="69" t="s">
        <v>8443</v>
      </c>
      <c r="LFE1" s="69" t="s">
        <v>8444</v>
      </c>
      <c r="LFF1" s="69" t="s">
        <v>8445</v>
      </c>
      <c r="LFG1" s="69" t="s">
        <v>8446</v>
      </c>
      <c r="LFH1" s="69" t="s">
        <v>8447</v>
      </c>
      <c r="LFI1" s="69" t="s">
        <v>8448</v>
      </c>
      <c r="LFJ1" s="69" t="s">
        <v>8449</v>
      </c>
      <c r="LFK1" s="69" t="s">
        <v>8450</v>
      </c>
      <c r="LFL1" s="69" t="s">
        <v>8451</v>
      </c>
      <c r="LFM1" s="69" t="s">
        <v>8452</v>
      </c>
      <c r="LFN1" s="69" t="s">
        <v>8453</v>
      </c>
      <c r="LFO1" s="69" t="s">
        <v>8454</v>
      </c>
      <c r="LFP1" s="69" t="s">
        <v>8455</v>
      </c>
      <c r="LFQ1" s="69" t="s">
        <v>8456</v>
      </c>
      <c r="LFR1" s="69" t="s">
        <v>8457</v>
      </c>
      <c r="LFS1" s="69" t="s">
        <v>8458</v>
      </c>
      <c r="LFT1" s="69" t="s">
        <v>8459</v>
      </c>
      <c r="LFU1" s="69" t="s">
        <v>8460</v>
      </c>
      <c r="LFV1" s="69" t="s">
        <v>8461</v>
      </c>
      <c r="LFW1" s="69" t="s">
        <v>8462</v>
      </c>
      <c r="LFX1" s="69" t="s">
        <v>8463</v>
      </c>
      <c r="LFY1" s="69" t="s">
        <v>8464</v>
      </c>
      <c r="LFZ1" s="69" t="s">
        <v>8465</v>
      </c>
      <c r="LGA1" s="69" t="s">
        <v>8466</v>
      </c>
      <c r="LGB1" s="69" t="s">
        <v>8467</v>
      </c>
      <c r="LGC1" s="69" t="s">
        <v>8468</v>
      </c>
      <c r="LGD1" s="69" t="s">
        <v>8469</v>
      </c>
      <c r="LGE1" s="69" t="s">
        <v>8470</v>
      </c>
      <c r="LGF1" s="69" t="s">
        <v>8471</v>
      </c>
      <c r="LGG1" s="69" t="s">
        <v>8472</v>
      </c>
      <c r="LGH1" s="69" t="s">
        <v>8473</v>
      </c>
      <c r="LGI1" s="69" t="s">
        <v>8474</v>
      </c>
      <c r="LGJ1" s="69" t="s">
        <v>8475</v>
      </c>
      <c r="LGK1" s="69" t="s">
        <v>8476</v>
      </c>
      <c r="LGL1" s="69" t="s">
        <v>8477</v>
      </c>
      <c r="LGM1" s="69" t="s">
        <v>8478</v>
      </c>
      <c r="LGN1" s="69" t="s">
        <v>8479</v>
      </c>
      <c r="LGO1" s="69" t="s">
        <v>8480</v>
      </c>
      <c r="LGP1" s="69" t="s">
        <v>8481</v>
      </c>
      <c r="LGQ1" s="69" t="s">
        <v>8482</v>
      </c>
      <c r="LGR1" s="69" t="s">
        <v>8483</v>
      </c>
      <c r="LGS1" s="69" t="s">
        <v>8484</v>
      </c>
      <c r="LGT1" s="69" t="s">
        <v>8485</v>
      </c>
      <c r="LGU1" s="69" t="s">
        <v>8486</v>
      </c>
      <c r="LGV1" s="69" t="s">
        <v>8487</v>
      </c>
      <c r="LGW1" s="69" t="s">
        <v>8488</v>
      </c>
      <c r="LGX1" s="69" t="s">
        <v>8489</v>
      </c>
      <c r="LGY1" s="69" t="s">
        <v>8490</v>
      </c>
      <c r="LGZ1" s="69" t="s">
        <v>8491</v>
      </c>
      <c r="LHA1" s="69" t="s">
        <v>8492</v>
      </c>
      <c r="LHB1" s="69" t="s">
        <v>8493</v>
      </c>
      <c r="LHC1" s="69" t="s">
        <v>8494</v>
      </c>
      <c r="LHD1" s="69" t="s">
        <v>8495</v>
      </c>
      <c r="LHE1" s="69" t="s">
        <v>8496</v>
      </c>
      <c r="LHF1" s="69" t="s">
        <v>8497</v>
      </c>
      <c r="LHG1" s="69" t="s">
        <v>8498</v>
      </c>
      <c r="LHH1" s="69" t="s">
        <v>8499</v>
      </c>
      <c r="LHI1" s="69" t="s">
        <v>8500</v>
      </c>
      <c r="LHJ1" s="69" t="s">
        <v>8501</v>
      </c>
      <c r="LHK1" s="69" t="s">
        <v>8502</v>
      </c>
      <c r="LHL1" s="69" t="s">
        <v>8503</v>
      </c>
      <c r="LHM1" s="69" t="s">
        <v>8504</v>
      </c>
      <c r="LHN1" s="69" t="s">
        <v>8505</v>
      </c>
      <c r="LHO1" s="69" t="s">
        <v>8506</v>
      </c>
      <c r="LHP1" s="69" t="s">
        <v>8507</v>
      </c>
      <c r="LHQ1" s="69" t="s">
        <v>8508</v>
      </c>
      <c r="LHR1" s="69" t="s">
        <v>8509</v>
      </c>
      <c r="LHS1" s="69" t="s">
        <v>8510</v>
      </c>
      <c r="LHT1" s="69" t="s">
        <v>8511</v>
      </c>
      <c r="LHU1" s="69" t="s">
        <v>8512</v>
      </c>
      <c r="LHV1" s="69" t="s">
        <v>8513</v>
      </c>
      <c r="LHW1" s="69" t="s">
        <v>8514</v>
      </c>
      <c r="LHX1" s="69" t="s">
        <v>8515</v>
      </c>
      <c r="LHY1" s="69" t="s">
        <v>8516</v>
      </c>
      <c r="LHZ1" s="69" t="s">
        <v>8517</v>
      </c>
      <c r="LIA1" s="69" t="s">
        <v>8518</v>
      </c>
      <c r="LIB1" s="69" t="s">
        <v>8519</v>
      </c>
      <c r="LIC1" s="69" t="s">
        <v>8520</v>
      </c>
      <c r="LID1" s="69" t="s">
        <v>8521</v>
      </c>
      <c r="LIE1" s="69" t="s">
        <v>8522</v>
      </c>
      <c r="LIF1" s="69" t="s">
        <v>8523</v>
      </c>
      <c r="LIG1" s="69" t="s">
        <v>8524</v>
      </c>
      <c r="LIH1" s="69" t="s">
        <v>8525</v>
      </c>
      <c r="LII1" s="69" t="s">
        <v>8526</v>
      </c>
      <c r="LIJ1" s="69" t="s">
        <v>8527</v>
      </c>
      <c r="LIK1" s="69" t="s">
        <v>8528</v>
      </c>
      <c r="LIL1" s="69" t="s">
        <v>8529</v>
      </c>
      <c r="LIM1" s="69" t="s">
        <v>8530</v>
      </c>
      <c r="LIN1" s="69" t="s">
        <v>8531</v>
      </c>
      <c r="LIO1" s="69" t="s">
        <v>8532</v>
      </c>
      <c r="LIP1" s="69" t="s">
        <v>8533</v>
      </c>
      <c r="LIQ1" s="69" t="s">
        <v>8534</v>
      </c>
      <c r="LIR1" s="69" t="s">
        <v>8535</v>
      </c>
      <c r="LIS1" s="69" t="s">
        <v>8536</v>
      </c>
      <c r="LIT1" s="69" t="s">
        <v>8537</v>
      </c>
      <c r="LIU1" s="69" t="s">
        <v>8538</v>
      </c>
      <c r="LIV1" s="69" t="s">
        <v>8539</v>
      </c>
      <c r="LIW1" s="69" t="s">
        <v>8540</v>
      </c>
      <c r="LIX1" s="69" t="s">
        <v>8541</v>
      </c>
      <c r="LIY1" s="69" t="s">
        <v>8542</v>
      </c>
      <c r="LIZ1" s="69" t="s">
        <v>8543</v>
      </c>
      <c r="LJA1" s="69" t="s">
        <v>8544</v>
      </c>
      <c r="LJB1" s="69" t="s">
        <v>8545</v>
      </c>
      <c r="LJC1" s="69" t="s">
        <v>8546</v>
      </c>
      <c r="LJD1" s="69" t="s">
        <v>8547</v>
      </c>
      <c r="LJE1" s="69" t="s">
        <v>8548</v>
      </c>
      <c r="LJF1" s="69" t="s">
        <v>8549</v>
      </c>
      <c r="LJG1" s="69" t="s">
        <v>8550</v>
      </c>
      <c r="LJH1" s="69" t="s">
        <v>8551</v>
      </c>
      <c r="LJI1" s="69" t="s">
        <v>8552</v>
      </c>
      <c r="LJJ1" s="69" t="s">
        <v>8553</v>
      </c>
      <c r="LJK1" s="69" t="s">
        <v>8554</v>
      </c>
      <c r="LJL1" s="69" t="s">
        <v>8555</v>
      </c>
      <c r="LJM1" s="69" t="s">
        <v>8556</v>
      </c>
      <c r="LJN1" s="69" t="s">
        <v>8557</v>
      </c>
      <c r="LJO1" s="69" t="s">
        <v>8558</v>
      </c>
      <c r="LJP1" s="69" t="s">
        <v>8559</v>
      </c>
      <c r="LJQ1" s="69" t="s">
        <v>8560</v>
      </c>
      <c r="LJR1" s="69" t="s">
        <v>8561</v>
      </c>
      <c r="LJS1" s="69" t="s">
        <v>8562</v>
      </c>
      <c r="LJT1" s="69" t="s">
        <v>8563</v>
      </c>
      <c r="LJU1" s="69" t="s">
        <v>8564</v>
      </c>
      <c r="LJV1" s="69" t="s">
        <v>8565</v>
      </c>
      <c r="LJW1" s="69" t="s">
        <v>8566</v>
      </c>
      <c r="LJX1" s="69" t="s">
        <v>8567</v>
      </c>
      <c r="LJY1" s="69" t="s">
        <v>8568</v>
      </c>
      <c r="LJZ1" s="69" t="s">
        <v>8569</v>
      </c>
      <c r="LKA1" s="69" t="s">
        <v>8570</v>
      </c>
      <c r="LKB1" s="69" t="s">
        <v>8571</v>
      </c>
      <c r="LKC1" s="69" t="s">
        <v>8572</v>
      </c>
      <c r="LKD1" s="69" t="s">
        <v>8573</v>
      </c>
      <c r="LKE1" s="69" t="s">
        <v>8574</v>
      </c>
      <c r="LKF1" s="69" t="s">
        <v>8575</v>
      </c>
      <c r="LKG1" s="69" t="s">
        <v>8576</v>
      </c>
      <c r="LKH1" s="69" t="s">
        <v>8577</v>
      </c>
      <c r="LKI1" s="69" t="s">
        <v>8578</v>
      </c>
      <c r="LKJ1" s="69" t="s">
        <v>8579</v>
      </c>
      <c r="LKK1" s="69" t="s">
        <v>8580</v>
      </c>
      <c r="LKL1" s="69" t="s">
        <v>8581</v>
      </c>
      <c r="LKM1" s="69" t="s">
        <v>8582</v>
      </c>
      <c r="LKN1" s="69" t="s">
        <v>8583</v>
      </c>
      <c r="LKO1" s="69" t="s">
        <v>8584</v>
      </c>
      <c r="LKP1" s="69" t="s">
        <v>8585</v>
      </c>
      <c r="LKQ1" s="69" t="s">
        <v>8586</v>
      </c>
      <c r="LKR1" s="69" t="s">
        <v>8587</v>
      </c>
      <c r="LKS1" s="69" t="s">
        <v>8588</v>
      </c>
      <c r="LKT1" s="69" t="s">
        <v>8589</v>
      </c>
      <c r="LKU1" s="69" t="s">
        <v>8590</v>
      </c>
      <c r="LKV1" s="69" t="s">
        <v>8591</v>
      </c>
      <c r="LKW1" s="69" t="s">
        <v>8592</v>
      </c>
      <c r="LKX1" s="69" t="s">
        <v>8593</v>
      </c>
      <c r="LKY1" s="69" t="s">
        <v>8594</v>
      </c>
      <c r="LKZ1" s="69" t="s">
        <v>8595</v>
      </c>
      <c r="LLA1" s="69" t="s">
        <v>8596</v>
      </c>
      <c r="LLB1" s="69" t="s">
        <v>8597</v>
      </c>
      <c r="LLC1" s="69" t="s">
        <v>8598</v>
      </c>
      <c r="LLD1" s="69" t="s">
        <v>8599</v>
      </c>
      <c r="LLE1" s="69" t="s">
        <v>8600</v>
      </c>
      <c r="LLF1" s="69" t="s">
        <v>8601</v>
      </c>
      <c r="LLG1" s="69" t="s">
        <v>8602</v>
      </c>
      <c r="LLH1" s="69" t="s">
        <v>8603</v>
      </c>
      <c r="LLI1" s="69" t="s">
        <v>8604</v>
      </c>
      <c r="LLJ1" s="69" t="s">
        <v>8605</v>
      </c>
      <c r="LLK1" s="69" t="s">
        <v>8606</v>
      </c>
      <c r="LLL1" s="69" t="s">
        <v>8607</v>
      </c>
      <c r="LLM1" s="69" t="s">
        <v>8608</v>
      </c>
      <c r="LLN1" s="69" t="s">
        <v>8609</v>
      </c>
      <c r="LLO1" s="69" t="s">
        <v>8610</v>
      </c>
      <c r="LLP1" s="69" t="s">
        <v>8611</v>
      </c>
      <c r="LLQ1" s="69" t="s">
        <v>8612</v>
      </c>
      <c r="LLR1" s="69" t="s">
        <v>8613</v>
      </c>
      <c r="LLS1" s="69" t="s">
        <v>8614</v>
      </c>
      <c r="LLT1" s="69" t="s">
        <v>8615</v>
      </c>
      <c r="LLU1" s="69" t="s">
        <v>8616</v>
      </c>
      <c r="LLV1" s="69" t="s">
        <v>8617</v>
      </c>
      <c r="LLW1" s="69" t="s">
        <v>8618</v>
      </c>
      <c r="LLX1" s="69" t="s">
        <v>8619</v>
      </c>
      <c r="LLY1" s="69" t="s">
        <v>8620</v>
      </c>
      <c r="LLZ1" s="69" t="s">
        <v>8621</v>
      </c>
      <c r="LMA1" s="69" t="s">
        <v>8622</v>
      </c>
      <c r="LMB1" s="69" t="s">
        <v>8623</v>
      </c>
      <c r="LMC1" s="69" t="s">
        <v>8624</v>
      </c>
      <c r="LMD1" s="69" t="s">
        <v>8625</v>
      </c>
      <c r="LME1" s="69" t="s">
        <v>8626</v>
      </c>
      <c r="LMF1" s="69" t="s">
        <v>8627</v>
      </c>
      <c r="LMG1" s="69" t="s">
        <v>8628</v>
      </c>
      <c r="LMH1" s="69" t="s">
        <v>8629</v>
      </c>
      <c r="LMI1" s="69" t="s">
        <v>8630</v>
      </c>
      <c r="LMJ1" s="69" t="s">
        <v>8631</v>
      </c>
      <c r="LMK1" s="69" t="s">
        <v>8632</v>
      </c>
      <c r="LML1" s="69" t="s">
        <v>8633</v>
      </c>
      <c r="LMM1" s="69" t="s">
        <v>8634</v>
      </c>
      <c r="LMN1" s="69" t="s">
        <v>8635</v>
      </c>
      <c r="LMO1" s="69" t="s">
        <v>8636</v>
      </c>
      <c r="LMP1" s="69" t="s">
        <v>8637</v>
      </c>
      <c r="LMQ1" s="69" t="s">
        <v>8638</v>
      </c>
      <c r="LMR1" s="69" t="s">
        <v>8639</v>
      </c>
      <c r="LMS1" s="69" t="s">
        <v>8640</v>
      </c>
      <c r="LMT1" s="69" t="s">
        <v>8641</v>
      </c>
      <c r="LMU1" s="69" t="s">
        <v>8642</v>
      </c>
      <c r="LMV1" s="69" t="s">
        <v>8643</v>
      </c>
      <c r="LMW1" s="69" t="s">
        <v>8644</v>
      </c>
      <c r="LMX1" s="69" t="s">
        <v>8645</v>
      </c>
      <c r="LMY1" s="69" t="s">
        <v>8646</v>
      </c>
      <c r="LMZ1" s="69" t="s">
        <v>8647</v>
      </c>
      <c r="LNA1" s="69" t="s">
        <v>8648</v>
      </c>
      <c r="LNB1" s="69" t="s">
        <v>8649</v>
      </c>
      <c r="LNC1" s="69" t="s">
        <v>8650</v>
      </c>
      <c r="LND1" s="69" t="s">
        <v>8651</v>
      </c>
      <c r="LNE1" s="69" t="s">
        <v>8652</v>
      </c>
      <c r="LNF1" s="69" t="s">
        <v>8653</v>
      </c>
      <c r="LNG1" s="69" t="s">
        <v>8654</v>
      </c>
      <c r="LNH1" s="69" t="s">
        <v>8655</v>
      </c>
      <c r="LNI1" s="69" t="s">
        <v>8656</v>
      </c>
      <c r="LNJ1" s="69" t="s">
        <v>8657</v>
      </c>
      <c r="LNK1" s="69" t="s">
        <v>8658</v>
      </c>
      <c r="LNL1" s="69" t="s">
        <v>8659</v>
      </c>
      <c r="LNM1" s="69" t="s">
        <v>8660</v>
      </c>
      <c r="LNN1" s="69" t="s">
        <v>8661</v>
      </c>
      <c r="LNO1" s="69" t="s">
        <v>8662</v>
      </c>
      <c r="LNP1" s="69" t="s">
        <v>8663</v>
      </c>
      <c r="LNQ1" s="69" t="s">
        <v>8664</v>
      </c>
      <c r="LNR1" s="69" t="s">
        <v>8665</v>
      </c>
      <c r="LNS1" s="69" t="s">
        <v>8666</v>
      </c>
      <c r="LNT1" s="69" t="s">
        <v>8667</v>
      </c>
      <c r="LNU1" s="69" t="s">
        <v>8668</v>
      </c>
      <c r="LNV1" s="69" t="s">
        <v>8669</v>
      </c>
      <c r="LNW1" s="69" t="s">
        <v>8670</v>
      </c>
      <c r="LNX1" s="69" t="s">
        <v>8671</v>
      </c>
      <c r="LNY1" s="69" t="s">
        <v>8672</v>
      </c>
      <c r="LNZ1" s="69" t="s">
        <v>8673</v>
      </c>
      <c r="LOA1" s="69" t="s">
        <v>8674</v>
      </c>
      <c r="LOB1" s="69" t="s">
        <v>8675</v>
      </c>
      <c r="LOC1" s="69" t="s">
        <v>8676</v>
      </c>
      <c r="LOD1" s="69" t="s">
        <v>8677</v>
      </c>
      <c r="LOE1" s="69" t="s">
        <v>8678</v>
      </c>
      <c r="LOF1" s="69" t="s">
        <v>8679</v>
      </c>
      <c r="LOG1" s="69" t="s">
        <v>8680</v>
      </c>
      <c r="LOH1" s="69" t="s">
        <v>8681</v>
      </c>
      <c r="LOI1" s="69" t="s">
        <v>8682</v>
      </c>
      <c r="LOJ1" s="69" t="s">
        <v>8683</v>
      </c>
      <c r="LOK1" s="69" t="s">
        <v>8684</v>
      </c>
      <c r="LOL1" s="69" t="s">
        <v>8685</v>
      </c>
      <c r="LOM1" s="69" t="s">
        <v>8686</v>
      </c>
      <c r="LON1" s="69" t="s">
        <v>8687</v>
      </c>
      <c r="LOO1" s="69" t="s">
        <v>8688</v>
      </c>
      <c r="LOP1" s="69" t="s">
        <v>8689</v>
      </c>
      <c r="LOQ1" s="69" t="s">
        <v>8690</v>
      </c>
      <c r="LOR1" s="69" t="s">
        <v>8691</v>
      </c>
      <c r="LOS1" s="69" t="s">
        <v>8692</v>
      </c>
      <c r="LOT1" s="69" t="s">
        <v>8693</v>
      </c>
      <c r="LOU1" s="69" t="s">
        <v>8694</v>
      </c>
      <c r="LOV1" s="69" t="s">
        <v>8695</v>
      </c>
      <c r="LOW1" s="69" t="s">
        <v>8696</v>
      </c>
      <c r="LOX1" s="69" t="s">
        <v>8697</v>
      </c>
      <c r="LOY1" s="69" t="s">
        <v>8698</v>
      </c>
      <c r="LOZ1" s="69" t="s">
        <v>8699</v>
      </c>
      <c r="LPA1" s="69" t="s">
        <v>8700</v>
      </c>
      <c r="LPB1" s="69" t="s">
        <v>8701</v>
      </c>
      <c r="LPC1" s="69" t="s">
        <v>8702</v>
      </c>
      <c r="LPD1" s="69" t="s">
        <v>8703</v>
      </c>
      <c r="LPE1" s="69" t="s">
        <v>8704</v>
      </c>
      <c r="LPF1" s="69" t="s">
        <v>8705</v>
      </c>
      <c r="LPG1" s="69" t="s">
        <v>8706</v>
      </c>
      <c r="LPH1" s="69" t="s">
        <v>8707</v>
      </c>
      <c r="LPI1" s="69" t="s">
        <v>8708</v>
      </c>
      <c r="LPJ1" s="69" t="s">
        <v>8709</v>
      </c>
      <c r="LPK1" s="69" t="s">
        <v>8710</v>
      </c>
      <c r="LPL1" s="69" t="s">
        <v>8711</v>
      </c>
      <c r="LPM1" s="69" t="s">
        <v>8712</v>
      </c>
      <c r="LPN1" s="69" t="s">
        <v>8713</v>
      </c>
      <c r="LPO1" s="69" t="s">
        <v>8714</v>
      </c>
      <c r="LPP1" s="69" t="s">
        <v>8715</v>
      </c>
      <c r="LPQ1" s="69" t="s">
        <v>8716</v>
      </c>
      <c r="LPR1" s="69" t="s">
        <v>8717</v>
      </c>
      <c r="LPS1" s="69" t="s">
        <v>8718</v>
      </c>
      <c r="LPT1" s="69" t="s">
        <v>8719</v>
      </c>
      <c r="LPU1" s="69" t="s">
        <v>8720</v>
      </c>
      <c r="LPV1" s="69" t="s">
        <v>8721</v>
      </c>
      <c r="LPW1" s="69" t="s">
        <v>8722</v>
      </c>
      <c r="LPX1" s="69" t="s">
        <v>8723</v>
      </c>
      <c r="LPY1" s="69" t="s">
        <v>8724</v>
      </c>
      <c r="LPZ1" s="69" t="s">
        <v>8725</v>
      </c>
      <c r="LQA1" s="69" t="s">
        <v>8726</v>
      </c>
      <c r="LQB1" s="69" t="s">
        <v>8727</v>
      </c>
      <c r="LQC1" s="69" t="s">
        <v>8728</v>
      </c>
      <c r="LQD1" s="69" t="s">
        <v>8729</v>
      </c>
      <c r="LQE1" s="69" t="s">
        <v>8730</v>
      </c>
      <c r="LQF1" s="69" t="s">
        <v>8731</v>
      </c>
      <c r="LQG1" s="69" t="s">
        <v>8732</v>
      </c>
      <c r="LQH1" s="69" t="s">
        <v>8733</v>
      </c>
      <c r="LQI1" s="69" t="s">
        <v>8734</v>
      </c>
      <c r="LQJ1" s="69" t="s">
        <v>8735</v>
      </c>
      <c r="LQK1" s="69" t="s">
        <v>8736</v>
      </c>
      <c r="LQL1" s="69" t="s">
        <v>8737</v>
      </c>
      <c r="LQM1" s="69" t="s">
        <v>8738</v>
      </c>
      <c r="LQN1" s="69" t="s">
        <v>8739</v>
      </c>
      <c r="LQO1" s="69" t="s">
        <v>8740</v>
      </c>
      <c r="LQP1" s="69" t="s">
        <v>8741</v>
      </c>
      <c r="LQQ1" s="69" t="s">
        <v>8742</v>
      </c>
      <c r="LQR1" s="69" t="s">
        <v>8743</v>
      </c>
      <c r="LQS1" s="69" t="s">
        <v>8744</v>
      </c>
      <c r="LQT1" s="69" t="s">
        <v>8745</v>
      </c>
      <c r="LQU1" s="69" t="s">
        <v>8746</v>
      </c>
      <c r="LQV1" s="69" t="s">
        <v>8747</v>
      </c>
      <c r="LQW1" s="69" t="s">
        <v>8748</v>
      </c>
      <c r="LQX1" s="69" t="s">
        <v>8749</v>
      </c>
      <c r="LQY1" s="69" t="s">
        <v>8750</v>
      </c>
      <c r="LQZ1" s="69" t="s">
        <v>8751</v>
      </c>
      <c r="LRA1" s="69" t="s">
        <v>8752</v>
      </c>
      <c r="LRB1" s="69" t="s">
        <v>8753</v>
      </c>
      <c r="LRC1" s="69" t="s">
        <v>8754</v>
      </c>
      <c r="LRD1" s="69" t="s">
        <v>8755</v>
      </c>
      <c r="LRE1" s="69" t="s">
        <v>8756</v>
      </c>
      <c r="LRF1" s="69" t="s">
        <v>8757</v>
      </c>
      <c r="LRG1" s="69" t="s">
        <v>8758</v>
      </c>
      <c r="LRH1" s="69" t="s">
        <v>8759</v>
      </c>
      <c r="LRI1" s="69" t="s">
        <v>8760</v>
      </c>
      <c r="LRJ1" s="69" t="s">
        <v>8761</v>
      </c>
      <c r="LRK1" s="69" t="s">
        <v>8762</v>
      </c>
      <c r="LRL1" s="69" t="s">
        <v>8763</v>
      </c>
      <c r="LRM1" s="69" t="s">
        <v>8764</v>
      </c>
      <c r="LRN1" s="69" t="s">
        <v>8765</v>
      </c>
      <c r="LRO1" s="69" t="s">
        <v>8766</v>
      </c>
      <c r="LRP1" s="69" t="s">
        <v>8767</v>
      </c>
      <c r="LRQ1" s="69" t="s">
        <v>8768</v>
      </c>
      <c r="LRR1" s="69" t="s">
        <v>8769</v>
      </c>
      <c r="LRS1" s="69" t="s">
        <v>8770</v>
      </c>
      <c r="LRT1" s="69" t="s">
        <v>8771</v>
      </c>
      <c r="LRU1" s="69" t="s">
        <v>8772</v>
      </c>
      <c r="LRV1" s="69" t="s">
        <v>8773</v>
      </c>
      <c r="LRW1" s="69" t="s">
        <v>8774</v>
      </c>
      <c r="LRX1" s="69" t="s">
        <v>8775</v>
      </c>
      <c r="LRY1" s="69" t="s">
        <v>8776</v>
      </c>
      <c r="LRZ1" s="69" t="s">
        <v>8777</v>
      </c>
      <c r="LSA1" s="69" t="s">
        <v>8778</v>
      </c>
      <c r="LSB1" s="69" t="s">
        <v>8779</v>
      </c>
      <c r="LSC1" s="69" t="s">
        <v>8780</v>
      </c>
      <c r="LSD1" s="69" t="s">
        <v>8781</v>
      </c>
      <c r="LSE1" s="69" t="s">
        <v>8782</v>
      </c>
      <c r="LSF1" s="69" t="s">
        <v>8783</v>
      </c>
      <c r="LSG1" s="69" t="s">
        <v>8784</v>
      </c>
      <c r="LSH1" s="69" t="s">
        <v>8785</v>
      </c>
      <c r="LSI1" s="69" t="s">
        <v>8786</v>
      </c>
      <c r="LSJ1" s="69" t="s">
        <v>8787</v>
      </c>
      <c r="LSK1" s="69" t="s">
        <v>8788</v>
      </c>
      <c r="LSL1" s="69" t="s">
        <v>8789</v>
      </c>
      <c r="LSM1" s="69" t="s">
        <v>8790</v>
      </c>
      <c r="LSN1" s="69" t="s">
        <v>8791</v>
      </c>
      <c r="LSO1" s="69" t="s">
        <v>8792</v>
      </c>
      <c r="LSP1" s="69" t="s">
        <v>8793</v>
      </c>
      <c r="LSQ1" s="69" t="s">
        <v>8794</v>
      </c>
      <c r="LSR1" s="69" t="s">
        <v>8795</v>
      </c>
      <c r="LSS1" s="69" t="s">
        <v>8796</v>
      </c>
      <c r="LST1" s="69" t="s">
        <v>8797</v>
      </c>
      <c r="LSU1" s="69" t="s">
        <v>8798</v>
      </c>
      <c r="LSV1" s="69" t="s">
        <v>8799</v>
      </c>
      <c r="LSW1" s="69" t="s">
        <v>8800</v>
      </c>
      <c r="LSX1" s="69" t="s">
        <v>8801</v>
      </c>
      <c r="LSY1" s="69" t="s">
        <v>8802</v>
      </c>
      <c r="LSZ1" s="69" t="s">
        <v>8803</v>
      </c>
      <c r="LTA1" s="69" t="s">
        <v>8804</v>
      </c>
      <c r="LTB1" s="69" t="s">
        <v>8805</v>
      </c>
      <c r="LTC1" s="69" t="s">
        <v>8806</v>
      </c>
      <c r="LTD1" s="69" t="s">
        <v>8807</v>
      </c>
      <c r="LTE1" s="69" t="s">
        <v>8808</v>
      </c>
      <c r="LTF1" s="69" t="s">
        <v>8809</v>
      </c>
      <c r="LTG1" s="69" t="s">
        <v>8810</v>
      </c>
      <c r="LTH1" s="69" t="s">
        <v>8811</v>
      </c>
      <c r="LTI1" s="69" t="s">
        <v>8812</v>
      </c>
      <c r="LTJ1" s="69" t="s">
        <v>8813</v>
      </c>
      <c r="LTK1" s="69" t="s">
        <v>8814</v>
      </c>
      <c r="LTL1" s="69" t="s">
        <v>8815</v>
      </c>
      <c r="LTM1" s="69" t="s">
        <v>8816</v>
      </c>
      <c r="LTN1" s="69" t="s">
        <v>8817</v>
      </c>
      <c r="LTO1" s="69" t="s">
        <v>8818</v>
      </c>
      <c r="LTP1" s="69" t="s">
        <v>8819</v>
      </c>
      <c r="LTQ1" s="69" t="s">
        <v>8820</v>
      </c>
      <c r="LTR1" s="69" t="s">
        <v>8821</v>
      </c>
      <c r="LTS1" s="69" t="s">
        <v>8822</v>
      </c>
      <c r="LTT1" s="69" t="s">
        <v>8823</v>
      </c>
      <c r="LTU1" s="69" t="s">
        <v>8824</v>
      </c>
      <c r="LTV1" s="69" t="s">
        <v>8825</v>
      </c>
      <c r="LTW1" s="69" t="s">
        <v>8826</v>
      </c>
      <c r="LTX1" s="69" t="s">
        <v>8827</v>
      </c>
      <c r="LTY1" s="69" t="s">
        <v>8828</v>
      </c>
      <c r="LTZ1" s="69" t="s">
        <v>8829</v>
      </c>
      <c r="LUA1" s="69" t="s">
        <v>8830</v>
      </c>
      <c r="LUB1" s="69" t="s">
        <v>8831</v>
      </c>
      <c r="LUC1" s="69" t="s">
        <v>8832</v>
      </c>
      <c r="LUD1" s="69" t="s">
        <v>8833</v>
      </c>
      <c r="LUE1" s="69" t="s">
        <v>8834</v>
      </c>
      <c r="LUF1" s="69" t="s">
        <v>8835</v>
      </c>
      <c r="LUG1" s="69" t="s">
        <v>8836</v>
      </c>
      <c r="LUH1" s="69" t="s">
        <v>8837</v>
      </c>
      <c r="LUI1" s="69" t="s">
        <v>8838</v>
      </c>
      <c r="LUJ1" s="69" t="s">
        <v>8839</v>
      </c>
      <c r="LUK1" s="69" t="s">
        <v>8840</v>
      </c>
      <c r="LUL1" s="69" t="s">
        <v>8841</v>
      </c>
      <c r="LUM1" s="69" t="s">
        <v>8842</v>
      </c>
      <c r="LUN1" s="69" t="s">
        <v>8843</v>
      </c>
      <c r="LUO1" s="69" t="s">
        <v>8844</v>
      </c>
      <c r="LUP1" s="69" t="s">
        <v>8845</v>
      </c>
      <c r="LUQ1" s="69" t="s">
        <v>8846</v>
      </c>
      <c r="LUR1" s="69" t="s">
        <v>8847</v>
      </c>
      <c r="LUS1" s="69" t="s">
        <v>8848</v>
      </c>
      <c r="LUT1" s="69" t="s">
        <v>8849</v>
      </c>
      <c r="LUU1" s="69" t="s">
        <v>8850</v>
      </c>
      <c r="LUV1" s="69" t="s">
        <v>8851</v>
      </c>
      <c r="LUW1" s="69" t="s">
        <v>8852</v>
      </c>
      <c r="LUX1" s="69" t="s">
        <v>8853</v>
      </c>
      <c r="LUY1" s="69" t="s">
        <v>8854</v>
      </c>
      <c r="LUZ1" s="69" t="s">
        <v>8855</v>
      </c>
      <c r="LVA1" s="69" t="s">
        <v>8856</v>
      </c>
      <c r="LVB1" s="69" t="s">
        <v>8857</v>
      </c>
      <c r="LVC1" s="69" t="s">
        <v>8858</v>
      </c>
      <c r="LVD1" s="69" t="s">
        <v>8859</v>
      </c>
      <c r="LVE1" s="69" t="s">
        <v>8860</v>
      </c>
      <c r="LVF1" s="69" t="s">
        <v>8861</v>
      </c>
      <c r="LVG1" s="69" t="s">
        <v>8862</v>
      </c>
      <c r="LVH1" s="69" t="s">
        <v>8863</v>
      </c>
      <c r="LVI1" s="69" t="s">
        <v>8864</v>
      </c>
      <c r="LVJ1" s="69" t="s">
        <v>8865</v>
      </c>
      <c r="LVK1" s="69" t="s">
        <v>8866</v>
      </c>
      <c r="LVL1" s="69" t="s">
        <v>8867</v>
      </c>
      <c r="LVM1" s="69" t="s">
        <v>8868</v>
      </c>
      <c r="LVN1" s="69" t="s">
        <v>8869</v>
      </c>
      <c r="LVO1" s="69" t="s">
        <v>8870</v>
      </c>
      <c r="LVP1" s="69" t="s">
        <v>8871</v>
      </c>
      <c r="LVQ1" s="69" t="s">
        <v>8872</v>
      </c>
      <c r="LVR1" s="69" t="s">
        <v>8873</v>
      </c>
      <c r="LVS1" s="69" t="s">
        <v>8874</v>
      </c>
      <c r="LVT1" s="69" t="s">
        <v>8875</v>
      </c>
      <c r="LVU1" s="69" t="s">
        <v>8876</v>
      </c>
      <c r="LVV1" s="69" t="s">
        <v>8877</v>
      </c>
      <c r="LVW1" s="69" t="s">
        <v>8878</v>
      </c>
      <c r="LVX1" s="69" t="s">
        <v>8879</v>
      </c>
      <c r="LVY1" s="69" t="s">
        <v>8880</v>
      </c>
      <c r="LVZ1" s="69" t="s">
        <v>8881</v>
      </c>
      <c r="LWA1" s="69" t="s">
        <v>8882</v>
      </c>
      <c r="LWB1" s="69" t="s">
        <v>8883</v>
      </c>
      <c r="LWC1" s="69" t="s">
        <v>8884</v>
      </c>
      <c r="LWD1" s="69" t="s">
        <v>8885</v>
      </c>
      <c r="LWE1" s="69" t="s">
        <v>8886</v>
      </c>
      <c r="LWF1" s="69" t="s">
        <v>8887</v>
      </c>
      <c r="LWG1" s="69" t="s">
        <v>8888</v>
      </c>
      <c r="LWH1" s="69" t="s">
        <v>8889</v>
      </c>
      <c r="LWI1" s="69" t="s">
        <v>8890</v>
      </c>
      <c r="LWJ1" s="69" t="s">
        <v>8891</v>
      </c>
      <c r="LWK1" s="69" t="s">
        <v>8892</v>
      </c>
      <c r="LWL1" s="69" t="s">
        <v>8893</v>
      </c>
      <c r="LWM1" s="69" t="s">
        <v>8894</v>
      </c>
      <c r="LWN1" s="69" t="s">
        <v>8895</v>
      </c>
      <c r="LWO1" s="69" t="s">
        <v>8896</v>
      </c>
      <c r="LWP1" s="69" t="s">
        <v>8897</v>
      </c>
      <c r="LWQ1" s="69" t="s">
        <v>8898</v>
      </c>
      <c r="LWR1" s="69" t="s">
        <v>8899</v>
      </c>
      <c r="LWS1" s="69" t="s">
        <v>8900</v>
      </c>
      <c r="LWT1" s="69" t="s">
        <v>8901</v>
      </c>
      <c r="LWU1" s="69" t="s">
        <v>8902</v>
      </c>
      <c r="LWV1" s="69" t="s">
        <v>8903</v>
      </c>
      <c r="LWW1" s="69" t="s">
        <v>8904</v>
      </c>
      <c r="LWX1" s="69" t="s">
        <v>8905</v>
      </c>
      <c r="LWY1" s="69" t="s">
        <v>8906</v>
      </c>
      <c r="LWZ1" s="69" t="s">
        <v>8907</v>
      </c>
      <c r="LXA1" s="69" t="s">
        <v>8908</v>
      </c>
      <c r="LXB1" s="69" t="s">
        <v>8909</v>
      </c>
      <c r="LXC1" s="69" t="s">
        <v>8910</v>
      </c>
      <c r="LXD1" s="69" t="s">
        <v>8911</v>
      </c>
      <c r="LXE1" s="69" t="s">
        <v>8912</v>
      </c>
      <c r="LXF1" s="69" t="s">
        <v>8913</v>
      </c>
      <c r="LXG1" s="69" t="s">
        <v>8914</v>
      </c>
      <c r="LXH1" s="69" t="s">
        <v>8915</v>
      </c>
      <c r="LXI1" s="69" t="s">
        <v>8916</v>
      </c>
      <c r="LXJ1" s="69" t="s">
        <v>8917</v>
      </c>
      <c r="LXK1" s="69" t="s">
        <v>8918</v>
      </c>
      <c r="LXL1" s="69" t="s">
        <v>8919</v>
      </c>
      <c r="LXM1" s="69" t="s">
        <v>8920</v>
      </c>
      <c r="LXN1" s="69" t="s">
        <v>8921</v>
      </c>
      <c r="LXO1" s="69" t="s">
        <v>8922</v>
      </c>
      <c r="LXP1" s="69" t="s">
        <v>8923</v>
      </c>
      <c r="LXQ1" s="69" t="s">
        <v>8924</v>
      </c>
      <c r="LXR1" s="69" t="s">
        <v>8925</v>
      </c>
      <c r="LXS1" s="69" t="s">
        <v>8926</v>
      </c>
      <c r="LXT1" s="69" t="s">
        <v>8927</v>
      </c>
      <c r="LXU1" s="69" t="s">
        <v>8928</v>
      </c>
      <c r="LXV1" s="69" t="s">
        <v>8929</v>
      </c>
      <c r="LXW1" s="69" t="s">
        <v>8930</v>
      </c>
      <c r="LXX1" s="69" t="s">
        <v>8931</v>
      </c>
      <c r="LXY1" s="69" t="s">
        <v>8932</v>
      </c>
      <c r="LXZ1" s="69" t="s">
        <v>8933</v>
      </c>
      <c r="LYA1" s="69" t="s">
        <v>8934</v>
      </c>
      <c r="LYB1" s="69" t="s">
        <v>8935</v>
      </c>
      <c r="LYC1" s="69" t="s">
        <v>8936</v>
      </c>
      <c r="LYD1" s="69" t="s">
        <v>8937</v>
      </c>
      <c r="LYE1" s="69" t="s">
        <v>8938</v>
      </c>
      <c r="LYF1" s="69" t="s">
        <v>8939</v>
      </c>
      <c r="LYG1" s="69" t="s">
        <v>8940</v>
      </c>
      <c r="LYH1" s="69" t="s">
        <v>8941</v>
      </c>
      <c r="LYI1" s="69" t="s">
        <v>8942</v>
      </c>
      <c r="LYJ1" s="69" t="s">
        <v>8943</v>
      </c>
      <c r="LYK1" s="69" t="s">
        <v>8944</v>
      </c>
      <c r="LYL1" s="69" t="s">
        <v>8945</v>
      </c>
      <c r="LYM1" s="69" t="s">
        <v>8946</v>
      </c>
      <c r="LYN1" s="69" t="s">
        <v>8947</v>
      </c>
      <c r="LYO1" s="69" t="s">
        <v>8948</v>
      </c>
      <c r="LYP1" s="69" t="s">
        <v>8949</v>
      </c>
      <c r="LYQ1" s="69" t="s">
        <v>8950</v>
      </c>
      <c r="LYR1" s="69" t="s">
        <v>8951</v>
      </c>
      <c r="LYS1" s="69" t="s">
        <v>8952</v>
      </c>
      <c r="LYT1" s="69" t="s">
        <v>8953</v>
      </c>
      <c r="LYU1" s="69" t="s">
        <v>8954</v>
      </c>
      <c r="LYV1" s="69" t="s">
        <v>8955</v>
      </c>
      <c r="LYW1" s="69" t="s">
        <v>8956</v>
      </c>
      <c r="LYX1" s="69" t="s">
        <v>8957</v>
      </c>
      <c r="LYY1" s="69" t="s">
        <v>8958</v>
      </c>
      <c r="LYZ1" s="69" t="s">
        <v>8959</v>
      </c>
      <c r="LZA1" s="69" t="s">
        <v>8960</v>
      </c>
      <c r="LZB1" s="69" t="s">
        <v>8961</v>
      </c>
      <c r="LZC1" s="69" t="s">
        <v>8962</v>
      </c>
      <c r="LZD1" s="69" t="s">
        <v>8963</v>
      </c>
      <c r="LZE1" s="69" t="s">
        <v>8964</v>
      </c>
      <c r="LZF1" s="69" t="s">
        <v>8965</v>
      </c>
      <c r="LZG1" s="69" t="s">
        <v>8966</v>
      </c>
      <c r="LZH1" s="69" t="s">
        <v>8967</v>
      </c>
      <c r="LZI1" s="69" t="s">
        <v>8968</v>
      </c>
      <c r="LZJ1" s="69" t="s">
        <v>8969</v>
      </c>
      <c r="LZK1" s="69" t="s">
        <v>8970</v>
      </c>
      <c r="LZL1" s="69" t="s">
        <v>8971</v>
      </c>
      <c r="LZM1" s="69" t="s">
        <v>8972</v>
      </c>
      <c r="LZN1" s="69" t="s">
        <v>8973</v>
      </c>
      <c r="LZO1" s="69" t="s">
        <v>8974</v>
      </c>
      <c r="LZP1" s="69" t="s">
        <v>8975</v>
      </c>
      <c r="LZQ1" s="69" t="s">
        <v>8976</v>
      </c>
      <c r="LZR1" s="69" t="s">
        <v>8977</v>
      </c>
      <c r="LZS1" s="69" t="s">
        <v>8978</v>
      </c>
      <c r="LZT1" s="69" t="s">
        <v>8979</v>
      </c>
      <c r="LZU1" s="69" t="s">
        <v>8980</v>
      </c>
      <c r="LZV1" s="69" t="s">
        <v>8981</v>
      </c>
      <c r="LZW1" s="69" t="s">
        <v>8982</v>
      </c>
      <c r="LZX1" s="69" t="s">
        <v>8983</v>
      </c>
      <c r="LZY1" s="69" t="s">
        <v>8984</v>
      </c>
      <c r="LZZ1" s="69" t="s">
        <v>8985</v>
      </c>
      <c r="MAA1" s="69" t="s">
        <v>8986</v>
      </c>
      <c r="MAB1" s="69" t="s">
        <v>8987</v>
      </c>
      <c r="MAC1" s="69" t="s">
        <v>8988</v>
      </c>
      <c r="MAD1" s="69" t="s">
        <v>8989</v>
      </c>
      <c r="MAE1" s="69" t="s">
        <v>8990</v>
      </c>
      <c r="MAF1" s="69" t="s">
        <v>8991</v>
      </c>
      <c r="MAG1" s="69" t="s">
        <v>8992</v>
      </c>
      <c r="MAH1" s="69" t="s">
        <v>8993</v>
      </c>
      <c r="MAI1" s="69" t="s">
        <v>8994</v>
      </c>
      <c r="MAJ1" s="69" t="s">
        <v>8995</v>
      </c>
      <c r="MAK1" s="69" t="s">
        <v>8996</v>
      </c>
      <c r="MAL1" s="69" t="s">
        <v>8997</v>
      </c>
      <c r="MAM1" s="69" t="s">
        <v>8998</v>
      </c>
      <c r="MAN1" s="69" t="s">
        <v>8999</v>
      </c>
      <c r="MAO1" s="69" t="s">
        <v>9000</v>
      </c>
      <c r="MAP1" s="69" t="s">
        <v>9001</v>
      </c>
      <c r="MAQ1" s="69" t="s">
        <v>9002</v>
      </c>
      <c r="MAR1" s="69" t="s">
        <v>9003</v>
      </c>
      <c r="MAS1" s="69" t="s">
        <v>9004</v>
      </c>
      <c r="MAT1" s="69" t="s">
        <v>9005</v>
      </c>
      <c r="MAU1" s="69" t="s">
        <v>9006</v>
      </c>
      <c r="MAV1" s="69" t="s">
        <v>9007</v>
      </c>
      <c r="MAW1" s="69" t="s">
        <v>9008</v>
      </c>
      <c r="MAX1" s="69" t="s">
        <v>9009</v>
      </c>
      <c r="MAY1" s="69" t="s">
        <v>9010</v>
      </c>
      <c r="MAZ1" s="69" t="s">
        <v>9011</v>
      </c>
      <c r="MBA1" s="69" t="s">
        <v>9012</v>
      </c>
      <c r="MBB1" s="69" t="s">
        <v>9013</v>
      </c>
      <c r="MBC1" s="69" t="s">
        <v>9014</v>
      </c>
      <c r="MBD1" s="69" t="s">
        <v>9015</v>
      </c>
      <c r="MBE1" s="69" t="s">
        <v>9016</v>
      </c>
      <c r="MBF1" s="69" t="s">
        <v>9017</v>
      </c>
      <c r="MBG1" s="69" t="s">
        <v>9018</v>
      </c>
      <c r="MBH1" s="69" t="s">
        <v>9019</v>
      </c>
      <c r="MBI1" s="69" t="s">
        <v>9020</v>
      </c>
      <c r="MBJ1" s="69" t="s">
        <v>9021</v>
      </c>
      <c r="MBK1" s="69" t="s">
        <v>9022</v>
      </c>
      <c r="MBL1" s="69" t="s">
        <v>9023</v>
      </c>
      <c r="MBM1" s="69" t="s">
        <v>9024</v>
      </c>
      <c r="MBN1" s="69" t="s">
        <v>9025</v>
      </c>
      <c r="MBO1" s="69" t="s">
        <v>9026</v>
      </c>
      <c r="MBP1" s="69" t="s">
        <v>9027</v>
      </c>
      <c r="MBQ1" s="69" t="s">
        <v>9028</v>
      </c>
      <c r="MBR1" s="69" t="s">
        <v>9029</v>
      </c>
      <c r="MBS1" s="69" t="s">
        <v>9030</v>
      </c>
      <c r="MBT1" s="69" t="s">
        <v>9031</v>
      </c>
      <c r="MBU1" s="69" t="s">
        <v>9032</v>
      </c>
      <c r="MBV1" s="69" t="s">
        <v>9033</v>
      </c>
      <c r="MBW1" s="69" t="s">
        <v>9034</v>
      </c>
      <c r="MBX1" s="69" t="s">
        <v>9035</v>
      </c>
      <c r="MBY1" s="69" t="s">
        <v>9036</v>
      </c>
      <c r="MBZ1" s="69" t="s">
        <v>9037</v>
      </c>
      <c r="MCA1" s="69" t="s">
        <v>9038</v>
      </c>
      <c r="MCB1" s="69" t="s">
        <v>9039</v>
      </c>
      <c r="MCC1" s="69" t="s">
        <v>9040</v>
      </c>
      <c r="MCD1" s="69" t="s">
        <v>9041</v>
      </c>
      <c r="MCE1" s="69" t="s">
        <v>9042</v>
      </c>
      <c r="MCF1" s="69" t="s">
        <v>9043</v>
      </c>
      <c r="MCG1" s="69" t="s">
        <v>9044</v>
      </c>
      <c r="MCH1" s="69" t="s">
        <v>9045</v>
      </c>
      <c r="MCI1" s="69" t="s">
        <v>9046</v>
      </c>
      <c r="MCJ1" s="69" t="s">
        <v>9047</v>
      </c>
      <c r="MCK1" s="69" t="s">
        <v>9048</v>
      </c>
      <c r="MCL1" s="69" t="s">
        <v>9049</v>
      </c>
      <c r="MCM1" s="69" t="s">
        <v>9050</v>
      </c>
      <c r="MCN1" s="69" t="s">
        <v>9051</v>
      </c>
      <c r="MCO1" s="69" t="s">
        <v>9052</v>
      </c>
      <c r="MCP1" s="69" t="s">
        <v>9053</v>
      </c>
      <c r="MCQ1" s="69" t="s">
        <v>9054</v>
      </c>
      <c r="MCR1" s="69" t="s">
        <v>9055</v>
      </c>
      <c r="MCS1" s="69" t="s">
        <v>9056</v>
      </c>
      <c r="MCT1" s="69" t="s">
        <v>9057</v>
      </c>
      <c r="MCU1" s="69" t="s">
        <v>9058</v>
      </c>
      <c r="MCV1" s="69" t="s">
        <v>9059</v>
      </c>
      <c r="MCW1" s="69" t="s">
        <v>9060</v>
      </c>
      <c r="MCX1" s="69" t="s">
        <v>9061</v>
      </c>
      <c r="MCY1" s="69" t="s">
        <v>9062</v>
      </c>
      <c r="MCZ1" s="69" t="s">
        <v>9063</v>
      </c>
      <c r="MDA1" s="69" t="s">
        <v>9064</v>
      </c>
      <c r="MDB1" s="69" t="s">
        <v>9065</v>
      </c>
      <c r="MDC1" s="69" t="s">
        <v>9066</v>
      </c>
      <c r="MDD1" s="69" t="s">
        <v>9067</v>
      </c>
      <c r="MDE1" s="69" t="s">
        <v>9068</v>
      </c>
      <c r="MDF1" s="69" t="s">
        <v>9069</v>
      </c>
      <c r="MDG1" s="69" t="s">
        <v>9070</v>
      </c>
      <c r="MDH1" s="69" t="s">
        <v>9071</v>
      </c>
      <c r="MDI1" s="69" t="s">
        <v>9072</v>
      </c>
      <c r="MDJ1" s="69" t="s">
        <v>9073</v>
      </c>
      <c r="MDK1" s="69" t="s">
        <v>9074</v>
      </c>
      <c r="MDL1" s="69" t="s">
        <v>9075</v>
      </c>
      <c r="MDM1" s="69" t="s">
        <v>9076</v>
      </c>
      <c r="MDN1" s="69" t="s">
        <v>9077</v>
      </c>
      <c r="MDO1" s="69" t="s">
        <v>9078</v>
      </c>
      <c r="MDP1" s="69" t="s">
        <v>9079</v>
      </c>
      <c r="MDQ1" s="69" t="s">
        <v>9080</v>
      </c>
      <c r="MDR1" s="69" t="s">
        <v>9081</v>
      </c>
      <c r="MDS1" s="69" t="s">
        <v>9082</v>
      </c>
      <c r="MDT1" s="69" t="s">
        <v>9083</v>
      </c>
      <c r="MDU1" s="69" t="s">
        <v>9084</v>
      </c>
      <c r="MDV1" s="69" t="s">
        <v>9085</v>
      </c>
      <c r="MDW1" s="69" t="s">
        <v>9086</v>
      </c>
      <c r="MDX1" s="69" t="s">
        <v>9087</v>
      </c>
      <c r="MDY1" s="69" t="s">
        <v>9088</v>
      </c>
      <c r="MDZ1" s="69" t="s">
        <v>9089</v>
      </c>
      <c r="MEA1" s="69" t="s">
        <v>9090</v>
      </c>
      <c r="MEB1" s="69" t="s">
        <v>9091</v>
      </c>
      <c r="MEC1" s="69" t="s">
        <v>9092</v>
      </c>
      <c r="MED1" s="69" t="s">
        <v>9093</v>
      </c>
      <c r="MEE1" s="69" t="s">
        <v>9094</v>
      </c>
      <c r="MEF1" s="69" t="s">
        <v>9095</v>
      </c>
      <c r="MEG1" s="69" t="s">
        <v>9096</v>
      </c>
      <c r="MEH1" s="69" t="s">
        <v>9097</v>
      </c>
      <c r="MEI1" s="69" t="s">
        <v>9098</v>
      </c>
      <c r="MEJ1" s="69" t="s">
        <v>9099</v>
      </c>
      <c r="MEK1" s="69" t="s">
        <v>9100</v>
      </c>
      <c r="MEL1" s="69" t="s">
        <v>9101</v>
      </c>
      <c r="MEM1" s="69" t="s">
        <v>9102</v>
      </c>
      <c r="MEN1" s="69" t="s">
        <v>9103</v>
      </c>
      <c r="MEO1" s="69" t="s">
        <v>9104</v>
      </c>
      <c r="MEP1" s="69" t="s">
        <v>9105</v>
      </c>
      <c r="MEQ1" s="69" t="s">
        <v>9106</v>
      </c>
      <c r="MER1" s="69" t="s">
        <v>9107</v>
      </c>
      <c r="MES1" s="69" t="s">
        <v>9108</v>
      </c>
      <c r="MET1" s="69" t="s">
        <v>9109</v>
      </c>
      <c r="MEU1" s="69" t="s">
        <v>9110</v>
      </c>
      <c r="MEV1" s="69" t="s">
        <v>9111</v>
      </c>
      <c r="MEW1" s="69" t="s">
        <v>9112</v>
      </c>
      <c r="MEX1" s="69" t="s">
        <v>9113</v>
      </c>
      <c r="MEY1" s="69" t="s">
        <v>9114</v>
      </c>
      <c r="MEZ1" s="69" t="s">
        <v>9115</v>
      </c>
      <c r="MFA1" s="69" t="s">
        <v>9116</v>
      </c>
      <c r="MFB1" s="69" t="s">
        <v>9117</v>
      </c>
      <c r="MFC1" s="69" t="s">
        <v>9118</v>
      </c>
      <c r="MFD1" s="69" t="s">
        <v>9119</v>
      </c>
      <c r="MFE1" s="69" t="s">
        <v>9120</v>
      </c>
      <c r="MFF1" s="69" t="s">
        <v>9121</v>
      </c>
      <c r="MFG1" s="69" t="s">
        <v>9122</v>
      </c>
      <c r="MFH1" s="69" t="s">
        <v>9123</v>
      </c>
      <c r="MFI1" s="69" t="s">
        <v>9124</v>
      </c>
      <c r="MFJ1" s="69" t="s">
        <v>9125</v>
      </c>
      <c r="MFK1" s="69" t="s">
        <v>9126</v>
      </c>
      <c r="MFL1" s="69" t="s">
        <v>9127</v>
      </c>
      <c r="MFM1" s="69" t="s">
        <v>9128</v>
      </c>
      <c r="MFN1" s="69" t="s">
        <v>9129</v>
      </c>
      <c r="MFO1" s="69" t="s">
        <v>9130</v>
      </c>
      <c r="MFP1" s="69" t="s">
        <v>9131</v>
      </c>
      <c r="MFQ1" s="69" t="s">
        <v>9132</v>
      </c>
      <c r="MFR1" s="69" t="s">
        <v>9133</v>
      </c>
      <c r="MFS1" s="69" t="s">
        <v>9134</v>
      </c>
      <c r="MFT1" s="69" t="s">
        <v>9135</v>
      </c>
      <c r="MFU1" s="69" t="s">
        <v>9136</v>
      </c>
      <c r="MFV1" s="69" t="s">
        <v>9137</v>
      </c>
      <c r="MFW1" s="69" t="s">
        <v>9138</v>
      </c>
      <c r="MFX1" s="69" t="s">
        <v>9139</v>
      </c>
      <c r="MFY1" s="69" t="s">
        <v>9140</v>
      </c>
      <c r="MFZ1" s="69" t="s">
        <v>9141</v>
      </c>
      <c r="MGA1" s="69" t="s">
        <v>9142</v>
      </c>
      <c r="MGB1" s="69" t="s">
        <v>9143</v>
      </c>
      <c r="MGC1" s="69" t="s">
        <v>9144</v>
      </c>
      <c r="MGD1" s="69" t="s">
        <v>9145</v>
      </c>
      <c r="MGE1" s="69" t="s">
        <v>9146</v>
      </c>
      <c r="MGF1" s="69" t="s">
        <v>9147</v>
      </c>
      <c r="MGG1" s="69" t="s">
        <v>9148</v>
      </c>
      <c r="MGH1" s="69" t="s">
        <v>9149</v>
      </c>
      <c r="MGI1" s="69" t="s">
        <v>9150</v>
      </c>
      <c r="MGJ1" s="69" t="s">
        <v>9151</v>
      </c>
      <c r="MGK1" s="69" t="s">
        <v>9152</v>
      </c>
      <c r="MGL1" s="69" t="s">
        <v>9153</v>
      </c>
      <c r="MGM1" s="69" t="s">
        <v>9154</v>
      </c>
      <c r="MGN1" s="69" t="s">
        <v>9155</v>
      </c>
      <c r="MGO1" s="69" t="s">
        <v>9156</v>
      </c>
      <c r="MGP1" s="69" t="s">
        <v>9157</v>
      </c>
      <c r="MGQ1" s="69" t="s">
        <v>9158</v>
      </c>
      <c r="MGR1" s="69" t="s">
        <v>9159</v>
      </c>
      <c r="MGS1" s="69" t="s">
        <v>9160</v>
      </c>
      <c r="MGT1" s="69" t="s">
        <v>9161</v>
      </c>
      <c r="MGU1" s="69" t="s">
        <v>9162</v>
      </c>
      <c r="MGV1" s="69" t="s">
        <v>9163</v>
      </c>
      <c r="MGW1" s="69" t="s">
        <v>9164</v>
      </c>
      <c r="MGX1" s="69" t="s">
        <v>9165</v>
      </c>
      <c r="MGY1" s="69" t="s">
        <v>9166</v>
      </c>
      <c r="MGZ1" s="69" t="s">
        <v>9167</v>
      </c>
      <c r="MHA1" s="69" t="s">
        <v>9168</v>
      </c>
      <c r="MHB1" s="69" t="s">
        <v>9169</v>
      </c>
      <c r="MHC1" s="69" t="s">
        <v>9170</v>
      </c>
      <c r="MHD1" s="69" t="s">
        <v>9171</v>
      </c>
      <c r="MHE1" s="69" t="s">
        <v>9172</v>
      </c>
      <c r="MHF1" s="69" t="s">
        <v>9173</v>
      </c>
      <c r="MHG1" s="69" t="s">
        <v>9174</v>
      </c>
      <c r="MHH1" s="69" t="s">
        <v>9175</v>
      </c>
      <c r="MHI1" s="69" t="s">
        <v>9176</v>
      </c>
      <c r="MHJ1" s="69" t="s">
        <v>9177</v>
      </c>
      <c r="MHK1" s="69" t="s">
        <v>9178</v>
      </c>
      <c r="MHL1" s="69" t="s">
        <v>9179</v>
      </c>
      <c r="MHM1" s="69" t="s">
        <v>9180</v>
      </c>
      <c r="MHN1" s="69" t="s">
        <v>9181</v>
      </c>
      <c r="MHO1" s="69" t="s">
        <v>9182</v>
      </c>
      <c r="MHP1" s="69" t="s">
        <v>9183</v>
      </c>
      <c r="MHQ1" s="69" t="s">
        <v>9184</v>
      </c>
      <c r="MHR1" s="69" t="s">
        <v>9185</v>
      </c>
      <c r="MHS1" s="69" t="s">
        <v>9186</v>
      </c>
      <c r="MHT1" s="69" t="s">
        <v>9187</v>
      </c>
      <c r="MHU1" s="69" t="s">
        <v>9188</v>
      </c>
      <c r="MHV1" s="69" t="s">
        <v>9189</v>
      </c>
      <c r="MHW1" s="69" t="s">
        <v>9190</v>
      </c>
      <c r="MHX1" s="69" t="s">
        <v>9191</v>
      </c>
      <c r="MHY1" s="69" t="s">
        <v>9192</v>
      </c>
      <c r="MHZ1" s="69" t="s">
        <v>9193</v>
      </c>
      <c r="MIA1" s="69" t="s">
        <v>9194</v>
      </c>
      <c r="MIB1" s="69" t="s">
        <v>9195</v>
      </c>
      <c r="MIC1" s="69" t="s">
        <v>9196</v>
      </c>
      <c r="MID1" s="69" t="s">
        <v>9197</v>
      </c>
      <c r="MIE1" s="69" t="s">
        <v>9198</v>
      </c>
      <c r="MIF1" s="69" t="s">
        <v>9199</v>
      </c>
      <c r="MIG1" s="69" t="s">
        <v>9200</v>
      </c>
      <c r="MIH1" s="69" t="s">
        <v>9201</v>
      </c>
      <c r="MII1" s="69" t="s">
        <v>9202</v>
      </c>
      <c r="MIJ1" s="69" t="s">
        <v>9203</v>
      </c>
      <c r="MIK1" s="69" t="s">
        <v>9204</v>
      </c>
      <c r="MIL1" s="69" t="s">
        <v>9205</v>
      </c>
      <c r="MIM1" s="69" t="s">
        <v>9206</v>
      </c>
      <c r="MIN1" s="69" t="s">
        <v>9207</v>
      </c>
      <c r="MIO1" s="69" t="s">
        <v>9208</v>
      </c>
      <c r="MIP1" s="69" t="s">
        <v>9209</v>
      </c>
      <c r="MIQ1" s="69" t="s">
        <v>9210</v>
      </c>
      <c r="MIR1" s="69" t="s">
        <v>9211</v>
      </c>
      <c r="MIS1" s="69" t="s">
        <v>9212</v>
      </c>
      <c r="MIT1" s="69" t="s">
        <v>9213</v>
      </c>
      <c r="MIU1" s="69" t="s">
        <v>9214</v>
      </c>
      <c r="MIV1" s="69" t="s">
        <v>9215</v>
      </c>
      <c r="MIW1" s="69" t="s">
        <v>9216</v>
      </c>
      <c r="MIX1" s="69" t="s">
        <v>9217</v>
      </c>
      <c r="MIY1" s="69" t="s">
        <v>9218</v>
      </c>
      <c r="MIZ1" s="69" t="s">
        <v>9219</v>
      </c>
      <c r="MJA1" s="69" t="s">
        <v>9220</v>
      </c>
      <c r="MJB1" s="69" t="s">
        <v>9221</v>
      </c>
      <c r="MJC1" s="69" t="s">
        <v>9222</v>
      </c>
      <c r="MJD1" s="69" t="s">
        <v>9223</v>
      </c>
      <c r="MJE1" s="69" t="s">
        <v>9224</v>
      </c>
      <c r="MJF1" s="69" t="s">
        <v>9225</v>
      </c>
      <c r="MJG1" s="69" t="s">
        <v>9226</v>
      </c>
      <c r="MJH1" s="69" t="s">
        <v>9227</v>
      </c>
      <c r="MJI1" s="69" t="s">
        <v>9228</v>
      </c>
      <c r="MJJ1" s="69" t="s">
        <v>9229</v>
      </c>
      <c r="MJK1" s="69" t="s">
        <v>9230</v>
      </c>
      <c r="MJL1" s="69" t="s">
        <v>9231</v>
      </c>
      <c r="MJM1" s="69" t="s">
        <v>9232</v>
      </c>
      <c r="MJN1" s="69" t="s">
        <v>9233</v>
      </c>
      <c r="MJO1" s="69" t="s">
        <v>9234</v>
      </c>
      <c r="MJP1" s="69" t="s">
        <v>9235</v>
      </c>
      <c r="MJQ1" s="69" t="s">
        <v>9236</v>
      </c>
      <c r="MJR1" s="69" t="s">
        <v>9237</v>
      </c>
      <c r="MJS1" s="69" t="s">
        <v>9238</v>
      </c>
      <c r="MJT1" s="69" t="s">
        <v>9239</v>
      </c>
      <c r="MJU1" s="69" t="s">
        <v>9240</v>
      </c>
      <c r="MJV1" s="69" t="s">
        <v>9241</v>
      </c>
      <c r="MJW1" s="69" t="s">
        <v>9242</v>
      </c>
      <c r="MJX1" s="69" t="s">
        <v>9243</v>
      </c>
      <c r="MJY1" s="69" t="s">
        <v>9244</v>
      </c>
      <c r="MJZ1" s="69" t="s">
        <v>9245</v>
      </c>
      <c r="MKA1" s="69" t="s">
        <v>9246</v>
      </c>
      <c r="MKB1" s="69" t="s">
        <v>9247</v>
      </c>
      <c r="MKC1" s="69" t="s">
        <v>9248</v>
      </c>
      <c r="MKD1" s="69" t="s">
        <v>9249</v>
      </c>
      <c r="MKE1" s="69" t="s">
        <v>9250</v>
      </c>
      <c r="MKF1" s="69" t="s">
        <v>9251</v>
      </c>
      <c r="MKG1" s="69" t="s">
        <v>9252</v>
      </c>
      <c r="MKH1" s="69" t="s">
        <v>9253</v>
      </c>
      <c r="MKI1" s="69" t="s">
        <v>9254</v>
      </c>
      <c r="MKJ1" s="69" t="s">
        <v>9255</v>
      </c>
      <c r="MKK1" s="69" t="s">
        <v>9256</v>
      </c>
      <c r="MKL1" s="69" t="s">
        <v>9257</v>
      </c>
      <c r="MKM1" s="69" t="s">
        <v>9258</v>
      </c>
      <c r="MKN1" s="69" t="s">
        <v>9259</v>
      </c>
      <c r="MKO1" s="69" t="s">
        <v>9260</v>
      </c>
      <c r="MKP1" s="69" t="s">
        <v>9261</v>
      </c>
      <c r="MKQ1" s="69" t="s">
        <v>9262</v>
      </c>
      <c r="MKR1" s="69" t="s">
        <v>9263</v>
      </c>
      <c r="MKS1" s="69" t="s">
        <v>9264</v>
      </c>
      <c r="MKT1" s="69" t="s">
        <v>9265</v>
      </c>
      <c r="MKU1" s="69" t="s">
        <v>9266</v>
      </c>
      <c r="MKV1" s="69" t="s">
        <v>9267</v>
      </c>
      <c r="MKW1" s="69" t="s">
        <v>9268</v>
      </c>
      <c r="MKX1" s="69" t="s">
        <v>9269</v>
      </c>
      <c r="MKY1" s="69" t="s">
        <v>9270</v>
      </c>
      <c r="MKZ1" s="69" t="s">
        <v>9271</v>
      </c>
      <c r="MLA1" s="69" t="s">
        <v>9272</v>
      </c>
      <c r="MLB1" s="69" t="s">
        <v>9273</v>
      </c>
      <c r="MLC1" s="69" t="s">
        <v>9274</v>
      </c>
      <c r="MLD1" s="69" t="s">
        <v>9275</v>
      </c>
      <c r="MLE1" s="69" t="s">
        <v>9276</v>
      </c>
      <c r="MLF1" s="69" t="s">
        <v>9277</v>
      </c>
      <c r="MLG1" s="69" t="s">
        <v>9278</v>
      </c>
      <c r="MLH1" s="69" t="s">
        <v>9279</v>
      </c>
      <c r="MLI1" s="69" t="s">
        <v>9280</v>
      </c>
      <c r="MLJ1" s="69" t="s">
        <v>9281</v>
      </c>
      <c r="MLK1" s="69" t="s">
        <v>9282</v>
      </c>
      <c r="MLL1" s="69" t="s">
        <v>9283</v>
      </c>
      <c r="MLM1" s="69" t="s">
        <v>9284</v>
      </c>
      <c r="MLN1" s="69" t="s">
        <v>9285</v>
      </c>
      <c r="MLO1" s="69" t="s">
        <v>9286</v>
      </c>
      <c r="MLP1" s="69" t="s">
        <v>9287</v>
      </c>
      <c r="MLQ1" s="69" t="s">
        <v>9288</v>
      </c>
      <c r="MLR1" s="69" t="s">
        <v>9289</v>
      </c>
      <c r="MLS1" s="69" t="s">
        <v>9290</v>
      </c>
      <c r="MLT1" s="69" t="s">
        <v>9291</v>
      </c>
      <c r="MLU1" s="69" t="s">
        <v>9292</v>
      </c>
      <c r="MLV1" s="69" t="s">
        <v>9293</v>
      </c>
      <c r="MLW1" s="69" t="s">
        <v>9294</v>
      </c>
      <c r="MLX1" s="69" t="s">
        <v>9295</v>
      </c>
      <c r="MLY1" s="69" t="s">
        <v>9296</v>
      </c>
      <c r="MLZ1" s="69" t="s">
        <v>9297</v>
      </c>
      <c r="MMA1" s="69" t="s">
        <v>9298</v>
      </c>
      <c r="MMB1" s="69" t="s">
        <v>9299</v>
      </c>
      <c r="MMC1" s="69" t="s">
        <v>9300</v>
      </c>
      <c r="MMD1" s="69" t="s">
        <v>9301</v>
      </c>
      <c r="MME1" s="69" t="s">
        <v>9302</v>
      </c>
      <c r="MMF1" s="69" t="s">
        <v>9303</v>
      </c>
      <c r="MMG1" s="69" t="s">
        <v>9304</v>
      </c>
      <c r="MMH1" s="69" t="s">
        <v>9305</v>
      </c>
      <c r="MMI1" s="69" t="s">
        <v>9306</v>
      </c>
      <c r="MMJ1" s="69" t="s">
        <v>9307</v>
      </c>
      <c r="MMK1" s="69" t="s">
        <v>9308</v>
      </c>
      <c r="MML1" s="69" t="s">
        <v>9309</v>
      </c>
      <c r="MMM1" s="69" t="s">
        <v>9310</v>
      </c>
      <c r="MMN1" s="69" t="s">
        <v>9311</v>
      </c>
      <c r="MMO1" s="69" t="s">
        <v>9312</v>
      </c>
      <c r="MMP1" s="69" t="s">
        <v>9313</v>
      </c>
      <c r="MMQ1" s="69" t="s">
        <v>9314</v>
      </c>
      <c r="MMR1" s="69" t="s">
        <v>9315</v>
      </c>
      <c r="MMS1" s="69" t="s">
        <v>9316</v>
      </c>
      <c r="MMT1" s="69" t="s">
        <v>9317</v>
      </c>
      <c r="MMU1" s="69" t="s">
        <v>9318</v>
      </c>
      <c r="MMV1" s="69" t="s">
        <v>9319</v>
      </c>
      <c r="MMW1" s="69" t="s">
        <v>9320</v>
      </c>
      <c r="MMX1" s="69" t="s">
        <v>9321</v>
      </c>
      <c r="MMY1" s="69" t="s">
        <v>9322</v>
      </c>
      <c r="MMZ1" s="69" t="s">
        <v>9323</v>
      </c>
      <c r="MNA1" s="69" t="s">
        <v>9324</v>
      </c>
      <c r="MNB1" s="69" t="s">
        <v>9325</v>
      </c>
      <c r="MNC1" s="69" t="s">
        <v>9326</v>
      </c>
      <c r="MND1" s="69" t="s">
        <v>9327</v>
      </c>
      <c r="MNE1" s="69" t="s">
        <v>9328</v>
      </c>
      <c r="MNF1" s="69" t="s">
        <v>9329</v>
      </c>
      <c r="MNG1" s="69" t="s">
        <v>9330</v>
      </c>
      <c r="MNH1" s="69" t="s">
        <v>9331</v>
      </c>
      <c r="MNI1" s="69" t="s">
        <v>9332</v>
      </c>
      <c r="MNJ1" s="69" t="s">
        <v>9333</v>
      </c>
      <c r="MNK1" s="69" t="s">
        <v>9334</v>
      </c>
      <c r="MNL1" s="69" t="s">
        <v>9335</v>
      </c>
      <c r="MNM1" s="69" t="s">
        <v>9336</v>
      </c>
      <c r="MNN1" s="69" t="s">
        <v>9337</v>
      </c>
      <c r="MNO1" s="69" t="s">
        <v>9338</v>
      </c>
      <c r="MNP1" s="69" t="s">
        <v>9339</v>
      </c>
      <c r="MNQ1" s="69" t="s">
        <v>9340</v>
      </c>
      <c r="MNR1" s="69" t="s">
        <v>9341</v>
      </c>
      <c r="MNS1" s="69" t="s">
        <v>9342</v>
      </c>
      <c r="MNT1" s="69" t="s">
        <v>9343</v>
      </c>
      <c r="MNU1" s="69" t="s">
        <v>9344</v>
      </c>
      <c r="MNV1" s="69" t="s">
        <v>9345</v>
      </c>
      <c r="MNW1" s="69" t="s">
        <v>9346</v>
      </c>
      <c r="MNX1" s="69" t="s">
        <v>9347</v>
      </c>
      <c r="MNY1" s="69" t="s">
        <v>9348</v>
      </c>
      <c r="MNZ1" s="69" t="s">
        <v>9349</v>
      </c>
      <c r="MOA1" s="69" t="s">
        <v>9350</v>
      </c>
      <c r="MOB1" s="69" t="s">
        <v>9351</v>
      </c>
      <c r="MOC1" s="69" t="s">
        <v>9352</v>
      </c>
      <c r="MOD1" s="69" t="s">
        <v>9353</v>
      </c>
      <c r="MOE1" s="69" t="s">
        <v>9354</v>
      </c>
      <c r="MOF1" s="69" t="s">
        <v>9355</v>
      </c>
      <c r="MOG1" s="69" t="s">
        <v>9356</v>
      </c>
      <c r="MOH1" s="69" t="s">
        <v>9357</v>
      </c>
      <c r="MOI1" s="69" t="s">
        <v>9358</v>
      </c>
      <c r="MOJ1" s="69" t="s">
        <v>9359</v>
      </c>
      <c r="MOK1" s="69" t="s">
        <v>9360</v>
      </c>
      <c r="MOL1" s="69" t="s">
        <v>9361</v>
      </c>
      <c r="MOM1" s="69" t="s">
        <v>9362</v>
      </c>
      <c r="MON1" s="69" t="s">
        <v>9363</v>
      </c>
      <c r="MOO1" s="69" t="s">
        <v>9364</v>
      </c>
      <c r="MOP1" s="69" t="s">
        <v>9365</v>
      </c>
      <c r="MOQ1" s="69" t="s">
        <v>9366</v>
      </c>
      <c r="MOR1" s="69" t="s">
        <v>9367</v>
      </c>
      <c r="MOS1" s="69" t="s">
        <v>9368</v>
      </c>
      <c r="MOT1" s="69" t="s">
        <v>9369</v>
      </c>
      <c r="MOU1" s="69" t="s">
        <v>9370</v>
      </c>
      <c r="MOV1" s="69" t="s">
        <v>9371</v>
      </c>
      <c r="MOW1" s="69" t="s">
        <v>9372</v>
      </c>
      <c r="MOX1" s="69" t="s">
        <v>9373</v>
      </c>
      <c r="MOY1" s="69" t="s">
        <v>9374</v>
      </c>
      <c r="MOZ1" s="69" t="s">
        <v>9375</v>
      </c>
      <c r="MPA1" s="69" t="s">
        <v>9376</v>
      </c>
      <c r="MPB1" s="69" t="s">
        <v>9377</v>
      </c>
      <c r="MPC1" s="69" t="s">
        <v>9378</v>
      </c>
      <c r="MPD1" s="69" t="s">
        <v>9379</v>
      </c>
      <c r="MPE1" s="69" t="s">
        <v>9380</v>
      </c>
      <c r="MPF1" s="69" t="s">
        <v>9381</v>
      </c>
      <c r="MPG1" s="69" t="s">
        <v>9382</v>
      </c>
      <c r="MPH1" s="69" t="s">
        <v>9383</v>
      </c>
      <c r="MPI1" s="69" t="s">
        <v>9384</v>
      </c>
      <c r="MPJ1" s="69" t="s">
        <v>9385</v>
      </c>
      <c r="MPK1" s="69" t="s">
        <v>9386</v>
      </c>
      <c r="MPL1" s="69" t="s">
        <v>9387</v>
      </c>
      <c r="MPM1" s="69" t="s">
        <v>9388</v>
      </c>
      <c r="MPN1" s="69" t="s">
        <v>9389</v>
      </c>
      <c r="MPO1" s="69" t="s">
        <v>9390</v>
      </c>
      <c r="MPP1" s="69" t="s">
        <v>9391</v>
      </c>
      <c r="MPQ1" s="69" t="s">
        <v>9392</v>
      </c>
      <c r="MPR1" s="69" t="s">
        <v>9393</v>
      </c>
      <c r="MPS1" s="69" t="s">
        <v>9394</v>
      </c>
      <c r="MPT1" s="69" t="s">
        <v>9395</v>
      </c>
      <c r="MPU1" s="69" t="s">
        <v>9396</v>
      </c>
      <c r="MPV1" s="69" t="s">
        <v>9397</v>
      </c>
      <c r="MPW1" s="69" t="s">
        <v>9398</v>
      </c>
      <c r="MPX1" s="69" t="s">
        <v>9399</v>
      </c>
      <c r="MPY1" s="69" t="s">
        <v>9400</v>
      </c>
      <c r="MPZ1" s="69" t="s">
        <v>9401</v>
      </c>
      <c r="MQA1" s="69" t="s">
        <v>9402</v>
      </c>
      <c r="MQB1" s="69" t="s">
        <v>9403</v>
      </c>
      <c r="MQC1" s="69" t="s">
        <v>9404</v>
      </c>
      <c r="MQD1" s="69" t="s">
        <v>9405</v>
      </c>
      <c r="MQE1" s="69" t="s">
        <v>9406</v>
      </c>
      <c r="MQF1" s="69" t="s">
        <v>9407</v>
      </c>
      <c r="MQG1" s="69" t="s">
        <v>9408</v>
      </c>
      <c r="MQH1" s="69" t="s">
        <v>9409</v>
      </c>
      <c r="MQI1" s="69" t="s">
        <v>9410</v>
      </c>
      <c r="MQJ1" s="69" t="s">
        <v>9411</v>
      </c>
      <c r="MQK1" s="69" t="s">
        <v>9412</v>
      </c>
      <c r="MQL1" s="69" t="s">
        <v>9413</v>
      </c>
      <c r="MQM1" s="69" t="s">
        <v>9414</v>
      </c>
      <c r="MQN1" s="69" t="s">
        <v>9415</v>
      </c>
      <c r="MQO1" s="69" t="s">
        <v>9416</v>
      </c>
      <c r="MQP1" s="69" t="s">
        <v>9417</v>
      </c>
      <c r="MQQ1" s="69" t="s">
        <v>9418</v>
      </c>
      <c r="MQR1" s="69" t="s">
        <v>9419</v>
      </c>
      <c r="MQS1" s="69" t="s">
        <v>9420</v>
      </c>
      <c r="MQT1" s="69" t="s">
        <v>9421</v>
      </c>
      <c r="MQU1" s="69" t="s">
        <v>9422</v>
      </c>
      <c r="MQV1" s="69" t="s">
        <v>9423</v>
      </c>
      <c r="MQW1" s="69" t="s">
        <v>9424</v>
      </c>
      <c r="MQX1" s="69" t="s">
        <v>9425</v>
      </c>
      <c r="MQY1" s="69" t="s">
        <v>9426</v>
      </c>
      <c r="MQZ1" s="69" t="s">
        <v>9427</v>
      </c>
      <c r="MRA1" s="69" t="s">
        <v>9428</v>
      </c>
      <c r="MRB1" s="69" t="s">
        <v>9429</v>
      </c>
      <c r="MRC1" s="69" t="s">
        <v>9430</v>
      </c>
      <c r="MRD1" s="69" t="s">
        <v>9431</v>
      </c>
      <c r="MRE1" s="69" t="s">
        <v>9432</v>
      </c>
      <c r="MRF1" s="69" t="s">
        <v>9433</v>
      </c>
      <c r="MRG1" s="69" t="s">
        <v>9434</v>
      </c>
      <c r="MRH1" s="69" t="s">
        <v>9435</v>
      </c>
      <c r="MRI1" s="69" t="s">
        <v>9436</v>
      </c>
      <c r="MRJ1" s="69" t="s">
        <v>9437</v>
      </c>
      <c r="MRK1" s="69" t="s">
        <v>9438</v>
      </c>
      <c r="MRL1" s="69" t="s">
        <v>9439</v>
      </c>
      <c r="MRM1" s="69" t="s">
        <v>9440</v>
      </c>
      <c r="MRN1" s="69" t="s">
        <v>9441</v>
      </c>
      <c r="MRO1" s="69" t="s">
        <v>9442</v>
      </c>
      <c r="MRP1" s="69" t="s">
        <v>9443</v>
      </c>
      <c r="MRQ1" s="69" t="s">
        <v>9444</v>
      </c>
      <c r="MRR1" s="69" t="s">
        <v>9445</v>
      </c>
      <c r="MRS1" s="69" t="s">
        <v>9446</v>
      </c>
      <c r="MRT1" s="69" t="s">
        <v>9447</v>
      </c>
      <c r="MRU1" s="69" t="s">
        <v>9448</v>
      </c>
      <c r="MRV1" s="69" t="s">
        <v>9449</v>
      </c>
      <c r="MRW1" s="69" t="s">
        <v>9450</v>
      </c>
      <c r="MRX1" s="69" t="s">
        <v>9451</v>
      </c>
      <c r="MRY1" s="69" t="s">
        <v>9452</v>
      </c>
      <c r="MRZ1" s="69" t="s">
        <v>9453</v>
      </c>
      <c r="MSA1" s="69" t="s">
        <v>9454</v>
      </c>
      <c r="MSB1" s="69" t="s">
        <v>9455</v>
      </c>
      <c r="MSC1" s="69" t="s">
        <v>9456</v>
      </c>
      <c r="MSD1" s="69" t="s">
        <v>9457</v>
      </c>
      <c r="MSE1" s="69" t="s">
        <v>9458</v>
      </c>
      <c r="MSF1" s="69" t="s">
        <v>9459</v>
      </c>
      <c r="MSG1" s="69" t="s">
        <v>9460</v>
      </c>
      <c r="MSH1" s="69" t="s">
        <v>9461</v>
      </c>
      <c r="MSI1" s="69" t="s">
        <v>9462</v>
      </c>
      <c r="MSJ1" s="69" t="s">
        <v>9463</v>
      </c>
      <c r="MSK1" s="69" t="s">
        <v>9464</v>
      </c>
      <c r="MSL1" s="69" t="s">
        <v>9465</v>
      </c>
      <c r="MSM1" s="69" t="s">
        <v>9466</v>
      </c>
      <c r="MSN1" s="69" t="s">
        <v>9467</v>
      </c>
      <c r="MSO1" s="69" t="s">
        <v>9468</v>
      </c>
      <c r="MSP1" s="69" t="s">
        <v>9469</v>
      </c>
      <c r="MSQ1" s="69" t="s">
        <v>9470</v>
      </c>
      <c r="MSR1" s="69" t="s">
        <v>9471</v>
      </c>
      <c r="MSS1" s="69" t="s">
        <v>9472</v>
      </c>
      <c r="MST1" s="69" t="s">
        <v>9473</v>
      </c>
      <c r="MSU1" s="69" t="s">
        <v>9474</v>
      </c>
      <c r="MSV1" s="69" t="s">
        <v>9475</v>
      </c>
      <c r="MSW1" s="69" t="s">
        <v>9476</v>
      </c>
      <c r="MSX1" s="69" t="s">
        <v>9477</v>
      </c>
      <c r="MSY1" s="69" t="s">
        <v>9478</v>
      </c>
      <c r="MSZ1" s="69" t="s">
        <v>9479</v>
      </c>
      <c r="MTA1" s="69" t="s">
        <v>9480</v>
      </c>
      <c r="MTB1" s="69" t="s">
        <v>9481</v>
      </c>
      <c r="MTC1" s="69" t="s">
        <v>9482</v>
      </c>
      <c r="MTD1" s="69" t="s">
        <v>9483</v>
      </c>
      <c r="MTE1" s="69" t="s">
        <v>9484</v>
      </c>
      <c r="MTF1" s="69" t="s">
        <v>9485</v>
      </c>
      <c r="MTG1" s="69" t="s">
        <v>9486</v>
      </c>
      <c r="MTH1" s="69" t="s">
        <v>9487</v>
      </c>
      <c r="MTI1" s="69" t="s">
        <v>9488</v>
      </c>
      <c r="MTJ1" s="69" t="s">
        <v>9489</v>
      </c>
      <c r="MTK1" s="69" t="s">
        <v>9490</v>
      </c>
      <c r="MTL1" s="69" t="s">
        <v>9491</v>
      </c>
      <c r="MTM1" s="69" t="s">
        <v>9492</v>
      </c>
      <c r="MTN1" s="69" t="s">
        <v>9493</v>
      </c>
      <c r="MTO1" s="69" t="s">
        <v>9494</v>
      </c>
      <c r="MTP1" s="69" t="s">
        <v>9495</v>
      </c>
      <c r="MTQ1" s="69" t="s">
        <v>9496</v>
      </c>
      <c r="MTR1" s="69" t="s">
        <v>9497</v>
      </c>
      <c r="MTS1" s="69" t="s">
        <v>9498</v>
      </c>
      <c r="MTT1" s="69" t="s">
        <v>9499</v>
      </c>
      <c r="MTU1" s="69" t="s">
        <v>9500</v>
      </c>
      <c r="MTV1" s="69" t="s">
        <v>9501</v>
      </c>
      <c r="MTW1" s="69" t="s">
        <v>9502</v>
      </c>
      <c r="MTX1" s="69" t="s">
        <v>9503</v>
      </c>
      <c r="MTY1" s="69" t="s">
        <v>9504</v>
      </c>
      <c r="MTZ1" s="69" t="s">
        <v>9505</v>
      </c>
      <c r="MUA1" s="69" t="s">
        <v>9506</v>
      </c>
      <c r="MUB1" s="69" t="s">
        <v>9507</v>
      </c>
      <c r="MUC1" s="69" t="s">
        <v>9508</v>
      </c>
      <c r="MUD1" s="69" t="s">
        <v>9509</v>
      </c>
      <c r="MUE1" s="69" t="s">
        <v>9510</v>
      </c>
      <c r="MUF1" s="69" t="s">
        <v>9511</v>
      </c>
      <c r="MUG1" s="69" t="s">
        <v>9512</v>
      </c>
      <c r="MUH1" s="69" t="s">
        <v>9513</v>
      </c>
      <c r="MUI1" s="69" t="s">
        <v>9514</v>
      </c>
      <c r="MUJ1" s="69" t="s">
        <v>9515</v>
      </c>
      <c r="MUK1" s="69" t="s">
        <v>9516</v>
      </c>
      <c r="MUL1" s="69" t="s">
        <v>9517</v>
      </c>
      <c r="MUM1" s="69" t="s">
        <v>9518</v>
      </c>
      <c r="MUN1" s="69" t="s">
        <v>9519</v>
      </c>
      <c r="MUO1" s="69" t="s">
        <v>9520</v>
      </c>
      <c r="MUP1" s="69" t="s">
        <v>9521</v>
      </c>
      <c r="MUQ1" s="69" t="s">
        <v>9522</v>
      </c>
      <c r="MUR1" s="69" t="s">
        <v>9523</v>
      </c>
      <c r="MUS1" s="69" t="s">
        <v>9524</v>
      </c>
      <c r="MUT1" s="69" t="s">
        <v>9525</v>
      </c>
      <c r="MUU1" s="69" t="s">
        <v>9526</v>
      </c>
      <c r="MUV1" s="69" t="s">
        <v>9527</v>
      </c>
      <c r="MUW1" s="69" t="s">
        <v>9528</v>
      </c>
      <c r="MUX1" s="69" t="s">
        <v>9529</v>
      </c>
      <c r="MUY1" s="69" t="s">
        <v>9530</v>
      </c>
      <c r="MUZ1" s="69" t="s">
        <v>9531</v>
      </c>
      <c r="MVA1" s="69" t="s">
        <v>9532</v>
      </c>
      <c r="MVB1" s="69" t="s">
        <v>9533</v>
      </c>
      <c r="MVC1" s="69" t="s">
        <v>9534</v>
      </c>
      <c r="MVD1" s="69" t="s">
        <v>9535</v>
      </c>
      <c r="MVE1" s="69" t="s">
        <v>9536</v>
      </c>
      <c r="MVF1" s="69" t="s">
        <v>9537</v>
      </c>
      <c r="MVG1" s="69" t="s">
        <v>9538</v>
      </c>
      <c r="MVH1" s="69" t="s">
        <v>9539</v>
      </c>
      <c r="MVI1" s="69" t="s">
        <v>9540</v>
      </c>
      <c r="MVJ1" s="69" t="s">
        <v>9541</v>
      </c>
      <c r="MVK1" s="69" t="s">
        <v>9542</v>
      </c>
      <c r="MVL1" s="69" t="s">
        <v>9543</v>
      </c>
      <c r="MVM1" s="69" t="s">
        <v>9544</v>
      </c>
      <c r="MVN1" s="69" t="s">
        <v>9545</v>
      </c>
      <c r="MVO1" s="69" t="s">
        <v>9546</v>
      </c>
      <c r="MVP1" s="69" t="s">
        <v>9547</v>
      </c>
      <c r="MVQ1" s="69" t="s">
        <v>9548</v>
      </c>
      <c r="MVR1" s="69" t="s">
        <v>9549</v>
      </c>
      <c r="MVS1" s="69" t="s">
        <v>9550</v>
      </c>
      <c r="MVT1" s="69" t="s">
        <v>9551</v>
      </c>
      <c r="MVU1" s="69" t="s">
        <v>9552</v>
      </c>
      <c r="MVV1" s="69" t="s">
        <v>9553</v>
      </c>
      <c r="MVW1" s="69" t="s">
        <v>9554</v>
      </c>
      <c r="MVX1" s="69" t="s">
        <v>9555</v>
      </c>
      <c r="MVY1" s="69" t="s">
        <v>9556</v>
      </c>
      <c r="MVZ1" s="69" t="s">
        <v>9557</v>
      </c>
      <c r="MWA1" s="69" t="s">
        <v>9558</v>
      </c>
      <c r="MWB1" s="69" t="s">
        <v>9559</v>
      </c>
      <c r="MWC1" s="69" t="s">
        <v>9560</v>
      </c>
      <c r="MWD1" s="69" t="s">
        <v>9561</v>
      </c>
      <c r="MWE1" s="69" t="s">
        <v>9562</v>
      </c>
      <c r="MWF1" s="69" t="s">
        <v>9563</v>
      </c>
      <c r="MWG1" s="69" t="s">
        <v>9564</v>
      </c>
      <c r="MWH1" s="69" t="s">
        <v>9565</v>
      </c>
      <c r="MWI1" s="69" t="s">
        <v>9566</v>
      </c>
      <c r="MWJ1" s="69" t="s">
        <v>9567</v>
      </c>
      <c r="MWK1" s="69" t="s">
        <v>9568</v>
      </c>
      <c r="MWL1" s="69" t="s">
        <v>9569</v>
      </c>
      <c r="MWM1" s="69" t="s">
        <v>9570</v>
      </c>
      <c r="MWN1" s="69" t="s">
        <v>9571</v>
      </c>
      <c r="MWO1" s="69" t="s">
        <v>9572</v>
      </c>
      <c r="MWP1" s="69" t="s">
        <v>9573</v>
      </c>
      <c r="MWQ1" s="69" t="s">
        <v>9574</v>
      </c>
      <c r="MWR1" s="69" t="s">
        <v>9575</v>
      </c>
      <c r="MWS1" s="69" t="s">
        <v>9576</v>
      </c>
      <c r="MWT1" s="69" t="s">
        <v>9577</v>
      </c>
      <c r="MWU1" s="69" t="s">
        <v>9578</v>
      </c>
      <c r="MWV1" s="69" t="s">
        <v>9579</v>
      </c>
      <c r="MWW1" s="69" t="s">
        <v>9580</v>
      </c>
      <c r="MWX1" s="69" t="s">
        <v>9581</v>
      </c>
      <c r="MWY1" s="69" t="s">
        <v>9582</v>
      </c>
      <c r="MWZ1" s="69" t="s">
        <v>9583</v>
      </c>
      <c r="MXA1" s="69" t="s">
        <v>9584</v>
      </c>
      <c r="MXB1" s="69" t="s">
        <v>9585</v>
      </c>
      <c r="MXC1" s="69" t="s">
        <v>9586</v>
      </c>
      <c r="MXD1" s="69" t="s">
        <v>9587</v>
      </c>
      <c r="MXE1" s="69" t="s">
        <v>9588</v>
      </c>
      <c r="MXF1" s="69" t="s">
        <v>9589</v>
      </c>
      <c r="MXG1" s="69" t="s">
        <v>9590</v>
      </c>
      <c r="MXH1" s="69" t="s">
        <v>9591</v>
      </c>
      <c r="MXI1" s="69" t="s">
        <v>9592</v>
      </c>
      <c r="MXJ1" s="69" t="s">
        <v>9593</v>
      </c>
      <c r="MXK1" s="69" t="s">
        <v>9594</v>
      </c>
      <c r="MXL1" s="69" t="s">
        <v>9595</v>
      </c>
      <c r="MXM1" s="69" t="s">
        <v>9596</v>
      </c>
      <c r="MXN1" s="69" t="s">
        <v>9597</v>
      </c>
      <c r="MXO1" s="69" t="s">
        <v>9598</v>
      </c>
      <c r="MXP1" s="69" t="s">
        <v>9599</v>
      </c>
      <c r="MXQ1" s="69" t="s">
        <v>9600</v>
      </c>
      <c r="MXR1" s="69" t="s">
        <v>9601</v>
      </c>
      <c r="MXS1" s="69" t="s">
        <v>9602</v>
      </c>
      <c r="MXT1" s="69" t="s">
        <v>9603</v>
      </c>
      <c r="MXU1" s="69" t="s">
        <v>9604</v>
      </c>
      <c r="MXV1" s="69" t="s">
        <v>9605</v>
      </c>
      <c r="MXW1" s="69" t="s">
        <v>9606</v>
      </c>
      <c r="MXX1" s="69" t="s">
        <v>9607</v>
      </c>
      <c r="MXY1" s="69" t="s">
        <v>9608</v>
      </c>
      <c r="MXZ1" s="69" t="s">
        <v>9609</v>
      </c>
      <c r="MYA1" s="69" t="s">
        <v>9610</v>
      </c>
      <c r="MYB1" s="69" t="s">
        <v>9611</v>
      </c>
      <c r="MYC1" s="69" t="s">
        <v>9612</v>
      </c>
      <c r="MYD1" s="69" t="s">
        <v>9613</v>
      </c>
      <c r="MYE1" s="69" t="s">
        <v>9614</v>
      </c>
      <c r="MYF1" s="69" t="s">
        <v>9615</v>
      </c>
      <c r="MYG1" s="69" t="s">
        <v>9616</v>
      </c>
      <c r="MYH1" s="69" t="s">
        <v>9617</v>
      </c>
      <c r="MYI1" s="69" t="s">
        <v>9618</v>
      </c>
      <c r="MYJ1" s="69" t="s">
        <v>9619</v>
      </c>
      <c r="MYK1" s="69" t="s">
        <v>9620</v>
      </c>
      <c r="MYL1" s="69" t="s">
        <v>9621</v>
      </c>
      <c r="MYM1" s="69" t="s">
        <v>9622</v>
      </c>
      <c r="MYN1" s="69" t="s">
        <v>9623</v>
      </c>
      <c r="MYO1" s="69" t="s">
        <v>9624</v>
      </c>
      <c r="MYP1" s="69" t="s">
        <v>9625</v>
      </c>
      <c r="MYQ1" s="69" t="s">
        <v>9626</v>
      </c>
      <c r="MYR1" s="69" t="s">
        <v>9627</v>
      </c>
      <c r="MYS1" s="69" t="s">
        <v>9628</v>
      </c>
      <c r="MYT1" s="69" t="s">
        <v>9629</v>
      </c>
      <c r="MYU1" s="69" t="s">
        <v>9630</v>
      </c>
      <c r="MYV1" s="69" t="s">
        <v>9631</v>
      </c>
      <c r="MYW1" s="69" t="s">
        <v>9632</v>
      </c>
      <c r="MYX1" s="69" t="s">
        <v>9633</v>
      </c>
      <c r="MYY1" s="69" t="s">
        <v>9634</v>
      </c>
      <c r="MYZ1" s="69" t="s">
        <v>9635</v>
      </c>
      <c r="MZA1" s="69" t="s">
        <v>9636</v>
      </c>
      <c r="MZB1" s="69" t="s">
        <v>9637</v>
      </c>
      <c r="MZC1" s="69" t="s">
        <v>9638</v>
      </c>
      <c r="MZD1" s="69" t="s">
        <v>9639</v>
      </c>
      <c r="MZE1" s="69" t="s">
        <v>9640</v>
      </c>
      <c r="MZF1" s="69" t="s">
        <v>9641</v>
      </c>
      <c r="MZG1" s="69" t="s">
        <v>9642</v>
      </c>
      <c r="MZH1" s="69" t="s">
        <v>9643</v>
      </c>
      <c r="MZI1" s="69" t="s">
        <v>9644</v>
      </c>
      <c r="MZJ1" s="69" t="s">
        <v>9645</v>
      </c>
      <c r="MZK1" s="69" t="s">
        <v>9646</v>
      </c>
      <c r="MZL1" s="69" t="s">
        <v>9647</v>
      </c>
      <c r="MZM1" s="69" t="s">
        <v>9648</v>
      </c>
      <c r="MZN1" s="69" t="s">
        <v>9649</v>
      </c>
      <c r="MZO1" s="69" t="s">
        <v>9650</v>
      </c>
      <c r="MZP1" s="69" t="s">
        <v>9651</v>
      </c>
      <c r="MZQ1" s="69" t="s">
        <v>9652</v>
      </c>
      <c r="MZR1" s="69" t="s">
        <v>9653</v>
      </c>
      <c r="MZS1" s="69" t="s">
        <v>9654</v>
      </c>
      <c r="MZT1" s="69" t="s">
        <v>9655</v>
      </c>
      <c r="MZU1" s="69" t="s">
        <v>9656</v>
      </c>
      <c r="MZV1" s="69" t="s">
        <v>9657</v>
      </c>
      <c r="MZW1" s="69" t="s">
        <v>9658</v>
      </c>
      <c r="MZX1" s="69" t="s">
        <v>9659</v>
      </c>
      <c r="MZY1" s="69" t="s">
        <v>9660</v>
      </c>
      <c r="MZZ1" s="69" t="s">
        <v>9661</v>
      </c>
      <c r="NAA1" s="69" t="s">
        <v>9662</v>
      </c>
      <c r="NAB1" s="69" t="s">
        <v>9663</v>
      </c>
      <c r="NAC1" s="69" t="s">
        <v>9664</v>
      </c>
      <c r="NAD1" s="69" t="s">
        <v>9665</v>
      </c>
      <c r="NAE1" s="69" t="s">
        <v>9666</v>
      </c>
      <c r="NAF1" s="69" t="s">
        <v>9667</v>
      </c>
      <c r="NAG1" s="69" t="s">
        <v>9668</v>
      </c>
      <c r="NAH1" s="69" t="s">
        <v>9669</v>
      </c>
      <c r="NAI1" s="69" t="s">
        <v>9670</v>
      </c>
      <c r="NAJ1" s="69" t="s">
        <v>9671</v>
      </c>
      <c r="NAK1" s="69" t="s">
        <v>9672</v>
      </c>
      <c r="NAL1" s="69" t="s">
        <v>9673</v>
      </c>
      <c r="NAM1" s="69" t="s">
        <v>9674</v>
      </c>
      <c r="NAN1" s="69" t="s">
        <v>9675</v>
      </c>
      <c r="NAO1" s="69" t="s">
        <v>9676</v>
      </c>
      <c r="NAP1" s="69" t="s">
        <v>9677</v>
      </c>
      <c r="NAQ1" s="69" t="s">
        <v>9678</v>
      </c>
      <c r="NAR1" s="69" t="s">
        <v>9679</v>
      </c>
      <c r="NAS1" s="69" t="s">
        <v>9680</v>
      </c>
      <c r="NAT1" s="69" t="s">
        <v>9681</v>
      </c>
      <c r="NAU1" s="69" t="s">
        <v>9682</v>
      </c>
      <c r="NAV1" s="69" t="s">
        <v>9683</v>
      </c>
      <c r="NAW1" s="69" t="s">
        <v>9684</v>
      </c>
      <c r="NAX1" s="69" t="s">
        <v>9685</v>
      </c>
      <c r="NAY1" s="69" t="s">
        <v>9686</v>
      </c>
      <c r="NAZ1" s="69" t="s">
        <v>9687</v>
      </c>
      <c r="NBA1" s="69" t="s">
        <v>9688</v>
      </c>
      <c r="NBB1" s="69" t="s">
        <v>9689</v>
      </c>
      <c r="NBC1" s="69" t="s">
        <v>9690</v>
      </c>
      <c r="NBD1" s="69" t="s">
        <v>9691</v>
      </c>
      <c r="NBE1" s="69" t="s">
        <v>9692</v>
      </c>
      <c r="NBF1" s="69" t="s">
        <v>9693</v>
      </c>
      <c r="NBG1" s="69" t="s">
        <v>9694</v>
      </c>
      <c r="NBH1" s="69" t="s">
        <v>9695</v>
      </c>
      <c r="NBI1" s="69" t="s">
        <v>9696</v>
      </c>
      <c r="NBJ1" s="69" t="s">
        <v>9697</v>
      </c>
      <c r="NBK1" s="69" t="s">
        <v>9698</v>
      </c>
      <c r="NBL1" s="69" t="s">
        <v>9699</v>
      </c>
      <c r="NBM1" s="69" t="s">
        <v>9700</v>
      </c>
      <c r="NBN1" s="69" t="s">
        <v>9701</v>
      </c>
      <c r="NBO1" s="69" t="s">
        <v>9702</v>
      </c>
      <c r="NBP1" s="69" t="s">
        <v>9703</v>
      </c>
      <c r="NBQ1" s="69" t="s">
        <v>9704</v>
      </c>
      <c r="NBR1" s="69" t="s">
        <v>9705</v>
      </c>
      <c r="NBS1" s="69" t="s">
        <v>9706</v>
      </c>
      <c r="NBT1" s="69" t="s">
        <v>9707</v>
      </c>
      <c r="NBU1" s="69" t="s">
        <v>9708</v>
      </c>
      <c r="NBV1" s="69" t="s">
        <v>9709</v>
      </c>
      <c r="NBW1" s="69" t="s">
        <v>9710</v>
      </c>
      <c r="NBX1" s="69" t="s">
        <v>9711</v>
      </c>
      <c r="NBY1" s="69" t="s">
        <v>9712</v>
      </c>
      <c r="NBZ1" s="69" t="s">
        <v>9713</v>
      </c>
      <c r="NCA1" s="69" t="s">
        <v>9714</v>
      </c>
      <c r="NCB1" s="69" t="s">
        <v>9715</v>
      </c>
      <c r="NCC1" s="69" t="s">
        <v>9716</v>
      </c>
      <c r="NCD1" s="69" t="s">
        <v>9717</v>
      </c>
      <c r="NCE1" s="69" t="s">
        <v>9718</v>
      </c>
      <c r="NCF1" s="69" t="s">
        <v>9719</v>
      </c>
      <c r="NCG1" s="69" t="s">
        <v>9720</v>
      </c>
      <c r="NCH1" s="69" t="s">
        <v>9721</v>
      </c>
      <c r="NCI1" s="69" t="s">
        <v>9722</v>
      </c>
      <c r="NCJ1" s="69" t="s">
        <v>9723</v>
      </c>
      <c r="NCK1" s="69" t="s">
        <v>9724</v>
      </c>
      <c r="NCL1" s="69" t="s">
        <v>9725</v>
      </c>
      <c r="NCM1" s="69" t="s">
        <v>9726</v>
      </c>
      <c r="NCN1" s="69" t="s">
        <v>9727</v>
      </c>
      <c r="NCO1" s="69" t="s">
        <v>9728</v>
      </c>
      <c r="NCP1" s="69" t="s">
        <v>9729</v>
      </c>
      <c r="NCQ1" s="69" t="s">
        <v>9730</v>
      </c>
      <c r="NCR1" s="69" t="s">
        <v>9731</v>
      </c>
      <c r="NCS1" s="69" t="s">
        <v>9732</v>
      </c>
      <c r="NCT1" s="69" t="s">
        <v>9733</v>
      </c>
      <c r="NCU1" s="69" t="s">
        <v>9734</v>
      </c>
      <c r="NCV1" s="69" t="s">
        <v>9735</v>
      </c>
      <c r="NCW1" s="69" t="s">
        <v>9736</v>
      </c>
      <c r="NCX1" s="69" t="s">
        <v>9737</v>
      </c>
      <c r="NCY1" s="69" t="s">
        <v>9738</v>
      </c>
      <c r="NCZ1" s="69" t="s">
        <v>9739</v>
      </c>
      <c r="NDA1" s="69" t="s">
        <v>9740</v>
      </c>
      <c r="NDB1" s="69" t="s">
        <v>9741</v>
      </c>
      <c r="NDC1" s="69" t="s">
        <v>9742</v>
      </c>
      <c r="NDD1" s="69" t="s">
        <v>9743</v>
      </c>
      <c r="NDE1" s="69" t="s">
        <v>9744</v>
      </c>
      <c r="NDF1" s="69" t="s">
        <v>9745</v>
      </c>
      <c r="NDG1" s="69" t="s">
        <v>9746</v>
      </c>
      <c r="NDH1" s="69" t="s">
        <v>9747</v>
      </c>
      <c r="NDI1" s="69" t="s">
        <v>9748</v>
      </c>
      <c r="NDJ1" s="69" t="s">
        <v>9749</v>
      </c>
      <c r="NDK1" s="69" t="s">
        <v>9750</v>
      </c>
      <c r="NDL1" s="69" t="s">
        <v>9751</v>
      </c>
      <c r="NDM1" s="69" t="s">
        <v>9752</v>
      </c>
      <c r="NDN1" s="69" t="s">
        <v>9753</v>
      </c>
      <c r="NDO1" s="69" t="s">
        <v>9754</v>
      </c>
      <c r="NDP1" s="69" t="s">
        <v>9755</v>
      </c>
      <c r="NDQ1" s="69" t="s">
        <v>9756</v>
      </c>
      <c r="NDR1" s="69" t="s">
        <v>9757</v>
      </c>
      <c r="NDS1" s="69" t="s">
        <v>9758</v>
      </c>
      <c r="NDT1" s="69" t="s">
        <v>9759</v>
      </c>
      <c r="NDU1" s="69" t="s">
        <v>9760</v>
      </c>
      <c r="NDV1" s="69" t="s">
        <v>9761</v>
      </c>
      <c r="NDW1" s="69" t="s">
        <v>9762</v>
      </c>
      <c r="NDX1" s="69" t="s">
        <v>9763</v>
      </c>
      <c r="NDY1" s="69" t="s">
        <v>9764</v>
      </c>
      <c r="NDZ1" s="69" t="s">
        <v>9765</v>
      </c>
      <c r="NEA1" s="69" t="s">
        <v>9766</v>
      </c>
      <c r="NEB1" s="69" t="s">
        <v>9767</v>
      </c>
      <c r="NEC1" s="69" t="s">
        <v>9768</v>
      </c>
      <c r="NED1" s="69" t="s">
        <v>9769</v>
      </c>
      <c r="NEE1" s="69" t="s">
        <v>9770</v>
      </c>
      <c r="NEF1" s="69" t="s">
        <v>9771</v>
      </c>
      <c r="NEG1" s="69" t="s">
        <v>9772</v>
      </c>
      <c r="NEH1" s="69" t="s">
        <v>9773</v>
      </c>
      <c r="NEI1" s="69" t="s">
        <v>9774</v>
      </c>
      <c r="NEJ1" s="69" t="s">
        <v>9775</v>
      </c>
      <c r="NEK1" s="69" t="s">
        <v>9776</v>
      </c>
      <c r="NEL1" s="69" t="s">
        <v>9777</v>
      </c>
      <c r="NEM1" s="69" t="s">
        <v>9778</v>
      </c>
      <c r="NEN1" s="69" t="s">
        <v>9779</v>
      </c>
      <c r="NEO1" s="69" t="s">
        <v>9780</v>
      </c>
      <c r="NEP1" s="69" t="s">
        <v>9781</v>
      </c>
      <c r="NEQ1" s="69" t="s">
        <v>9782</v>
      </c>
      <c r="NER1" s="69" t="s">
        <v>9783</v>
      </c>
      <c r="NES1" s="69" t="s">
        <v>9784</v>
      </c>
      <c r="NET1" s="69" t="s">
        <v>9785</v>
      </c>
      <c r="NEU1" s="69" t="s">
        <v>9786</v>
      </c>
      <c r="NEV1" s="69" t="s">
        <v>9787</v>
      </c>
      <c r="NEW1" s="69" t="s">
        <v>9788</v>
      </c>
      <c r="NEX1" s="69" t="s">
        <v>9789</v>
      </c>
      <c r="NEY1" s="69" t="s">
        <v>9790</v>
      </c>
      <c r="NEZ1" s="69" t="s">
        <v>9791</v>
      </c>
      <c r="NFA1" s="69" t="s">
        <v>9792</v>
      </c>
      <c r="NFB1" s="69" t="s">
        <v>9793</v>
      </c>
      <c r="NFC1" s="69" t="s">
        <v>9794</v>
      </c>
      <c r="NFD1" s="69" t="s">
        <v>9795</v>
      </c>
      <c r="NFE1" s="69" t="s">
        <v>9796</v>
      </c>
      <c r="NFF1" s="69" t="s">
        <v>9797</v>
      </c>
      <c r="NFG1" s="69" t="s">
        <v>9798</v>
      </c>
      <c r="NFH1" s="69" t="s">
        <v>9799</v>
      </c>
      <c r="NFI1" s="69" t="s">
        <v>9800</v>
      </c>
      <c r="NFJ1" s="69" t="s">
        <v>9801</v>
      </c>
      <c r="NFK1" s="69" t="s">
        <v>9802</v>
      </c>
      <c r="NFL1" s="69" t="s">
        <v>9803</v>
      </c>
      <c r="NFM1" s="69" t="s">
        <v>9804</v>
      </c>
      <c r="NFN1" s="69" t="s">
        <v>9805</v>
      </c>
      <c r="NFO1" s="69" t="s">
        <v>9806</v>
      </c>
      <c r="NFP1" s="69" t="s">
        <v>9807</v>
      </c>
      <c r="NFQ1" s="69" t="s">
        <v>9808</v>
      </c>
      <c r="NFR1" s="69" t="s">
        <v>9809</v>
      </c>
      <c r="NFS1" s="69" t="s">
        <v>9810</v>
      </c>
      <c r="NFT1" s="69" t="s">
        <v>9811</v>
      </c>
      <c r="NFU1" s="69" t="s">
        <v>9812</v>
      </c>
      <c r="NFV1" s="69" t="s">
        <v>9813</v>
      </c>
      <c r="NFW1" s="69" t="s">
        <v>9814</v>
      </c>
      <c r="NFX1" s="69" t="s">
        <v>9815</v>
      </c>
      <c r="NFY1" s="69" t="s">
        <v>9816</v>
      </c>
      <c r="NFZ1" s="69" t="s">
        <v>9817</v>
      </c>
      <c r="NGA1" s="69" t="s">
        <v>9818</v>
      </c>
      <c r="NGB1" s="69" t="s">
        <v>9819</v>
      </c>
      <c r="NGC1" s="69" t="s">
        <v>9820</v>
      </c>
      <c r="NGD1" s="69" t="s">
        <v>9821</v>
      </c>
      <c r="NGE1" s="69" t="s">
        <v>9822</v>
      </c>
      <c r="NGF1" s="69" t="s">
        <v>9823</v>
      </c>
      <c r="NGG1" s="69" t="s">
        <v>9824</v>
      </c>
      <c r="NGH1" s="69" t="s">
        <v>9825</v>
      </c>
      <c r="NGI1" s="69" t="s">
        <v>9826</v>
      </c>
      <c r="NGJ1" s="69" t="s">
        <v>9827</v>
      </c>
      <c r="NGK1" s="69" t="s">
        <v>9828</v>
      </c>
      <c r="NGL1" s="69" t="s">
        <v>9829</v>
      </c>
      <c r="NGM1" s="69" t="s">
        <v>9830</v>
      </c>
      <c r="NGN1" s="69" t="s">
        <v>9831</v>
      </c>
      <c r="NGO1" s="69" t="s">
        <v>9832</v>
      </c>
      <c r="NGP1" s="69" t="s">
        <v>9833</v>
      </c>
      <c r="NGQ1" s="69" t="s">
        <v>9834</v>
      </c>
      <c r="NGR1" s="69" t="s">
        <v>9835</v>
      </c>
      <c r="NGS1" s="69" t="s">
        <v>9836</v>
      </c>
      <c r="NGT1" s="69" t="s">
        <v>9837</v>
      </c>
      <c r="NGU1" s="69" t="s">
        <v>9838</v>
      </c>
      <c r="NGV1" s="69" t="s">
        <v>9839</v>
      </c>
      <c r="NGW1" s="69" t="s">
        <v>9840</v>
      </c>
      <c r="NGX1" s="69" t="s">
        <v>9841</v>
      </c>
      <c r="NGY1" s="69" t="s">
        <v>9842</v>
      </c>
      <c r="NGZ1" s="69" t="s">
        <v>9843</v>
      </c>
      <c r="NHA1" s="69" t="s">
        <v>9844</v>
      </c>
      <c r="NHB1" s="69" t="s">
        <v>9845</v>
      </c>
      <c r="NHC1" s="69" t="s">
        <v>9846</v>
      </c>
      <c r="NHD1" s="69" t="s">
        <v>9847</v>
      </c>
      <c r="NHE1" s="69" t="s">
        <v>9848</v>
      </c>
      <c r="NHF1" s="69" t="s">
        <v>9849</v>
      </c>
      <c r="NHG1" s="69" t="s">
        <v>9850</v>
      </c>
      <c r="NHH1" s="69" t="s">
        <v>9851</v>
      </c>
      <c r="NHI1" s="69" t="s">
        <v>9852</v>
      </c>
      <c r="NHJ1" s="69" t="s">
        <v>9853</v>
      </c>
      <c r="NHK1" s="69" t="s">
        <v>9854</v>
      </c>
      <c r="NHL1" s="69" t="s">
        <v>9855</v>
      </c>
      <c r="NHM1" s="69" t="s">
        <v>9856</v>
      </c>
      <c r="NHN1" s="69" t="s">
        <v>9857</v>
      </c>
      <c r="NHO1" s="69" t="s">
        <v>9858</v>
      </c>
      <c r="NHP1" s="69" t="s">
        <v>9859</v>
      </c>
      <c r="NHQ1" s="69" t="s">
        <v>9860</v>
      </c>
      <c r="NHR1" s="69" t="s">
        <v>9861</v>
      </c>
      <c r="NHS1" s="69" t="s">
        <v>9862</v>
      </c>
      <c r="NHT1" s="69" t="s">
        <v>9863</v>
      </c>
      <c r="NHU1" s="69" t="s">
        <v>9864</v>
      </c>
      <c r="NHV1" s="69" t="s">
        <v>9865</v>
      </c>
      <c r="NHW1" s="69" t="s">
        <v>9866</v>
      </c>
      <c r="NHX1" s="69" t="s">
        <v>9867</v>
      </c>
      <c r="NHY1" s="69" t="s">
        <v>9868</v>
      </c>
      <c r="NHZ1" s="69" t="s">
        <v>9869</v>
      </c>
      <c r="NIA1" s="69" t="s">
        <v>9870</v>
      </c>
      <c r="NIB1" s="69" t="s">
        <v>9871</v>
      </c>
      <c r="NIC1" s="69" t="s">
        <v>9872</v>
      </c>
      <c r="NID1" s="69" t="s">
        <v>9873</v>
      </c>
      <c r="NIE1" s="69" t="s">
        <v>9874</v>
      </c>
      <c r="NIF1" s="69" t="s">
        <v>9875</v>
      </c>
      <c r="NIG1" s="69" t="s">
        <v>9876</v>
      </c>
      <c r="NIH1" s="69" t="s">
        <v>9877</v>
      </c>
      <c r="NII1" s="69" t="s">
        <v>9878</v>
      </c>
      <c r="NIJ1" s="69" t="s">
        <v>9879</v>
      </c>
      <c r="NIK1" s="69" t="s">
        <v>9880</v>
      </c>
      <c r="NIL1" s="69" t="s">
        <v>9881</v>
      </c>
      <c r="NIM1" s="69" t="s">
        <v>9882</v>
      </c>
      <c r="NIN1" s="69" t="s">
        <v>9883</v>
      </c>
      <c r="NIO1" s="69" t="s">
        <v>9884</v>
      </c>
      <c r="NIP1" s="69" t="s">
        <v>9885</v>
      </c>
      <c r="NIQ1" s="69" t="s">
        <v>9886</v>
      </c>
      <c r="NIR1" s="69" t="s">
        <v>9887</v>
      </c>
      <c r="NIS1" s="69" t="s">
        <v>9888</v>
      </c>
      <c r="NIT1" s="69" t="s">
        <v>9889</v>
      </c>
      <c r="NIU1" s="69" t="s">
        <v>9890</v>
      </c>
      <c r="NIV1" s="69" t="s">
        <v>9891</v>
      </c>
      <c r="NIW1" s="69" t="s">
        <v>9892</v>
      </c>
      <c r="NIX1" s="69" t="s">
        <v>9893</v>
      </c>
      <c r="NIY1" s="69" t="s">
        <v>9894</v>
      </c>
      <c r="NIZ1" s="69" t="s">
        <v>9895</v>
      </c>
      <c r="NJA1" s="69" t="s">
        <v>9896</v>
      </c>
      <c r="NJB1" s="69" t="s">
        <v>9897</v>
      </c>
      <c r="NJC1" s="69" t="s">
        <v>9898</v>
      </c>
      <c r="NJD1" s="69" t="s">
        <v>9899</v>
      </c>
      <c r="NJE1" s="69" t="s">
        <v>9900</v>
      </c>
      <c r="NJF1" s="69" t="s">
        <v>9901</v>
      </c>
      <c r="NJG1" s="69" t="s">
        <v>9902</v>
      </c>
      <c r="NJH1" s="69" t="s">
        <v>9903</v>
      </c>
      <c r="NJI1" s="69" t="s">
        <v>9904</v>
      </c>
      <c r="NJJ1" s="69" t="s">
        <v>9905</v>
      </c>
      <c r="NJK1" s="69" t="s">
        <v>9906</v>
      </c>
      <c r="NJL1" s="69" t="s">
        <v>9907</v>
      </c>
      <c r="NJM1" s="69" t="s">
        <v>9908</v>
      </c>
      <c r="NJN1" s="69" t="s">
        <v>9909</v>
      </c>
      <c r="NJO1" s="69" t="s">
        <v>9910</v>
      </c>
      <c r="NJP1" s="69" t="s">
        <v>9911</v>
      </c>
      <c r="NJQ1" s="69" t="s">
        <v>9912</v>
      </c>
      <c r="NJR1" s="69" t="s">
        <v>9913</v>
      </c>
      <c r="NJS1" s="69" t="s">
        <v>9914</v>
      </c>
      <c r="NJT1" s="69" t="s">
        <v>9915</v>
      </c>
      <c r="NJU1" s="69" t="s">
        <v>9916</v>
      </c>
      <c r="NJV1" s="69" t="s">
        <v>9917</v>
      </c>
      <c r="NJW1" s="69" t="s">
        <v>9918</v>
      </c>
      <c r="NJX1" s="69" t="s">
        <v>9919</v>
      </c>
      <c r="NJY1" s="69" t="s">
        <v>9920</v>
      </c>
      <c r="NJZ1" s="69" t="s">
        <v>9921</v>
      </c>
      <c r="NKA1" s="69" t="s">
        <v>9922</v>
      </c>
      <c r="NKB1" s="69" t="s">
        <v>9923</v>
      </c>
      <c r="NKC1" s="69" t="s">
        <v>9924</v>
      </c>
      <c r="NKD1" s="69" t="s">
        <v>9925</v>
      </c>
      <c r="NKE1" s="69" t="s">
        <v>9926</v>
      </c>
      <c r="NKF1" s="69" t="s">
        <v>9927</v>
      </c>
      <c r="NKG1" s="69" t="s">
        <v>9928</v>
      </c>
      <c r="NKH1" s="69" t="s">
        <v>9929</v>
      </c>
      <c r="NKI1" s="69" t="s">
        <v>9930</v>
      </c>
      <c r="NKJ1" s="69" t="s">
        <v>9931</v>
      </c>
      <c r="NKK1" s="69" t="s">
        <v>9932</v>
      </c>
      <c r="NKL1" s="69" t="s">
        <v>9933</v>
      </c>
      <c r="NKM1" s="69" t="s">
        <v>9934</v>
      </c>
      <c r="NKN1" s="69" t="s">
        <v>9935</v>
      </c>
      <c r="NKO1" s="69" t="s">
        <v>9936</v>
      </c>
      <c r="NKP1" s="69" t="s">
        <v>9937</v>
      </c>
      <c r="NKQ1" s="69" t="s">
        <v>9938</v>
      </c>
      <c r="NKR1" s="69" t="s">
        <v>9939</v>
      </c>
      <c r="NKS1" s="69" t="s">
        <v>9940</v>
      </c>
      <c r="NKT1" s="69" t="s">
        <v>9941</v>
      </c>
      <c r="NKU1" s="69" t="s">
        <v>9942</v>
      </c>
      <c r="NKV1" s="69" t="s">
        <v>9943</v>
      </c>
      <c r="NKW1" s="69" t="s">
        <v>9944</v>
      </c>
      <c r="NKX1" s="69" t="s">
        <v>9945</v>
      </c>
      <c r="NKY1" s="69" t="s">
        <v>9946</v>
      </c>
      <c r="NKZ1" s="69" t="s">
        <v>9947</v>
      </c>
      <c r="NLA1" s="69" t="s">
        <v>9948</v>
      </c>
      <c r="NLB1" s="69" t="s">
        <v>9949</v>
      </c>
      <c r="NLC1" s="69" t="s">
        <v>9950</v>
      </c>
      <c r="NLD1" s="69" t="s">
        <v>9951</v>
      </c>
      <c r="NLE1" s="69" t="s">
        <v>9952</v>
      </c>
      <c r="NLF1" s="69" t="s">
        <v>9953</v>
      </c>
      <c r="NLG1" s="69" t="s">
        <v>9954</v>
      </c>
      <c r="NLH1" s="69" t="s">
        <v>9955</v>
      </c>
      <c r="NLI1" s="69" t="s">
        <v>9956</v>
      </c>
      <c r="NLJ1" s="69" t="s">
        <v>9957</v>
      </c>
      <c r="NLK1" s="69" t="s">
        <v>9958</v>
      </c>
      <c r="NLL1" s="69" t="s">
        <v>9959</v>
      </c>
      <c r="NLM1" s="69" t="s">
        <v>9960</v>
      </c>
      <c r="NLN1" s="69" t="s">
        <v>9961</v>
      </c>
      <c r="NLO1" s="69" t="s">
        <v>9962</v>
      </c>
      <c r="NLP1" s="69" t="s">
        <v>9963</v>
      </c>
      <c r="NLQ1" s="69" t="s">
        <v>9964</v>
      </c>
      <c r="NLR1" s="69" t="s">
        <v>9965</v>
      </c>
      <c r="NLS1" s="69" t="s">
        <v>9966</v>
      </c>
      <c r="NLT1" s="69" t="s">
        <v>9967</v>
      </c>
      <c r="NLU1" s="69" t="s">
        <v>9968</v>
      </c>
      <c r="NLV1" s="69" t="s">
        <v>9969</v>
      </c>
      <c r="NLW1" s="69" t="s">
        <v>9970</v>
      </c>
      <c r="NLX1" s="69" t="s">
        <v>9971</v>
      </c>
      <c r="NLY1" s="69" t="s">
        <v>9972</v>
      </c>
      <c r="NLZ1" s="69" t="s">
        <v>9973</v>
      </c>
      <c r="NMA1" s="69" t="s">
        <v>9974</v>
      </c>
      <c r="NMB1" s="69" t="s">
        <v>9975</v>
      </c>
      <c r="NMC1" s="69" t="s">
        <v>9976</v>
      </c>
      <c r="NMD1" s="69" t="s">
        <v>9977</v>
      </c>
      <c r="NME1" s="69" t="s">
        <v>9978</v>
      </c>
      <c r="NMF1" s="69" t="s">
        <v>9979</v>
      </c>
      <c r="NMG1" s="69" t="s">
        <v>9980</v>
      </c>
      <c r="NMH1" s="69" t="s">
        <v>9981</v>
      </c>
      <c r="NMI1" s="69" t="s">
        <v>9982</v>
      </c>
      <c r="NMJ1" s="69" t="s">
        <v>9983</v>
      </c>
      <c r="NMK1" s="69" t="s">
        <v>9984</v>
      </c>
      <c r="NML1" s="69" t="s">
        <v>9985</v>
      </c>
      <c r="NMM1" s="69" t="s">
        <v>9986</v>
      </c>
      <c r="NMN1" s="69" t="s">
        <v>9987</v>
      </c>
      <c r="NMO1" s="69" t="s">
        <v>9988</v>
      </c>
      <c r="NMP1" s="69" t="s">
        <v>9989</v>
      </c>
      <c r="NMQ1" s="69" t="s">
        <v>9990</v>
      </c>
      <c r="NMR1" s="69" t="s">
        <v>9991</v>
      </c>
      <c r="NMS1" s="69" t="s">
        <v>9992</v>
      </c>
      <c r="NMT1" s="69" t="s">
        <v>9993</v>
      </c>
      <c r="NMU1" s="69" t="s">
        <v>9994</v>
      </c>
      <c r="NMV1" s="69" t="s">
        <v>9995</v>
      </c>
      <c r="NMW1" s="69" t="s">
        <v>9996</v>
      </c>
      <c r="NMX1" s="69" t="s">
        <v>9997</v>
      </c>
      <c r="NMY1" s="69" t="s">
        <v>9998</v>
      </c>
      <c r="NMZ1" s="69" t="s">
        <v>9999</v>
      </c>
      <c r="NNA1" s="69" t="s">
        <v>10000</v>
      </c>
      <c r="NNB1" s="69" t="s">
        <v>10001</v>
      </c>
      <c r="NNC1" s="69" t="s">
        <v>10002</v>
      </c>
      <c r="NND1" s="69" t="s">
        <v>10003</v>
      </c>
      <c r="NNE1" s="69" t="s">
        <v>10004</v>
      </c>
      <c r="NNF1" s="69" t="s">
        <v>10005</v>
      </c>
      <c r="NNG1" s="69" t="s">
        <v>10006</v>
      </c>
      <c r="NNH1" s="69" t="s">
        <v>10007</v>
      </c>
      <c r="NNI1" s="69" t="s">
        <v>10008</v>
      </c>
      <c r="NNJ1" s="69" t="s">
        <v>10009</v>
      </c>
      <c r="NNK1" s="69" t="s">
        <v>10010</v>
      </c>
      <c r="NNL1" s="69" t="s">
        <v>10011</v>
      </c>
      <c r="NNM1" s="69" t="s">
        <v>10012</v>
      </c>
      <c r="NNN1" s="69" t="s">
        <v>10013</v>
      </c>
      <c r="NNO1" s="69" t="s">
        <v>10014</v>
      </c>
      <c r="NNP1" s="69" t="s">
        <v>10015</v>
      </c>
      <c r="NNQ1" s="69" t="s">
        <v>10016</v>
      </c>
      <c r="NNR1" s="69" t="s">
        <v>10017</v>
      </c>
      <c r="NNS1" s="69" t="s">
        <v>10018</v>
      </c>
      <c r="NNT1" s="69" t="s">
        <v>10019</v>
      </c>
      <c r="NNU1" s="69" t="s">
        <v>10020</v>
      </c>
      <c r="NNV1" s="69" t="s">
        <v>10021</v>
      </c>
      <c r="NNW1" s="69" t="s">
        <v>10022</v>
      </c>
      <c r="NNX1" s="69" t="s">
        <v>10023</v>
      </c>
      <c r="NNY1" s="69" t="s">
        <v>10024</v>
      </c>
      <c r="NNZ1" s="69" t="s">
        <v>10025</v>
      </c>
      <c r="NOA1" s="69" t="s">
        <v>10026</v>
      </c>
      <c r="NOB1" s="69" t="s">
        <v>10027</v>
      </c>
      <c r="NOC1" s="69" t="s">
        <v>10028</v>
      </c>
      <c r="NOD1" s="69" t="s">
        <v>10029</v>
      </c>
      <c r="NOE1" s="69" t="s">
        <v>10030</v>
      </c>
      <c r="NOF1" s="69" t="s">
        <v>10031</v>
      </c>
      <c r="NOG1" s="69" t="s">
        <v>10032</v>
      </c>
      <c r="NOH1" s="69" t="s">
        <v>10033</v>
      </c>
      <c r="NOI1" s="69" t="s">
        <v>10034</v>
      </c>
      <c r="NOJ1" s="69" t="s">
        <v>10035</v>
      </c>
      <c r="NOK1" s="69" t="s">
        <v>10036</v>
      </c>
      <c r="NOL1" s="69" t="s">
        <v>10037</v>
      </c>
      <c r="NOM1" s="69" t="s">
        <v>10038</v>
      </c>
      <c r="NON1" s="69" t="s">
        <v>10039</v>
      </c>
      <c r="NOO1" s="69" t="s">
        <v>10040</v>
      </c>
      <c r="NOP1" s="69" t="s">
        <v>10041</v>
      </c>
      <c r="NOQ1" s="69" t="s">
        <v>10042</v>
      </c>
      <c r="NOR1" s="69" t="s">
        <v>10043</v>
      </c>
      <c r="NOS1" s="69" t="s">
        <v>10044</v>
      </c>
      <c r="NOT1" s="69" t="s">
        <v>10045</v>
      </c>
      <c r="NOU1" s="69" t="s">
        <v>10046</v>
      </c>
      <c r="NOV1" s="69" t="s">
        <v>10047</v>
      </c>
      <c r="NOW1" s="69" t="s">
        <v>10048</v>
      </c>
      <c r="NOX1" s="69" t="s">
        <v>10049</v>
      </c>
      <c r="NOY1" s="69" t="s">
        <v>10050</v>
      </c>
      <c r="NOZ1" s="69" t="s">
        <v>10051</v>
      </c>
      <c r="NPA1" s="69" t="s">
        <v>10052</v>
      </c>
      <c r="NPB1" s="69" t="s">
        <v>10053</v>
      </c>
      <c r="NPC1" s="69" t="s">
        <v>10054</v>
      </c>
      <c r="NPD1" s="69" t="s">
        <v>10055</v>
      </c>
      <c r="NPE1" s="69" t="s">
        <v>10056</v>
      </c>
      <c r="NPF1" s="69" t="s">
        <v>10057</v>
      </c>
      <c r="NPG1" s="69" t="s">
        <v>10058</v>
      </c>
      <c r="NPH1" s="69" t="s">
        <v>10059</v>
      </c>
      <c r="NPI1" s="69" t="s">
        <v>10060</v>
      </c>
      <c r="NPJ1" s="69" t="s">
        <v>10061</v>
      </c>
      <c r="NPK1" s="69" t="s">
        <v>10062</v>
      </c>
      <c r="NPL1" s="69" t="s">
        <v>10063</v>
      </c>
      <c r="NPM1" s="69" t="s">
        <v>10064</v>
      </c>
      <c r="NPN1" s="69" t="s">
        <v>10065</v>
      </c>
      <c r="NPO1" s="69" t="s">
        <v>10066</v>
      </c>
      <c r="NPP1" s="69" t="s">
        <v>10067</v>
      </c>
      <c r="NPQ1" s="69" t="s">
        <v>10068</v>
      </c>
      <c r="NPR1" s="69" t="s">
        <v>10069</v>
      </c>
      <c r="NPS1" s="69" t="s">
        <v>10070</v>
      </c>
      <c r="NPT1" s="69" t="s">
        <v>10071</v>
      </c>
      <c r="NPU1" s="69" t="s">
        <v>10072</v>
      </c>
      <c r="NPV1" s="69" t="s">
        <v>10073</v>
      </c>
      <c r="NPW1" s="69" t="s">
        <v>10074</v>
      </c>
      <c r="NPX1" s="69" t="s">
        <v>10075</v>
      </c>
      <c r="NPY1" s="69" t="s">
        <v>10076</v>
      </c>
      <c r="NPZ1" s="69" t="s">
        <v>10077</v>
      </c>
      <c r="NQA1" s="69" t="s">
        <v>10078</v>
      </c>
      <c r="NQB1" s="69" t="s">
        <v>10079</v>
      </c>
      <c r="NQC1" s="69" t="s">
        <v>10080</v>
      </c>
      <c r="NQD1" s="69" t="s">
        <v>10081</v>
      </c>
      <c r="NQE1" s="69" t="s">
        <v>10082</v>
      </c>
      <c r="NQF1" s="69" t="s">
        <v>10083</v>
      </c>
      <c r="NQG1" s="69" t="s">
        <v>10084</v>
      </c>
      <c r="NQH1" s="69" t="s">
        <v>10085</v>
      </c>
      <c r="NQI1" s="69" t="s">
        <v>10086</v>
      </c>
      <c r="NQJ1" s="69" t="s">
        <v>10087</v>
      </c>
      <c r="NQK1" s="69" t="s">
        <v>10088</v>
      </c>
      <c r="NQL1" s="69" t="s">
        <v>10089</v>
      </c>
      <c r="NQM1" s="69" t="s">
        <v>10090</v>
      </c>
      <c r="NQN1" s="69" t="s">
        <v>10091</v>
      </c>
      <c r="NQO1" s="69" t="s">
        <v>10092</v>
      </c>
      <c r="NQP1" s="69" t="s">
        <v>10093</v>
      </c>
      <c r="NQQ1" s="69" t="s">
        <v>10094</v>
      </c>
      <c r="NQR1" s="69" t="s">
        <v>10095</v>
      </c>
      <c r="NQS1" s="69" t="s">
        <v>10096</v>
      </c>
      <c r="NQT1" s="69" t="s">
        <v>10097</v>
      </c>
      <c r="NQU1" s="69" t="s">
        <v>10098</v>
      </c>
      <c r="NQV1" s="69" t="s">
        <v>10099</v>
      </c>
      <c r="NQW1" s="69" t="s">
        <v>10100</v>
      </c>
      <c r="NQX1" s="69" t="s">
        <v>10101</v>
      </c>
      <c r="NQY1" s="69" t="s">
        <v>10102</v>
      </c>
      <c r="NQZ1" s="69" t="s">
        <v>10103</v>
      </c>
      <c r="NRA1" s="69" t="s">
        <v>10104</v>
      </c>
      <c r="NRB1" s="69" t="s">
        <v>10105</v>
      </c>
      <c r="NRC1" s="69" t="s">
        <v>10106</v>
      </c>
      <c r="NRD1" s="69" t="s">
        <v>10107</v>
      </c>
      <c r="NRE1" s="69" t="s">
        <v>10108</v>
      </c>
      <c r="NRF1" s="69" t="s">
        <v>10109</v>
      </c>
      <c r="NRG1" s="69" t="s">
        <v>10110</v>
      </c>
      <c r="NRH1" s="69" t="s">
        <v>10111</v>
      </c>
      <c r="NRI1" s="69" t="s">
        <v>10112</v>
      </c>
      <c r="NRJ1" s="69" t="s">
        <v>10113</v>
      </c>
      <c r="NRK1" s="69" t="s">
        <v>10114</v>
      </c>
      <c r="NRL1" s="69" t="s">
        <v>10115</v>
      </c>
      <c r="NRM1" s="69" t="s">
        <v>10116</v>
      </c>
      <c r="NRN1" s="69" t="s">
        <v>10117</v>
      </c>
      <c r="NRO1" s="69" t="s">
        <v>10118</v>
      </c>
      <c r="NRP1" s="69" t="s">
        <v>10119</v>
      </c>
      <c r="NRQ1" s="69" t="s">
        <v>10120</v>
      </c>
      <c r="NRR1" s="69" t="s">
        <v>10121</v>
      </c>
      <c r="NRS1" s="69" t="s">
        <v>10122</v>
      </c>
      <c r="NRT1" s="69" t="s">
        <v>10123</v>
      </c>
      <c r="NRU1" s="69" t="s">
        <v>10124</v>
      </c>
      <c r="NRV1" s="69" t="s">
        <v>10125</v>
      </c>
      <c r="NRW1" s="69" t="s">
        <v>10126</v>
      </c>
      <c r="NRX1" s="69" t="s">
        <v>10127</v>
      </c>
      <c r="NRY1" s="69" t="s">
        <v>10128</v>
      </c>
      <c r="NRZ1" s="69" t="s">
        <v>10129</v>
      </c>
      <c r="NSA1" s="69" t="s">
        <v>10130</v>
      </c>
      <c r="NSB1" s="69" t="s">
        <v>10131</v>
      </c>
      <c r="NSC1" s="69" t="s">
        <v>10132</v>
      </c>
      <c r="NSD1" s="69" t="s">
        <v>10133</v>
      </c>
      <c r="NSE1" s="69" t="s">
        <v>10134</v>
      </c>
      <c r="NSF1" s="69" t="s">
        <v>10135</v>
      </c>
      <c r="NSG1" s="69" t="s">
        <v>10136</v>
      </c>
      <c r="NSH1" s="69" t="s">
        <v>10137</v>
      </c>
      <c r="NSI1" s="69" t="s">
        <v>10138</v>
      </c>
      <c r="NSJ1" s="69" t="s">
        <v>10139</v>
      </c>
      <c r="NSK1" s="69" t="s">
        <v>10140</v>
      </c>
      <c r="NSL1" s="69" t="s">
        <v>10141</v>
      </c>
      <c r="NSM1" s="69" t="s">
        <v>10142</v>
      </c>
      <c r="NSN1" s="69" t="s">
        <v>10143</v>
      </c>
      <c r="NSO1" s="69" t="s">
        <v>10144</v>
      </c>
      <c r="NSP1" s="69" t="s">
        <v>10145</v>
      </c>
      <c r="NSQ1" s="69" t="s">
        <v>10146</v>
      </c>
      <c r="NSR1" s="69" t="s">
        <v>10147</v>
      </c>
      <c r="NSS1" s="69" t="s">
        <v>10148</v>
      </c>
      <c r="NST1" s="69" t="s">
        <v>10149</v>
      </c>
      <c r="NSU1" s="69" t="s">
        <v>10150</v>
      </c>
      <c r="NSV1" s="69" t="s">
        <v>10151</v>
      </c>
      <c r="NSW1" s="69" t="s">
        <v>10152</v>
      </c>
      <c r="NSX1" s="69" t="s">
        <v>10153</v>
      </c>
      <c r="NSY1" s="69" t="s">
        <v>10154</v>
      </c>
      <c r="NSZ1" s="69" t="s">
        <v>10155</v>
      </c>
      <c r="NTA1" s="69" t="s">
        <v>10156</v>
      </c>
      <c r="NTB1" s="69" t="s">
        <v>10157</v>
      </c>
      <c r="NTC1" s="69" t="s">
        <v>10158</v>
      </c>
      <c r="NTD1" s="69" t="s">
        <v>10159</v>
      </c>
      <c r="NTE1" s="69" t="s">
        <v>10160</v>
      </c>
      <c r="NTF1" s="69" t="s">
        <v>10161</v>
      </c>
      <c r="NTG1" s="69" t="s">
        <v>10162</v>
      </c>
      <c r="NTH1" s="69" t="s">
        <v>10163</v>
      </c>
      <c r="NTI1" s="69" t="s">
        <v>10164</v>
      </c>
      <c r="NTJ1" s="69" t="s">
        <v>10165</v>
      </c>
      <c r="NTK1" s="69" t="s">
        <v>10166</v>
      </c>
      <c r="NTL1" s="69" t="s">
        <v>10167</v>
      </c>
      <c r="NTM1" s="69" t="s">
        <v>10168</v>
      </c>
      <c r="NTN1" s="69" t="s">
        <v>10169</v>
      </c>
      <c r="NTO1" s="69" t="s">
        <v>10170</v>
      </c>
      <c r="NTP1" s="69" t="s">
        <v>10171</v>
      </c>
      <c r="NTQ1" s="69" t="s">
        <v>10172</v>
      </c>
      <c r="NTR1" s="69" t="s">
        <v>10173</v>
      </c>
      <c r="NTS1" s="69" t="s">
        <v>10174</v>
      </c>
      <c r="NTT1" s="69" t="s">
        <v>10175</v>
      </c>
      <c r="NTU1" s="69" t="s">
        <v>10176</v>
      </c>
      <c r="NTV1" s="69" t="s">
        <v>10177</v>
      </c>
      <c r="NTW1" s="69" t="s">
        <v>10178</v>
      </c>
      <c r="NTX1" s="69" t="s">
        <v>10179</v>
      </c>
      <c r="NTY1" s="69" t="s">
        <v>10180</v>
      </c>
      <c r="NTZ1" s="69" t="s">
        <v>10181</v>
      </c>
      <c r="NUA1" s="69" t="s">
        <v>10182</v>
      </c>
      <c r="NUB1" s="69" t="s">
        <v>10183</v>
      </c>
      <c r="NUC1" s="69" t="s">
        <v>10184</v>
      </c>
      <c r="NUD1" s="69" t="s">
        <v>10185</v>
      </c>
      <c r="NUE1" s="69" t="s">
        <v>10186</v>
      </c>
      <c r="NUF1" s="69" t="s">
        <v>10187</v>
      </c>
      <c r="NUG1" s="69" t="s">
        <v>10188</v>
      </c>
      <c r="NUH1" s="69" t="s">
        <v>10189</v>
      </c>
      <c r="NUI1" s="69" t="s">
        <v>10190</v>
      </c>
      <c r="NUJ1" s="69" t="s">
        <v>10191</v>
      </c>
      <c r="NUK1" s="69" t="s">
        <v>10192</v>
      </c>
      <c r="NUL1" s="69" t="s">
        <v>10193</v>
      </c>
      <c r="NUM1" s="69" t="s">
        <v>10194</v>
      </c>
      <c r="NUN1" s="69" t="s">
        <v>10195</v>
      </c>
      <c r="NUO1" s="69" t="s">
        <v>10196</v>
      </c>
      <c r="NUP1" s="69" t="s">
        <v>10197</v>
      </c>
      <c r="NUQ1" s="69" t="s">
        <v>10198</v>
      </c>
      <c r="NUR1" s="69" t="s">
        <v>10199</v>
      </c>
      <c r="NUS1" s="69" t="s">
        <v>10200</v>
      </c>
      <c r="NUT1" s="69" t="s">
        <v>10201</v>
      </c>
      <c r="NUU1" s="69" t="s">
        <v>10202</v>
      </c>
      <c r="NUV1" s="69" t="s">
        <v>10203</v>
      </c>
      <c r="NUW1" s="69" t="s">
        <v>10204</v>
      </c>
      <c r="NUX1" s="69" t="s">
        <v>10205</v>
      </c>
      <c r="NUY1" s="69" t="s">
        <v>10206</v>
      </c>
      <c r="NUZ1" s="69" t="s">
        <v>10207</v>
      </c>
      <c r="NVA1" s="69" t="s">
        <v>10208</v>
      </c>
      <c r="NVB1" s="69" t="s">
        <v>10209</v>
      </c>
      <c r="NVC1" s="69" t="s">
        <v>10210</v>
      </c>
      <c r="NVD1" s="69" t="s">
        <v>10211</v>
      </c>
      <c r="NVE1" s="69" t="s">
        <v>10212</v>
      </c>
      <c r="NVF1" s="69" t="s">
        <v>10213</v>
      </c>
      <c r="NVG1" s="69" t="s">
        <v>10214</v>
      </c>
      <c r="NVH1" s="69" t="s">
        <v>10215</v>
      </c>
      <c r="NVI1" s="69" t="s">
        <v>10216</v>
      </c>
      <c r="NVJ1" s="69" t="s">
        <v>10217</v>
      </c>
      <c r="NVK1" s="69" t="s">
        <v>10218</v>
      </c>
      <c r="NVL1" s="69" t="s">
        <v>10219</v>
      </c>
      <c r="NVM1" s="69" t="s">
        <v>10220</v>
      </c>
      <c r="NVN1" s="69" t="s">
        <v>10221</v>
      </c>
      <c r="NVO1" s="69" t="s">
        <v>10222</v>
      </c>
      <c r="NVP1" s="69" t="s">
        <v>10223</v>
      </c>
      <c r="NVQ1" s="69" t="s">
        <v>10224</v>
      </c>
      <c r="NVR1" s="69" t="s">
        <v>10225</v>
      </c>
      <c r="NVS1" s="69" t="s">
        <v>10226</v>
      </c>
      <c r="NVT1" s="69" t="s">
        <v>10227</v>
      </c>
      <c r="NVU1" s="69" t="s">
        <v>10228</v>
      </c>
      <c r="NVV1" s="69" t="s">
        <v>10229</v>
      </c>
      <c r="NVW1" s="69" t="s">
        <v>10230</v>
      </c>
      <c r="NVX1" s="69" t="s">
        <v>10231</v>
      </c>
      <c r="NVY1" s="69" t="s">
        <v>10232</v>
      </c>
      <c r="NVZ1" s="69" t="s">
        <v>10233</v>
      </c>
      <c r="NWA1" s="69" t="s">
        <v>10234</v>
      </c>
      <c r="NWB1" s="69" t="s">
        <v>10235</v>
      </c>
      <c r="NWC1" s="69" t="s">
        <v>10236</v>
      </c>
      <c r="NWD1" s="69" t="s">
        <v>10237</v>
      </c>
      <c r="NWE1" s="69" t="s">
        <v>10238</v>
      </c>
      <c r="NWF1" s="69" t="s">
        <v>10239</v>
      </c>
      <c r="NWG1" s="69" t="s">
        <v>10240</v>
      </c>
      <c r="NWH1" s="69" t="s">
        <v>10241</v>
      </c>
      <c r="NWI1" s="69" t="s">
        <v>10242</v>
      </c>
      <c r="NWJ1" s="69" t="s">
        <v>10243</v>
      </c>
      <c r="NWK1" s="69" t="s">
        <v>10244</v>
      </c>
      <c r="NWL1" s="69" t="s">
        <v>10245</v>
      </c>
      <c r="NWM1" s="69" t="s">
        <v>10246</v>
      </c>
      <c r="NWN1" s="69" t="s">
        <v>10247</v>
      </c>
      <c r="NWO1" s="69" t="s">
        <v>10248</v>
      </c>
      <c r="NWP1" s="69" t="s">
        <v>10249</v>
      </c>
      <c r="NWQ1" s="69" t="s">
        <v>10250</v>
      </c>
      <c r="NWR1" s="69" t="s">
        <v>10251</v>
      </c>
      <c r="NWS1" s="69" t="s">
        <v>10252</v>
      </c>
      <c r="NWT1" s="69" t="s">
        <v>10253</v>
      </c>
      <c r="NWU1" s="69" t="s">
        <v>10254</v>
      </c>
      <c r="NWV1" s="69" t="s">
        <v>10255</v>
      </c>
      <c r="NWW1" s="69" t="s">
        <v>10256</v>
      </c>
      <c r="NWX1" s="69" t="s">
        <v>10257</v>
      </c>
      <c r="NWY1" s="69" t="s">
        <v>10258</v>
      </c>
      <c r="NWZ1" s="69" t="s">
        <v>10259</v>
      </c>
      <c r="NXA1" s="69" t="s">
        <v>10260</v>
      </c>
      <c r="NXB1" s="69" t="s">
        <v>10261</v>
      </c>
      <c r="NXC1" s="69" t="s">
        <v>10262</v>
      </c>
      <c r="NXD1" s="69" t="s">
        <v>10263</v>
      </c>
      <c r="NXE1" s="69" t="s">
        <v>10264</v>
      </c>
      <c r="NXF1" s="69" t="s">
        <v>10265</v>
      </c>
      <c r="NXG1" s="69" t="s">
        <v>10266</v>
      </c>
      <c r="NXH1" s="69" t="s">
        <v>10267</v>
      </c>
      <c r="NXI1" s="69" t="s">
        <v>10268</v>
      </c>
      <c r="NXJ1" s="69" t="s">
        <v>10269</v>
      </c>
      <c r="NXK1" s="69" t="s">
        <v>10270</v>
      </c>
      <c r="NXL1" s="69" t="s">
        <v>10271</v>
      </c>
      <c r="NXM1" s="69" t="s">
        <v>10272</v>
      </c>
      <c r="NXN1" s="69" t="s">
        <v>10273</v>
      </c>
      <c r="NXO1" s="69" t="s">
        <v>10274</v>
      </c>
      <c r="NXP1" s="69" t="s">
        <v>10275</v>
      </c>
      <c r="NXQ1" s="69" t="s">
        <v>10276</v>
      </c>
      <c r="NXR1" s="69" t="s">
        <v>10277</v>
      </c>
      <c r="NXS1" s="69" t="s">
        <v>10278</v>
      </c>
      <c r="NXT1" s="69" t="s">
        <v>10279</v>
      </c>
      <c r="NXU1" s="69" t="s">
        <v>10280</v>
      </c>
      <c r="NXV1" s="69" t="s">
        <v>10281</v>
      </c>
      <c r="NXW1" s="69" t="s">
        <v>10282</v>
      </c>
      <c r="NXX1" s="69" t="s">
        <v>10283</v>
      </c>
      <c r="NXY1" s="69" t="s">
        <v>10284</v>
      </c>
      <c r="NXZ1" s="69" t="s">
        <v>10285</v>
      </c>
      <c r="NYA1" s="69" t="s">
        <v>10286</v>
      </c>
      <c r="NYB1" s="69" t="s">
        <v>10287</v>
      </c>
      <c r="NYC1" s="69" t="s">
        <v>10288</v>
      </c>
      <c r="NYD1" s="69" t="s">
        <v>10289</v>
      </c>
      <c r="NYE1" s="69" t="s">
        <v>10290</v>
      </c>
      <c r="NYF1" s="69" t="s">
        <v>10291</v>
      </c>
      <c r="NYG1" s="69" t="s">
        <v>10292</v>
      </c>
      <c r="NYH1" s="69" t="s">
        <v>10293</v>
      </c>
      <c r="NYI1" s="69" t="s">
        <v>10294</v>
      </c>
      <c r="NYJ1" s="69" t="s">
        <v>10295</v>
      </c>
      <c r="NYK1" s="69" t="s">
        <v>10296</v>
      </c>
      <c r="NYL1" s="69" t="s">
        <v>10297</v>
      </c>
      <c r="NYM1" s="69" t="s">
        <v>10298</v>
      </c>
      <c r="NYN1" s="69" t="s">
        <v>10299</v>
      </c>
      <c r="NYO1" s="69" t="s">
        <v>10300</v>
      </c>
      <c r="NYP1" s="69" t="s">
        <v>10301</v>
      </c>
      <c r="NYQ1" s="69" t="s">
        <v>10302</v>
      </c>
      <c r="NYR1" s="69" t="s">
        <v>10303</v>
      </c>
      <c r="NYS1" s="69" t="s">
        <v>10304</v>
      </c>
      <c r="NYT1" s="69" t="s">
        <v>10305</v>
      </c>
      <c r="NYU1" s="69" t="s">
        <v>10306</v>
      </c>
      <c r="NYV1" s="69" t="s">
        <v>10307</v>
      </c>
      <c r="NYW1" s="69" t="s">
        <v>10308</v>
      </c>
      <c r="NYX1" s="69" t="s">
        <v>10309</v>
      </c>
      <c r="NYY1" s="69" t="s">
        <v>10310</v>
      </c>
      <c r="NYZ1" s="69" t="s">
        <v>10311</v>
      </c>
      <c r="NZA1" s="69" t="s">
        <v>10312</v>
      </c>
      <c r="NZB1" s="69" t="s">
        <v>10313</v>
      </c>
      <c r="NZC1" s="69" t="s">
        <v>10314</v>
      </c>
      <c r="NZD1" s="69" t="s">
        <v>10315</v>
      </c>
      <c r="NZE1" s="69" t="s">
        <v>10316</v>
      </c>
      <c r="NZF1" s="69" t="s">
        <v>10317</v>
      </c>
      <c r="NZG1" s="69" t="s">
        <v>10318</v>
      </c>
      <c r="NZH1" s="69" t="s">
        <v>10319</v>
      </c>
      <c r="NZI1" s="69" t="s">
        <v>10320</v>
      </c>
      <c r="NZJ1" s="69" t="s">
        <v>10321</v>
      </c>
      <c r="NZK1" s="69" t="s">
        <v>10322</v>
      </c>
      <c r="NZL1" s="69" t="s">
        <v>10323</v>
      </c>
      <c r="NZM1" s="69" t="s">
        <v>10324</v>
      </c>
      <c r="NZN1" s="69" t="s">
        <v>10325</v>
      </c>
      <c r="NZO1" s="69" t="s">
        <v>10326</v>
      </c>
      <c r="NZP1" s="69" t="s">
        <v>10327</v>
      </c>
      <c r="NZQ1" s="69" t="s">
        <v>10328</v>
      </c>
      <c r="NZR1" s="69" t="s">
        <v>10329</v>
      </c>
      <c r="NZS1" s="69" t="s">
        <v>10330</v>
      </c>
      <c r="NZT1" s="69" t="s">
        <v>10331</v>
      </c>
      <c r="NZU1" s="69" t="s">
        <v>10332</v>
      </c>
      <c r="NZV1" s="69" t="s">
        <v>10333</v>
      </c>
      <c r="NZW1" s="69" t="s">
        <v>10334</v>
      </c>
      <c r="NZX1" s="69" t="s">
        <v>10335</v>
      </c>
      <c r="NZY1" s="69" t="s">
        <v>10336</v>
      </c>
      <c r="NZZ1" s="69" t="s">
        <v>10337</v>
      </c>
      <c r="OAA1" s="69" t="s">
        <v>10338</v>
      </c>
      <c r="OAB1" s="69" t="s">
        <v>10339</v>
      </c>
      <c r="OAC1" s="69" t="s">
        <v>10340</v>
      </c>
      <c r="OAD1" s="69" t="s">
        <v>10341</v>
      </c>
      <c r="OAE1" s="69" t="s">
        <v>10342</v>
      </c>
      <c r="OAF1" s="69" t="s">
        <v>10343</v>
      </c>
      <c r="OAG1" s="69" t="s">
        <v>10344</v>
      </c>
      <c r="OAH1" s="69" t="s">
        <v>10345</v>
      </c>
      <c r="OAI1" s="69" t="s">
        <v>10346</v>
      </c>
      <c r="OAJ1" s="69" t="s">
        <v>10347</v>
      </c>
      <c r="OAK1" s="69" t="s">
        <v>10348</v>
      </c>
      <c r="OAL1" s="69" t="s">
        <v>10349</v>
      </c>
      <c r="OAM1" s="69" t="s">
        <v>10350</v>
      </c>
      <c r="OAN1" s="69" t="s">
        <v>10351</v>
      </c>
      <c r="OAO1" s="69" t="s">
        <v>10352</v>
      </c>
      <c r="OAP1" s="69" t="s">
        <v>10353</v>
      </c>
      <c r="OAQ1" s="69" t="s">
        <v>10354</v>
      </c>
      <c r="OAR1" s="69" t="s">
        <v>10355</v>
      </c>
      <c r="OAS1" s="69" t="s">
        <v>10356</v>
      </c>
      <c r="OAT1" s="69" t="s">
        <v>10357</v>
      </c>
      <c r="OAU1" s="69" t="s">
        <v>10358</v>
      </c>
      <c r="OAV1" s="69" t="s">
        <v>10359</v>
      </c>
      <c r="OAW1" s="69" t="s">
        <v>10360</v>
      </c>
      <c r="OAX1" s="69" t="s">
        <v>10361</v>
      </c>
      <c r="OAY1" s="69" t="s">
        <v>10362</v>
      </c>
      <c r="OAZ1" s="69" t="s">
        <v>10363</v>
      </c>
      <c r="OBA1" s="69" t="s">
        <v>10364</v>
      </c>
      <c r="OBB1" s="69" t="s">
        <v>10365</v>
      </c>
      <c r="OBC1" s="69" t="s">
        <v>10366</v>
      </c>
      <c r="OBD1" s="69" t="s">
        <v>10367</v>
      </c>
      <c r="OBE1" s="69" t="s">
        <v>10368</v>
      </c>
      <c r="OBF1" s="69" t="s">
        <v>10369</v>
      </c>
      <c r="OBG1" s="69" t="s">
        <v>10370</v>
      </c>
      <c r="OBH1" s="69" t="s">
        <v>10371</v>
      </c>
      <c r="OBI1" s="69" t="s">
        <v>10372</v>
      </c>
      <c r="OBJ1" s="69" t="s">
        <v>10373</v>
      </c>
      <c r="OBK1" s="69" t="s">
        <v>10374</v>
      </c>
      <c r="OBL1" s="69" t="s">
        <v>10375</v>
      </c>
      <c r="OBM1" s="69" t="s">
        <v>10376</v>
      </c>
      <c r="OBN1" s="69" t="s">
        <v>10377</v>
      </c>
      <c r="OBO1" s="69" t="s">
        <v>10378</v>
      </c>
      <c r="OBP1" s="69" t="s">
        <v>10379</v>
      </c>
      <c r="OBQ1" s="69" t="s">
        <v>10380</v>
      </c>
      <c r="OBR1" s="69" t="s">
        <v>10381</v>
      </c>
      <c r="OBS1" s="69" t="s">
        <v>10382</v>
      </c>
      <c r="OBT1" s="69" t="s">
        <v>10383</v>
      </c>
      <c r="OBU1" s="69" t="s">
        <v>10384</v>
      </c>
      <c r="OBV1" s="69" t="s">
        <v>10385</v>
      </c>
      <c r="OBW1" s="69" t="s">
        <v>10386</v>
      </c>
      <c r="OBX1" s="69" t="s">
        <v>10387</v>
      </c>
      <c r="OBY1" s="69" t="s">
        <v>10388</v>
      </c>
      <c r="OBZ1" s="69" t="s">
        <v>10389</v>
      </c>
      <c r="OCA1" s="69" t="s">
        <v>10390</v>
      </c>
      <c r="OCB1" s="69" t="s">
        <v>10391</v>
      </c>
      <c r="OCC1" s="69" t="s">
        <v>10392</v>
      </c>
      <c r="OCD1" s="69" t="s">
        <v>10393</v>
      </c>
      <c r="OCE1" s="69" t="s">
        <v>10394</v>
      </c>
      <c r="OCF1" s="69" t="s">
        <v>10395</v>
      </c>
      <c r="OCG1" s="69" t="s">
        <v>10396</v>
      </c>
      <c r="OCH1" s="69" t="s">
        <v>10397</v>
      </c>
      <c r="OCI1" s="69" t="s">
        <v>10398</v>
      </c>
      <c r="OCJ1" s="69" t="s">
        <v>10399</v>
      </c>
      <c r="OCK1" s="69" t="s">
        <v>10400</v>
      </c>
      <c r="OCL1" s="69" t="s">
        <v>10401</v>
      </c>
      <c r="OCM1" s="69" t="s">
        <v>10402</v>
      </c>
      <c r="OCN1" s="69" t="s">
        <v>10403</v>
      </c>
      <c r="OCO1" s="69" t="s">
        <v>10404</v>
      </c>
      <c r="OCP1" s="69" t="s">
        <v>10405</v>
      </c>
      <c r="OCQ1" s="69" t="s">
        <v>10406</v>
      </c>
      <c r="OCR1" s="69" t="s">
        <v>10407</v>
      </c>
      <c r="OCS1" s="69" t="s">
        <v>10408</v>
      </c>
      <c r="OCT1" s="69" t="s">
        <v>10409</v>
      </c>
      <c r="OCU1" s="69" t="s">
        <v>10410</v>
      </c>
      <c r="OCV1" s="69" t="s">
        <v>10411</v>
      </c>
      <c r="OCW1" s="69" t="s">
        <v>10412</v>
      </c>
      <c r="OCX1" s="69" t="s">
        <v>10413</v>
      </c>
      <c r="OCY1" s="69" t="s">
        <v>10414</v>
      </c>
      <c r="OCZ1" s="69" t="s">
        <v>10415</v>
      </c>
      <c r="ODA1" s="69" t="s">
        <v>10416</v>
      </c>
      <c r="ODB1" s="69" t="s">
        <v>10417</v>
      </c>
      <c r="ODC1" s="69" t="s">
        <v>10418</v>
      </c>
      <c r="ODD1" s="69" t="s">
        <v>10419</v>
      </c>
      <c r="ODE1" s="69" t="s">
        <v>10420</v>
      </c>
      <c r="ODF1" s="69" t="s">
        <v>10421</v>
      </c>
      <c r="ODG1" s="69" t="s">
        <v>10422</v>
      </c>
      <c r="ODH1" s="69" t="s">
        <v>10423</v>
      </c>
      <c r="ODI1" s="69" t="s">
        <v>10424</v>
      </c>
      <c r="ODJ1" s="69" t="s">
        <v>10425</v>
      </c>
      <c r="ODK1" s="69" t="s">
        <v>10426</v>
      </c>
      <c r="ODL1" s="69" t="s">
        <v>10427</v>
      </c>
      <c r="ODM1" s="69" t="s">
        <v>10428</v>
      </c>
      <c r="ODN1" s="69" t="s">
        <v>10429</v>
      </c>
      <c r="ODO1" s="69" t="s">
        <v>10430</v>
      </c>
      <c r="ODP1" s="69" t="s">
        <v>10431</v>
      </c>
      <c r="ODQ1" s="69" t="s">
        <v>10432</v>
      </c>
      <c r="ODR1" s="69" t="s">
        <v>10433</v>
      </c>
      <c r="ODS1" s="69" t="s">
        <v>10434</v>
      </c>
      <c r="ODT1" s="69" t="s">
        <v>10435</v>
      </c>
      <c r="ODU1" s="69" t="s">
        <v>10436</v>
      </c>
      <c r="ODV1" s="69" t="s">
        <v>10437</v>
      </c>
      <c r="ODW1" s="69" t="s">
        <v>10438</v>
      </c>
      <c r="ODX1" s="69" t="s">
        <v>10439</v>
      </c>
      <c r="ODY1" s="69" t="s">
        <v>10440</v>
      </c>
      <c r="ODZ1" s="69" t="s">
        <v>10441</v>
      </c>
      <c r="OEA1" s="69" t="s">
        <v>10442</v>
      </c>
      <c r="OEB1" s="69" t="s">
        <v>10443</v>
      </c>
      <c r="OEC1" s="69" t="s">
        <v>10444</v>
      </c>
      <c r="OED1" s="69" t="s">
        <v>10445</v>
      </c>
      <c r="OEE1" s="69" t="s">
        <v>10446</v>
      </c>
      <c r="OEF1" s="69" t="s">
        <v>10447</v>
      </c>
      <c r="OEG1" s="69" t="s">
        <v>10448</v>
      </c>
      <c r="OEH1" s="69" t="s">
        <v>10449</v>
      </c>
      <c r="OEI1" s="69" t="s">
        <v>10450</v>
      </c>
      <c r="OEJ1" s="69" t="s">
        <v>10451</v>
      </c>
      <c r="OEK1" s="69" t="s">
        <v>10452</v>
      </c>
      <c r="OEL1" s="69" t="s">
        <v>10453</v>
      </c>
      <c r="OEM1" s="69" t="s">
        <v>10454</v>
      </c>
      <c r="OEN1" s="69" t="s">
        <v>10455</v>
      </c>
      <c r="OEO1" s="69" t="s">
        <v>10456</v>
      </c>
      <c r="OEP1" s="69" t="s">
        <v>10457</v>
      </c>
      <c r="OEQ1" s="69" t="s">
        <v>10458</v>
      </c>
      <c r="OER1" s="69" t="s">
        <v>10459</v>
      </c>
      <c r="OES1" s="69" t="s">
        <v>10460</v>
      </c>
      <c r="OET1" s="69" t="s">
        <v>10461</v>
      </c>
      <c r="OEU1" s="69" t="s">
        <v>10462</v>
      </c>
      <c r="OEV1" s="69" t="s">
        <v>10463</v>
      </c>
      <c r="OEW1" s="69" t="s">
        <v>10464</v>
      </c>
      <c r="OEX1" s="69" t="s">
        <v>10465</v>
      </c>
      <c r="OEY1" s="69" t="s">
        <v>10466</v>
      </c>
      <c r="OEZ1" s="69" t="s">
        <v>10467</v>
      </c>
      <c r="OFA1" s="69" t="s">
        <v>10468</v>
      </c>
      <c r="OFB1" s="69" t="s">
        <v>10469</v>
      </c>
      <c r="OFC1" s="69" t="s">
        <v>10470</v>
      </c>
      <c r="OFD1" s="69" t="s">
        <v>10471</v>
      </c>
      <c r="OFE1" s="69" t="s">
        <v>10472</v>
      </c>
      <c r="OFF1" s="69" t="s">
        <v>10473</v>
      </c>
      <c r="OFG1" s="69" t="s">
        <v>10474</v>
      </c>
      <c r="OFH1" s="69" t="s">
        <v>10475</v>
      </c>
      <c r="OFI1" s="69" t="s">
        <v>10476</v>
      </c>
      <c r="OFJ1" s="69" t="s">
        <v>10477</v>
      </c>
      <c r="OFK1" s="69" t="s">
        <v>10478</v>
      </c>
      <c r="OFL1" s="69" t="s">
        <v>10479</v>
      </c>
      <c r="OFM1" s="69" t="s">
        <v>10480</v>
      </c>
      <c r="OFN1" s="69" t="s">
        <v>10481</v>
      </c>
      <c r="OFO1" s="69" t="s">
        <v>10482</v>
      </c>
      <c r="OFP1" s="69" t="s">
        <v>10483</v>
      </c>
      <c r="OFQ1" s="69" t="s">
        <v>10484</v>
      </c>
      <c r="OFR1" s="69" t="s">
        <v>10485</v>
      </c>
      <c r="OFS1" s="69" t="s">
        <v>10486</v>
      </c>
      <c r="OFT1" s="69" t="s">
        <v>10487</v>
      </c>
      <c r="OFU1" s="69" t="s">
        <v>10488</v>
      </c>
      <c r="OFV1" s="69" t="s">
        <v>10489</v>
      </c>
      <c r="OFW1" s="69" t="s">
        <v>10490</v>
      </c>
      <c r="OFX1" s="69" t="s">
        <v>10491</v>
      </c>
      <c r="OFY1" s="69" t="s">
        <v>10492</v>
      </c>
      <c r="OFZ1" s="69" t="s">
        <v>10493</v>
      </c>
      <c r="OGA1" s="69" t="s">
        <v>10494</v>
      </c>
      <c r="OGB1" s="69" t="s">
        <v>10495</v>
      </c>
      <c r="OGC1" s="69" t="s">
        <v>10496</v>
      </c>
      <c r="OGD1" s="69" t="s">
        <v>10497</v>
      </c>
      <c r="OGE1" s="69" t="s">
        <v>10498</v>
      </c>
      <c r="OGF1" s="69" t="s">
        <v>10499</v>
      </c>
      <c r="OGG1" s="69" t="s">
        <v>10500</v>
      </c>
      <c r="OGH1" s="69" t="s">
        <v>10501</v>
      </c>
      <c r="OGI1" s="69" t="s">
        <v>10502</v>
      </c>
      <c r="OGJ1" s="69" t="s">
        <v>10503</v>
      </c>
      <c r="OGK1" s="69" t="s">
        <v>10504</v>
      </c>
      <c r="OGL1" s="69" t="s">
        <v>10505</v>
      </c>
      <c r="OGM1" s="69" t="s">
        <v>10506</v>
      </c>
      <c r="OGN1" s="69" t="s">
        <v>10507</v>
      </c>
      <c r="OGO1" s="69" t="s">
        <v>10508</v>
      </c>
      <c r="OGP1" s="69" t="s">
        <v>10509</v>
      </c>
      <c r="OGQ1" s="69" t="s">
        <v>10510</v>
      </c>
      <c r="OGR1" s="69" t="s">
        <v>10511</v>
      </c>
      <c r="OGS1" s="69" t="s">
        <v>10512</v>
      </c>
      <c r="OGT1" s="69" t="s">
        <v>10513</v>
      </c>
      <c r="OGU1" s="69" t="s">
        <v>10514</v>
      </c>
      <c r="OGV1" s="69" t="s">
        <v>10515</v>
      </c>
      <c r="OGW1" s="69" t="s">
        <v>10516</v>
      </c>
      <c r="OGX1" s="69" t="s">
        <v>10517</v>
      </c>
      <c r="OGY1" s="69" t="s">
        <v>10518</v>
      </c>
      <c r="OGZ1" s="69" t="s">
        <v>10519</v>
      </c>
      <c r="OHA1" s="69" t="s">
        <v>10520</v>
      </c>
      <c r="OHB1" s="69" t="s">
        <v>10521</v>
      </c>
      <c r="OHC1" s="69" t="s">
        <v>10522</v>
      </c>
      <c r="OHD1" s="69" t="s">
        <v>10523</v>
      </c>
      <c r="OHE1" s="69" t="s">
        <v>10524</v>
      </c>
      <c r="OHF1" s="69" t="s">
        <v>10525</v>
      </c>
      <c r="OHG1" s="69" t="s">
        <v>10526</v>
      </c>
      <c r="OHH1" s="69" t="s">
        <v>10527</v>
      </c>
      <c r="OHI1" s="69" t="s">
        <v>10528</v>
      </c>
      <c r="OHJ1" s="69" t="s">
        <v>10529</v>
      </c>
      <c r="OHK1" s="69" t="s">
        <v>10530</v>
      </c>
      <c r="OHL1" s="69" t="s">
        <v>10531</v>
      </c>
      <c r="OHM1" s="69" t="s">
        <v>10532</v>
      </c>
      <c r="OHN1" s="69" t="s">
        <v>10533</v>
      </c>
      <c r="OHO1" s="69" t="s">
        <v>10534</v>
      </c>
      <c r="OHP1" s="69" t="s">
        <v>10535</v>
      </c>
      <c r="OHQ1" s="69" t="s">
        <v>10536</v>
      </c>
      <c r="OHR1" s="69" t="s">
        <v>10537</v>
      </c>
      <c r="OHS1" s="69" t="s">
        <v>10538</v>
      </c>
      <c r="OHT1" s="69" t="s">
        <v>10539</v>
      </c>
      <c r="OHU1" s="69" t="s">
        <v>10540</v>
      </c>
      <c r="OHV1" s="69" t="s">
        <v>10541</v>
      </c>
      <c r="OHW1" s="69" t="s">
        <v>10542</v>
      </c>
      <c r="OHX1" s="69" t="s">
        <v>10543</v>
      </c>
      <c r="OHY1" s="69" t="s">
        <v>10544</v>
      </c>
      <c r="OHZ1" s="69" t="s">
        <v>10545</v>
      </c>
      <c r="OIA1" s="69" t="s">
        <v>10546</v>
      </c>
      <c r="OIB1" s="69" t="s">
        <v>10547</v>
      </c>
      <c r="OIC1" s="69" t="s">
        <v>10548</v>
      </c>
      <c r="OID1" s="69" t="s">
        <v>10549</v>
      </c>
      <c r="OIE1" s="69" t="s">
        <v>10550</v>
      </c>
      <c r="OIF1" s="69" t="s">
        <v>10551</v>
      </c>
      <c r="OIG1" s="69" t="s">
        <v>10552</v>
      </c>
      <c r="OIH1" s="69" t="s">
        <v>10553</v>
      </c>
      <c r="OII1" s="69" t="s">
        <v>10554</v>
      </c>
      <c r="OIJ1" s="69" t="s">
        <v>10555</v>
      </c>
      <c r="OIK1" s="69" t="s">
        <v>10556</v>
      </c>
      <c r="OIL1" s="69" t="s">
        <v>10557</v>
      </c>
      <c r="OIM1" s="69" t="s">
        <v>10558</v>
      </c>
      <c r="OIN1" s="69" t="s">
        <v>10559</v>
      </c>
      <c r="OIO1" s="69" t="s">
        <v>10560</v>
      </c>
      <c r="OIP1" s="69" t="s">
        <v>10561</v>
      </c>
      <c r="OIQ1" s="69" t="s">
        <v>10562</v>
      </c>
      <c r="OIR1" s="69" t="s">
        <v>10563</v>
      </c>
      <c r="OIS1" s="69" t="s">
        <v>10564</v>
      </c>
      <c r="OIT1" s="69" t="s">
        <v>10565</v>
      </c>
      <c r="OIU1" s="69" t="s">
        <v>10566</v>
      </c>
      <c r="OIV1" s="69" t="s">
        <v>10567</v>
      </c>
      <c r="OIW1" s="69" t="s">
        <v>10568</v>
      </c>
      <c r="OIX1" s="69" t="s">
        <v>10569</v>
      </c>
      <c r="OIY1" s="69" t="s">
        <v>10570</v>
      </c>
      <c r="OIZ1" s="69" t="s">
        <v>10571</v>
      </c>
      <c r="OJA1" s="69" t="s">
        <v>10572</v>
      </c>
      <c r="OJB1" s="69" t="s">
        <v>10573</v>
      </c>
      <c r="OJC1" s="69" t="s">
        <v>10574</v>
      </c>
      <c r="OJD1" s="69" t="s">
        <v>10575</v>
      </c>
      <c r="OJE1" s="69" t="s">
        <v>10576</v>
      </c>
      <c r="OJF1" s="69" t="s">
        <v>10577</v>
      </c>
      <c r="OJG1" s="69" t="s">
        <v>10578</v>
      </c>
      <c r="OJH1" s="69" t="s">
        <v>10579</v>
      </c>
      <c r="OJI1" s="69" t="s">
        <v>10580</v>
      </c>
      <c r="OJJ1" s="69" t="s">
        <v>10581</v>
      </c>
      <c r="OJK1" s="69" t="s">
        <v>10582</v>
      </c>
      <c r="OJL1" s="69" t="s">
        <v>10583</v>
      </c>
      <c r="OJM1" s="69" t="s">
        <v>10584</v>
      </c>
      <c r="OJN1" s="69" t="s">
        <v>10585</v>
      </c>
      <c r="OJO1" s="69" t="s">
        <v>10586</v>
      </c>
      <c r="OJP1" s="69" t="s">
        <v>10587</v>
      </c>
      <c r="OJQ1" s="69" t="s">
        <v>10588</v>
      </c>
      <c r="OJR1" s="69" t="s">
        <v>10589</v>
      </c>
      <c r="OJS1" s="69" t="s">
        <v>10590</v>
      </c>
      <c r="OJT1" s="69" t="s">
        <v>10591</v>
      </c>
      <c r="OJU1" s="69" t="s">
        <v>10592</v>
      </c>
      <c r="OJV1" s="69" t="s">
        <v>10593</v>
      </c>
      <c r="OJW1" s="69" t="s">
        <v>10594</v>
      </c>
      <c r="OJX1" s="69" t="s">
        <v>10595</v>
      </c>
      <c r="OJY1" s="69" t="s">
        <v>10596</v>
      </c>
      <c r="OJZ1" s="69" t="s">
        <v>10597</v>
      </c>
      <c r="OKA1" s="69" t="s">
        <v>10598</v>
      </c>
      <c r="OKB1" s="69" t="s">
        <v>10599</v>
      </c>
      <c r="OKC1" s="69" t="s">
        <v>10600</v>
      </c>
      <c r="OKD1" s="69" t="s">
        <v>10601</v>
      </c>
      <c r="OKE1" s="69" t="s">
        <v>10602</v>
      </c>
      <c r="OKF1" s="69" t="s">
        <v>10603</v>
      </c>
      <c r="OKG1" s="69" t="s">
        <v>10604</v>
      </c>
      <c r="OKH1" s="69" t="s">
        <v>10605</v>
      </c>
      <c r="OKI1" s="69" t="s">
        <v>10606</v>
      </c>
      <c r="OKJ1" s="69" t="s">
        <v>10607</v>
      </c>
      <c r="OKK1" s="69" t="s">
        <v>10608</v>
      </c>
      <c r="OKL1" s="69" t="s">
        <v>10609</v>
      </c>
      <c r="OKM1" s="69" t="s">
        <v>10610</v>
      </c>
      <c r="OKN1" s="69" t="s">
        <v>10611</v>
      </c>
      <c r="OKO1" s="69" t="s">
        <v>10612</v>
      </c>
      <c r="OKP1" s="69" t="s">
        <v>10613</v>
      </c>
      <c r="OKQ1" s="69" t="s">
        <v>10614</v>
      </c>
      <c r="OKR1" s="69" t="s">
        <v>10615</v>
      </c>
      <c r="OKS1" s="69" t="s">
        <v>10616</v>
      </c>
      <c r="OKT1" s="69" t="s">
        <v>10617</v>
      </c>
      <c r="OKU1" s="69" t="s">
        <v>10618</v>
      </c>
      <c r="OKV1" s="69" t="s">
        <v>10619</v>
      </c>
      <c r="OKW1" s="69" t="s">
        <v>10620</v>
      </c>
      <c r="OKX1" s="69" t="s">
        <v>10621</v>
      </c>
      <c r="OKY1" s="69" t="s">
        <v>10622</v>
      </c>
      <c r="OKZ1" s="69" t="s">
        <v>10623</v>
      </c>
      <c r="OLA1" s="69" t="s">
        <v>10624</v>
      </c>
      <c r="OLB1" s="69" t="s">
        <v>10625</v>
      </c>
      <c r="OLC1" s="69" t="s">
        <v>10626</v>
      </c>
      <c r="OLD1" s="69" t="s">
        <v>10627</v>
      </c>
      <c r="OLE1" s="69" t="s">
        <v>10628</v>
      </c>
      <c r="OLF1" s="69" t="s">
        <v>10629</v>
      </c>
      <c r="OLG1" s="69" t="s">
        <v>10630</v>
      </c>
      <c r="OLH1" s="69" t="s">
        <v>10631</v>
      </c>
      <c r="OLI1" s="69" t="s">
        <v>10632</v>
      </c>
      <c r="OLJ1" s="69" t="s">
        <v>10633</v>
      </c>
      <c r="OLK1" s="69" t="s">
        <v>10634</v>
      </c>
      <c r="OLL1" s="69" t="s">
        <v>10635</v>
      </c>
      <c r="OLM1" s="69" t="s">
        <v>10636</v>
      </c>
      <c r="OLN1" s="69" t="s">
        <v>10637</v>
      </c>
      <c r="OLO1" s="69" t="s">
        <v>10638</v>
      </c>
      <c r="OLP1" s="69" t="s">
        <v>10639</v>
      </c>
      <c r="OLQ1" s="69" t="s">
        <v>10640</v>
      </c>
      <c r="OLR1" s="69" t="s">
        <v>10641</v>
      </c>
      <c r="OLS1" s="69" t="s">
        <v>10642</v>
      </c>
      <c r="OLT1" s="69" t="s">
        <v>10643</v>
      </c>
      <c r="OLU1" s="69" t="s">
        <v>10644</v>
      </c>
      <c r="OLV1" s="69" t="s">
        <v>10645</v>
      </c>
      <c r="OLW1" s="69" t="s">
        <v>10646</v>
      </c>
      <c r="OLX1" s="69" t="s">
        <v>10647</v>
      </c>
      <c r="OLY1" s="69" t="s">
        <v>10648</v>
      </c>
      <c r="OLZ1" s="69" t="s">
        <v>10649</v>
      </c>
      <c r="OMA1" s="69" t="s">
        <v>10650</v>
      </c>
      <c r="OMB1" s="69" t="s">
        <v>10651</v>
      </c>
      <c r="OMC1" s="69" t="s">
        <v>10652</v>
      </c>
      <c r="OMD1" s="69" t="s">
        <v>10653</v>
      </c>
      <c r="OME1" s="69" t="s">
        <v>10654</v>
      </c>
      <c r="OMF1" s="69" t="s">
        <v>10655</v>
      </c>
      <c r="OMG1" s="69" t="s">
        <v>10656</v>
      </c>
      <c r="OMH1" s="69" t="s">
        <v>10657</v>
      </c>
      <c r="OMI1" s="69" t="s">
        <v>10658</v>
      </c>
      <c r="OMJ1" s="69" t="s">
        <v>10659</v>
      </c>
      <c r="OMK1" s="69" t="s">
        <v>10660</v>
      </c>
      <c r="OML1" s="69" t="s">
        <v>10661</v>
      </c>
      <c r="OMM1" s="69" t="s">
        <v>10662</v>
      </c>
      <c r="OMN1" s="69" t="s">
        <v>10663</v>
      </c>
      <c r="OMO1" s="69" t="s">
        <v>10664</v>
      </c>
      <c r="OMP1" s="69" t="s">
        <v>10665</v>
      </c>
      <c r="OMQ1" s="69" t="s">
        <v>10666</v>
      </c>
      <c r="OMR1" s="69" t="s">
        <v>10667</v>
      </c>
      <c r="OMS1" s="69" t="s">
        <v>10668</v>
      </c>
      <c r="OMT1" s="69" t="s">
        <v>10669</v>
      </c>
      <c r="OMU1" s="69" t="s">
        <v>10670</v>
      </c>
      <c r="OMV1" s="69" t="s">
        <v>10671</v>
      </c>
      <c r="OMW1" s="69" t="s">
        <v>10672</v>
      </c>
      <c r="OMX1" s="69" t="s">
        <v>10673</v>
      </c>
      <c r="OMY1" s="69" t="s">
        <v>10674</v>
      </c>
      <c r="OMZ1" s="69" t="s">
        <v>10675</v>
      </c>
      <c r="ONA1" s="69" t="s">
        <v>10676</v>
      </c>
      <c r="ONB1" s="69" t="s">
        <v>10677</v>
      </c>
      <c r="ONC1" s="69" t="s">
        <v>10678</v>
      </c>
      <c r="OND1" s="69" t="s">
        <v>10679</v>
      </c>
      <c r="ONE1" s="69" t="s">
        <v>10680</v>
      </c>
      <c r="ONF1" s="69" t="s">
        <v>10681</v>
      </c>
      <c r="ONG1" s="69" t="s">
        <v>10682</v>
      </c>
      <c r="ONH1" s="69" t="s">
        <v>10683</v>
      </c>
      <c r="ONI1" s="69" t="s">
        <v>10684</v>
      </c>
      <c r="ONJ1" s="69" t="s">
        <v>10685</v>
      </c>
      <c r="ONK1" s="69" t="s">
        <v>10686</v>
      </c>
      <c r="ONL1" s="69" t="s">
        <v>10687</v>
      </c>
      <c r="ONM1" s="69" t="s">
        <v>10688</v>
      </c>
      <c r="ONN1" s="69" t="s">
        <v>10689</v>
      </c>
      <c r="ONO1" s="69" t="s">
        <v>10690</v>
      </c>
      <c r="ONP1" s="69" t="s">
        <v>10691</v>
      </c>
      <c r="ONQ1" s="69" t="s">
        <v>10692</v>
      </c>
      <c r="ONR1" s="69" t="s">
        <v>10693</v>
      </c>
      <c r="ONS1" s="69" t="s">
        <v>10694</v>
      </c>
      <c r="ONT1" s="69" t="s">
        <v>10695</v>
      </c>
      <c r="ONU1" s="69" t="s">
        <v>10696</v>
      </c>
      <c r="ONV1" s="69" t="s">
        <v>10697</v>
      </c>
      <c r="ONW1" s="69" t="s">
        <v>10698</v>
      </c>
      <c r="ONX1" s="69" t="s">
        <v>10699</v>
      </c>
      <c r="ONY1" s="69" t="s">
        <v>10700</v>
      </c>
      <c r="ONZ1" s="69" t="s">
        <v>10701</v>
      </c>
      <c r="OOA1" s="69" t="s">
        <v>10702</v>
      </c>
      <c r="OOB1" s="69" t="s">
        <v>10703</v>
      </c>
      <c r="OOC1" s="69" t="s">
        <v>10704</v>
      </c>
      <c r="OOD1" s="69" t="s">
        <v>10705</v>
      </c>
      <c r="OOE1" s="69" t="s">
        <v>10706</v>
      </c>
      <c r="OOF1" s="69" t="s">
        <v>10707</v>
      </c>
      <c r="OOG1" s="69" t="s">
        <v>10708</v>
      </c>
      <c r="OOH1" s="69" t="s">
        <v>10709</v>
      </c>
      <c r="OOI1" s="69" t="s">
        <v>10710</v>
      </c>
      <c r="OOJ1" s="69" t="s">
        <v>10711</v>
      </c>
      <c r="OOK1" s="69" t="s">
        <v>10712</v>
      </c>
      <c r="OOL1" s="69" t="s">
        <v>10713</v>
      </c>
      <c r="OOM1" s="69" t="s">
        <v>10714</v>
      </c>
      <c r="OON1" s="69" t="s">
        <v>10715</v>
      </c>
      <c r="OOO1" s="69" t="s">
        <v>10716</v>
      </c>
      <c r="OOP1" s="69" t="s">
        <v>10717</v>
      </c>
      <c r="OOQ1" s="69" t="s">
        <v>10718</v>
      </c>
      <c r="OOR1" s="69" t="s">
        <v>10719</v>
      </c>
      <c r="OOS1" s="69" t="s">
        <v>10720</v>
      </c>
      <c r="OOT1" s="69" t="s">
        <v>10721</v>
      </c>
      <c r="OOU1" s="69" t="s">
        <v>10722</v>
      </c>
      <c r="OOV1" s="69" t="s">
        <v>10723</v>
      </c>
      <c r="OOW1" s="69" t="s">
        <v>10724</v>
      </c>
      <c r="OOX1" s="69" t="s">
        <v>10725</v>
      </c>
      <c r="OOY1" s="69" t="s">
        <v>10726</v>
      </c>
      <c r="OOZ1" s="69" t="s">
        <v>10727</v>
      </c>
      <c r="OPA1" s="69" t="s">
        <v>10728</v>
      </c>
      <c r="OPB1" s="69" t="s">
        <v>10729</v>
      </c>
      <c r="OPC1" s="69" t="s">
        <v>10730</v>
      </c>
      <c r="OPD1" s="69" t="s">
        <v>10731</v>
      </c>
      <c r="OPE1" s="69" t="s">
        <v>10732</v>
      </c>
      <c r="OPF1" s="69" t="s">
        <v>10733</v>
      </c>
      <c r="OPG1" s="69" t="s">
        <v>10734</v>
      </c>
      <c r="OPH1" s="69" t="s">
        <v>10735</v>
      </c>
      <c r="OPI1" s="69" t="s">
        <v>10736</v>
      </c>
      <c r="OPJ1" s="69" t="s">
        <v>10737</v>
      </c>
      <c r="OPK1" s="69" t="s">
        <v>10738</v>
      </c>
      <c r="OPL1" s="69" t="s">
        <v>10739</v>
      </c>
      <c r="OPM1" s="69" t="s">
        <v>10740</v>
      </c>
      <c r="OPN1" s="69" t="s">
        <v>10741</v>
      </c>
      <c r="OPO1" s="69" t="s">
        <v>10742</v>
      </c>
      <c r="OPP1" s="69" t="s">
        <v>10743</v>
      </c>
      <c r="OPQ1" s="69" t="s">
        <v>10744</v>
      </c>
      <c r="OPR1" s="69" t="s">
        <v>10745</v>
      </c>
      <c r="OPS1" s="69" t="s">
        <v>10746</v>
      </c>
      <c r="OPT1" s="69" t="s">
        <v>10747</v>
      </c>
      <c r="OPU1" s="69" t="s">
        <v>10748</v>
      </c>
      <c r="OPV1" s="69" t="s">
        <v>10749</v>
      </c>
      <c r="OPW1" s="69" t="s">
        <v>10750</v>
      </c>
      <c r="OPX1" s="69" t="s">
        <v>10751</v>
      </c>
      <c r="OPY1" s="69" t="s">
        <v>10752</v>
      </c>
      <c r="OPZ1" s="69" t="s">
        <v>10753</v>
      </c>
      <c r="OQA1" s="69" t="s">
        <v>10754</v>
      </c>
      <c r="OQB1" s="69" t="s">
        <v>10755</v>
      </c>
      <c r="OQC1" s="69" t="s">
        <v>10756</v>
      </c>
      <c r="OQD1" s="69" t="s">
        <v>10757</v>
      </c>
      <c r="OQE1" s="69" t="s">
        <v>10758</v>
      </c>
      <c r="OQF1" s="69" t="s">
        <v>10759</v>
      </c>
      <c r="OQG1" s="69" t="s">
        <v>10760</v>
      </c>
      <c r="OQH1" s="69" t="s">
        <v>10761</v>
      </c>
      <c r="OQI1" s="69" t="s">
        <v>10762</v>
      </c>
      <c r="OQJ1" s="69" t="s">
        <v>10763</v>
      </c>
      <c r="OQK1" s="69" t="s">
        <v>10764</v>
      </c>
      <c r="OQL1" s="69" t="s">
        <v>10765</v>
      </c>
      <c r="OQM1" s="69" t="s">
        <v>10766</v>
      </c>
      <c r="OQN1" s="69" t="s">
        <v>10767</v>
      </c>
      <c r="OQO1" s="69" t="s">
        <v>10768</v>
      </c>
      <c r="OQP1" s="69" t="s">
        <v>10769</v>
      </c>
      <c r="OQQ1" s="69" t="s">
        <v>10770</v>
      </c>
      <c r="OQR1" s="69" t="s">
        <v>10771</v>
      </c>
      <c r="OQS1" s="69" t="s">
        <v>10772</v>
      </c>
      <c r="OQT1" s="69" t="s">
        <v>10773</v>
      </c>
      <c r="OQU1" s="69" t="s">
        <v>10774</v>
      </c>
      <c r="OQV1" s="69" t="s">
        <v>10775</v>
      </c>
      <c r="OQW1" s="69" t="s">
        <v>10776</v>
      </c>
      <c r="OQX1" s="69" t="s">
        <v>10777</v>
      </c>
      <c r="OQY1" s="69" t="s">
        <v>10778</v>
      </c>
      <c r="OQZ1" s="69" t="s">
        <v>10779</v>
      </c>
      <c r="ORA1" s="69" t="s">
        <v>10780</v>
      </c>
      <c r="ORB1" s="69" t="s">
        <v>10781</v>
      </c>
      <c r="ORC1" s="69" t="s">
        <v>10782</v>
      </c>
      <c r="ORD1" s="69" t="s">
        <v>10783</v>
      </c>
      <c r="ORE1" s="69" t="s">
        <v>10784</v>
      </c>
      <c r="ORF1" s="69" t="s">
        <v>10785</v>
      </c>
      <c r="ORG1" s="69" t="s">
        <v>10786</v>
      </c>
      <c r="ORH1" s="69" t="s">
        <v>10787</v>
      </c>
      <c r="ORI1" s="69" t="s">
        <v>10788</v>
      </c>
      <c r="ORJ1" s="69" t="s">
        <v>10789</v>
      </c>
      <c r="ORK1" s="69" t="s">
        <v>10790</v>
      </c>
      <c r="ORL1" s="69" t="s">
        <v>10791</v>
      </c>
      <c r="ORM1" s="69" t="s">
        <v>10792</v>
      </c>
      <c r="ORN1" s="69" t="s">
        <v>10793</v>
      </c>
      <c r="ORO1" s="69" t="s">
        <v>10794</v>
      </c>
      <c r="ORP1" s="69" t="s">
        <v>10795</v>
      </c>
      <c r="ORQ1" s="69" t="s">
        <v>10796</v>
      </c>
      <c r="ORR1" s="69" t="s">
        <v>10797</v>
      </c>
      <c r="ORS1" s="69" t="s">
        <v>10798</v>
      </c>
      <c r="ORT1" s="69" t="s">
        <v>10799</v>
      </c>
      <c r="ORU1" s="69" t="s">
        <v>10800</v>
      </c>
      <c r="ORV1" s="69" t="s">
        <v>10801</v>
      </c>
      <c r="ORW1" s="69" t="s">
        <v>10802</v>
      </c>
      <c r="ORX1" s="69" t="s">
        <v>10803</v>
      </c>
      <c r="ORY1" s="69" t="s">
        <v>10804</v>
      </c>
      <c r="ORZ1" s="69" t="s">
        <v>10805</v>
      </c>
      <c r="OSA1" s="69" t="s">
        <v>10806</v>
      </c>
      <c r="OSB1" s="69" t="s">
        <v>10807</v>
      </c>
      <c r="OSC1" s="69" t="s">
        <v>10808</v>
      </c>
      <c r="OSD1" s="69" t="s">
        <v>10809</v>
      </c>
      <c r="OSE1" s="69" t="s">
        <v>10810</v>
      </c>
      <c r="OSF1" s="69" t="s">
        <v>10811</v>
      </c>
      <c r="OSG1" s="69" t="s">
        <v>10812</v>
      </c>
      <c r="OSH1" s="69" t="s">
        <v>10813</v>
      </c>
      <c r="OSI1" s="69" t="s">
        <v>10814</v>
      </c>
      <c r="OSJ1" s="69" t="s">
        <v>10815</v>
      </c>
      <c r="OSK1" s="69" t="s">
        <v>10816</v>
      </c>
      <c r="OSL1" s="69" t="s">
        <v>10817</v>
      </c>
      <c r="OSM1" s="69" t="s">
        <v>10818</v>
      </c>
      <c r="OSN1" s="69" t="s">
        <v>10819</v>
      </c>
      <c r="OSO1" s="69" t="s">
        <v>10820</v>
      </c>
      <c r="OSP1" s="69" t="s">
        <v>10821</v>
      </c>
      <c r="OSQ1" s="69" t="s">
        <v>10822</v>
      </c>
      <c r="OSR1" s="69" t="s">
        <v>10823</v>
      </c>
      <c r="OSS1" s="69" t="s">
        <v>10824</v>
      </c>
      <c r="OST1" s="69" t="s">
        <v>10825</v>
      </c>
      <c r="OSU1" s="69" t="s">
        <v>10826</v>
      </c>
      <c r="OSV1" s="69" t="s">
        <v>10827</v>
      </c>
      <c r="OSW1" s="69" t="s">
        <v>10828</v>
      </c>
      <c r="OSX1" s="69" t="s">
        <v>10829</v>
      </c>
      <c r="OSY1" s="69" t="s">
        <v>10830</v>
      </c>
      <c r="OSZ1" s="69" t="s">
        <v>10831</v>
      </c>
      <c r="OTA1" s="69" t="s">
        <v>10832</v>
      </c>
      <c r="OTB1" s="69" t="s">
        <v>10833</v>
      </c>
      <c r="OTC1" s="69" t="s">
        <v>10834</v>
      </c>
      <c r="OTD1" s="69" t="s">
        <v>10835</v>
      </c>
      <c r="OTE1" s="69" t="s">
        <v>10836</v>
      </c>
      <c r="OTF1" s="69" t="s">
        <v>10837</v>
      </c>
      <c r="OTG1" s="69" t="s">
        <v>10838</v>
      </c>
      <c r="OTH1" s="69" t="s">
        <v>10839</v>
      </c>
      <c r="OTI1" s="69" t="s">
        <v>10840</v>
      </c>
      <c r="OTJ1" s="69" t="s">
        <v>10841</v>
      </c>
      <c r="OTK1" s="69" t="s">
        <v>10842</v>
      </c>
      <c r="OTL1" s="69" t="s">
        <v>10843</v>
      </c>
      <c r="OTM1" s="69" t="s">
        <v>10844</v>
      </c>
      <c r="OTN1" s="69" t="s">
        <v>10845</v>
      </c>
      <c r="OTO1" s="69" t="s">
        <v>10846</v>
      </c>
      <c r="OTP1" s="69" t="s">
        <v>10847</v>
      </c>
      <c r="OTQ1" s="69" t="s">
        <v>10848</v>
      </c>
      <c r="OTR1" s="69" t="s">
        <v>10849</v>
      </c>
      <c r="OTS1" s="69" t="s">
        <v>10850</v>
      </c>
      <c r="OTT1" s="69" t="s">
        <v>10851</v>
      </c>
      <c r="OTU1" s="69" t="s">
        <v>10852</v>
      </c>
      <c r="OTV1" s="69" t="s">
        <v>10853</v>
      </c>
      <c r="OTW1" s="69" t="s">
        <v>10854</v>
      </c>
      <c r="OTX1" s="69" t="s">
        <v>10855</v>
      </c>
      <c r="OTY1" s="69" t="s">
        <v>10856</v>
      </c>
      <c r="OTZ1" s="69" t="s">
        <v>10857</v>
      </c>
      <c r="OUA1" s="69" t="s">
        <v>10858</v>
      </c>
      <c r="OUB1" s="69" t="s">
        <v>10859</v>
      </c>
      <c r="OUC1" s="69" t="s">
        <v>10860</v>
      </c>
      <c r="OUD1" s="69" t="s">
        <v>10861</v>
      </c>
      <c r="OUE1" s="69" t="s">
        <v>10862</v>
      </c>
      <c r="OUF1" s="69" t="s">
        <v>10863</v>
      </c>
      <c r="OUG1" s="69" t="s">
        <v>10864</v>
      </c>
      <c r="OUH1" s="69" t="s">
        <v>10865</v>
      </c>
      <c r="OUI1" s="69" t="s">
        <v>10866</v>
      </c>
      <c r="OUJ1" s="69" t="s">
        <v>10867</v>
      </c>
      <c r="OUK1" s="69" t="s">
        <v>10868</v>
      </c>
      <c r="OUL1" s="69" t="s">
        <v>10869</v>
      </c>
      <c r="OUM1" s="69" t="s">
        <v>10870</v>
      </c>
      <c r="OUN1" s="69" t="s">
        <v>10871</v>
      </c>
      <c r="OUO1" s="69" t="s">
        <v>10872</v>
      </c>
      <c r="OUP1" s="69" t="s">
        <v>10873</v>
      </c>
      <c r="OUQ1" s="69" t="s">
        <v>10874</v>
      </c>
      <c r="OUR1" s="69" t="s">
        <v>10875</v>
      </c>
      <c r="OUS1" s="69" t="s">
        <v>10876</v>
      </c>
      <c r="OUT1" s="69" t="s">
        <v>10877</v>
      </c>
      <c r="OUU1" s="69" t="s">
        <v>10878</v>
      </c>
      <c r="OUV1" s="69" t="s">
        <v>10879</v>
      </c>
      <c r="OUW1" s="69" t="s">
        <v>10880</v>
      </c>
      <c r="OUX1" s="69" t="s">
        <v>10881</v>
      </c>
      <c r="OUY1" s="69" t="s">
        <v>10882</v>
      </c>
      <c r="OUZ1" s="69" t="s">
        <v>10883</v>
      </c>
      <c r="OVA1" s="69" t="s">
        <v>10884</v>
      </c>
      <c r="OVB1" s="69" t="s">
        <v>10885</v>
      </c>
      <c r="OVC1" s="69" t="s">
        <v>10886</v>
      </c>
      <c r="OVD1" s="69" t="s">
        <v>10887</v>
      </c>
      <c r="OVE1" s="69" t="s">
        <v>10888</v>
      </c>
      <c r="OVF1" s="69" t="s">
        <v>10889</v>
      </c>
      <c r="OVG1" s="69" t="s">
        <v>10890</v>
      </c>
      <c r="OVH1" s="69" t="s">
        <v>10891</v>
      </c>
      <c r="OVI1" s="69" t="s">
        <v>10892</v>
      </c>
      <c r="OVJ1" s="69" t="s">
        <v>10893</v>
      </c>
      <c r="OVK1" s="69" t="s">
        <v>10894</v>
      </c>
      <c r="OVL1" s="69" t="s">
        <v>10895</v>
      </c>
      <c r="OVM1" s="69" t="s">
        <v>10896</v>
      </c>
      <c r="OVN1" s="69" t="s">
        <v>10897</v>
      </c>
      <c r="OVO1" s="69" t="s">
        <v>10898</v>
      </c>
      <c r="OVP1" s="69" t="s">
        <v>10899</v>
      </c>
      <c r="OVQ1" s="69" t="s">
        <v>10900</v>
      </c>
      <c r="OVR1" s="69" t="s">
        <v>10901</v>
      </c>
      <c r="OVS1" s="69" t="s">
        <v>10902</v>
      </c>
      <c r="OVT1" s="69" t="s">
        <v>10903</v>
      </c>
      <c r="OVU1" s="69" t="s">
        <v>10904</v>
      </c>
      <c r="OVV1" s="69" t="s">
        <v>10905</v>
      </c>
      <c r="OVW1" s="69" t="s">
        <v>10906</v>
      </c>
      <c r="OVX1" s="69" t="s">
        <v>10907</v>
      </c>
      <c r="OVY1" s="69" t="s">
        <v>10908</v>
      </c>
      <c r="OVZ1" s="69" t="s">
        <v>10909</v>
      </c>
      <c r="OWA1" s="69" t="s">
        <v>10910</v>
      </c>
      <c r="OWB1" s="69" t="s">
        <v>10911</v>
      </c>
      <c r="OWC1" s="69" t="s">
        <v>10912</v>
      </c>
      <c r="OWD1" s="69" t="s">
        <v>10913</v>
      </c>
      <c r="OWE1" s="69" t="s">
        <v>10914</v>
      </c>
      <c r="OWF1" s="69" t="s">
        <v>10915</v>
      </c>
      <c r="OWG1" s="69" t="s">
        <v>10916</v>
      </c>
      <c r="OWH1" s="69" t="s">
        <v>10917</v>
      </c>
      <c r="OWI1" s="69" t="s">
        <v>10918</v>
      </c>
      <c r="OWJ1" s="69" t="s">
        <v>10919</v>
      </c>
      <c r="OWK1" s="69" t="s">
        <v>10920</v>
      </c>
      <c r="OWL1" s="69" t="s">
        <v>10921</v>
      </c>
      <c r="OWM1" s="69" t="s">
        <v>10922</v>
      </c>
      <c r="OWN1" s="69" t="s">
        <v>10923</v>
      </c>
      <c r="OWO1" s="69" t="s">
        <v>10924</v>
      </c>
      <c r="OWP1" s="69" t="s">
        <v>10925</v>
      </c>
      <c r="OWQ1" s="69" t="s">
        <v>10926</v>
      </c>
      <c r="OWR1" s="69" t="s">
        <v>10927</v>
      </c>
      <c r="OWS1" s="69" t="s">
        <v>10928</v>
      </c>
      <c r="OWT1" s="69" t="s">
        <v>10929</v>
      </c>
      <c r="OWU1" s="69" t="s">
        <v>10930</v>
      </c>
      <c r="OWV1" s="69" t="s">
        <v>10931</v>
      </c>
      <c r="OWW1" s="69" t="s">
        <v>10932</v>
      </c>
      <c r="OWX1" s="69" t="s">
        <v>10933</v>
      </c>
      <c r="OWY1" s="69" t="s">
        <v>10934</v>
      </c>
      <c r="OWZ1" s="69" t="s">
        <v>10935</v>
      </c>
      <c r="OXA1" s="69" t="s">
        <v>10936</v>
      </c>
      <c r="OXB1" s="69" t="s">
        <v>10937</v>
      </c>
      <c r="OXC1" s="69" t="s">
        <v>10938</v>
      </c>
      <c r="OXD1" s="69" t="s">
        <v>10939</v>
      </c>
      <c r="OXE1" s="69" t="s">
        <v>10940</v>
      </c>
      <c r="OXF1" s="69" t="s">
        <v>10941</v>
      </c>
      <c r="OXG1" s="69" t="s">
        <v>10942</v>
      </c>
      <c r="OXH1" s="69" t="s">
        <v>10943</v>
      </c>
      <c r="OXI1" s="69" t="s">
        <v>10944</v>
      </c>
      <c r="OXJ1" s="69" t="s">
        <v>10945</v>
      </c>
      <c r="OXK1" s="69" t="s">
        <v>10946</v>
      </c>
      <c r="OXL1" s="69" t="s">
        <v>10947</v>
      </c>
      <c r="OXM1" s="69" t="s">
        <v>10948</v>
      </c>
      <c r="OXN1" s="69" t="s">
        <v>10949</v>
      </c>
      <c r="OXO1" s="69" t="s">
        <v>10950</v>
      </c>
      <c r="OXP1" s="69" t="s">
        <v>10951</v>
      </c>
      <c r="OXQ1" s="69" t="s">
        <v>10952</v>
      </c>
      <c r="OXR1" s="69" t="s">
        <v>10953</v>
      </c>
      <c r="OXS1" s="69" t="s">
        <v>10954</v>
      </c>
      <c r="OXT1" s="69" t="s">
        <v>10955</v>
      </c>
      <c r="OXU1" s="69" t="s">
        <v>10956</v>
      </c>
      <c r="OXV1" s="69" t="s">
        <v>10957</v>
      </c>
      <c r="OXW1" s="69" t="s">
        <v>10958</v>
      </c>
      <c r="OXX1" s="69" t="s">
        <v>10959</v>
      </c>
      <c r="OXY1" s="69" t="s">
        <v>10960</v>
      </c>
      <c r="OXZ1" s="69" t="s">
        <v>10961</v>
      </c>
      <c r="OYA1" s="69" t="s">
        <v>10962</v>
      </c>
      <c r="OYB1" s="69" t="s">
        <v>10963</v>
      </c>
      <c r="OYC1" s="69" t="s">
        <v>10964</v>
      </c>
      <c r="OYD1" s="69" t="s">
        <v>10965</v>
      </c>
      <c r="OYE1" s="69" t="s">
        <v>10966</v>
      </c>
      <c r="OYF1" s="69" t="s">
        <v>10967</v>
      </c>
      <c r="OYG1" s="69" t="s">
        <v>10968</v>
      </c>
      <c r="OYH1" s="69" t="s">
        <v>10969</v>
      </c>
      <c r="OYI1" s="69" t="s">
        <v>10970</v>
      </c>
      <c r="OYJ1" s="69" t="s">
        <v>10971</v>
      </c>
      <c r="OYK1" s="69" t="s">
        <v>10972</v>
      </c>
      <c r="OYL1" s="69" t="s">
        <v>10973</v>
      </c>
      <c r="OYM1" s="69" t="s">
        <v>10974</v>
      </c>
      <c r="OYN1" s="69" t="s">
        <v>10975</v>
      </c>
      <c r="OYO1" s="69" t="s">
        <v>10976</v>
      </c>
      <c r="OYP1" s="69" t="s">
        <v>10977</v>
      </c>
      <c r="OYQ1" s="69" t="s">
        <v>10978</v>
      </c>
      <c r="OYR1" s="69" t="s">
        <v>10979</v>
      </c>
      <c r="OYS1" s="69" t="s">
        <v>10980</v>
      </c>
      <c r="OYT1" s="69" t="s">
        <v>10981</v>
      </c>
      <c r="OYU1" s="69" t="s">
        <v>10982</v>
      </c>
      <c r="OYV1" s="69" t="s">
        <v>10983</v>
      </c>
      <c r="OYW1" s="69" t="s">
        <v>10984</v>
      </c>
      <c r="OYX1" s="69" t="s">
        <v>10985</v>
      </c>
      <c r="OYY1" s="69" t="s">
        <v>10986</v>
      </c>
      <c r="OYZ1" s="69" t="s">
        <v>10987</v>
      </c>
      <c r="OZA1" s="69" t="s">
        <v>10988</v>
      </c>
      <c r="OZB1" s="69" t="s">
        <v>10989</v>
      </c>
      <c r="OZC1" s="69" t="s">
        <v>10990</v>
      </c>
      <c r="OZD1" s="69" t="s">
        <v>10991</v>
      </c>
      <c r="OZE1" s="69" t="s">
        <v>10992</v>
      </c>
      <c r="OZF1" s="69" t="s">
        <v>10993</v>
      </c>
      <c r="OZG1" s="69" t="s">
        <v>10994</v>
      </c>
      <c r="OZH1" s="69" t="s">
        <v>10995</v>
      </c>
      <c r="OZI1" s="69" t="s">
        <v>10996</v>
      </c>
      <c r="OZJ1" s="69" t="s">
        <v>10997</v>
      </c>
      <c r="OZK1" s="69" t="s">
        <v>10998</v>
      </c>
      <c r="OZL1" s="69" t="s">
        <v>10999</v>
      </c>
      <c r="OZM1" s="69" t="s">
        <v>11000</v>
      </c>
      <c r="OZN1" s="69" t="s">
        <v>11001</v>
      </c>
      <c r="OZO1" s="69" t="s">
        <v>11002</v>
      </c>
      <c r="OZP1" s="69" t="s">
        <v>11003</v>
      </c>
      <c r="OZQ1" s="69" t="s">
        <v>11004</v>
      </c>
      <c r="OZR1" s="69" t="s">
        <v>11005</v>
      </c>
      <c r="OZS1" s="69" t="s">
        <v>11006</v>
      </c>
      <c r="OZT1" s="69" t="s">
        <v>11007</v>
      </c>
      <c r="OZU1" s="69" t="s">
        <v>11008</v>
      </c>
      <c r="OZV1" s="69" t="s">
        <v>11009</v>
      </c>
      <c r="OZW1" s="69" t="s">
        <v>11010</v>
      </c>
      <c r="OZX1" s="69" t="s">
        <v>11011</v>
      </c>
      <c r="OZY1" s="69" t="s">
        <v>11012</v>
      </c>
      <c r="OZZ1" s="69" t="s">
        <v>11013</v>
      </c>
      <c r="PAA1" s="69" t="s">
        <v>11014</v>
      </c>
      <c r="PAB1" s="69" t="s">
        <v>11015</v>
      </c>
      <c r="PAC1" s="69" t="s">
        <v>11016</v>
      </c>
      <c r="PAD1" s="69" t="s">
        <v>11017</v>
      </c>
      <c r="PAE1" s="69" t="s">
        <v>11018</v>
      </c>
      <c r="PAF1" s="69" t="s">
        <v>11019</v>
      </c>
      <c r="PAG1" s="69" t="s">
        <v>11020</v>
      </c>
      <c r="PAH1" s="69" t="s">
        <v>11021</v>
      </c>
      <c r="PAI1" s="69" t="s">
        <v>11022</v>
      </c>
      <c r="PAJ1" s="69" t="s">
        <v>11023</v>
      </c>
      <c r="PAK1" s="69" t="s">
        <v>11024</v>
      </c>
      <c r="PAL1" s="69" t="s">
        <v>11025</v>
      </c>
      <c r="PAM1" s="69" t="s">
        <v>11026</v>
      </c>
      <c r="PAN1" s="69" t="s">
        <v>11027</v>
      </c>
      <c r="PAO1" s="69" t="s">
        <v>11028</v>
      </c>
      <c r="PAP1" s="69" t="s">
        <v>11029</v>
      </c>
      <c r="PAQ1" s="69" t="s">
        <v>11030</v>
      </c>
      <c r="PAR1" s="69" t="s">
        <v>11031</v>
      </c>
      <c r="PAS1" s="69" t="s">
        <v>11032</v>
      </c>
      <c r="PAT1" s="69" t="s">
        <v>11033</v>
      </c>
      <c r="PAU1" s="69" t="s">
        <v>11034</v>
      </c>
      <c r="PAV1" s="69" t="s">
        <v>11035</v>
      </c>
      <c r="PAW1" s="69" t="s">
        <v>11036</v>
      </c>
      <c r="PAX1" s="69" t="s">
        <v>11037</v>
      </c>
      <c r="PAY1" s="69" t="s">
        <v>11038</v>
      </c>
      <c r="PAZ1" s="69" t="s">
        <v>11039</v>
      </c>
      <c r="PBA1" s="69" t="s">
        <v>11040</v>
      </c>
      <c r="PBB1" s="69" t="s">
        <v>11041</v>
      </c>
      <c r="PBC1" s="69" t="s">
        <v>11042</v>
      </c>
      <c r="PBD1" s="69" t="s">
        <v>11043</v>
      </c>
      <c r="PBE1" s="69" t="s">
        <v>11044</v>
      </c>
      <c r="PBF1" s="69" t="s">
        <v>11045</v>
      </c>
      <c r="PBG1" s="69" t="s">
        <v>11046</v>
      </c>
      <c r="PBH1" s="69" t="s">
        <v>11047</v>
      </c>
      <c r="PBI1" s="69" t="s">
        <v>11048</v>
      </c>
      <c r="PBJ1" s="69" t="s">
        <v>11049</v>
      </c>
      <c r="PBK1" s="69" t="s">
        <v>11050</v>
      </c>
      <c r="PBL1" s="69" t="s">
        <v>11051</v>
      </c>
      <c r="PBM1" s="69" t="s">
        <v>11052</v>
      </c>
      <c r="PBN1" s="69" t="s">
        <v>11053</v>
      </c>
      <c r="PBO1" s="69" t="s">
        <v>11054</v>
      </c>
      <c r="PBP1" s="69" t="s">
        <v>11055</v>
      </c>
      <c r="PBQ1" s="69" t="s">
        <v>11056</v>
      </c>
      <c r="PBR1" s="69" t="s">
        <v>11057</v>
      </c>
      <c r="PBS1" s="69" t="s">
        <v>11058</v>
      </c>
      <c r="PBT1" s="69" t="s">
        <v>11059</v>
      </c>
      <c r="PBU1" s="69" t="s">
        <v>11060</v>
      </c>
      <c r="PBV1" s="69" t="s">
        <v>11061</v>
      </c>
      <c r="PBW1" s="69" t="s">
        <v>11062</v>
      </c>
      <c r="PBX1" s="69" t="s">
        <v>11063</v>
      </c>
      <c r="PBY1" s="69" t="s">
        <v>11064</v>
      </c>
      <c r="PBZ1" s="69" t="s">
        <v>11065</v>
      </c>
      <c r="PCA1" s="69" t="s">
        <v>11066</v>
      </c>
      <c r="PCB1" s="69" t="s">
        <v>11067</v>
      </c>
      <c r="PCC1" s="69" t="s">
        <v>11068</v>
      </c>
      <c r="PCD1" s="69" t="s">
        <v>11069</v>
      </c>
      <c r="PCE1" s="69" t="s">
        <v>11070</v>
      </c>
      <c r="PCF1" s="69" t="s">
        <v>11071</v>
      </c>
      <c r="PCG1" s="69" t="s">
        <v>11072</v>
      </c>
      <c r="PCH1" s="69" t="s">
        <v>11073</v>
      </c>
      <c r="PCI1" s="69" t="s">
        <v>11074</v>
      </c>
      <c r="PCJ1" s="69" t="s">
        <v>11075</v>
      </c>
      <c r="PCK1" s="69" t="s">
        <v>11076</v>
      </c>
      <c r="PCL1" s="69" t="s">
        <v>11077</v>
      </c>
      <c r="PCM1" s="69" t="s">
        <v>11078</v>
      </c>
      <c r="PCN1" s="69" t="s">
        <v>11079</v>
      </c>
      <c r="PCO1" s="69" t="s">
        <v>11080</v>
      </c>
      <c r="PCP1" s="69" t="s">
        <v>11081</v>
      </c>
      <c r="PCQ1" s="69" t="s">
        <v>11082</v>
      </c>
      <c r="PCR1" s="69" t="s">
        <v>11083</v>
      </c>
      <c r="PCS1" s="69" t="s">
        <v>11084</v>
      </c>
      <c r="PCT1" s="69" t="s">
        <v>11085</v>
      </c>
      <c r="PCU1" s="69" t="s">
        <v>11086</v>
      </c>
      <c r="PCV1" s="69" t="s">
        <v>11087</v>
      </c>
      <c r="PCW1" s="69" t="s">
        <v>11088</v>
      </c>
      <c r="PCX1" s="69" t="s">
        <v>11089</v>
      </c>
      <c r="PCY1" s="69" t="s">
        <v>11090</v>
      </c>
      <c r="PCZ1" s="69" t="s">
        <v>11091</v>
      </c>
      <c r="PDA1" s="69" t="s">
        <v>11092</v>
      </c>
      <c r="PDB1" s="69" t="s">
        <v>11093</v>
      </c>
      <c r="PDC1" s="69" t="s">
        <v>11094</v>
      </c>
      <c r="PDD1" s="69" t="s">
        <v>11095</v>
      </c>
      <c r="PDE1" s="69" t="s">
        <v>11096</v>
      </c>
      <c r="PDF1" s="69" t="s">
        <v>11097</v>
      </c>
      <c r="PDG1" s="69" t="s">
        <v>11098</v>
      </c>
      <c r="PDH1" s="69" t="s">
        <v>11099</v>
      </c>
      <c r="PDI1" s="69" t="s">
        <v>11100</v>
      </c>
      <c r="PDJ1" s="69" t="s">
        <v>11101</v>
      </c>
      <c r="PDK1" s="69" t="s">
        <v>11102</v>
      </c>
      <c r="PDL1" s="69" t="s">
        <v>11103</v>
      </c>
      <c r="PDM1" s="69" t="s">
        <v>11104</v>
      </c>
      <c r="PDN1" s="69" t="s">
        <v>11105</v>
      </c>
      <c r="PDO1" s="69" t="s">
        <v>11106</v>
      </c>
      <c r="PDP1" s="69" t="s">
        <v>11107</v>
      </c>
      <c r="PDQ1" s="69" t="s">
        <v>11108</v>
      </c>
      <c r="PDR1" s="69" t="s">
        <v>11109</v>
      </c>
      <c r="PDS1" s="69" t="s">
        <v>11110</v>
      </c>
      <c r="PDT1" s="69" t="s">
        <v>11111</v>
      </c>
      <c r="PDU1" s="69" t="s">
        <v>11112</v>
      </c>
      <c r="PDV1" s="69" t="s">
        <v>11113</v>
      </c>
      <c r="PDW1" s="69" t="s">
        <v>11114</v>
      </c>
      <c r="PDX1" s="69" t="s">
        <v>11115</v>
      </c>
      <c r="PDY1" s="69" t="s">
        <v>11116</v>
      </c>
      <c r="PDZ1" s="69" t="s">
        <v>11117</v>
      </c>
      <c r="PEA1" s="69" t="s">
        <v>11118</v>
      </c>
      <c r="PEB1" s="69" t="s">
        <v>11119</v>
      </c>
      <c r="PEC1" s="69" t="s">
        <v>11120</v>
      </c>
      <c r="PED1" s="69" t="s">
        <v>11121</v>
      </c>
      <c r="PEE1" s="69" t="s">
        <v>11122</v>
      </c>
      <c r="PEF1" s="69" t="s">
        <v>11123</v>
      </c>
      <c r="PEG1" s="69" t="s">
        <v>11124</v>
      </c>
      <c r="PEH1" s="69" t="s">
        <v>11125</v>
      </c>
      <c r="PEI1" s="69" t="s">
        <v>11126</v>
      </c>
      <c r="PEJ1" s="69" t="s">
        <v>11127</v>
      </c>
      <c r="PEK1" s="69" t="s">
        <v>11128</v>
      </c>
      <c r="PEL1" s="69" t="s">
        <v>11129</v>
      </c>
      <c r="PEM1" s="69" t="s">
        <v>11130</v>
      </c>
      <c r="PEN1" s="69" t="s">
        <v>11131</v>
      </c>
      <c r="PEO1" s="69" t="s">
        <v>11132</v>
      </c>
      <c r="PEP1" s="69" t="s">
        <v>11133</v>
      </c>
      <c r="PEQ1" s="69" t="s">
        <v>11134</v>
      </c>
      <c r="PER1" s="69" t="s">
        <v>11135</v>
      </c>
      <c r="PES1" s="69" t="s">
        <v>11136</v>
      </c>
      <c r="PET1" s="69" t="s">
        <v>11137</v>
      </c>
      <c r="PEU1" s="69" t="s">
        <v>11138</v>
      </c>
      <c r="PEV1" s="69" t="s">
        <v>11139</v>
      </c>
      <c r="PEW1" s="69" t="s">
        <v>11140</v>
      </c>
      <c r="PEX1" s="69" t="s">
        <v>11141</v>
      </c>
      <c r="PEY1" s="69" t="s">
        <v>11142</v>
      </c>
      <c r="PEZ1" s="69" t="s">
        <v>11143</v>
      </c>
      <c r="PFA1" s="69" t="s">
        <v>11144</v>
      </c>
      <c r="PFB1" s="69" t="s">
        <v>11145</v>
      </c>
      <c r="PFC1" s="69" t="s">
        <v>11146</v>
      </c>
      <c r="PFD1" s="69" t="s">
        <v>11147</v>
      </c>
      <c r="PFE1" s="69" t="s">
        <v>11148</v>
      </c>
      <c r="PFF1" s="69" t="s">
        <v>11149</v>
      </c>
      <c r="PFG1" s="69" t="s">
        <v>11150</v>
      </c>
      <c r="PFH1" s="69" t="s">
        <v>11151</v>
      </c>
      <c r="PFI1" s="69" t="s">
        <v>11152</v>
      </c>
      <c r="PFJ1" s="69" t="s">
        <v>11153</v>
      </c>
      <c r="PFK1" s="69" t="s">
        <v>11154</v>
      </c>
      <c r="PFL1" s="69" t="s">
        <v>11155</v>
      </c>
      <c r="PFM1" s="69" t="s">
        <v>11156</v>
      </c>
      <c r="PFN1" s="69" t="s">
        <v>11157</v>
      </c>
      <c r="PFO1" s="69" t="s">
        <v>11158</v>
      </c>
      <c r="PFP1" s="69" t="s">
        <v>11159</v>
      </c>
      <c r="PFQ1" s="69" t="s">
        <v>11160</v>
      </c>
      <c r="PFR1" s="69" t="s">
        <v>11161</v>
      </c>
      <c r="PFS1" s="69" t="s">
        <v>11162</v>
      </c>
      <c r="PFT1" s="69" t="s">
        <v>11163</v>
      </c>
      <c r="PFU1" s="69" t="s">
        <v>11164</v>
      </c>
      <c r="PFV1" s="69" t="s">
        <v>11165</v>
      </c>
      <c r="PFW1" s="69" t="s">
        <v>11166</v>
      </c>
      <c r="PFX1" s="69" t="s">
        <v>11167</v>
      </c>
      <c r="PFY1" s="69" t="s">
        <v>11168</v>
      </c>
      <c r="PFZ1" s="69" t="s">
        <v>11169</v>
      </c>
      <c r="PGA1" s="69" t="s">
        <v>11170</v>
      </c>
      <c r="PGB1" s="69" t="s">
        <v>11171</v>
      </c>
      <c r="PGC1" s="69" t="s">
        <v>11172</v>
      </c>
      <c r="PGD1" s="69" t="s">
        <v>11173</v>
      </c>
      <c r="PGE1" s="69" t="s">
        <v>11174</v>
      </c>
      <c r="PGF1" s="69" t="s">
        <v>11175</v>
      </c>
      <c r="PGG1" s="69" t="s">
        <v>11176</v>
      </c>
      <c r="PGH1" s="69" t="s">
        <v>11177</v>
      </c>
      <c r="PGI1" s="69" t="s">
        <v>11178</v>
      </c>
      <c r="PGJ1" s="69" t="s">
        <v>11179</v>
      </c>
      <c r="PGK1" s="69" t="s">
        <v>11180</v>
      </c>
      <c r="PGL1" s="69" t="s">
        <v>11181</v>
      </c>
      <c r="PGM1" s="69" t="s">
        <v>11182</v>
      </c>
      <c r="PGN1" s="69" t="s">
        <v>11183</v>
      </c>
      <c r="PGO1" s="69" t="s">
        <v>11184</v>
      </c>
      <c r="PGP1" s="69" t="s">
        <v>11185</v>
      </c>
      <c r="PGQ1" s="69" t="s">
        <v>11186</v>
      </c>
      <c r="PGR1" s="69" t="s">
        <v>11187</v>
      </c>
      <c r="PGS1" s="69" t="s">
        <v>11188</v>
      </c>
      <c r="PGT1" s="69" t="s">
        <v>11189</v>
      </c>
      <c r="PGU1" s="69" t="s">
        <v>11190</v>
      </c>
      <c r="PGV1" s="69" t="s">
        <v>11191</v>
      </c>
      <c r="PGW1" s="69" t="s">
        <v>11192</v>
      </c>
      <c r="PGX1" s="69" t="s">
        <v>11193</v>
      </c>
      <c r="PGY1" s="69" t="s">
        <v>11194</v>
      </c>
      <c r="PGZ1" s="69" t="s">
        <v>11195</v>
      </c>
      <c r="PHA1" s="69" t="s">
        <v>11196</v>
      </c>
      <c r="PHB1" s="69" t="s">
        <v>11197</v>
      </c>
      <c r="PHC1" s="69" t="s">
        <v>11198</v>
      </c>
      <c r="PHD1" s="69" t="s">
        <v>11199</v>
      </c>
      <c r="PHE1" s="69" t="s">
        <v>11200</v>
      </c>
      <c r="PHF1" s="69" t="s">
        <v>11201</v>
      </c>
      <c r="PHG1" s="69" t="s">
        <v>11202</v>
      </c>
      <c r="PHH1" s="69" t="s">
        <v>11203</v>
      </c>
      <c r="PHI1" s="69" t="s">
        <v>11204</v>
      </c>
      <c r="PHJ1" s="69" t="s">
        <v>11205</v>
      </c>
      <c r="PHK1" s="69" t="s">
        <v>11206</v>
      </c>
      <c r="PHL1" s="69" t="s">
        <v>11207</v>
      </c>
      <c r="PHM1" s="69" t="s">
        <v>11208</v>
      </c>
      <c r="PHN1" s="69" t="s">
        <v>11209</v>
      </c>
      <c r="PHO1" s="69" t="s">
        <v>11210</v>
      </c>
      <c r="PHP1" s="69" t="s">
        <v>11211</v>
      </c>
      <c r="PHQ1" s="69" t="s">
        <v>11212</v>
      </c>
      <c r="PHR1" s="69" t="s">
        <v>11213</v>
      </c>
      <c r="PHS1" s="69" t="s">
        <v>11214</v>
      </c>
      <c r="PHT1" s="69" t="s">
        <v>11215</v>
      </c>
      <c r="PHU1" s="69" t="s">
        <v>11216</v>
      </c>
      <c r="PHV1" s="69" t="s">
        <v>11217</v>
      </c>
      <c r="PHW1" s="69" t="s">
        <v>11218</v>
      </c>
      <c r="PHX1" s="69" t="s">
        <v>11219</v>
      </c>
      <c r="PHY1" s="69" t="s">
        <v>11220</v>
      </c>
      <c r="PHZ1" s="69" t="s">
        <v>11221</v>
      </c>
      <c r="PIA1" s="69" t="s">
        <v>11222</v>
      </c>
      <c r="PIB1" s="69" t="s">
        <v>11223</v>
      </c>
      <c r="PIC1" s="69" t="s">
        <v>11224</v>
      </c>
      <c r="PID1" s="69" t="s">
        <v>11225</v>
      </c>
      <c r="PIE1" s="69" t="s">
        <v>11226</v>
      </c>
      <c r="PIF1" s="69" t="s">
        <v>11227</v>
      </c>
      <c r="PIG1" s="69" t="s">
        <v>11228</v>
      </c>
      <c r="PIH1" s="69" t="s">
        <v>11229</v>
      </c>
      <c r="PII1" s="69" t="s">
        <v>11230</v>
      </c>
      <c r="PIJ1" s="69" t="s">
        <v>11231</v>
      </c>
      <c r="PIK1" s="69" t="s">
        <v>11232</v>
      </c>
      <c r="PIL1" s="69" t="s">
        <v>11233</v>
      </c>
      <c r="PIM1" s="69" t="s">
        <v>11234</v>
      </c>
      <c r="PIN1" s="69" t="s">
        <v>11235</v>
      </c>
      <c r="PIO1" s="69" t="s">
        <v>11236</v>
      </c>
      <c r="PIP1" s="69" t="s">
        <v>11237</v>
      </c>
      <c r="PIQ1" s="69" t="s">
        <v>11238</v>
      </c>
      <c r="PIR1" s="69" t="s">
        <v>11239</v>
      </c>
      <c r="PIS1" s="69" t="s">
        <v>11240</v>
      </c>
      <c r="PIT1" s="69" t="s">
        <v>11241</v>
      </c>
      <c r="PIU1" s="69" t="s">
        <v>11242</v>
      </c>
      <c r="PIV1" s="69" t="s">
        <v>11243</v>
      </c>
      <c r="PIW1" s="69" t="s">
        <v>11244</v>
      </c>
      <c r="PIX1" s="69" t="s">
        <v>11245</v>
      </c>
      <c r="PIY1" s="69" t="s">
        <v>11246</v>
      </c>
      <c r="PIZ1" s="69" t="s">
        <v>11247</v>
      </c>
      <c r="PJA1" s="69" t="s">
        <v>11248</v>
      </c>
      <c r="PJB1" s="69" t="s">
        <v>11249</v>
      </c>
      <c r="PJC1" s="69" t="s">
        <v>11250</v>
      </c>
      <c r="PJD1" s="69" t="s">
        <v>11251</v>
      </c>
      <c r="PJE1" s="69" t="s">
        <v>11252</v>
      </c>
      <c r="PJF1" s="69" t="s">
        <v>11253</v>
      </c>
      <c r="PJG1" s="69" t="s">
        <v>11254</v>
      </c>
      <c r="PJH1" s="69" t="s">
        <v>11255</v>
      </c>
      <c r="PJI1" s="69" t="s">
        <v>11256</v>
      </c>
      <c r="PJJ1" s="69" t="s">
        <v>11257</v>
      </c>
      <c r="PJK1" s="69" t="s">
        <v>11258</v>
      </c>
      <c r="PJL1" s="69" t="s">
        <v>11259</v>
      </c>
      <c r="PJM1" s="69" t="s">
        <v>11260</v>
      </c>
      <c r="PJN1" s="69" t="s">
        <v>11261</v>
      </c>
      <c r="PJO1" s="69" t="s">
        <v>11262</v>
      </c>
      <c r="PJP1" s="69" t="s">
        <v>11263</v>
      </c>
      <c r="PJQ1" s="69" t="s">
        <v>11264</v>
      </c>
      <c r="PJR1" s="69" t="s">
        <v>11265</v>
      </c>
      <c r="PJS1" s="69" t="s">
        <v>11266</v>
      </c>
      <c r="PJT1" s="69" t="s">
        <v>11267</v>
      </c>
      <c r="PJU1" s="69" t="s">
        <v>11268</v>
      </c>
      <c r="PJV1" s="69" t="s">
        <v>11269</v>
      </c>
      <c r="PJW1" s="69" t="s">
        <v>11270</v>
      </c>
      <c r="PJX1" s="69" t="s">
        <v>11271</v>
      </c>
      <c r="PJY1" s="69" t="s">
        <v>11272</v>
      </c>
      <c r="PJZ1" s="69" t="s">
        <v>11273</v>
      </c>
      <c r="PKA1" s="69" t="s">
        <v>11274</v>
      </c>
      <c r="PKB1" s="69" t="s">
        <v>11275</v>
      </c>
      <c r="PKC1" s="69" t="s">
        <v>11276</v>
      </c>
      <c r="PKD1" s="69" t="s">
        <v>11277</v>
      </c>
      <c r="PKE1" s="69" t="s">
        <v>11278</v>
      </c>
      <c r="PKF1" s="69" t="s">
        <v>11279</v>
      </c>
      <c r="PKG1" s="69" t="s">
        <v>11280</v>
      </c>
      <c r="PKH1" s="69" t="s">
        <v>11281</v>
      </c>
      <c r="PKI1" s="69" t="s">
        <v>11282</v>
      </c>
      <c r="PKJ1" s="69" t="s">
        <v>11283</v>
      </c>
      <c r="PKK1" s="69" t="s">
        <v>11284</v>
      </c>
      <c r="PKL1" s="69" t="s">
        <v>11285</v>
      </c>
      <c r="PKM1" s="69" t="s">
        <v>11286</v>
      </c>
      <c r="PKN1" s="69" t="s">
        <v>11287</v>
      </c>
      <c r="PKO1" s="69" t="s">
        <v>11288</v>
      </c>
      <c r="PKP1" s="69" t="s">
        <v>11289</v>
      </c>
      <c r="PKQ1" s="69" t="s">
        <v>11290</v>
      </c>
      <c r="PKR1" s="69" t="s">
        <v>11291</v>
      </c>
      <c r="PKS1" s="69" t="s">
        <v>11292</v>
      </c>
      <c r="PKT1" s="69" t="s">
        <v>11293</v>
      </c>
      <c r="PKU1" s="69" t="s">
        <v>11294</v>
      </c>
      <c r="PKV1" s="69" t="s">
        <v>11295</v>
      </c>
      <c r="PKW1" s="69" t="s">
        <v>11296</v>
      </c>
      <c r="PKX1" s="69" t="s">
        <v>11297</v>
      </c>
      <c r="PKY1" s="69" t="s">
        <v>11298</v>
      </c>
      <c r="PKZ1" s="69" t="s">
        <v>11299</v>
      </c>
      <c r="PLA1" s="69" t="s">
        <v>11300</v>
      </c>
      <c r="PLB1" s="69" t="s">
        <v>11301</v>
      </c>
      <c r="PLC1" s="69" t="s">
        <v>11302</v>
      </c>
      <c r="PLD1" s="69" t="s">
        <v>11303</v>
      </c>
      <c r="PLE1" s="69" t="s">
        <v>11304</v>
      </c>
      <c r="PLF1" s="69" t="s">
        <v>11305</v>
      </c>
      <c r="PLG1" s="69" t="s">
        <v>11306</v>
      </c>
      <c r="PLH1" s="69" t="s">
        <v>11307</v>
      </c>
      <c r="PLI1" s="69" t="s">
        <v>11308</v>
      </c>
      <c r="PLJ1" s="69" t="s">
        <v>11309</v>
      </c>
      <c r="PLK1" s="69" t="s">
        <v>11310</v>
      </c>
      <c r="PLL1" s="69" t="s">
        <v>11311</v>
      </c>
      <c r="PLM1" s="69" t="s">
        <v>11312</v>
      </c>
      <c r="PLN1" s="69" t="s">
        <v>11313</v>
      </c>
      <c r="PLO1" s="69" t="s">
        <v>11314</v>
      </c>
      <c r="PLP1" s="69" t="s">
        <v>11315</v>
      </c>
      <c r="PLQ1" s="69" t="s">
        <v>11316</v>
      </c>
      <c r="PLR1" s="69" t="s">
        <v>11317</v>
      </c>
      <c r="PLS1" s="69" t="s">
        <v>11318</v>
      </c>
      <c r="PLT1" s="69" t="s">
        <v>11319</v>
      </c>
      <c r="PLU1" s="69" t="s">
        <v>11320</v>
      </c>
      <c r="PLV1" s="69" t="s">
        <v>11321</v>
      </c>
      <c r="PLW1" s="69" t="s">
        <v>11322</v>
      </c>
      <c r="PLX1" s="69" t="s">
        <v>11323</v>
      </c>
      <c r="PLY1" s="69" t="s">
        <v>11324</v>
      </c>
      <c r="PLZ1" s="69" t="s">
        <v>11325</v>
      </c>
      <c r="PMA1" s="69" t="s">
        <v>11326</v>
      </c>
      <c r="PMB1" s="69" t="s">
        <v>11327</v>
      </c>
      <c r="PMC1" s="69" t="s">
        <v>11328</v>
      </c>
      <c r="PMD1" s="69" t="s">
        <v>11329</v>
      </c>
      <c r="PME1" s="69" t="s">
        <v>11330</v>
      </c>
      <c r="PMF1" s="69" t="s">
        <v>11331</v>
      </c>
      <c r="PMG1" s="69" t="s">
        <v>11332</v>
      </c>
      <c r="PMH1" s="69" t="s">
        <v>11333</v>
      </c>
      <c r="PMI1" s="69" t="s">
        <v>11334</v>
      </c>
      <c r="PMJ1" s="69" t="s">
        <v>11335</v>
      </c>
      <c r="PMK1" s="69" t="s">
        <v>11336</v>
      </c>
      <c r="PML1" s="69" t="s">
        <v>11337</v>
      </c>
      <c r="PMM1" s="69" t="s">
        <v>11338</v>
      </c>
      <c r="PMN1" s="69" t="s">
        <v>11339</v>
      </c>
      <c r="PMO1" s="69" t="s">
        <v>11340</v>
      </c>
      <c r="PMP1" s="69" t="s">
        <v>11341</v>
      </c>
      <c r="PMQ1" s="69" t="s">
        <v>11342</v>
      </c>
      <c r="PMR1" s="69" t="s">
        <v>11343</v>
      </c>
      <c r="PMS1" s="69" t="s">
        <v>11344</v>
      </c>
      <c r="PMT1" s="69" t="s">
        <v>11345</v>
      </c>
      <c r="PMU1" s="69" t="s">
        <v>11346</v>
      </c>
      <c r="PMV1" s="69" t="s">
        <v>11347</v>
      </c>
      <c r="PMW1" s="69" t="s">
        <v>11348</v>
      </c>
      <c r="PMX1" s="69" t="s">
        <v>11349</v>
      </c>
      <c r="PMY1" s="69" t="s">
        <v>11350</v>
      </c>
      <c r="PMZ1" s="69" t="s">
        <v>11351</v>
      </c>
      <c r="PNA1" s="69" t="s">
        <v>11352</v>
      </c>
      <c r="PNB1" s="69" t="s">
        <v>11353</v>
      </c>
      <c r="PNC1" s="69" t="s">
        <v>11354</v>
      </c>
      <c r="PND1" s="69" t="s">
        <v>11355</v>
      </c>
      <c r="PNE1" s="69" t="s">
        <v>11356</v>
      </c>
      <c r="PNF1" s="69" t="s">
        <v>11357</v>
      </c>
      <c r="PNG1" s="69" t="s">
        <v>11358</v>
      </c>
      <c r="PNH1" s="69" t="s">
        <v>11359</v>
      </c>
      <c r="PNI1" s="69" t="s">
        <v>11360</v>
      </c>
      <c r="PNJ1" s="69" t="s">
        <v>11361</v>
      </c>
      <c r="PNK1" s="69" t="s">
        <v>11362</v>
      </c>
      <c r="PNL1" s="69" t="s">
        <v>11363</v>
      </c>
      <c r="PNM1" s="69" t="s">
        <v>11364</v>
      </c>
      <c r="PNN1" s="69" t="s">
        <v>11365</v>
      </c>
      <c r="PNO1" s="69" t="s">
        <v>11366</v>
      </c>
      <c r="PNP1" s="69" t="s">
        <v>11367</v>
      </c>
      <c r="PNQ1" s="69" t="s">
        <v>11368</v>
      </c>
      <c r="PNR1" s="69" t="s">
        <v>11369</v>
      </c>
      <c r="PNS1" s="69" t="s">
        <v>11370</v>
      </c>
      <c r="PNT1" s="69" t="s">
        <v>11371</v>
      </c>
      <c r="PNU1" s="69" t="s">
        <v>11372</v>
      </c>
      <c r="PNV1" s="69" t="s">
        <v>11373</v>
      </c>
      <c r="PNW1" s="69" t="s">
        <v>11374</v>
      </c>
      <c r="PNX1" s="69" t="s">
        <v>11375</v>
      </c>
      <c r="PNY1" s="69" t="s">
        <v>11376</v>
      </c>
      <c r="PNZ1" s="69" t="s">
        <v>11377</v>
      </c>
      <c r="POA1" s="69" t="s">
        <v>11378</v>
      </c>
      <c r="POB1" s="69" t="s">
        <v>11379</v>
      </c>
      <c r="POC1" s="69" t="s">
        <v>11380</v>
      </c>
      <c r="POD1" s="69" t="s">
        <v>11381</v>
      </c>
      <c r="POE1" s="69" t="s">
        <v>11382</v>
      </c>
      <c r="POF1" s="69" t="s">
        <v>11383</v>
      </c>
      <c r="POG1" s="69" t="s">
        <v>11384</v>
      </c>
      <c r="POH1" s="69" t="s">
        <v>11385</v>
      </c>
      <c r="POI1" s="69" t="s">
        <v>11386</v>
      </c>
      <c r="POJ1" s="69" t="s">
        <v>11387</v>
      </c>
      <c r="POK1" s="69" t="s">
        <v>11388</v>
      </c>
      <c r="POL1" s="69" t="s">
        <v>11389</v>
      </c>
      <c r="POM1" s="69" t="s">
        <v>11390</v>
      </c>
      <c r="PON1" s="69" t="s">
        <v>11391</v>
      </c>
      <c r="POO1" s="69" t="s">
        <v>11392</v>
      </c>
      <c r="POP1" s="69" t="s">
        <v>11393</v>
      </c>
      <c r="POQ1" s="69" t="s">
        <v>11394</v>
      </c>
      <c r="POR1" s="69" t="s">
        <v>11395</v>
      </c>
      <c r="POS1" s="69" t="s">
        <v>11396</v>
      </c>
      <c r="POT1" s="69" t="s">
        <v>11397</v>
      </c>
      <c r="POU1" s="69" t="s">
        <v>11398</v>
      </c>
      <c r="POV1" s="69" t="s">
        <v>11399</v>
      </c>
      <c r="POW1" s="69" t="s">
        <v>11400</v>
      </c>
      <c r="POX1" s="69" t="s">
        <v>11401</v>
      </c>
      <c r="POY1" s="69" t="s">
        <v>11402</v>
      </c>
      <c r="POZ1" s="69" t="s">
        <v>11403</v>
      </c>
      <c r="PPA1" s="69" t="s">
        <v>11404</v>
      </c>
      <c r="PPB1" s="69" t="s">
        <v>11405</v>
      </c>
      <c r="PPC1" s="69" t="s">
        <v>11406</v>
      </c>
      <c r="PPD1" s="69" t="s">
        <v>11407</v>
      </c>
      <c r="PPE1" s="69" t="s">
        <v>11408</v>
      </c>
      <c r="PPF1" s="69" t="s">
        <v>11409</v>
      </c>
      <c r="PPG1" s="69" t="s">
        <v>11410</v>
      </c>
      <c r="PPH1" s="69" t="s">
        <v>11411</v>
      </c>
      <c r="PPI1" s="69" t="s">
        <v>11412</v>
      </c>
      <c r="PPJ1" s="69" t="s">
        <v>11413</v>
      </c>
      <c r="PPK1" s="69" t="s">
        <v>11414</v>
      </c>
      <c r="PPL1" s="69" t="s">
        <v>11415</v>
      </c>
      <c r="PPM1" s="69" t="s">
        <v>11416</v>
      </c>
      <c r="PPN1" s="69" t="s">
        <v>11417</v>
      </c>
      <c r="PPO1" s="69" t="s">
        <v>11418</v>
      </c>
      <c r="PPP1" s="69" t="s">
        <v>11419</v>
      </c>
      <c r="PPQ1" s="69" t="s">
        <v>11420</v>
      </c>
      <c r="PPR1" s="69" t="s">
        <v>11421</v>
      </c>
      <c r="PPS1" s="69" t="s">
        <v>11422</v>
      </c>
      <c r="PPT1" s="69" t="s">
        <v>11423</v>
      </c>
      <c r="PPU1" s="69" t="s">
        <v>11424</v>
      </c>
      <c r="PPV1" s="69" t="s">
        <v>11425</v>
      </c>
      <c r="PPW1" s="69" t="s">
        <v>11426</v>
      </c>
      <c r="PPX1" s="69" t="s">
        <v>11427</v>
      </c>
      <c r="PPY1" s="69" t="s">
        <v>11428</v>
      </c>
      <c r="PPZ1" s="69" t="s">
        <v>11429</v>
      </c>
      <c r="PQA1" s="69" t="s">
        <v>11430</v>
      </c>
      <c r="PQB1" s="69" t="s">
        <v>11431</v>
      </c>
      <c r="PQC1" s="69" t="s">
        <v>11432</v>
      </c>
      <c r="PQD1" s="69" t="s">
        <v>11433</v>
      </c>
      <c r="PQE1" s="69" t="s">
        <v>11434</v>
      </c>
      <c r="PQF1" s="69" t="s">
        <v>11435</v>
      </c>
      <c r="PQG1" s="69" t="s">
        <v>11436</v>
      </c>
      <c r="PQH1" s="69" t="s">
        <v>11437</v>
      </c>
      <c r="PQI1" s="69" t="s">
        <v>11438</v>
      </c>
      <c r="PQJ1" s="69" t="s">
        <v>11439</v>
      </c>
      <c r="PQK1" s="69" t="s">
        <v>11440</v>
      </c>
      <c r="PQL1" s="69" t="s">
        <v>11441</v>
      </c>
      <c r="PQM1" s="69" t="s">
        <v>11442</v>
      </c>
      <c r="PQN1" s="69" t="s">
        <v>11443</v>
      </c>
      <c r="PQO1" s="69" t="s">
        <v>11444</v>
      </c>
      <c r="PQP1" s="69" t="s">
        <v>11445</v>
      </c>
      <c r="PQQ1" s="69" t="s">
        <v>11446</v>
      </c>
      <c r="PQR1" s="69" t="s">
        <v>11447</v>
      </c>
      <c r="PQS1" s="69" t="s">
        <v>11448</v>
      </c>
      <c r="PQT1" s="69" t="s">
        <v>11449</v>
      </c>
      <c r="PQU1" s="69" t="s">
        <v>11450</v>
      </c>
      <c r="PQV1" s="69" t="s">
        <v>11451</v>
      </c>
      <c r="PQW1" s="69" t="s">
        <v>11452</v>
      </c>
      <c r="PQX1" s="69" t="s">
        <v>11453</v>
      </c>
      <c r="PQY1" s="69" t="s">
        <v>11454</v>
      </c>
      <c r="PQZ1" s="69" t="s">
        <v>11455</v>
      </c>
      <c r="PRA1" s="69" t="s">
        <v>11456</v>
      </c>
      <c r="PRB1" s="69" t="s">
        <v>11457</v>
      </c>
      <c r="PRC1" s="69" t="s">
        <v>11458</v>
      </c>
      <c r="PRD1" s="69" t="s">
        <v>11459</v>
      </c>
      <c r="PRE1" s="69" t="s">
        <v>11460</v>
      </c>
      <c r="PRF1" s="69" t="s">
        <v>11461</v>
      </c>
      <c r="PRG1" s="69" t="s">
        <v>11462</v>
      </c>
      <c r="PRH1" s="69" t="s">
        <v>11463</v>
      </c>
      <c r="PRI1" s="69" t="s">
        <v>11464</v>
      </c>
      <c r="PRJ1" s="69" t="s">
        <v>11465</v>
      </c>
      <c r="PRK1" s="69" t="s">
        <v>11466</v>
      </c>
      <c r="PRL1" s="69" t="s">
        <v>11467</v>
      </c>
      <c r="PRM1" s="69" t="s">
        <v>11468</v>
      </c>
      <c r="PRN1" s="69" t="s">
        <v>11469</v>
      </c>
      <c r="PRO1" s="69" t="s">
        <v>11470</v>
      </c>
      <c r="PRP1" s="69" t="s">
        <v>11471</v>
      </c>
      <c r="PRQ1" s="69" t="s">
        <v>11472</v>
      </c>
      <c r="PRR1" s="69" t="s">
        <v>11473</v>
      </c>
      <c r="PRS1" s="69" t="s">
        <v>11474</v>
      </c>
      <c r="PRT1" s="69" t="s">
        <v>11475</v>
      </c>
      <c r="PRU1" s="69" t="s">
        <v>11476</v>
      </c>
      <c r="PRV1" s="69" t="s">
        <v>11477</v>
      </c>
      <c r="PRW1" s="69" t="s">
        <v>11478</v>
      </c>
      <c r="PRX1" s="69" t="s">
        <v>11479</v>
      </c>
      <c r="PRY1" s="69" t="s">
        <v>11480</v>
      </c>
      <c r="PRZ1" s="69" t="s">
        <v>11481</v>
      </c>
      <c r="PSA1" s="69" t="s">
        <v>11482</v>
      </c>
      <c r="PSB1" s="69" t="s">
        <v>11483</v>
      </c>
      <c r="PSC1" s="69" t="s">
        <v>11484</v>
      </c>
      <c r="PSD1" s="69" t="s">
        <v>11485</v>
      </c>
      <c r="PSE1" s="69" t="s">
        <v>11486</v>
      </c>
      <c r="PSF1" s="69" t="s">
        <v>11487</v>
      </c>
      <c r="PSG1" s="69" t="s">
        <v>11488</v>
      </c>
      <c r="PSH1" s="69" t="s">
        <v>11489</v>
      </c>
      <c r="PSI1" s="69" t="s">
        <v>11490</v>
      </c>
      <c r="PSJ1" s="69" t="s">
        <v>11491</v>
      </c>
      <c r="PSK1" s="69" t="s">
        <v>11492</v>
      </c>
      <c r="PSL1" s="69" t="s">
        <v>11493</v>
      </c>
      <c r="PSM1" s="69" t="s">
        <v>11494</v>
      </c>
      <c r="PSN1" s="69" t="s">
        <v>11495</v>
      </c>
      <c r="PSO1" s="69" t="s">
        <v>11496</v>
      </c>
      <c r="PSP1" s="69" t="s">
        <v>11497</v>
      </c>
      <c r="PSQ1" s="69" t="s">
        <v>11498</v>
      </c>
      <c r="PSR1" s="69" t="s">
        <v>11499</v>
      </c>
      <c r="PSS1" s="69" t="s">
        <v>11500</v>
      </c>
      <c r="PST1" s="69" t="s">
        <v>11501</v>
      </c>
      <c r="PSU1" s="69" t="s">
        <v>11502</v>
      </c>
      <c r="PSV1" s="69" t="s">
        <v>11503</v>
      </c>
      <c r="PSW1" s="69" t="s">
        <v>11504</v>
      </c>
      <c r="PSX1" s="69" t="s">
        <v>11505</v>
      </c>
      <c r="PSY1" s="69" t="s">
        <v>11506</v>
      </c>
      <c r="PSZ1" s="69" t="s">
        <v>11507</v>
      </c>
      <c r="PTA1" s="69" t="s">
        <v>11508</v>
      </c>
      <c r="PTB1" s="69" t="s">
        <v>11509</v>
      </c>
      <c r="PTC1" s="69" t="s">
        <v>11510</v>
      </c>
      <c r="PTD1" s="69" t="s">
        <v>11511</v>
      </c>
      <c r="PTE1" s="69" t="s">
        <v>11512</v>
      </c>
      <c r="PTF1" s="69" t="s">
        <v>11513</v>
      </c>
      <c r="PTG1" s="69" t="s">
        <v>11514</v>
      </c>
      <c r="PTH1" s="69" t="s">
        <v>11515</v>
      </c>
      <c r="PTI1" s="69" t="s">
        <v>11516</v>
      </c>
      <c r="PTJ1" s="69" t="s">
        <v>11517</v>
      </c>
      <c r="PTK1" s="69" t="s">
        <v>11518</v>
      </c>
      <c r="PTL1" s="69" t="s">
        <v>11519</v>
      </c>
      <c r="PTM1" s="69" t="s">
        <v>11520</v>
      </c>
      <c r="PTN1" s="69" t="s">
        <v>11521</v>
      </c>
      <c r="PTO1" s="69" t="s">
        <v>11522</v>
      </c>
      <c r="PTP1" s="69" t="s">
        <v>11523</v>
      </c>
      <c r="PTQ1" s="69" t="s">
        <v>11524</v>
      </c>
      <c r="PTR1" s="69" t="s">
        <v>11525</v>
      </c>
      <c r="PTS1" s="69" t="s">
        <v>11526</v>
      </c>
      <c r="PTT1" s="69" t="s">
        <v>11527</v>
      </c>
      <c r="PTU1" s="69" t="s">
        <v>11528</v>
      </c>
      <c r="PTV1" s="69" t="s">
        <v>11529</v>
      </c>
      <c r="PTW1" s="69" t="s">
        <v>11530</v>
      </c>
      <c r="PTX1" s="69" t="s">
        <v>11531</v>
      </c>
      <c r="PTY1" s="69" t="s">
        <v>11532</v>
      </c>
      <c r="PTZ1" s="69" t="s">
        <v>11533</v>
      </c>
      <c r="PUA1" s="69" t="s">
        <v>11534</v>
      </c>
      <c r="PUB1" s="69" t="s">
        <v>11535</v>
      </c>
      <c r="PUC1" s="69" t="s">
        <v>11536</v>
      </c>
      <c r="PUD1" s="69" t="s">
        <v>11537</v>
      </c>
      <c r="PUE1" s="69" t="s">
        <v>11538</v>
      </c>
      <c r="PUF1" s="69" t="s">
        <v>11539</v>
      </c>
      <c r="PUG1" s="69" t="s">
        <v>11540</v>
      </c>
      <c r="PUH1" s="69" t="s">
        <v>11541</v>
      </c>
      <c r="PUI1" s="69" t="s">
        <v>11542</v>
      </c>
      <c r="PUJ1" s="69" t="s">
        <v>11543</v>
      </c>
      <c r="PUK1" s="69" t="s">
        <v>11544</v>
      </c>
      <c r="PUL1" s="69" t="s">
        <v>11545</v>
      </c>
      <c r="PUM1" s="69" t="s">
        <v>11546</v>
      </c>
      <c r="PUN1" s="69" t="s">
        <v>11547</v>
      </c>
      <c r="PUO1" s="69" t="s">
        <v>11548</v>
      </c>
      <c r="PUP1" s="69" t="s">
        <v>11549</v>
      </c>
      <c r="PUQ1" s="69" t="s">
        <v>11550</v>
      </c>
      <c r="PUR1" s="69" t="s">
        <v>11551</v>
      </c>
      <c r="PUS1" s="69" t="s">
        <v>11552</v>
      </c>
      <c r="PUT1" s="69" t="s">
        <v>11553</v>
      </c>
      <c r="PUU1" s="69" t="s">
        <v>11554</v>
      </c>
      <c r="PUV1" s="69" t="s">
        <v>11555</v>
      </c>
      <c r="PUW1" s="69" t="s">
        <v>11556</v>
      </c>
      <c r="PUX1" s="69" t="s">
        <v>11557</v>
      </c>
      <c r="PUY1" s="69" t="s">
        <v>11558</v>
      </c>
      <c r="PUZ1" s="69" t="s">
        <v>11559</v>
      </c>
      <c r="PVA1" s="69" t="s">
        <v>11560</v>
      </c>
      <c r="PVB1" s="69" t="s">
        <v>11561</v>
      </c>
      <c r="PVC1" s="69" t="s">
        <v>11562</v>
      </c>
      <c r="PVD1" s="69" t="s">
        <v>11563</v>
      </c>
      <c r="PVE1" s="69" t="s">
        <v>11564</v>
      </c>
      <c r="PVF1" s="69" t="s">
        <v>11565</v>
      </c>
      <c r="PVG1" s="69" t="s">
        <v>11566</v>
      </c>
      <c r="PVH1" s="69" t="s">
        <v>11567</v>
      </c>
      <c r="PVI1" s="69" t="s">
        <v>11568</v>
      </c>
      <c r="PVJ1" s="69" t="s">
        <v>11569</v>
      </c>
      <c r="PVK1" s="69" t="s">
        <v>11570</v>
      </c>
      <c r="PVL1" s="69" t="s">
        <v>11571</v>
      </c>
      <c r="PVM1" s="69" t="s">
        <v>11572</v>
      </c>
      <c r="PVN1" s="69" t="s">
        <v>11573</v>
      </c>
      <c r="PVO1" s="69" t="s">
        <v>11574</v>
      </c>
      <c r="PVP1" s="69" t="s">
        <v>11575</v>
      </c>
      <c r="PVQ1" s="69" t="s">
        <v>11576</v>
      </c>
      <c r="PVR1" s="69" t="s">
        <v>11577</v>
      </c>
      <c r="PVS1" s="69" t="s">
        <v>11578</v>
      </c>
      <c r="PVT1" s="69" t="s">
        <v>11579</v>
      </c>
      <c r="PVU1" s="69" t="s">
        <v>11580</v>
      </c>
      <c r="PVV1" s="69" t="s">
        <v>11581</v>
      </c>
      <c r="PVW1" s="69" t="s">
        <v>11582</v>
      </c>
      <c r="PVX1" s="69" t="s">
        <v>11583</v>
      </c>
      <c r="PVY1" s="69" t="s">
        <v>11584</v>
      </c>
      <c r="PVZ1" s="69" t="s">
        <v>11585</v>
      </c>
      <c r="PWA1" s="69" t="s">
        <v>11586</v>
      </c>
      <c r="PWB1" s="69" t="s">
        <v>11587</v>
      </c>
      <c r="PWC1" s="69" t="s">
        <v>11588</v>
      </c>
      <c r="PWD1" s="69" t="s">
        <v>11589</v>
      </c>
      <c r="PWE1" s="69" t="s">
        <v>11590</v>
      </c>
      <c r="PWF1" s="69" t="s">
        <v>11591</v>
      </c>
      <c r="PWG1" s="69" t="s">
        <v>11592</v>
      </c>
      <c r="PWH1" s="69" t="s">
        <v>11593</v>
      </c>
      <c r="PWI1" s="69" t="s">
        <v>11594</v>
      </c>
      <c r="PWJ1" s="69" t="s">
        <v>11595</v>
      </c>
      <c r="PWK1" s="69" t="s">
        <v>11596</v>
      </c>
      <c r="PWL1" s="69" t="s">
        <v>11597</v>
      </c>
      <c r="PWM1" s="69" t="s">
        <v>11598</v>
      </c>
      <c r="PWN1" s="69" t="s">
        <v>11599</v>
      </c>
      <c r="PWO1" s="69" t="s">
        <v>11600</v>
      </c>
      <c r="PWP1" s="69" t="s">
        <v>11601</v>
      </c>
      <c r="PWQ1" s="69" t="s">
        <v>11602</v>
      </c>
      <c r="PWR1" s="69" t="s">
        <v>11603</v>
      </c>
      <c r="PWS1" s="69" t="s">
        <v>11604</v>
      </c>
      <c r="PWT1" s="69" t="s">
        <v>11605</v>
      </c>
      <c r="PWU1" s="69" t="s">
        <v>11606</v>
      </c>
      <c r="PWV1" s="69" t="s">
        <v>11607</v>
      </c>
      <c r="PWW1" s="69" t="s">
        <v>11608</v>
      </c>
      <c r="PWX1" s="69" t="s">
        <v>11609</v>
      </c>
      <c r="PWY1" s="69" t="s">
        <v>11610</v>
      </c>
      <c r="PWZ1" s="69" t="s">
        <v>11611</v>
      </c>
      <c r="PXA1" s="69" t="s">
        <v>11612</v>
      </c>
      <c r="PXB1" s="69" t="s">
        <v>11613</v>
      </c>
      <c r="PXC1" s="69" t="s">
        <v>11614</v>
      </c>
      <c r="PXD1" s="69" t="s">
        <v>11615</v>
      </c>
      <c r="PXE1" s="69" t="s">
        <v>11616</v>
      </c>
      <c r="PXF1" s="69" t="s">
        <v>11617</v>
      </c>
      <c r="PXG1" s="69" t="s">
        <v>11618</v>
      </c>
      <c r="PXH1" s="69" t="s">
        <v>11619</v>
      </c>
      <c r="PXI1" s="69" t="s">
        <v>11620</v>
      </c>
      <c r="PXJ1" s="69" t="s">
        <v>11621</v>
      </c>
      <c r="PXK1" s="69" t="s">
        <v>11622</v>
      </c>
      <c r="PXL1" s="69" t="s">
        <v>11623</v>
      </c>
      <c r="PXM1" s="69" t="s">
        <v>11624</v>
      </c>
      <c r="PXN1" s="69" t="s">
        <v>11625</v>
      </c>
      <c r="PXO1" s="69" t="s">
        <v>11626</v>
      </c>
      <c r="PXP1" s="69" t="s">
        <v>11627</v>
      </c>
      <c r="PXQ1" s="69" t="s">
        <v>11628</v>
      </c>
      <c r="PXR1" s="69" t="s">
        <v>11629</v>
      </c>
      <c r="PXS1" s="69" t="s">
        <v>11630</v>
      </c>
      <c r="PXT1" s="69" t="s">
        <v>11631</v>
      </c>
      <c r="PXU1" s="69" t="s">
        <v>11632</v>
      </c>
      <c r="PXV1" s="69" t="s">
        <v>11633</v>
      </c>
      <c r="PXW1" s="69" t="s">
        <v>11634</v>
      </c>
      <c r="PXX1" s="69" t="s">
        <v>11635</v>
      </c>
      <c r="PXY1" s="69" t="s">
        <v>11636</v>
      </c>
      <c r="PXZ1" s="69" t="s">
        <v>11637</v>
      </c>
      <c r="PYA1" s="69" t="s">
        <v>11638</v>
      </c>
      <c r="PYB1" s="69" t="s">
        <v>11639</v>
      </c>
      <c r="PYC1" s="69" t="s">
        <v>11640</v>
      </c>
      <c r="PYD1" s="69" t="s">
        <v>11641</v>
      </c>
      <c r="PYE1" s="69" t="s">
        <v>11642</v>
      </c>
      <c r="PYF1" s="69" t="s">
        <v>11643</v>
      </c>
      <c r="PYG1" s="69" t="s">
        <v>11644</v>
      </c>
      <c r="PYH1" s="69" t="s">
        <v>11645</v>
      </c>
      <c r="PYI1" s="69" t="s">
        <v>11646</v>
      </c>
      <c r="PYJ1" s="69" t="s">
        <v>11647</v>
      </c>
      <c r="PYK1" s="69" t="s">
        <v>11648</v>
      </c>
      <c r="PYL1" s="69" t="s">
        <v>11649</v>
      </c>
      <c r="PYM1" s="69" t="s">
        <v>11650</v>
      </c>
      <c r="PYN1" s="69" t="s">
        <v>11651</v>
      </c>
      <c r="PYO1" s="69" t="s">
        <v>11652</v>
      </c>
      <c r="PYP1" s="69" t="s">
        <v>11653</v>
      </c>
      <c r="PYQ1" s="69" t="s">
        <v>11654</v>
      </c>
      <c r="PYR1" s="69" t="s">
        <v>11655</v>
      </c>
      <c r="PYS1" s="69" t="s">
        <v>11656</v>
      </c>
      <c r="PYT1" s="69" t="s">
        <v>11657</v>
      </c>
      <c r="PYU1" s="69" t="s">
        <v>11658</v>
      </c>
      <c r="PYV1" s="69" t="s">
        <v>11659</v>
      </c>
      <c r="PYW1" s="69" t="s">
        <v>11660</v>
      </c>
      <c r="PYX1" s="69" t="s">
        <v>11661</v>
      </c>
      <c r="PYY1" s="69" t="s">
        <v>11662</v>
      </c>
      <c r="PYZ1" s="69" t="s">
        <v>11663</v>
      </c>
      <c r="PZA1" s="69" t="s">
        <v>11664</v>
      </c>
      <c r="PZB1" s="69" t="s">
        <v>11665</v>
      </c>
      <c r="PZC1" s="69" t="s">
        <v>11666</v>
      </c>
      <c r="PZD1" s="69" t="s">
        <v>11667</v>
      </c>
      <c r="PZE1" s="69" t="s">
        <v>11668</v>
      </c>
      <c r="PZF1" s="69" t="s">
        <v>11669</v>
      </c>
      <c r="PZG1" s="69" t="s">
        <v>11670</v>
      </c>
      <c r="PZH1" s="69" t="s">
        <v>11671</v>
      </c>
      <c r="PZI1" s="69" t="s">
        <v>11672</v>
      </c>
      <c r="PZJ1" s="69" t="s">
        <v>11673</v>
      </c>
      <c r="PZK1" s="69" t="s">
        <v>11674</v>
      </c>
      <c r="PZL1" s="69" t="s">
        <v>11675</v>
      </c>
      <c r="PZM1" s="69" t="s">
        <v>11676</v>
      </c>
      <c r="PZN1" s="69" t="s">
        <v>11677</v>
      </c>
      <c r="PZO1" s="69" t="s">
        <v>11678</v>
      </c>
      <c r="PZP1" s="69" t="s">
        <v>11679</v>
      </c>
      <c r="PZQ1" s="69" t="s">
        <v>11680</v>
      </c>
      <c r="PZR1" s="69" t="s">
        <v>11681</v>
      </c>
      <c r="PZS1" s="69" t="s">
        <v>11682</v>
      </c>
      <c r="PZT1" s="69" t="s">
        <v>11683</v>
      </c>
      <c r="PZU1" s="69" t="s">
        <v>11684</v>
      </c>
      <c r="PZV1" s="69" t="s">
        <v>11685</v>
      </c>
      <c r="PZW1" s="69" t="s">
        <v>11686</v>
      </c>
      <c r="PZX1" s="69" t="s">
        <v>11687</v>
      </c>
      <c r="PZY1" s="69" t="s">
        <v>11688</v>
      </c>
      <c r="PZZ1" s="69" t="s">
        <v>11689</v>
      </c>
      <c r="QAA1" s="69" t="s">
        <v>11690</v>
      </c>
      <c r="QAB1" s="69" t="s">
        <v>11691</v>
      </c>
      <c r="QAC1" s="69" t="s">
        <v>11692</v>
      </c>
      <c r="QAD1" s="69" t="s">
        <v>11693</v>
      </c>
      <c r="QAE1" s="69" t="s">
        <v>11694</v>
      </c>
      <c r="QAF1" s="69" t="s">
        <v>11695</v>
      </c>
      <c r="QAG1" s="69" t="s">
        <v>11696</v>
      </c>
      <c r="QAH1" s="69" t="s">
        <v>11697</v>
      </c>
      <c r="QAI1" s="69" t="s">
        <v>11698</v>
      </c>
      <c r="QAJ1" s="69" t="s">
        <v>11699</v>
      </c>
      <c r="QAK1" s="69" t="s">
        <v>11700</v>
      </c>
      <c r="QAL1" s="69" t="s">
        <v>11701</v>
      </c>
      <c r="QAM1" s="69" t="s">
        <v>11702</v>
      </c>
      <c r="QAN1" s="69" t="s">
        <v>11703</v>
      </c>
      <c r="QAO1" s="69" t="s">
        <v>11704</v>
      </c>
      <c r="QAP1" s="69" t="s">
        <v>11705</v>
      </c>
      <c r="QAQ1" s="69" t="s">
        <v>11706</v>
      </c>
      <c r="QAR1" s="69" t="s">
        <v>11707</v>
      </c>
      <c r="QAS1" s="69" t="s">
        <v>11708</v>
      </c>
      <c r="QAT1" s="69" t="s">
        <v>11709</v>
      </c>
      <c r="QAU1" s="69" t="s">
        <v>11710</v>
      </c>
      <c r="QAV1" s="69" t="s">
        <v>11711</v>
      </c>
      <c r="QAW1" s="69" t="s">
        <v>11712</v>
      </c>
      <c r="QAX1" s="69" t="s">
        <v>11713</v>
      </c>
      <c r="QAY1" s="69" t="s">
        <v>11714</v>
      </c>
      <c r="QAZ1" s="69" t="s">
        <v>11715</v>
      </c>
      <c r="QBA1" s="69" t="s">
        <v>11716</v>
      </c>
      <c r="QBB1" s="69" t="s">
        <v>11717</v>
      </c>
      <c r="QBC1" s="69" t="s">
        <v>11718</v>
      </c>
      <c r="QBD1" s="69" t="s">
        <v>11719</v>
      </c>
      <c r="QBE1" s="69" t="s">
        <v>11720</v>
      </c>
      <c r="QBF1" s="69" t="s">
        <v>11721</v>
      </c>
      <c r="QBG1" s="69" t="s">
        <v>11722</v>
      </c>
      <c r="QBH1" s="69" t="s">
        <v>11723</v>
      </c>
      <c r="QBI1" s="69" t="s">
        <v>11724</v>
      </c>
      <c r="QBJ1" s="69" t="s">
        <v>11725</v>
      </c>
      <c r="QBK1" s="69" t="s">
        <v>11726</v>
      </c>
      <c r="QBL1" s="69" t="s">
        <v>11727</v>
      </c>
      <c r="QBM1" s="69" t="s">
        <v>11728</v>
      </c>
      <c r="QBN1" s="69" t="s">
        <v>11729</v>
      </c>
      <c r="QBO1" s="69" t="s">
        <v>11730</v>
      </c>
      <c r="QBP1" s="69" t="s">
        <v>11731</v>
      </c>
      <c r="QBQ1" s="69" t="s">
        <v>11732</v>
      </c>
      <c r="QBR1" s="69" t="s">
        <v>11733</v>
      </c>
      <c r="QBS1" s="69" t="s">
        <v>11734</v>
      </c>
      <c r="QBT1" s="69" t="s">
        <v>11735</v>
      </c>
      <c r="QBU1" s="69" t="s">
        <v>11736</v>
      </c>
      <c r="QBV1" s="69" t="s">
        <v>11737</v>
      </c>
      <c r="QBW1" s="69" t="s">
        <v>11738</v>
      </c>
      <c r="QBX1" s="69" t="s">
        <v>11739</v>
      </c>
      <c r="QBY1" s="69" t="s">
        <v>11740</v>
      </c>
      <c r="QBZ1" s="69" t="s">
        <v>11741</v>
      </c>
      <c r="QCA1" s="69" t="s">
        <v>11742</v>
      </c>
      <c r="QCB1" s="69" t="s">
        <v>11743</v>
      </c>
      <c r="QCC1" s="69" t="s">
        <v>11744</v>
      </c>
      <c r="QCD1" s="69" t="s">
        <v>11745</v>
      </c>
      <c r="QCE1" s="69" t="s">
        <v>11746</v>
      </c>
      <c r="QCF1" s="69" t="s">
        <v>11747</v>
      </c>
      <c r="QCG1" s="69" t="s">
        <v>11748</v>
      </c>
      <c r="QCH1" s="69" t="s">
        <v>11749</v>
      </c>
      <c r="QCI1" s="69" t="s">
        <v>11750</v>
      </c>
      <c r="QCJ1" s="69" t="s">
        <v>11751</v>
      </c>
      <c r="QCK1" s="69" t="s">
        <v>11752</v>
      </c>
      <c r="QCL1" s="69" t="s">
        <v>11753</v>
      </c>
      <c r="QCM1" s="69" t="s">
        <v>11754</v>
      </c>
      <c r="QCN1" s="69" t="s">
        <v>11755</v>
      </c>
      <c r="QCO1" s="69" t="s">
        <v>11756</v>
      </c>
      <c r="QCP1" s="69" t="s">
        <v>11757</v>
      </c>
      <c r="QCQ1" s="69" t="s">
        <v>11758</v>
      </c>
      <c r="QCR1" s="69" t="s">
        <v>11759</v>
      </c>
      <c r="QCS1" s="69" t="s">
        <v>11760</v>
      </c>
      <c r="QCT1" s="69" t="s">
        <v>11761</v>
      </c>
      <c r="QCU1" s="69" t="s">
        <v>11762</v>
      </c>
      <c r="QCV1" s="69" t="s">
        <v>11763</v>
      </c>
      <c r="QCW1" s="69" t="s">
        <v>11764</v>
      </c>
      <c r="QCX1" s="69" t="s">
        <v>11765</v>
      </c>
      <c r="QCY1" s="69" t="s">
        <v>11766</v>
      </c>
      <c r="QCZ1" s="69" t="s">
        <v>11767</v>
      </c>
      <c r="QDA1" s="69" t="s">
        <v>11768</v>
      </c>
      <c r="QDB1" s="69" t="s">
        <v>11769</v>
      </c>
      <c r="QDC1" s="69" t="s">
        <v>11770</v>
      </c>
      <c r="QDD1" s="69" t="s">
        <v>11771</v>
      </c>
      <c r="QDE1" s="69" t="s">
        <v>11772</v>
      </c>
      <c r="QDF1" s="69" t="s">
        <v>11773</v>
      </c>
      <c r="QDG1" s="69" t="s">
        <v>11774</v>
      </c>
      <c r="QDH1" s="69" t="s">
        <v>11775</v>
      </c>
      <c r="QDI1" s="69" t="s">
        <v>11776</v>
      </c>
      <c r="QDJ1" s="69" t="s">
        <v>11777</v>
      </c>
      <c r="QDK1" s="69" t="s">
        <v>11778</v>
      </c>
      <c r="QDL1" s="69" t="s">
        <v>11779</v>
      </c>
      <c r="QDM1" s="69" t="s">
        <v>11780</v>
      </c>
      <c r="QDN1" s="69" t="s">
        <v>11781</v>
      </c>
      <c r="QDO1" s="69" t="s">
        <v>11782</v>
      </c>
      <c r="QDP1" s="69" t="s">
        <v>11783</v>
      </c>
      <c r="QDQ1" s="69" t="s">
        <v>11784</v>
      </c>
      <c r="QDR1" s="69" t="s">
        <v>11785</v>
      </c>
      <c r="QDS1" s="69" t="s">
        <v>11786</v>
      </c>
      <c r="QDT1" s="69" t="s">
        <v>11787</v>
      </c>
      <c r="QDU1" s="69" t="s">
        <v>11788</v>
      </c>
      <c r="QDV1" s="69" t="s">
        <v>11789</v>
      </c>
      <c r="QDW1" s="69" t="s">
        <v>11790</v>
      </c>
      <c r="QDX1" s="69" t="s">
        <v>11791</v>
      </c>
      <c r="QDY1" s="69" t="s">
        <v>11792</v>
      </c>
      <c r="QDZ1" s="69" t="s">
        <v>11793</v>
      </c>
      <c r="QEA1" s="69" t="s">
        <v>11794</v>
      </c>
      <c r="QEB1" s="69" t="s">
        <v>11795</v>
      </c>
      <c r="QEC1" s="69" t="s">
        <v>11796</v>
      </c>
      <c r="QED1" s="69" t="s">
        <v>11797</v>
      </c>
      <c r="QEE1" s="69" t="s">
        <v>11798</v>
      </c>
      <c r="QEF1" s="69" t="s">
        <v>11799</v>
      </c>
      <c r="QEG1" s="69" t="s">
        <v>11800</v>
      </c>
      <c r="QEH1" s="69" t="s">
        <v>11801</v>
      </c>
      <c r="QEI1" s="69" t="s">
        <v>11802</v>
      </c>
      <c r="QEJ1" s="69" t="s">
        <v>11803</v>
      </c>
      <c r="QEK1" s="69" t="s">
        <v>11804</v>
      </c>
      <c r="QEL1" s="69" t="s">
        <v>11805</v>
      </c>
      <c r="QEM1" s="69" t="s">
        <v>11806</v>
      </c>
      <c r="QEN1" s="69" t="s">
        <v>11807</v>
      </c>
      <c r="QEO1" s="69" t="s">
        <v>11808</v>
      </c>
      <c r="QEP1" s="69" t="s">
        <v>11809</v>
      </c>
      <c r="QEQ1" s="69" t="s">
        <v>11810</v>
      </c>
      <c r="QER1" s="69" t="s">
        <v>11811</v>
      </c>
      <c r="QES1" s="69" t="s">
        <v>11812</v>
      </c>
      <c r="QET1" s="69" t="s">
        <v>11813</v>
      </c>
      <c r="QEU1" s="69" t="s">
        <v>11814</v>
      </c>
      <c r="QEV1" s="69" t="s">
        <v>11815</v>
      </c>
      <c r="QEW1" s="69" t="s">
        <v>11816</v>
      </c>
      <c r="QEX1" s="69" t="s">
        <v>11817</v>
      </c>
      <c r="QEY1" s="69" t="s">
        <v>11818</v>
      </c>
      <c r="QEZ1" s="69" t="s">
        <v>11819</v>
      </c>
      <c r="QFA1" s="69" t="s">
        <v>11820</v>
      </c>
      <c r="QFB1" s="69" t="s">
        <v>11821</v>
      </c>
      <c r="QFC1" s="69" t="s">
        <v>11822</v>
      </c>
      <c r="QFD1" s="69" t="s">
        <v>11823</v>
      </c>
      <c r="QFE1" s="69" t="s">
        <v>11824</v>
      </c>
      <c r="QFF1" s="69" t="s">
        <v>11825</v>
      </c>
      <c r="QFG1" s="69" t="s">
        <v>11826</v>
      </c>
      <c r="QFH1" s="69" t="s">
        <v>11827</v>
      </c>
      <c r="QFI1" s="69" t="s">
        <v>11828</v>
      </c>
      <c r="QFJ1" s="69" t="s">
        <v>11829</v>
      </c>
      <c r="QFK1" s="69" t="s">
        <v>11830</v>
      </c>
      <c r="QFL1" s="69" t="s">
        <v>11831</v>
      </c>
      <c r="QFM1" s="69" t="s">
        <v>11832</v>
      </c>
      <c r="QFN1" s="69" t="s">
        <v>11833</v>
      </c>
      <c r="QFO1" s="69" t="s">
        <v>11834</v>
      </c>
      <c r="QFP1" s="69" t="s">
        <v>11835</v>
      </c>
      <c r="QFQ1" s="69" t="s">
        <v>11836</v>
      </c>
      <c r="QFR1" s="69" t="s">
        <v>11837</v>
      </c>
      <c r="QFS1" s="69" t="s">
        <v>11838</v>
      </c>
      <c r="QFT1" s="69" t="s">
        <v>11839</v>
      </c>
      <c r="QFU1" s="69" t="s">
        <v>11840</v>
      </c>
      <c r="QFV1" s="69" t="s">
        <v>11841</v>
      </c>
      <c r="QFW1" s="69" t="s">
        <v>11842</v>
      </c>
      <c r="QFX1" s="69" t="s">
        <v>11843</v>
      </c>
      <c r="QFY1" s="69" t="s">
        <v>11844</v>
      </c>
      <c r="QFZ1" s="69" t="s">
        <v>11845</v>
      </c>
      <c r="QGA1" s="69" t="s">
        <v>11846</v>
      </c>
      <c r="QGB1" s="69" t="s">
        <v>11847</v>
      </c>
      <c r="QGC1" s="69" t="s">
        <v>11848</v>
      </c>
      <c r="QGD1" s="69" t="s">
        <v>11849</v>
      </c>
      <c r="QGE1" s="69" t="s">
        <v>11850</v>
      </c>
      <c r="QGF1" s="69" t="s">
        <v>11851</v>
      </c>
      <c r="QGG1" s="69" t="s">
        <v>11852</v>
      </c>
      <c r="QGH1" s="69" t="s">
        <v>11853</v>
      </c>
      <c r="QGI1" s="69" t="s">
        <v>11854</v>
      </c>
      <c r="QGJ1" s="69" t="s">
        <v>11855</v>
      </c>
      <c r="QGK1" s="69" t="s">
        <v>11856</v>
      </c>
      <c r="QGL1" s="69" t="s">
        <v>11857</v>
      </c>
      <c r="QGM1" s="69" t="s">
        <v>11858</v>
      </c>
      <c r="QGN1" s="69" t="s">
        <v>11859</v>
      </c>
      <c r="QGO1" s="69" t="s">
        <v>11860</v>
      </c>
      <c r="QGP1" s="69" t="s">
        <v>11861</v>
      </c>
      <c r="QGQ1" s="69" t="s">
        <v>11862</v>
      </c>
      <c r="QGR1" s="69" t="s">
        <v>11863</v>
      </c>
      <c r="QGS1" s="69" t="s">
        <v>11864</v>
      </c>
      <c r="QGT1" s="69" t="s">
        <v>11865</v>
      </c>
      <c r="QGU1" s="69" t="s">
        <v>11866</v>
      </c>
      <c r="QGV1" s="69" t="s">
        <v>11867</v>
      </c>
      <c r="QGW1" s="69" t="s">
        <v>11868</v>
      </c>
      <c r="QGX1" s="69" t="s">
        <v>11869</v>
      </c>
      <c r="QGY1" s="69" t="s">
        <v>11870</v>
      </c>
      <c r="QGZ1" s="69" t="s">
        <v>11871</v>
      </c>
      <c r="QHA1" s="69" t="s">
        <v>11872</v>
      </c>
      <c r="QHB1" s="69" t="s">
        <v>11873</v>
      </c>
      <c r="QHC1" s="69" t="s">
        <v>11874</v>
      </c>
      <c r="QHD1" s="69" t="s">
        <v>11875</v>
      </c>
      <c r="QHE1" s="69" t="s">
        <v>11876</v>
      </c>
      <c r="QHF1" s="69" t="s">
        <v>11877</v>
      </c>
      <c r="QHG1" s="69" t="s">
        <v>11878</v>
      </c>
      <c r="QHH1" s="69" t="s">
        <v>11879</v>
      </c>
      <c r="QHI1" s="69" t="s">
        <v>11880</v>
      </c>
      <c r="QHJ1" s="69" t="s">
        <v>11881</v>
      </c>
      <c r="QHK1" s="69" t="s">
        <v>11882</v>
      </c>
      <c r="QHL1" s="69" t="s">
        <v>11883</v>
      </c>
      <c r="QHM1" s="69" t="s">
        <v>11884</v>
      </c>
      <c r="QHN1" s="69" t="s">
        <v>11885</v>
      </c>
      <c r="QHO1" s="69" t="s">
        <v>11886</v>
      </c>
      <c r="QHP1" s="69" t="s">
        <v>11887</v>
      </c>
      <c r="QHQ1" s="69" t="s">
        <v>11888</v>
      </c>
      <c r="QHR1" s="69" t="s">
        <v>11889</v>
      </c>
      <c r="QHS1" s="69" t="s">
        <v>11890</v>
      </c>
      <c r="QHT1" s="69" t="s">
        <v>11891</v>
      </c>
      <c r="QHU1" s="69" t="s">
        <v>11892</v>
      </c>
      <c r="QHV1" s="69" t="s">
        <v>11893</v>
      </c>
      <c r="QHW1" s="69" t="s">
        <v>11894</v>
      </c>
      <c r="QHX1" s="69" t="s">
        <v>11895</v>
      </c>
      <c r="QHY1" s="69" t="s">
        <v>11896</v>
      </c>
      <c r="QHZ1" s="69" t="s">
        <v>11897</v>
      </c>
      <c r="QIA1" s="69" t="s">
        <v>11898</v>
      </c>
      <c r="QIB1" s="69" t="s">
        <v>11899</v>
      </c>
      <c r="QIC1" s="69" t="s">
        <v>11900</v>
      </c>
      <c r="QID1" s="69" t="s">
        <v>11901</v>
      </c>
      <c r="QIE1" s="69" t="s">
        <v>11902</v>
      </c>
      <c r="QIF1" s="69" t="s">
        <v>11903</v>
      </c>
      <c r="QIG1" s="69" t="s">
        <v>11904</v>
      </c>
      <c r="QIH1" s="69" t="s">
        <v>11905</v>
      </c>
      <c r="QII1" s="69" t="s">
        <v>11906</v>
      </c>
      <c r="QIJ1" s="69" t="s">
        <v>11907</v>
      </c>
      <c r="QIK1" s="69" t="s">
        <v>11908</v>
      </c>
      <c r="QIL1" s="69" t="s">
        <v>11909</v>
      </c>
      <c r="QIM1" s="69" t="s">
        <v>11910</v>
      </c>
      <c r="QIN1" s="69" t="s">
        <v>11911</v>
      </c>
      <c r="QIO1" s="69" t="s">
        <v>11912</v>
      </c>
      <c r="QIP1" s="69" t="s">
        <v>11913</v>
      </c>
      <c r="QIQ1" s="69" t="s">
        <v>11914</v>
      </c>
      <c r="QIR1" s="69" t="s">
        <v>11915</v>
      </c>
      <c r="QIS1" s="69" t="s">
        <v>11916</v>
      </c>
      <c r="QIT1" s="69" t="s">
        <v>11917</v>
      </c>
      <c r="QIU1" s="69" t="s">
        <v>11918</v>
      </c>
      <c r="QIV1" s="69" t="s">
        <v>11919</v>
      </c>
      <c r="QIW1" s="69" t="s">
        <v>11920</v>
      </c>
      <c r="QIX1" s="69" t="s">
        <v>11921</v>
      </c>
      <c r="QIY1" s="69" t="s">
        <v>11922</v>
      </c>
      <c r="QIZ1" s="69" t="s">
        <v>11923</v>
      </c>
      <c r="QJA1" s="69" t="s">
        <v>11924</v>
      </c>
      <c r="QJB1" s="69" t="s">
        <v>11925</v>
      </c>
      <c r="QJC1" s="69" t="s">
        <v>11926</v>
      </c>
      <c r="QJD1" s="69" t="s">
        <v>11927</v>
      </c>
      <c r="QJE1" s="69" t="s">
        <v>11928</v>
      </c>
      <c r="QJF1" s="69" t="s">
        <v>11929</v>
      </c>
      <c r="QJG1" s="69" t="s">
        <v>11930</v>
      </c>
      <c r="QJH1" s="69" t="s">
        <v>11931</v>
      </c>
      <c r="QJI1" s="69" t="s">
        <v>11932</v>
      </c>
      <c r="QJJ1" s="69" t="s">
        <v>11933</v>
      </c>
      <c r="QJK1" s="69" t="s">
        <v>11934</v>
      </c>
      <c r="QJL1" s="69" t="s">
        <v>11935</v>
      </c>
      <c r="QJM1" s="69" t="s">
        <v>11936</v>
      </c>
      <c r="QJN1" s="69" t="s">
        <v>11937</v>
      </c>
      <c r="QJO1" s="69" t="s">
        <v>11938</v>
      </c>
      <c r="QJP1" s="69" t="s">
        <v>11939</v>
      </c>
      <c r="QJQ1" s="69" t="s">
        <v>11940</v>
      </c>
      <c r="QJR1" s="69" t="s">
        <v>11941</v>
      </c>
      <c r="QJS1" s="69" t="s">
        <v>11942</v>
      </c>
      <c r="QJT1" s="69" t="s">
        <v>11943</v>
      </c>
      <c r="QJU1" s="69" t="s">
        <v>11944</v>
      </c>
      <c r="QJV1" s="69" t="s">
        <v>11945</v>
      </c>
      <c r="QJW1" s="69" t="s">
        <v>11946</v>
      </c>
      <c r="QJX1" s="69" t="s">
        <v>11947</v>
      </c>
      <c r="QJY1" s="69" t="s">
        <v>11948</v>
      </c>
      <c r="QJZ1" s="69" t="s">
        <v>11949</v>
      </c>
      <c r="QKA1" s="69" t="s">
        <v>11950</v>
      </c>
      <c r="QKB1" s="69" t="s">
        <v>11951</v>
      </c>
      <c r="QKC1" s="69" t="s">
        <v>11952</v>
      </c>
      <c r="QKD1" s="69" t="s">
        <v>11953</v>
      </c>
      <c r="QKE1" s="69" t="s">
        <v>11954</v>
      </c>
      <c r="QKF1" s="69" t="s">
        <v>11955</v>
      </c>
      <c r="QKG1" s="69" t="s">
        <v>11956</v>
      </c>
      <c r="QKH1" s="69" t="s">
        <v>11957</v>
      </c>
      <c r="QKI1" s="69" t="s">
        <v>11958</v>
      </c>
      <c r="QKJ1" s="69" t="s">
        <v>11959</v>
      </c>
      <c r="QKK1" s="69" t="s">
        <v>11960</v>
      </c>
      <c r="QKL1" s="69" t="s">
        <v>11961</v>
      </c>
      <c r="QKM1" s="69" t="s">
        <v>11962</v>
      </c>
      <c r="QKN1" s="69" t="s">
        <v>11963</v>
      </c>
      <c r="QKO1" s="69" t="s">
        <v>11964</v>
      </c>
      <c r="QKP1" s="69" t="s">
        <v>11965</v>
      </c>
      <c r="QKQ1" s="69" t="s">
        <v>11966</v>
      </c>
      <c r="QKR1" s="69" t="s">
        <v>11967</v>
      </c>
      <c r="QKS1" s="69" t="s">
        <v>11968</v>
      </c>
      <c r="QKT1" s="69" t="s">
        <v>11969</v>
      </c>
      <c r="QKU1" s="69" t="s">
        <v>11970</v>
      </c>
      <c r="QKV1" s="69" t="s">
        <v>11971</v>
      </c>
      <c r="QKW1" s="69" t="s">
        <v>11972</v>
      </c>
      <c r="QKX1" s="69" t="s">
        <v>11973</v>
      </c>
      <c r="QKY1" s="69" t="s">
        <v>11974</v>
      </c>
      <c r="QKZ1" s="69" t="s">
        <v>11975</v>
      </c>
      <c r="QLA1" s="69" t="s">
        <v>11976</v>
      </c>
      <c r="QLB1" s="69" t="s">
        <v>11977</v>
      </c>
      <c r="QLC1" s="69" t="s">
        <v>11978</v>
      </c>
      <c r="QLD1" s="69" t="s">
        <v>11979</v>
      </c>
      <c r="QLE1" s="69" t="s">
        <v>11980</v>
      </c>
      <c r="QLF1" s="69" t="s">
        <v>11981</v>
      </c>
      <c r="QLG1" s="69" t="s">
        <v>11982</v>
      </c>
      <c r="QLH1" s="69" t="s">
        <v>11983</v>
      </c>
      <c r="QLI1" s="69" t="s">
        <v>11984</v>
      </c>
      <c r="QLJ1" s="69" t="s">
        <v>11985</v>
      </c>
      <c r="QLK1" s="69" t="s">
        <v>11986</v>
      </c>
      <c r="QLL1" s="69" t="s">
        <v>11987</v>
      </c>
      <c r="QLM1" s="69" t="s">
        <v>11988</v>
      </c>
      <c r="QLN1" s="69" t="s">
        <v>11989</v>
      </c>
      <c r="QLO1" s="69" t="s">
        <v>11990</v>
      </c>
      <c r="QLP1" s="69" t="s">
        <v>11991</v>
      </c>
      <c r="QLQ1" s="69" t="s">
        <v>11992</v>
      </c>
      <c r="QLR1" s="69" t="s">
        <v>11993</v>
      </c>
      <c r="QLS1" s="69" t="s">
        <v>11994</v>
      </c>
      <c r="QLT1" s="69" t="s">
        <v>11995</v>
      </c>
      <c r="QLU1" s="69" t="s">
        <v>11996</v>
      </c>
      <c r="QLV1" s="69" t="s">
        <v>11997</v>
      </c>
      <c r="QLW1" s="69" t="s">
        <v>11998</v>
      </c>
      <c r="QLX1" s="69" t="s">
        <v>11999</v>
      </c>
      <c r="QLY1" s="69" t="s">
        <v>12000</v>
      </c>
      <c r="QLZ1" s="69" t="s">
        <v>12001</v>
      </c>
      <c r="QMA1" s="69" t="s">
        <v>12002</v>
      </c>
      <c r="QMB1" s="69" t="s">
        <v>12003</v>
      </c>
      <c r="QMC1" s="69" t="s">
        <v>12004</v>
      </c>
      <c r="QMD1" s="69" t="s">
        <v>12005</v>
      </c>
      <c r="QME1" s="69" t="s">
        <v>12006</v>
      </c>
      <c r="QMF1" s="69" t="s">
        <v>12007</v>
      </c>
      <c r="QMG1" s="69" t="s">
        <v>12008</v>
      </c>
      <c r="QMH1" s="69" t="s">
        <v>12009</v>
      </c>
      <c r="QMI1" s="69" t="s">
        <v>12010</v>
      </c>
      <c r="QMJ1" s="69" t="s">
        <v>12011</v>
      </c>
      <c r="QMK1" s="69" t="s">
        <v>12012</v>
      </c>
      <c r="QML1" s="69" t="s">
        <v>12013</v>
      </c>
      <c r="QMM1" s="69" t="s">
        <v>12014</v>
      </c>
      <c r="QMN1" s="69" t="s">
        <v>12015</v>
      </c>
      <c r="QMO1" s="69" t="s">
        <v>12016</v>
      </c>
      <c r="QMP1" s="69" t="s">
        <v>12017</v>
      </c>
      <c r="QMQ1" s="69" t="s">
        <v>12018</v>
      </c>
      <c r="QMR1" s="69" t="s">
        <v>12019</v>
      </c>
      <c r="QMS1" s="69" t="s">
        <v>12020</v>
      </c>
      <c r="QMT1" s="69" t="s">
        <v>12021</v>
      </c>
      <c r="QMU1" s="69" t="s">
        <v>12022</v>
      </c>
      <c r="QMV1" s="69" t="s">
        <v>12023</v>
      </c>
      <c r="QMW1" s="69" t="s">
        <v>12024</v>
      </c>
      <c r="QMX1" s="69" t="s">
        <v>12025</v>
      </c>
      <c r="QMY1" s="69" t="s">
        <v>12026</v>
      </c>
      <c r="QMZ1" s="69" t="s">
        <v>12027</v>
      </c>
      <c r="QNA1" s="69" t="s">
        <v>12028</v>
      </c>
      <c r="QNB1" s="69" t="s">
        <v>12029</v>
      </c>
      <c r="QNC1" s="69" t="s">
        <v>12030</v>
      </c>
      <c r="QND1" s="69" t="s">
        <v>12031</v>
      </c>
      <c r="QNE1" s="69" t="s">
        <v>12032</v>
      </c>
      <c r="QNF1" s="69" t="s">
        <v>12033</v>
      </c>
      <c r="QNG1" s="69" t="s">
        <v>12034</v>
      </c>
      <c r="QNH1" s="69" t="s">
        <v>12035</v>
      </c>
      <c r="QNI1" s="69" t="s">
        <v>12036</v>
      </c>
      <c r="QNJ1" s="69" t="s">
        <v>12037</v>
      </c>
      <c r="QNK1" s="69" t="s">
        <v>12038</v>
      </c>
      <c r="QNL1" s="69" t="s">
        <v>12039</v>
      </c>
      <c r="QNM1" s="69" t="s">
        <v>12040</v>
      </c>
      <c r="QNN1" s="69" t="s">
        <v>12041</v>
      </c>
      <c r="QNO1" s="69" t="s">
        <v>12042</v>
      </c>
      <c r="QNP1" s="69" t="s">
        <v>12043</v>
      </c>
      <c r="QNQ1" s="69" t="s">
        <v>12044</v>
      </c>
      <c r="QNR1" s="69" t="s">
        <v>12045</v>
      </c>
      <c r="QNS1" s="69" t="s">
        <v>12046</v>
      </c>
      <c r="QNT1" s="69" t="s">
        <v>12047</v>
      </c>
      <c r="QNU1" s="69" t="s">
        <v>12048</v>
      </c>
      <c r="QNV1" s="69" t="s">
        <v>12049</v>
      </c>
      <c r="QNW1" s="69" t="s">
        <v>12050</v>
      </c>
      <c r="QNX1" s="69" t="s">
        <v>12051</v>
      </c>
      <c r="QNY1" s="69" t="s">
        <v>12052</v>
      </c>
      <c r="QNZ1" s="69" t="s">
        <v>12053</v>
      </c>
      <c r="QOA1" s="69" t="s">
        <v>12054</v>
      </c>
      <c r="QOB1" s="69" t="s">
        <v>12055</v>
      </c>
      <c r="QOC1" s="69" t="s">
        <v>12056</v>
      </c>
      <c r="QOD1" s="69" t="s">
        <v>12057</v>
      </c>
      <c r="QOE1" s="69" t="s">
        <v>12058</v>
      </c>
      <c r="QOF1" s="69" t="s">
        <v>12059</v>
      </c>
      <c r="QOG1" s="69" t="s">
        <v>12060</v>
      </c>
      <c r="QOH1" s="69" t="s">
        <v>12061</v>
      </c>
      <c r="QOI1" s="69" t="s">
        <v>12062</v>
      </c>
      <c r="QOJ1" s="69" t="s">
        <v>12063</v>
      </c>
      <c r="QOK1" s="69" t="s">
        <v>12064</v>
      </c>
      <c r="QOL1" s="69" t="s">
        <v>12065</v>
      </c>
      <c r="QOM1" s="69" t="s">
        <v>12066</v>
      </c>
      <c r="QON1" s="69" t="s">
        <v>12067</v>
      </c>
      <c r="QOO1" s="69" t="s">
        <v>12068</v>
      </c>
      <c r="QOP1" s="69" t="s">
        <v>12069</v>
      </c>
      <c r="QOQ1" s="69" t="s">
        <v>12070</v>
      </c>
      <c r="QOR1" s="69" t="s">
        <v>12071</v>
      </c>
      <c r="QOS1" s="69" t="s">
        <v>12072</v>
      </c>
      <c r="QOT1" s="69" t="s">
        <v>12073</v>
      </c>
      <c r="QOU1" s="69" t="s">
        <v>12074</v>
      </c>
      <c r="QOV1" s="69" t="s">
        <v>12075</v>
      </c>
      <c r="QOW1" s="69" t="s">
        <v>12076</v>
      </c>
      <c r="QOX1" s="69" t="s">
        <v>12077</v>
      </c>
      <c r="QOY1" s="69" t="s">
        <v>12078</v>
      </c>
      <c r="QOZ1" s="69" t="s">
        <v>12079</v>
      </c>
      <c r="QPA1" s="69" t="s">
        <v>12080</v>
      </c>
      <c r="QPB1" s="69" t="s">
        <v>12081</v>
      </c>
      <c r="QPC1" s="69" t="s">
        <v>12082</v>
      </c>
      <c r="QPD1" s="69" t="s">
        <v>12083</v>
      </c>
      <c r="QPE1" s="69" t="s">
        <v>12084</v>
      </c>
      <c r="QPF1" s="69" t="s">
        <v>12085</v>
      </c>
      <c r="QPG1" s="69" t="s">
        <v>12086</v>
      </c>
      <c r="QPH1" s="69" t="s">
        <v>12087</v>
      </c>
      <c r="QPI1" s="69" t="s">
        <v>12088</v>
      </c>
      <c r="QPJ1" s="69" t="s">
        <v>12089</v>
      </c>
      <c r="QPK1" s="69" t="s">
        <v>12090</v>
      </c>
      <c r="QPL1" s="69" t="s">
        <v>12091</v>
      </c>
      <c r="QPM1" s="69" t="s">
        <v>12092</v>
      </c>
      <c r="QPN1" s="69" t="s">
        <v>12093</v>
      </c>
      <c r="QPO1" s="69" t="s">
        <v>12094</v>
      </c>
      <c r="QPP1" s="69" t="s">
        <v>12095</v>
      </c>
      <c r="QPQ1" s="69" t="s">
        <v>12096</v>
      </c>
      <c r="QPR1" s="69" t="s">
        <v>12097</v>
      </c>
      <c r="QPS1" s="69" t="s">
        <v>12098</v>
      </c>
      <c r="QPT1" s="69" t="s">
        <v>12099</v>
      </c>
      <c r="QPU1" s="69" t="s">
        <v>12100</v>
      </c>
      <c r="QPV1" s="69" t="s">
        <v>12101</v>
      </c>
      <c r="QPW1" s="69" t="s">
        <v>12102</v>
      </c>
      <c r="QPX1" s="69" t="s">
        <v>12103</v>
      </c>
      <c r="QPY1" s="69" t="s">
        <v>12104</v>
      </c>
      <c r="QPZ1" s="69" t="s">
        <v>12105</v>
      </c>
      <c r="QQA1" s="69" t="s">
        <v>12106</v>
      </c>
      <c r="QQB1" s="69" t="s">
        <v>12107</v>
      </c>
      <c r="QQC1" s="69" t="s">
        <v>12108</v>
      </c>
      <c r="QQD1" s="69" t="s">
        <v>12109</v>
      </c>
      <c r="QQE1" s="69" t="s">
        <v>12110</v>
      </c>
      <c r="QQF1" s="69" t="s">
        <v>12111</v>
      </c>
      <c r="QQG1" s="69" t="s">
        <v>12112</v>
      </c>
      <c r="QQH1" s="69" t="s">
        <v>12113</v>
      </c>
      <c r="QQI1" s="69" t="s">
        <v>12114</v>
      </c>
      <c r="QQJ1" s="69" t="s">
        <v>12115</v>
      </c>
      <c r="QQK1" s="69" t="s">
        <v>12116</v>
      </c>
      <c r="QQL1" s="69" t="s">
        <v>12117</v>
      </c>
      <c r="QQM1" s="69" t="s">
        <v>12118</v>
      </c>
      <c r="QQN1" s="69" t="s">
        <v>12119</v>
      </c>
      <c r="QQO1" s="69" t="s">
        <v>12120</v>
      </c>
      <c r="QQP1" s="69" t="s">
        <v>12121</v>
      </c>
      <c r="QQQ1" s="69" t="s">
        <v>12122</v>
      </c>
      <c r="QQR1" s="69" t="s">
        <v>12123</v>
      </c>
      <c r="QQS1" s="69" t="s">
        <v>12124</v>
      </c>
      <c r="QQT1" s="69" t="s">
        <v>12125</v>
      </c>
      <c r="QQU1" s="69" t="s">
        <v>12126</v>
      </c>
      <c r="QQV1" s="69" t="s">
        <v>12127</v>
      </c>
      <c r="QQW1" s="69" t="s">
        <v>12128</v>
      </c>
      <c r="QQX1" s="69" t="s">
        <v>12129</v>
      </c>
      <c r="QQY1" s="69" t="s">
        <v>12130</v>
      </c>
      <c r="QQZ1" s="69" t="s">
        <v>12131</v>
      </c>
      <c r="QRA1" s="69" t="s">
        <v>12132</v>
      </c>
      <c r="QRB1" s="69" t="s">
        <v>12133</v>
      </c>
      <c r="QRC1" s="69" t="s">
        <v>12134</v>
      </c>
      <c r="QRD1" s="69" t="s">
        <v>12135</v>
      </c>
      <c r="QRE1" s="69" t="s">
        <v>12136</v>
      </c>
      <c r="QRF1" s="69" t="s">
        <v>12137</v>
      </c>
      <c r="QRG1" s="69" t="s">
        <v>12138</v>
      </c>
      <c r="QRH1" s="69" t="s">
        <v>12139</v>
      </c>
      <c r="QRI1" s="69" t="s">
        <v>12140</v>
      </c>
      <c r="QRJ1" s="69" t="s">
        <v>12141</v>
      </c>
      <c r="QRK1" s="69" t="s">
        <v>12142</v>
      </c>
      <c r="QRL1" s="69" t="s">
        <v>12143</v>
      </c>
      <c r="QRM1" s="69" t="s">
        <v>12144</v>
      </c>
      <c r="QRN1" s="69" t="s">
        <v>12145</v>
      </c>
      <c r="QRO1" s="69" t="s">
        <v>12146</v>
      </c>
      <c r="QRP1" s="69" t="s">
        <v>12147</v>
      </c>
      <c r="QRQ1" s="69" t="s">
        <v>12148</v>
      </c>
      <c r="QRR1" s="69" t="s">
        <v>12149</v>
      </c>
      <c r="QRS1" s="69" t="s">
        <v>12150</v>
      </c>
      <c r="QRT1" s="69" t="s">
        <v>12151</v>
      </c>
      <c r="QRU1" s="69" t="s">
        <v>12152</v>
      </c>
      <c r="QRV1" s="69" t="s">
        <v>12153</v>
      </c>
      <c r="QRW1" s="69" t="s">
        <v>12154</v>
      </c>
      <c r="QRX1" s="69" t="s">
        <v>12155</v>
      </c>
      <c r="QRY1" s="69" t="s">
        <v>12156</v>
      </c>
      <c r="QRZ1" s="69" t="s">
        <v>12157</v>
      </c>
      <c r="QSA1" s="69" t="s">
        <v>12158</v>
      </c>
      <c r="QSB1" s="69" t="s">
        <v>12159</v>
      </c>
      <c r="QSC1" s="69" t="s">
        <v>12160</v>
      </c>
      <c r="QSD1" s="69" t="s">
        <v>12161</v>
      </c>
      <c r="QSE1" s="69" t="s">
        <v>12162</v>
      </c>
      <c r="QSF1" s="69" t="s">
        <v>12163</v>
      </c>
      <c r="QSG1" s="69" t="s">
        <v>12164</v>
      </c>
      <c r="QSH1" s="69" t="s">
        <v>12165</v>
      </c>
      <c r="QSI1" s="69" t="s">
        <v>12166</v>
      </c>
      <c r="QSJ1" s="69" t="s">
        <v>12167</v>
      </c>
      <c r="QSK1" s="69" t="s">
        <v>12168</v>
      </c>
      <c r="QSL1" s="69" t="s">
        <v>12169</v>
      </c>
      <c r="QSM1" s="69" t="s">
        <v>12170</v>
      </c>
      <c r="QSN1" s="69" t="s">
        <v>12171</v>
      </c>
      <c r="QSO1" s="69" t="s">
        <v>12172</v>
      </c>
      <c r="QSP1" s="69" t="s">
        <v>12173</v>
      </c>
      <c r="QSQ1" s="69" t="s">
        <v>12174</v>
      </c>
      <c r="QSR1" s="69" t="s">
        <v>12175</v>
      </c>
      <c r="QSS1" s="69" t="s">
        <v>12176</v>
      </c>
      <c r="QST1" s="69" t="s">
        <v>12177</v>
      </c>
      <c r="QSU1" s="69" t="s">
        <v>12178</v>
      </c>
      <c r="QSV1" s="69" t="s">
        <v>12179</v>
      </c>
      <c r="QSW1" s="69" t="s">
        <v>12180</v>
      </c>
      <c r="QSX1" s="69" t="s">
        <v>12181</v>
      </c>
      <c r="QSY1" s="69" t="s">
        <v>12182</v>
      </c>
      <c r="QSZ1" s="69" t="s">
        <v>12183</v>
      </c>
      <c r="QTA1" s="69" t="s">
        <v>12184</v>
      </c>
      <c r="QTB1" s="69" t="s">
        <v>12185</v>
      </c>
      <c r="QTC1" s="69" t="s">
        <v>12186</v>
      </c>
      <c r="QTD1" s="69" t="s">
        <v>12187</v>
      </c>
      <c r="QTE1" s="69" t="s">
        <v>12188</v>
      </c>
      <c r="QTF1" s="69" t="s">
        <v>12189</v>
      </c>
      <c r="QTG1" s="69" t="s">
        <v>12190</v>
      </c>
      <c r="QTH1" s="69" t="s">
        <v>12191</v>
      </c>
      <c r="QTI1" s="69" t="s">
        <v>12192</v>
      </c>
      <c r="QTJ1" s="69" t="s">
        <v>12193</v>
      </c>
      <c r="QTK1" s="69" t="s">
        <v>12194</v>
      </c>
      <c r="QTL1" s="69" t="s">
        <v>12195</v>
      </c>
      <c r="QTM1" s="69" t="s">
        <v>12196</v>
      </c>
      <c r="QTN1" s="69" t="s">
        <v>12197</v>
      </c>
      <c r="QTO1" s="69" t="s">
        <v>12198</v>
      </c>
      <c r="QTP1" s="69" t="s">
        <v>12199</v>
      </c>
      <c r="QTQ1" s="69" t="s">
        <v>12200</v>
      </c>
      <c r="QTR1" s="69" t="s">
        <v>12201</v>
      </c>
      <c r="QTS1" s="69" t="s">
        <v>12202</v>
      </c>
      <c r="QTT1" s="69" t="s">
        <v>12203</v>
      </c>
      <c r="QTU1" s="69" t="s">
        <v>12204</v>
      </c>
      <c r="QTV1" s="69" t="s">
        <v>12205</v>
      </c>
      <c r="QTW1" s="69" t="s">
        <v>12206</v>
      </c>
      <c r="QTX1" s="69" t="s">
        <v>12207</v>
      </c>
      <c r="QTY1" s="69" t="s">
        <v>12208</v>
      </c>
      <c r="QTZ1" s="69" t="s">
        <v>12209</v>
      </c>
      <c r="QUA1" s="69" t="s">
        <v>12210</v>
      </c>
      <c r="QUB1" s="69" t="s">
        <v>12211</v>
      </c>
      <c r="QUC1" s="69" t="s">
        <v>12212</v>
      </c>
      <c r="QUD1" s="69" t="s">
        <v>12213</v>
      </c>
      <c r="QUE1" s="69" t="s">
        <v>12214</v>
      </c>
      <c r="QUF1" s="69" t="s">
        <v>12215</v>
      </c>
      <c r="QUG1" s="69" t="s">
        <v>12216</v>
      </c>
      <c r="QUH1" s="69" t="s">
        <v>12217</v>
      </c>
      <c r="QUI1" s="69" t="s">
        <v>12218</v>
      </c>
      <c r="QUJ1" s="69" t="s">
        <v>12219</v>
      </c>
      <c r="QUK1" s="69" t="s">
        <v>12220</v>
      </c>
      <c r="QUL1" s="69" t="s">
        <v>12221</v>
      </c>
      <c r="QUM1" s="69" t="s">
        <v>12222</v>
      </c>
      <c r="QUN1" s="69" t="s">
        <v>12223</v>
      </c>
      <c r="QUO1" s="69" t="s">
        <v>12224</v>
      </c>
      <c r="QUP1" s="69" t="s">
        <v>12225</v>
      </c>
      <c r="QUQ1" s="69" t="s">
        <v>12226</v>
      </c>
      <c r="QUR1" s="69" t="s">
        <v>12227</v>
      </c>
      <c r="QUS1" s="69" t="s">
        <v>12228</v>
      </c>
      <c r="QUT1" s="69" t="s">
        <v>12229</v>
      </c>
      <c r="QUU1" s="69" t="s">
        <v>12230</v>
      </c>
      <c r="QUV1" s="69" t="s">
        <v>12231</v>
      </c>
      <c r="QUW1" s="69" t="s">
        <v>12232</v>
      </c>
      <c r="QUX1" s="69" t="s">
        <v>12233</v>
      </c>
      <c r="QUY1" s="69" t="s">
        <v>12234</v>
      </c>
      <c r="QUZ1" s="69" t="s">
        <v>12235</v>
      </c>
      <c r="QVA1" s="69" t="s">
        <v>12236</v>
      </c>
      <c r="QVB1" s="69" t="s">
        <v>12237</v>
      </c>
      <c r="QVC1" s="69" t="s">
        <v>12238</v>
      </c>
      <c r="QVD1" s="69" t="s">
        <v>12239</v>
      </c>
      <c r="QVE1" s="69" t="s">
        <v>12240</v>
      </c>
      <c r="QVF1" s="69" t="s">
        <v>12241</v>
      </c>
      <c r="QVG1" s="69" t="s">
        <v>12242</v>
      </c>
      <c r="QVH1" s="69" t="s">
        <v>12243</v>
      </c>
      <c r="QVI1" s="69" t="s">
        <v>12244</v>
      </c>
      <c r="QVJ1" s="69" t="s">
        <v>12245</v>
      </c>
      <c r="QVK1" s="69" t="s">
        <v>12246</v>
      </c>
      <c r="QVL1" s="69" t="s">
        <v>12247</v>
      </c>
      <c r="QVM1" s="69" t="s">
        <v>12248</v>
      </c>
      <c r="QVN1" s="69" t="s">
        <v>12249</v>
      </c>
      <c r="QVO1" s="69" t="s">
        <v>12250</v>
      </c>
      <c r="QVP1" s="69" t="s">
        <v>12251</v>
      </c>
      <c r="QVQ1" s="69" t="s">
        <v>12252</v>
      </c>
      <c r="QVR1" s="69" t="s">
        <v>12253</v>
      </c>
      <c r="QVS1" s="69" t="s">
        <v>12254</v>
      </c>
      <c r="QVT1" s="69" t="s">
        <v>12255</v>
      </c>
      <c r="QVU1" s="69" t="s">
        <v>12256</v>
      </c>
      <c r="QVV1" s="69" t="s">
        <v>12257</v>
      </c>
      <c r="QVW1" s="69" t="s">
        <v>12258</v>
      </c>
      <c r="QVX1" s="69" t="s">
        <v>12259</v>
      </c>
      <c r="QVY1" s="69" t="s">
        <v>12260</v>
      </c>
      <c r="QVZ1" s="69" t="s">
        <v>12261</v>
      </c>
      <c r="QWA1" s="69" t="s">
        <v>12262</v>
      </c>
      <c r="QWB1" s="69" t="s">
        <v>12263</v>
      </c>
      <c r="QWC1" s="69" t="s">
        <v>12264</v>
      </c>
      <c r="QWD1" s="69" t="s">
        <v>12265</v>
      </c>
      <c r="QWE1" s="69" t="s">
        <v>12266</v>
      </c>
      <c r="QWF1" s="69" t="s">
        <v>12267</v>
      </c>
      <c r="QWG1" s="69" t="s">
        <v>12268</v>
      </c>
      <c r="QWH1" s="69" t="s">
        <v>12269</v>
      </c>
      <c r="QWI1" s="69" t="s">
        <v>12270</v>
      </c>
      <c r="QWJ1" s="69" t="s">
        <v>12271</v>
      </c>
      <c r="QWK1" s="69" t="s">
        <v>12272</v>
      </c>
      <c r="QWL1" s="69" t="s">
        <v>12273</v>
      </c>
      <c r="QWM1" s="69" t="s">
        <v>12274</v>
      </c>
      <c r="QWN1" s="69" t="s">
        <v>12275</v>
      </c>
      <c r="QWO1" s="69" t="s">
        <v>12276</v>
      </c>
      <c r="QWP1" s="69" t="s">
        <v>12277</v>
      </c>
      <c r="QWQ1" s="69" t="s">
        <v>12278</v>
      </c>
      <c r="QWR1" s="69" t="s">
        <v>12279</v>
      </c>
      <c r="QWS1" s="69" t="s">
        <v>12280</v>
      </c>
      <c r="QWT1" s="69" t="s">
        <v>12281</v>
      </c>
      <c r="QWU1" s="69" t="s">
        <v>12282</v>
      </c>
      <c r="QWV1" s="69" t="s">
        <v>12283</v>
      </c>
      <c r="QWW1" s="69" t="s">
        <v>12284</v>
      </c>
      <c r="QWX1" s="69" t="s">
        <v>12285</v>
      </c>
      <c r="QWY1" s="69" t="s">
        <v>12286</v>
      </c>
      <c r="QWZ1" s="69" t="s">
        <v>12287</v>
      </c>
      <c r="QXA1" s="69" t="s">
        <v>12288</v>
      </c>
      <c r="QXB1" s="69" t="s">
        <v>12289</v>
      </c>
      <c r="QXC1" s="69" t="s">
        <v>12290</v>
      </c>
      <c r="QXD1" s="69" t="s">
        <v>12291</v>
      </c>
      <c r="QXE1" s="69" t="s">
        <v>12292</v>
      </c>
      <c r="QXF1" s="69" t="s">
        <v>12293</v>
      </c>
      <c r="QXG1" s="69" t="s">
        <v>12294</v>
      </c>
      <c r="QXH1" s="69" t="s">
        <v>12295</v>
      </c>
      <c r="QXI1" s="69" t="s">
        <v>12296</v>
      </c>
      <c r="QXJ1" s="69" t="s">
        <v>12297</v>
      </c>
      <c r="QXK1" s="69" t="s">
        <v>12298</v>
      </c>
      <c r="QXL1" s="69" t="s">
        <v>12299</v>
      </c>
      <c r="QXM1" s="69" t="s">
        <v>12300</v>
      </c>
      <c r="QXN1" s="69" t="s">
        <v>12301</v>
      </c>
      <c r="QXO1" s="69" t="s">
        <v>12302</v>
      </c>
      <c r="QXP1" s="69" t="s">
        <v>12303</v>
      </c>
      <c r="QXQ1" s="69" t="s">
        <v>12304</v>
      </c>
      <c r="QXR1" s="69" t="s">
        <v>12305</v>
      </c>
      <c r="QXS1" s="69" t="s">
        <v>12306</v>
      </c>
      <c r="QXT1" s="69" t="s">
        <v>12307</v>
      </c>
      <c r="QXU1" s="69" t="s">
        <v>12308</v>
      </c>
      <c r="QXV1" s="69" t="s">
        <v>12309</v>
      </c>
      <c r="QXW1" s="69" t="s">
        <v>12310</v>
      </c>
      <c r="QXX1" s="69" t="s">
        <v>12311</v>
      </c>
      <c r="QXY1" s="69" t="s">
        <v>12312</v>
      </c>
      <c r="QXZ1" s="69" t="s">
        <v>12313</v>
      </c>
      <c r="QYA1" s="69" t="s">
        <v>12314</v>
      </c>
      <c r="QYB1" s="69" t="s">
        <v>12315</v>
      </c>
      <c r="QYC1" s="69" t="s">
        <v>12316</v>
      </c>
      <c r="QYD1" s="69" t="s">
        <v>12317</v>
      </c>
      <c r="QYE1" s="69" t="s">
        <v>12318</v>
      </c>
      <c r="QYF1" s="69" t="s">
        <v>12319</v>
      </c>
      <c r="QYG1" s="69" t="s">
        <v>12320</v>
      </c>
      <c r="QYH1" s="69" t="s">
        <v>12321</v>
      </c>
      <c r="QYI1" s="69" t="s">
        <v>12322</v>
      </c>
      <c r="QYJ1" s="69" t="s">
        <v>12323</v>
      </c>
      <c r="QYK1" s="69" t="s">
        <v>12324</v>
      </c>
      <c r="QYL1" s="69" t="s">
        <v>12325</v>
      </c>
      <c r="QYM1" s="69" t="s">
        <v>12326</v>
      </c>
      <c r="QYN1" s="69" t="s">
        <v>12327</v>
      </c>
      <c r="QYO1" s="69" t="s">
        <v>12328</v>
      </c>
      <c r="QYP1" s="69" t="s">
        <v>12329</v>
      </c>
      <c r="QYQ1" s="69" t="s">
        <v>12330</v>
      </c>
      <c r="QYR1" s="69" t="s">
        <v>12331</v>
      </c>
      <c r="QYS1" s="69" t="s">
        <v>12332</v>
      </c>
      <c r="QYT1" s="69" t="s">
        <v>12333</v>
      </c>
      <c r="QYU1" s="69" t="s">
        <v>12334</v>
      </c>
      <c r="QYV1" s="69" t="s">
        <v>12335</v>
      </c>
      <c r="QYW1" s="69" t="s">
        <v>12336</v>
      </c>
      <c r="QYX1" s="69" t="s">
        <v>12337</v>
      </c>
      <c r="QYY1" s="69" t="s">
        <v>12338</v>
      </c>
      <c r="QYZ1" s="69" t="s">
        <v>12339</v>
      </c>
      <c r="QZA1" s="69" t="s">
        <v>12340</v>
      </c>
      <c r="QZB1" s="69" t="s">
        <v>12341</v>
      </c>
      <c r="QZC1" s="69" t="s">
        <v>12342</v>
      </c>
      <c r="QZD1" s="69" t="s">
        <v>12343</v>
      </c>
      <c r="QZE1" s="69" t="s">
        <v>12344</v>
      </c>
      <c r="QZF1" s="69" t="s">
        <v>12345</v>
      </c>
      <c r="QZG1" s="69" t="s">
        <v>12346</v>
      </c>
      <c r="QZH1" s="69" t="s">
        <v>12347</v>
      </c>
      <c r="QZI1" s="69" t="s">
        <v>12348</v>
      </c>
      <c r="QZJ1" s="69" t="s">
        <v>12349</v>
      </c>
      <c r="QZK1" s="69" t="s">
        <v>12350</v>
      </c>
      <c r="QZL1" s="69" t="s">
        <v>12351</v>
      </c>
      <c r="QZM1" s="69" t="s">
        <v>12352</v>
      </c>
      <c r="QZN1" s="69" t="s">
        <v>12353</v>
      </c>
      <c r="QZO1" s="69" t="s">
        <v>12354</v>
      </c>
      <c r="QZP1" s="69" t="s">
        <v>12355</v>
      </c>
      <c r="QZQ1" s="69" t="s">
        <v>12356</v>
      </c>
      <c r="QZR1" s="69" t="s">
        <v>12357</v>
      </c>
      <c r="QZS1" s="69" t="s">
        <v>12358</v>
      </c>
      <c r="QZT1" s="69" t="s">
        <v>12359</v>
      </c>
      <c r="QZU1" s="69" t="s">
        <v>12360</v>
      </c>
      <c r="QZV1" s="69" t="s">
        <v>12361</v>
      </c>
      <c r="QZW1" s="69" t="s">
        <v>12362</v>
      </c>
      <c r="QZX1" s="69" t="s">
        <v>12363</v>
      </c>
      <c r="QZY1" s="69" t="s">
        <v>12364</v>
      </c>
      <c r="QZZ1" s="69" t="s">
        <v>12365</v>
      </c>
      <c r="RAA1" s="69" t="s">
        <v>12366</v>
      </c>
      <c r="RAB1" s="69" t="s">
        <v>12367</v>
      </c>
      <c r="RAC1" s="69" t="s">
        <v>12368</v>
      </c>
      <c r="RAD1" s="69" t="s">
        <v>12369</v>
      </c>
      <c r="RAE1" s="69" t="s">
        <v>12370</v>
      </c>
      <c r="RAF1" s="69" t="s">
        <v>12371</v>
      </c>
      <c r="RAG1" s="69" t="s">
        <v>12372</v>
      </c>
      <c r="RAH1" s="69" t="s">
        <v>12373</v>
      </c>
      <c r="RAI1" s="69" t="s">
        <v>12374</v>
      </c>
      <c r="RAJ1" s="69" t="s">
        <v>12375</v>
      </c>
      <c r="RAK1" s="69" t="s">
        <v>12376</v>
      </c>
      <c r="RAL1" s="69" t="s">
        <v>12377</v>
      </c>
      <c r="RAM1" s="69" t="s">
        <v>12378</v>
      </c>
      <c r="RAN1" s="69" t="s">
        <v>12379</v>
      </c>
      <c r="RAO1" s="69" t="s">
        <v>12380</v>
      </c>
      <c r="RAP1" s="69" t="s">
        <v>12381</v>
      </c>
      <c r="RAQ1" s="69" t="s">
        <v>12382</v>
      </c>
      <c r="RAR1" s="69" t="s">
        <v>12383</v>
      </c>
      <c r="RAS1" s="69" t="s">
        <v>12384</v>
      </c>
      <c r="RAT1" s="69" t="s">
        <v>12385</v>
      </c>
      <c r="RAU1" s="69" t="s">
        <v>12386</v>
      </c>
      <c r="RAV1" s="69" t="s">
        <v>12387</v>
      </c>
      <c r="RAW1" s="69" t="s">
        <v>12388</v>
      </c>
      <c r="RAX1" s="69" t="s">
        <v>12389</v>
      </c>
      <c r="RAY1" s="69" t="s">
        <v>12390</v>
      </c>
      <c r="RAZ1" s="69" t="s">
        <v>12391</v>
      </c>
      <c r="RBA1" s="69" t="s">
        <v>12392</v>
      </c>
      <c r="RBB1" s="69" t="s">
        <v>12393</v>
      </c>
      <c r="RBC1" s="69" t="s">
        <v>12394</v>
      </c>
      <c r="RBD1" s="69" t="s">
        <v>12395</v>
      </c>
      <c r="RBE1" s="69" t="s">
        <v>12396</v>
      </c>
      <c r="RBF1" s="69" t="s">
        <v>12397</v>
      </c>
      <c r="RBG1" s="69" t="s">
        <v>12398</v>
      </c>
      <c r="RBH1" s="69" t="s">
        <v>12399</v>
      </c>
      <c r="RBI1" s="69" t="s">
        <v>12400</v>
      </c>
      <c r="RBJ1" s="69" t="s">
        <v>12401</v>
      </c>
      <c r="RBK1" s="69" t="s">
        <v>12402</v>
      </c>
      <c r="RBL1" s="69" t="s">
        <v>12403</v>
      </c>
      <c r="RBM1" s="69" t="s">
        <v>12404</v>
      </c>
      <c r="RBN1" s="69" t="s">
        <v>12405</v>
      </c>
      <c r="RBO1" s="69" t="s">
        <v>12406</v>
      </c>
      <c r="RBP1" s="69" t="s">
        <v>12407</v>
      </c>
      <c r="RBQ1" s="69" t="s">
        <v>12408</v>
      </c>
      <c r="RBR1" s="69" t="s">
        <v>12409</v>
      </c>
      <c r="RBS1" s="69" t="s">
        <v>12410</v>
      </c>
      <c r="RBT1" s="69" t="s">
        <v>12411</v>
      </c>
      <c r="RBU1" s="69" t="s">
        <v>12412</v>
      </c>
      <c r="RBV1" s="69" t="s">
        <v>12413</v>
      </c>
      <c r="RBW1" s="69" t="s">
        <v>12414</v>
      </c>
      <c r="RBX1" s="69" t="s">
        <v>12415</v>
      </c>
      <c r="RBY1" s="69" t="s">
        <v>12416</v>
      </c>
      <c r="RBZ1" s="69" t="s">
        <v>12417</v>
      </c>
      <c r="RCA1" s="69" t="s">
        <v>12418</v>
      </c>
      <c r="RCB1" s="69" t="s">
        <v>12419</v>
      </c>
      <c r="RCC1" s="69" t="s">
        <v>12420</v>
      </c>
      <c r="RCD1" s="69" t="s">
        <v>12421</v>
      </c>
      <c r="RCE1" s="69" t="s">
        <v>12422</v>
      </c>
      <c r="RCF1" s="69" t="s">
        <v>12423</v>
      </c>
      <c r="RCG1" s="69" t="s">
        <v>12424</v>
      </c>
      <c r="RCH1" s="69" t="s">
        <v>12425</v>
      </c>
      <c r="RCI1" s="69" t="s">
        <v>12426</v>
      </c>
      <c r="RCJ1" s="69" t="s">
        <v>12427</v>
      </c>
      <c r="RCK1" s="69" t="s">
        <v>12428</v>
      </c>
      <c r="RCL1" s="69" t="s">
        <v>12429</v>
      </c>
      <c r="RCM1" s="69" t="s">
        <v>12430</v>
      </c>
      <c r="RCN1" s="69" t="s">
        <v>12431</v>
      </c>
      <c r="RCO1" s="69" t="s">
        <v>12432</v>
      </c>
      <c r="RCP1" s="69" t="s">
        <v>12433</v>
      </c>
      <c r="RCQ1" s="69" t="s">
        <v>12434</v>
      </c>
      <c r="RCR1" s="69" t="s">
        <v>12435</v>
      </c>
      <c r="RCS1" s="69" t="s">
        <v>12436</v>
      </c>
      <c r="RCT1" s="69" t="s">
        <v>12437</v>
      </c>
      <c r="RCU1" s="69" t="s">
        <v>12438</v>
      </c>
      <c r="RCV1" s="69" t="s">
        <v>12439</v>
      </c>
      <c r="RCW1" s="69" t="s">
        <v>12440</v>
      </c>
      <c r="RCX1" s="69" t="s">
        <v>12441</v>
      </c>
      <c r="RCY1" s="69" t="s">
        <v>12442</v>
      </c>
      <c r="RCZ1" s="69" t="s">
        <v>12443</v>
      </c>
      <c r="RDA1" s="69" t="s">
        <v>12444</v>
      </c>
      <c r="RDB1" s="69" t="s">
        <v>12445</v>
      </c>
      <c r="RDC1" s="69" t="s">
        <v>12446</v>
      </c>
      <c r="RDD1" s="69" t="s">
        <v>12447</v>
      </c>
      <c r="RDE1" s="69" t="s">
        <v>12448</v>
      </c>
      <c r="RDF1" s="69" t="s">
        <v>12449</v>
      </c>
      <c r="RDG1" s="69" t="s">
        <v>12450</v>
      </c>
      <c r="RDH1" s="69" t="s">
        <v>12451</v>
      </c>
      <c r="RDI1" s="69" t="s">
        <v>12452</v>
      </c>
      <c r="RDJ1" s="69" t="s">
        <v>12453</v>
      </c>
      <c r="RDK1" s="69" t="s">
        <v>12454</v>
      </c>
      <c r="RDL1" s="69" t="s">
        <v>12455</v>
      </c>
      <c r="RDM1" s="69" t="s">
        <v>12456</v>
      </c>
      <c r="RDN1" s="69" t="s">
        <v>12457</v>
      </c>
      <c r="RDO1" s="69" t="s">
        <v>12458</v>
      </c>
      <c r="RDP1" s="69" t="s">
        <v>12459</v>
      </c>
      <c r="RDQ1" s="69" t="s">
        <v>12460</v>
      </c>
      <c r="RDR1" s="69" t="s">
        <v>12461</v>
      </c>
      <c r="RDS1" s="69" t="s">
        <v>12462</v>
      </c>
      <c r="RDT1" s="69" t="s">
        <v>12463</v>
      </c>
      <c r="RDU1" s="69" t="s">
        <v>12464</v>
      </c>
      <c r="RDV1" s="69" t="s">
        <v>12465</v>
      </c>
      <c r="RDW1" s="69" t="s">
        <v>12466</v>
      </c>
      <c r="RDX1" s="69" t="s">
        <v>12467</v>
      </c>
      <c r="RDY1" s="69" t="s">
        <v>12468</v>
      </c>
      <c r="RDZ1" s="69" t="s">
        <v>12469</v>
      </c>
      <c r="REA1" s="69" t="s">
        <v>12470</v>
      </c>
      <c r="REB1" s="69" t="s">
        <v>12471</v>
      </c>
      <c r="REC1" s="69" t="s">
        <v>12472</v>
      </c>
      <c r="RED1" s="69" t="s">
        <v>12473</v>
      </c>
      <c r="REE1" s="69" t="s">
        <v>12474</v>
      </c>
      <c r="REF1" s="69" t="s">
        <v>12475</v>
      </c>
      <c r="REG1" s="69" t="s">
        <v>12476</v>
      </c>
      <c r="REH1" s="69" t="s">
        <v>12477</v>
      </c>
      <c r="REI1" s="69" t="s">
        <v>12478</v>
      </c>
      <c r="REJ1" s="69" t="s">
        <v>12479</v>
      </c>
      <c r="REK1" s="69" t="s">
        <v>12480</v>
      </c>
      <c r="REL1" s="69" t="s">
        <v>12481</v>
      </c>
      <c r="REM1" s="69" t="s">
        <v>12482</v>
      </c>
      <c r="REN1" s="69" t="s">
        <v>12483</v>
      </c>
      <c r="REO1" s="69" t="s">
        <v>12484</v>
      </c>
      <c r="REP1" s="69" t="s">
        <v>12485</v>
      </c>
      <c r="REQ1" s="69" t="s">
        <v>12486</v>
      </c>
      <c r="RER1" s="69" t="s">
        <v>12487</v>
      </c>
      <c r="RES1" s="69" t="s">
        <v>12488</v>
      </c>
      <c r="RET1" s="69" t="s">
        <v>12489</v>
      </c>
      <c r="REU1" s="69" t="s">
        <v>12490</v>
      </c>
      <c r="REV1" s="69" t="s">
        <v>12491</v>
      </c>
      <c r="REW1" s="69" t="s">
        <v>12492</v>
      </c>
      <c r="REX1" s="69" t="s">
        <v>12493</v>
      </c>
      <c r="REY1" s="69" t="s">
        <v>12494</v>
      </c>
      <c r="REZ1" s="69" t="s">
        <v>12495</v>
      </c>
      <c r="RFA1" s="69" t="s">
        <v>12496</v>
      </c>
      <c r="RFB1" s="69" t="s">
        <v>12497</v>
      </c>
      <c r="RFC1" s="69" t="s">
        <v>12498</v>
      </c>
      <c r="RFD1" s="69" t="s">
        <v>12499</v>
      </c>
      <c r="RFE1" s="69" t="s">
        <v>12500</v>
      </c>
      <c r="RFF1" s="69" t="s">
        <v>12501</v>
      </c>
      <c r="RFG1" s="69" t="s">
        <v>12502</v>
      </c>
      <c r="RFH1" s="69" t="s">
        <v>12503</v>
      </c>
      <c r="RFI1" s="69" t="s">
        <v>12504</v>
      </c>
      <c r="RFJ1" s="69" t="s">
        <v>12505</v>
      </c>
      <c r="RFK1" s="69" t="s">
        <v>12506</v>
      </c>
      <c r="RFL1" s="69" t="s">
        <v>12507</v>
      </c>
      <c r="RFM1" s="69" t="s">
        <v>12508</v>
      </c>
      <c r="RFN1" s="69" t="s">
        <v>12509</v>
      </c>
      <c r="RFO1" s="69" t="s">
        <v>12510</v>
      </c>
      <c r="RFP1" s="69" t="s">
        <v>12511</v>
      </c>
      <c r="RFQ1" s="69" t="s">
        <v>12512</v>
      </c>
      <c r="RFR1" s="69" t="s">
        <v>12513</v>
      </c>
      <c r="RFS1" s="69" t="s">
        <v>12514</v>
      </c>
      <c r="RFT1" s="69" t="s">
        <v>12515</v>
      </c>
      <c r="RFU1" s="69" t="s">
        <v>12516</v>
      </c>
      <c r="RFV1" s="69" t="s">
        <v>12517</v>
      </c>
      <c r="RFW1" s="69" t="s">
        <v>12518</v>
      </c>
      <c r="RFX1" s="69" t="s">
        <v>12519</v>
      </c>
      <c r="RFY1" s="69" t="s">
        <v>12520</v>
      </c>
      <c r="RFZ1" s="69" t="s">
        <v>12521</v>
      </c>
      <c r="RGA1" s="69" t="s">
        <v>12522</v>
      </c>
      <c r="RGB1" s="69" t="s">
        <v>12523</v>
      </c>
      <c r="RGC1" s="69" t="s">
        <v>12524</v>
      </c>
      <c r="RGD1" s="69" t="s">
        <v>12525</v>
      </c>
      <c r="RGE1" s="69" t="s">
        <v>12526</v>
      </c>
      <c r="RGF1" s="69" t="s">
        <v>12527</v>
      </c>
      <c r="RGG1" s="69" t="s">
        <v>12528</v>
      </c>
      <c r="RGH1" s="69" t="s">
        <v>12529</v>
      </c>
      <c r="RGI1" s="69" t="s">
        <v>12530</v>
      </c>
      <c r="RGJ1" s="69" t="s">
        <v>12531</v>
      </c>
      <c r="RGK1" s="69" t="s">
        <v>12532</v>
      </c>
      <c r="RGL1" s="69" t="s">
        <v>12533</v>
      </c>
      <c r="RGM1" s="69" t="s">
        <v>12534</v>
      </c>
      <c r="RGN1" s="69" t="s">
        <v>12535</v>
      </c>
      <c r="RGO1" s="69" t="s">
        <v>12536</v>
      </c>
      <c r="RGP1" s="69" t="s">
        <v>12537</v>
      </c>
      <c r="RGQ1" s="69" t="s">
        <v>12538</v>
      </c>
      <c r="RGR1" s="69" t="s">
        <v>12539</v>
      </c>
      <c r="RGS1" s="69" t="s">
        <v>12540</v>
      </c>
      <c r="RGT1" s="69" t="s">
        <v>12541</v>
      </c>
      <c r="RGU1" s="69" t="s">
        <v>12542</v>
      </c>
      <c r="RGV1" s="69" t="s">
        <v>12543</v>
      </c>
      <c r="RGW1" s="69" t="s">
        <v>12544</v>
      </c>
      <c r="RGX1" s="69" t="s">
        <v>12545</v>
      </c>
      <c r="RGY1" s="69" t="s">
        <v>12546</v>
      </c>
      <c r="RGZ1" s="69" t="s">
        <v>12547</v>
      </c>
      <c r="RHA1" s="69" t="s">
        <v>12548</v>
      </c>
      <c r="RHB1" s="69" t="s">
        <v>12549</v>
      </c>
      <c r="RHC1" s="69" t="s">
        <v>12550</v>
      </c>
      <c r="RHD1" s="69" t="s">
        <v>12551</v>
      </c>
      <c r="RHE1" s="69" t="s">
        <v>12552</v>
      </c>
      <c r="RHF1" s="69" t="s">
        <v>12553</v>
      </c>
      <c r="RHG1" s="69" t="s">
        <v>12554</v>
      </c>
      <c r="RHH1" s="69" t="s">
        <v>12555</v>
      </c>
      <c r="RHI1" s="69" t="s">
        <v>12556</v>
      </c>
      <c r="RHJ1" s="69" t="s">
        <v>12557</v>
      </c>
      <c r="RHK1" s="69" t="s">
        <v>12558</v>
      </c>
      <c r="RHL1" s="69" t="s">
        <v>12559</v>
      </c>
      <c r="RHM1" s="69" t="s">
        <v>12560</v>
      </c>
      <c r="RHN1" s="69" t="s">
        <v>12561</v>
      </c>
      <c r="RHO1" s="69" t="s">
        <v>12562</v>
      </c>
      <c r="RHP1" s="69" t="s">
        <v>12563</v>
      </c>
      <c r="RHQ1" s="69" t="s">
        <v>12564</v>
      </c>
      <c r="RHR1" s="69" t="s">
        <v>12565</v>
      </c>
      <c r="RHS1" s="69" t="s">
        <v>12566</v>
      </c>
      <c r="RHT1" s="69" t="s">
        <v>12567</v>
      </c>
      <c r="RHU1" s="69" t="s">
        <v>12568</v>
      </c>
      <c r="RHV1" s="69" t="s">
        <v>12569</v>
      </c>
      <c r="RHW1" s="69" t="s">
        <v>12570</v>
      </c>
      <c r="RHX1" s="69" t="s">
        <v>12571</v>
      </c>
      <c r="RHY1" s="69" t="s">
        <v>12572</v>
      </c>
      <c r="RHZ1" s="69" t="s">
        <v>12573</v>
      </c>
      <c r="RIA1" s="69" t="s">
        <v>12574</v>
      </c>
      <c r="RIB1" s="69" t="s">
        <v>12575</v>
      </c>
      <c r="RIC1" s="69" t="s">
        <v>12576</v>
      </c>
      <c r="RID1" s="69" t="s">
        <v>12577</v>
      </c>
      <c r="RIE1" s="69" t="s">
        <v>12578</v>
      </c>
      <c r="RIF1" s="69" t="s">
        <v>12579</v>
      </c>
      <c r="RIG1" s="69" t="s">
        <v>12580</v>
      </c>
      <c r="RIH1" s="69" t="s">
        <v>12581</v>
      </c>
      <c r="RII1" s="69" t="s">
        <v>12582</v>
      </c>
      <c r="RIJ1" s="69" t="s">
        <v>12583</v>
      </c>
      <c r="RIK1" s="69" t="s">
        <v>12584</v>
      </c>
      <c r="RIL1" s="69" t="s">
        <v>12585</v>
      </c>
      <c r="RIM1" s="69" t="s">
        <v>12586</v>
      </c>
      <c r="RIN1" s="69" t="s">
        <v>12587</v>
      </c>
      <c r="RIO1" s="69" t="s">
        <v>12588</v>
      </c>
      <c r="RIP1" s="69" t="s">
        <v>12589</v>
      </c>
      <c r="RIQ1" s="69" t="s">
        <v>12590</v>
      </c>
      <c r="RIR1" s="69" t="s">
        <v>12591</v>
      </c>
      <c r="RIS1" s="69" t="s">
        <v>12592</v>
      </c>
      <c r="RIT1" s="69" t="s">
        <v>12593</v>
      </c>
      <c r="RIU1" s="69" t="s">
        <v>12594</v>
      </c>
      <c r="RIV1" s="69" t="s">
        <v>12595</v>
      </c>
      <c r="RIW1" s="69" t="s">
        <v>12596</v>
      </c>
      <c r="RIX1" s="69" t="s">
        <v>12597</v>
      </c>
      <c r="RIY1" s="69" t="s">
        <v>12598</v>
      </c>
      <c r="RIZ1" s="69" t="s">
        <v>12599</v>
      </c>
      <c r="RJA1" s="69" t="s">
        <v>12600</v>
      </c>
      <c r="RJB1" s="69" t="s">
        <v>12601</v>
      </c>
      <c r="RJC1" s="69" t="s">
        <v>12602</v>
      </c>
      <c r="RJD1" s="69" t="s">
        <v>12603</v>
      </c>
      <c r="RJE1" s="69" t="s">
        <v>12604</v>
      </c>
      <c r="RJF1" s="69" t="s">
        <v>12605</v>
      </c>
      <c r="RJG1" s="69" t="s">
        <v>12606</v>
      </c>
      <c r="RJH1" s="69" t="s">
        <v>12607</v>
      </c>
      <c r="RJI1" s="69" t="s">
        <v>12608</v>
      </c>
      <c r="RJJ1" s="69" t="s">
        <v>12609</v>
      </c>
      <c r="RJK1" s="69" t="s">
        <v>12610</v>
      </c>
      <c r="RJL1" s="69" t="s">
        <v>12611</v>
      </c>
      <c r="RJM1" s="69" t="s">
        <v>12612</v>
      </c>
      <c r="RJN1" s="69" t="s">
        <v>12613</v>
      </c>
      <c r="RJO1" s="69" t="s">
        <v>12614</v>
      </c>
      <c r="RJP1" s="69" t="s">
        <v>12615</v>
      </c>
      <c r="RJQ1" s="69" t="s">
        <v>12616</v>
      </c>
      <c r="RJR1" s="69" t="s">
        <v>12617</v>
      </c>
      <c r="RJS1" s="69" t="s">
        <v>12618</v>
      </c>
      <c r="RJT1" s="69" t="s">
        <v>12619</v>
      </c>
      <c r="RJU1" s="69" t="s">
        <v>12620</v>
      </c>
      <c r="RJV1" s="69" t="s">
        <v>12621</v>
      </c>
      <c r="RJW1" s="69" t="s">
        <v>12622</v>
      </c>
      <c r="RJX1" s="69" t="s">
        <v>12623</v>
      </c>
      <c r="RJY1" s="69" t="s">
        <v>12624</v>
      </c>
      <c r="RJZ1" s="69" t="s">
        <v>12625</v>
      </c>
      <c r="RKA1" s="69" t="s">
        <v>12626</v>
      </c>
      <c r="RKB1" s="69" t="s">
        <v>12627</v>
      </c>
      <c r="RKC1" s="69" t="s">
        <v>12628</v>
      </c>
      <c r="RKD1" s="69" t="s">
        <v>12629</v>
      </c>
      <c r="RKE1" s="69" t="s">
        <v>12630</v>
      </c>
      <c r="RKF1" s="69" t="s">
        <v>12631</v>
      </c>
      <c r="RKG1" s="69" t="s">
        <v>12632</v>
      </c>
      <c r="RKH1" s="69" t="s">
        <v>12633</v>
      </c>
      <c r="RKI1" s="69" t="s">
        <v>12634</v>
      </c>
      <c r="RKJ1" s="69" t="s">
        <v>12635</v>
      </c>
      <c r="RKK1" s="69" t="s">
        <v>12636</v>
      </c>
      <c r="RKL1" s="69" t="s">
        <v>12637</v>
      </c>
      <c r="RKM1" s="69" t="s">
        <v>12638</v>
      </c>
      <c r="RKN1" s="69" t="s">
        <v>12639</v>
      </c>
      <c r="RKO1" s="69" t="s">
        <v>12640</v>
      </c>
      <c r="RKP1" s="69" t="s">
        <v>12641</v>
      </c>
      <c r="RKQ1" s="69" t="s">
        <v>12642</v>
      </c>
      <c r="RKR1" s="69" t="s">
        <v>12643</v>
      </c>
      <c r="RKS1" s="69" t="s">
        <v>12644</v>
      </c>
      <c r="RKT1" s="69" t="s">
        <v>12645</v>
      </c>
      <c r="RKU1" s="69" t="s">
        <v>12646</v>
      </c>
      <c r="RKV1" s="69" t="s">
        <v>12647</v>
      </c>
      <c r="RKW1" s="69" t="s">
        <v>12648</v>
      </c>
      <c r="RKX1" s="69" t="s">
        <v>12649</v>
      </c>
      <c r="RKY1" s="69" t="s">
        <v>12650</v>
      </c>
      <c r="RKZ1" s="69" t="s">
        <v>12651</v>
      </c>
      <c r="RLA1" s="69" t="s">
        <v>12652</v>
      </c>
      <c r="RLB1" s="69" t="s">
        <v>12653</v>
      </c>
      <c r="RLC1" s="69" t="s">
        <v>12654</v>
      </c>
      <c r="RLD1" s="69" t="s">
        <v>12655</v>
      </c>
      <c r="RLE1" s="69" t="s">
        <v>12656</v>
      </c>
      <c r="RLF1" s="69" t="s">
        <v>12657</v>
      </c>
      <c r="RLG1" s="69" t="s">
        <v>12658</v>
      </c>
      <c r="RLH1" s="69" t="s">
        <v>12659</v>
      </c>
      <c r="RLI1" s="69" t="s">
        <v>12660</v>
      </c>
      <c r="RLJ1" s="69" t="s">
        <v>12661</v>
      </c>
      <c r="RLK1" s="69" t="s">
        <v>12662</v>
      </c>
      <c r="RLL1" s="69" t="s">
        <v>12663</v>
      </c>
      <c r="RLM1" s="69" t="s">
        <v>12664</v>
      </c>
      <c r="RLN1" s="69" t="s">
        <v>12665</v>
      </c>
      <c r="RLO1" s="69" t="s">
        <v>12666</v>
      </c>
      <c r="RLP1" s="69" t="s">
        <v>12667</v>
      </c>
      <c r="RLQ1" s="69" t="s">
        <v>12668</v>
      </c>
      <c r="RLR1" s="69" t="s">
        <v>12669</v>
      </c>
      <c r="RLS1" s="69" t="s">
        <v>12670</v>
      </c>
      <c r="RLT1" s="69" t="s">
        <v>12671</v>
      </c>
      <c r="RLU1" s="69" t="s">
        <v>12672</v>
      </c>
      <c r="RLV1" s="69" t="s">
        <v>12673</v>
      </c>
      <c r="RLW1" s="69" t="s">
        <v>12674</v>
      </c>
      <c r="RLX1" s="69" t="s">
        <v>12675</v>
      </c>
      <c r="RLY1" s="69" t="s">
        <v>12676</v>
      </c>
      <c r="RLZ1" s="69" t="s">
        <v>12677</v>
      </c>
      <c r="RMA1" s="69" t="s">
        <v>12678</v>
      </c>
      <c r="RMB1" s="69" t="s">
        <v>12679</v>
      </c>
      <c r="RMC1" s="69" t="s">
        <v>12680</v>
      </c>
      <c r="RMD1" s="69" t="s">
        <v>12681</v>
      </c>
      <c r="RME1" s="69" t="s">
        <v>12682</v>
      </c>
      <c r="RMF1" s="69" t="s">
        <v>12683</v>
      </c>
      <c r="RMG1" s="69" t="s">
        <v>12684</v>
      </c>
      <c r="RMH1" s="69" t="s">
        <v>12685</v>
      </c>
      <c r="RMI1" s="69" t="s">
        <v>12686</v>
      </c>
      <c r="RMJ1" s="69" t="s">
        <v>12687</v>
      </c>
      <c r="RMK1" s="69" t="s">
        <v>12688</v>
      </c>
      <c r="RML1" s="69" t="s">
        <v>12689</v>
      </c>
      <c r="RMM1" s="69" t="s">
        <v>12690</v>
      </c>
      <c r="RMN1" s="69" t="s">
        <v>12691</v>
      </c>
      <c r="RMO1" s="69" t="s">
        <v>12692</v>
      </c>
      <c r="RMP1" s="69" t="s">
        <v>12693</v>
      </c>
      <c r="RMQ1" s="69" t="s">
        <v>12694</v>
      </c>
      <c r="RMR1" s="69" t="s">
        <v>12695</v>
      </c>
      <c r="RMS1" s="69" t="s">
        <v>12696</v>
      </c>
      <c r="RMT1" s="69" t="s">
        <v>12697</v>
      </c>
      <c r="RMU1" s="69" t="s">
        <v>12698</v>
      </c>
      <c r="RMV1" s="69" t="s">
        <v>12699</v>
      </c>
      <c r="RMW1" s="69" t="s">
        <v>12700</v>
      </c>
      <c r="RMX1" s="69" t="s">
        <v>12701</v>
      </c>
      <c r="RMY1" s="69" t="s">
        <v>12702</v>
      </c>
      <c r="RMZ1" s="69" t="s">
        <v>12703</v>
      </c>
      <c r="RNA1" s="69" t="s">
        <v>12704</v>
      </c>
      <c r="RNB1" s="69" t="s">
        <v>12705</v>
      </c>
      <c r="RNC1" s="69" t="s">
        <v>12706</v>
      </c>
      <c r="RND1" s="69" t="s">
        <v>12707</v>
      </c>
      <c r="RNE1" s="69" t="s">
        <v>12708</v>
      </c>
      <c r="RNF1" s="69" t="s">
        <v>12709</v>
      </c>
      <c r="RNG1" s="69" t="s">
        <v>12710</v>
      </c>
      <c r="RNH1" s="69" t="s">
        <v>12711</v>
      </c>
      <c r="RNI1" s="69" t="s">
        <v>12712</v>
      </c>
      <c r="RNJ1" s="69" t="s">
        <v>12713</v>
      </c>
      <c r="RNK1" s="69" t="s">
        <v>12714</v>
      </c>
      <c r="RNL1" s="69" t="s">
        <v>12715</v>
      </c>
      <c r="RNM1" s="69" t="s">
        <v>12716</v>
      </c>
      <c r="RNN1" s="69" t="s">
        <v>12717</v>
      </c>
      <c r="RNO1" s="69" t="s">
        <v>12718</v>
      </c>
      <c r="RNP1" s="69" t="s">
        <v>12719</v>
      </c>
      <c r="RNQ1" s="69" t="s">
        <v>12720</v>
      </c>
      <c r="RNR1" s="69" t="s">
        <v>12721</v>
      </c>
      <c r="RNS1" s="69" t="s">
        <v>12722</v>
      </c>
      <c r="RNT1" s="69" t="s">
        <v>12723</v>
      </c>
      <c r="RNU1" s="69" t="s">
        <v>12724</v>
      </c>
      <c r="RNV1" s="69" t="s">
        <v>12725</v>
      </c>
      <c r="RNW1" s="69" t="s">
        <v>12726</v>
      </c>
      <c r="RNX1" s="69" t="s">
        <v>12727</v>
      </c>
      <c r="RNY1" s="69" t="s">
        <v>12728</v>
      </c>
      <c r="RNZ1" s="69" t="s">
        <v>12729</v>
      </c>
      <c r="ROA1" s="69" t="s">
        <v>12730</v>
      </c>
      <c r="ROB1" s="69" t="s">
        <v>12731</v>
      </c>
      <c r="ROC1" s="69" t="s">
        <v>12732</v>
      </c>
      <c r="ROD1" s="69" t="s">
        <v>12733</v>
      </c>
      <c r="ROE1" s="69" t="s">
        <v>12734</v>
      </c>
      <c r="ROF1" s="69" t="s">
        <v>12735</v>
      </c>
      <c r="ROG1" s="69" t="s">
        <v>12736</v>
      </c>
      <c r="ROH1" s="69" t="s">
        <v>12737</v>
      </c>
      <c r="ROI1" s="69" t="s">
        <v>12738</v>
      </c>
      <c r="ROJ1" s="69" t="s">
        <v>12739</v>
      </c>
      <c r="ROK1" s="69" t="s">
        <v>12740</v>
      </c>
      <c r="ROL1" s="69" t="s">
        <v>12741</v>
      </c>
      <c r="ROM1" s="69" t="s">
        <v>12742</v>
      </c>
      <c r="RON1" s="69" t="s">
        <v>12743</v>
      </c>
      <c r="ROO1" s="69" t="s">
        <v>12744</v>
      </c>
      <c r="ROP1" s="69" t="s">
        <v>12745</v>
      </c>
      <c r="ROQ1" s="69" t="s">
        <v>12746</v>
      </c>
      <c r="ROR1" s="69" t="s">
        <v>12747</v>
      </c>
      <c r="ROS1" s="69" t="s">
        <v>12748</v>
      </c>
      <c r="ROT1" s="69" t="s">
        <v>12749</v>
      </c>
      <c r="ROU1" s="69" t="s">
        <v>12750</v>
      </c>
      <c r="ROV1" s="69" t="s">
        <v>12751</v>
      </c>
      <c r="ROW1" s="69" t="s">
        <v>12752</v>
      </c>
      <c r="ROX1" s="69" t="s">
        <v>12753</v>
      </c>
      <c r="ROY1" s="69" t="s">
        <v>12754</v>
      </c>
      <c r="ROZ1" s="69" t="s">
        <v>12755</v>
      </c>
      <c r="RPA1" s="69" t="s">
        <v>12756</v>
      </c>
      <c r="RPB1" s="69" t="s">
        <v>12757</v>
      </c>
      <c r="RPC1" s="69" t="s">
        <v>12758</v>
      </c>
      <c r="RPD1" s="69" t="s">
        <v>12759</v>
      </c>
      <c r="RPE1" s="69" t="s">
        <v>12760</v>
      </c>
      <c r="RPF1" s="69" t="s">
        <v>12761</v>
      </c>
      <c r="RPG1" s="69" t="s">
        <v>12762</v>
      </c>
      <c r="RPH1" s="69" t="s">
        <v>12763</v>
      </c>
      <c r="RPI1" s="69" t="s">
        <v>12764</v>
      </c>
      <c r="RPJ1" s="69" t="s">
        <v>12765</v>
      </c>
      <c r="RPK1" s="69" t="s">
        <v>12766</v>
      </c>
      <c r="RPL1" s="69" t="s">
        <v>12767</v>
      </c>
      <c r="RPM1" s="69" t="s">
        <v>12768</v>
      </c>
      <c r="RPN1" s="69" t="s">
        <v>12769</v>
      </c>
      <c r="RPO1" s="69" t="s">
        <v>12770</v>
      </c>
      <c r="RPP1" s="69" t="s">
        <v>12771</v>
      </c>
      <c r="RPQ1" s="69" t="s">
        <v>12772</v>
      </c>
      <c r="RPR1" s="69" t="s">
        <v>12773</v>
      </c>
      <c r="RPS1" s="69" t="s">
        <v>12774</v>
      </c>
      <c r="RPT1" s="69" t="s">
        <v>12775</v>
      </c>
      <c r="RPU1" s="69" t="s">
        <v>12776</v>
      </c>
      <c r="RPV1" s="69" t="s">
        <v>12777</v>
      </c>
      <c r="RPW1" s="69" t="s">
        <v>12778</v>
      </c>
      <c r="RPX1" s="69" t="s">
        <v>12779</v>
      </c>
      <c r="RPY1" s="69" t="s">
        <v>12780</v>
      </c>
      <c r="RPZ1" s="69" t="s">
        <v>12781</v>
      </c>
      <c r="RQA1" s="69" t="s">
        <v>12782</v>
      </c>
      <c r="RQB1" s="69" t="s">
        <v>12783</v>
      </c>
      <c r="RQC1" s="69" t="s">
        <v>12784</v>
      </c>
      <c r="RQD1" s="69" t="s">
        <v>12785</v>
      </c>
      <c r="RQE1" s="69" t="s">
        <v>12786</v>
      </c>
      <c r="RQF1" s="69" t="s">
        <v>12787</v>
      </c>
      <c r="RQG1" s="69" t="s">
        <v>12788</v>
      </c>
      <c r="RQH1" s="69" t="s">
        <v>12789</v>
      </c>
      <c r="RQI1" s="69" t="s">
        <v>12790</v>
      </c>
      <c r="RQJ1" s="69" t="s">
        <v>12791</v>
      </c>
      <c r="RQK1" s="69" t="s">
        <v>12792</v>
      </c>
      <c r="RQL1" s="69" t="s">
        <v>12793</v>
      </c>
      <c r="RQM1" s="69" t="s">
        <v>12794</v>
      </c>
      <c r="RQN1" s="69" t="s">
        <v>12795</v>
      </c>
      <c r="RQO1" s="69" t="s">
        <v>12796</v>
      </c>
      <c r="RQP1" s="69" t="s">
        <v>12797</v>
      </c>
      <c r="RQQ1" s="69" t="s">
        <v>12798</v>
      </c>
      <c r="RQR1" s="69" t="s">
        <v>12799</v>
      </c>
      <c r="RQS1" s="69" t="s">
        <v>12800</v>
      </c>
      <c r="RQT1" s="69" t="s">
        <v>12801</v>
      </c>
      <c r="RQU1" s="69" t="s">
        <v>12802</v>
      </c>
      <c r="RQV1" s="69" t="s">
        <v>12803</v>
      </c>
      <c r="RQW1" s="69" t="s">
        <v>12804</v>
      </c>
      <c r="RQX1" s="69" t="s">
        <v>12805</v>
      </c>
      <c r="RQY1" s="69" t="s">
        <v>12806</v>
      </c>
      <c r="RQZ1" s="69" t="s">
        <v>12807</v>
      </c>
      <c r="RRA1" s="69" t="s">
        <v>12808</v>
      </c>
      <c r="RRB1" s="69" t="s">
        <v>12809</v>
      </c>
      <c r="RRC1" s="69" t="s">
        <v>12810</v>
      </c>
      <c r="RRD1" s="69" t="s">
        <v>12811</v>
      </c>
      <c r="RRE1" s="69" t="s">
        <v>12812</v>
      </c>
      <c r="RRF1" s="69" t="s">
        <v>12813</v>
      </c>
      <c r="RRG1" s="69" t="s">
        <v>12814</v>
      </c>
      <c r="RRH1" s="69" t="s">
        <v>12815</v>
      </c>
      <c r="RRI1" s="69" t="s">
        <v>12816</v>
      </c>
      <c r="RRJ1" s="69" t="s">
        <v>12817</v>
      </c>
      <c r="RRK1" s="69" t="s">
        <v>12818</v>
      </c>
      <c r="RRL1" s="69" t="s">
        <v>12819</v>
      </c>
      <c r="RRM1" s="69" t="s">
        <v>12820</v>
      </c>
      <c r="RRN1" s="69" t="s">
        <v>12821</v>
      </c>
      <c r="RRO1" s="69" t="s">
        <v>12822</v>
      </c>
      <c r="RRP1" s="69" t="s">
        <v>12823</v>
      </c>
      <c r="RRQ1" s="69" t="s">
        <v>12824</v>
      </c>
      <c r="RRR1" s="69" t="s">
        <v>12825</v>
      </c>
      <c r="RRS1" s="69" t="s">
        <v>12826</v>
      </c>
      <c r="RRT1" s="69" t="s">
        <v>12827</v>
      </c>
      <c r="RRU1" s="69" t="s">
        <v>12828</v>
      </c>
      <c r="RRV1" s="69" t="s">
        <v>12829</v>
      </c>
      <c r="RRW1" s="69" t="s">
        <v>12830</v>
      </c>
      <c r="RRX1" s="69" t="s">
        <v>12831</v>
      </c>
      <c r="RRY1" s="69" t="s">
        <v>12832</v>
      </c>
      <c r="RRZ1" s="69" t="s">
        <v>12833</v>
      </c>
      <c r="RSA1" s="69" t="s">
        <v>12834</v>
      </c>
      <c r="RSB1" s="69" t="s">
        <v>12835</v>
      </c>
      <c r="RSC1" s="69" t="s">
        <v>12836</v>
      </c>
      <c r="RSD1" s="69" t="s">
        <v>12837</v>
      </c>
      <c r="RSE1" s="69" t="s">
        <v>12838</v>
      </c>
      <c r="RSF1" s="69" t="s">
        <v>12839</v>
      </c>
      <c r="RSG1" s="69" t="s">
        <v>12840</v>
      </c>
      <c r="RSH1" s="69" t="s">
        <v>12841</v>
      </c>
      <c r="RSI1" s="69" t="s">
        <v>12842</v>
      </c>
      <c r="RSJ1" s="69" t="s">
        <v>12843</v>
      </c>
      <c r="RSK1" s="69" t="s">
        <v>12844</v>
      </c>
      <c r="RSL1" s="69" t="s">
        <v>12845</v>
      </c>
      <c r="RSM1" s="69" t="s">
        <v>12846</v>
      </c>
      <c r="RSN1" s="69" t="s">
        <v>12847</v>
      </c>
      <c r="RSO1" s="69" t="s">
        <v>12848</v>
      </c>
      <c r="RSP1" s="69" t="s">
        <v>12849</v>
      </c>
      <c r="RSQ1" s="69" t="s">
        <v>12850</v>
      </c>
      <c r="RSR1" s="69" t="s">
        <v>12851</v>
      </c>
      <c r="RSS1" s="69" t="s">
        <v>12852</v>
      </c>
      <c r="RST1" s="69" t="s">
        <v>12853</v>
      </c>
      <c r="RSU1" s="69" t="s">
        <v>12854</v>
      </c>
      <c r="RSV1" s="69" t="s">
        <v>12855</v>
      </c>
      <c r="RSW1" s="69" t="s">
        <v>12856</v>
      </c>
      <c r="RSX1" s="69" t="s">
        <v>12857</v>
      </c>
      <c r="RSY1" s="69" t="s">
        <v>12858</v>
      </c>
      <c r="RSZ1" s="69" t="s">
        <v>12859</v>
      </c>
      <c r="RTA1" s="69" t="s">
        <v>12860</v>
      </c>
      <c r="RTB1" s="69" t="s">
        <v>12861</v>
      </c>
      <c r="RTC1" s="69" t="s">
        <v>12862</v>
      </c>
      <c r="RTD1" s="69" t="s">
        <v>12863</v>
      </c>
      <c r="RTE1" s="69" t="s">
        <v>12864</v>
      </c>
      <c r="RTF1" s="69" t="s">
        <v>12865</v>
      </c>
      <c r="RTG1" s="69" t="s">
        <v>12866</v>
      </c>
      <c r="RTH1" s="69" t="s">
        <v>12867</v>
      </c>
      <c r="RTI1" s="69" t="s">
        <v>12868</v>
      </c>
      <c r="RTJ1" s="69" t="s">
        <v>12869</v>
      </c>
      <c r="RTK1" s="69" t="s">
        <v>12870</v>
      </c>
      <c r="RTL1" s="69" t="s">
        <v>12871</v>
      </c>
      <c r="RTM1" s="69" t="s">
        <v>12872</v>
      </c>
      <c r="RTN1" s="69" t="s">
        <v>12873</v>
      </c>
      <c r="RTO1" s="69" t="s">
        <v>12874</v>
      </c>
      <c r="RTP1" s="69" t="s">
        <v>12875</v>
      </c>
      <c r="RTQ1" s="69" t="s">
        <v>12876</v>
      </c>
      <c r="RTR1" s="69" t="s">
        <v>12877</v>
      </c>
      <c r="RTS1" s="69" t="s">
        <v>12878</v>
      </c>
      <c r="RTT1" s="69" t="s">
        <v>12879</v>
      </c>
      <c r="RTU1" s="69" t="s">
        <v>12880</v>
      </c>
      <c r="RTV1" s="69" t="s">
        <v>12881</v>
      </c>
      <c r="RTW1" s="69" t="s">
        <v>12882</v>
      </c>
      <c r="RTX1" s="69" t="s">
        <v>12883</v>
      </c>
      <c r="RTY1" s="69" t="s">
        <v>12884</v>
      </c>
      <c r="RTZ1" s="69" t="s">
        <v>12885</v>
      </c>
      <c r="RUA1" s="69" t="s">
        <v>12886</v>
      </c>
      <c r="RUB1" s="69" t="s">
        <v>12887</v>
      </c>
      <c r="RUC1" s="69" t="s">
        <v>12888</v>
      </c>
      <c r="RUD1" s="69" t="s">
        <v>12889</v>
      </c>
      <c r="RUE1" s="69" t="s">
        <v>12890</v>
      </c>
      <c r="RUF1" s="69" t="s">
        <v>12891</v>
      </c>
      <c r="RUG1" s="69" t="s">
        <v>12892</v>
      </c>
      <c r="RUH1" s="69" t="s">
        <v>12893</v>
      </c>
      <c r="RUI1" s="69" t="s">
        <v>12894</v>
      </c>
      <c r="RUJ1" s="69" t="s">
        <v>12895</v>
      </c>
      <c r="RUK1" s="69" t="s">
        <v>12896</v>
      </c>
      <c r="RUL1" s="69" t="s">
        <v>12897</v>
      </c>
      <c r="RUM1" s="69" t="s">
        <v>12898</v>
      </c>
      <c r="RUN1" s="69" t="s">
        <v>12899</v>
      </c>
      <c r="RUO1" s="69" t="s">
        <v>12900</v>
      </c>
      <c r="RUP1" s="69" t="s">
        <v>12901</v>
      </c>
      <c r="RUQ1" s="69" t="s">
        <v>12902</v>
      </c>
      <c r="RUR1" s="69" t="s">
        <v>12903</v>
      </c>
      <c r="RUS1" s="69" t="s">
        <v>12904</v>
      </c>
      <c r="RUT1" s="69" t="s">
        <v>12905</v>
      </c>
      <c r="RUU1" s="69" t="s">
        <v>12906</v>
      </c>
      <c r="RUV1" s="69" t="s">
        <v>12907</v>
      </c>
      <c r="RUW1" s="69" t="s">
        <v>12908</v>
      </c>
      <c r="RUX1" s="69" t="s">
        <v>12909</v>
      </c>
      <c r="RUY1" s="69" t="s">
        <v>12910</v>
      </c>
      <c r="RUZ1" s="69" t="s">
        <v>12911</v>
      </c>
      <c r="RVA1" s="69" t="s">
        <v>12912</v>
      </c>
      <c r="RVB1" s="69" t="s">
        <v>12913</v>
      </c>
      <c r="RVC1" s="69" t="s">
        <v>12914</v>
      </c>
      <c r="RVD1" s="69" t="s">
        <v>12915</v>
      </c>
      <c r="RVE1" s="69" t="s">
        <v>12916</v>
      </c>
      <c r="RVF1" s="69" t="s">
        <v>12917</v>
      </c>
      <c r="RVG1" s="69" t="s">
        <v>12918</v>
      </c>
      <c r="RVH1" s="69" t="s">
        <v>12919</v>
      </c>
      <c r="RVI1" s="69" t="s">
        <v>12920</v>
      </c>
      <c r="RVJ1" s="69" t="s">
        <v>12921</v>
      </c>
      <c r="RVK1" s="69" t="s">
        <v>12922</v>
      </c>
      <c r="RVL1" s="69" t="s">
        <v>12923</v>
      </c>
      <c r="RVM1" s="69" t="s">
        <v>12924</v>
      </c>
      <c r="RVN1" s="69" t="s">
        <v>12925</v>
      </c>
      <c r="RVO1" s="69" t="s">
        <v>12926</v>
      </c>
      <c r="RVP1" s="69" t="s">
        <v>12927</v>
      </c>
      <c r="RVQ1" s="69" t="s">
        <v>12928</v>
      </c>
      <c r="RVR1" s="69" t="s">
        <v>12929</v>
      </c>
      <c r="RVS1" s="69" t="s">
        <v>12930</v>
      </c>
      <c r="RVT1" s="69" t="s">
        <v>12931</v>
      </c>
      <c r="RVU1" s="69" t="s">
        <v>12932</v>
      </c>
      <c r="RVV1" s="69" t="s">
        <v>12933</v>
      </c>
      <c r="RVW1" s="69" t="s">
        <v>12934</v>
      </c>
      <c r="RVX1" s="69" t="s">
        <v>12935</v>
      </c>
      <c r="RVY1" s="69" t="s">
        <v>12936</v>
      </c>
      <c r="RVZ1" s="69" t="s">
        <v>12937</v>
      </c>
      <c r="RWA1" s="69" t="s">
        <v>12938</v>
      </c>
      <c r="RWB1" s="69" t="s">
        <v>12939</v>
      </c>
      <c r="RWC1" s="69" t="s">
        <v>12940</v>
      </c>
      <c r="RWD1" s="69" t="s">
        <v>12941</v>
      </c>
      <c r="RWE1" s="69" t="s">
        <v>12942</v>
      </c>
      <c r="RWF1" s="69" t="s">
        <v>12943</v>
      </c>
      <c r="RWG1" s="69" t="s">
        <v>12944</v>
      </c>
      <c r="RWH1" s="69" t="s">
        <v>12945</v>
      </c>
      <c r="RWI1" s="69" t="s">
        <v>12946</v>
      </c>
      <c r="RWJ1" s="69" t="s">
        <v>12947</v>
      </c>
      <c r="RWK1" s="69" t="s">
        <v>12948</v>
      </c>
      <c r="RWL1" s="69" t="s">
        <v>12949</v>
      </c>
      <c r="RWM1" s="69" t="s">
        <v>12950</v>
      </c>
      <c r="RWN1" s="69" t="s">
        <v>12951</v>
      </c>
      <c r="RWO1" s="69" t="s">
        <v>12952</v>
      </c>
      <c r="RWP1" s="69" t="s">
        <v>12953</v>
      </c>
      <c r="RWQ1" s="69" t="s">
        <v>12954</v>
      </c>
      <c r="RWR1" s="69" t="s">
        <v>12955</v>
      </c>
      <c r="RWS1" s="69" t="s">
        <v>12956</v>
      </c>
      <c r="RWT1" s="69" t="s">
        <v>12957</v>
      </c>
      <c r="RWU1" s="69" t="s">
        <v>12958</v>
      </c>
      <c r="RWV1" s="69" t="s">
        <v>12959</v>
      </c>
      <c r="RWW1" s="69" t="s">
        <v>12960</v>
      </c>
      <c r="RWX1" s="69" t="s">
        <v>12961</v>
      </c>
      <c r="RWY1" s="69" t="s">
        <v>12962</v>
      </c>
      <c r="RWZ1" s="69" t="s">
        <v>12963</v>
      </c>
      <c r="RXA1" s="69" t="s">
        <v>12964</v>
      </c>
      <c r="RXB1" s="69" t="s">
        <v>12965</v>
      </c>
      <c r="RXC1" s="69" t="s">
        <v>12966</v>
      </c>
      <c r="RXD1" s="69" t="s">
        <v>12967</v>
      </c>
      <c r="RXE1" s="69" t="s">
        <v>12968</v>
      </c>
      <c r="RXF1" s="69" t="s">
        <v>12969</v>
      </c>
      <c r="RXG1" s="69" t="s">
        <v>12970</v>
      </c>
      <c r="RXH1" s="69" t="s">
        <v>12971</v>
      </c>
      <c r="RXI1" s="69" t="s">
        <v>12972</v>
      </c>
      <c r="RXJ1" s="69" t="s">
        <v>12973</v>
      </c>
      <c r="RXK1" s="69" t="s">
        <v>12974</v>
      </c>
      <c r="RXL1" s="69" t="s">
        <v>12975</v>
      </c>
      <c r="RXM1" s="69" t="s">
        <v>12976</v>
      </c>
      <c r="RXN1" s="69" t="s">
        <v>12977</v>
      </c>
      <c r="RXO1" s="69" t="s">
        <v>12978</v>
      </c>
      <c r="RXP1" s="69" t="s">
        <v>12979</v>
      </c>
      <c r="RXQ1" s="69" t="s">
        <v>12980</v>
      </c>
      <c r="RXR1" s="69" t="s">
        <v>12981</v>
      </c>
      <c r="RXS1" s="69" t="s">
        <v>12982</v>
      </c>
      <c r="RXT1" s="69" t="s">
        <v>12983</v>
      </c>
      <c r="RXU1" s="69" t="s">
        <v>12984</v>
      </c>
      <c r="RXV1" s="69" t="s">
        <v>12985</v>
      </c>
      <c r="RXW1" s="69" t="s">
        <v>12986</v>
      </c>
      <c r="RXX1" s="69" t="s">
        <v>12987</v>
      </c>
      <c r="RXY1" s="69" t="s">
        <v>12988</v>
      </c>
      <c r="RXZ1" s="69" t="s">
        <v>12989</v>
      </c>
      <c r="RYA1" s="69" t="s">
        <v>12990</v>
      </c>
      <c r="RYB1" s="69" t="s">
        <v>12991</v>
      </c>
      <c r="RYC1" s="69" t="s">
        <v>12992</v>
      </c>
      <c r="RYD1" s="69" t="s">
        <v>12993</v>
      </c>
      <c r="RYE1" s="69" t="s">
        <v>12994</v>
      </c>
      <c r="RYF1" s="69" t="s">
        <v>12995</v>
      </c>
      <c r="RYG1" s="69" t="s">
        <v>12996</v>
      </c>
      <c r="RYH1" s="69" t="s">
        <v>12997</v>
      </c>
      <c r="RYI1" s="69" t="s">
        <v>12998</v>
      </c>
      <c r="RYJ1" s="69" t="s">
        <v>12999</v>
      </c>
      <c r="RYK1" s="69" t="s">
        <v>13000</v>
      </c>
      <c r="RYL1" s="69" t="s">
        <v>13001</v>
      </c>
      <c r="RYM1" s="69" t="s">
        <v>13002</v>
      </c>
      <c r="RYN1" s="69" t="s">
        <v>13003</v>
      </c>
      <c r="RYO1" s="69" t="s">
        <v>13004</v>
      </c>
      <c r="RYP1" s="69" t="s">
        <v>13005</v>
      </c>
      <c r="RYQ1" s="69" t="s">
        <v>13006</v>
      </c>
      <c r="RYR1" s="69" t="s">
        <v>13007</v>
      </c>
      <c r="RYS1" s="69" t="s">
        <v>13008</v>
      </c>
      <c r="RYT1" s="69" t="s">
        <v>13009</v>
      </c>
      <c r="RYU1" s="69" t="s">
        <v>13010</v>
      </c>
      <c r="RYV1" s="69" t="s">
        <v>13011</v>
      </c>
      <c r="RYW1" s="69" t="s">
        <v>13012</v>
      </c>
      <c r="RYX1" s="69" t="s">
        <v>13013</v>
      </c>
      <c r="RYY1" s="69" t="s">
        <v>13014</v>
      </c>
      <c r="RYZ1" s="69" t="s">
        <v>13015</v>
      </c>
      <c r="RZA1" s="69" t="s">
        <v>13016</v>
      </c>
      <c r="RZB1" s="69" t="s">
        <v>13017</v>
      </c>
      <c r="RZC1" s="69" t="s">
        <v>13018</v>
      </c>
      <c r="RZD1" s="69" t="s">
        <v>13019</v>
      </c>
      <c r="RZE1" s="69" t="s">
        <v>13020</v>
      </c>
      <c r="RZF1" s="69" t="s">
        <v>13021</v>
      </c>
      <c r="RZG1" s="69" t="s">
        <v>13022</v>
      </c>
      <c r="RZH1" s="69" t="s">
        <v>13023</v>
      </c>
      <c r="RZI1" s="69" t="s">
        <v>13024</v>
      </c>
      <c r="RZJ1" s="69" t="s">
        <v>13025</v>
      </c>
      <c r="RZK1" s="69" t="s">
        <v>13026</v>
      </c>
      <c r="RZL1" s="69" t="s">
        <v>13027</v>
      </c>
      <c r="RZM1" s="69" t="s">
        <v>13028</v>
      </c>
      <c r="RZN1" s="69" t="s">
        <v>13029</v>
      </c>
      <c r="RZO1" s="69" t="s">
        <v>13030</v>
      </c>
      <c r="RZP1" s="69" t="s">
        <v>13031</v>
      </c>
      <c r="RZQ1" s="69" t="s">
        <v>13032</v>
      </c>
      <c r="RZR1" s="69" t="s">
        <v>13033</v>
      </c>
      <c r="RZS1" s="69" t="s">
        <v>13034</v>
      </c>
      <c r="RZT1" s="69" t="s">
        <v>13035</v>
      </c>
      <c r="RZU1" s="69" t="s">
        <v>13036</v>
      </c>
      <c r="RZV1" s="69" t="s">
        <v>13037</v>
      </c>
      <c r="RZW1" s="69" t="s">
        <v>13038</v>
      </c>
      <c r="RZX1" s="69" t="s">
        <v>13039</v>
      </c>
      <c r="RZY1" s="69" t="s">
        <v>13040</v>
      </c>
      <c r="RZZ1" s="69" t="s">
        <v>13041</v>
      </c>
      <c r="SAA1" s="69" t="s">
        <v>13042</v>
      </c>
      <c r="SAB1" s="69" t="s">
        <v>13043</v>
      </c>
      <c r="SAC1" s="69" t="s">
        <v>13044</v>
      </c>
      <c r="SAD1" s="69" t="s">
        <v>13045</v>
      </c>
      <c r="SAE1" s="69" t="s">
        <v>13046</v>
      </c>
      <c r="SAF1" s="69" t="s">
        <v>13047</v>
      </c>
      <c r="SAG1" s="69" t="s">
        <v>13048</v>
      </c>
      <c r="SAH1" s="69" t="s">
        <v>13049</v>
      </c>
      <c r="SAI1" s="69" t="s">
        <v>13050</v>
      </c>
      <c r="SAJ1" s="69" t="s">
        <v>13051</v>
      </c>
      <c r="SAK1" s="69" t="s">
        <v>13052</v>
      </c>
      <c r="SAL1" s="69" t="s">
        <v>13053</v>
      </c>
      <c r="SAM1" s="69" t="s">
        <v>13054</v>
      </c>
      <c r="SAN1" s="69" t="s">
        <v>13055</v>
      </c>
      <c r="SAO1" s="69" t="s">
        <v>13056</v>
      </c>
      <c r="SAP1" s="69" t="s">
        <v>13057</v>
      </c>
      <c r="SAQ1" s="69" t="s">
        <v>13058</v>
      </c>
      <c r="SAR1" s="69" t="s">
        <v>13059</v>
      </c>
      <c r="SAS1" s="69" t="s">
        <v>13060</v>
      </c>
      <c r="SAT1" s="69" t="s">
        <v>13061</v>
      </c>
      <c r="SAU1" s="69" t="s">
        <v>13062</v>
      </c>
      <c r="SAV1" s="69" t="s">
        <v>13063</v>
      </c>
      <c r="SAW1" s="69" t="s">
        <v>13064</v>
      </c>
      <c r="SAX1" s="69" t="s">
        <v>13065</v>
      </c>
      <c r="SAY1" s="69" t="s">
        <v>13066</v>
      </c>
      <c r="SAZ1" s="69" t="s">
        <v>13067</v>
      </c>
      <c r="SBA1" s="69" t="s">
        <v>13068</v>
      </c>
      <c r="SBB1" s="69" t="s">
        <v>13069</v>
      </c>
      <c r="SBC1" s="69" t="s">
        <v>13070</v>
      </c>
      <c r="SBD1" s="69" t="s">
        <v>13071</v>
      </c>
      <c r="SBE1" s="69" t="s">
        <v>13072</v>
      </c>
      <c r="SBF1" s="69" t="s">
        <v>13073</v>
      </c>
      <c r="SBG1" s="69" t="s">
        <v>13074</v>
      </c>
      <c r="SBH1" s="69" t="s">
        <v>13075</v>
      </c>
      <c r="SBI1" s="69" t="s">
        <v>13076</v>
      </c>
      <c r="SBJ1" s="69" t="s">
        <v>13077</v>
      </c>
      <c r="SBK1" s="69" t="s">
        <v>13078</v>
      </c>
      <c r="SBL1" s="69" t="s">
        <v>13079</v>
      </c>
      <c r="SBM1" s="69" t="s">
        <v>13080</v>
      </c>
      <c r="SBN1" s="69" t="s">
        <v>13081</v>
      </c>
      <c r="SBO1" s="69" t="s">
        <v>13082</v>
      </c>
      <c r="SBP1" s="69" t="s">
        <v>13083</v>
      </c>
      <c r="SBQ1" s="69" t="s">
        <v>13084</v>
      </c>
      <c r="SBR1" s="69" t="s">
        <v>13085</v>
      </c>
      <c r="SBS1" s="69" t="s">
        <v>13086</v>
      </c>
      <c r="SBT1" s="69" t="s">
        <v>13087</v>
      </c>
      <c r="SBU1" s="69" t="s">
        <v>13088</v>
      </c>
      <c r="SBV1" s="69" t="s">
        <v>13089</v>
      </c>
      <c r="SBW1" s="69" t="s">
        <v>13090</v>
      </c>
      <c r="SBX1" s="69" t="s">
        <v>13091</v>
      </c>
      <c r="SBY1" s="69" t="s">
        <v>13092</v>
      </c>
      <c r="SBZ1" s="69" t="s">
        <v>13093</v>
      </c>
      <c r="SCA1" s="69" t="s">
        <v>13094</v>
      </c>
      <c r="SCB1" s="69" t="s">
        <v>13095</v>
      </c>
      <c r="SCC1" s="69" t="s">
        <v>13096</v>
      </c>
      <c r="SCD1" s="69" t="s">
        <v>13097</v>
      </c>
      <c r="SCE1" s="69" t="s">
        <v>13098</v>
      </c>
      <c r="SCF1" s="69" t="s">
        <v>13099</v>
      </c>
      <c r="SCG1" s="69" t="s">
        <v>13100</v>
      </c>
      <c r="SCH1" s="69" t="s">
        <v>13101</v>
      </c>
      <c r="SCI1" s="69" t="s">
        <v>13102</v>
      </c>
      <c r="SCJ1" s="69" t="s">
        <v>13103</v>
      </c>
      <c r="SCK1" s="69" t="s">
        <v>13104</v>
      </c>
      <c r="SCL1" s="69" t="s">
        <v>13105</v>
      </c>
      <c r="SCM1" s="69" t="s">
        <v>13106</v>
      </c>
      <c r="SCN1" s="69" t="s">
        <v>13107</v>
      </c>
      <c r="SCO1" s="69" t="s">
        <v>13108</v>
      </c>
      <c r="SCP1" s="69" t="s">
        <v>13109</v>
      </c>
      <c r="SCQ1" s="69" t="s">
        <v>13110</v>
      </c>
      <c r="SCR1" s="69" t="s">
        <v>13111</v>
      </c>
      <c r="SCS1" s="69" t="s">
        <v>13112</v>
      </c>
      <c r="SCT1" s="69" t="s">
        <v>13113</v>
      </c>
      <c r="SCU1" s="69" t="s">
        <v>13114</v>
      </c>
      <c r="SCV1" s="69" t="s">
        <v>13115</v>
      </c>
      <c r="SCW1" s="69" t="s">
        <v>13116</v>
      </c>
      <c r="SCX1" s="69" t="s">
        <v>13117</v>
      </c>
      <c r="SCY1" s="69" t="s">
        <v>13118</v>
      </c>
      <c r="SCZ1" s="69" t="s">
        <v>13119</v>
      </c>
      <c r="SDA1" s="69" t="s">
        <v>13120</v>
      </c>
      <c r="SDB1" s="69" t="s">
        <v>13121</v>
      </c>
      <c r="SDC1" s="69" t="s">
        <v>13122</v>
      </c>
      <c r="SDD1" s="69" t="s">
        <v>13123</v>
      </c>
      <c r="SDE1" s="69" t="s">
        <v>13124</v>
      </c>
      <c r="SDF1" s="69" t="s">
        <v>13125</v>
      </c>
      <c r="SDG1" s="69" t="s">
        <v>13126</v>
      </c>
      <c r="SDH1" s="69" t="s">
        <v>13127</v>
      </c>
      <c r="SDI1" s="69" t="s">
        <v>13128</v>
      </c>
      <c r="SDJ1" s="69" t="s">
        <v>13129</v>
      </c>
      <c r="SDK1" s="69" t="s">
        <v>13130</v>
      </c>
      <c r="SDL1" s="69" t="s">
        <v>13131</v>
      </c>
      <c r="SDM1" s="69" t="s">
        <v>13132</v>
      </c>
      <c r="SDN1" s="69" t="s">
        <v>13133</v>
      </c>
      <c r="SDO1" s="69" t="s">
        <v>13134</v>
      </c>
      <c r="SDP1" s="69" t="s">
        <v>13135</v>
      </c>
      <c r="SDQ1" s="69" t="s">
        <v>13136</v>
      </c>
      <c r="SDR1" s="69" t="s">
        <v>13137</v>
      </c>
      <c r="SDS1" s="69" t="s">
        <v>13138</v>
      </c>
      <c r="SDT1" s="69" t="s">
        <v>13139</v>
      </c>
      <c r="SDU1" s="69" t="s">
        <v>13140</v>
      </c>
      <c r="SDV1" s="69" t="s">
        <v>13141</v>
      </c>
      <c r="SDW1" s="69" t="s">
        <v>13142</v>
      </c>
      <c r="SDX1" s="69" t="s">
        <v>13143</v>
      </c>
      <c r="SDY1" s="69" t="s">
        <v>13144</v>
      </c>
      <c r="SDZ1" s="69" t="s">
        <v>13145</v>
      </c>
      <c r="SEA1" s="69" t="s">
        <v>13146</v>
      </c>
      <c r="SEB1" s="69" t="s">
        <v>13147</v>
      </c>
      <c r="SEC1" s="69" t="s">
        <v>13148</v>
      </c>
      <c r="SED1" s="69" t="s">
        <v>13149</v>
      </c>
      <c r="SEE1" s="69" t="s">
        <v>13150</v>
      </c>
      <c r="SEF1" s="69" t="s">
        <v>13151</v>
      </c>
      <c r="SEG1" s="69" t="s">
        <v>13152</v>
      </c>
      <c r="SEH1" s="69" t="s">
        <v>13153</v>
      </c>
      <c r="SEI1" s="69" t="s">
        <v>13154</v>
      </c>
      <c r="SEJ1" s="69" t="s">
        <v>13155</v>
      </c>
      <c r="SEK1" s="69" t="s">
        <v>13156</v>
      </c>
      <c r="SEL1" s="69" t="s">
        <v>13157</v>
      </c>
      <c r="SEM1" s="69" t="s">
        <v>13158</v>
      </c>
      <c r="SEN1" s="69" t="s">
        <v>13159</v>
      </c>
      <c r="SEO1" s="69" t="s">
        <v>13160</v>
      </c>
      <c r="SEP1" s="69" t="s">
        <v>13161</v>
      </c>
      <c r="SEQ1" s="69" t="s">
        <v>13162</v>
      </c>
      <c r="SER1" s="69" t="s">
        <v>13163</v>
      </c>
      <c r="SES1" s="69" t="s">
        <v>13164</v>
      </c>
      <c r="SET1" s="69" t="s">
        <v>13165</v>
      </c>
      <c r="SEU1" s="69" t="s">
        <v>13166</v>
      </c>
      <c r="SEV1" s="69" t="s">
        <v>13167</v>
      </c>
      <c r="SEW1" s="69" t="s">
        <v>13168</v>
      </c>
      <c r="SEX1" s="69" t="s">
        <v>13169</v>
      </c>
      <c r="SEY1" s="69" t="s">
        <v>13170</v>
      </c>
      <c r="SEZ1" s="69" t="s">
        <v>13171</v>
      </c>
      <c r="SFA1" s="69" t="s">
        <v>13172</v>
      </c>
      <c r="SFB1" s="69" t="s">
        <v>13173</v>
      </c>
      <c r="SFC1" s="69" t="s">
        <v>13174</v>
      </c>
      <c r="SFD1" s="69" t="s">
        <v>13175</v>
      </c>
      <c r="SFE1" s="69" t="s">
        <v>13176</v>
      </c>
      <c r="SFF1" s="69" t="s">
        <v>13177</v>
      </c>
      <c r="SFG1" s="69" t="s">
        <v>13178</v>
      </c>
      <c r="SFH1" s="69" t="s">
        <v>13179</v>
      </c>
      <c r="SFI1" s="69" t="s">
        <v>13180</v>
      </c>
      <c r="SFJ1" s="69" t="s">
        <v>13181</v>
      </c>
      <c r="SFK1" s="69" t="s">
        <v>13182</v>
      </c>
      <c r="SFL1" s="69" t="s">
        <v>13183</v>
      </c>
      <c r="SFM1" s="69" t="s">
        <v>13184</v>
      </c>
      <c r="SFN1" s="69" t="s">
        <v>13185</v>
      </c>
      <c r="SFO1" s="69" t="s">
        <v>13186</v>
      </c>
      <c r="SFP1" s="69" t="s">
        <v>13187</v>
      </c>
      <c r="SFQ1" s="69" t="s">
        <v>13188</v>
      </c>
      <c r="SFR1" s="69" t="s">
        <v>13189</v>
      </c>
      <c r="SFS1" s="69" t="s">
        <v>13190</v>
      </c>
      <c r="SFT1" s="69" t="s">
        <v>13191</v>
      </c>
      <c r="SFU1" s="69" t="s">
        <v>13192</v>
      </c>
      <c r="SFV1" s="69" t="s">
        <v>13193</v>
      </c>
      <c r="SFW1" s="69" t="s">
        <v>13194</v>
      </c>
      <c r="SFX1" s="69" t="s">
        <v>13195</v>
      </c>
      <c r="SFY1" s="69" t="s">
        <v>13196</v>
      </c>
      <c r="SFZ1" s="69" t="s">
        <v>13197</v>
      </c>
      <c r="SGA1" s="69" t="s">
        <v>13198</v>
      </c>
      <c r="SGB1" s="69" t="s">
        <v>13199</v>
      </c>
      <c r="SGC1" s="69" t="s">
        <v>13200</v>
      </c>
      <c r="SGD1" s="69" t="s">
        <v>13201</v>
      </c>
      <c r="SGE1" s="69" t="s">
        <v>13202</v>
      </c>
      <c r="SGF1" s="69" t="s">
        <v>13203</v>
      </c>
      <c r="SGG1" s="69" t="s">
        <v>13204</v>
      </c>
      <c r="SGH1" s="69" t="s">
        <v>13205</v>
      </c>
      <c r="SGI1" s="69" t="s">
        <v>13206</v>
      </c>
      <c r="SGJ1" s="69" t="s">
        <v>13207</v>
      </c>
      <c r="SGK1" s="69" t="s">
        <v>13208</v>
      </c>
      <c r="SGL1" s="69" t="s">
        <v>13209</v>
      </c>
      <c r="SGM1" s="69" t="s">
        <v>13210</v>
      </c>
      <c r="SGN1" s="69" t="s">
        <v>13211</v>
      </c>
      <c r="SGO1" s="69" t="s">
        <v>13212</v>
      </c>
      <c r="SGP1" s="69" t="s">
        <v>13213</v>
      </c>
      <c r="SGQ1" s="69" t="s">
        <v>13214</v>
      </c>
      <c r="SGR1" s="69" t="s">
        <v>13215</v>
      </c>
      <c r="SGS1" s="69" t="s">
        <v>13216</v>
      </c>
      <c r="SGT1" s="69" t="s">
        <v>13217</v>
      </c>
      <c r="SGU1" s="69" t="s">
        <v>13218</v>
      </c>
      <c r="SGV1" s="69" t="s">
        <v>13219</v>
      </c>
      <c r="SGW1" s="69" t="s">
        <v>13220</v>
      </c>
      <c r="SGX1" s="69" t="s">
        <v>13221</v>
      </c>
      <c r="SGY1" s="69" t="s">
        <v>13222</v>
      </c>
      <c r="SGZ1" s="69" t="s">
        <v>13223</v>
      </c>
      <c r="SHA1" s="69" t="s">
        <v>13224</v>
      </c>
      <c r="SHB1" s="69" t="s">
        <v>13225</v>
      </c>
      <c r="SHC1" s="69" t="s">
        <v>13226</v>
      </c>
      <c r="SHD1" s="69" t="s">
        <v>13227</v>
      </c>
      <c r="SHE1" s="69" t="s">
        <v>13228</v>
      </c>
      <c r="SHF1" s="69" t="s">
        <v>13229</v>
      </c>
      <c r="SHG1" s="69" t="s">
        <v>13230</v>
      </c>
      <c r="SHH1" s="69" t="s">
        <v>13231</v>
      </c>
      <c r="SHI1" s="69" t="s">
        <v>13232</v>
      </c>
      <c r="SHJ1" s="69" t="s">
        <v>13233</v>
      </c>
      <c r="SHK1" s="69" t="s">
        <v>13234</v>
      </c>
      <c r="SHL1" s="69" t="s">
        <v>13235</v>
      </c>
      <c r="SHM1" s="69" t="s">
        <v>13236</v>
      </c>
      <c r="SHN1" s="69" t="s">
        <v>13237</v>
      </c>
      <c r="SHO1" s="69" t="s">
        <v>13238</v>
      </c>
      <c r="SHP1" s="69" t="s">
        <v>13239</v>
      </c>
      <c r="SHQ1" s="69" t="s">
        <v>13240</v>
      </c>
      <c r="SHR1" s="69" t="s">
        <v>13241</v>
      </c>
      <c r="SHS1" s="69" t="s">
        <v>13242</v>
      </c>
      <c r="SHT1" s="69" t="s">
        <v>13243</v>
      </c>
      <c r="SHU1" s="69" t="s">
        <v>13244</v>
      </c>
      <c r="SHV1" s="69" t="s">
        <v>13245</v>
      </c>
      <c r="SHW1" s="69" t="s">
        <v>13246</v>
      </c>
      <c r="SHX1" s="69" t="s">
        <v>13247</v>
      </c>
      <c r="SHY1" s="69" t="s">
        <v>13248</v>
      </c>
      <c r="SHZ1" s="69" t="s">
        <v>13249</v>
      </c>
      <c r="SIA1" s="69" t="s">
        <v>13250</v>
      </c>
      <c r="SIB1" s="69" t="s">
        <v>13251</v>
      </c>
      <c r="SIC1" s="69" t="s">
        <v>13252</v>
      </c>
      <c r="SID1" s="69" t="s">
        <v>13253</v>
      </c>
      <c r="SIE1" s="69" t="s">
        <v>13254</v>
      </c>
      <c r="SIF1" s="69" t="s">
        <v>13255</v>
      </c>
      <c r="SIG1" s="69" t="s">
        <v>13256</v>
      </c>
      <c r="SIH1" s="69" t="s">
        <v>13257</v>
      </c>
      <c r="SII1" s="69" t="s">
        <v>13258</v>
      </c>
      <c r="SIJ1" s="69" t="s">
        <v>13259</v>
      </c>
      <c r="SIK1" s="69" t="s">
        <v>13260</v>
      </c>
      <c r="SIL1" s="69" t="s">
        <v>13261</v>
      </c>
      <c r="SIM1" s="69" t="s">
        <v>13262</v>
      </c>
      <c r="SIN1" s="69" t="s">
        <v>13263</v>
      </c>
      <c r="SIO1" s="69" t="s">
        <v>13264</v>
      </c>
      <c r="SIP1" s="69" t="s">
        <v>13265</v>
      </c>
      <c r="SIQ1" s="69" t="s">
        <v>13266</v>
      </c>
      <c r="SIR1" s="69" t="s">
        <v>13267</v>
      </c>
      <c r="SIS1" s="69" t="s">
        <v>13268</v>
      </c>
      <c r="SIT1" s="69" t="s">
        <v>13269</v>
      </c>
      <c r="SIU1" s="69" t="s">
        <v>13270</v>
      </c>
      <c r="SIV1" s="69" t="s">
        <v>13271</v>
      </c>
      <c r="SIW1" s="69" t="s">
        <v>13272</v>
      </c>
      <c r="SIX1" s="69" t="s">
        <v>13273</v>
      </c>
      <c r="SIY1" s="69" t="s">
        <v>13274</v>
      </c>
      <c r="SIZ1" s="69" t="s">
        <v>13275</v>
      </c>
      <c r="SJA1" s="69" t="s">
        <v>13276</v>
      </c>
      <c r="SJB1" s="69" t="s">
        <v>13277</v>
      </c>
      <c r="SJC1" s="69" t="s">
        <v>13278</v>
      </c>
      <c r="SJD1" s="69" t="s">
        <v>13279</v>
      </c>
      <c r="SJE1" s="69" t="s">
        <v>13280</v>
      </c>
      <c r="SJF1" s="69" t="s">
        <v>13281</v>
      </c>
      <c r="SJG1" s="69" t="s">
        <v>13282</v>
      </c>
      <c r="SJH1" s="69" t="s">
        <v>13283</v>
      </c>
      <c r="SJI1" s="69" t="s">
        <v>13284</v>
      </c>
      <c r="SJJ1" s="69" t="s">
        <v>13285</v>
      </c>
      <c r="SJK1" s="69" t="s">
        <v>13286</v>
      </c>
      <c r="SJL1" s="69" t="s">
        <v>13287</v>
      </c>
      <c r="SJM1" s="69" t="s">
        <v>13288</v>
      </c>
      <c r="SJN1" s="69" t="s">
        <v>13289</v>
      </c>
      <c r="SJO1" s="69" t="s">
        <v>13290</v>
      </c>
      <c r="SJP1" s="69" t="s">
        <v>13291</v>
      </c>
      <c r="SJQ1" s="69" t="s">
        <v>13292</v>
      </c>
      <c r="SJR1" s="69" t="s">
        <v>13293</v>
      </c>
      <c r="SJS1" s="69" t="s">
        <v>13294</v>
      </c>
      <c r="SJT1" s="69" t="s">
        <v>13295</v>
      </c>
      <c r="SJU1" s="69" t="s">
        <v>13296</v>
      </c>
      <c r="SJV1" s="69" t="s">
        <v>13297</v>
      </c>
      <c r="SJW1" s="69" t="s">
        <v>13298</v>
      </c>
      <c r="SJX1" s="69" t="s">
        <v>13299</v>
      </c>
      <c r="SJY1" s="69" t="s">
        <v>13300</v>
      </c>
      <c r="SJZ1" s="69" t="s">
        <v>13301</v>
      </c>
      <c r="SKA1" s="69" t="s">
        <v>13302</v>
      </c>
      <c r="SKB1" s="69" t="s">
        <v>13303</v>
      </c>
      <c r="SKC1" s="69" t="s">
        <v>13304</v>
      </c>
      <c r="SKD1" s="69" t="s">
        <v>13305</v>
      </c>
      <c r="SKE1" s="69" t="s">
        <v>13306</v>
      </c>
      <c r="SKF1" s="69" t="s">
        <v>13307</v>
      </c>
      <c r="SKG1" s="69" t="s">
        <v>13308</v>
      </c>
      <c r="SKH1" s="69" t="s">
        <v>13309</v>
      </c>
      <c r="SKI1" s="69" t="s">
        <v>13310</v>
      </c>
      <c r="SKJ1" s="69" t="s">
        <v>13311</v>
      </c>
      <c r="SKK1" s="69" t="s">
        <v>13312</v>
      </c>
      <c r="SKL1" s="69" t="s">
        <v>13313</v>
      </c>
      <c r="SKM1" s="69" t="s">
        <v>13314</v>
      </c>
      <c r="SKN1" s="69" t="s">
        <v>13315</v>
      </c>
      <c r="SKO1" s="69" t="s">
        <v>13316</v>
      </c>
      <c r="SKP1" s="69" t="s">
        <v>13317</v>
      </c>
      <c r="SKQ1" s="69" t="s">
        <v>13318</v>
      </c>
      <c r="SKR1" s="69" t="s">
        <v>13319</v>
      </c>
      <c r="SKS1" s="69" t="s">
        <v>13320</v>
      </c>
      <c r="SKT1" s="69" t="s">
        <v>13321</v>
      </c>
      <c r="SKU1" s="69" t="s">
        <v>13322</v>
      </c>
      <c r="SKV1" s="69" t="s">
        <v>13323</v>
      </c>
      <c r="SKW1" s="69" t="s">
        <v>13324</v>
      </c>
      <c r="SKX1" s="69" t="s">
        <v>13325</v>
      </c>
      <c r="SKY1" s="69" t="s">
        <v>13326</v>
      </c>
      <c r="SKZ1" s="69" t="s">
        <v>13327</v>
      </c>
      <c r="SLA1" s="69" t="s">
        <v>13328</v>
      </c>
      <c r="SLB1" s="69" t="s">
        <v>13329</v>
      </c>
      <c r="SLC1" s="69" t="s">
        <v>13330</v>
      </c>
      <c r="SLD1" s="69" t="s">
        <v>13331</v>
      </c>
      <c r="SLE1" s="69" t="s">
        <v>13332</v>
      </c>
      <c r="SLF1" s="69" t="s">
        <v>13333</v>
      </c>
      <c r="SLG1" s="69" t="s">
        <v>13334</v>
      </c>
      <c r="SLH1" s="69" t="s">
        <v>13335</v>
      </c>
      <c r="SLI1" s="69" t="s">
        <v>13336</v>
      </c>
      <c r="SLJ1" s="69" t="s">
        <v>13337</v>
      </c>
      <c r="SLK1" s="69" t="s">
        <v>13338</v>
      </c>
      <c r="SLL1" s="69" t="s">
        <v>13339</v>
      </c>
      <c r="SLM1" s="69" t="s">
        <v>13340</v>
      </c>
      <c r="SLN1" s="69" t="s">
        <v>13341</v>
      </c>
      <c r="SLO1" s="69" t="s">
        <v>13342</v>
      </c>
      <c r="SLP1" s="69" t="s">
        <v>13343</v>
      </c>
      <c r="SLQ1" s="69" t="s">
        <v>13344</v>
      </c>
      <c r="SLR1" s="69" t="s">
        <v>13345</v>
      </c>
      <c r="SLS1" s="69" t="s">
        <v>13346</v>
      </c>
      <c r="SLT1" s="69" t="s">
        <v>13347</v>
      </c>
      <c r="SLU1" s="69" t="s">
        <v>13348</v>
      </c>
      <c r="SLV1" s="69" t="s">
        <v>13349</v>
      </c>
      <c r="SLW1" s="69" t="s">
        <v>13350</v>
      </c>
      <c r="SLX1" s="69" t="s">
        <v>13351</v>
      </c>
      <c r="SLY1" s="69" t="s">
        <v>13352</v>
      </c>
      <c r="SLZ1" s="69" t="s">
        <v>13353</v>
      </c>
      <c r="SMA1" s="69" t="s">
        <v>13354</v>
      </c>
      <c r="SMB1" s="69" t="s">
        <v>13355</v>
      </c>
      <c r="SMC1" s="69" t="s">
        <v>13356</v>
      </c>
      <c r="SMD1" s="69" t="s">
        <v>13357</v>
      </c>
      <c r="SME1" s="69" t="s">
        <v>13358</v>
      </c>
      <c r="SMF1" s="69" t="s">
        <v>13359</v>
      </c>
      <c r="SMG1" s="69" t="s">
        <v>13360</v>
      </c>
      <c r="SMH1" s="69" t="s">
        <v>13361</v>
      </c>
      <c r="SMI1" s="69" t="s">
        <v>13362</v>
      </c>
      <c r="SMJ1" s="69" t="s">
        <v>13363</v>
      </c>
      <c r="SMK1" s="69" t="s">
        <v>13364</v>
      </c>
      <c r="SML1" s="69" t="s">
        <v>13365</v>
      </c>
      <c r="SMM1" s="69" t="s">
        <v>13366</v>
      </c>
      <c r="SMN1" s="69" t="s">
        <v>13367</v>
      </c>
      <c r="SMO1" s="69" t="s">
        <v>13368</v>
      </c>
      <c r="SMP1" s="69" t="s">
        <v>13369</v>
      </c>
      <c r="SMQ1" s="69" t="s">
        <v>13370</v>
      </c>
      <c r="SMR1" s="69" t="s">
        <v>13371</v>
      </c>
      <c r="SMS1" s="69" t="s">
        <v>13372</v>
      </c>
      <c r="SMT1" s="69" t="s">
        <v>13373</v>
      </c>
      <c r="SMU1" s="69" t="s">
        <v>13374</v>
      </c>
      <c r="SMV1" s="69" t="s">
        <v>13375</v>
      </c>
      <c r="SMW1" s="69" t="s">
        <v>13376</v>
      </c>
      <c r="SMX1" s="69" t="s">
        <v>13377</v>
      </c>
      <c r="SMY1" s="69" t="s">
        <v>13378</v>
      </c>
      <c r="SMZ1" s="69" t="s">
        <v>13379</v>
      </c>
      <c r="SNA1" s="69" t="s">
        <v>13380</v>
      </c>
      <c r="SNB1" s="69" t="s">
        <v>13381</v>
      </c>
      <c r="SNC1" s="69" t="s">
        <v>13382</v>
      </c>
      <c r="SND1" s="69" t="s">
        <v>13383</v>
      </c>
      <c r="SNE1" s="69" t="s">
        <v>13384</v>
      </c>
      <c r="SNF1" s="69" t="s">
        <v>13385</v>
      </c>
      <c r="SNG1" s="69" t="s">
        <v>13386</v>
      </c>
      <c r="SNH1" s="69" t="s">
        <v>13387</v>
      </c>
      <c r="SNI1" s="69" t="s">
        <v>13388</v>
      </c>
      <c r="SNJ1" s="69" t="s">
        <v>13389</v>
      </c>
      <c r="SNK1" s="69" t="s">
        <v>13390</v>
      </c>
      <c r="SNL1" s="69" t="s">
        <v>13391</v>
      </c>
      <c r="SNM1" s="69" t="s">
        <v>13392</v>
      </c>
      <c r="SNN1" s="69" t="s">
        <v>13393</v>
      </c>
      <c r="SNO1" s="69" t="s">
        <v>13394</v>
      </c>
      <c r="SNP1" s="69" t="s">
        <v>13395</v>
      </c>
      <c r="SNQ1" s="69" t="s">
        <v>13396</v>
      </c>
      <c r="SNR1" s="69" t="s">
        <v>13397</v>
      </c>
      <c r="SNS1" s="69" t="s">
        <v>13398</v>
      </c>
      <c r="SNT1" s="69" t="s">
        <v>13399</v>
      </c>
      <c r="SNU1" s="69" t="s">
        <v>13400</v>
      </c>
      <c r="SNV1" s="69" t="s">
        <v>13401</v>
      </c>
      <c r="SNW1" s="69" t="s">
        <v>13402</v>
      </c>
      <c r="SNX1" s="69" t="s">
        <v>13403</v>
      </c>
      <c r="SNY1" s="69" t="s">
        <v>13404</v>
      </c>
      <c r="SNZ1" s="69" t="s">
        <v>13405</v>
      </c>
      <c r="SOA1" s="69" t="s">
        <v>13406</v>
      </c>
      <c r="SOB1" s="69" t="s">
        <v>13407</v>
      </c>
      <c r="SOC1" s="69" t="s">
        <v>13408</v>
      </c>
      <c r="SOD1" s="69" t="s">
        <v>13409</v>
      </c>
      <c r="SOE1" s="69" t="s">
        <v>13410</v>
      </c>
      <c r="SOF1" s="69" t="s">
        <v>13411</v>
      </c>
      <c r="SOG1" s="69" t="s">
        <v>13412</v>
      </c>
      <c r="SOH1" s="69" t="s">
        <v>13413</v>
      </c>
      <c r="SOI1" s="69" t="s">
        <v>13414</v>
      </c>
      <c r="SOJ1" s="69" t="s">
        <v>13415</v>
      </c>
      <c r="SOK1" s="69" t="s">
        <v>13416</v>
      </c>
      <c r="SOL1" s="69" t="s">
        <v>13417</v>
      </c>
      <c r="SOM1" s="69" t="s">
        <v>13418</v>
      </c>
      <c r="SON1" s="69" t="s">
        <v>13419</v>
      </c>
      <c r="SOO1" s="69" t="s">
        <v>13420</v>
      </c>
      <c r="SOP1" s="69" t="s">
        <v>13421</v>
      </c>
      <c r="SOQ1" s="69" t="s">
        <v>13422</v>
      </c>
      <c r="SOR1" s="69" t="s">
        <v>13423</v>
      </c>
      <c r="SOS1" s="69" t="s">
        <v>13424</v>
      </c>
      <c r="SOT1" s="69" t="s">
        <v>13425</v>
      </c>
      <c r="SOU1" s="69" t="s">
        <v>13426</v>
      </c>
      <c r="SOV1" s="69" t="s">
        <v>13427</v>
      </c>
      <c r="SOW1" s="69" t="s">
        <v>13428</v>
      </c>
      <c r="SOX1" s="69" t="s">
        <v>13429</v>
      </c>
      <c r="SOY1" s="69" t="s">
        <v>13430</v>
      </c>
      <c r="SOZ1" s="69" t="s">
        <v>13431</v>
      </c>
      <c r="SPA1" s="69" t="s">
        <v>13432</v>
      </c>
      <c r="SPB1" s="69" t="s">
        <v>13433</v>
      </c>
      <c r="SPC1" s="69" t="s">
        <v>13434</v>
      </c>
      <c r="SPD1" s="69" t="s">
        <v>13435</v>
      </c>
      <c r="SPE1" s="69" t="s">
        <v>13436</v>
      </c>
      <c r="SPF1" s="69" t="s">
        <v>13437</v>
      </c>
      <c r="SPG1" s="69" t="s">
        <v>13438</v>
      </c>
      <c r="SPH1" s="69" t="s">
        <v>13439</v>
      </c>
      <c r="SPI1" s="69" t="s">
        <v>13440</v>
      </c>
      <c r="SPJ1" s="69" t="s">
        <v>13441</v>
      </c>
      <c r="SPK1" s="69" t="s">
        <v>13442</v>
      </c>
      <c r="SPL1" s="69" t="s">
        <v>13443</v>
      </c>
      <c r="SPM1" s="69" t="s">
        <v>13444</v>
      </c>
      <c r="SPN1" s="69" t="s">
        <v>13445</v>
      </c>
      <c r="SPO1" s="69" t="s">
        <v>13446</v>
      </c>
      <c r="SPP1" s="69" t="s">
        <v>13447</v>
      </c>
      <c r="SPQ1" s="69" t="s">
        <v>13448</v>
      </c>
      <c r="SPR1" s="69" t="s">
        <v>13449</v>
      </c>
      <c r="SPS1" s="69" t="s">
        <v>13450</v>
      </c>
      <c r="SPT1" s="69" t="s">
        <v>13451</v>
      </c>
      <c r="SPU1" s="69" t="s">
        <v>13452</v>
      </c>
      <c r="SPV1" s="69" t="s">
        <v>13453</v>
      </c>
      <c r="SPW1" s="69" t="s">
        <v>13454</v>
      </c>
      <c r="SPX1" s="69" t="s">
        <v>13455</v>
      </c>
      <c r="SPY1" s="69" t="s">
        <v>13456</v>
      </c>
      <c r="SPZ1" s="69" t="s">
        <v>13457</v>
      </c>
      <c r="SQA1" s="69" t="s">
        <v>13458</v>
      </c>
      <c r="SQB1" s="69" t="s">
        <v>13459</v>
      </c>
      <c r="SQC1" s="69" t="s">
        <v>13460</v>
      </c>
      <c r="SQD1" s="69" t="s">
        <v>13461</v>
      </c>
      <c r="SQE1" s="69" t="s">
        <v>13462</v>
      </c>
      <c r="SQF1" s="69" t="s">
        <v>13463</v>
      </c>
      <c r="SQG1" s="69" t="s">
        <v>13464</v>
      </c>
      <c r="SQH1" s="69" t="s">
        <v>13465</v>
      </c>
      <c r="SQI1" s="69" t="s">
        <v>13466</v>
      </c>
      <c r="SQJ1" s="69" t="s">
        <v>13467</v>
      </c>
      <c r="SQK1" s="69" t="s">
        <v>13468</v>
      </c>
      <c r="SQL1" s="69" t="s">
        <v>13469</v>
      </c>
      <c r="SQM1" s="69" t="s">
        <v>13470</v>
      </c>
      <c r="SQN1" s="69" t="s">
        <v>13471</v>
      </c>
      <c r="SQO1" s="69" t="s">
        <v>13472</v>
      </c>
      <c r="SQP1" s="69" t="s">
        <v>13473</v>
      </c>
      <c r="SQQ1" s="69" t="s">
        <v>13474</v>
      </c>
      <c r="SQR1" s="69" t="s">
        <v>13475</v>
      </c>
      <c r="SQS1" s="69" t="s">
        <v>13476</v>
      </c>
      <c r="SQT1" s="69" t="s">
        <v>13477</v>
      </c>
      <c r="SQU1" s="69" t="s">
        <v>13478</v>
      </c>
      <c r="SQV1" s="69" t="s">
        <v>13479</v>
      </c>
      <c r="SQW1" s="69" t="s">
        <v>13480</v>
      </c>
      <c r="SQX1" s="69" t="s">
        <v>13481</v>
      </c>
      <c r="SQY1" s="69" t="s">
        <v>13482</v>
      </c>
      <c r="SQZ1" s="69" t="s">
        <v>13483</v>
      </c>
      <c r="SRA1" s="69" t="s">
        <v>13484</v>
      </c>
      <c r="SRB1" s="69" t="s">
        <v>13485</v>
      </c>
      <c r="SRC1" s="69" t="s">
        <v>13486</v>
      </c>
      <c r="SRD1" s="69" t="s">
        <v>13487</v>
      </c>
      <c r="SRE1" s="69" t="s">
        <v>13488</v>
      </c>
      <c r="SRF1" s="69" t="s">
        <v>13489</v>
      </c>
      <c r="SRG1" s="69" t="s">
        <v>13490</v>
      </c>
      <c r="SRH1" s="69" t="s">
        <v>13491</v>
      </c>
      <c r="SRI1" s="69" t="s">
        <v>13492</v>
      </c>
      <c r="SRJ1" s="69" t="s">
        <v>13493</v>
      </c>
      <c r="SRK1" s="69" t="s">
        <v>13494</v>
      </c>
      <c r="SRL1" s="69" t="s">
        <v>13495</v>
      </c>
      <c r="SRM1" s="69" t="s">
        <v>13496</v>
      </c>
      <c r="SRN1" s="69" t="s">
        <v>13497</v>
      </c>
      <c r="SRO1" s="69" t="s">
        <v>13498</v>
      </c>
      <c r="SRP1" s="69" t="s">
        <v>13499</v>
      </c>
      <c r="SRQ1" s="69" t="s">
        <v>13500</v>
      </c>
      <c r="SRR1" s="69" t="s">
        <v>13501</v>
      </c>
      <c r="SRS1" s="69" t="s">
        <v>13502</v>
      </c>
      <c r="SRT1" s="69" t="s">
        <v>13503</v>
      </c>
      <c r="SRU1" s="69" t="s">
        <v>13504</v>
      </c>
      <c r="SRV1" s="69" t="s">
        <v>13505</v>
      </c>
      <c r="SRW1" s="69" t="s">
        <v>13506</v>
      </c>
      <c r="SRX1" s="69" t="s">
        <v>13507</v>
      </c>
      <c r="SRY1" s="69" t="s">
        <v>13508</v>
      </c>
      <c r="SRZ1" s="69" t="s">
        <v>13509</v>
      </c>
      <c r="SSA1" s="69" t="s">
        <v>13510</v>
      </c>
      <c r="SSB1" s="69" t="s">
        <v>13511</v>
      </c>
      <c r="SSC1" s="69" t="s">
        <v>13512</v>
      </c>
      <c r="SSD1" s="69" t="s">
        <v>13513</v>
      </c>
      <c r="SSE1" s="69" t="s">
        <v>13514</v>
      </c>
      <c r="SSF1" s="69" t="s">
        <v>13515</v>
      </c>
      <c r="SSG1" s="69" t="s">
        <v>13516</v>
      </c>
      <c r="SSH1" s="69" t="s">
        <v>13517</v>
      </c>
      <c r="SSI1" s="69" t="s">
        <v>13518</v>
      </c>
      <c r="SSJ1" s="69" t="s">
        <v>13519</v>
      </c>
      <c r="SSK1" s="69" t="s">
        <v>13520</v>
      </c>
      <c r="SSL1" s="69" t="s">
        <v>13521</v>
      </c>
      <c r="SSM1" s="69" t="s">
        <v>13522</v>
      </c>
      <c r="SSN1" s="69" t="s">
        <v>13523</v>
      </c>
      <c r="SSO1" s="69" t="s">
        <v>13524</v>
      </c>
      <c r="SSP1" s="69" t="s">
        <v>13525</v>
      </c>
      <c r="SSQ1" s="69" t="s">
        <v>13526</v>
      </c>
      <c r="SSR1" s="69" t="s">
        <v>13527</v>
      </c>
      <c r="SSS1" s="69" t="s">
        <v>13528</v>
      </c>
      <c r="SST1" s="69" t="s">
        <v>13529</v>
      </c>
      <c r="SSU1" s="69" t="s">
        <v>13530</v>
      </c>
      <c r="SSV1" s="69" t="s">
        <v>13531</v>
      </c>
      <c r="SSW1" s="69" t="s">
        <v>13532</v>
      </c>
      <c r="SSX1" s="69" t="s">
        <v>13533</v>
      </c>
      <c r="SSY1" s="69" t="s">
        <v>13534</v>
      </c>
      <c r="SSZ1" s="69" t="s">
        <v>13535</v>
      </c>
      <c r="STA1" s="69" t="s">
        <v>13536</v>
      </c>
      <c r="STB1" s="69" t="s">
        <v>13537</v>
      </c>
      <c r="STC1" s="69" t="s">
        <v>13538</v>
      </c>
      <c r="STD1" s="69" t="s">
        <v>13539</v>
      </c>
      <c r="STE1" s="69" t="s">
        <v>13540</v>
      </c>
      <c r="STF1" s="69" t="s">
        <v>13541</v>
      </c>
      <c r="STG1" s="69" t="s">
        <v>13542</v>
      </c>
      <c r="STH1" s="69" t="s">
        <v>13543</v>
      </c>
      <c r="STI1" s="69" t="s">
        <v>13544</v>
      </c>
      <c r="STJ1" s="69" t="s">
        <v>13545</v>
      </c>
      <c r="STK1" s="69" t="s">
        <v>13546</v>
      </c>
      <c r="STL1" s="69" t="s">
        <v>13547</v>
      </c>
      <c r="STM1" s="69" t="s">
        <v>13548</v>
      </c>
      <c r="STN1" s="69" t="s">
        <v>13549</v>
      </c>
      <c r="STO1" s="69" t="s">
        <v>13550</v>
      </c>
      <c r="STP1" s="69" t="s">
        <v>13551</v>
      </c>
      <c r="STQ1" s="69" t="s">
        <v>13552</v>
      </c>
      <c r="STR1" s="69" t="s">
        <v>13553</v>
      </c>
      <c r="STS1" s="69" t="s">
        <v>13554</v>
      </c>
      <c r="STT1" s="69" t="s">
        <v>13555</v>
      </c>
      <c r="STU1" s="69" t="s">
        <v>13556</v>
      </c>
      <c r="STV1" s="69" t="s">
        <v>13557</v>
      </c>
      <c r="STW1" s="69" t="s">
        <v>13558</v>
      </c>
      <c r="STX1" s="69" t="s">
        <v>13559</v>
      </c>
      <c r="STY1" s="69" t="s">
        <v>13560</v>
      </c>
      <c r="STZ1" s="69" t="s">
        <v>13561</v>
      </c>
      <c r="SUA1" s="69" t="s">
        <v>13562</v>
      </c>
      <c r="SUB1" s="69" t="s">
        <v>13563</v>
      </c>
      <c r="SUC1" s="69" t="s">
        <v>13564</v>
      </c>
      <c r="SUD1" s="69" t="s">
        <v>13565</v>
      </c>
      <c r="SUE1" s="69" t="s">
        <v>13566</v>
      </c>
      <c r="SUF1" s="69" t="s">
        <v>13567</v>
      </c>
      <c r="SUG1" s="69" t="s">
        <v>13568</v>
      </c>
      <c r="SUH1" s="69" t="s">
        <v>13569</v>
      </c>
      <c r="SUI1" s="69" t="s">
        <v>13570</v>
      </c>
      <c r="SUJ1" s="69" t="s">
        <v>13571</v>
      </c>
      <c r="SUK1" s="69" t="s">
        <v>13572</v>
      </c>
      <c r="SUL1" s="69" t="s">
        <v>13573</v>
      </c>
      <c r="SUM1" s="69" t="s">
        <v>13574</v>
      </c>
      <c r="SUN1" s="69" t="s">
        <v>13575</v>
      </c>
      <c r="SUO1" s="69" t="s">
        <v>13576</v>
      </c>
      <c r="SUP1" s="69" t="s">
        <v>13577</v>
      </c>
      <c r="SUQ1" s="69" t="s">
        <v>13578</v>
      </c>
      <c r="SUR1" s="69" t="s">
        <v>13579</v>
      </c>
      <c r="SUS1" s="69" t="s">
        <v>13580</v>
      </c>
      <c r="SUT1" s="69" t="s">
        <v>13581</v>
      </c>
      <c r="SUU1" s="69" t="s">
        <v>13582</v>
      </c>
      <c r="SUV1" s="69" t="s">
        <v>13583</v>
      </c>
      <c r="SUW1" s="69" t="s">
        <v>13584</v>
      </c>
      <c r="SUX1" s="69" t="s">
        <v>13585</v>
      </c>
      <c r="SUY1" s="69" t="s">
        <v>13586</v>
      </c>
      <c r="SUZ1" s="69" t="s">
        <v>13587</v>
      </c>
      <c r="SVA1" s="69" t="s">
        <v>13588</v>
      </c>
      <c r="SVB1" s="69" t="s">
        <v>13589</v>
      </c>
      <c r="SVC1" s="69" t="s">
        <v>13590</v>
      </c>
      <c r="SVD1" s="69" t="s">
        <v>13591</v>
      </c>
      <c r="SVE1" s="69" t="s">
        <v>13592</v>
      </c>
      <c r="SVF1" s="69" t="s">
        <v>13593</v>
      </c>
      <c r="SVG1" s="69" t="s">
        <v>13594</v>
      </c>
      <c r="SVH1" s="69" t="s">
        <v>13595</v>
      </c>
      <c r="SVI1" s="69" t="s">
        <v>13596</v>
      </c>
      <c r="SVJ1" s="69" t="s">
        <v>13597</v>
      </c>
      <c r="SVK1" s="69" t="s">
        <v>13598</v>
      </c>
      <c r="SVL1" s="69" t="s">
        <v>13599</v>
      </c>
      <c r="SVM1" s="69" t="s">
        <v>13600</v>
      </c>
      <c r="SVN1" s="69" t="s">
        <v>13601</v>
      </c>
      <c r="SVO1" s="69" t="s">
        <v>13602</v>
      </c>
      <c r="SVP1" s="69" t="s">
        <v>13603</v>
      </c>
      <c r="SVQ1" s="69" t="s">
        <v>13604</v>
      </c>
      <c r="SVR1" s="69" t="s">
        <v>13605</v>
      </c>
      <c r="SVS1" s="69" t="s">
        <v>13606</v>
      </c>
      <c r="SVT1" s="69" t="s">
        <v>13607</v>
      </c>
      <c r="SVU1" s="69" t="s">
        <v>13608</v>
      </c>
      <c r="SVV1" s="69" t="s">
        <v>13609</v>
      </c>
      <c r="SVW1" s="69" t="s">
        <v>13610</v>
      </c>
      <c r="SVX1" s="69" t="s">
        <v>13611</v>
      </c>
      <c r="SVY1" s="69" t="s">
        <v>13612</v>
      </c>
      <c r="SVZ1" s="69" t="s">
        <v>13613</v>
      </c>
      <c r="SWA1" s="69" t="s">
        <v>13614</v>
      </c>
      <c r="SWB1" s="69" t="s">
        <v>13615</v>
      </c>
      <c r="SWC1" s="69" t="s">
        <v>13616</v>
      </c>
      <c r="SWD1" s="69" t="s">
        <v>13617</v>
      </c>
      <c r="SWE1" s="69" t="s">
        <v>13618</v>
      </c>
      <c r="SWF1" s="69" t="s">
        <v>13619</v>
      </c>
      <c r="SWG1" s="69" t="s">
        <v>13620</v>
      </c>
      <c r="SWH1" s="69" t="s">
        <v>13621</v>
      </c>
      <c r="SWI1" s="69" t="s">
        <v>13622</v>
      </c>
      <c r="SWJ1" s="69" t="s">
        <v>13623</v>
      </c>
      <c r="SWK1" s="69" t="s">
        <v>13624</v>
      </c>
      <c r="SWL1" s="69" t="s">
        <v>13625</v>
      </c>
      <c r="SWM1" s="69" t="s">
        <v>13626</v>
      </c>
      <c r="SWN1" s="69" t="s">
        <v>13627</v>
      </c>
      <c r="SWO1" s="69" t="s">
        <v>13628</v>
      </c>
      <c r="SWP1" s="69" t="s">
        <v>13629</v>
      </c>
      <c r="SWQ1" s="69" t="s">
        <v>13630</v>
      </c>
      <c r="SWR1" s="69" t="s">
        <v>13631</v>
      </c>
      <c r="SWS1" s="69" t="s">
        <v>13632</v>
      </c>
      <c r="SWT1" s="69" t="s">
        <v>13633</v>
      </c>
      <c r="SWU1" s="69" t="s">
        <v>13634</v>
      </c>
      <c r="SWV1" s="69" t="s">
        <v>13635</v>
      </c>
      <c r="SWW1" s="69" t="s">
        <v>13636</v>
      </c>
      <c r="SWX1" s="69" t="s">
        <v>13637</v>
      </c>
      <c r="SWY1" s="69" t="s">
        <v>13638</v>
      </c>
      <c r="SWZ1" s="69" t="s">
        <v>13639</v>
      </c>
      <c r="SXA1" s="69" t="s">
        <v>13640</v>
      </c>
      <c r="SXB1" s="69" t="s">
        <v>13641</v>
      </c>
      <c r="SXC1" s="69" t="s">
        <v>13642</v>
      </c>
      <c r="SXD1" s="69" t="s">
        <v>13643</v>
      </c>
      <c r="SXE1" s="69" t="s">
        <v>13644</v>
      </c>
      <c r="SXF1" s="69" t="s">
        <v>13645</v>
      </c>
      <c r="SXG1" s="69" t="s">
        <v>13646</v>
      </c>
      <c r="SXH1" s="69" t="s">
        <v>13647</v>
      </c>
      <c r="SXI1" s="69" t="s">
        <v>13648</v>
      </c>
      <c r="SXJ1" s="69" t="s">
        <v>13649</v>
      </c>
      <c r="SXK1" s="69" t="s">
        <v>13650</v>
      </c>
      <c r="SXL1" s="69" t="s">
        <v>13651</v>
      </c>
      <c r="SXM1" s="69" t="s">
        <v>13652</v>
      </c>
      <c r="SXN1" s="69" t="s">
        <v>13653</v>
      </c>
      <c r="SXO1" s="69" t="s">
        <v>13654</v>
      </c>
      <c r="SXP1" s="69" t="s">
        <v>13655</v>
      </c>
      <c r="SXQ1" s="69" t="s">
        <v>13656</v>
      </c>
      <c r="SXR1" s="69" t="s">
        <v>13657</v>
      </c>
      <c r="SXS1" s="69" t="s">
        <v>13658</v>
      </c>
      <c r="SXT1" s="69" t="s">
        <v>13659</v>
      </c>
      <c r="SXU1" s="69" t="s">
        <v>13660</v>
      </c>
      <c r="SXV1" s="69" t="s">
        <v>13661</v>
      </c>
      <c r="SXW1" s="69" t="s">
        <v>13662</v>
      </c>
      <c r="SXX1" s="69" t="s">
        <v>13663</v>
      </c>
      <c r="SXY1" s="69" t="s">
        <v>13664</v>
      </c>
      <c r="SXZ1" s="69" t="s">
        <v>13665</v>
      </c>
      <c r="SYA1" s="69" t="s">
        <v>13666</v>
      </c>
      <c r="SYB1" s="69" t="s">
        <v>13667</v>
      </c>
      <c r="SYC1" s="69" t="s">
        <v>13668</v>
      </c>
      <c r="SYD1" s="69" t="s">
        <v>13669</v>
      </c>
      <c r="SYE1" s="69" t="s">
        <v>13670</v>
      </c>
      <c r="SYF1" s="69" t="s">
        <v>13671</v>
      </c>
      <c r="SYG1" s="69" t="s">
        <v>13672</v>
      </c>
      <c r="SYH1" s="69" t="s">
        <v>13673</v>
      </c>
      <c r="SYI1" s="69" t="s">
        <v>13674</v>
      </c>
      <c r="SYJ1" s="69" t="s">
        <v>13675</v>
      </c>
      <c r="SYK1" s="69" t="s">
        <v>13676</v>
      </c>
      <c r="SYL1" s="69" t="s">
        <v>13677</v>
      </c>
      <c r="SYM1" s="69" t="s">
        <v>13678</v>
      </c>
      <c r="SYN1" s="69" t="s">
        <v>13679</v>
      </c>
      <c r="SYO1" s="69" t="s">
        <v>13680</v>
      </c>
      <c r="SYP1" s="69" t="s">
        <v>13681</v>
      </c>
      <c r="SYQ1" s="69" t="s">
        <v>13682</v>
      </c>
      <c r="SYR1" s="69" t="s">
        <v>13683</v>
      </c>
      <c r="SYS1" s="69" t="s">
        <v>13684</v>
      </c>
      <c r="SYT1" s="69" t="s">
        <v>13685</v>
      </c>
      <c r="SYU1" s="69" t="s">
        <v>13686</v>
      </c>
      <c r="SYV1" s="69" t="s">
        <v>13687</v>
      </c>
      <c r="SYW1" s="69" t="s">
        <v>13688</v>
      </c>
      <c r="SYX1" s="69" t="s">
        <v>13689</v>
      </c>
      <c r="SYY1" s="69" t="s">
        <v>13690</v>
      </c>
      <c r="SYZ1" s="69" t="s">
        <v>13691</v>
      </c>
      <c r="SZA1" s="69" t="s">
        <v>13692</v>
      </c>
      <c r="SZB1" s="69" t="s">
        <v>13693</v>
      </c>
      <c r="SZC1" s="69" t="s">
        <v>13694</v>
      </c>
      <c r="SZD1" s="69" t="s">
        <v>13695</v>
      </c>
      <c r="SZE1" s="69" t="s">
        <v>13696</v>
      </c>
      <c r="SZF1" s="69" t="s">
        <v>13697</v>
      </c>
      <c r="SZG1" s="69" t="s">
        <v>13698</v>
      </c>
      <c r="SZH1" s="69" t="s">
        <v>13699</v>
      </c>
      <c r="SZI1" s="69" t="s">
        <v>13700</v>
      </c>
      <c r="SZJ1" s="69" t="s">
        <v>13701</v>
      </c>
      <c r="SZK1" s="69" t="s">
        <v>13702</v>
      </c>
      <c r="SZL1" s="69" t="s">
        <v>13703</v>
      </c>
      <c r="SZM1" s="69" t="s">
        <v>13704</v>
      </c>
      <c r="SZN1" s="69" t="s">
        <v>13705</v>
      </c>
      <c r="SZO1" s="69" t="s">
        <v>13706</v>
      </c>
      <c r="SZP1" s="69" t="s">
        <v>13707</v>
      </c>
      <c r="SZQ1" s="69" t="s">
        <v>13708</v>
      </c>
      <c r="SZR1" s="69" t="s">
        <v>13709</v>
      </c>
      <c r="SZS1" s="69" t="s">
        <v>13710</v>
      </c>
      <c r="SZT1" s="69" t="s">
        <v>13711</v>
      </c>
      <c r="SZU1" s="69" t="s">
        <v>13712</v>
      </c>
      <c r="SZV1" s="69" t="s">
        <v>13713</v>
      </c>
      <c r="SZW1" s="69" t="s">
        <v>13714</v>
      </c>
      <c r="SZX1" s="69" t="s">
        <v>13715</v>
      </c>
      <c r="SZY1" s="69" t="s">
        <v>13716</v>
      </c>
      <c r="SZZ1" s="69" t="s">
        <v>13717</v>
      </c>
      <c r="TAA1" s="69" t="s">
        <v>13718</v>
      </c>
      <c r="TAB1" s="69" t="s">
        <v>13719</v>
      </c>
      <c r="TAC1" s="69" t="s">
        <v>13720</v>
      </c>
      <c r="TAD1" s="69" t="s">
        <v>13721</v>
      </c>
      <c r="TAE1" s="69" t="s">
        <v>13722</v>
      </c>
      <c r="TAF1" s="69" t="s">
        <v>13723</v>
      </c>
      <c r="TAG1" s="69" t="s">
        <v>13724</v>
      </c>
      <c r="TAH1" s="69" t="s">
        <v>13725</v>
      </c>
      <c r="TAI1" s="69" t="s">
        <v>13726</v>
      </c>
      <c r="TAJ1" s="69" t="s">
        <v>13727</v>
      </c>
      <c r="TAK1" s="69" t="s">
        <v>13728</v>
      </c>
      <c r="TAL1" s="69" t="s">
        <v>13729</v>
      </c>
      <c r="TAM1" s="69" t="s">
        <v>13730</v>
      </c>
      <c r="TAN1" s="69" t="s">
        <v>13731</v>
      </c>
      <c r="TAO1" s="69" t="s">
        <v>13732</v>
      </c>
      <c r="TAP1" s="69" t="s">
        <v>13733</v>
      </c>
      <c r="TAQ1" s="69" t="s">
        <v>13734</v>
      </c>
      <c r="TAR1" s="69" t="s">
        <v>13735</v>
      </c>
      <c r="TAS1" s="69" t="s">
        <v>13736</v>
      </c>
      <c r="TAT1" s="69" t="s">
        <v>13737</v>
      </c>
      <c r="TAU1" s="69" t="s">
        <v>13738</v>
      </c>
      <c r="TAV1" s="69" t="s">
        <v>13739</v>
      </c>
      <c r="TAW1" s="69" t="s">
        <v>13740</v>
      </c>
      <c r="TAX1" s="69" t="s">
        <v>13741</v>
      </c>
      <c r="TAY1" s="69" t="s">
        <v>13742</v>
      </c>
      <c r="TAZ1" s="69" t="s">
        <v>13743</v>
      </c>
      <c r="TBA1" s="69" t="s">
        <v>13744</v>
      </c>
      <c r="TBB1" s="69" t="s">
        <v>13745</v>
      </c>
      <c r="TBC1" s="69" t="s">
        <v>13746</v>
      </c>
      <c r="TBD1" s="69" t="s">
        <v>13747</v>
      </c>
      <c r="TBE1" s="69" t="s">
        <v>13748</v>
      </c>
      <c r="TBF1" s="69" t="s">
        <v>13749</v>
      </c>
      <c r="TBG1" s="69" t="s">
        <v>13750</v>
      </c>
      <c r="TBH1" s="69" t="s">
        <v>13751</v>
      </c>
      <c r="TBI1" s="69" t="s">
        <v>13752</v>
      </c>
      <c r="TBJ1" s="69" t="s">
        <v>13753</v>
      </c>
      <c r="TBK1" s="69" t="s">
        <v>13754</v>
      </c>
      <c r="TBL1" s="69" t="s">
        <v>13755</v>
      </c>
      <c r="TBM1" s="69" t="s">
        <v>13756</v>
      </c>
      <c r="TBN1" s="69" t="s">
        <v>13757</v>
      </c>
      <c r="TBO1" s="69" t="s">
        <v>13758</v>
      </c>
      <c r="TBP1" s="69" t="s">
        <v>13759</v>
      </c>
      <c r="TBQ1" s="69" t="s">
        <v>13760</v>
      </c>
      <c r="TBR1" s="69" t="s">
        <v>13761</v>
      </c>
      <c r="TBS1" s="69" t="s">
        <v>13762</v>
      </c>
      <c r="TBT1" s="69" t="s">
        <v>13763</v>
      </c>
      <c r="TBU1" s="69" t="s">
        <v>13764</v>
      </c>
      <c r="TBV1" s="69" t="s">
        <v>13765</v>
      </c>
      <c r="TBW1" s="69" t="s">
        <v>13766</v>
      </c>
      <c r="TBX1" s="69" t="s">
        <v>13767</v>
      </c>
      <c r="TBY1" s="69" t="s">
        <v>13768</v>
      </c>
      <c r="TBZ1" s="69" t="s">
        <v>13769</v>
      </c>
      <c r="TCA1" s="69" t="s">
        <v>13770</v>
      </c>
      <c r="TCB1" s="69" t="s">
        <v>13771</v>
      </c>
      <c r="TCC1" s="69" t="s">
        <v>13772</v>
      </c>
      <c r="TCD1" s="69" t="s">
        <v>13773</v>
      </c>
      <c r="TCE1" s="69" t="s">
        <v>13774</v>
      </c>
      <c r="TCF1" s="69" t="s">
        <v>13775</v>
      </c>
      <c r="TCG1" s="69" t="s">
        <v>13776</v>
      </c>
      <c r="TCH1" s="69" t="s">
        <v>13777</v>
      </c>
      <c r="TCI1" s="69" t="s">
        <v>13778</v>
      </c>
      <c r="TCJ1" s="69" t="s">
        <v>13779</v>
      </c>
      <c r="TCK1" s="69" t="s">
        <v>13780</v>
      </c>
      <c r="TCL1" s="69" t="s">
        <v>13781</v>
      </c>
      <c r="TCM1" s="69" t="s">
        <v>13782</v>
      </c>
      <c r="TCN1" s="69" t="s">
        <v>13783</v>
      </c>
      <c r="TCO1" s="69" t="s">
        <v>13784</v>
      </c>
      <c r="TCP1" s="69" t="s">
        <v>13785</v>
      </c>
      <c r="TCQ1" s="69" t="s">
        <v>13786</v>
      </c>
      <c r="TCR1" s="69" t="s">
        <v>13787</v>
      </c>
      <c r="TCS1" s="69" t="s">
        <v>13788</v>
      </c>
      <c r="TCT1" s="69" t="s">
        <v>13789</v>
      </c>
      <c r="TCU1" s="69" t="s">
        <v>13790</v>
      </c>
      <c r="TCV1" s="69" t="s">
        <v>13791</v>
      </c>
      <c r="TCW1" s="69" t="s">
        <v>13792</v>
      </c>
      <c r="TCX1" s="69" t="s">
        <v>13793</v>
      </c>
      <c r="TCY1" s="69" t="s">
        <v>13794</v>
      </c>
      <c r="TCZ1" s="69" t="s">
        <v>13795</v>
      </c>
      <c r="TDA1" s="69" t="s">
        <v>13796</v>
      </c>
      <c r="TDB1" s="69" t="s">
        <v>13797</v>
      </c>
      <c r="TDC1" s="69" t="s">
        <v>13798</v>
      </c>
      <c r="TDD1" s="69" t="s">
        <v>13799</v>
      </c>
      <c r="TDE1" s="69" t="s">
        <v>13800</v>
      </c>
      <c r="TDF1" s="69" t="s">
        <v>13801</v>
      </c>
      <c r="TDG1" s="69" t="s">
        <v>13802</v>
      </c>
      <c r="TDH1" s="69" t="s">
        <v>13803</v>
      </c>
      <c r="TDI1" s="69" t="s">
        <v>13804</v>
      </c>
      <c r="TDJ1" s="69" t="s">
        <v>13805</v>
      </c>
      <c r="TDK1" s="69" t="s">
        <v>13806</v>
      </c>
      <c r="TDL1" s="69" t="s">
        <v>13807</v>
      </c>
      <c r="TDM1" s="69" t="s">
        <v>13808</v>
      </c>
      <c r="TDN1" s="69" t="s">
        <v>13809</v>
      </c>
      <c r="TDO1" s="69" t="s">
        <v>13810</v>
      </c>
      <c r="TDP1" s="69" t="s">
        <v>13811</v>
      </c>
      <c r="TDQ1" s="69" t="s">
        <v>13812</v>
      </c>
      <c r="TDR1" s="69" t="s">
        <v>13813</v>
      </c>
      <c r="TDS1" s="69" t="s">
        <v>13814</v>
      </c>
      <c r="TDT1" s="69" t="s">
        <v>13815</v>
      </c>
      <c r="TDU1" s="69" t="s">
        <v>13816</v>
      </c>
      <c r="TDV1" s="69" t="s">
        <v>13817</v>
      </c>
      <c r="TDW1" s="69" t="s">
        <v>13818</v>
      </c>
      <c r="TDX1" s="69" t="s">
        <v>13819</v>
      </c>
      <c r="TDY1" s="69" t="s">
        <v>13820</v>
      </c>
      <c r="TDZ1" s="69" t="s">
        <v>13821</v>
      </c>
      <c r="TEA1" s="69" t="s">
        <v>13822</v>
      </c>
      <c r="TEB1" s="69" t="s">
        <v>13823</v>
      </c>
      <c r="TEC1" s="69" t="s">
        <v>13824</v>
      </c>
      <c r="TED1" s="69" t="s">
        <v>13825</v>
      </c>
      <c r="TEE1" s="69" t="s">
        <v>13826</v>
      </c>
      <c r="TEF1" s="69" t="s">
        <v>13827</v>
      </c>
      <c r="TEG1" s="69" t="s">
        <v>13828</v>
      </c>
      <c r="TEH1" s="69" t="s">
        <v>13829</v>
      </c>
      <c r="TEI1" s="69" t="s">
        <v>13830</v>
      </c>
      <c r="TEJ1" s="69" t="s">
        <v>13831</v>
      </c>
      <c r="TEK1" s="69" t="s">
        <v>13832</v>
      </c>
      <c r="TEL1" s="69" t="s">
        <v>13833</v>
      </c>
      <c r="TEM1" s="69" t="s">
        <v>13834</v>
      </c>
      <c r="TEN1" s="69" t="s">
        <v>13835</v>
      </c>
      <c r="TEO1" s="69" t="s">
        <v>13836</v>
      </c>
      <c r="TEP1" s="69" t="s">
        <v>13837</v>
      </c>
      <c r="TEQ1" s="69" t="s">
        <v>13838</v>
      </c>
      <c r="TER1" s="69" t="s">
        <v>13839</v>
      </c>
      <c r="TES1" s="69" t="s">
        <v>13840</v>
      </c>
      <c r="TET1" s="69" t="s">
        <v>13841</v>
      </c>
      <c r="TEU1" s="69" t="s">
        <v>13842</v>
      </c>
      <c r="TEV1" s="69" t="s">
        <v>13843</v>
      </c>
      <c r="TEW1" s="69" t="s">
        <v>13844</v>
      </c>
      <c r="TEX1" s="69" t="s">
        <v>13845</v>
      </c>
      <c r="TEY1" s="69" t="s">
        <v>13846</v>
      </c>
      <c r="TEZ1" s="69" t="s">
        <v>13847</v>
      </c>
      <c r="TFA1" s="69" t="s">
        <v>13848</v>
      </c>
      <c r="TFB1" s="69" t="s">
        <v>13849</v>
      </c>
      <c r="TFC1" s="69" t="s">
        <v>13850</v>
      </c>
      <c r="TFD1" s="69" t="s">
        <v>13851</v>
      </c>
      <c r="TFE1" s="69" t="s">
        <v>13852</v>
      </c>
      <c r="TFF1" s="69" t="s">
        <v>13853</v>
      </c>
      <c r="TFG1" s="69" t="s">
        <v>13854</v>
      </c>
      <c r="TFH1" s="69" t="s">
        <v>13855</v>
      </c>
      <c r="TFI1" s="69" t="s">
        <v>13856</v>
      </c>
      <c r="TFJ1" s="69" t="s">
        <v>13857</v>
      </c>
      <c r="TFK1" s="69" t="s">
        <v>13858</v>
      </c>
      <c r="TFL1" s="69" t="s">
        <v>13859</v>
      </c>
      <c r="TFM1" s="69" t="s">
        <v>13860</v>
      </c>
      <c r="TFN1" s="69" t="s">
        <v>13861</v>
      </c>
      <c r="TFO1" s="69" t="s">
        <v>13862</v>
      </c>
      <c r="TFP1" s="69" t="s">
        <v>13863</v>
      </c>
      <c r="TFQ1" s="69" t="s">
        <v>13864</v>
      </c>
      <c r="TFR1" s="69" t="s">
        <v>13865</v>
      </c>
      <c r="TFS1" s="69" t="s">
        <v>13866</v>
      </c>
      <c r="TFT1" s="69" t="s">
        <v>13867</v>
      </c>
      <c r="TFU1" s="69" t="s">
        <v>13868</v>
      </c>
      <c r="TFV1" s="69" t="s">
        <v>13869</v>
      </c>
      <c r="TFW1" s="69" t="s">
        <v>13870</v>
      </c>
      <c r="TFX1" s="69" t="s">
        <v>13871</v>
      </c>
      <c r="TFY1" s="69" t="s">
        <v>13872</v>
      </c>
      <c r="TFZ1" s="69" t="s">
        <v>13873</v>
      </c>
      <c r="TGA1" s="69" t="s">
        <v>13874</v>
      </c>
      <c r="TGB1" s="69" t="s">
        <v>13875</v>
      </c>
      <c r="TGC1" s="69" t="s">
        <v>13876</v>
      </c>
      <c r="TGD1" s="69" t="s">
        <v>13877</v>
      </c>
      <c r="TGE1" s="69" t="s">
        <v>13878</v>
      </c>
      <c r="TGF1" s="69" t="s">
        <v>13879</v>
      </c>
      <c r="TGG1" s="69" t="s">
        <v>13880</v>
      </c>
      <c r="TGH1" s="69" t="s">
        <v>13881</v>
      </c>
      <c r="TGI1" s="69" t="s">
        <v>13882</v>
      </c>
      <c r="TGJ1" s="69" t="s">
        <v>13883</v>
      </c>
      <c r="TGK1" s="69" t="s">
        <v>13884</v>
      </c>
      <c r="TGL1" s="69" t="s">
        <v>13885</v>
      </c>
      <c r="TGM1" s="69" t="s">
        <v>13886</v>
      </c>
      <c r="TGN1" s="69" t="s">
        <v>13887</v>
      </c>
      <c r="TGO1" s="69" t="s">
        <v>13888</v>
      </c>
      <c r="TGP1" s="69" t="s">
        <v>13889</v>
      </c>
      <c r="TGQ1" s="69" t="s">
        <v>13890</v>
      </c>
      <c r="TGR1" s="69" t="s">
        <v>13891</v>
      </c>
      <c r="TGS1" s="69" t="s">
        <v>13892</v>
      </c>
      <c r="TGT1" s="69" t="s">
        <v>13893</v>
      </c>
      <c r="TGU1" s="69" t="s">
        <v>13894</v>
      </c>
      <c r="TGV1" s="69" t="s">
        <v>13895</v>
      </c>
      <c r="TGW1" s="69" t="s">
        <v>13896</v>
      </c>
      <c r="TGX1" s="69" t="s">
        <v>13897</v>
      </c>
      <c r="TGY1" s="69" t="s">
        <v>13898</v>
      </c>
      <c r="TGZ1" s="69" t="s">
        <v>13899</v>
      </c>
      <c r="THA1" s="69" t="s">
        <v>13900</v>
      </c>
      <c r="THB1" s="69" t="s">
        <v>13901</v>
      </c>
      <c r="THC1" s="69" t="s">
        <v>13902</v>
      </c>
      <c r="THD1" s="69" t="s">
        <v>13903</v>
      </c>
      <c r="THE1" s="69" t="s">
        <v>13904</v>
      </c>
      <c r="THF1" s="69" t="s">
        <v>13905</v>
      </c>
      <c r="THG1" s="69" t="s">
        <v>13906</v>
      </c>
      <c r="THH1" s="69" t="s">
        <v>13907</v>
      </c>
      <c r="THI1" s="69" t="s">
        <v>13908</v>
      </c>
      <c r="THJ1" s="69" t="s">
        <v>13909</v>
      </c>
      <c r="THK1" s="69" t="s">
        <v>13910</v>
      </c>
      <c r="THL1" s="69" t="s">
        <v>13911</v>
      </c>
      <c r="THM1" s="69" t="s">
        <v>13912</v>
      </c>
      <c r="THN1" s="69" t="s">
        <v>13913</v>
      </c>
      <c r="THO1" s="69" t="s">
        <v>13914</v>
      </c>
      <c r="THP1" s="69" t="s">
        <v>13915</v>
      </c>
      <c r="THQ1" s="69" t="s">
        <v>13916</v>
      </c>
      <c r="THR1" s="69" t="s">
        <v>13917</v>
      </c>
      <c r="THS1" s="69" t="s">
        <v>13918</v>
      </c>
      <c r="THT1" s="69" t="s">
        <v>13919</v>
      </c>
      <c r="THU1" s="69" t="s">
        <v>13920</v>
      </c>
      <c r="THV1" s="69" t="s">
        <v>13921</v>
      </c>
      <c r="THW1" s="69" t="s">
        <v>13922</v>
      </c>
      <c r="THX1" s="69" t="s">
        <v>13923</v>
      </c>
      <c r="THY1" s="69" t="s">
        <v>13924</v>
      </c>
      <c r="THZ1" s="69" t="s">
        <v>13925</v>
      </c>
      <c r="TIA1" s="69" t="s">
        <v>13926</v>
      </c>
      <c r="TIB1" s="69" t="s">
        <v>13927</v>
      </c>
      <c r="TIC1" s="69" t="s">
        <v>13928</v>
      </c>
      <c r="TID1" s="69" t="s">
        <v>13929</v>
      </c>
      <c r="TIE1" s="69" t="s">
        <v>13930</v>
      </c>
      <c r="TIF1" s="69" t="s">
        <v>13931</v>
      </c>
      <c r="TIG1" s="69" t="s">
        <v>13932</v>
      </c>
      <c r="TIH1" s="69" t="s">
        <v>13933</v>
      </c>
      <c r="TII1" s="69" t="s">
        <v>13934</v>
      </c>
      <c r="TIJ1" s="69" t="s">
        <v>13935</v>
      </c>
      <c r="TIK1" s="69" t="s">
        <v>13936</v>
      </c>
      <c r="TIL1" s="69" t="s">
        <v>13937</v>
      </c>
      <c r="TIM1" s="69" t="s">
        <v>13938</v>
      </c>
      <c r="TIN1" s="69" t="s">
        <v>13939</v>
      </c>
      <c r="TIO1" s="69" t="s">
        <v>13940</v>
      </c>
      <c r="TIP1" s="69" t="s">
        <v>13941</v>
      </c>
      <c r="TIQ1" s="69" t="s">
        <v>13942</v>
      </c>
      <c r="TIR1" s="69" t="s">
        <v>13943</v>
      </c>
      <c r="TIS1" s="69" t="s">
        <v>13944</v>
      </c>
      <c r="TIT1" s="69" t="s">
        <v>13945</v>
      </c>
      <c r="TIU1" s="69" t="s">
        <v>13946</v>
      </c>
      <c r="TIV1" s="69" t="s">
        <v>13947</v>
      </c>
      <c r="TIW1" s="69" t="s">
        <v>13948</v>
      </c>
      <c r="TIX1" s="69" t="s">
        <v>13949</v>
      </c>
      <c r="TIY1" s="69" t="s">
        <v>13950</v>
      </c>
      <c r="TIZ1" s="69" t="s">
        <v>13951</v>
      </c>
      <c r="TJA1" s="69" t="s">
        <v>13952</v>
      </c>
      <c r="TJB1" s="69" t="s">
        <v>13953</v>
      </c>
      <c r="TJC1" s="69" t="s">
        <v>13954</v>
      </c>
      <c r="TJD1" s="69" t="s">
        <v>13955</v>
      </c>
      <c r="TJE1" s="69" t="s">
        <v>13956</v>
      </c>
      <c r="TJF1" s="69" t="s">
        <v>13957</v>
      </c>
      <c r="TJG1" s="69" t="s">
        <v>13958</v>
      </c>
      <c r="TJH1" s="69" t="s">
        <v>13959</v>
      </c>
      <c r="TJI1" s="69" t="s">
        <v>13960</v>
      </c>
      <c r="TJJ1" s="69" t="s">
        <v>13961</v>
      </c>
      <c r="TJK1" s="69" t="s">
        <v>13962</v>
      </c>
      <c r="TJL1" s="69" t="s">
        <v>13963</v>
      </c>
      <c r="TJM1" s="69" t="s">
        <v>13964</v>
      </c>
      <c r="TJN1" s="69" t="s">
        <v>13965</v>
      </c>
      <c r="TJO1" s="69" t="s">
        <v>13966</v>
      </c>
      <c r="TJP1" s="69" t="s">
        <v>13967</v>
      </c>
      <c r="TJQ1" s="69" t="s">
        <v>13968</v>
      </c>
      <c r="TJR1" s="69" t="s">
        <v>13969</v>
      </c>
      <c r="TJS1" s="69" t="s">
        <v>13970</v>
      </c>
      <c r="TJT1" s="69" t="s">
        <v>13971</v>
      </c>
      <c r="TJU1" s="69" t="s">
        <v>13972</v>
      </c>
      <c r="TJV1" s="69" t="s">
        <v>13973</v>
      </c>
      <c r="TJW1" s="69" t="s">
        <v>13974</v>
      </c>
      <c r="TJX1" s="69" t="s">
        <v>13975</v>
      </c>
      <c r="TJY1" s="69" t="s">
        <v>13976</v>
      </c>
      <c r="TJZ1" s="69" t="s">
        <v>13977</v>
      </c>
      <c r="TKA1" s="69" t="s">
        <v>13978</v>
      </c>
      <c r="TKB1" s="69" t="s">
        <v>13979</v>
      </c>
      <c r="TKC1" s="69" t="s">
        <v>13980</v>
      </c>
      <c r="TKD1" s="69" t="s">
        <v>13981</v>
      </c>
      <c r="TKE1" s="69" t="s">
        <v>13982</v>
      </c>
      <c r="TKF1" s="69" t="s">
        <v>13983</v>
      </c>
      <c r="TKG1" s="69" t="s">
        <v>13984</v>
      </c>
      <c r="TKH1" s="69" t="s">
        <v>13985</v>
      </c>
      <c r="TKI1" s="69" t="s">
        <v>13986</v>
      </c>
      <c r="TKJ1" s="69" t="s">
        <v>13987</v>
      </c>
      <c r="TKK1" s="69" t="s">
        <v>13988</v>
      </c>
      <c r="TKL1" s="69" t="s">
        <v>13989</v>
      </c>
      <c r="TKM1" s="69" t="s">
        <v>13990</v>
      </c>
      <c r="TKN1" s="69" t="s">
        <v>13991</v>
      </c>
      <c r="TKO1" s="69" t="s">
        <v>13992</v>
      </c>
      <c r="TKP1" s="69" t="s">
        <v>13993</v>
      </c>
      <c r="TKQ1" s="69" t="s">
        <v>13994</v>
      </c>
      <c r="TKR1" s="69" t="s">
        <v>13995</v>
      </c>
      <c r="TKS1" s="69" t="s">
        <v>13996</v>
      </c>
      <c r="TKT1" s="69" t="s">
        <v>13997</v>
      </c>
      <c r="TKU1" s="69" t="s">
        <v>13998</v>
      </c>
      <c r="TKV1" s="69" t="s">
        <v>13999</v>
      </c>
      <c r="TKW1" s="69" t="s">
        <v>14000</v>
      </c>
      <c r="TKX1" s="69" t="s">
        <v>14001</v>
      </c>
      <c r="TKY1" s="69" t="s">
        <v>14002</v>
      </c>
      <c r="TKZ1" s="69" t="s">
        <v>14003</v>
      </c>
      <c r="TLA1" s="69" t="s">
        <v>14004</v>
      </c>
      <c r="TLB1" s="69" t="s">
        <v>14005</v>
      </c>
      <c r="TLC1" s="69" t="s">
        <v>14006</v>
      </c>
      <c r="TLD1" s="69" t="s">
        <v>14007</v>
      </c>
      <c r="TLE1" s="69" t="s">
        <v>14008</v>
      </c>
      <c r="TLF1" s="69" t="s">
        <v>14009</v>
      </c>
      <c r="TLG1" s="69" t="s">
        <v>14010</v>
      </c>
      <c r="TLH1" s="69" t="s">
        <v>14011</v>
      </c>
      <c r="TLI1" s="69" t="s">
        <v>14012</v>
      </c>
      <c r="TLJ1" s="69" t="s">
        <v>14013</v>
      </c>
      <c r="TLK1" s="69" t="s">
        <v>14014</v>
      </c>
      <c r="TLL1" s="69" t="s">
        <v>14015</v>
      </c>
      <c r="TLM1" s="69" t="s">
        <v>14016</v>
      </c>
      <c r="TLN1" s="69" t="s">
        <v>14017</v>
      </c>
      <c r="TLO1" s="69" t="s">
        <v>14018</v>
      </c>
      <c r="TLP1" s="69" t="s">
        <v>14019</v>
      </c>
      <c r="TLQ1" s="69" t="s">
        <v>14020</v>
      </c>
      <c r="TLR1" s="69" t="s">
        <v>14021</v>
      </c>
      <c r="TLS1" s="69" t="s">
        <v>14022</v>
      </c>
      <c r="TLT1" s="69" t="s">
        <v>14023</v>
      </c>
      <c r="TLU1" s="69" t="s">
        <v>14024</v>
      </c>
      <c r="TLV1" s="69" t="s">
        <v>14025</v>
      </c>
      <c r="TLW1" s="69" t="s">
        <v>14026</v>
      </c>
      <c r="TLX1" s="69" t="s">
        <v>14027</v>
      </c>
      <c r="TLY1" s="69" t="s">
        <v>14028</v>
      </c>
      <c r="TLZ1" s="69" t="s">
        <v>14029</v>
      </c>
      <c r="TMA1" s="69" t="s">
        <v>14030</v>
      </c>
      <c r="TMB1" s="69" t="s">
        <v>14031</v>
      </c>
      <c r="TMC1" s="69" t="s">
        <v>14032</v>
      </c>
      <c r="TMD1" s="69" t="s">
        <v>14033</v>
      </c>
      <c r="TME1" s="69" t="s">
        <v>14034</v>
      </c>
      <c r="TMF1" s="69" t="s">
        <v>14035</v>
      </c>
      <c r="TMG1" s="69" t="s">
        <v>14036</v>
      </c>
      <c r="TMH1" s="69" t="s">
        <v>14037</v>
      </c>
      <c r="TMI1" s="69" t="s">
        <v>14038</v>
      </c>
      <c r="TMJ1" s="69" t="s">
        <v>14039</v>
      </c>
      <c r="TMK1" s="69" t="s">
        <v>14040</v>
      </c>
      <c r="TML1" s="69" t="s">
        <v>14041</v>
      </c>
      <c r="TMM1" s="69" t="s">
        <v>14042</v>
      </c>
      <c r="TMN1" s="69" t="s">
        <v>14043</v>
      </c>
      <c r="TMO1" s="69" t="s">
        <v>14044</v>
      </c>
      <c r="TMP1" s="69" t="s">
        <v>14045</v>
      </c>
      <c r="TMQ1" s="69" t="s">
        <v>14046</v>
      </c>
      <c r="TMR1" s="69" t="s">
        <v>14047</v>
      </c>
      <c r="TMS1" s="69" t="s">
        <v>14048</v>
      </c>
      <c r="TMT1" s="69" t="s">
        <v>14049</v>
      </c>
      <c r="TMU1" s="69" t="s">
        <v>14050</v>
      </c>
      <c r="TMV1" s="69" t="s">
        <v>14051</v>
      </c>
      <c r="TMW1" s="69" t="s">
        <v>14052</v>
      </c>
      <c r="TMX1" s="69" t="s">
        <v>14053</v>
      </c>
      <c r="TMY1" s="69" t="s">
        <v>14054</v>
      </c>
      <c r="TMZ1" s="69" t="s">
        <v>14055</v>
      </c>
      <c r="TNA1" s="69" t="s">
        <v>14056</v>
      </c>
      <c r="TNB1" s="69" t="s">
        <v>14057</v>
      </c>
      <c r="TNC1" s="69" t="s">
        <v>14058</v>
      </c>
      <c r="TND1" s="69" t="s">
        <v>14059</v>
      </c>
      <c r="TNE1" s="69" t="s">
        <v>14060</v>
      </c>
      <c r="TNF1" s="69" t="s">
        <v>14061</v>
      </c>
      <c r="TNG1" s="69" t="s">
        <v>14062</v>
      </c>
      <c r="TNH1" s="69" t="s">
        <v>14063</v>
      </c>
      <c r="TNI1" s="69" t="s">
        <v>14064</v>
      </c>
      <c r="TNJ1" s="69" t="s">
        <v>14065</v>
      </c>
      <c r="TNK1" s="69" t="s">
        <v>14066</v>
      </c>
      <c r="TNL1" s="69" t="s">
        <v>14067</v>
      </c>
      <c r="TNM1" s="69" t="s">
        <v>14068</v>
      </c>
      <c r="TNN1" s="69" t="s">
        <v>14069</v>
      </c>
      <c r="TNO1" s="69" t="s">
        <v>14070</v>
      </c>
      <c r="TNP1" s="69" t="s">
        <v>14071</v>
      </c>
      <c r="TNQ1" s="69" t="s">
        <v>14072</v>
      </c>
      <c r="TNR1" s="69" t="s">
        <v>14073</v>
      </c>
      <c r="TNS1" s="69" t="s">
        <v>14074</v>
      </c>
      <c r="TNT1" s="69" t="s">
        <v>14075</v>
      </c>
      <c r="TNU1" s="69" t="s">
        <v>14076</v>
      </c>
      <c r="TNV1" s="69" t="s">
        <v>14077</v>
      </c>
      <c r="TNW1" s="69" t="s">
        <v>14078</v>
      </c>
      <c r="TNX1" s="69" t="s">
        <v>14079</v>
      </c>
      <c r="TNY1" s="69" t="s">
        <v>14080</v>
      </c>
      <c r="TNZ1" s="69" t="s">
        <v>14081</v>
      </c>
      <c r="TOA1" s="69" t="s">
        <v>14082</v>
      </c>
      <c r="TOB1" s="69" t="s">
        <v>14083</v>
      </c>
      <c r="TOC1" s="69" t="s">
        <v>14084</v>
      </c>
      <c r="TOD1" s="69" t="s">
        <v>14085</v>
      </c>
      <c r="TOE1" s="69" t="s">
        <v>14086</v>
      </c>
      <c r="TOF1" s="69" t="s">
        <v>14087</v>
      </c>
      <c r="TOG1" s="69" t="s">
        <v>14088</v>
      </c>
      <c r="TOH1" s="69" t="s">
        <v>14089</v>
      </c>
      <c r="TOI1" s="69" t="s">
        <v>14090</v>
      </c>
      <c r="TOJ1" s="69" t="s">
        <v>14091</v>
      </c>
      <c r="TOK1" s="69" t="s">
        <v>14092</v>
      </c>
      <c r="TOL1" s="69" t="s">
        <v>14093</v>
      </c>
      <c r="TOM1" s="69" t="s">
        <v>14094</v>
      </c>
      <c r="TON1" s="69" t="s">
        <v>14095</v>
      </c>
      <c r="TOO1" s="69" t="s">
        <v>14096</v>
      </c>
      <c r="TOP1" s="69" t="s">
        <v>14097</v>
      </c>
      <c r="TOQ1" s="69" t="s">
        <v>14098</v>
      </c>
      <c r="TOR1" s="69" t="s">
        <v>14099</v>
      </c>
      <c r="TOS1" s="69" t="s">
        <v>14100</v>
      </c>
      <c r="TOT1" s="69" t="s">
        <v>14101</v>
      </c>
      <c r="TOU1" s="69" t="s">
        <v>14102</v>
      </c>
      <c r="TOV1" s="69" t="s">
        <v>14103</v>
      </c>
      <c r="TOW1" s="69" t="s">
        <v>14104</v>
      </c>
      <c r="TOX1" s="69" t="s">
        <v>14105</v>
      </c>
      <c r="TOY1" s="69" t="s">
        <v>14106</v>
      </c>
      <c r="TOZ1" s="69" t="s">
        <v>14107</v>
      </c>
      <c r="TPA1" s="69" t="s">
        <v>14108</v>
      </c>
      <c r="TPB1" s="69" t="s">
        <v>14109</v>
      </c>
      <c r="TPC1" s="69" t="s">
        <v>14110</v>
      </c>
      <c r="TPD1" s="69" t="s">
        <v>14111</v>
      </c>
      <c r="TPE1" s="69" t="s">
        <v>14112</v>
      </c>
      <c r="TPF1" s="69" t="s">
        <v>14113</v>
      </c>
      <c r="TPG1" s="69" t="s">
        <v>14114</v>
      </c>
      <c r="TPH1" s="69" t="s">
        <v>14115</v>
      </c>
      <c r="TPI1" s="69" t="s">
        <v>14116</v>
      </c>
      <c r="TPJ1" s="69" t="s">
        <v>14117</v>
      </c>
      <c r="TPK1" s="69" t="s">
        <v>14118</v>
      </c>
      <c r="TPL1" s="69" t="s">
        <v>14119</v>
      </c>
      <c r="TPM1" s="69" t="s">
        <v>14120</v>
      </c>
      <c r="TPN1" s="69" t="s">
        <v>14121</v>
      </c>
      <c r="TPO1" s="69" t="s">
        <v>14122</v>
      </c>
      <c r="TPP1" s="69" t="s">
        <v>14123</v>
      </c>
      <c r="TPQ1" s="69" t="s">
        <v>14124</v>
      </c>
      <c r="TPR1" s="69" t="s">
        <v>14125</v>
      </c>
      <c r="TPS1" s="69" t="s">
        <v>14126</v>
      </c>
      <c r="TPT1" s="69" t="s">
        <v>14127</v>
      </c>
      <c r="TPU1" s="69" t="s">
        <v>14128</v>
      </c>
      <c r="TPV1" s="69" t="s">
        <v>14129</v>
      </c>
      <c r="TPW1" s="69" t="s">
        <v>14130</v>
      </c>
      <c r="TPX1" s="69" t="s">
        <v>14131</v>
      </c>
      <c r="TPY1" s="69" t="s">
        <v>14132</v>
      </c>
      <c r="TPZ1" s="69" t="s">
        <v>14133</v>
      </c>
      <c r="TQA1" s="69" t="s">
        <v>14134</v>
      </c>
      <c r="TQB1" s="69" t="s">
        <v>14135</v>
      </c>
      <c r="TQC1" s="69" t="s">
        <v>14136</v>
      </c>
      <c r="TQD1" s="69" t="s">
        <v>14137</v>
      </c>
      <c r="TQE1" s="69" t="s">
        <v>14138</v>
      </c>
      <c r="TQF1" s="69" t="s">
        <v>14139</v>
      </c>
      <c r="TQG1" s="69" t="s">
        <v>14140</v>
      </c>
      <c r="TQH1" s="69" t="s">
        <v>14141</v>
      </c>
      <c r="TQI1" s="69" t="s">
        <v>14142</v>
      </c>
      <c r="TQJ1" s="69" t="s">
        <v>14143</v>
      </c>
      <c r="TQK1" s="69" t="s">
        <v>14144</v>
      </c>
      <c r="TQL1" s="69" t="s">
        <v>14145</v>
      </c>
      <c r="TQM1" s="69" t="s">
        <v>14146</v>
      </c>
      <c r="TQN1" s="69" t="s">
        <v>14147</v>
      </c>
      <c r="TQO1" s="69" t="s">
        <v>14148</v>
      </c>
      <c r="TQP1" s="69" t="s">
        <v>14149</v>
      </c>
      <c r="TQQ1" s="69" t="s">
        <v>14150</v>
      </c>
      <c r="TQR1" s="69" t="s">
        <v>14151</v>
      </c>
      <c r="TQS1" s="69" t="s">
        <v>14152</v>
      </c>
      <c r="TQT1" s="69" t="s">
        <v>14153</v>
      </c>
      <c r="TQU1" s="69" t="s">
        <v>14154</v>
      </c>
      <c r="TQV1" s="69" t="s">
        <v>14155</v>
      </c>
      <c r="TQW1" s="69" t="s">
        <v>14156</v>
      </c>
      <c r="TQX1" s="69" t="s">
        <v>14157</v>
      </c>
      <c r="TQY1" s="69" t="s">
        <v>14158</v>
      </c>
      <c r="TQZ1" s="69" t="s">
        <v>14159</v>
      </c>
      <c r="TRA1" s="69" t="s">
        <v>14160</v>
      </c>
      <c r="TRB1" s="69" t="s">
        <v>14161</v>
      </c>
      <c r="TRC1" s="69" t="s">
        <v>14162</v>
      </c>
      <c r="TRD1" s="69" t="s">
        <v>14163</v>
      </c>
      <c r="TRE1" s="69" t="s">
        <v>14164</v>
      </c>
      <c r="TRF1" s="69" t="s">
        <v>14165</v>
      </c>
      <c r="TRG1" s="69" t="s">
        <v>14166</v>
      </c>
      <c r="TRH1" s="69" t="s">
        <v>14167</v>
      </c>
      <c r="TRI1" s="69" t="s">
        <v>14168</v>
      </c>
      <c r="TRJ1" s="69" t="s">
        <v>14169</v>
      </c>
      <c r="TRK1" s="69" t="s">
        <v>14170</v>
      </c>
      <c r="TRL1" s="69" t="s">
        <v>14171</v>
      </c>
      <c r="TRM1" s="69" t="s">
        <v>14172</v>
      </c>
      <c r="TRN1" s="69" t="s">
        <v>14173</v>
      </c>
      <c r="TRO1" s="69" t="s">
        <v>14174</v>
      </c>
      <c r="TRP1" s="69" t="s">
        <v>14175</v>
      </c>
      <c r="TRQ1" s="69" t="s">
        <v>14176</v>
      </c>
      <c r="TRR1" s="69" t="s">
        <v>14177</v>
      </c>
      <c r="TRS1" s="69" t="s">
        <v>14178</v>
      </c>
      <c r="TRT1" s="69" t="s">
        <v>14179</v>
      </c>
      <c r="TRU1" s="69" t="s">
        <v>14180</v>
      </c>
      <c r="TRV1" s="69" t="s">
        <v>14181</v>
      </c>
      <c r="TRW1" s="69" t="s">
        <v>14182</v>
      </c>
      <c r="TRX1" s="69" t="s">
        <v>14183</v>
      </c>
      <c r="TRY1" s="69" t="s">
        <v>14184</v>
      </c>
      <c r="TRZ1" s="69" t="s">
        <v>14185</v>
      </c>
      <c r="TSA1" s="69" t="s">
        <v>14186</v>
      </c>
      <c r="TSB1" s="69" t="s">
        <v>14187</v>
      </c>
      <c r="TSC1" s="69" t="s">
        <v>14188</v>
      </c>
      <c r="TSD1" s="69" t="s">
        <v>14189</v>
      </c>
      <c r="TSE1" s="69" t="s">
        <v>14190</v>
      </c>
      <c r="TSF1" s="69" t="s">
        <v>14191</v>
      </c>
      <c r="TSG1" s="69" t="s">
        <v>14192</v>
      </c>
      <c r="TSH1" s="69" t="s">
        <v>14193</v>
      </c>
      <c r="TSI1" s="69" t="s">
        <v>14194</v>
      </c>
      <c r="TSJ1" s="69" t="s">
        <v>14195</v>
      </c>
      <c r="TSK1" s="69" t="s">
        <v>14196</v>
      </c>
      <c r="TSL1" s="69" t="s">
        <v>14197</v>
      </c>
      <c r="TSM1" s="69" t="s">
        <v>14198</v>
      </c>
      <c r="TSN1" s="69" t="s">
        <v>14199</v>
      </c>
      <c r="TSO1" s="69" t="s">
        <v>14200</v>
      </c>
      <c r="TSP1" s="69" t="s">
        <v>14201</v>
      </c>
      <c r="TSQ1" s="69" t="s">
        <v>14202</v>
      </c>
      <c r="TSR1" s="69" t="s">
        <v>14203</v>
      </c>
      <c r="TSS1" s="69" t="s">
        <v>14204</v>
      </c>
      <c r="TST1" s="69" t="s">
        <v>14205</v>
      </c>
      <c r="TSU1" s="69" t="s">
        <v>14206</v>
      </c>
      <c r="TSV1" s="69" t="s">
        <v>14207</v>
      </c>
      <c r="TSW1" s="69" t="s">
        <v>14208</v>
      </c>
      <c r="TSX1" s="69" t="s">
        <v>14209</v>
      </c>
      <c r="TSY1" s="69" t="s">
        <v>14210</v>
      </c>
      <c r="TSZ1" s="69" t="s">
        <v>14211</v>
      </c>
      <c r="TTA1" s="69" t="s">
        <v>14212</v>
      </c>
      <c r="TTB1" s="69" t="s">
        <v>14213</v>
      </c>
      <c r="TTC1" s="69" t="s">
        <v>14214</v>
      </c>
      <c r="TTD1" s="69" t="s">
        <v>14215</v>
      </c>
      <c r="TTE1" s="69" t="s">
        <v>14216</v>
      </c>
      <c r="TTF1" s="69" t="s">
        <v>14217</v>
      </c>
      <c r="TTG1" s="69" t="s">
        <v>14218</v>
      </c>
      <c r="TTH1" s="69" t="s">
        <v>14219</v>
      </c>
      <c r="TTI1" s="69" t="s">
        <v>14220</v>
      </c>
      <c r="TTJ1" s="69" t="s">
        <v>14221</v>
      </c>
      <c r="TTK1" s="69" t="s">
        <v>14222</v>
      </c>
      <c r="TTL1" s="69" t="s">
        <v>14223</v>
      </c>
      <c r="TTM1" s="69" t="s">
        <v>14224</v>
      </c>
      <c r="TTN1" s="69" t="s">
        <v>14225</v>
      </c>
      <c r="TTO1" s="69" t="s">
        <v>14226</v>
      </c>
      <c r="TTP1" s="69" t="s">
        <v>14227</v>
      </c>
      <c r="TTQ1" s="69" t="s">
        <v>14228</v>
      </c>
      <c r="TTR1" s="69" t="s">
        <v>14229</v>
      </c>
      <c r="TTS1" s="69" t="s">
        <v>14230</v>
      </c>
      <c r="TTT1" s="69" t="s">
        <v>14231</v>
      </c>
      <c r="TTU1" s="69" t="s">
        <v>14232</v>
      </c>
      <c r="TTV1" s="69" t="s">
        <v>14233</v>
      </c>
      <c r="TTW1" s="69" t="s">
        <v>14234</v>
      </c>
      <c r="TTX1" s="69" t="s">
        <v>14235</v>
      </c>
      <c r="TTY1" s="69" t="s">
        <v>14236</v>
      </c>
      <c r="TTZ1" s="69" t="s">
        <v>14237</v>
      </c>
      <c r="TUA1" s="69" t="s">
        <v>14238</v>
      </c>
      <c r="TUB1" s="69" t="s">
        <v>14239</v>
      </c>
      <c r="TUC1" s="69" t="s">
        <v>14240</v>
      </c>
      <c r="TUD1" s="69" t="s">
        <v>14241</v>
      </c>
      <c r="TUE1" s="69" t="s">
        <v>14242</v>
      </c>
      <c r="TUF1" s="69" t="s">
        <v>14243</v>
      </c>
      <c r="TUG1" s="69" t="s">
        <v>14244</v>
      </c>
      <c r="TUH1" s="69" t="s">
        <v>14245</v>
      </c>
      <c r="TUI1" s="69" t="s">
        <v>14246</v>
      </c>
      <c r="TUJ1" s="69" t="s">
        <v>14247</v>
      </c>
      <c r="TUK1" s="69" t="s">
        <v>14248</v>
      </c>
      <c r="TUL1" s="69" t="s">
        <v>14249</v>
      </c>
      <c r="TUM1" s="69" t="s">
        <v>14250</v>
      </c>
      <c r="TUN1" s="69" t="s">
        <v>14251</v>
      </c>
      <c r="TUO1" s="69" t="s">
        <v>14252</v>
      </c>
      <c r="TUP1" s="69" t="s">
        <v>14253</v>
      </c>
      <c r="TUQ1" s="69" t="s">
        <v>14254</v>
      </c>
      <c r="TUR1" s="69" t="s">
        <v>14255</v>
      </c>
      <c r="TUS1" s="69" t="s">
        <v>14256</v>
      </c>
      <c r="TUT1" s="69" t="s">
        <v>14257</v>
      </c>
      <c r="TUU1" s="69" t="s">
        <v>14258</v>
      </c>
      <c r="TUV1" s="69" t="s">
        <v>14259</v>
      </c>
      <c r="TUW1" s="69" t="s">
        <v>14260</v>
      </c>
      <c r="TUX1" s="69" t="s">
        <v>14261</v>
      </c>
      <c r="TUY1" s="69" t="s">
        <v>14262</v>
      </c>
      <c r="TUZ1" s="69" t="s">
        <v>14263</v>
      </c>
      <c r="TVA1" s="69" t="s">
        <v>14264</v>
      </c>
      <c r="TVB1" s="69" t="s">
        <v>14265</v>
      </c>
      <c r="TVC1" s="69" t="s">
        <v>14266</v>
      </c>
      <c r="TVD1" s="69" t="s">
        <v>14267</v>
      </c>
      <c r="TVE1" s="69" t="s">
        <v>14268</v>
      </c>
      <c r="TVF1" s="69" t="s">
        <v>14269</v>
      </c>
      <c r="TVG1" s="69" t="s">
        <v>14270</v>
      </c>
      <c r="TVH1" s="69" t="s">
        <v>14271</v>
      </c>
      <c r="TVI1" s="69" t="s">
        <v>14272</v>
      </c>
      <c r="TVJ1" s="69" t="s">
        <v>14273</v>
      </c>
      <c r="TVK1" s="69" t="s">
        <v>14274</v>
      </c>
      <c r="TVL1" s="69" t="s">
        <v>14275</v>
      </c>
      <c r="TVM1" s="69" t="s">
        <v>14276</v>
      </c>
      <c r="TVN1" s="69" t="s">
        <v>14277</v>
      </c>
      <c r="TVO1" s="69" t="s">
        <v>14278</v>
      </c>
      <c r="TVP1" s="69" t="s">
        <v>14279</v>
      </c>
      <c r="TVQ1" s="69" t="s">
        <v>14280</v>
      </c>
      <c r="TVR1" s="69" t="s">
        <v>14281</v>
      </c>
      <c r="TVS1" s="69" t="s">
        <v>14282</v>
      </c>
      <c r="TVT1" s="69" t="s">
        <v>14283</v>
      </c>
      <c r="TVU1" s="69" t="s">
        <v>14284</v>
      </c>
      <c r="TVV1" s="69" t="s">
        <v>14285</v>
      </c>
      <c r="TVW1" s="69" t="s">
        <v>14286</v>
      </c>
      <c r="TVX1" s="69" t="s">
        <v>14287</v>
      </c>
      <c r="TVY1" s="69" t="s">
        <v>14288</v>
      </c>
      <c r="TVZ1" s="69" t="s">
        <v>14289</v>
      </c>
      <c r="TWA1" s="69" t="s">
        <v>14290</v>
      </c>
      <c r="TWB1" s="69" t="s">
        <v>14291</v>
      </c>
      <c r="TWC1" s="69" t="s">
        <v>14292</v>
      </c>
      <c r="TWD1" s="69" t="s">
        <v>14293</v>
      </c>
      <c r="TWE1" s="69" t="s">
        <v>14294</v>
      </c>
      <c r="TWF1" s="69" t="s">
        <v>14295</v>
      </c>
      <c r="TWG1" s="69" t="s">
        <v>14296</v>
      </c>
      <c r="TWH1" s="69" t="s">
        <v>14297</v>
      </c>
      <c r="TWI1" s="69" t="s">
        <v>14298</v>
      </c>
      <c r="TWJ1" s="69" t="s">
        <v>14299</v>
      </c>
      <c r="TWK1" s="69" t="s">
        <v>14300</v>
      </c>
      <c r="TWL1" s="69" t="s">
        <v>14301</v>
      </c>
      <c r="TWM1" s="69" t="s">
        <v>14302</v>
      </c>
      <c r="TWN1" s="69" t="s">
        <v>14303</v>
      </c>
      <c r="TWO1" s="69" t="s">
        <v>14304</v>
      </c>
      <c r="TWP1" s="69" t="s">
        <v>14305</v>
      </c>
      <c r="TWQ1" s="69" t="s">
        <v>14306</v>
      </c>
      <c r="TWR1" s="69" t="s">
        <v>14307</v>
      </c>
      <c r="TWS1" s="69" t="s">
        <v>14308</v>
      </c>
      <c r="TWT1" s="69" t="s">
        <v>14309</v>
      </c>
      <c r="TWU1" s="69" t="s">
        <v>14310</v>
      </c>
      <c r="TWV1" s="69" t="s">
        <v>14311</v>
      </c>
      <c r="TWW1" s="69" t="s">
        <v>14312</v>
      </c>
      <c r="TWX1" s="69" t="s">
        <v>14313</v>
      </c>
      <c r="TWY1" s="69" t="s">
        <v>14314</v>
      </c>
      <c r="TWZ1" s="69" t="s">
        <v>14315</v>
      </c>
      <c r="TXA1" s="69" t="s">
        <v>14316</v>
      </c>
      <c r="TXB1" s="69" t="s">
        <v>14317</v>
      </c>
      <c r="TXC1" s="69" t="s">
        <v>14318</v>
      </c>
      <c r="TXD1" s="69" t="s">
        <v>14319</v>
      </c>
      <c r="TXE1" s="69" t="s">
        <v>14320</v>
      </c>
      <c r="TXF1" s="69" t="s">
        <v>14321</v>
      </c>
      <c r="TXG1" s="69" t="s">
        <v>14322</v>
      </c>
      <c r="TXH1" s="69" t="s">
        <v>14323</v>
      </c>
      <c r="TXI1" s="69" t="s">
        <v>14324</v>
      </c>
      <c r="TXJ1" s="69" t="s">
        <v>14325</v>
      </c>
      <c r="TXK1" s="69" t="s">
        <v>14326</v>
      </c>
      <c r="TXL1" s="69" t="s">
        <v>14327</v>
      </c>
      <c r="TXM1" s="69" t="s">
        <v>14328</v>
      </c>
      <c r="TXN1" s="69" t="s">
        <v>14329</v>
      </c>
      <c r="TXO1" s="69" t="s">
        <v>14330</v>
      </c>
      <c r="TXP1" s="69" t="s">
        <v>14331</v>
      </c>
      <c r="TXQ1" s="69" t="s">
        <v>14332</v>
      </c>
      <c r="TXR1" s="69" t="s">
        <v>14333</v>
      </c>
      <c r="TXS1" s="69" t="s">
        <v>14334</v>
      </c>
      <c r="TXT1" s="69" t="s">
        <v>14335</v>
      </c>
      <c r="TXU1" s="69" t="s">
        <v>14336</v>
      </c>
      <c r="TXV1" s="69" t="s">
        <v>14337</v>
      </c>
      <c r="TXW1" s="69" t="s">
        <v>14338</v>
      </c>
      <c r="TXX1" s="69" t="s">
        <v>14339</v>
      </c>
      <c r="TXY1" s="69" t="s">
        <v>14340</v>
      </c>
      <c r="TXZ1" s="69" t="s">
        <v>14341</v>
      </c>
      <c r="TYA1" s="69" t="s">
        <v>14342</v>
      </c>
      <c r="TYB1" s="69" t="s">
        <v>14343</v>
      </c>
      <c r="TYC1" s="69" t="s">
        <v>14344</v>
      </c>
      <c r="TYD1" s="69" t="s">
        <v>14345</v>
      </c>
      <c r="TYE1" s="69" t="s">
        <v>14346</v>
      </c>
      <c r="TYF1" s="69" t="s">
        <v>14347</v>
      </c>
      <c r="TYG1" s="69" t="s">
        <v>14348</v>
      </c>
      <c r="TYH1" s="69" t="s">
        <v>14349</v>
      </c>
      <c r="TYI1" s="69" t="s">
        <v>14350</v>
      </c>
      <c r="TYJ1" s="69" t="s">
        <v>14351</v>
      </c>
      <c r="TYK1" s="69" t="s">
        <v>14352</v>
      </c>
      <c r="TYL1" s="69" t="s">
        <v>14353</v>
      </c>
      <c r="TYM1" s="69" t="s">
        <v>14354</v>
      </c>
      <c r="TYN1" s="69" t="s">
        <v>14355</v>
      </c>
      <c r="TYO1" s="69" t="s">
        <v>14356</v>
      </c>
      <c r="TYP1" s="69" t="s">
        <v>14357</v>
      </c>
      <c r="TYQ1" s="69" t="s">
        <v>14358</v>
      </c>
      <c r="TYR1" s="69" t="s">
        <v>14359</v>
      </c>
      <c r="TYS1" s="69" t="s">
        <v>14360</v>
      </c>
      <c r="TYT1" s="69" t="s">
        <v>14361</v>
      </c>
      <c r="TYU1" s="69" t="s">
        <v>14362</v>
      </c>
      <c r="TYV1" s="69" t="s">
        <v>14363</v>
      </c>
      <c r="TYW1" s="69" t="s">
        <v>14364</v>
      </c>
      <c r="TYX1" s="69" t="s">
        <v>14365</v>
      </c>
      <c r="TYY1" s="69" t="s">
        <v>14366</v>
      </c>
      <c r="TYZ1" s="69" t="s">
        <v>14367</v>
      </c>
      <c r="TZA1" s="69" t="s">
        <v>14368</v>
      </c>
      <c r="TZB1" s="69" t="s">
        <v>14369</v>
      </c>
      <c r="TZC1" s="69" t="s">
        <v>14370</v>
      </c>
      <c r="TZD1" s="69" t="s">
        <v>14371</v>
      </c>
      <c r="TZE1" s="69" t="s">
        <v>14372</v>
      </c>
      <c r="TZF1" s="69" t="s">
        <v>14373</v>
      </c>
      <c r="TZG1" s="69" t="s">
        <v>14374</v>
      </c>
      <c r="TZH1" s="69" t="s">
        <v>14375</v>
      </c>
      <c r="TZI1" s="69" t="s">
        <v>14376</v>
      </c>
      <c r="TZJ1" s="69" t="s">
        <v>14377</v>
      </c>
      <c r="TZK1" s="69" t="s">
        <v>14378</v>
      </c>
      <c r="TZL1" s="69" t="s">
        <v>14379</v>
      </c>
      <c r="TZM1" s="69" t="s">
        <v>14380</v>
      </c>
      <c r="TZN1" s="69" t="s">
        <v>14381</v>
      </c>
      <c r="TZO1" s="69" t="s">
        <v>14382</v>
      </c>
      <c r="TZP1" s="69" t="s">
        <v>14383</v>
      </c>
      <c r="TZQ1" s="69" t="s">
        <v>14384</v>
      </c>
      <c r="TZR1" s="69" t="s">
        <v>14385</v>
      </c>
      <c r="TZS1" s="69" t="s">
        <v>14386</v>
      </c>
      <c r="TZT1" s="69" t="s">
        <v>14387</v>
      </c>
      <c r="TZU1" s="69" t="s">
        <v>14388</v>
      </c>
      <c r="TZV1" s="69" t="s">
        <v>14389</v>
      </c>
      <c r="TZW1" s="69" t="s">
        <v>14390</v>
      </c>
      <c r="TZX1" s="69" t="s">
        <v>14391</v>
      </c>
      <c r="TZY1" s="69" t="s">
        <v>14392</v>
      </c>
      <c r="TZZ1" s="69" t="s">
        <v>14393</v>
      </c>
      <c r="UAA1" s="69" t="s">
        <v>14394</v>
      </c>
      <c r="UAB1" s="69" t="s">
        <v>14395</v>
      </c>
      <c r="UAC1" s="69" t="s">
        <v>14396</v>
      </c>
      <c r="UAD1" s="69" t="s">
        <v>14397</v>
      </c>
      <c r="UAE1" s="69" t="s">
        <v>14398</v>
      </c>
      <c r="UAF1" s="69" t="s">
        <v>14399</v>
      </c>
      <c r="UAG1" s="69" t="s">
        <v>14400</v>
      </c>
      <c r="UAH1" s="69" t="s">
        <v>14401</v>
      </c>
      <c r="UAI1" s="69" t="s">
        <v>14402</v>
      </c>
      <c r="UAJ1" s="69" t="s">
        <v>14403</v>
      </c>
      <c r="UAK1" s="69" t="s">
        <v>14404</v>
      </c>
      <c r="UAL1" s="69" t="s">
        <v>14405</v>
      </c>
      <c r="UAM1" s="69" t="s">
        <v>14406</v>
      </c>
      <c r="UAN1" s="69" t="s">
        <v>14407</v>
      </c>
      <c r="UAO1" s="69" t="s">
        <v>14408</v>
      </c>
      <c r="UAP1" s="69" t="s">
        <v>14409</v>
      </c>
      <c r="UAQ1" s="69" t="s">
        <v>14410</v>
      </c>
      <c r="UAR1" s="69" t="s">
        <v>14411</v>
      </c>
      <c r="UAS1" s="69" t="s">
        <v>14412</v>
      </c>
      <c r="UAT1" s="69" t="s">
        <v>14413</v>
      </c>
      <c r="UAU1" s="69" t="s">
        <v>14414</v>
      </c>
      <c r="UAV1" s="69" t="s">
        <v>14415</v>
      </c>
      <c r="UAW1" s="69" t="s">
        <v>14416</v>
      </c>
      <c r="UAX1" s="69" t="s">
        <v>14417</v>
      </c>
      <c r="UAY1" s="69" t="s">
        <v>14418</v>
      </c>
      <c r="UAZ1" s="69" t="s">
        <v>14419</v>
      </c>
      <c r="UBA1" s="69" t="s">
        <v>14420</v>
      </c>
      <c r="UBB1" s="69" t="s">
        <v>14421</v>
      </c>
      <c r="UBC1" s="69" t="s">
        <v>14422</v>
      </c>
      <c r="UBD1" s="69" t="s">
        <v>14423</v>
      </c>
      <c r="UBE1" s="69" t="s">
        <v>14424</v>
      </c>
      <c r="UBF1" s="69" t="s">
        <v>14425</v>
      </c>
      <c r="UBG1" s="69" t="s">
        <v>14426</v>
      </c>
      <c r="UBH1" s="69" t="s">
        <v>14427</v>
      </c>
      <c r="UBI1" s="69" t="s">
        <v>14428</v>
      </c>
      <c r="UBJ1" s="69" t="s">
        <v>14429</v>
      </c>
      <c r="UBK1" s="69" t="s">
        <v>14430</v>
      </c>
      <c r="UBL1" s="69" t="s">
        <v>14431</v>
      </c>
      <c r="UBM1" s="69" t="s">
        <v>14432</v>
      </c>
      <c r="UBN1" s="69" t="s">
        <v>14433</v>
      </c>
      <c r="UBO1" s="69" t="s">
        <v>14434</v>
      </c>
      <c r="UBP1" s="69" t="s">
        <v>14435</v>
      </c>
      <c r="UBQ1" s="69" t="s">
        <v>14436</v>
      </c>
      <c r="UBR1" s="69" t="s">
        <v>14437</v>
      </c>
      <c r="UBS1" s="69" t="s">
        <v>14438</v>
      </c>
      <c r="UBT1" s="69" t="s">
        <v>14439</v>
      </c>
      <c r="UBU1" s="69" t="s">
        <v>14440</v>
      </c>
      <c r="UBV1" s="69" t="s">
        <v>14441</v>
      </c>
      <c r="UBW1" s="69" t="s">
        <v>14442</v>
      </c>
      <c r="UBX1" s="69" t="s">
        <v>14443</v>
      </c>
      <c r="UBY1" s="69" t="s">
        <v>14444</v>
      </c>
      <c r="UBZ1" s="69" t="s">
        <v>14445</v>
      </c>
      <c r="UCA1" s="69" t="s">
        <v>14446</v>
      </c>
      <c r="UCB1" s="69" t="s">
        <v>14447</v>
      </c>
      <c r="UCC1" s="69" t="s">
        <v>14448</v>
      </c>
      <c r="UCD1" s="69" t="s">
        <v>14449</v>
      </c>
      <c r="UCE1" s="69" t="s">
        <v>14450</v>
      </c>
      <c r="UCF1" s="69" t="s">
        <v>14451</v>
      </c>
      <c r="UCG1" s="69" t="s">
        <v>14452</v>
      </c>
      <c r="UCH1" s="69" t="s">
        <v>14453</v>
      </c>
      <c r="UCI1" s="69" t="s">
        <v>14454</v>
      </c>
      <c r="UCJ1" s="69" t="s">
        <v>14455</v>
      </c>
      <c r="UCK1" s="69" t="s">
        <v>14456</v>
      </c>
      <c r="UCL1" s="69" t="s">
        <v>14457</v>
      </c>
      <c r="UCM1" s="69" t="s">
        <v>14458</v>
      </c>
      <c r="UCN1" s="69" t="s">
        <v>14459</v>
      </c>
      <c r="UCO1" s="69" t="s">
        <v>14460</v>
      </c>
      <c r="UCP1" s="69" t="s">
        <v>14461</v>
      </c>
      <c r="UCQ1" s="69" t="s">
        <v>14462</v>
      </c>
      <c r="UCR1" s="69" t="s">
        <v>14463</v>
      </c>
      <c r="UCS1" s="69" t="s">
        <v>14464</v>
      </c>
      <c r="UCT1" s="69" t="s">
        <v>14465</v>
      </c>
      <c r="UCU1" s="69" t="s">
        <v>14466</v>
      </c>
      <c r="UCV1" s="69" t="s">
        <v>14467</v>
      </c>
      <c r="UCW1" s="69" t="s">
        <v>14468</v>
      </c>
      <c r="UCX1" s="69" t="s">
        <v>14469</v>
      </c>
      <c r="UCY1" s="69" t="s">
        <v>14470</v>
      </c>
      <c r="UCZ1" s="69" t="s">
        <v>14471</v>
      </c>
      <c r="UDA1" s="69" t="s">
        <v>14472</v>
      </c>
      <c r="UDB1" s="69" t="s">
        <v>14473</v>
      </c>
      <c r="UDC1" s="69" t="s">
        <v>14474</v>
      </c>
      <c r="UDD1" s="69" t="s">
        <v>14475</v>
      </c>
      <c r="UDE1" s="69" t="s">
        <v>14476</v>
      </c>
      <c r="UDF1" s="69" t="s">
        <v>14477</v>
      </c>
      <c r="UDG1" s="69" t="s">
        <v>14478</v>
      </c>
      <c r="UDH1" s="69" t="s">
        <v>14479</v>
      </c>
      <c r="UDI1" s="69" t="s">
        <v>14480</v>
      </c>
      <c r="UDJ1" s="69" t="s">
        <v>14481</v>
      </c>
      <c r="UDK1" s="69" t="s">
        <v>14482</v>
      </c>
      <c r="UDL1" s="69" t="s">
        <v>14483</v>
      </c>
      <c r="UDM1" s="69" t="s">
        <v>14484</v>
      </c>
      <c r="UDN1" s="69" t="s">
        <v>14485</v>
      </c>
      <c r="UDO1" s="69" t="s">
        <v>14486</v>
      </c>
      <c r="UDP1" s="69" t="s">
        <v>14487</v>
      </c>
      <c r="UDQ1" s="69" t="s">
        <v>14488</v>
      </c>
      <c r="UDR1" s="69" t="s">
        <v>14489</v>
      </c>
      <c r="UDS1" s="69" t="s">
        <v>14490</v>
      </c>
      <c r="UDT1" s="69" t="s">
        <v>14491</v>
      </c>
      <c r="UDU1" s="69" t="s">
        <v>14492</v>
      </c>
      <c r="UDV1" s="69" t="s">
        <v>14493</v>
      </c>
      <c r="UDW1" s="69" t="s">
        <v>14494</v>
      </c>
      <c r="UDX1" s="69" t="s">
        <v>14495</v>
      </c>
      <c r="UDY1" s="69" t="s">
        <v>14496</v>
      </c>
      <c r="UDZ1" s="69" t="s">
        <v>14497</v>
      </c>
      <c r="UEA1" s="69" t="s">
        <v>14498</v>
      </c>
      <c r="UEB1" s="69" t="s">
        <v>14499</v>
      </c>
      <c r="UEC1" s="69" t="s">
        <v>14500</v>
      </c>
      <c r="UED1" s="69" t="s">
        <v>14501</v>
      </c>
      <c r="UEE1" s="69" t="s">
        <v>14502</v>
      </c>
      <c r="UEF1" s="69" t="s">
        <v>14503</v>
      </c>
      <c r="UEG1" s="69" t="s">
        <v>14504</v>
      </c>
      <c r="UEH1" s="69" t="s">
        <v>14505</v>
      </c>
      <c r="UEI1" s="69" t="s">
        <v>14506</v>
      </c>
      <c r="UEJ1" s="69" t="s">
        <v>14507</v>
      </c>
      <c r="UEK1" s="69" t="s">
        <v>14508</v>
      </c>
      <c r="UEL1" s="69" t="s">
        <v>14509</v>
      </c>
      <c r="UEM1" s="69" t="s">
        <v>14510</v>
      </c>
      <c r="UEN1" s="69" t="s">
        <v>14511</v>
      </c>
      <c r="UEO1" s="69" t="s">
        <v>14512</v>
      </c>
      <c r="UEP1" s="69" t="s">
        <v>14513</v>
      </c>
      <c r="UEQ1" s="69" t="s">
        <v>14514</v>
      </c>
      <c r="UER1" s="69" t="s">
        <v>14515</v>
      </c>
      <c r="UES1" s="69" t="s">
        <v>14516</v>
      </c>
      <c r="UET1" s="69" t="s">
        <v>14517</v>
      </c>
      <c r="UEU1" s="69" t="s">
        <v>14518</v>
      </c>
      <c r="UEV1" s="69" t="s">
        <v>14519</v>
      </c>
      <c r="UEW1" s="69" t="s">
        <v>14520</v>
      </c>
      <c r="UEX1" s="69" t="s">
        <v>14521</v>
      </c>
      <c r="UEY1" s="69" t="s">
        <v>14522</v>
      </c>
      <c r="UEZ1" s="69" t="s">
        <v>14523</v>
      </c>
      <c r="UFA1" s="69" t="s">
        <v>14524</v>
      </c>
      <c r="UFB1" s="69" t="s">
        <v>14525</v>
      </c>
      <c r="UFC1" s="69" t="s">
        <v>14526</v>
      </c>
      <c r="UFD1" s="69" t="s">
        <v>14527</v>
      </c>
      <c r="UFE1" s="69" t="s">
        <v>14528</v>
      </c>
      <c r="UFF1" s="69" t="s">
        <v>14529</v>
      </c>
      <c r="UFG1" s="69" t="s">
        <v>14530</v>
      </c>
      <c r="UFH1" s="69" t="s">
        <v>14531</v>
      </c>
      <c r="UFI1" s="69" t="s">
        <v>14532</v>
      </c>
      <c r="UFJ1" s="69" t="s">
        <v>14533</v>
      </c>
      <c r="UFK1" s="69" t="s">
        <v>14534</v>
      </c>
      <c r="UFL1" s="69" t="s">
        <v>14535</v>
      </c>
      <c r="UFM1" s="69" t="s">
        <v>14536</v>
      </c>
      <c r="UFN1" s="69" t="s">
        <v>14537</v>
      </c>
      <c r="UFO1" s="69" t="s">
        <v>14538</v>
      </c>
      <c r="UFP1" s="69" t="s">
        <v>14539</v>
      </c>
      <c r="UFQ1" s="69" t="s">
        <v>14540</v>
      </c>
      <c r="UFR1" s="69" t="s">
        <v>14541</v>
      </c>
      <c r="UFS1" s="69" t="s">
        <v>14542</v>
      </c>
      <c r="UFT1" s="69" t="s">
        <v>14543</v>
      </c>
      <c r="UFU1" s="69" t="s">
        <v>14544</v>
      </c>
      <c r="UFV1" s="69" t="s">
        <v>14545</v>
      </c>
      <c r="UFW1" s="69" t="s">
        <v>14546</v>
      </c>
      <c r="UFX1" s="69" t="s">
        <v>14547</v>
      </c>
      <c r="UFY1" s="69" t="s">
        <v>14548</v>
      </c>
      <c r="UFZ1" s="69" t="s">
        <v>14549</v>
      </c>
      <c r="UGA1" s="69" t="s">
        <v>14550</v>
      </c>
      <c r="UGB1" s="69" t="s">
        <v>14551</v>
      </c>
      <c r="UGC1" s="69" t="s">
        <v>14552</v>
      </c>
      <c r="UGD1" s="69" t="s">
        <v>14553</v>
      </c>
      <c r="UGE1" s="69" t="s">
        <v>14554</v>
      </c>
      <c r="UGF1" s="69" t="s">
        <v>14555</v>
      </c>
      <c r="UGG1" s="69" t="s">
        <v>14556</v>
      </c>
      <c r="UGH1" s="69" t="s">
        <v>14557</v>
      </c>
      <c r="UGI1" s="69" t="s">
        <v>14558</v>
      </c>
      <c r="UGJ1" s="69" t="s">
        <v>14559</v>
      </c>
      <c r="UGK1" s="69" t="s">
        <v>14560</v>
      </c>
      <c r="UGL1" s="69" t="s">
        <v>14561</v>
      </c>
      <c r="UGM1" s="69" t="s">
        <v>14562</v>
      </c>
      <c r="UGN1" s="69" t="s">
        <v>14563</v>
      </c>
      <c r="UGO1" s="69" t="s">
        <v>14564</v>
      </c>
      <c r="UGP1" s="69" t="s">
        <v>14565</v>
      </c>
      <c r="UGQ1" s="69" t="s">
        <v>14566</v>
      </c>
      <c r="UGR1" s="69" t="s">
        <v>14567</v>
      </c>
      <c r="UGS1" s="69" t="s">
        <v>14568</v>
      </c>
      <c r="UGT1" s="69" t="s">
        <v>14569</v>
      </c>
      <c r="UGU1" s="69" t="s">
        <v>14570</v>
      </c>
      <c r="UGV1" s="69" t="s">
        <v>14571</v>
      </c>
      <c r="UGW1" s="69" t="s">
        <v>14572</v>
      </c>
      <c r="UGX1" s="69" t="s">
        <v>14573</v>
      </c>
      <c r="UGY1" s="69" t="s">
        <v>14574</v>
      </c>
      <c r="UGZ1" s="69" t="s">
        <v>14575</v>
      </c>
      <c r="UHA1" s="69" t="s">
        <v>14576</v>
      </c>
      <c r="UHB1" s="69" t="s">
        <v>14577</v>
      </c>
      <c r="UHC1" s="69" t="s">
        <v>14578</v>
      </c>
      <c r="UHD1" s="69" t="s">
        <v>14579</v>
      </c>
      <c r="UHE1" s="69" t="s">
        <v>14580</v>
      </c>
      <c r="UHF1" s="69" t="s">
        <v>14581</v>
      </c>
      <c r="UHG1" s="69" t="s">
        <v>14582</v>
      </c>
      <c r="UHH1" s="69" t="s">
        <v>14583</v>
      </c>
      <c r="UHI1" s="69" t="s">
        <v>14584</v>
      </c>
      <c r="UHJ1" s="69" t="s">
        <v>14585</v>
      </c>
      <c r="UHK1" s="69" t="s">
        <v>14586</v>
      </c>
      <c r="UHL1" s="69" t="s">
        <v>14587</v>
      </c>
      <c r="UHM1" s="69" t="s">
        <v>14588</v>
      </c>
      <c r="UHN1" s="69" t="s">
        <v>14589</v>
      </c>
      <c r="UHO1" s="69" t="s">
        <v>14590</v>
      </c>
      <c r="UHP1" s="69" t="s">
        <v>14591</v>
      </c>
      <c r="UHQ1" s="69" t="s">
        <v>14592</v>
      </c>
      <c r="UHR1" s="69" t="s">
        <v>14593</v>
      </c>
      <c r="UHS1" s="69" t="s">
        <v>14594</v>
      </c>
      <c r="UHT1" s="69" t="s">
        <v>14595</v>
      </c>
      <c r="UHU1" s="69" t="s">
        <v>14596</v>
      </c>
      <c r="UHV1" s="69" t="s">
        <v>14597</v>
      </c>
      <c r="UHW1" s="69" t="s">
        <v>14598</v>
      </c>
      <c r="UHX1" s="69" t="s">
        <v>14599</v>
      </c>
      <c r="UHY1" s="69" t="s">
        <v>14600</v>
      </c>
      <c r="UHZ1" s="69" t="s">
        <v>14601</v>
      </c>
      <c r="UIA1" s="69" t="s">
        <v>14602</v>
      </c>
      <c r="UIB1" s="69" t="s">
        <v>14603</v>
      </c>
      <c r="UIC1" s="69" t="s">
        <v>14604</v>
      </c>
      <c r="UID1" s="69" t="s">
        <v>14605</v>
      </c>
      <c r="UIE1" s="69" t="s">
        <v>14606</v>
      </c>
      <c r="UIF1" s="69" t="s">
        <v>14607</v>
      </c>
      <c r="UIG1" s="69" t="s">
        <v>14608</v>
      </c>
      <c r="UIH1" s="69" t="s">
        <v>14609</v>
      </c>
      <c r="UII1" s="69" t="s">
        <v>14610</v>
      </c>
      <c r="UIJ1" s="69" t="s">
        <v>14611</v>
      </c>
      <c r="UIK1" s="69" t="s">
        <v>14612</v>
      </c>
      <c r="UIL1" s="69" t="s">
        <v>14613</v>
      </c>
      <c r="UIM1" s="69" t="s">
        <v>14614</v>
      </c>
      <c r="UIN1" s="69" t="s">
        <v>14615</v>
      </c>
      <c r="UIO1" s="69" t="s">
        <v>14616</v>
      </c>
      <c r="UIP1" s="69" t="s">
        <v>14617</v>
      </c>
      <c r="UIQ1" s="69" t="s">
        <v>14618</v>
      </c>
      <c r="UIR1" s="69" t="s">
        <v>14619</v>
      </c>
      <c r="UIS1" s="69" t="s">
        <v>14620</v>
      </c>
      <c r="UIT1" s="69" t="s">
        <v>14621</v>
      </c>
      <c r="UIU1" s="69" t="s">
        <v>14622</v>
      </c>
      <c r="UIV1" s="69" t="s">
        <v>14623</v>
      </c>
      <c r="UIW1" s="69" t="s">
        <v>14624</v>
      </c>
      <c r="UIX1" s="69" t="s">
        <v>14625</v>
      </c>
      <c r="UIY1" s="69" t="s">
        <v>14626</v>
      </c>
      <c r="UIZ1" s="69" t="s">
        <v>14627</v>
      </c>
      <c r="UJA1" s="69" t="s">
        <v>14628</v>
      </c>
      <c r="UJB1" s="69" t="s">
        <v>14629</v>
      </c>
      <c r="UJC1" s="69" t="s">
        <v>14630</v>
      </c>
      <c r="UJD1" s="69" t="s">
        <v>14631</v>
      </c>
      <c r="UJE1" s="69" t="s">
        <v>14632</v>
      </c>
      <c r="UJF1" s="69" t="s">
        <v>14633</v>
      </c>
      <c r="UJG1" s="69" t="s">
        <v>14634</v>
      </c>
      <c r="UJH1" s="69" t="s">
        <v>14635</v>
      </c>
      <c r="UJI1" s="69" t="s">
        <v>14636</v>
      </c>
      <c r="UJJ1" s="69" t="s">
        <v>14637</v>
      </c>
      <c r="UJK1" s="69" t="s">
        <v>14638</v>
      </c>
      <c r="UJL1" s="69" t="s">
        <v>14639</v>
      </c>
      <c r="UJM1" s="69" t="s">
        <v>14640</v>
      </c>
      <c r="UJN1" s="69" t="s">
        <v>14641</v>
      </c>
      <c r="UJO1" s="69" t="s">
        <v>14642</v>
      </c>
      <c r="UJP1" s="69" t="s">
        <v>14643</v>
      </c>
      <c r="UJQ1" s="69" t="s">
        <v>14644</v>
      </c>
      <c r="UJR1" s="69" t="s">
        <v>14645</v>
      </c>
      <c r="UJS1" s="69" t="s">
        <v>14646</v>
      </c>
      <c r="UJT1" s="69" t="s">
        <v>14647</v>
      </c>
      <c r="UJU1" s="69" t="s">
        <v>14648</v>
      </c>
      <c r="UJV1" s="69" t="s">
        <v>14649</v>
      </c>
      <c r="UJW1" s="69" t="s">
        <v>14650</v>
      </c>
      <c r="UJX1" s="69" t="s">
        <v>14651</v>
      </c>
      <c r="UJY1" s="69" t="s">
        <v>14652</v>
      </c>
      <c r="UJZ1" s="69" t="s">
        <v>14653</v>
      </c>
      <c r="UKA1" s="69" t="s">
        <v>14654</v>
      </c>
      <c r="UKB1" s="69" t="s">
        <v>14655</v>
      </c>
      <c r="UKC1" s="69" t="s">
        <v>14656</v>
      </c>
      <c r="UKD1" s="69" t="s">
        <v>14657</v>
      </c>
      <c r="UKE1" s="69" t="s">
        <v>14658</v>
      </c>
      <c r="UKF1" s="69" t="s">
        <v>14659</v>
      </c>
      <c r="UKG1" s="69" t="s">
        <v>14660</v>
      </c>
      <c r="UKH1" s="69" t="s">
        <v>14661</v>
      </c>
      <c r="UKI1" s="69" t="s">
        <v>14662</v>
      </c>
      <c r="UKJ1" s="69" t="s">
        <v>14663</v>
      </c>
      <c r="UKK1" s="69" t="s">
        <v>14664</v>
      </c>
      <c r="UKL1" s="69" t="s">
        <v>14665</v>
      </c>
      <c r="UKM1" s="69" t="s">
        <v>14666</v>
      </c>
      <c r="UKN1" s="69" t="s">
        <v>14667</v>
      </c>
      <c r="UKO1" s="69" t="s">
        <v>14668</v>
      </c>
      <c r="UKP1" s="69" t="s">
        <v>14669</v>
      </c>
      <c r="UKQ1" s="69" t="s">
        <v>14670</v>
      </c>
      <c r="UKR1" s="69" t="s">
        <v>14671</v>
      </c>
      <c r="UKS1" s="69" t="s">
        <v>14672</v>
      </c>
      <c r="UKT1" s="69" t="s">
        <v>14673</v>
      </c>
      <c r="UKU1" s="69" t="s">
        <v>14674</v>
      </c>
      <c r="UKV1" s="69" t="s">
        <v>14675</v>
      </c>
      <c r="UKW1" s="69" t="s">
        <v>14676</v>
      </c>
      <c r="UKX1" s="69" t="s">
        <v>14677</v>
      </c>
      <c r="UKY1" s="69" t="s">
        <v>14678</v>
      </c>
      <c r="UKZ1" s="69" t="s">
        <v>14679</v>
      </c>
      <c r="ULA1" s="69" t="s">
        <v>14680</v>
      </c>
      <c r="ULB1" s="69" t="s">
        <v>14681</v>
      </c>
      <c r="ULC1" s="69" t="s">
        <v>14682</v>
      </c>
      <c r="ULD1" s="69" t="s">
        <v>14683</v>
      </c>
      <c r="ULE1" s="69" t="s">
        <v>14684</v>
      </c>
      <c r="ULF1" s="69" t="s">
        <v>14685</v>
      </c>
      <c r="ULG1" s="69" t="s">
        <v>14686</v>
      </c>
      <c r="ULH1" s="69" t="s">
        <v>14687</v>
      </c>
      <c r="ULI1" s="69" t="s">
        <v>14688</v>
      </c>
      <c r="ULJ1" s="69" t="s">
        <v>14689</v>
      </c>
      <c r="ULK1" s="69" t="s">
        <v>14690</v>
      </c>
      <c r="ULL1" s="69" t="s">
        <v>14691</v>
      </c>
      <c r="ULM1" s="69" t="s">
        <v>14692</v>
      </c>
      <c r="ULN1" s="69" t="s">
        <v>14693</v>
      </c>
      <c r="ULO1" s="69" t="s">
        <v>14694</v>
      </c>
      <c r="ULP1" s="69" t="s">
        <v>14695</v>
      </c>
      <c r="ULQ1" s="69" t="s">
        <v>14696</v>
      </c>
      <c r="ULR1" s="69" t="s">
        <v>14697</v>
      </c>
      <c r="ULS1" s="69" t="s">
        <v>14698</v>
      </c>
      <c r="ULT1" s="69" t="s">
        <v>14699</v>
      </c>
      <c r="ULU1" s="69" t="s">
        <v>14700</v>
      </c>
      <c r="ULV1" s="69" t="s">
        <v>14701</v>
      </c>
      <c r="ULW1" s="69" t="s">
        <v>14702</v>
      </c>
      <c r="ULX1" s="69" t="s">
        <v>14703</v>
      </c>
      <c r="ULY1" s="69" t="s">
        <v>14704</v>
      </c>
      <c r="ULZ1" s="69" t="s">
        <v>14705</v>
      </c>
      <c r="UMA1" s="69" t="s">
        <v>14706</v>
      </c>
      <c r="UMB1" s="69" t="s">
        <v>14707</v>
      </c>
      <c r="UMC1" s="69" t="s">
        <v>14708</v>
      </c>
      <c r="UMD1" s="69" t="s">
        <v>14709</v>
      </c>
      <c r="UME1" s="69" t="s">
        <v>14710</v>
      </c>
      <c r="UMF1" s="69" t="s">
        <v>14711</v>
      </c>
      <c r="UMG1" s="69" t="s">
        <v>14712</v>
      </c>
      <c r="UMH1" s="69" t="s">
        <v>14713</v>
      </c>
      <c r="UMI1" s="69" t="s">
        <v>14714</v>
      </c>
      <c r="UMJ1" s="69" t="s">
        <v>14715</v>
      </c>
      <c r="UMK1" s="69" t="s">
        <v>14716</v>
      </c>
      <c r="UML1" s="69" t="s">
        <v>14717</v>
      </c>
      <c r="UMM1" s="69" t="s">
        <v>14718</v>
      </c>
      <c r="UMN1" s="69" t="s">
        <v>14719</v>
      </c>
      <c r="UMO1" s="69" t="s">
        <v>14720</v>
      </c>
      <c r="UMP1" s="69" t="s">
        <v>14721</v>
      </c>
      <c r="UMQ1" s="69" t="s">
        <v>14722</v>
      </c>
      <c r="UMR1" s="69" t="s">
        <v>14723</v>
      </c>
      <c r="UMS1" s="69" t="s">
        <v>14724</v>
      </c>
      <c r="UMT1" s="69" t="s">
        <v>14725</v>
      </c>
      <c r="UMU1" s="69" t="s">
        <v>14726</v>
      </c>
      <c r="UMV1" s="69" t="s">
        <v>14727</v>
      </c>
      <c r="UMW1" s="69" t="s">
        <v>14728</v>
      </c>
      <c r="UMX1" s="69" t="s">
        <v>14729</v>
      </c>
      <c r="UMY1" s="69" t="s">
        <v>14730</v>
      </c>
      <c r="UMZ1" s="69" t="s">
        <v>14731</v>
      </c>
      <c r="UNA1" s="69" t="s">
        <v>14732</v>
      </c>
      <c r="UNB1" s="69" t="s">
        <v>14733</v>
      </c>
      <c r="UNC1" s="69" t="s">
        <v>14734</v>
      </c>
      <c r="UND1" s="69" t="s">
        <v>14735</v>
      </c>
      <c r="UNE1" s="69" t="s">
        <v>14736</v>
      </c>
      <c r="UNF1" s="69" t="s">
        <v>14737</v>
      </c>
      <c r="UNG1" s="69" t="s">
        <v>14738</v>
      </c>
      <c r="UNH1" s="69" t="s">
        <v>14739</v>
      </c>
      <c r="UNI1" s="69" t="s">
        <v>14740</v>
      </c>
      <c r="UNJ1" s="69" t="s">
        <v>14741</v>
      </c>
      <c r="UNK1" s="69" t="s">
        <v>14742</v>
      </c>
      <c r="UNL1" s="69" t="s">
        <v>14743</v>
      </c>
      <c r="UNM1" s="69" t="s">
        <v>14744</v>
      </c>
      <c r="UNN1" s="69" t="s">
        <v>14745</v>
      </c>
      <c r="UNO1" s="69" t="s">
        <v>14746</v>
      </c>
      <c r="UNP1" s="69" t="s">
        <v>14747</v>
      </c>
      <c r="UNQ1" s="69" t="s">
        <v>14748</v>
      </c>
      <c r="UNR1" s="69" t="s">
        <v>14749</v>
      </c>
      <c r="UNS1" s="69" t="s">
        <v>14750</v>
      </c>
      <c r="UNT1" s="69" t="s">
        <v>14751</v>
      </c>
      <c r="UNU1" s="69" t="s">
        <v>14752</v>
      </c>
      <c r="UNV1" s="69" t="s">
        <v>14753</v>
      </c>
      <c r="UNW1" s="69" t="s">
        <v>14754</v>
      </c>
      <c r="UNX1" s="69" t="s">
        <v>14755</v>
      </c>
      <c r="UNY1" s="69" t="s">
        <v>14756</v>
      </c>
      <c r="UNZ1" s="69" t="s">
        <v>14757</v>
      </c>
      <c r="UOA1" s="69" t="s">
        <v>14758</v>
      </c>
      <c r="UOB1" s="69" t="s">
        <v>14759</v>
      </c>
      <c r="UOC1" s="69" t="s">
        <v>14760</v>
      </c>
      <c r="UOD1" s="69" t="s">
        <v>14761</v>
      </c>
      <c r="UOE1" s="69" t="s">
        <v>14762</v>
      </c>
      <c r="UOF1" s="69" t="s">
        <v>14763</v>
      </c>
      <c r="UOG1" s="69" t="s">
        <v>14764</v>
      </c>
      <c r="UOH1" s="69" t="s">
        <v>14765</v>
      </c>
      <c r="UOI1" s="69" t="s">
        <v>14766</v>
      </c>
      <c r="UOJ1" s="69" t="s">
        <v>14767</v>
      </c>
      <c r="UOK1" s="69" t="s">
        <v>14768</v>
      </c>
      <c r="UOL1" s="69" t="s">
        <v>14769</v>
      </c>
      <c r="UOM1" s="69" t="s">
        <v>14770</v>
      </c>
      <c r="UON1" s="69" t="s">
        <v>14771</v>
      </c>
      <c r="UOO1" s="69" t="s">
        <v>14772</v>
      </c>
      <c r="UOP1" s="69" t="s">
        <v>14773</v>
      </c>
      <c r="UOQ1" s="69" t="s">
        <v>14774</v>
      </c>
      <c r="UOR1" s="69" t="s">
        <v>14775</v>
      </c>
      <c r="UOS1" s="69" t="s">
        <v>14776</v>
      </c>
      <c r="UOT1" s="69" t="s">
        <v>14777</v>
      </c>
      <c r="UOU1" s="69" t="s">
        <v>14778</v>
      </c>
      <c r="UOV1" s="69" t="s">
        <v>14779</v>
      </c>
      <c r="UOW1" s="69" t="s">
        <v>14780</v>
      </c>
      <c r="UOX1" s="69" t="s">
        <v>14781</v>
      </c>
      <c r="UOY1" s="69" t="s">
        <v>14782</v>
      </c>
      <c r="UOZ1" s="69" t="s">
        <v>14783</v>
      </c>
      <c r="UPA1" s="69" t="s">
        <v>14784</v>
      </c>
      <c r="UPB1" s="69" t="s">
        <v>14785</v>
      </c>
      <c r="UPC1" s="69" t="s">
        <v>14786</v>
      </c>
      <c r="UPD1" s="69" t="s">
        <v>14787</v>
      </c>
      <c r="UPE1" s="69" t="s">
        <v>14788</v>
      </c>
      <c r="UPF1" s="69" t="s">
        <v>14789</v>
      </c>
      <c r="UPG1" s="69" t="s">
        <v>14790</v>
      </c>
      <c r="UPH1" s="69" t="s">
        <v>14791</v>
      </c>
      <c r="UPI1" s="69" t="s">
        <v>14792</v>
      </c>
      <c r="UPJ1" s="69" t="s">
        <v>14793</v>
      </c>
      <c r="UPK1" s="69" t="s">
        <v>14794</v>
      </c>
      <c r="UPL1" s="69" t="s">
        <v>14795</v>
      </c>
      <c r="UPM1" s="69" t="s">
        <v>14796</v>
      </c>
      <c r="UPN1" s="69" t="s">
        <v>14797</v>
      </c>
      <c r="UPO1" s="69" t="s">
        <v>14798</v>
      </c>
      <c r="UPP1" s="69" t="s">
        <v>14799</v>
      </c>
      <c r="UPQ1" s="69" t="s">
        <v>14800</v>
      </c>
      <c r="UPR1" s="69" t="s">
        <v>14801</v>
      </c>
      <c r="UPS1" s="69" t="s">
        <v>14802</v>
      </c>
      <c r="UPT1" s="69" t="s">
        <v>14803</v>
      </c>
      <c r="UPU1" s="69" t="s">
        <v>14804</v>
      </c>
      <c r="UPV1" s="69" t="s">
        <v>14805</v>
      </c>
      <c r="UPW1" s="69" t="s">
        <v>14806</v>
      </c>
      <c r="UPX1" s="69" t="s">
        <v>14807</v>
      </c>
      <c r="UPY1" s="69" t="s">
        <v>14808</v>
      </c>
      <c r="UPZ1" s="69" t="s">
        <v>14809</v>
      </c>
      <c r="UQA1" s="69" t="s">
        <v>14810</v>
      </c>
      <c r="UQB1" s="69" t="s">
        <v>14811</v>
      </c>
      <c r="UQC1" s="69" t="s">
        <v>14812</v>
      </c>
      <c r="UQD1" s="69" t="s">
        <v>14813</v>
      </c>
      <c r="UQE1" s="69" t="s">
        <v>14814</v>
      </c>
      <c r="UQF1" s="69" t="s">
        <v>14815</v>
      </c>
      <c r="UQG1" s="69" t="s">
        <v>14816</v>
      </c>
      <c r="UQH1" s="69" t="s">
        <v>14817</v>
      </c>
      <c r="UQI1" s="69" t="s">
        <v>14818</v>
      </c>
      <c r="UQJ1" s="69" t="s">
        <v>14819</v>
      </c>
      <c r="UQK1" s="69" t="s">
        <v>14820</v>
      </c>
      <c r="UQL1" s="69" t="s">
        <v>14821</v>
      </c>
      <c r="UQM1" s="69" t="s">
        <v>14822</v>
      </c>
      <c r="UQN1" s="69" t="s">
        <v>14823</v>
      </c>
      <c r="UQO1" s="69" t="s">
        <v>14824</v>
      </c>
      <c r="UQP1" s="69" t="s">
        <v>14825</v>
      </c>
      <c r="UQQ1" s="69" t="s">
        <v>14826</v>
      </c>
      <c r="UQR1" s="69" t="s">
        <v>14827</v>
      </c>
      <c r="UQS1" s="69" t="s">
        <v>14828</v>
      </c>
      <c r="UQT1" s="69" t="s">
        <v>14829</v>
      </c>
      <c r="UQU1" s="69" t="s">
        <v>14830</v>
      </c>
      <c r="UQV1" s="69" t="s">
        <v>14831</v>
      </c>
      <c r="UQW1" s="69" t="s">
        <v>14832</v>
      </c>
      <c r="UQX1" s="69" t="s">
        <v>14833</v>
      </c>
      <c r="UQY1" s="69" t="s">
        <v>14834</v>
      </c>
      <c r="UQZ1" s="69" t="s">
        <v>14835</v>
      </c>
      <c r="URA1" s="69" t="s">
        <v>14836</v>
      </c>
      <c r="URB1" s="69" t="s">
        <v>14837</v>
      </c>
      <c r="URC1" s="69" t="s">
        <v>14838</v>
      </c>
      <c r="URD1" s="69" t="s">
        <v>14839</v>
      </c>
      <c r="URE1" s="69" t="s">
        <v>14840</v>
      </c>
      <c r="URF1" s="69" t="s">
        <v>14841</v>
      </c>
      <c r="URG1" s="69" t="s">
        <v>14842</v>
      </c>
      <c r="URH1" s="69" t="s">
        <v>14843</v>
      </c>
      <c r="URI1" s="69" t="s">
        <v>14844</v>
      </c>
      <c r="URJ1" s="69" t="s">
        <v>14845</v>
      </c>
      <c r="URK1" s="69" t="s">
        <v>14846</v>
      </c>
      <c r="URL1" s="69" t="s">
        <v>14847</v>
      </c>
      <c r="URM1" s="69" t="s">
        <v>14848</v>
      </c>
      <c r="URN1" s="69" t="s">
        <v>14849</v>
      </c>
      <c r="URO1" s="69" t="s">
        <v>14850</v>
      </c>
      <c r="URP1" s="69" t="s">
        <v>14851</v>
      </c>
      <c r="URQ1" s="69" t="s">
        <v>14852</v>
      </c>
      <c r="URR1" s="69" t="s">
        <v>14853</v>
      </c>
      <c r="URS1" s="69" t="s">
        <v>14854</v>
      </c>
      <c r="URT1" s="69" t="s">
        <v>14855</v>
      </c>
      <c r="URU1" s="69" t="s">
        <v>14856</v>
      </c>
      <c r="URV1" s="69" t="s">
        <v>14857</v>
      </c>
      <c r="URW1" s="69" t="s">
        <v>14858</v>
      </c>
      <c r="URX1" s="69" t="s">
        <v>14859</v>
      </c>
      <c r="URY1" s="69" t="s">
        <v>14860</v>
      </c>
      <c r="URZ1" s="69" t="s">
        <v>14861</v>
      </c>
      <c r="USA1" s="69" t="s">
        <v>14862</v>
      </c>
      <c r="USB1" s="69" t="s">
        <v>14863</v>
      </c>
      <c r="USC1" s="69" t="s">
        <v>14864</v>
      </c>
      <c r="USD1" s="69" t="s">
        <v>14865</v>
      </c>
      <c r="USE1" s="69" t="s">
        <v>14866</v>
      </c>
      <c r="USF1" s="69" t="s">
        <v>14867</v>
      </c>
      <c r="USG1" s="69" t="s">
        <v>14868</v>
      </c>
      <c r="USH1" s="69" t="s">
        <v>14869</v>
      </c>
      <c r="USI1" s="69" t="s">
        <v>14870</v>
      </c>
      <c r="USJ1" s="69" t="s">
        <v>14871</v>
      </c>
      <c r="USK1" s="69" t="s">
        <v>14872</v>
      </c>
      <c r="USL1" s="69" t="s">
        <v>14873</v>
      </c>
      <c r="USM1" s="69" t="s">
        <v>14874</v>
      </c>
      <c r="USN1" s="69" t="s">
        <v>14875</v>
      </c>
      <c r="USO1" s="69" t="s">
        <v>14876</v>
      </c>
      <c r="USP1" s="69" t="s">
        <v>14877</v>
      </c>
      <c r="USQ1" s="69" t="s">
        <v>14878</v>
      </c>
      <c r="USR1" s="69" t="s">
        <v>14879</v>
      </c>
      <c r="USS1" s="69" t="s">
        <v>14880</v>
      </c>
      <c r="UST1" s="69" t="s">
        <v>14881</v>
      </c>
      <c r="USU1" s="69" t="s">
        <v>14882</v>
      </c>
      <c r="USV1" s="69" t="s">
        <v>14883</v>
      </c>
      <c r="USW1" s="69" t="s">
        <v>14884</v>
      </c>
      <c r="USX1" s="69" t="s">
        <v>14885</v>
      </c>
      <c r="USY1" s="69" t="s">
        <v>14886</v>
      </c>
      <c r="USZ1" s="69" t="s">
        <v>14887</v>
      </c>
      <c r="UTA1" s="69" t="s">
        <v>14888</v>
      </c>
      <c r="UTB1" s="69" t="s">
        <v>14889</v>
      </c>
      <c r="UTC1" s="69" t="s">
        <v>14890</v>
      </c>
      <c r="UTD1" s="69" t="s">
        <v>14891</v>
      </c>
      <c r="UTE1" s="69" t="s">
        <v>14892</v>
      </c>
      <c r="UTF1" s="69" t="s">
        <v>14893</v>
      </c>
      <c r="UTG1" s="69" t="s">
        <v>14894</v>
      </c>
      <c r="UTH1" s="69" t="s">
        <v>14895</v>
      </c>
      <c r="UTI1" s="69" t="s">
        <v>14896</v>
      </c>
      <c r="UTJ1" s="69" t="s">
        <v>14897</v>
      </c>
      <c r="UTK1" s="69" t="s">
        <v>14898</v>
      </c>
      <c r="UTL1" s="69" t="s">
        <v>14899</v>
      </c>
      <c r="UTM1" s="69" t="s">
        <v>14900</v>
      </c>
      <c r="UTN1" s="69" t="s">
        <v>14901</v>
      </c>
      <c r="UTO1" s="69" t="s">
        <v>14902</v>
      </c>
      <c r="UTP1" s="69" t="s">
        <v>14903</v>
      </c>
      <c r="UTQ1" s="69" t="s">
        <v>14904</v>
      </c>
      <c r="UTR1" s="69" t="s">
        <v>14905</v>
      </c>
      <c r="UTS1" s="69" t="s">
        <v>14906</v>
      </c>
      <c r="UTT1" s="69" t="s">
        <v>14907</v>
      </c>
      <c r="UTU1" s="69" t="s">
        <v>14908</v>
      </c>
      <c r="UTV1" s="69" t="s">
        <v>14909</v>
      </c>
      <c r="UTW1" s="69" t="s">
        <v>14910</v>
      </c>
      <c r="UTX1" s="69" t="s">
        <v>14911</v>
      </c>
      <c r="UTY1" s="69" t="s">
        <v>14912</v>
      </c>
      <c r="UTZ1" s="69" t="s">
        <v>14913</v>
      </c>
      <c r="UUA1" s="69" t="s">
        <v>14914</v>
      </c>
      <c r="UUB1" s="69" t="s">
        <v>14915</v>
      </c>
      <c r="UUC1" s="69" t="s">
        <v>14916</v>
      </c>
      <c r="UUD1" s="69" t="s">
        <v>14917</v>
      </c>
      <c r="UUE1" s="69" t="s">
        <v>14918</v>
      </c>
      <c r="UUF1" s="69" t="s">
        <v>14919</v>
      </c>
      <c r="UUG1" s="69" t="s">
        <v>14920</v>
      </c>
      <c r="UUH1" s="69" t="s">
        <v>14921</v>
      </c>
      <c r="UUI1" s="69" t="s">
        <v>14922</v>
      </c>
      <c r="UUJ1" s="69" t="s">
        <v>14923</v>
      </c>
      <c r="UUK1" s="69" t="s">
        <v>14924</v>
      </c>
      <c r="UUL1" s="69" t="s">
        <v>14925</v>
      </c>
      <c r="UUM1" s="69" t="s">
        <v>14926</v>
      </c>
      <c r="UUN1" s="69" t="s">
        <v>14927</v>
      </c>
      <c r="UUO1" s="69" t="s">
        <v>14928</v>
      </c>
      <c r="UUP1" s="69" t="s">
        <v>14929</v>
      </c>
      <c r="UUQ1" s="69" t="s">
        <v>14930</v>
      </c>
      <c r="UUR1" s="69" t="s">
        <v>14931</v>
      </c>
      <c r="UUS1" s="69" t="s">
        <v>14932</v>
      </c>
      <c r="UUT1" s="69" t="s">
        <v>14933</v>
      </c>
      <c r="UUU1" s="69" t="s">
        <v>14934</v>
      </c>
      <c r="UUV1" s="69" t="s">
        <v>14935</v>
      </c>
      <c r="UUW1" s="69" t="s">
        <v>14936</v>
      </c>
      <c r="UUX1" s="69" t="s">
        <v>14937</v>
      </c>
      <c r="UUY1" s="69" t="s">
        <v>14938</v>
      </c>
      <c r="UUZ1" s="69" t="s">
        <v>14939</v>
      </c>
      <c r="UVA1" s="69" t="s">
        <v>14940</v>
      </c>
      <c r="UVB1" s="69" t="s">
        <v>14941</v>
      </c>
      <c r="UVC1" s="69" t="s">
        <v>14942</v>
      </c>
      <c r="UVD1" s="69" t="s">
        <v>14943</v>
      </c>
      <c r="UVE1" s="69" t="s">
        <v>14944</v>
      </c>
      <c r="UVF1" s="69" t="s">
        <v>14945</v>
      </c>
      <c r="UVG1" s="69" t="s">
        <v>14946</v>
      </c>
      <c r="UVH1" s="69" t="s">
        <v>14947</v>
      </c>
      <c r="UVI1" s="69" t="s">
        <v>14948</v>
      </c>
      <c r="UVJ1" s="69" t="s">
        <v>14949</v>
      </c>
      <c r="UVK1" s="69" t="s">
        <v>14950</v>
      </c>
      <c r="UVL1" s="69" t="s">
        <v>14951</v>
      </c>
      <c r="UVM1" s="69" t="s">
        <v>14952</v>
      </c>
      <c r="UVN1" s="69" t="s">
        <v>14953</v>
      </c>
      <c r="UVO1" s="69" t="s">
        <v>14954</v>
      </c>
      <c r="UVP1" s="69" t="s">
        <v>14955</v>
      </c>
      <c r="UVQ1" s="69" t="s">
        <v>14956</v>
      </c>
      <c r="UVR1" s="69" t="s">
        <v>14957</v>
      </c>
      <c r="UVS1" s="69" t="s">
        <v>14958</v>
      </c>
      <c r="UVT1" s="69" t="s">
        <v>14959</v>
      </c>
      <c r="UVU1" s="69" t="s">
        <v>14960</v>
      </c>
      <c r="UVV1" s="69" t="s">
        <v>14961</v>
      </c>
      <c r="UVW1" s="69" t="s">
        <v>14962</v>
      </c>
      <c r="UVX1" s="69" t="s">
        <v>14963</v>
      </c>
      <c r="UVY1" s="69" t="s">
        <v>14964</v>
      </c>
      <c r="UVZ1" s="69" t="s">
        <v>14965</v>
      </c>
      <c r="UWA1" s="69" t="s">
        <v>14966</v>
      </c>
      <c r="UWB1" s="69" t="s">
        <v>14967</v>
      </c>
      <c r="UWC1" s="69" t="s">
        <v>14968</v>
      </c>
      <c r="UWD1" s="69" t="s">
        <v>14969</v>
      </c>
      <c r="UWE1" s="69" t="s">
        <v>14970</v>
      </c>
      <c r="UWF1" s="69" t="s">
        <v>14971</v>
      </c>
      <c r="UWG1" s="69" t="s">
        <v>14972</v>
      </c>
      <c r="UWH1" s="69" t="s">
        <v>14973</v>
      </c>
      <c r="UWI1" s="69" t="s">
        <v>14974</v>
      </c>
      <c r="UWJ1" s="69" t="s">
        <v>14975</v>
      </c>
      <c r="UWK1" s="69" t="s">
        <v>14976</v>
      </c>
      <c r="UWL1" s="69" t="s">
        <v>14977</v>
      </c>
      <c r="UWM1" s="69" t="s">
        <v>14978</v>
      </c>
      <c r="UWN1" s="69" t="s">
        <v>14979</v>
      </c>
      <c r="UWO1" s="69" t="s">
        <v>14980</v>
      </c>
      <c r="UWP1" s="69" t="s">
        <v>14981</v>
      </c>
      <c r="UWQ1" s="69" t="s">
        <v>14982</v>
      </c>
      <c r="UWR1" s="69" t="s">
        <v>14983</v>
      </c>
      <c r="UWS1" s="69" t="s">
        <v>14984</v>
      </c>
      <c r="UWT1" s="69" t="s">
        <v>14985</v>
      </c>
      <c r="UWU1" s="69" t="s">
        <v>14986</v>
      </c>
      <c r="UWV1" s="69" t="s">
        <v>14987</v>
      </c>
      <c r="UWW1" s="69" t="s">
        <v>14988</v>
      </c>
      <c r="UWX1" s="69" t="s">
        <v>14989</v>
      </c>
      <c r="UWY1" s="69" t="s">
        <v>14990</v>
      </c>
      <c r="UWZ1" s="69" t="s">
        <v>14991</v>
      </c>
      <c r="UXA1" s="69" t="s">
        <v>14992</v>
      </c>
      <c r="UXB1" s="69" t="s">
        <v>14993</v>
      </c>
      <c r="UXC1" s="69" t="s">
        <v>14994</v>
      </c>
      <c r="UXD1" s="69" t="s">
        <v>14995</v>
      </c>
      <c r="UXE1" s="69" t="s">
        <v>14996</v>
      </c>
      <c r="UXF1" s="69" t="s">
        <v>14997</v>
      </c>
      <c r="UXG1" s="69" t="s">
        <v>14998</v>
      </c>
      <c r="UXH1" s="69" t="s">
        <v>14999</v>
      </c>
      <c r="UXI1" s="69" t="s">
        <v>15000</v>
      </c>
      <c r="UXJ1" s="69" t="s">
        <v>15001</v>
      </c>
      <c r="UXK1" s="69" t="s">
        <v>15002</v>
      </c>
      <c r="UXL1" s="69" t="s">
        <v>15003</v>
      </c>
      <c r="UXM1" s="69" t="s">
        <v>15004</v>
      </c>
      <c r="UXN1" s="69" t="s">
        <v>15005</v>
      </c>
      <c r="UXO1" s="69" t="s">
        <v>15006</v>
      </c>
      <c r="UXP1" s="69" t="s">
        <v>15007</v>
      </c>
      <c r="UXQ1" s="69" t="s">
        <v>15008</v>
      </c>
      <c r="UXR1" s="69" t="s">
        <v>15009</v>
      </c>
      <c r="UXS1" s="69" t="s">
        <v>15010</v>
      </c>
      <c r="UXT1" s="69" t="s">
        <v>15011</v>
      </c>
      <c r="UXU1" s="69" t="s">
        <v>15012</v>
      </c>
      <c r="UXV1" s="69" t="s">
        <v>15013</v>
      </c>
      <c r="UXW1" s="69" t="s">
        <v>15014</v>
      </c>
      <c r="UXX1" s="69" t="s">
        <v>15015</v>
      </c>
      <c r="UXY1" s="69" t="s">
        <v>15016</v>
      </c>
      <c r="UXZ1" s="69" t="s">
        <v>15017</v>
      </c>
      <c r="UYA1" s="69" t="s">
        <v>15018</v>
      </c>
      <c r="UYB1" s="69" t="s">
        <v>15019</v>
      </c>
      <c r="UYC1" s="69" t="s">
        <v>15020</v>
      </c>
      <c r="UYD1" s="69" t="s">
        <v>15021</v>
      </c>
      <c r="UYE1" s="69" t="s">
        <v>15022</v>
      </c>
      <c r="UYF1" s="69" t="s">
        <v>15023</v>
      </c>
      <c r="UYG1" s="69" t="s">
        <v>15024</v>
      </c>
      <c r="UYH1" s="69" t="s">
        <v>15025</v>
      </c>
      <c r="UYI1" s="69" t="s">
        <v>15026</v>
      </c>
      <c r="UYJ1" s="69" t="s">
        <v>15027</v>
      </c>
      <c r="UYK1" s="69" t="s">
        <v>15028</v>
      </c>
      <c r="UYL1" s="69" t="s">
        <v>15029</v>
      </c>
      <c r="UYM1" s="69" t="s">
        <v>15030</v>
      </c>
      <c r="UYN1" s="69" t="s">
        <v>15031</v>
      </c>
      <c r="UYO1" s="69" t="s">
        <v>15032</v>
      </c>
      <c r="UYP1" s="69" t="s">
        <v>15033</v>
      </c>
      <c r="UYQ1" s="69" t="s">
        <v>15034</v>
      </c>
      <c r="UYR1" s="69" t="s">
        <v>15035</v>
      </c>
      <c r="UYS1" s="69" t="s">
        <v>15036</v>
      </c>
      <c r="UYT1" s="69" t="s">
        <v>15037</v>
      </c>
      <c r="UYU1" s="69" t="s">
        <v>15038</v>
      </c>
      <c r="UYV1" s="69" t="s">
        <v>15039</v>
      </c>
      <c r="UYW1" s="69" t="s">
        <v>15040</v>
      </c>
      <c r="UYX1" s="69" t="s">
        <v>15041</v>
      </c>
      <c r="UYY1" s="69" t="s">
        <v>15042</v>
      </c>
      <c r="UYZ1" s="69" t="s">
        <v>15043</v>
      </c>
      <c r="UZA1" s="69" t="s">
        <v>15044</v>
      </c>
      <c r="UZB1" s="69" t="s">
        <v>15045</v>
      </c>
      <c r="UZC1" s="69" t="s">
        <v>15046</v>
      </c>
      <c r="UZD1" s="69" t="s">
        <v>15047</v>
      </c>
      <c r="UZE1" s="69" t="s">
        <v>15048</v>
      </c>
      <c r="UZF1" s="69" t="s">
        <v>15049</v>
      </c>
      <c r="UZG1" s="69" t="s">
        <v>15050</v>
      </c>
      <c r="UZH1" s="69" t="s">
        <v>15051</v>
      </c>
      <c r="UZI1" s="69" t="s">
        <v>15052</v>
      </c>
      <c r="UZJ1" s="69" t="s">
        <v>15053</v>
      </c>
      <c r="UZK1" s="69" t="s">
        <v>15054</v>
      </c>
      <c r="UZL1" s="69" t="s">
        <v>15055</v>
      </c>
      <c r="UZM1" s="69" t="s">
        <v>15056</v>
      </c>
      <c r="UZN1" s="69" t="s">
        <v>15057</v>
      </c>
      <c r="UZO1" s="69" t="s">
        <v>15058</v>
      </c>
      <c r="UZP1" s="69" t="s">
        <v>15059</v>
      </c>
      <c r="UZQ1" s="69" t="s">
        <v>15060</v>
      </c>
      <c r="UZR1" s="69" t="s">
        <v>15061</v>
      </c>
      <c r="UZS1" s="69" t="s">
        <v>15062</v>
      </c>
      <c r="UZT1" s="69" t="s">
        <v>15063</v>
      </c>
      <c r="UZU1" s="69" t="s">
        <v>15064</v>
      </c>
      <c r="UZV1" s="69" t="s">
        <v>15065</v>
      </c>
      <c r="UZW1" s="69" t="s">
        <v>15066</v>
      </c>
      <c r="UZX1" s="69" t="s">
        <v>15067</v>
      </c>
      <c r="UZY1" s="69" t="s">
        <v>15068</v>
      </c>
      <c r="UZZ1" s="69" t="s">
        <v>15069</v>
      </c>
      <c r="VAA1" s="69" t="s">
        <v>15070</v>
      </c>
      <c r="VAB1" s="69" t="s">
        <v>15071</v>
      </c>
      <c r="VAC1" s="69" t="s">
        <v>15072</v>
      </c>
      <c r="VAD1" s="69" t="s">
        <v>15073</v>
      </c>
      <c r="VAE1" s="69" t="s">
        <v>15074</v>
      </c>
      <c r="VAF1" s="69" t="s">
        <v>15075</v>
      </c>
      <c r="VAG1" s="69" t="s">
        <v>15076</v>
      </c>
      <c r="VAH1" s="69" t="s">
        <v>15077</v>
      </c>
      <c r="VAI1" s="69" t="s">
        <v>15078</v>
      </c>
      <c r="VAJ1" s="69" t="s">
        <v>15079</v>
      </c>
      <c r="VAK1" s="69" t="s">
        <v>15080</v>
      </c>
      <c r="VAL1" s="69" t="s">
        <v>15081</v>
      </c>
      <c r="VAM1" s="69" t="s">
        <v>15082</v>
      </c>
      <c r="VAN1" s="69" t="s">
        <v>15083</v>
      </c>
      <c r="VAO1" s="69" t="s">
        <v>15084</v>
      </c>
      <c r="VAP1" s="69" t="s">
        <v>15085</v>
      </c>
      <c r="VAQ1" s="69" t="s">
        <v>15086</v>
      </c>
      <c r="VAR1" s="69" t="s">
        <v>15087</v>
      </c>
      <c r="VAS1" s="69" t="s">
        <v>15088</v>
      </c>
      <c r="VAT1" s="69" t="s">
        <v>15089</v>
      </c>
      <c r="VAU1" s="69" t="s">
        <v>15090</v>
      </c>
      <c r="VAV1" s="69" t="s">
        <v>15091</v>
      </c>
      <c r="VAW1" s="69" t="s">
        <v>15092</v>
      </c>
      <c r="VAX1" s="69" t="s">
        <v>15093</v>
      </c>
      <c r="VAY1" s="69" t="s">
        <v>15094</v>
      </c>
      <c r="VAZ1" s="69" t="s">
        <v>15095</v>
      </c>
      <c r="VBA1" s="69" t="s">
        <v>15096</v>
      </c>
      <c r="VBB1" s="69" t="s">
        <v>15097</v>
      </c>
      <c r="VBC1" s="69" t="s">
        <v>15098</v>
      </c>
      <c r="VBD1" s="69" t="s">
        <v>15099</v>
      </c>
      <c r="VBE1" s="69" t="s">
        <v>15100</v>
      </c>
      <c r="VBF1" s="69" t="s">
        <v>15101</v>
      </c>
      <c r="VBG1" s="69" t="s">
        <v>15102</v>
      </c>
      <c r="VBH1" s="69" t="s">
        <v>15103</v>
      </c>
      <c r="VBI1" s="69" t="s">
        <v>15104</v>
      </c>
      <c r="VBJ1" s="69" t="s">
        <v>15105</v>
      </c>
      <c r="VBK1" s="69" t="s">
        <v>15106</v>
      </c>
      <c r="VBL1" s="69" t="s">
        <v>15107</v>
      </c>
      <c r="VBM1" s="69" t="s">
        <v>15108</v>
      </c>
      <c r="VBN1" s="69" t="s">
        <v>15109</v>
      </c>
      <c r="VBO1" s="69" t="s">
        <v>15110</v>
      </c>
      <c r="VBP1" s="69" t="s">
        <v>15111</v>
      </c>
      <c r="VBQ1" s="69" t="s">
        <v>15112</v>
      </c>
      <c r="VBR1" s="69" t="s">
        <v>15113</v>
      </c>
      <c r="VBS1" s="69" t="s">
        <v>15114</v>
      </c>
      <c r="VBT1" s="69" t="s">
        <v>15115</v>
      </c>
      <c r="VBU1" s="69" t="s">
        <v>15116</v>
      </c>
      <c r="VBV1" s="69" t="s">
        <v>15117</v>
      </c>
      <c r="VBW1" s="69" t="s">
        <v>15118</v>
      </c>
      <c r="VBX1" s="69" t="s">
        <v>15119</v>
      </c>
      <c r="VBY1" s="69" t="s">
        <v>15120</v>
      </c>
      <c r="VBZ1" s="69" t="s">
        <v>15121</v>
      </c>
      <c r="VCA1" s="69" t="s">
        <v>15122</v>
      </c>
      <c r="VCB1" s="69" t="s">
        <v>15123</v>
      </c>
      <c r="VCC1" s="69" t="s">
        <v>15124</v>
      </c>
      <c r="VCD1" s="69" t="s">
        <v>15125</v>
      </c>
      <c r="VCE1" s="69" t="s">
        <v>15126</v>
      </c>
      <c r="VCF1" s="69" t="s">
        <v>15127</v>
      </c>
      <c r="VCG1" s="69" t="s">
        <v>15128</v>
      </c>
      <c r="VCH1" s="69" t="s">
        <v>15129</v>
      </c>
      <c r="VCI1" s="69" t="s">
        <v>15130</v>
      </c>
      <c r="VCJ1" s="69" t="s">
        <v>15131</v>
      </c>
      <c r="VCK1" s="69" t="s">
        <v>15132</v>
      </c>
      <c r="VCL1" s="69" t="s">
        <v>15133</v>
      </c>
      <c r="VCM1" s="69" t="s">
        <v>15134</v>
      </c>
      <c r="VCN1" s="69" t="s">
        <v>15135</v>
      </c>
      <c r="VCO1" s="69" t="s">
        <v>15136</v>
      </c>
      <c r="VCP1" s="69" t="s">
        <v>15137</v>
      </c>
      <c r="VCQ1" s="69" t="s">
        <v>15138</v>
      </c>
      <c r="VCR1" s="69" t="s">
        <v>15139</v>
      </c>
      <c r="VCS1" s="69" t="s">
        <v>15140</v>
      </c>
      <c r="VCT1" s="69" t="s">
        <v>15141</v>
      </c>
      <c r="VCU1" s="69" t="s">
        <v>15142</v>
      </c>
      <c r="VCV1" s="69" t="s">
        <v>15143</v>
      </c>
      <c r="VCW1" s="69" t="s">
        <v>15144</v>
      </c>
      <c r="VCX1" s="69" t="s">
        <v>15145</v>
      </c>
      <c r="VCY1" s="69" t="s">
        <v>15146</v>
      </c>
      <c r="VCZ1" s="69" t="s">
        <v>15147</v>
      </c>
      <c r="VDA1" s="69" t="s">
        <v>15148</v>
      </c>
      <c r="VDB1" s="69" t="s">
        <v>15149</v>
      </c>
      <c r="VDC1" s="69" t="s">
        <v>15150</v>
      </c>
      <c r="VDD1" s="69" t="s">
        <v>15151</v>
      </c>
      <c r="VDE1" s="69" t="s">
        <v>15152</v>
      </c>
      <c r="VDF1" s="69" t="s">
        <v>15153</v>
      </c>
      <c r="VDG1" s="69" t="s">
        <v>15154</v>
      </c>
      <c r="VDH1" s="69" t="s">
        <v>15155</v>
      </c>
      <c r="VDI1" s="69" t="s">
        <v>15156</v>
      </c>
      <c r="VDJ1" s="69" t="s">
        <v>15157</v>
      </c>
      <c r="VDK1" s="69" t="s">
        <v>15158</v>
      </c>
      <c r="VDL1" s="69" t="s">
        <v>15159</v>
      </c>
      <c r="VDM1" s="69" t="s">
        <v>15160</v>
      </c>
      <c r="VDN1" s="69" t="s">
        <v>15161</v>
      </c>
      <c r="VDO1" s="69" t="s">
        <v>15162</v>
      </c>
      <c r="VDP1" s="69" t="s">
        <v>15163</v>
      </c>
      <c r="VDQ1" s="69" t="s">
        <v>15164</v>
      </c>
      <c r="VDR1" s="69" t="s">
        <v>15165</v>
      </c>
      <c r="VDS1" s="69" t="s">
        <v>15166</v>
      </c>
      <c r="VDT1" s="69" t="s">
        <v>15167</v>
      </c>
      <c r="VDU1" s="69" t="s">
        <v>15168</v>
      </c>
      <c r="VDV1" s="69" t="s">
        <v>15169</v>
      </c>
      <c r="VDW1" s="69" t="s">
        <v>15170</v>
      </c>
      <c r="VDX1" s="69" t="s">
        <v>15171</v>
      </c>
      <c r="VDY1" s="69" t="s">
        <v>15172</v>
      </c>
      <c r="VDZ1" s="69" t="s">
        <v>15173</v>
      </c>
      <c r="VEA1" s="69" t="s">
        <v>15174</v>
      </c>
      <c r="VEB1" s="69" t="s">
        <v>15175</v>
      </c>
      <c r="VEC1" s="69" t="s">
        <v>15176</v>
      </c>
      <c r="VED1" s="69" t="s">
        <v>15177</v>
      </c>
      <c r="VEE1" s="69" t="s">
        <v>15178</v>
      </c>
      <c r="VEF1" s="69" t="s">
        <v>15179</v>
      </c>
      <c r="VEG1" s="69" t="s">
        <v>15180</v>
      </c>
      <c r="VEH1" s="69" t="s">
        <v>15181</v>
      </c>
      <c r="VEI1" s="69" t="s">
        <v>15182</v>
      </c>
      <c r="VEJ1" s="69" t="s">
        <v>15183</v>
      </c>
      <c r="VEK1" s="69" t="s">
        <v>15184</v>
      </c>
      <c r="VEL1" s="69" t="s">
        <v>15185</v>
      </c>
      <c r="VEM1" s="69" t="s">
        <v>15186</v>
      </c>
      <c r="VEN1" s="69" t="s">
        <v>15187</v>
      </c>
      <c r="VEO1" s="69" t="s">
        <v>15188</v>
      </c>
      <c r="VEP1" s="69" t="s">
        <v>15189</v>
      </c>
      <c r="VEQ1" s="69" t="s">
        <v>15190</v>
      </c>
      <c r="VER1" s="69" t="s">
        <v>15191</v>
      </c>
      <c r="VES1" s="69" t="s">
        <v>15192</v>
      </c>
      <c r="VET1" s="69" t="s">
        <v>15193</v>
      </c>
      <c r="VEU1" s="69" t="s">
        <v>15194</v>
      </c>
      <c r="VEV1" s="69" t="s">
        <v>15195</v>
      </c>
      <c r="VEW1" s="69" t="s">
        <v>15196</v>
      </c>
      <c r="VEX1" s="69" t="s">
        <v>15197</v>
      </c>
      <c r="VEY1" s="69" t="s">
        <v>15198</v>
      </c>
      <c r="VEZ1" s="69" t="s">
        <v>15199</v>
      </c>
      <c r="VFA1" s="69" t="s">
        <v>15200</v>
      </c>
      <c r="VFB1" s="69" t="s">
        <v>15201</v>
      </c>
      <c r="VFC1" s="69" t="s">
        <v>15202</v>
      </c>
      <c r="VFD1" s="69" t="s">
        <v>15203</v>
      </c>
      <c r="VFE1" s="69" t="s">
        <v>15204</v>
      </c>
      <c r="VFF1" s="69" t="s">
        <v>15205</v>
      </c>
      <c r="VFG1" s="69" t="s">
        <v>15206</v>
      </c>
      <c r="VFH1" s="69" t="s">
        <v>15207</v>
      </c>
      <c r="VFI1" s="69" t="s">
        <v>15208</v>
      </c>
      <c r="VFJ1" s="69" t="s">
        <v>15209</v>
      </c>
      <c r="VFK1" s="69" t="s">
        <v>15210</v>
      </c>
      <c r="VFL1" s="69" t="s">
        <v>15211</v>
      </c>
      <c r="VFM1" s="69" t="s">
        <v>15212</v>
      </c>
      <c r="VFN1" s="69" t="s">
        <v>15213</v>
      </c>
      <c r="VFO1" s="69" t="s">
        <v>15214</v>
      </c>
      <c r="VFP1" s="69" t="s">
        <v>15215</v>
      </c>
      <c r="VFQ1" s="69" t="s">
        <v>15216</v>
      </c>
      <c r="VFR1" s="69" t="s">
        <v>15217</v>
      </c>
      <c r="VFS1" s="69" t="s">
        <v>15218</v>
      </c>
      <c r="VFT1" s="69" t="s">
        <v>15219</v>
      </c>
      <c r="VFU1" s="69" t="s">
        <v>15220</v>
      </c>
      <c r="VFV1" s="69" t="s">
        <v>15221</v>
      </c>
      <c r="VFW1" s="69" t="s">
        <v>15222</v>
      </c>
      <c r="VFX1" s="69" t="s">
        <v>15223</v>
      </c>
      <c r="VFY1" s="69" t="s">
        <v>15224</v>
      </c>
      <c r="VFZ1" s="69" t="s">
        <v>15225</v>
      </c>
      <c r="VGA1" s="69" t="s">
        <v>15226</v>
      </c>
      <c r="VGB1" s="69" t="s">
        <v>15227</v>
      </c>
      <c r="VGC1" s="69" t="s">
        <v>15228</v>
      </c>
      <c r="VGD1" s="69" t="s">
        <v>15229</v>
      </c>
      <c r="VGE1" s="69" t="s">
        <v>15230</v>
      </c>
      <c r="VGF1" s="69" t="s">
        <v>15231</v>
      </c>
      <c r="VGG1" s="69" t="s">
        <v>15232</v>
      </c>
      <c r="VGH1" s="69" t="s">
        <v>15233</v>
      </c>
      <c r="VGI1" s="69" t="s">
        <v>15234</v>
      </c>
      <c r="VGJ1" s="69" t="s">
        <v>15235</v>
      </c>
      <c r="VGK1" s="69" t="s">
        <v>15236</v>
      </c>
      <c r="VGL1" s="69" t="s">
        <v>15237</v>
      </c>
      <c r="VGM1" s="69" t="s">
        <v>15238</v>
      </c>
      <c r="VGN1" s="69" t="s">
        <v>15239</v>
      </c>
      <c r="VGO1" s="69" t="s">
        <v>15240</v>
      </c>
      <c r="VGP1" s="69" t="s">
        <v>15241</v>
      </c>
      <c r="VGQ1" s="69" t="s">
        <v>15242</v>
      </c>
      <c r="VGR1" s="69" t="s">
        <v>15243</v>
      </c>
      <c r="VGS1" s="69" t="s">
        <v>15244</v>
      </c>
      <c r="VGT1" s="69" t="s">
        <v>15245</v>
      </c>
      <c r="VGU1" s="69" t="s">
        <v>15246</v>
      </c>
      <c r="VGV1" s="69" t="s">
        <v>15247</v>
      </c>
      <c r="VGW1" s="69" t="s">
        <v>15248</v>
      </c>
      <c r="VGX1" s="69" t="s">
        <v>15249</v>
      </c>
      <c r="VGY1" s="69" t="s">
        <v>15250</v>
      </c>
      <c r="VGZ1" s="69" t="s">
        <v>15251</v>
      </c>
      <c r="VHA1" s="69" t="s">
        <v>15252</v>
      </c>
      <c r="VHB1" s="69" t="s">
        <v>15253</v>
      </c>
      <c r="VHC1" s="69" t="s">
        <v>15254</v>
      </c>
      <c r="VHD1" s="69" t="s">
        <v>15255</v>
      </c>
      <c r="VHE1" s="69" t="s">
        <v>15256</v>
      </c>
      <c r="VHF1" s="69" t="s">
        <v>15257</v>
      </c>
      <c r="VHG1" s="69" t="s">
        <v>15258</v>
      </c>
      <c r="VHH1" s="69" t="s">
        <v>15259</v>
      </c>
      <c r="VHI1" s="69" t="s">
        <v>15260</v>
      </c>
      <c r="VHJ1" s="69" t="s">
        <v>15261</v>
      </c>
      <c r="VHK1" s="69" t="s">
        <v>15262</v>
      </c>
      <c r="VHL1" s="69" t="s">
        <v>15263</v>
      </c>
      <c r="VHM1" s="69" t="s">
        <v>15264</v>
      </c>
      <c r="VHN1" s="69" t="s">
        <v>15265</v>
      </c>
      <c r="VHO1" s="69" t="s">
        <v>15266</v>
      </c>
      <c r="VHP1" s="69" t="s">
        <v>15267</v>
      </c>
      <c r="VHQ1" s="69" t="s">
        <v>15268</v>
      </c>
      <c r="VHR1" s="69" t="s">
        <v>15269</v>
      </c>
      <c r="VHS1" s="69" t="s">
        <v>15270</v>
      </c>
      <c r="VHT1" s="69" t="s">
        <v>15271</v>
      </c>
      <c r="VHU1" s="69" t="s">
        <v>15272</v>
      </c>
      <c r="VHV1" s="69" t="s">
        <v>15273</v>
      </c>
      <c r="VHW1" s="69" t="s">
        <v>15274</v>
      </c>
      <c r="VHX1" s="69" t="s">
        <v>15275</v>
      </c>
      <c r="VHY1" s="69" t="s">
        <v>15276</v>
      </c>
      <c r="VHZ1" s="69" t="s">
        <v>15277</v>
      </c>
      <c r="VIA1" s="69" t="s">
        <v>15278</v>
      </c>
      <c r="VIB1" s="69" t="s">
        <v>15279</v>
      </c>
      <c r="VIC1" s="69" t="s">
        <v>15280</v>
      </c>
      <c r="VID1" s="69" t="s">
        <v>15281</v>
      </c>
      <c r="VIE1" s="69" t="s">
        <v>15282</v>
      </c>
      <c r="VIF1" s="69" t="s">
        <v>15283</v>
      </c>
      <c r="VIG1" s="69" t="s">
        <v>15284</v>
      </c>
      <c r="VIH1" s="69" t="s">
        <v>15285</v>
      </c>
      <c r="VII1" s="69" t="s">
        <v>15286</v>
      </c>
      <c r="VIJ1" s="69" t="s">
        <v>15287</v>
      </c>
      <c r="VIK1" s="69" t="s">
        <v>15288</v>
      </c>
      <c r="VIL1" s="69" t="s">
        <v>15289</v>
      </c>
      <c r="VIM1" s="69" t="s">
        <v>15290</v>
      </c>
      <c r="VIN1" s="69" t="s">
        <v>15291</v>
      </c>
      <c r="VIO1" s="69" t="s">
        <v>15292</v>
      </c>
      <c r="VIP1" s="69" t="s">
        <v>15293</v>
      </c>
      <c r="VIQ1" s="69" t="s">
        <v>15294</v>
      </c>
      <c r="VIR1" s="69" t="s">
        <v>15295</v>
      </c>
      <c r="VIS1" s="69" t="s">
        <v>15296</v>
      </c>
      <c r="VIT1" s="69" t="s">
        <v>15297</v>
      </c>
      <c r="VIU1" s="69" t="s">
        <v>15298</v>
      </c>
      <c r="VIV1" s="69" t="s">
        <v>15299</v>
      </c>
      <c r="VIW1" s="69" t="s">
        <v>15300</v>
      </c>
      <c r="VIX1" s="69" t="s">
        <v>15301</v>
      </c>
      <c r="VIY1" s="69" t="s">
        <v>15302</v>
      </c>
      <c r="VIZ1" s="69" t="s">
        <v>15303</v>
      </c>
      <c r="VJA1" s="69" t="s">
        <v>15304</v>
      </c>
      <c r="VJB1" s="69" t="s">
        <v>15305</v>
      </c>
      <c r="VJC1" s="69" t="s">
        <v>15306</v>
      </c>
      <c r="VJD1" s="69" t="s">
        <v>15307</v>
      </c>
      <c r="VJE1" s="69" t="s">
        <v>15308</v>
      </c>
      <c r="VJF1" s="69" t="s">
        <v>15309</v>
      </c>
      <c r="VJG1" s="69" t="s">
        <v>15310</v>
      </c>
      <c r="VJH1" s="69" t="s">
        <v>15311</v>
      </c>
      <c r="VJI1" s="69" t="s">
        <v>15312</v>
      </c>
      <c r="VJJ1" s="69" t="s">
        <v>15313</v>
      </c>
      <c r="VJK1" s="69" t="s">
        <v>15314</v>
      </c>
      <c r="VJL1" s="69" t="s">
        <v>15315</v>
      </c>
      <c r="VJM1" s="69" t="s">
        <v>15316</v>
      </c>
      <c r="VJN1" s="69" t="s">
        <v>15317</v>
      </c>
      <c r="VJO1" s="69" t="s">
        <v>15318</v>
      </c>
      <c r="VJP1" s="69" t="s">
        <v>15319</v>
      </c>
      <c r="VJQ1" s="69" t="s">
        <v>15320</v>
      </c>
      <c r="VJR1" s="69" t="s">
        <v>15321</v>
      </c>
      <c r="VJS1" s="69" t="s">
        <v>15322</v>
      </c>
      <c r="VJT1" s="69" t="s">
        <v>15323</v>
      </c>
      <c r="VJU1" s="69" t="s">
        <v>15324</v>
      </c>
      <c r="VJV1" s="69" t="s">
        <v>15325</v>
      </c>
      <c r="VJW1" s="69" t="s">
        <v>15326</v>
      </c>
      <c r="VJX1" s="69" t="s">
        <v>15327</v>
      </c>
      <c r="VJY1" s="69" t="s">
        <v>15328</v>
      </c>
      <c r="VJZ1" s="69" t="s">
        <v>15329</v>
      </c>
      <c r="VKA1" s="69" t="s">
        <v>15330</v>
      </c>
      <c r="VKB1" s="69" t="s">
        <v>15331</v>
      </c>
      <c r="VKC1" s="69" t="s">
        <v>15332</v>
      </c>
      <c r="VKD1" s="69" t="s">
        <v>15333</v>
      </c>
      <c r="VKE1" s="69" t="s">
        <v>15334</v>
      </c>
      <c r="VKF1" s="69" t="s">
        <v>15335</v>
      </c>
      <c r="VKG1" s="69" t="s">
        <v>15336</v>
      </c>
      <c r="VKH1" s="69" t="s">
        <v>15337</v>
      </c>
      <c r="VKI1" s="69" t="s">
        <v>15338</v>
      </c>
      <c r="VKJ1" s="69" t="s">
        <v>15339</v>
      </c>
      <c r="VKK1" s="69" t="s">
        <v>15340</v>
      </c>
      <c r="VKL1" s="69" t="s">
        <v>15341</v>
      </c>
      <c r="VKM1" s="69" t="s">
        <v>15342</v>
      </c>
      <c r="VKN1" s="69" t="s">
        <v>15343</v>
      </c>
      <c r="VKO1" s="69" t="s">
        <v>15344</v>
      </c>
      <c r="VKP1" s="69" t="s">
        <v>15345</v>
      </c>
      <c r="VKQ1" s="69" t="s">
        <v>15346</v>
      </c>
      <c r="VKR1" s="69" t="s">
        <v>15347</v>
      </c>
      <c r="VKS1" s="69" t="s">
        <v>15348</v>
      </c>
      <c r="VKT1" s="69" t="s">
        <v>15349</v>
      </c>
      <c r="VKU1" s="69" t="s">
        <v>15350</v>
      </c>
      <c r="VKV1" s="69" t="s">
        <v>15351</v>
      </c>
      <c r="VKW1" s="69" t="s">
        <v>15352</v>
      </c>
      <c r="VKX1" s="69" t="s">
        <v>15353</v>
      </c>
      <c r="VKY1" s="69" t="s">
        <v>15354</v>
      </c>
      <c r="VKZ1" s="69" t="s">
        <v>15355</v>
      </c>
      <c r="VLA1" s="69" t="s">
        <v>15356</v>
      </c>
      <c r="VLB1" s="69" t="s">
        <v>15357</v>
      </c>
      <c r="VLC1" s="69" t="s">
        <v>15358</v>
      </c>
      <c r="VLD1" s="69" t="s">
        <v>15359</v>
      </c>
      <c r="VLE1" s="69" t="s">
        <v>15360</v>
      </c>
      <c r="VLF1" s="69" t="s">
        <v>15361</v>
      </c>
      <c r="VLG1" s="69" t="s">
        <v>15362</v>
      </c>
      <c r="VLH1" s="69" t="s">
        <v>15363</v>
      </c>
      <c r="VLI1" s="69" t="s">
        <v>15364</v>
      </c>
      <c r="VLJ1" s="69" t="s">
        <v>15365</v>
      </c>
      <c r="VLK1" s="69" t="s">
        <v>15366</v>
      </c>
      <c r="VLL1" s="69" t="s">
        <v>15367</v>
      </c>
      <c r="VLM1" s="69" t="s">
        <v>15368</v>
      </c>
      <c r="VLN1" s="69" t="s">
        <v>15369</v>
      </c>
      <c r="VLO1" s="69" t="s">
        <v>15370</v>
      </c>
      <c r="VLP1" s="69" t="s">
        <v>15371</v>
      </c>
      <c r="VLQ1" s="69" t="s">
        <v>15372</v>
      </c>
      <c r="VLR1" s="69" t="s">
        <v>15373</v>
      </c>
      <c r="VLS1" s="69" t="s">
        <v>15374</v>
      </c>
      <c r="VLT1" s="69" t="s">
        <v>15375</v>
      </c>
      <c r="VLU1" s="69" t="s">
        <v>15376</v>
      </c>
      <c r="VLV1" s="69" t="s">
        <v>15377</v>
      </c>
      <c r="VLW1" s="69" t="s">
        <v>15378</v>
      </c>
      <c r="VLX1" s="69" t="s">
        <v>15379</v>
      </c>
      <c r="VLY1" s="69" t="s">
        <v>15380</v>
      </c>
      <c r="VLZ1" s="69" t="s">
        <v>15381</v>
      </c>
      <c r="VMA1" s="69" t="s">
        <v>15382</v>
      </c>
      <c r="VMB1" s="69" t="s">
        <v>15383</v>
      </c>
      <c r="VMC1" s="69" t="s">
        <v>15384</v>
      </c>
      <c r="VMD1" s="69" t="s">
        <v>15385</v>
      </c>
      <c r="VME1" s="69" t="s">
        <v>15386</v>
      </c>
      <c r="VMF1" s="69" t="s">
        <v>15387</v>
      </c>
      <c r="VMG1" s="69" t="s">
        <v>15388</v>
      </c>
      <c r="VMH1" s="69" t="s">
        <v>15389</v>
      </c>
      <c r="VMI1" s="69" t="s">
        <v>15390</v>
      </c>
      <c r="VMJ1" s="69" t="s">
        <v>15391</v>
      </c>
      <c r="VMK1" s="69" t="s">
        <v>15392</v>
      </c>
      <c r="VML1" s="69" t="s">
        <v>15393</v>
      </c>
      <c r="VMM1" s="69" t="s">
        <v>15394</v>
      </c>
      <c r="VMN1" s="69" t="s">
        <v>15395</v>
      </c>
      <c r="VMO1" s="69" t="s">
        <v>15396</v>
      </c>
      <c r="VMP1" s="69" t="s">
        <v>15397</v>
      </c>
      <c r="VMQ1" s="69" t="s">
        <v>15398</v>
      </c>
      <c r="VMR1" s="69" t="s">
        <v>15399</v>
      </c>
      <c r="VMS1" s="69" t="s">
        <v>15400</v>
      </c>
      <c r="VMT1" s="69" t="s">
        <v>15401</v>
      </c>
      <c r="VMU1" s="69" t="s">
        <v>15402</v>
      </c>
      <c r="VMV1" s="69" t="s">
        <v>15403</v>
      </c>
      <c r="VMW1" s="69" t="s">
        <v>15404</v>
      </c>
      <c r="VMX1" s="69" t="s">
        <v>15405</v>
      </c>
      <c r="VMY1" s="69" t="s">
        <v>15406</v>
      </c>
      <c r="VMZ1" s="69" t="s">
        <v>15407</v>
      </c>
      <c r="VNA1" s="69" t="s">
        <v>15408</v>
      </c>
      <c r="VNB1" s="69" t="s">
        <v>15409</v>
      </c>
      <c r="VNC1" s="69" t="s">
        <v>15410</v>
      </c>
      <c r="VND1" s="69" t="s">
        <v>15411</v>
      </c>
      <c r="VNE1" s="69" t="s">
        <v>15412</v>
      </c>
      <c r="VNF1" s="69" t="s">
        <v>15413</v>
      </c>
      <c r="VNG1" s="69" t="s">
        <v>15414</v>
      </c>
      <c r="VNH1" s="69" t="s">
        <v>15415</v>
      </c>
      <c r="VNI1" s="69" t="s">
        <v>15416</v>
      </c>
      <c r="VNJ1" s="69" t="s">
        <v>15417</v>
      </c>
      <c r="VNK1" s="69" t="s">
        <v>15418</v>
      </c>
      <c r="VNL1" s="69" t="s">
        <v>15419</v>
      </c>
      <c r="VNM1" s="69" t="s">
        <v>15420</v>
      </c>
      <c r="VNN1" s="69" t="s">
        <v>15421</v>
      </c>
      <c r="VNO1" s="69" t="s">
        <v>15422</v>
      </c>
      <c r="VNP1" s="69" t="s">
        <v>15423</v>
      </c>
      <c r="VNQ1" s="69" t="s">
        <v>15424</v>
      </c>
      <c r="VNR1" s="69" t="s">
        <v>15425</v>
      </c>
      <c r="VNS1" s="69" t="s">
        <v>15426</v>
      </c>
      <c r="VNT1" s="69" t="s">
        <v>15427</v>
      </c>
      <c r="VNU1" s="69" t="s">
        <v>15428</v>
      </c>
      <c r="VNV1" s="69" t="s">
        <v>15429</v>
      </c>
      <c r="VNW1" s="69" t="s">
        <v>15430</v>
      </c>
      <c r="VNX1" s="69" t="s">
        <v>15431</v>
      </c>
      <c r="VNY1" s="69" t="s">
        <v>15432</v>
      </c>
      <c r="VNZ1" s="69" t="s">
        <v>15433</v>
      </c>
      <c r="VOA1" s="69" t="s">
        <v>15434</v>
      </c>
      <c r="VOB1" s="69" t="s">
        <v>15435</v>
      </c>
      <c r="VOC1" s="69" t="s">
        <v>15436</v>
      </c>
      <c r="VOD1" s="69" t="s">
        <v>15437</v>
      </c>
      <c r="VOE1" s="69" t="s">
        <v>15438</v>
      </c>
      <c r="VOF1" s="69" t="s">
        <v>15439</v>
      </c>
      <c r="VOG1" s="69" t="s">
        <v>15440</v>
      </c>
      <c r="VOH1" s="69" t="s">
        <v>15441</v>
      </c>
      <c r="VOI1" s="69" t="s">
        <v>15442</v>
      </c>
      <c r="VOJ1" s="69" t="s">
        <v>15443</v>
      </c>
      <c r="VOK1" s="69" t="s">
        <v>15444</v>
      </c>
      <c r="VOL1" s="69" t="s">
        <v>15445</v>
      </c>
      <c r="VOM1" s="69" t="s">
        <v>15446</v>
      </c>
      <c r="VON1" s="69" t="s">
        <v>15447</v>
      </c>
      <c r="VOO1" s="69" t="s">
        <v>15448</v>
      </c>
      <c r="VOP1" s="69" t="s">
        <v>15449</v>
      </c>
      <c r="VOQ1" s="69" t="s">
        <v>15450</v>
      </c>
      <c r="VOR1" s="69" t="s">
        <v>15451</v>
      </c>
      <c r="VOS1" s="69" t="s">
        <v>15452</v>
      </c>
      <c r="VOT1" s="69" t="s">
        <v>15453</v>
      </c>
      <c r="VOU1" s="69" t="s">
        <v>15454</v>
      </c>
      <c r="VOV1" s="69" t="s">
        <v>15455</v>
      </c>
      <c r="VOW1" s="69" t="s">
        <v>15456</v>
      </c>
      <c r="VOX1" s="69" t="s">
        <v>15457</v>
      </c>
      <c r="VOY1" s="69" t="s">
        <v>15458</v>
      </c>
      <c r="VOZ1" s="69" t="s">
        <v>15459</v>
      </c>
      <c r="VPA1" s="69" t="s">
        <v>15460</v>
      </c>
      <c r="VPB1" s="69" t="s">
        <v>15461</v>
      </c>
      <c r="VPC1" s="69" t="s">
        <v>15462</v>
      </c>
      <c r="VPD1" s="69" t="s">
        <v>15463</v>
      </c>
      <c r="VPE1" s="69" t="s">
        <v>15464</v>
      </c>
      <c r="VPF1" s="69" t="s">
        <v>15465</v>
      </c>
      <c r="VPG1" s="69" t="s">
        <v>15466</v>
      </c>
      <c r="VPH1" s="69" t="s">
        <v>15467</v>
      </c>
      <c r="VPI1" s="69" t="s">
        <v>15468</v>
      </c>
      <c r="VPJ1" s="69" t="s">
        <v>15469</v>
      </c>
      <c r="VPK1" s="69" t="s">
        <v>15470</v>
      </c>
      <c r="VPL1" s="69" t="s">
        <v>15471</v>
      </c>
      <c r="VPM1" s="69" t="s">
        <v>15472</v>
      </c>
      <c r="VPN1" s="69" t="s">
        <v>15473</v>
      </c>
      <c r="VPO1" s="69" t="s">
        <v>15474</v>
      </c>
      <c r="VPP1" s="69" t="s">
        <v>15475</v>
      </c>
      <c r="VPQ1" s="69" t="s">
        <v>15476</v>
      </c>
      <c r="VPR1" s="69" t="s">
        <v>15477</v>
      </c>
      <c r="VPS1" s="69" t="s">
        <v>15478</v>
      </c>
      <c r="VPT1" s="69" t="s">
        <v>15479</v>
      </c>
      <c r="VPU1" s="69" t="s">
        <v>15480</v>
      </c>
      <c r="VPV1" s="69" t="s">
        <v>15481</v>
      </c>
      <c r="VPW1" s="69" t="s">
        <v>15482</v>
      </c>
      <c r="VPX1" s="69" t="s">
        <v>15483</v>
      </c>
      <c r="VPY1" s="69" t="s">
        <v>15484</v>
      </c>
      <c r="VPZ1" s="69" t="s">
        <v>15485</v>
      </c>
      <c r="VQA1" s="69" t="s">
        <v>15486</v>
      </c>
      <c r="VQB1" s="69" t="s">
        <v>15487</v>
      </c>
      <c r="VQC1" s="69" t="s">
        <v>15488</v>
      </c>
      <c r="VQD1" s="69" t="s">
        <v>15489</v>
      </c>
      <c r="VQE1" s="69" t="s">
        <v>15490</v>
      </c>
      <c r="VQF1" s="69" t="s">
        <v>15491</v>
      </c>
      <c r="VQG1" s="69" t="s">
        <v>15492</v>
      </c>
      <c r="VQH1" s="69" t="s">
        <v>15493</v>
      </c>
      <c r="VQI1" s="69" t="s">
        <v>15494</v>
      </c>
      <c r="VQJ1" s="69" t="s">
        <v>15495</v>
      </c>
      <c r="VQK1" s="69" t="s">
        <v>15496</v>
      </c>
      <c r="VQL1" s="69" t="s">
        <v>15497</v>
      </c>
      <c r="VQM1" s="69" t="s">
        <v>15498</v>
      </c>
      <c r="VQN1" s="69" t="s">
        <v>15499</v>
      </c>
      <c r="VQO1" s="69" t="s">
        <v>15500</v>
      </c>
      <c r="VQP1" s="69" t="s">
        <v>15501</v>
      </c>
      <c r="VQQ1" s="69" t="s">
        <v>15502</v>
      </c>
      <c r="VQR1" s="69" t="s">
        <v>15503</v>
      </c>
      <c r="VQS1" s="69" t="s">
        <v>15504</v>
      </c>
      <c r="VQT1" s="69" t="s">
        <v>15505</v>
      </c>
      <c r="VQU1" s="69" t="s">
        <v>15506</v>
      </c>
      <c r="VQV1" s="69" t="s">
        <v>15507</v>
      </c>
      <c r="VQW1" s="69" t="s">
        <v>15508</v>
      </c>
      <c r="VQX1" s="69" t="s">
        <v>15509</v>
      </c>
      <c r="VQY1" s="69" t="s">
        <v>15510</v>
      </c>
      <c r="VQZ1" s="69" t="s">
        <v>15511</v>
      </c>
      <c r="VRA1" s="69" t="s">
        <v>15512</v>
      </c>
      <c r="VRB1" s="69" t="s">
        <v>15513</v>
      </c>
      <c r="VRC1" s="69" t="s">
        <v>15514</v>
      </c>
      <c r="VRD1" s="69" t="s">
        <v>15515</v>
      </c>
      <c r="VRE1" s="69" t="s">
        <v>15516</v>
      </c>
      <c r="VRF1" s="69" t="s">
        <v>15517</v>
      </c>
      <c r="VRG1" s="69" t="s">
        <v>15518</v>
      </c>
      <c r="VRH1" s="69" t="s">
        <v>15519</v>
      </c>
      <c r="VRI1" s="69" t="s">
        <v>15520</v>
      </c>
      <c r="VRJ1" s="69" t="s">
        <v>15521</v>
      </c>
      <c r="VRK1" s="69" t="s">
        <v>15522</v>
      </c>
      <c r="VRL1" s="69" t="s">
        <v>15523</v>
      </c>
      <c r="VRM1" s="69" t="s">
        <v>15524</v>
      </c>
      <c r="VRN1" s="69" t="s">
        <v>15525</v>
      </c>
      <c r="VRO1" s="69" t="s">
        <v>15526</v>
      </c>
      <c r="VRP1" s="69" t="s">
        <v>15527</v>
      </c>
      <c r="VRQ1" s="69" t="s">
        <v>15528</v>
      </c>
      <c r="VRR1" s="69" t="s">
        <v>15529</v>
      </c>
      <c r="VRS1" s="69" t="s">
        <v>15530</v>
      </c>
      <c r="VRT1" s="69" t="s">
        <v>15531</v>
      </c>
      <c r="VRU1" s="69" t="s">
        <v>15532</v>
      </c>
      <c r="VRV1" s="69" t="s">
        <v>15533</v>
      </c>
      <c r="VRW1" s="69" t="s">
        <v>15534</v>
      </c>
      <c r="VRX1" s="69" t="s">
        <v>15535</v>
      </c>
      <c r="VRY1" s="69" t="s">
        <v>15536</v>
      </c>
      <c r="VRZ1" s="69" t="s">
        <v>15537</v>
      </c>
      <c r="VSA1" s="69" t="s">
        <v>15538</v>
      </c>
      <c r="VSB1" s="69" t="s">
        <v>15539</v>
      </c>
      <c r="VSC1" s="69" t="s">
        <v>15540</v>
      </c>
      <c r="VSD1" s="69" t="s">
        <v>15541</v>
      </c>
      <c r="VSE1" s="69" t="s">
        <v>15542</v>
      </c>
      <c r="VSF1" s="69" t="s">
        <v>15543</v>
      </c>
      <c r="VSG1" s="69" t="s">
        <v>15544</v>
      </c>
      <c r="VSH1" s="69" t="s">
        <v>15545</v>
      </c>
      <c r="VSI1" s="69" t="s">
        <v>15546</v>
      </c>
      <c r="VSJ1" s="69" t="s">
        <v>15547</v>
      </c>
      <c r="VSK1" s="69" t="s">
        <v>15548</v>
      </c>
      <c r="VSL1" s="69" t="s">
        <v>15549</v>
      </c>
      <c r="VSM1" s="69" t="s">
        <v>15550</v>
      </c>
      <c r="VSN1" s="69" t="s">
        <v>15551</v>
      </c>
      <c r="VSO1" s="69" t="s">
        <v>15552</v>
      </c>
      <c r="VSP1" s="69" t="s">
        <v>15553</v>
      </c>
      <c r="VSQ1" s="69" t="s">
        <v>15554</v>
      </c>
      <c r="VSR1" s="69" t="s">
        <v>15555</v>
      </c>
      <c r="VSS1" s="69" t="s">
        <v>15556</v>
      </c>
      <c r="VST1" s="69" t="s">
        <v>15557</v>
      </c>
      <c r="VSU1" s="69" t="s">
        <v>15558</v>
      </c>
      <c r="VSV1" s="69" t="s">
        <v>15559</v>
      </c>
      <c r="VSW1" s="69" t="s">
        <v>15560</v>
      </c>
      <c r="VSX1" s="69" t="s">
        <v>15561</v>
      </c>
      <c r="VSY1" s="69" t="s">
        <v>15562</v>
      </c>
      <c r="VSZ1" s="69" t="s">
        <v>15563</v>
      </c>
      <c r="VTA1" s="69" t="s">
        <v>15564</v>
      </c>
      <c r="VTB1" s="69" t="s">
        <v>15565</v>
      </c>
      <c r="VTC1" s="69" t="s">
        <v>15566</v>
      </c>
      <c r="VTD1" s="69" t="s">
        <v>15567</v>
      </c>
      <c r="VTE1" s="69" t="s">
        <v>15568</v>
      </c>
      <c r="VTF1" s="69" t="s">
        <v>15569</v>
      </c>
      <c r="VTG1" s="69" t="s">
        <v>15570</v>
      </c>
      <c r="VTH1" s="69" t="s">
        <v>15571</v>
      </c>
      <c r="VTI1" s="69" t="s">
        <v>15572</v>
      </c>
      <c r="VTJ1" s="69" t="s">
        <v>15573</v>
      </c>
      <c r="VTK1" s="69" t="s">
        <v>15574</v>
      </c>
      <c r="VTL1" s="69" t="s">
        <v>15575</v>
      </c>
      <c r="VTM1" s="69" t="s">
        <v>15576</v>
      </c>
      <c r="VTN1" s="69" t="s">
        <v>15577</v>
      </c>
      <c r="VTO1" s="69" t="s">
        <v>15578</v>
      </c>
      <c r="VTP1" s="69" t="s">
        <v>15579</v>
      </c>
      <c r="VTQ1" s="69" t="s">
        <v>15580</v>
      </c>
      <c r="VTR1" s="69" t="s">
        <v>15581</v>
      </c>
      <c r="VTS1" s="69" t="s">
        <v>15582</v>
      </c>
      <c r="VTT1" s="69" t="s">
        <v>15583</v>
      </c>
      <c r="VTU1" s="69" t="s">
        <v>15584</v>
      </c>
      <c r="VTV1" s="69" t="s">
        <v>15585</v>
      </c>
      <c r="VTW1" s="69" t="s">
        <v>15586</v>
      </c>
      <c r="VTX1" s="69" t="s">
        <v>15587</v>
      </c>
      <c r="VTY1" s="69" t="s">
        <v>15588</v>
      </c>
      <c r="VTZ1" s="69" t="s">
        <v>15589</v>
      </c>
      <c r="VUA1" s="69" t="s">
        <v>15590</v>
      </c>
      <c r="VUB1" s="69" t="s">
        <v>15591</v>
      </c>
      <c r="VUC1" s="69" t="s">
        <v>15592</v>
      </c>
      <c r="VUD1" s="69" t="s">
        <v>15593</v>
      </c>
      <c r="VUE1" s="69" t="s">
        <v>15594</v>
      </c>
      <c r="VUF1" s="69" t="s">
        <v>15595</v>
      </c>
      <c r="VUG1" s="69" t="s">
        <v>15596</v>
      </c>
      <c r="VUH1" s="69" t="s">
        <v>15597</v>
      </c>
      <c r="VUI1" s="69" t="s">
        <v>15598</v>
      </c>
      <c r="VUJ1" s="69" t="s">
        <v>15599</v>
      </c>
      <c r="VUK1" s="69" t="s">
        <v>15600</v>
      </c>
      <c r="VUL1" s="69" t="s">
        <v>15601</v>
      </c>
      <c r="VUM1" s="69" t="s">
        <v>15602</v>
      </c>
      <c r="VUN1" s="69" t="s">
        <v>15603</v>
      </c>
      <c r="VUO1" s="69" t="s">
        <v>15604</v>
      </c>
      <c r="VUP1" s="69" t="s">
        <v>15605</v>
      </c>
      <c r="VUQ1" s="69" t="s">
        <v>15606</v>
      </c>
      <c r="VUR1" s="69" t="s">
        <v>15607</v>
      </c>
      <c r="VUS1" s="69" t="s">
        <v>15608</v>
      </c>
      <c r="VUT1" s="69" t="s">
        <v>15609</v>
      </c>
      <c r="VUU1" s="69" t="s">
        <v>15610</v>
      </c>
      <c r="VUV1" s="69" t="s">
        <v>15611</v>
      </c>
      <c r="VUW1" s="69" t="s">
        <v>15612</v>
      </c>
      <c r="VUX1" s="69" t="s">
        <v>15613</v>
      </c>
      <c r="VUY1" s="69" t="s">
        <v>15614</v>
      </c>
      <c r="VUZ1" s="69" t="s">
        <v>15615</v>
      </c>
      <c r="VVA1" s="69" t="s">
        <v>15616</v>
      </c>
      <c r="VVB1" s="69" t="s">
        <v>15617</v>
      </c>
      <c r="VVC1" s="69" t="s">
        <v>15618</v>
      </c>
      <c r="VVD1" s="69" t="s">
        <v>15619</v>
      </c>
      <c r="VVE1" s="69" t="s">
        <v>15620</v>
      </c>
      <c r="VVF1" s="69" t="s">
        <v>15621</v>
      </c>
      <c r="VVG1" s="69" t="s">
        <v>15622</v>
      </c>
      <c r="VVH1" s="69" t="s">
        <v>15623</v>
      </c>
      <c r="VVI1" s="69" t="s">
        <v>15624</v>
      </c>
      <c r="VVJ1" s="69" t="s">
        <v>15625</v>
      </c>
      <c r="VVK1" s="69" t="s">
        <v>15626</v>
      </c>
      <c r="VVL1" s="69" t="s">
        <v>15627</v>
      </c>
      <c r="VVM1" s="69" t="s">
        <v>15628</v>
      </c>
      <c r="VVN1" s="69" t="s">
        <v>15629</v>
      </c>
      <c r="VVO1" s="69" t="s">
        <v>15630</v>
      </c>
      <c r="VVP1" s="69" t="s">
        <v>15631</v>
      </c>
      <c r="VVQ1" s="69" t="s">
        <v>15632</v>
      </c>
      <c r="VVR1" s="69" t="s">
        <v>15633</v>
      </c>
      <c r="VVS1" s="69" t="s">
        <v>15634</v>
      </c>
      <c r="VVT1" s="69" t="s">
        <v>15635</v>
      </c>
      <c r="VVU1" s="69" t="s">
        <v>15636</v>
      </c>
      <c r="VVV1" s="69" t="s">
        <v>15637</v>
      </c>
      <c r="VVW1" s="69" t="s">
        <v>15638</v>
      </c>
      <c r="VVX1" s="69" t="s">
        <v>15639</v>
      </c>
      <c r="VVY1" s="69" t="s">
        <v>15640</v>
      </c>
      <c r="VVZ1" s="69" t="s">
        <v>15641</v>
      </c>
      <c r="VWA1" s="69" t="s">
        <v>15642</v>
      </c>
      <c r="VWB1" s="69" t="s">
        <v>15643</v>
      </c>
      <c r="VWC1" s="69" t="s">
        <v>15644</v>
      </c>
      <c r="VWD1" s="69" t="s">
        <v>15645</v>
      </c>
      <c r="VWE1" s="69" t="s">
        <v>15646</v>
      </c>
      <c r="VWF1" s="69" t="s">
        <v>15647</v>
      </c>
      <c r="VWG1" s="69" t="s">
        <v>15648</v>
      </c>
      <c r="VWH1" s="69" t="s">
        <v>15649</v>
      </c>
      <c r="VWI1" s="69" t="s">
        <v>15650</v>
      </c>
      <c r="VWJ1" s="69" t="s">
        <v>15651</v>
      </c>
      <c r="VWK1" s="69" t="s">
        <v>15652</v>
      </c>
      <c r="VWL1" s="69" t="s">
        <v>15653</v>
      </c>
      <c r="VWM1" s="69" t="s">
        <v>15654</v>
      </c>
      <c r="VWN1" s="69" t="s">
        <v>15655</v>
      </c>
      <c r="VWO1" s="69" t="s">
        <v>15656</v>
      </c>
      <c r="VWP1" s="69" t="s">
        <v>15657</v>
      </c>
      <c r="VWQ1" s="69" t="s">
        <v>15658</v>
      </c>
      <c r="VWR1" s="69" t="s">
        <v>15659</v>
      </c>
      <c r="VWS1" s="69" t="s">
        <v>15660</v>
      </c>
      <c r="VWT1" s="69" t="s">
        <v>15661</v>
      </c>
      <c r="VWU1" s="69" t="s">
        <v>15662</v>
      </c>
      <c r="VWV1" s="69" t="s">
        <v>15663</v>
      </c>
      <c r="VWW1" s="69" t="s">
        <v>15664</v>
      </c>
      <c r="VWX1" s="69" t="s">
        <v>15665</v>
      </c>
      <c r="VWY1" s="69" t="s">
        <v>15666</v>
      </c>
      <c r="VWZ1" s="69" t="s">
        <v>15667</v>
      </c>
      <c r="VXA1" s="69" t="s">
        <v>15668</v>
      </c>
      <c r="VXB1" s="69" t="s">
        <v>15669</v>
      </c>
      <c r="VXC1" s="69" t="s">
        <v>15670</v>
      </c>
      <c r="VXD1" s="69" t="s">
        <v>15671</v>
      </c>
      <c r="VXE1" s="69" t="s">
        <v>15672</v>
      </c>
      <c r="VXF1" s="69" t="s">
        <v>15673</v>
      </c>
      <c r="VXG1" s="69" t="s">
        <v>15674</v>
      </c>
      <c r="VXH1" s="69" t="s">
        <v>15675</v>
      </c>
      <c r="VXI1" s="69" t="s">
        <v>15676</v>
      </c>
      <c r="VXJ1" s="69" t="s">
        <v>15677</v>
      </c>
      <c r="VXK1" s="69" t="s">
        <v>15678</v>
      </c>
      <c r="VXL1" s="69" t="s">
        <v>15679</v>
      </c>
      <c r="VXM1" s="69" t="s">
        <v>15680</v>
      </c>
      <c r="VXN1" s="69" t="s">
        <v>15681</v>
      </c>
      <c r="VXO1" s="69" t="s">
        <v>15682</v>
      </c>
      <c r="VXP1" s="69" t="s">
        <v>15683</v>
      </c>
      <c r="VXQ1" s="69" t="s">
        <v>15684</v>
      </c>
      <c r="VXR1" s="69" t="s">
        <v>15685</v>
      </c>
      <c r="VXS1" s="69" t="s">
        <v>15686</v>
      </c>
      <c r="VXT1" s="69" t="s">
        <v>15687</v>
      </c>
      <c r="VXU1" s="69" t="s">
        <v>15688</v>
      </c>
      <c r="VXV1" s="69" t="s">
        <v>15689</v>
      </c>
      <c r="VXW1" s="69" t="s">
        <v>15690</v>
      </c>
      <c r="VXX1" s="69" t="s">
        <v>15691</v>
      </c>
      <c r="VXY1" s="69" t="s">
        <v>15692</v>
      </c>
      <c r="VXZ1" s="69" t="s">
        <v>15693</v>
      </c>
      <c r="VYA1" s="69" t="s">
        <v>15694</v>
      </c>
      <c r="VYB1" s="69" t="s">
        <v>15695</v>
      </c>
      <c r="VYC1" s="69" t="s">
        <v>15696</v>
      </c>
      <c r="VYD1" s="69" t="s">
        <v>15697</v>
      </c>
      <c r="VYE1" s="69" t="s">
        <v>15698</v>
      </c>
      <c r="VYF1" s="69" t="s">
        <v>15699</v>
      </c>
      <c r="VYG1" s="69" t="s">
        <v>15700</v>
      </c>
      <c r="VYH1" s="69" t="s">
        <v>15701</v>
      </c>
      <c r="VYI1" s="69" t="s">
        <v>15702</v>
      </c>
      <c r="VYJ1" s="69" t="s">
        <v>15703</v>
      </c>
      <c r="VYK1" s="69" t="s">
        <v>15704</v>
      </c>
      <c r="VYL1" s="69" t="s">
        <v>15705</v>
      </c>
      <c r="VYM1" s="69" t="s">
        <v>15706</v>
      </c>
      <c r="VYN1" s="69" t="s">
        <v>15707</v>
      </c>
      <c r="VYO1" s="69" t="s">
        <v>15708</v>
      </c>
      <c r="VYP1" s="69" t="s">
        <v>15709</v>
      </c>
      <c r="VYQ1" s="69" t="s">
        <v>15710</v>
      </c>
      <c r="VYR1" s="69" t="s">
        <v>15711</v>
      </c>
      <c r="VYS1" s="69" t="s">
        <v>15712</v>
      </c>
      <c r="VYT1" s="69" t="s">
        <v>15713</v>
      </c>
      <c r="VYU1" s="69" t="s">
        <v>15714</v>
      </c>
      <c r="VYV1" s="69" t="s">
        <v>15715</v>
      </c>
      <c r="VYW1" s="69" t="s">
        <v>15716</v>
      </c>
      <c r="VYX1" s="69" t="s">
        <v>15717</v>
      </c>
      <c r="VYY1" s="69" t="s">
        <v>15718</v>
      </c>
      <c r="VYZ1" s="69" t="s">
        <v>15719</v>
      </c>
      <c r="VZA1" s="69" t="s">
        <v>15720</v>
      </c>
      <c r="VZB1" s="69" t="s">
        <v>15721</v>
      </c>
      <c r="VZC1" s="69" t="s">
        <v>15722</v>
      </c>
      <c r="VZD1" s="69" t="s">
        <v>15723</v>
      </c>
      <c r="VZE1" s="69" t="s">
        <v>15724</v>
      </c>
      <c r="VZF1" s="69" t="s">
        <v>15725</v>
      </c>
      <c r="VZG1" s="69" t="s">
        <v>15726</v>
      </c>
      <c r="VZH1" s="69" t="s">
        <v>15727</v>
      </c>
      <c r="VZI1" s="69" t="s">
        <v>15728</v>
      </c>
      <c r="VZJ1" s="69" t="s">
        <v>15729</v>
      </c>
      <c r="VZK1" s="69" t="s">
        <v>15730</v>
      </c>
      <c r="VZL1" s="69" t="s">
        <v>15731</v>
      </c>
      <c r="VZM1" s="69" t="s">
        <v>15732</v>
      </c>
      <c r="VZN1" s="69" t="s">
        <v>15733</v>
      </c>
      <c r="VZO1" s="69" t="s">
        <v>15734</v>
      </c>
      <c r="VZP1" s="69" t="s">
        <v>15735</v>
      </c>
      <c r="VZQ1" s="69" t="s">
        <v>15736</v>
      </c>
      <c r="VZR1" s="69" t="s">
        <v>15737</v>
      </c>
      <c r="VZS1" s="69" t="s">
        <v>15738</v>
      </c>
      <c r="VZT1" s="69" t="s">
        <v>15739</v>
      </c>
      <c r="VZU1" s="69" t="s">
        <v>15740</v>
      </c>
      <c r="VZV1" s="69" t="s">
        <v>15741</v>
      </c>
      <c r="VZW1" s="69" t="s">
        <v>15742</v>
      </c>
      <c r="VZX1" s="69" t="s">
        <v>15743</v>
      </c>
      <c r="VZY1" s="69" t="s">
        <v>15744</v>
      </c>
      <c r="VZZ1" s="69" t="s">
        <v>15745</v>
      </c>
      <c r="WAA1" s="69" t="s">
        <v>15746</v>
      </c>
      <c r="WAB1" s="69" t="s">
        <v>15747</v>
      </c>
      <c r="WAC1" s="69" t="s">
        <v>15748</v>
      </c>
      <c r="WAD1" s="69" t="s">
        <v>15749</v>
      </c>
      <c r="WAE1" s="69" t="s">
        <v>15750</v>
      </c>
      <c r="WAF1" s="69" t="s">
        <v>15751</v>
      </c>
      <c r="WAG1" s="69" t="s">
        <v>15752</v>
      </c>
      <c r="WAH1" s="69" t="s">
        <v>15753</v>
      </c>
      <c r="WAI1" s="69" t="s">
        <v>15754</v>
      </c>
      <c r="WAJ1" s="69" t="s">
        <v>15755</v>
      </c>
      <c r="WAK1" s="69" t="s">
        <v>15756</v>
      </c>
      <c r="WAL1" s="69" t="s">
        <v>15757</v>
      </c>
      <c r="WAM1" s="69" t="s">
        <v>15758</v>
      </c>
      <c r="WAN1" s="69" t="s">
        <v>15759</v>
      </c>
      <c r="WAO1" s="69" t="s">
        <v>15760</v>
      </c>
      <c r="WAP1" s="69" t="s">
        <v>15761</v>
      </c>
      <c r="WAQ1" s="69" t="s">
        <v>15762</v>
      </c>
      <c r="WAR1" s="69" t="s">
        <v>15763</v>
      </c>
      <c r="WAS1" s="69" t="s">
        <v>15764</v>
      </c>
      <c r="WAT1" s="69" t="s">
        <v>15765</v>
      </c>
      <c r="WAU1" s="69" t="s">
        <v>15766</v>
      </c>
      <c r="WAV1" s="69" t="s">
        <v>15767</v>
      </c>
      <c r="WAW1" s="69" t="s">
        <v>15768</v>
      </c>
      <c r="WAX1" s="69" t="s">
        <v>15769</v>
      </c>
      <c r="WAY1" s="69" t="s">
        <v>15770</v>
      </c>
      <c r="WAZ1" s="69" t="s">
        <v>15771</v>
      </c>
      <c r="WBA1" s="69" t="s">
        <v>15772</v>
      </c>
      <c r="WBB1" s="69" t="s">
        <v>15773</v>
      </c>
      <c r="WBC1" s="69" t="s">
        <v>15774</v>
      </c>
      <c r="WBD1" s="69" t="s">
        <v>15775</v>
      </c>
      <c r="WBE1" s="69" t="s">
        <v>15776</v>
      </c>
      <c r="WBF1" s="69" t="s">
        <v>15777</v>
      </c>
      <c r="WBG1" s="69" t="s">
        <v>15778</v>
      </c>
      <c r="WBH1" s="69" t="s">
        <v>15779</v>
      </c>
      <c r="WBI1" s="69" t="s">
        <v>15780</v>
      </c>
      <c r="WBJ1" s="69" t="s">
        <v>15781</v>
      </c>
      <c r="WBK1" s="69" t="s">
        <v>15782</v>
      </c>
      <c r="WBL1" s="69" t="s">
        <v>15783</v>
      </c>
      <c r="WBM1" s="69" t="s">
        <v>15784</v>
      </c>
      <c r="WBN1" s="69" t="s">
        <v>15785</v>
      </c>
      <c r="WBO1" s="69" t="s">
        <v>15786</v>
      </c>
      <c r="WBP1" s="69" t="s">
        <v>15787</v>
      </c>
      <c r="WBQ1" s="69" t="s">
        <v>15788</v>
      </c>
      <c r="WBR1" s="69" t="s">
        <v>15789</v>
      </c>
      <c r="WBS1" s="69" t="s">
        <v>15790</v>
      </c>
      <c r="WBT1" s="69" t="s">
        <v>15791</v>
      </c>
      <c r="WBU1" s="69" t="s">
        <v>15792</v>
      </c>
      <c r="WBV1" s="69" t="s">
        <v>15793</v>
      </c>
      <c r="WBW1" s="69" t="s">
        <v>15794</v>
      </c>
      <c r="WBX1" s="69" t="s">
        <v>15795</v>
      </c>
      <c r="WBY1" s="69" t="s">
        <v>15796</v>
      </c>
      <c r="WBZ1" s="69" t="s">
        <v>15797</v>
      </c>
      <c r="WCA1" s="69" t="s">
        <v>15798</v>
      </c>
      <c r="WCB1" s="69" t="s">
        <v>15799</v>
      </c>
      <c r="WCC1" s="69" t="s">
        <v>15800</v>
      </c>
      <c r="WCD1" s="69" t="s">
        <v>15801</v>
      </c>
      <c r="WCE1" s="69" t="s">
        <v>15802</v>
      </c>
      <c r="WCF1" s="69" t="s">
        <v>15803</v>
      </c>
      <c r="WCG1" s="69" t="s">
        <v>15804</v>
      </c>
      <c r="WCH1" s="69" t="s">
        <v>15805</v>
      </c>
      <c r="WCI1" s="69" t="s">
        <v>15806</v>
      </c>
      <c r="WCJ1" s="69" t="s">
        <v>15807</v>
      </c>
      <c r="WCK1" s="69" t="s">
        <v>15808</v>
      </c>
      <c r="WCL1" s="69" t="s">
        <v>15809</v>
      </c>
      <c r="WCM1" s="69" t="s">
        <v>15810</v>
      </c>
      <c r="WCN1" s="69" t="s">
        <v>15811</v>
      </c>
      <c r="WCO1" s="69" t="s">
        <v>15812</v>
      </c>
      <c r="WCP1" s="69" t="s">
        <v>15813</v>
      </c>
      <c r="WCQ1" s="69" t="s">
        <v>15814</v>
      </c>
      <c r="WCR1" s="69" t="s">
        <v>15815</v>
      </c>
      <c r="WCS1" s="69" t="s">
        <v>15816</v>
      </c>
      <c r="WCT1" s="69" t="s">
        <v>15817</v>
      </c>
      <c r="WCU1" s="69" t="s">
        <v>15818</v>
      </c>
      <c r="WCV1" s="69" t="s">
        <v>15819</v>
      </c>
      <c r="WCW1" s="69" t="s">
        <v>15820</v>
      </c>
      <c r="WCX1" s="69" t="s">
        <v>15821</v>
      </c>
      <c r="WCY1" s="69" t="s">
        <v>15822</v>
      </c>
      <c r="WCZ1" s="69" t="s">
        <v>15823</v>
      </c>
      <c r="WDA1" s="69" t="s">
        <v>15824</v>
      </c>
      <c r="WDB1" s="69" t="s">
        <v>15825</v>
      </c>
      <c r="WDC1" s="69" t="s">
        <v>15826</v>
      </c>
      <c r="WDD1" s="69" t="s">
        <v>15827</v>
      </c>
      <c r="WDE1" s="69" t="s">
        <v>15828</v>
      </c>
      <c r="WDF1" s="69" t="s">
        <v>15829</v>
      </c>
      <c r="WDG1" s="69" t="s">
        <v>15830</v>
      </c>
      <c r="WDH1" s="69" t="s">
        <v>15831</v>
      </c>
      <c r="WDI1" s="69" t="s">
        <v>15832</v>
      </c>
      <c r="WDJ1" s="69" t="s">
        <v>15833</v>
      </c>
      <c r="WDK1" s="69" t="s">
        <v>15834</v>
      </c>
      <c r="WDL1" s="69" t="s">
        <v>15835</v>
      </c>
      <c r="WDM1" s="69" t="s">
        <v>15836</v>
      </c>
      <c r="WDN1" s="69" t="s">
        <v>15837</v>
      </c>
      <c r="WDO1" s="69" t="s">
        <v>15838</v>
      </c>
      <c r="WDP1" s="69" t="s">
        <v>15839</v>
      </c>
      <c r="WDQ1" s="69" t="s">
        <v>15840</v>
      </c>
      <c r="WDR1" s="69" t="s">
        <v>15841</v>
      </c>
      <c r="WDS1" s="69" t="s">
        <v>15842</v>
      </c>
      <c r="WDT1" s="69" t="s">
        <v>15843</v>
      </c>
      <c r="WDU1" s="69" t="s">
        <v>15844</v>
      </c>
      <c r="WDV1" s="69" t="s">
        <v>15845</v>
      </c>
      <c r="WDW1" s="69" t="s">
        <v>15846</v>
      </c>
      <c r="WDX1" s="69" t="s">
        <v>15847</v>
      </c>
      <c r="WDY1" s="69" t="s">
        <v>15848</v>
      </c>
      <c r="WDZ1" s="69" t="s">
        <v>15849</v>
      </c>
      <c r="WEA1" s="69" t="s">
        <v>15850</v>
      </c>
      <c r="WEB1" s="69" t="s">
        <v>15851</v>
      </c>
      <c r="WEC1" s="69" t="s">
        <v>15852</v>
      </c>
      <c r="WED1" s="69" t="s">
        <v>15853</v>
      </c>
      <c r="WEE1" s="69" t="s">
        <v>15854</v>
      </c>
      <c r="WEF1" s="69" t="s">
        <v>15855</v>
      </c>
      <c r="WEG1" s="69" t="s">
        <v>15856</v>
      </c>
      <c r="WEH1" s="69" t="s">
        <v>15857</v>
      </c>
      <c r="WEI1" s="69" t="s">
        <v>15858</v>
      </c>
      <c r="WEJ1" s="69" t="s">
        <v>15859</v>
      </c>
      <c r="WEK1" s="69" t="s">
        <v>15860</v>
      </c>
      <c r="WEL1" s="69" t="s">
        <v>15861</v>
      </c>
      <c r="WEM1" s="69" t="s">
        <v>15862</v>
      </c>
      <c r="WEN1" s="69" t="s">
        <v>15863</v>
      </c>
      <c r="WEO1" s="69" t="s">
        <v>15864</v>
      </c>
      <c r="WEP1" s="69" t="s">
        <v>15865</v>
      </c>
      <c r="WEQ1" s="69" t="s">
        <v>15866</v>
      </c>
      <c r="WER1" s="69" t="s">
        <v>15867</v>
      </c>
      <c r="WES1" s="69" t="s">
        <v>15868</v>
      </c>
      <c r="WET1" s="69" t="s">
        <v>15869</v>
      </c>
      <c r="WEU1" s="69" t="s">
        <v>15870</v>
      </c>
      <c r="WEV1" s="69" t="s">
        <v>15871</v>
      </c>
      <c r="WEW1" s="69" t="s">
        <v>15872</v>
      </c>
      <c r="WEX1" s="69" t="s">
        <v>15873</v>
      </c>
      <c r="WEY1" s="69" t="s">
        <v>15874</v>
      </c>
      <c r="WEZ1" s="69" t="s">
        <v>15875</v>
      </c>
      <c r="WFA1" s="69" t="s">
        <v>15876</v>
      </c>
      <c r="WFB1" s="69" t="s">
        <v>15877</v>
      </c>
      <c r="WFC1" s="69" t="s">
        <v>15878</v>
      </c>
      <c r="WFD1" s="69" t="s">
        <v>15879</v>
      </c>
      <c r="WFE1" s="69" t="s">
        <v>15880</v>
      </c>
      <c r="WFF1" s="69" t="s">
        <v>15881</v>
      </c>
      <c r="WFG1" s="69" t="s">
        <v>15882</v>
      </c>
      <c r="WFH1" s="69" t="s">
        <v>15883</v>
      </c>
      <c r="WFI1" s="69" t="s">
        <v>15884</v>
      </c>
      <c r="WFJ1" s="69" t="s">
        <v>15885</v>
      </c>
      <c r="WFK1" s="69" t="s">
        <v>15886</v>
      </c>
      <c r="WFL1" s="69" t="s">
        <v>15887</v>
      </c>
      <c r="WFM1" s="69" t="s">
        <v>15888</v>
      </c>
      <c r="WFN1" s="69" t="s">
        <v>15889</v>
      </c>
      <c r="WFO1" s="69" t="s">
        <v>15890</v>
      </c>
      <c r="WFP1" s="69" t="s">
        <v>15891</v>
      </c>
      <c r="WFQ1" s="69" t="s">
        <v>15892</v>
      </c>
      <c r="WFR1" s="69" t="s">
        <v>15893</v>
      </c>
      <c r="WFS1" s="69" t="s">
        <v>15894</v>
      </c>
      <c r="WFT1" s="69" t="s">
        <v>15895</v>
      </c>
      <c r="WFU1" s="69" t="s">
        <v>15896</v>
      </c>
      <c r="WFV1" s="69" t="s">
        <v>15897</v>
      </c>
      <c r="WFW1" s="69" t="s">
        <v>15898</v>
      </c>
      <c r="WFX1" s="69" t="s">
        <v>15899</v>
      </c>
      <c r="WFY1" s="69" t="s">
        <v>15900</v>
      </c>
      <c r="WFZ1" s="69" t="s">
        <v>15901</v>
      </c>
      <c r="WGA1" s="69" t="s">
        <v>15902</v>
      </c>
      <c r="WGB1" s="69" t="s">
        <v>15903</v>
      </c>
      <c r="WGC1" s="69" t="s">
        <v>15904</v>
      </c>
      <c r="WGD1" s="69" t="s">
        <v>15905</v>
      </c>
      <c r="WGE1" s="69" t="s">
        <v>15906</v>
      </c>
      <c r="WGF1" s="69" t="s">
        <v>15907</v>
      </c>
      <c r="WGG1" s="69" t="s">
        <v>15908</v>
      </c>
      <c r="WGH1" s="69" t="s">
        <v>15909</v>
      </c>
      <c r="WGI1" s="69" t="s">
        <v>15910</v>
      </c>
      <c r="WGJ1" s="69" t="s">
        <v>15911</v>
      </c>
      <c r="WGK1" s="69" t="s">
        <v>15912</v>
      </c>
      <c r="WGL1" s="69" t="s">
        <v>15913</v>
      </c>
      <c r="WGM1" s="69" t="s">
        <v>15914</v>
      </c>
      <c r="WGN1" s="69" t="s">
        <v>15915</v>
      </c>
      <c r="WGO1" s="69" t="s">
        <v>15916</v>
      </c>
      <c r="WGP1" s="69" t="s">
        <v>15917</v>
      </c>
      <c r="WGQ1" s="69" t="s">
        <v>15918</v>
      </c>
      <c r="WGR1" s="69" t="s">
        <v>15919</v>
      </c>
      <c r="WGS1" s="69" t="s">
        <v>15920</v>
      </c>
      <c r="WGT1" s="69" t="s">
        <v>15921</v>
      </c>
      <c r="WGU1" s="69" t="s">
        <v>15922</v>
      </c>
      <c r="WGV1" s="69" t="s">
        <v>15923</v>
      </c>
      <c r="WGW1" s="69" t="s">
        <v>15924</v>
      </c>
      <c r="WGX1" s="69" t="s">
        <v>15925</v>
      </c>
      <c r="WGY1" s="69" t="s">
        <v>15926</v>
      </c>
      <c r="WGZ1" s="69" t="s">
        <v>15927</v>
      </c>
      <c r="WHA1" s="69" t="s">
        <v>15928</v>
      </c>
      <c r="WHB1" s="69" t="s">
        <v>15929</v>
      </c>
      <c r="WHC1" s="69" t="s">
        <v>15930</v>
      </c>
      <c r="WHD1" s="69" t="s">
        <v>15931</v>
      </c>
      <c r="WHE1" s="69" t="s">
        <v>15932</v>
      </c>
      <c r="WHF1" s="69" t="s">
        <v>15933</v>
      </c>
      <c r="WHG1" s="69" t="s">
        <v>15934</v>
      </c>
      <c r="WHH1" s="69" t="s">
        <v>15935</v>
      </c>
      <c r="WHI1" s="69" t="s">
        <v>15936</v>
      </c>
      <c r="WHJ1" s="69" t="s">
        <v>15937</v>
      </c>
      <c r="WHK1" s="69" t="s">
        <v>15938</v>
      </c>
      <c r="WHL1" s="69" t="s">
        <v>15939</v>
      </c>
      <c r="WHM1" s="69" t="s">
        <v>15940</v>
      </c>
      <c r="WHN1" s="69" t="s">
        <v>15941</v>
      </c>
      <c r="WHO1" s="69" t="s">
        <v>15942</v>
      </c>
      <c r="WHP1" s="69" t="s">
        <v>15943</v>
      </c>
      <c r="WHQ1" s="69" t="s">
        <v>15944</v>
      </c>
      <c r="WHR1" s="69" t="s">
        <v>15945</v>
      </c>
      <c r="WHS1" s="69" t="s">
        <v>15946</v>
      </c>
      <c r="WHT1" s="69" t="s">
        <v>15947</v>
      </c>
      <c r="WHU1" s="69" t="s">
        <v>15948</v>
      </c>
      <c r="WHV1" s="69" t="s">
        <v>15949</v>
      </c>
      <c r="WHW1" s="69" t="s">
        <v>15950</v>
      </c>
      <c r="WHX1" s="69" t="s">
        <v>15951</v>
      </c>
      <c r="WHY1" s="69" t="s">
        <v>15952</v>
      </c>
      <c r="WHZ1" s="69" t="s">
        <v>15953</v>
      </c>
      <c r="WIA1" s="69" t="s">
        <v>15954</v>
      </c>
      <c r="WIB1" s="69" t="s">
        <v>15955</v>
      </c>
      <c r="WIC1" s="69" t="s">
        <v>15956</v>
      </c>
      <c r="WID1" s="69" t="s">
        <v>15957</v>
      </c>
      <c r="WIE1" s="69" t="s">
        <v>15958</v>
      </c>
      <c r="WIF1" s="69" t="s">
        <v>15959</v>
      </c>
      <c r="WIG1" s="69" t="s">
        <v>15960</v>
      </c>
      <c r="WIH1" s="69" t="s">
        <v>15961</v>
      </c>
      <c r="WII1" s="69" t="s">
        <v>15962</v>
      </c>
      <c r="WIJ1" s="69" t="s">
        <v>15963</v>
      </c>
      <c r="WIK1" s="69" t="s">
        <v>15964</v>
      </c>
      <c r="WIL1" s="69" t="s">
        <v>15965</v>
      </c>
      <c r="WIM1" s="69" t="s">
        <v>15966</v>
      </c>
      <c r="WIN1" s="69" t="s">
        <v>15967</v>
      </c>
      <c r="WIO1" s="69" t="s">
        <v>15968</v>
      </c>
      <c r="WIP1" s="69" t="s">
        <v>15969</v>
      </c>
      <c r="WIQ1" s="69" t="s">
        <v>15970</v>
      </c>
      <c r="WIR1" s="69" t="s">
        <v>15971</v>
      </c>
      <c r="WIS1" s="69" t="s">
        <v>15972</v>
      </c>
      <c r="WIT1" s="69" t="s">
        <v>15973</v>
      </c>
      <c r="WIU1" s="69" t="s">
        <v>15974</v>
      </c>
      <c r="WIV1" s="69" t="s">
        <v>15975</v>
      </c>
      <c r="WIW1" s="69" t="s">
        <v>15976</v>
      </c>
      <c r="WIX1" s="69" t="s">
        <v>15977</v>
      </c>
      <c r="WIY1" s="69" t="s">
        <v>15978</v>
      </c>
      <c r="WIZ1" s="69" t="s">
        <v>15979</v>
      </c>
      <c r="WJA1" s="69" t="s">
        <v>15980</v>
      </c>
      <c r="WJB1" s="69" t="s">
        <v>15981</v>
      </c>
      <c r="WJC1" s="69" t="s">
        <v>15982</v>
      </c>
      <c r="WJD1" s="69" t="s">
        <v>15983</v>
      </c>
      <c r="WJE1" s="69" t="s">
        <v>15984</v>
      </c>
      <c r="WJF1" s="69" t="s">
        <v>15985</v>
      </c>
      <c r="WJG1" s="69" t="s">
        <v>15986</v>
      </c>
      <c r="WJH1" s="69" t="s">
        <v>15987</v>
      </c>
      <c r="WJI1" s="69" t="s">
        <v>15988</v>
      </c>
      <c r="WJJ1" s="69" t="s">
        <v>15989</v>
      </c>
      <c r="WJK1" s="69" t="s">
        <v>15990</v>
      </c>
      <c r="WJL1" s="69" t="s">
        <v>15991</v>
      </c>
      <c r="WJM1" s="69" t="s">
        <v>15992</v>
      </c>
      <c r="WJN1" s="69" t="s">
        <v>15993</v>
      </c>
      <c r="WJO1" s="69" t="s">
        <v>15994</v>
      </c>
      <c r="WJP1" s="69" t="s">
        <v>15995</v>
      </c>
      <c r="WJQ1" s="69" t="s">
        <v>15996</v>
      </c>
      <c r="WJR1" s="69" t="s">
        <v>15997</v>
      </c>
      <c r="WJS1" s="69" t="s">
        <v>15998</v>
      </c>
      <c r="WJT1" s="69" t="s">
        <v>15999</v>
      </c>
      <c r="WJU1" s="69" t="s">
        <v>16000</v>
      </c>
      <c r="WJV1" s="69" t="s">
        <v>16001</v>
      </c>
      <c r="WJW1" s="69" t="s">
        <v>16002</v>
      </c>
      <c r="WJX1" s="69" t="s">
        <v>16003</v>
      </c>
      <c r="WJY1" s="69" t="s">
        <v>16004</v>
      </c>
      <c r="WJZ1" s="69" t="s">
        <v>16005</v>
      </c>
      <c r="WKA1" s="69" t="s">
        <v>16006</v>
      </c>
      <c r="WKB1" s="69" t="s">
        <v>16007</v>
      </c>
      <c r="WKC1" s="69" t="s">
        <v>16008</v>
      </c>
      <c r="WKD1" s="69" t="s">
        <v>16009</v>
      </c>
      <c r="WKE1" s="69" t="s">
        <v>16010</v>
      </c>
      <c r="WKF1" s="69" t="s">
        <v>16011</v>
      </c>
      <c r="WKG1" s="69" t="s">
        <v>16012</v>
      </c>
      <c r="WKH1" s="69" t="s">
        <v>16013</v>
      </c>
      <c r="WKI1" s="69" t="s">
        <v>16014</v>
      </c>
      <c r="WKJ1" s="69" t="s">
        <v>16015</v>
      </c>
      <c r="WKK1" s="69" t="s">
        <v>16016</v>
      </c>
      <c r="WKL1" s="69" t="s">
        <v>16017</v>
      </c>
      <c r="WKM1" s="69" t="s">
        <v>16018</v>
      </c>
      <c r="WKN1" s="69" t="s">
        <v>16019</v>
      </c>
      <c r="WKO1" s="69" t="s">
        <v>16020</v>
      </c>
      <c r="WKP1" s="69" t="s">
        <v>16021</v>
      </c>
      <c r="WKQ1" s="69" t="s">
        <v>16022</v>
      </c>
      <c r="WKR1" s="69" t="s">
        <v>16023</v>
      </c>
      <c r="WKS1" s="69" t="s">
        <v>16024</v>
      </c>
      <c r="WKT1" s="69" t="s">
        <v>16025</v>
      </c>
      <c r="WKU1" s="69" t="s">
        <v>16026</v>
      </c>
      <c r="WKV1" s="69" t="s">
        <v>16027</v>
      </c>
      <c r="WKW1" s="69" t="s">
        <v>16028</v>
      </c>
      <c r="WKX1" s="69" t="s">
        <v>16029</v>
      </c>
      <c r="WKY1" s="69" t="s">
        <v>16030</v>
      </c>
      <c r="WKZ1" s="69" t="s">
        <v>16031</v>
      </c>
      <c r="WLA1" s="69" t="s">
        <v>16032</v>
      </c>
      <c r="WLB1" s="69" t="s">
        <v>16033</v>
      </c>
      <c r="WLC1" s="69" t="s">
        <v>16034</v>
      </c>
      <c r="WLD1" s="69" t="s">
        <v>16035</v>
      </c>
      <c r="WLE1" s="69" t="s">
        <v>16036</v>
      </c>
      <c r="WLF1" s="69" t="s">
        <v>16037</v>
      </c>
      <c r="WLG1" s="69" t="s">
        <v>16038</v>
      </c>
      <c r="WLH1" s="69" t="s">
        <v>16039</v>
      </c>
      <c r="WLI1" s="69" t="s">
        <v>16040</v>
      </c>
      <c r="WLJ1" s="69" t="s">
        <v>16041</v>
      </c>
      <c r="WLK1" s="69" t="s">
        <v>16042</v>
      </c>
      <c r="WLL1" s="69" t="s">
        <v>16043</v>
      </c>
      <c r="WLM1" s="69" t="s">
        <v>16044</v>
      </c>
      <c r="WLN1" s="69" t="s">
        <v>16045</v>
      </c>
      <c r="WLO1" s="69" t="s">
        <v>16046</v>
      </c>
      <c r="WLP1" s="69" t="s">
        <v>16047</v>
      </c>
      <c r="WLQ1" s="69" t="s">
        <v>16048</v>
      </c>
      <c r="WLR1" s="69" t="s">
        <v>16049</v>
      </c>
      <c r="WLS1" s="69" t="s">
        <v>16050</v>
      </c>
      <c r="WLT1" s="69" t="s">
        <v>16051</v>
      </c>
      <c r="WLU1" s="69" t="s">
        <v>16052</v>
      </c>
      <c r="WLV1" s="69" t="s">
        <v>16053</v>
      </c>
      <c r="WLW1" s="69" t="s">
        <v>16054</v>
      </c>
      <c r="WLX1" s="69" t="s">
        <v>16055</v>
      </c>
      <c r="WLY1" s="69" t="s">
        <v>16056</v>
      </c>
      <c r="WLZ1" s="69" t="s">
        <v>16057</v>
      </c>
      <c r="WMA1" s="69" t="s">
        <v>16058</v>
      </c>
      <c r="WMB1" s="69" t="s">
        <v>16059</v>
      </c>
      <c r="WMC1" s="69" t="s">
        <v>16060</v>
      </c>
      <c r="WMD1" s="69" t="s">
        <v>16061</v>
      </c>
      <c r="WME1" s="69" t="s">
        <v>16062</v>
      </c>
      <c r="WMF1" s="69" t="s">
        <v>16063</v>
      </c>
      <c r="WMG1" s="69" t="s">
        <v>16064</v>
      </c>
      <c r="WMH1" s="69" t="s">
        <v>16065</v>
      </c>
      <c r="WMI1" s="69" t="s">
        <v>16066</v>
      </c>
      <c r="WMJ1" s="69" t="s">
        <v>16067</v>
      </c>
      <c r="WMK1" s="69" t="s">
        <v>16068</v>
      </c>
      <c r="WML1" s="69" t="s">
        <v>16069</v>
      </c>
      <c r="WMM1" s="69" t="s">
        <v>16070</v>
      </c>
      <c r="WMN1" s="69" t="s">
        <v>16071</v>
      </c>
      <c r="WMO1" s="69" t="s">
        <v>16072</v>
      </c>
      <c r="WMP1" s="69" t="s">
        <v>16073</v>
      </c>
      <c r="WMQ1" s="69" t="s">
        <v>16074</v>
      </c>
      <c r="WMR1" s="69" t="s">
        <v>16075</v>
      </c>
      <c r="WMS1" s="69" t="s">
        <v>16076</v>
      </c>
      <c r="WMT1" s="69" t="s">
        <v>16077</v>
      </c>
      <c r="WMU1" s="69" t="s">
        <v>16078</v>
      </c>
      <c r="WMV1" s="69" t="s">
        <v>16079</v>
      </c>
      <c r="WMW1" s="69" t="s">
        <v>16080</v>
      </c>
      <c r="WMX1" s="69" t="s">
        <v>16081</v>
      </c>
      <c r="WMY1" s="69" t="s">
        <v>16082</v>
      </c>
      <c r="WMZ1" s="69" t="s">
        <v>16083</v>
      </c>
      <c r="WNA1" s="69" t="s">
        <v>16084</v>
      </c>
      <c r="WNB1" s="69" t="s">
        <v>16085</v>
      </c>
      <c r="WNC1" s="69" t="s">
        <v>16086</v>
      </c>
      <c r="WND1" s="69" t="s">
        <v>16087</v>
      </c>
      <c r="WNE1" s="69" t="s">
        <v>16088</v>
      </c>
      <c r="WNF1" s="69" t="s">
        <v>16089</v>
      </c>
      <c r="WNG1" s="69" t="s">
        <v>16090</v>
      </c>
      <c r="WNH1" s="69" t="s">
        <v>16091</v>
      </c>
      <c r="WNI1" s="69" t="s">
        <v>16092</v>
      </c>
      <c r="WNJ1" s="69" t="s">
        <v>16093</v>
      </c>
      <c r="WNK1" s="69" t="s">
        <v>16094</v>
      </c>
      <c r="WNL1" s="69" t="s">
        <v>16095</v>
      </c>
      <c r="WNM1" s="69" t="s">
        <v>16096</v>
      </c>
      <c r="WNN1" s="69" t="s">
        <v>16097</v>
      </c>
      <c r="WNO1" s="69" t="s">
        <v>16098</v>
      </c>
      <c r="WNP1" s="69" t="s">
        <v>16099</v>
      </c>
      <c r="WNQ1" s="69" t="s">
        <v>16100</v>
      </c>
      <c r="WNR1" s="69" t="s">
        <v>16101</v>
      </c>
      <c r="WNS1" s="69" t="s">
        <v>16102</v>
      </c>
      <c r="WNT1" s="69" t="s">
        <v>16103</v>
      </c>
      <c r="WNU1" s="69" t="s">
        <v>16104</v>
      </c>
      <c r="WNV1" s="69" t="s">
        <v>16105</v>
      </c>
      <c r="WNW1" s="69" t="s">
        <v>16106</v>
      </c>
      <c r="WNX1" s="69" t="s">
        <v>16107</v>
      </c>
      <c r="WNY1" s="69" t="s">
        <v>16108</v>
      </c>
      <c r="WNZ1" s="69" t="s">
        <v>16109</v>
      </c>
      <c r="WOA1" s="69" t="s">
        <v>16110</v>
      </c>
      <c r="WOB1" s="69" t="s">
        <v>16111</v>
      </c>
      <c r="WOC1" s="69" t="s">
        <v>16112</v>
      </c>
      <c r="WOD1" s="69" t="s">
        <v>16113</v>
      </c>
      <c r="WOE1" s="69" t="s">
        <v>16114</v>
      </c>
      <c r="WOF1" s="69" t="s">
        <v>16115</v>
      </c>
      <c r="WOG1" s="69" t="s">
        <v>16116</v>
      </c>
      <c r="WOH1" s="69" t="s">
        <v>16117</v>
      </c>
      <c r="WOI1" s="69" t="s">
        <v>16118</v>
      </c>
      <c r="WOJ1" s="69" t="s">
        <v>16119</v>
      </c>
      <c r="WOK1" s="69" t="s">
        <v>16120</v>
      </c>
      <c r="WOL1" s="69" t="s">
        <v>16121</v>
      </c>
      <c r="WOM1" s="69" t="s">
        <v>16122</v>
      </c>
      <c r="WON1" s="69" t="s">
        <v>16123</v>
      </c>
      <c r="WOO1" s="69" t="s">
        <v>16124</v>
      </c>
      <c r="WOP1" s="69" t="s">
        <v>16125</v>
      </c>
      <c r="WOQ1" s="69" t="s">
        <v>16126</v>
      </c>
      <c r="WOR1" s="69" t="s">
        <v>16127</v>
      </c>
      <c r="WOS1" s="69" t="s">
        <v>16128</v>
      </c>
      <c r="WOT1" s="69" t="s">
        <v>16129</v>
      </c>
      <c r="WOU1" s="69" t="s">
        <v>16130</v>
      </c>
      <c r="WOV1" s="69" t="s">
        <v>16131</v>
      </c>
      <c r="WOW1" s="69" t="s">
        <v>16132</v>
      </c>
      <c r="WOX1" s="69" t="s">
        <v>16133</v>
      </c>
      <c r="WOY1" s="69" t="s">
        <v>16134</v>
      </c>
      <c r="WOZ1" s="69" t="s">
        <v>16135</v>
      </c>
      <c r="WPA1" s="69" t="s">
        <v>16136</v>
      </c>
      <c r="WPB1" s="69" t="s">
        <v>16137</v>
      </c>
      <c r="WPC1" s="69" t="s">
        <v>16138</v>
      </c>
      <c r="WPD1" s="69" t="s">
        <v>16139</v>
      </c>
      <c r="WPE1" s="69" t="s">
        <v>16140</v>
      </c>
      <c r="WPF1" s="69" t="s">
        <v>16141</v>
      </c>
      <c r="WPG1" s="69" t="s">
        <v>16142</v>
      </c>
      <c r="WPH1" s="69" t="s">
        <v>16143</v>
      </c>
      <c r="WPI1" s="69" t="s">
        <v>16144</v>
      </c>
      <c r="WPJ1" s="69" t="s">
        <v>16145</v>
      </c>
      <c r="WPK1" s="69" t="s">
        <v>16146</v>
      </c>
      <c r="WPL1" s="69" t="s">
        <v>16147</v>
      </c>
      <c r="WPM1" s="69" t="s">
        <v>16148</v>
      </c>
      <c r="WPN1" s="69" t="s">
        <v>16149</v>
      </c>
      <c r="WPO1" s="69" t="s">
        <v>16150</v>
      </c>
      <c r="WPP1" s="69" t="s">
        <v>16151</v>
      </c>
      <c r="WPQ1" s="69" t="s">
        <v>16152</v>
      </c>
      <c r="WPR1" s="69" t="s">
        <v>16153</v>
      </c>
      <c r="WPS1" s="69" t="s">
        <v>16154</v>
      </c>
      <c r="WPT1" s="69" t="s">
        <v>16155</v>
      </c>
      <c r="WPU1" s="69" t="s">
        <v>16156</v>
      </c>
      <c r="WPV1" s="69" t="s">
        <v>16157</v>
      </c>
      <c r="WPW1" s="69" t="s">
        <v>16158</v>
      </c>
      <c r="WPX1" s="69" t="s">
        <v>16159</v>
      </c>
      <c r="WPY1" s="69" t="s">
        <v>16160</v>
      </c>
      <c r="WPZ1" s="69" t="s">
        <v>16161</v>
      </c>
      <c r="WQA1" s="69" t="s">
        <v>16162</v>
      </c>
      <c r="WQB1" s="69" t="s">
        <v>16163</v>
      </c>
      <c r="WQC1" s="69" t="s">
        <v>16164</v>
      </c>
      <c r="WQD1" s="69" t="s">
        <v>16165</v>
      </c>
      <c r="WQE1" s="69" t="s">
        <v>16166</v>
      </c>
      <c r="WQF1" s="69" t="s">
        <v>16167</v>
      </c>
      <c r="WQG1" s="69" t="s">
        <v>16168</v>
      </c>
      <c r="WQH1" s="69" t="s">
        <v>16169</v>
      </c>
      <c r="WQI1" s="69" t="s">
        <v>16170</v>
      </c>
      <c r="WQJ1" s="69" t="s">
        <v>16171</v>
      </c>
      <c r="WQK1" s="69" t="s">
        <v>16172</v>
      </c>
      <c r="WQL1" s="69" t="s">
        <v>16173</v>
      </c>
      <c r="WQM1" s="69" t="s">
        <v>16174</v>
      </c>
      <c r="WQN1" s="69" t="s">
        <v>16175</v>
      </c>
      <c r="WQO1" s="69" t="s">
        <v>16176</v>
      </c>
      <c r="WQP1" s="69" t="s">
        <v>16177</v>
      </c>
      <c r="WQQ1" s="69" t="s">
        <v>16178</v>
      </c>
      <c r="WQR1" s="69" t="s">
        <v>16179</v>
      </c>
      <c r="WQS1" s="69" t="s">
        <v>16180</v>
      </c>
      <c r="WQT1" s="69" t="s">
        <v>16181</v>
      </c>
      <c r="WQU1" s="69" t="s">
        <v>16182</v>
      </c>
      <c r="WQV1" s="69" t="s">
        <v>16183</v>
      </c>
      <c r="WQW1" s="69" t="s">
        <v>16184</v>
      </c>
      <c r="WQX1" s="69" t="s">
        <v>16185</v>
      </c>
      <c r="WQY1" s="69" t="s">
        <v>16186</v>
      </c>
      <c r="WQZ1" s="69" t="s">
        <v>16187</v>
      </c>
      <c r="WRA1" s="69" t="s">
        <v>16188</v>
      </c>
      <c r="WRB1" s="69" t="s">
        <v>16189</v>
      </c>
      <c r="WRC1" s="69" t="s">
        <v>16190</v>
      </c>
      <c r="WRD1" s="69" t="s">
        <v>16191</v>
      </c>
      <c r="WRE1" s="69" t="s">
        <v>16192</v>
      </c>
      <c r="WRF1" s="69" t="s">
        <v>16193</v>
      </c>
      <c r="WRG1" s="69" t="s">
        <v>16194</v>
      </c>
      <c r="WRH1" s="69" t="s">
        <v>16195</v>
      </c>
      <c r="WRI1" s="69" t="s">
        <v>16196</v>
      </c>
      <c r="WRJ1" s="69" t="s">
        <v>16197</v>
      </c>
      <c r="WRK1" s="69" t="s">
        <v>16198</v>
      </c>
      <c r="WRL1" s="69" t="s">
        <v>16199</v>
      </c>
      <c r="WRM1" s="69" t="s">
        <v>16200</v>
      </c>
      <c r="WRN1" s="69" t="s">
        <v>16201</v>
      </c>
      <c r="WRO1" s="69" t="s">
        <v>16202</v>
      </c>
      <c r="WRP1" s="69" t="s">
        <v>16203</v>
      </c>
      <c r="WRQ1" s="69" t="s">
        <v>16204</v>
      </c>
      <c r="WRR1" s="69" t="s">
        <v>16205</v>
      </c>
      <c r="WRS1" s="69" t="s">
        <v>16206</v>
      </c>
      <c r="WRT1" s="69" t="s">
        <v>16207</v>
      </c>
      <c r="WRU1" s="69" t="s">
        <v>16208</v>
      </c>
      <c r="WRV1" s="69" t="s">
        <v>16209</v>
      </c>
      <c r="WRW1" s="69" t="s">
        <v>16210</v>
      </c>
      <c r="WRX1" s="69" t="s">
        <v>16211</v>
      </c>
      <c r="WRY1" s="69" t="s">
        <v>16212</v>
      </c>
      <c r="WRZ1" s="69" t="s">
        <v>16213</v>
      </c>
      <c r="WSA1" s="69" t="s">
        <v>16214</v>
      </c>
      <c r="WSB1" s="69" t="s">
        <v>16215</v>
      </c>
      <c r="WSC1" s="69" t="s">
        <v>16216</v>
      </c>
      <c r="WSD1" s="69" t="s">
        <v>16217</v>
      </c>
      <c r="WSE1" s="69" t="s">
        <v>16218</v>
      </c>
      <c r="WSF1" s="69" t="s">
        <v>16219</v>
      </c>
      <c r="WSG1" s="69" t="s">
        <v>16220</v>
      </c>
      <c r="WSH1" s="69" t="s">
        <v>16221</v>
      </c>
      <c r="WSI1" s="69" t="s">
        <v>16222</v>
      </c>
      <c r="WSJ1" s="69" t="s">
        <v>16223</v>
      </c>
      <c r="WSK1" s="69" t="s">
        <v>16224</v>
      </c>
      <c r="WSL1" s="69" t="s">
        <v>16225</v>
      </c>
      <c r="WSM1" s="69" t="s">
        <v>16226</v>
      </c>
      <c r="WSN1" s="69" t="s">
        <v>16227</v>
      </c>
      <c r="WSO1" s="69" t="s">
        <v>16228</v>
      </c>
      <c r="WSP1" s="69" t="s">
        <v>16229</v>
      </c>
      <c r="WSQ1" s="69" t="s">
        <v>16230</v>
      </c>
      <c r="WSR1" s="69" t="s">
        <v>16231</v>
      </c>
      <c r="WSS1" s="69" t="s">
        <v>16232</v>
      </c>
      <c r="WST1" s="69" t="s">
        <v>16233</v>
      </c>
      <c r="WSU1" s="69" t="s">
        <v>16234</v>
      </c>
      <c r="WSV1" s="69" t="s">
        <v>16235</v>
      </c>
      <c r="WSW1" s="69" t="s">
        <v>16236</v>
      </c>
      <c r="WSX1" s="69" t="s">
        <v>16237</v>
      </c>
      <c r="WSY1" s="69" t="s">
        <v>16238</v>
      </c>
      <c r="WSZ1" s="69" t="s">
        <v>16239</v>
      </c>
      <c r="WTA1" s="69" t="s">
        <v>16240</v>
      </c>
      <c r="WTB1" s="69" t="s">
        <v>16241</v>
      </c>
      <c r="WTC1" s="69" t="s">
        <v>16242</v>
      </c>
      <c r="WTD1" s="69" t="s">
        <v>16243</v>
      </c>
      <c r="WTE1" s="69" t="s">
        <v>16244</v>
      </c>
      <c r="WTF1" s="69" t="s">
        <v>16245</v>
      </c>
      <c r="WTG1" s="69" t="s">
        <v>16246</v>
      </c>
      <c r="WTH1" s="69" t="s">
        <v>16247</v>
      </c>
      <c r="WTI1" s="69" t="s">
        <v>16248</v>
      </c>
      <c r="WTJ1" s="69" t="s">
        <v>16249</v>
      </c>
      <c r="WTK1" s="69" t="s">
        <v>16250</v>
      </c>
      <c r="WTL1" s="69" t="s">
        <v>16251</v>
      </c>
      <c r="WTM1" s="69" t="s">
        <v>16252</v>
      </c>
      <c r="WTN1" s="69" t="s">
        <v>16253</v>
      </c>
      <c r="WTO1" s="69" t="s">
        <v>16254</v>
      </c>
      <c r="WTP1" s="69" t="s">
        <v>16255</v>
      </c>
      <c r="WTQ1" s="69" t="s">
        <v>16256</v>
      </c>
      <c r="WTR1" s="69" t="s">
        <v>16257</v>
      </c>
      <c r="WTS1" s="69" t="s">
        <v>16258</v>
      </c>
      <c r="WTT1" s="69" t="s">
        <v>16259</v>
      </c>
      <c r="WTU1" s="69" t="s">
        <v>16260</v>
      </c>
      <c r="WTV1" s="69" t="s">
        <v>16261</v>
      </c>
      <c r="WTW1" s="69" t="s">
        <v>16262</v>
      </c>
      <c r="WTX1" s="69" t="s">
        <v>16263</v>
      </c>
      <c r="WTY1" s="69" t="s">
        <v>16264</v>
      </c>
      <c r="WTZ1" s="69" t="s">
        <v>16265</v>
      </c>
      <c r="WUA1" s="69" t="s">
        <v>16266</v>
      </c>
      <c r="WUB1" s="69" t="s">
        <v>16267</v>
      </c>
      <c r="WUC1" s="69" t="s">
        <v>16268</v>
      </c>
      <c r="WUD1" s="69" t="s">
        <v>16269</v>
      </c>
      <c r="WUE1" s="69" t="s">
        <v>16270</v>
      </c>
      <c r="WUF1" s="69" t="s">
        <v>16271</v>
      </c>
      <c r="WUG1" s="69" t="s">
        <v>16272</v>
      </c>
      <c r="WUH1" s="69" t="s">
        <v>16273</v>
      </c>
      <c r="WUI1" s="69" t="s">
        <v>16274</v>
      </c>
      <c r="WUJ1" s="69" t="s">
        <v>16275</v>
      </c>
      <c r="WUK1" s="69" t="s">
        <v>16276</v>
      </c>
      <c r="WUL1" s="69" t="s">
        <v>16277</v>
      </c>
      <c r="WUM1" s="69" t="s">
        <v>16278</v>
      </c>
      <c r="WUN1" s="69" t="s">
        <v>16279</v>
      </c>
      <c r="WUO1" s="69" t="s">
        <v>16280</v>
      </c>
      <c r="WUP1" s="69" t="s">
        <v>16281</v>
      </c>
      <c r="WUQ1" s="69" t="s">
        <v>16282</v>
      </c>
      <c r="WUR1" s="69" t="s">
        <v>16283</v>
      </c>
      <c r="WUS1" s="69" t="s">
        <v>16284</v>
      </c>
      <c r="WUT1" s="69" t="s">
        <v>16285</v>
      </c>
      <c r="WUU1" s="69" t="s">
        <v>16286</v>
      </c>
      <c r="WUV1" s="69" t="s">
        <v>16287</v>
      </c>
      <c r="WUW1" s="69" t="s">
        <v>16288</v>
      </c>
      <c r="WUX1" s="69" t="s">
        <v>16289</v>
      </c>
      <c r="WUY1" s="69" t="s">
        <v>16290</v>
      </c>
      <c r="WUZ1" s="69" t="s">
        <v>16291</v>
      </c>
      <c r="WVA1" s="69" t="s">
        <v>16292</v>
      </c>
      <c r="WVB1" s="69" t="s">
        <v>16293</v>
      </c>
      <c r="WVC1" s="69" t="s">
        <v>16294</v>
      </c>
      <c r="WVD1" s="69" t="s">
        <v>16295</v>
      </c>
      <c r="WVE1" s="69" t="s">
        <v>16296</v>
      </c>
      <c r="WVF1" s="69" t="s">
        <v>16297</v>
      </c>
      <c r="WVG1" s="69" t="s">
        <v>16298</v>
      </c>
      <c r="WVH1" s="69" t="s">
        <v>16299</v>
      </c>
      <c r="WVI1" s="69" t="s">
        <v>16300</v>
      </c>
      <c r="WVJ1" s="69" t="s">
        <v>16301</v>
      </c>
      <c r="WVK1" s="69" t="s">
        <v>16302</v>
      </c>
      <c r="WVL1" s="69" t="s">
        <v>16303</v>
      </c>
      <c r="WVM1" s="69" t="s">
        <v>16304</v>
      </c>
      <c r="WVN1" s="69" t="s">
        <v>16305</v>
      </c>
      <c r="WVO1" s="69" t="s">
        <v>16306</v>
      </c>
      <c r="WVP1" s="69" t="s">
        <v>16307</v>
      </c>
      <c r="WVQ1" s="69" t="s">
        <v>16308</v>
      </c>
      <c r="WVR1" s="69" t="s">
        <v>16309</v>
      </c>
      <c r="WVS1" s="69" t="s">
        <v>16310</v>
      </c>
      <c r="WVT1" s="69" t="s">
        <v>16311</v>
      </c>
      <c r="WVU1" s="69" t="s">
        <v>16312</v>
      </c>
      <c r="WVV1" s="69" t="s">
        <v>16313</v>
      </c>
      <c r="WVW1" s="69" t="s">
        <v>16314</v>
      </c>
      <c r="WVX1" s="69" t="s">
        <v>16315</v>
      </c>
      <c r="WVY1" s="69" t="s">
        <v>16316</v>
      </c>
      <c r="WVZ1" s="69" t="s">
        <v>16317</v>
      </c>
      <c r="WWA1" s="69" t="s">
        <v>16318</v>
      </c>
      <c r="WWB1" s="69" t="s">
        <v>16319</v>
      </c>
      <c r="WWC1" s="69" t="s">
        <v>16320</v>
      </c>
      <c r="WWD1" s="69" t="s">
        <v>16321</v>
      </c>
      <c r="WWE1" s="69" t="s">
        <v>16322</v>
      </c>
      <c r="WWF1" s="69" t="s">
        <v>16323</v>
      </c>
      <c r="WWG1" s="69" t="s">
        <v>16324</v>
      </c>
      <c r="WWH1" s="69" t="s">
        <v>16325</v>
      </c>
      <c r="WWI1" s="69" t="s">
        <v>16326</v>
      </c>
      <c r="WWJ1" s="69" t="s">
        <v>16327</v>
      </c>
      <c r="WWK1" s="69" t="s">
        <v>16328</v>
      </c>
      <c r="WWL1" s="69" t="s">
        <v>16329</v>
      </c>
      <c r="WWM1" s="69" t="s">
        <v>16330</v>
      </c>
      <c r="WWN1" s="69" t="s">
        <v>16331</v>
      </c>
      <c r="WWO1" s="69" t="s">
        <v>16332</v>
      </c>
      <c r="WWP1" s="69" t="s">
        <v>16333</v>
      </c>
      <c r="WWQ1" s="69" t="s">
        <v>16334</v>
      </c>
      <c r="WWR1" s="69" t="s">
        <v>16335</v>
      </c>
      <c r="WWS1" s="69" t="s">
        <v>16336</v>
      </c>
      <c r="WWT1" s="69" t="s">
        <v>16337</v>
      </c>
      <c r="WWU1" s="69" t="s">
        <v>16338</v>
      </c>
      <c r="WWV1" s="69" t="s">
        <v>16339</v>
      </c>
      <c r="WWW1" s="69" t="s">
        <v>16340</v>
      </c>
      <c r="WWX1" s="69" t="s">
        <v>16341</v>
      </c>
      <c r="WWY1" s="69" t="s">
        <v>16342</v>
      </c>
      <c r="WWZ1" s="69" t="s">
        <v>16343</v>
      </c>
      <c r="WXA1" s="69" t="s">
        <v>16344</v>
      </c>
      <c r="WXB1" s="69" t="s">
        <v>16345</v>
      </c>
      <c r="WXC1" s="69" t="s">
        <v>16346</v>
      </c>
      <c r="WXD1" s="69" t="s">
        <v>16347</v>
      </c>
      <c r="WXE1" s="69" t="s">
        <v>16348</v>
      </c>
      <c r="WXF1" s="69" t="s">
        <v>16349</v>
      </c>
      <c r="WXG1" s="69" t="s">
        <v>16350</v>
      </c>
      <c r="WXH1" s="69" t="s">
        <v>16351</v>
      </c>
      <c r="WXI1" s="69" t="s">
        <v>16352</v>
      </c>
      <c r="WXJ1" s="69" t="s">
        <v>16353</v>
      </c>
      <c r="WXK1" s="69" t="s">
        <v>16354</v>
      </c>
      <c r="WXL1" s="69" t="s">
        <v>16355</v>
      </c>
      <c r="WXM1" s="69" t="s">
        <v>16356</v>
      </c>
      <c r="WXN1" s="69" t="s">
        <v>16357</v>
      </c>
      <c r="WXO1" s="69" t="s">
        <v>16358</v>
      </c>
      <c r="WXP1" s="69" t="s">
        <v>16359</v>
      </c>
      <c r="WXQ1" s="69" t="s">
        <v>16360</v>
      </c>
      <c r="WXR1" s="69" t="s">
        <v>16361</v>
      </c>
      <c r="WXS1" s="69" t="s">
        <v>16362</v>
      </c>
      <c r="WXT1" s="69" t="s">
        <v>16363</v>
      </c>
      <c r="WXU1" s="69" t="s">
        <v>16364</v>
      </c>
      <c r="WXV1" s="69" t="s">
        <v>16365</v>
      </c>
      <c r="WXW1" s="69" t="s">
        <v>16366</v>
      </c>
      <c r="WXX1" s="69" t="s">
        <v>16367</v>
      </c>
      <c r="WXY1" s="69" t="s">
        <v>16368</v>
      </c>
      <c r="WXZ1" s="69" t="s">
        <v>16369</v>
      </c>
      <c r="WYA1" s="69" t="s">
        <v>16370</v>
      </c>
      <c r="WYB1" s="69" t="s">
        <v>16371</v>
      </c>
      <c r="WYC1" s="69" t="s">
        <v>16372</v>
      </c>
      <c r="WYD1" s="69" t="s">
        <v>16373</v>
      </c>
      <c r="WYE1" s="69" t="s">
        <v>16374</v>
      </c>
      <c r="WYF1" s="69" t="s">
        <v>16375</v>
      </c>
      <c r="WYG1" s="69" t="s">
        <v>16376</v>
      </c>
      <c r="WYH1" s="69" t="s">
        <v>16377</v>
      </c>
      <c r="WYI1" s="69" t="s">
        <v>16378</v>
      </c>
      <c r="WYJ1" s="69" t="s">
        <v>16379</v>
      </c>
      <c r="WYK1" s="69" t="s">
        <v>16380</v>
      </c>
      <c r="WYL1" s="69" t="s">
        <v>16381</v>
      </c>
      <c r="WYM1" s="69" t="s">
        <v>16382</v>
      </c>
      <c r="WYN1" s="69" t="s">
        <v>16383</v>
      </c>
      <c r="WYO1" s="69" t="s">
        <v>16384</v>
      </c>
      <c r="WYP1" s="69" t="s">
        <v>16385</v>
      </c>
      <c r="WYQ1" s="69" t="s">
        <v>16386</v>
      </c>
      <c r="WYR1" s="69" t="s">
        <v>16387</v>
      </c>
      <c r="WYS1" s="69" t="s">
        <v>16388</v>
      </c>
      <c r="WYT1" s="69" t="s">
        <v>16389</v>
      </c>
      <c r="WYU1" s="69" t="s">
        <v>16390</v>
      </c>
      <c r="WYV1" s="69" t="s">
        <v>16391</v>
      </c>
      <c r="WYW1" s="69" t="s">
        <v>16392</v>
      </c>
      <c r="WYX1" s="69" t="s">
        <v>16393</v>
      </c>
      <c r="WYY1" s="69" t="s">
        <v>16394</v>
      </c>
      <c r="WYZ1" s="69" t="s">
        <v>16395</v>
      </c>
      <c r="WZA1" s="69" t="s">
        <v>16396</v>
      </c>
      <c r="WZB1" s="69" t="s">
        <v>16397</v>
      </c>
      <c r="WZC1" s="69" t="s">
        <v>16398</v>
      </c>
      <c r="WZD1" s="69" t="s">
        <v>16399</v>
      </c>
      <c r="WZE1" s="69" t="s">
        <v>16400</v>
      </c>
      <c r="WZF1" s="69" t="s">
        <v>16401</v>
      </c>
      <c r="WZG1" s="69" t="s">
        <v>16402</v>
      </c>
      <c r="WZH1" s="69" t="s">
        <v>16403</v>
      </c>
      <c r="WZI1" s="69" t="s">
        <v>16404</v>
      </c>
      <c r="WZJ1" s="69" t="s">
        <v>16405</v>
      </c>
      <c r="WZK1" s="69" t="s">
        <v>16406</v>
      </c>
      <c r="WZL1" s="69" t="s">
        <v>16407</v>
      </c>
      <c r="WZM1" s="69" t="s">
        <v>16408</v>
      </c>
      <c r="WZN1" s="69" t="s">
        <v>16409</v>
      </c>
      <c r="WZO1" s="69" t="s">
        <v>16410</v>
      </c>
      <c r="WZP1" s="69" t="s">
        <v>16411</v>
      </c>
      <c r="WZQ1" s="69" t="s">
        <v>16412</v>
      </c>
      <c r="WZR1" s="69" t="s">
        <v>16413</v>
      </c>
      <c r="WZS1" s="69" t="s">
        <v>16414</v>
      </c>
      <c r="WZT1" s="69" t="s">
        <v>16415</v>
      </c>
      <c r="WZU1" s="69" t="s">
        <v>16416</v>
      </c>
      <c r="WZV1" s="69" t="s">
        <v>16417</v>
      </c>
      <c r="WZW1" s="69" t="s">
        <v>16418</v>
      </c>
      <c r="WZX1" s="69" t="s">
        <v>16419</v>
      </c>
      <c r="WZY1" s="69" t="s">
        <v>16420</v>
      </c>
      <c r="WZZ1" s="69" t="s">
        <v>16421</v>
      </c>
      <c r="XAA1" s="69" t="s">
        <v>16422</v>
      </c>
      <c r="XAB1" s="69" t="s">
        <v>16423</v>
      </c>
      <c r="XAC1" s="69" t="s">
        <v>16424</v>
      </c>
      <c r="XAD1" s="69" t="s">
        <v>16425</v>
      </c>
      <c r="XAE1" s="69" t="s">
        <v>16426</v>
      </c>
      <c r="XAF1" s="69" t="s">
        <v>16427</v>
      </c>
      <c r="XAG1" s="69" t="s">
        <v>16428</v>
      </c>
      <c r="XAH1" s="69" t="s">
        <v>16429</v>
      </c>
      <c r="XAI1" s="69" t="s">
        <v>16430</v>
      </c>
      <c r="XAJ1" s="69" t="s">
        <v>16431</v>
      </c>
      <c r="XAK1" s="69" t="s">
        <v>16432</v>
      </c>
      <c r="XAL1" s="69" t="s">
        <v>16433</v>
      </c>
      <c r="XAM1" s="69" t="s">
        <v>16434</v>
      </c>
      <c r="XAN1" s="69" t="s">
        <v>16435</v>
      </c>
      <c r="XAO1" s="69" t="s">
        <v>16436</v>
      </c>
      <c r="XAP1" s="69" t="s">
        <v>16437</v>
      </c>
      <c r="XAQ1" s="69" t="s">
        <v>16438</v>
      </c>
      <c r="XAR1" s="69" t="s">
        <v>16439</v>
      </c>
      <c r="XAS1" s="69" t="s">
        <v>16440</v>
      </c>
      <c r="XAT1" s="69" t="s">
        <v>16441</v>
      </c>
      <c r="XAU1" s="69" t="s">
        <v>16442</v>
      </c>
      <c r="XAV1" s="69" t="s">
        <v>16443</v>
      </c>
      <c r="XAW1" s="69" t="s">
        <v>16444</v>
      </c>
      <c r="XAX1" s="69" t="s">
        <v>16445</v>
      </c>
      <c r="XAY1" s="69" t="s">
        <v>16446</v>
      </c>
      <c r="XAZ1" s="69" t="s">
        <v>16447</v>
      </c>
      <c r="XBA1" s="69" t="s">
        <v>16448</v>
      </c>
      <c r="XBB1" s="69" t="s">
        <v>16449</v>
      </c>
      <c r="XBC1" s="69" t="s">
        <v>16450</v>
      </c>
      <c r="XBD1" s="69" t="s">
        <v>16451</v>
      </c>
      <c r="XBE1" s="69" t="s">
        <v>16452</v>
      </c>
      <c r="XBF1" s="69" t="s">
        <v>16453</v>
      </c>
      <c r="XBG1" s="69" t="s">
        <v>16454</v>
      </c>
      <c r="XBH1" s="69" t="s">
        <v>16455</v>
      </c>
      <c r="XBI1" s="69" t="s">
        <v>16456</v>
      </c>
      <c r="XBJ1" s="69" t="s">
        <v>16457</v>
      </c>
      <c r="XBK1" s="69" t="s">
        <v>16458</v>
      </c>
      <c r="XBL1" s="69" t="s">
        <v>16459</v>
      </c>
      <c r="XBM1" s="69" t="s">
        <v>16460</v>
      </c>
      <c r="XBN1" s="69" t="s">
        <v>16461</v>
      </c>
      <c r="XBO1" s="69" t="s">
        <v>16462</v>
      </c>
      <c r="XBP1" s="69" t="s">
        <v>16463</v>
      </c>
      <c r="XBQ1" s="69" t="s">
        <v>16464</v>
      </c>
      <c r="XBR1" s="69" t="s">
        <v>16465</v>
      </c>
      <c r="XBS1" s="69" t="s">
        <v>16466</v>
      </c>
      <c r="XBT1" s="69" t="s">
        <v>16467</v>
      </c>
      <c r="XBU1" s="69" t="s">
        <v>16468</v>
      </c>
      <c r="XBV1" s="69" t="s">
        <v>16469</v>
      </c>
      <c r="XBW1" s="69" t="s">
        <v>16470</v>
      </c>
      <c r="XBX1" s="69" t="s">
        <v>16471</v>
      </c>
      <c r="XBY1" s="69" t="s">
        <v>16472</v>
      </c>
      <c r="XBZ1" s="69" t="s">
        <v>16473</v>
      </c>
      <c r="XCA1" s="69" t="s">
        <v>16474</v>
      </c>
      <c r="XCB1" s="69" t="s">
        <v>16475</v>
      </c>
      <c r="XCC1" s="69" t="s">
        <v>16476</v>
      </c>
      <c r="XCD1" s="69" t="s">
        <v>16477</v>
      </c>
      <c r="XCE1" s="69" t="s">
        <v>16478</v>
      </c>
      <c r="XCF1" s="69" t="s">
        <v>16479</v>
      </c>
      <c r="XCG1" s="69" t="s">
        <v>16480</v>
      </c>
      <c r="XCH1" s="69" t="s">
        <v>16481</v>
      </c>
      <c r="XCI1" s="69" t="s">
        <v>16482</v>
      </c>
      <c r="XCJ1" s="69" t="s">
        <v>16483</v>
      </c>
      <c r="XCK1" s="69" t="s">
        <v>16484</v>
      </c>
      <c r="XCL1" s="69" t="s">
        <v>16485</v>
      </c>
      <c r="XCM1" s="69" t="s">
        <v>16486</v>
      </c>
      <c r="XCN1" s="69" t="s">
        <v>16487</v>
      </c>
      <c r="XCO1" s="69" t="s">
        <v>16488</v>
      </c>
      <c r="XCP1" s="69" t="s">
        <v>16489</v>
      </c>
      <c r="XCQ1" s="69" t="s">
        <v>16490</v>
      </c>
      <c r="XCR1" s="69" t="s">
        <v>16491</v>
      </c>
      <c r="XCS1" s="69" t="s">
        <v>16492</v>
      </c>
      <c r="XCT1" s="69" t="s">
        <v>16493</v>
      </c>
      <c r="XCU1" s="69" t="s">
        <v>16494</v>
      </c>
      <c r="XCV1" s="69" t="s">
        <v>16495</v>
      </c>
      <c r="XCW1" s="69" t="s">
        <v>16496</v>
      </c>
      <c r="XCX1" s="69" t="s">
        <v>16497</v>
      </c>
      <c r="XCY1" s="69" t="s">
        <v>16498</v>
      </c>
      <c r="XCZ1" s="69" t="s">
        <v>16499</v>
      </c>
      <c r="XDA1" s="69" t="s">
        <v>16500</v>
      </c>
      <c r="XDB1" s="69" t="s">
        <v>16501</v>
      </c>
      <c r="XDC1" s="69" t="s">
        <v>16502</v>
      </c>
      <c r="XDD1" s="69" t="s">
        <v>16503</v>
      </c>
      <c r="XDE1" s="69" t="s">
        <v>16504</v>
      </c>
      <c r="XDF1" s="69" t="s">
        <v>16505</v>
      </c>
      <c r="XDG1" s="69" t="s">
        <v>16506</v>
      </c>
      <c r="XDH1" s="69" t="s">
        <v>16507</v>
      </c>
      <c r="XDI1" s="69" t="s">
        <v>16508</v>
      </c>
      <c r="XDJ1" s="69" t="s">
        <v>16509</v>
      </c>
      <c r="XDK1" s="69" t="s">
        <v>16510</v>
      </c>
      <c r="XDL1" s="69" t="s">
        <v>16511</v>
      </c>
      <c r="XDM1" s="69" t="s">
        <v>16512</v>
      </c>
      <c r="XDN1" s="69" t="s">
        <v>16513</v>
      </c>
      <c r="XDO1" s="69" t="s">
        <v>16514</v>
      </c>
      <c r="XDP1" s="69" t="s">
        <v>16515</v>
      </c>
      <c r="XDQ1" s="69" t="s">
        <v>16516</v>
      </c>
      <c r="XDR1" s="69" t="s">
        <v>16517</v>
      </c>
      <c r="XDS1" s="69" t="s">
        <v>16518</v>
      </c>
      <c r="XDT1" s="69" t="s">
        <v>16519</v>
      </c>
      <c r="XDU1" s="69" t="s">
        <v>16520</v>
      </c>
      <c r="XDV1" s="69" t="s">
        <v>16521</v>
      </c>
      <c r="XDW1" s="69" t="s">
        <v>16522</v>
      </c>
      <c r="XDX1" s="69" t="s">
        <v>16523</v>
      </c>
      <c r="XDY1" s="69" t="s">
        <v>16524</v>
      </c>
      <c r="XDZ1" s="69" t="s">
        <v>16525</v>
      </c>
      <c r="XEA1" s="69" t="s">
        <v>16526</v>
      </c>
      <c r="XEB1" s="69" t="s">
        <v>16527</v>
      </c>
      <c r="XEC1" s="69" t="s">
        <v>16528</v>
      </c>
      <c r="XED1" s="69" t="s">
        <v>16529</v>
      </c>
      <c r="XEE1" s="69" t="s">
        <v>16530</v>
      </c>
      <c r="XEF1" s="69" t="s">
        <v>16531</v>
      </c>
      <c r="XEG1" s="69" t="s">
        <v>16532</v>
      </c>
      <c r="XEH1" s="69" t="s">
        <v>16533</v>
      </c>
      <c r="XEI1" s="69" t="s">
        <v>16534</v>
      </c>
      <c r="XEJ1" s="69" t="s">
        <v>16535</v>
      </c>
      <c r="XEK1" s="69" t="s">
        <v>16536</v>
      </c>
      <c r="XEL1" s="69" t="s">
        <v>16537</v>
      </c>
      <c r="XEM1" s="69" t="s">
        <v>16538</v>
      </c>
      <c r="XEN1" s="69" t="s">
        <v>16539</v>
      </c>
      <c r="XEO1" s="69" t="s">
        <v>16540</v>
      </c>
      <c r="XEP1" s="69" t="s">
        <v>16541</v>
      </c>
      <c r="XEQ1" s="69" t="s">
        <v>16542</v>
      </c>
      <c r="XER1" s="69" t="s">
        <v>16543</v>
      </c>
      <c r="XES1" s="69" t="s">
        <v>16544</v>
      </c>
      <c r="XET1" s="69" t="s">
        <v>16545</v>
      </c>
      <c r="XEU1" s="69" t="s">
        <v>16546</v>
      </c>
      <c r="XEV1" s="69" t="s">
        <v>16547</v>
      </c>
      <c r="XEW1" s="69" t="s">
        <v>16548</v>
      </c>
      <c r="XEX1" s="69" t="s">
        <v>16549</v>
      </c>
      <c r="XEY1" s="69" t="s">
        <v>16550</v>
      </c>
      <c r="XEZ1" s="69" t="s">
        <v>16551</v>
      </c>
      <c r="XFA1" s="69" t="s">
        <v>16552</v>
      </c>
      <c r="XFB1" s="69" t="s">
        <v>16553</v>
      </c>
      <c r="XFC1" s="69" t="s">
        <v>16554</v>
      </c>
      <c r="XFD1" s="69" t="s">
        <v>16555</v>
      </c>
    </row>
    <row r="2" spans="1:16384" s="68" customFormat="1" ht="158.25" x14ac:dyDescent="0.3">
      <c r="A2" s="23"/>
      <c r="B2" s="23"/>
      <c r="C2" s="23"/>
      <c r="D2" s="23" t="s">
        <v>158</v>
      </c>
      <c r="E2" s="23" t="s">
        <v>197</v>
      </c>
      <c r="F2" s="23"/>
      <c r="G2" s="23" t="s">
        <v>100</v>
      </c>
      <c r="H2" s="23" t="s">
        <v>101</v>
      </c>
      <c r="I2" s="23" t="s">
        <v>51</v>
      </c>
      <c r="J2" s="23" t="s">
        <v>59</v>
      </c>
      <c r="K2" s="23" t="s">
        <v>143</v>
      </c>
      <c r="L2" s="23" t="s">
        <v>32</v>
      </c>
      <c r="M2" s="23" t="s">
        <v>33</v>
      </c>
      <c r="N2" s="23" t="s">
        <v>34</v>
      </c>
      <c r="O2" s="23" t="s">
        <v>55</v>
      </c>
      <c r="P2" s="23" t="s">
        <v>56</v>
      </c>
      <c r="Q2" s="23" t="s">
        <v>16</v>
      </c>
      <c r="R2" s="23" t="s">
        <v>17</v>
      </c>
      <c r="S2" s="23" t="s">
        <v>39</v>
      </c>
      <c r="T2" s="23" t="s">
        <v>40</v>
      </c>
      <c r="U2" s="23" t="s">
        <v>41</v>
      </c>
      <c r="V2" s="23" t="s">
        <v>42</v>
      </c>
      <c r="W2" s="23" t="s">
        <v>44</v>
      </c>
      <c r="X2" s="23" t="s">
        <v>64</v>
      </c>
      <c r="Y2" s="23" t="s">
        <v>48</v>
      </c>
      <c r="Z2" s="23" t="s">
        <v>65</v>
      </c>
      <c r="AA2" s="23" t="s">
        <v>45</v>
      </c>
      <c r="AB2" s="24" t="s">
        <v>46</v>
      </c>
      <c r="AC2" s="24" t="s">
        <v>47</v>
      </c>
      <c r="AD2" s="24" t="s">
        <v>54</v>
      </c>
      <c r="AE2" s="23" t="s">
        <v>63</v>
      </c>
      <c r="AF2" s="23" t="s">
        <v>194</v>
      </c>
      <c r="AG2" s="23" t="s">
        <v>195</v>
      </c>
      <c r="AH2" s="23" t="s">
        <v>190</v>
      </c>
      <c r="AI2" s="23" t="s">
        <v>191</v>
      </c>
      <c r="AJ2" s="23" t="s">
        <v>192</v>
      </c>
      <c r="AK2" s="23" t="s">
        <v>185</v>
      </c>
    </row>
    <row r="3" spans="1:16384" s="68" customFormat="1" ht="14.45" x14ac:dyDescent="0.35">
      <c r="A3" s="30" t="s">
        <v>60</v>
      </c>
      <c r="B3" s="30" t="s">
        <v>62</v>
      </c>
      <c r="C3" s="30" t="s">
        <v>61</v>
      </c>
      <c r="D3" s="31" t="s">
        <v>159</v>
      </c>
      <c r="E3" s="31" t="s">
        <v>198</v>
      </c>
      <c r="F3" s="31" t="s">
        <v>106</v>
      </c>
      <c r="G3" s="34">
        <f>ConvFact!A1</f>
        <v>4.9000000000000004</v>
      </c>
      <c r="H3" s="34">
        <f>ConvFact!A2</f>
        <v>0.46</v>
      </c>
      <c r="I3" s="34">
        <f>ConvFact!A5</f>
        <v>0.95</v>
      </c>
      <c r="J3" s="34">
        <f>ConvFact!A6</f>
        <v>1</v>
      </c>
      <c r="K3" s="34">
        <f>ConvFact!A7</f>
        <v>0.64</v>
      </c>
      <c r="L3" s="34">
        <f>ConvFact!A8</f>
        <v>0.17797461422516755</v>
      </c>
      <c r="M3" s="34">
        <f>ConvFact!A9</f>
        <v>0.25456160291260915</v>
      </c>
      <c r="N3" s="34">
        <f>ConvFact!A10</f>
        <v>0.48049868223590353</v>
      </c>
      <c r="O3" s="34">
        <f>ConvFact!A11</f>
        <v>0.21</v>
      </c>
      <c r="P3" s="34">
        <f>ConvFact!A12</f>
        <v>0.21</v>
      </c>
      <c r="Q3" s="34">
        <f>ConvFact!A13</f>
        <v>0.42</v>
      </c>
      <c r="R3" s="34">
        <f>ConvFact!A14</f>
        <v>0.43</v>
      </c>
      <c r="S3" s="34">
        <f>ConvFact!A15</f>
        <v>1.1000000000000001</v>
      </c>
      <c r="T3" s="34">
        <f>ConvFact!A16</f>
        <v>1.3</v>
      </c>
      <c r="U3" s="34">
        <f>ConvFact!A17</f>
        <v>1.3</v>
      </c>
      <c r="V3" s="34">
        <f>ConvFact!A18</f>
        <v>1.1000000000000001</v>
      </c>
      <c r="W3" s="34">
        <f>ConvFact!A19</f>
        <v>1.127</v>
      </c>
      <c r="X3" s="34">
        <f>ConvFact!A20</f>
        <v>-2.4500000000000002</v>
      </c>
      <c r="Y3" s="34">
        <f>ConvFact!A20</f>
        <v>-2.4500000000000002</v>
      </c>
      <c r="Z3" s="63">
        <v>-0.69452054794520546</v>
      </c>
      <c r="AA3" s="63">
        <v>-0.56119099642736403</v>
      </c>
      <c r="AB3" s="34">
        <f>ConvFact!A22</f>
        <v>-0.90700000000000003</v>
      </c>
      <c r="AC3" s="34">
        <f>ConvFact!A23</f>
        <v>-0.44000000000000006</v>
      </c>
      <c r="AD3" s="34">
        <f>ConvFact!A24</f>
        <v>-2.1000000000000001E-2</v>
      </c>
      <c r="AE3" s="34">
        <v>1</v>
      </c>
      <c r="AF3" s="34">
        <f>ConvFact!A26</f>
        <v>0.67</v>
      </c>
      <c r="AG3" s="34">
        <f>ConvFact!A27</f>
        <v>-0.16405841400000001</v>
      </c>
      <c r="AH3" s="34"/>
      <c r="AI3" s="34"/>
      <c r="AJ3" s="34"/>
      <c r="AK3" s="34"/>
    </row>
    <row r="4" spans="1:16384" s="68" customFormat="1" ht="14.45" x14ac:dyDescent="0.35">
      <c r="A4" s="30" t="s">
        <v>11</v>
      </c>
      <c r="B4" s="30" t="s">
        <v>19</v>
      </c>
      <c r="C4" s="30" t="s">
        <v>6</v>
      </c>
      <c r="D4" s="40">
        <f>SUMIFS(Table8[Variable cost],Table8[Process],"="&amp;Table73[[#This Row],[Column1]],Table8[[Output factor for costs ]],"="&amp;Table73[[#This Row],[Column3]])*Table73[[#This Row],[Column4]]</f>
        <v>0</v>
      </c>
      <c r="E4" s="40">
        <v>0</v>
      </c>
      <c r="F4" s="32">
        <f>PRODUCT(Table73[[#This Row],[1]:[25]])</f>
        <v>0.17797461422516755</v>
      </c>
      <c r="G4" s="34"/>
      <c r="H4" s="34"/>
      <c r="I4" s="34"/>
      <c r="J4" s="34"/>
      <c r="K4" s="34"/>
      <c r="L4" s="34">
        <f>L$3</f>
        <v>0.17797461422516755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5"/>
      <c r="AC4" s="35"/>
      <c r="AD4" s="35"/>
      <c r="AE4" s="34"/>
      <c r="AF4" s="34"/>
      <c r="AG4" s="34"/>
      <c r="AH4" s="34"/>
      <c r="AI4" s="34"/>
      <c r="AJ4" s="34"/>
      <c r="AK4" s="34"/>
    </row>
    <row r="5" spans="1:16384" s="68" customFormat="1" ht="14.45" x14ac:dyDescent="0.35">
      <c r="A5" s="30" t="s">
        <v>11</v>
      </c>
      <c r="B5" s="30" t="s">
        <v>19</v>
      </c>
      <c r="C5" s="30" t="s">
        <v>7</v>
      </c>
      <c r="D5" s="40">
        <f>SUMIFS(Table8[Variable cost],Table8[Process],"="&amp;Table73[[#This Row],[Column1]],Table8[[Output factor for costs ]],"="&amp;Table73[[#This Row],[Column3]])*Table73[[#This Row],[Column4]]</f>
        <v>0</v>
      </c>
      <c r="E5" s="40">
        <v>0</v>
      </c>
      <c r="F5" s="32">
        <f>PRODUCT(Table73[[#This Row],[1]:[25]])</f>
        <v>0.25456160291260915</v>
      </c>
      <c r="G5" s="34"/>
      <c r="H5" s="34"/>
      <c r="I5" s="34"/>
      <c r="J5" s="34"/>
      <c r="K5" s="34"/>
      <c r="L5" s="34"/>
      <c r="M5" s="34">
        <f>M$3</f>
        <v>0.25456160291260915</v>
      </c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5"/>
      <c r="AC5" s="35"/>
      <c r="AD5" s="35"/>
      <c r="AE5" s="34"/>
      <c r="AF5" s="34"/>
      <c r="AG5" s="34"/>
      <c r="AH5" s="34"/>
      <c r="AI5" s="34"/>
      <c r="AJ5" s="34"/>
      <c r="AK5" s="34"/>
    </row>
    <row r="6" spans="1:16384" s="68" customFormat="1" ht="14.45" x14ac:dyDescent="0.35">
      <c r="A6" s="30" t="s">
        <v>11</v>
      </c>
      <c r="B6" s="30" t="s">
        <v>19</v>
      </c>
      <c r="C6" s="30" t="s">
        <v>178</v>
      </c>
      <c r="D6" s="40">
        <f>SUMIFS(Table8[Variable cost],Table8[Process],"="&amp;Table73[[#This Row],[Column1]],Table8[[Output factor for costs ]],"="&amp;Table73[[#This Row],[Column3]])*Table73[[#This Row],[Column4]]</f>
        <v>0</v>
      </c>
      <c r="E6" s="40">
        <v>0</v>
      </c>
      <c r="F6" s="32">
        <f>PRODUCT(Table73[[#This Row],[1]:[25]])</f>
        <v>0.48049868223590353</v>
      </c>
      <c r="G6" s="34"/>
      <c r="H6" s="34"/>
      <c r="I6" s="34"/>
      <c r="J6" s="34"/>
      <c r="K6" s="34"/>
      <c r="L6" s="34"/>
      <c r="M6" s="34"/>
      <c r="N6" s="34">
        <f>N$3</f>
        <v>0.48049868223590353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5"/>
      <c r="AC6" s="35"/>
      <c r="AD6" s="35"/>
      <c r="AE6" s="34"/>
      <c r="AF6" s="34"/>
      <c r="AG6" s="34"/>
      <c r="AH6" s="34"/>
      <c r="AI6" s="34"/>
      <c r="AJ6" s="34"/>
      <c r="AK6" s="34"/>
    </row>
    <row r="7" spans="1:16384" s="68" customFormat="1" ht="14.45" x14ac:dyDescent="0.35">
      <c r="A7" s="30" t="s">
        <v>13</v>
      </c>
      <c r="B7" s="30" t="s">
        <v>19</v>
      </c>
      <c r="C7" s="30" t="s">
        <v>6</v>
      </c>
      <c r="D7" s="40">
        <f>SUMIFS(Table8[Variable cost],Table8[Process],"="&amp;Table73[[#This Row],[Column1]],Table8[[Output factor for costs ]],"="&amp;Table73[[#This Row],[Column3]])*Table73[[#This Row],[Column4]]</f>
        <v>0</v>
      </c>
      <c r="E7" s="40">
        <v>0</v>
      </c>
      <c r="F7" s="32">
        <f>PRODUCT(Table73[[#This Row],[1]:[25]])</f>
        <v>0.17797461422516755</v>
      </c>
      <c r="G7" s="34"/>
      <c r="H7" s="34"/>
      <c r="I7" s="34"/>
      <c r="J7" s="34"/>
      <c r="K7" s="34"/>
      <c r="L7" s="34">
        <f>L$3</f>
        <v>0.17797461422516755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5"/>
      <c r="AC7" s="35"/>
      <c r="AD7" s="35"/>
      <c r="AE7" s="34"/>
      <c r="AF7" s="34"/>
      <c r="AG7" s="34"/>
      <c r="AH7" s="34"/>
      <c r="AI7" s="34"/>
      <c r="AJ7" s="34"/>
      <c r="AK7" s="34"/>
    </row>
    <row r="8" spans="1:16384" s="68" customFormat="1" ht="14.45" x14ac:dyDescent="0.35">
      <c r="A8" s="30" t="s">
        <v>13</v>
      </c>
      <c r="B8" s="30" t="s">
        <v>19</v>
      </c>
      <c r="C8" s="30" t="s">
        <v>7</v>
      </c>
      <c r="D8" s="40">
        <f>SUMIFS(Table8[Variable cost],Table8[Process],"="&amp;Table73[[#This Row],[Column1]],Table8[[Output factor for costs ]],"="&amp;Table73[[#This Row],[Column3]])*Table73[[#This Row],[Column4]]</f>
        <v>0</v>
      </c>
      <c r="E8" s="40">
        <v>0</v>
      </c>
      <c r="F8" s="32">
        <f>PRODUCT(Table73[[#This Row],[1]:[25]])</f>
        <v>0.25456160291260915</v>
      </c>
      <c r="G8" s="34"/>
      <c r="H8" s="34"/>
      <c r="I8" s="34"/>
      <c r="J8" s="34"/>
      <c r="K8" s="34"/>
      <c r="L8" s="34"/>
      <c r="M8" s="34">
        <f>M$3</f>
        <v>0.25456160291260915</v>
      </c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5"/>
      <c r="AC8" s="35"/>
      <c r="AD8" s="35"/>
      <c r="AE8" s="34"/>
      <c r="AF8" s="34"/>
      <c r="AG8" s="34"/>
      <c r="AH8" s="34"/>
      <c r="AI8" s="34"/>
      <c r="AJ8" s="34"/>
      <c r="AK8" s="34"/>
    </row>
    <row r="9" spans="1:16384" s="68" customFormat="1" ht="14.45" x14ac:dyDescent="0.35">
      <c r="A9" s="30" t="s">
        <v>13</v>
      </c>
      <c r="B9" s="30" t="s">
        <v>19</v>
      </c>
      <c r="C9" s="30" t="s">
        <v>178</v>
      </c>
      <c r="D9" s="40">
        <f>SUMIFS(Table8[Variable cost],Table8[Process],"="&amp;Table73[[#This Row],[Column1]],Table8[[Output factor for costs ]],"="&amp;Table73[[#This Row],[Column3]])*Table73[[#This Row],[Column4]]</f>
        <v>0</v>
      </c>
      <c r="E9" s="40">
        <v>0</v>
      </c>
      <c r="F9" s="32">
        <f>PRODUCT(Table73[[#This Row],[1]:[25]])</f>
        <v>0.48049868223590353</v>
      </c>
      <c r="G9" s="34"/>
      <c r="H9" s="34"/>
      <c r="I9" s="34"/>
      <c r="J9" s="34"/>
      <c r="K9" s="34"/>
      <c r="L9" s="34"/>
      <c r="M9" s="34"/>
      <c r="N9" s="34">
        <f>N$3</f>
        <v>0.48049868223590353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5"/>
      <c r="AC9" s="35"/>
      <c r="AD9" s="35"/>
      <c r="AE9" s="34"/>
      <c r="AF9" s="34"/>
      <c r="AG9" s="34"/>
      <c r="AH9" s="34"/>
      <c r="AI9" s="34"/>
      <c r="AJ9" s="34"/>
      <c r="AK9" s="34"/>
    </row>
    <row r="10" spans="1:16384" s="68" customFormat="1" ht="14.45" x14ac:dyDescent="0.35">
      <c r="A10" s="30" t="s">
        <v>12</v>
      </c>
      <c r="B10" s="30" t="s">
        <v>21</v>
      </c>
      <c r="C10" s="30" t="s">
        <v>6</v>
      </c>
      <c r="D10" s="40">
        <f>SUMIFS(Table8[Variable cost],Table8[Process],"="&amp;Table73[[#This Row],[Column1]],Table8[[Output factor for costs ]],"="&amp;Table73[[#This Row],[Column3]])*Table73[[#This Row],[Column4]]</f>
        <v>0</v>
      </c>
      <c r="E10" s="40">
        <v>0</v>
      </c>
      <c r="F10" s="32">
        <f>PRODUCT(Table73[[#This Row],[1]:[25]])</f>
        <v>0.17797461422516755</v>
      </c>
      <c r="G10" s="34"/>
      <c r="H10" s="34"/>
      <c r="I10" s="34"/>
      <c r="J10" s="34"/>
      <c r="K10" s="34"/>
      <c r="L10" s="34">
        <f>L$3</f>
        <v>0.17797461422516755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5"/>
      <c r="AC10" s="35"/>
      <c r="AD10" s="35"/>
      <c r="AE10" s="34"/>
      <c r="AF10" s="34"/>
      <c r="AG10" s="34"/>
      <c r="AH10" s="34"/>
      <c r="AI10" s="34"/>
      <c r="AJ10" s="34"/>
      <c r="AK10" s="34"/>
    </row>
    <row r="11" spans="1:16384" s="68" customFormat="1" ht="14.45" x14ac:dyDescent="0.35">
      <c r="A11" s="30" t="s">
        <v>12</v>
      </c>
      <c r="B11" s="30" t="s">
        <v>21</v>
      </c>
      <c r="C11" s="30" t="s">
        <v>7</v>
      </c>
      <c r="D11" s="40">
        <f>SUMIFS(Table8[Variable cost],Table8[Process],"="&amp;Table73[[#This Row],[Column1]],Table8[[Output factor for costs ]],"="&amp;Table73[[#This Row],[Column3]])*Table73[[#This Row],[Column4]]</f>
        <v>0</v>
      </c>
      <c r="E11" s="40">
        <v>0</v>
      </c>
      <c r="F11" s="32">
        <f>PRODUCT(Table73[[#This Row],[1]:[25]])</f>
        <v>0.25456160291260915</v>
      </c>
      <c r="G11" s="34"/>
      <c r="H11" s="34"/>
      <c r="I11" s="34"/>
      <c r="J11" s="34"/>
      <c r="K11" s="34"/>
      <c r="L11" s="34"/>
      <c r="M11" s="34">
        <f>M$3</f>
        <v>0.25456160291260915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5"/>
      <c r="AC11" s="35"/>
      <c r="AD11" s="35"/>
      <c r="AE11" s="34"/>
      <c r="AF11" s="34"/>
      <c r="AG11" s="34"/>
      <c r="AH11" s="34"/>
      <c r="AI11" s="34"/>
      <c r="AJ11" s="34"/>
      <c r="AK11" s="34"/>
    </row>
    <row r="12" spans="1:16384" s="68" customFormat="1" ht="14.45" x14ac:dyDescent="0.35">
      <c r="A12" s="30" t="s">
        <v>12</v>
      </c>
      <c r="B12" s="30" t="s">
        <v>21</v>
      </c>
      <c r="C12" s="30" t="s">
        <v>178</v>
      </c>
      <c r="D12" s="40">
        <f>SUMIFS(Table8[Variable cost],Table8[Process],"="&amp;Table73[[#This Row],[Column1]],Table8[[Output factor for costs ]],"="&amp;Table73[[#This Row],[Column3]])*Table73[[#This Row],[Column4]]</f>
        <v>0</v>
      </c>
      <c r="E12" s="40">
        <v>0</v>
      </c>
      <c r="F12" s="32">
        <f>PRODUCT(Table73[[#This Row],[1]:[25]])</f>
        <v>0.48049868223590353</v>
      </c>
      <c r="G12" s="34"/>
      <c r="H12" s="34"/>
      <c r="I12" s="34"/>
      <c r="J12" s="34"/>
      <c r="K12" s="34"/>
      <c r="L12" s="34"/>
      <c r="M12" s="34"/>
      <c r="N12" s="34">
        <f>N$3</f>
        <v>0.48049868223590353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5"/>
      <c r="AC12" s="35"/>
      <c r="AD12" s="35"/>
      <c r="AE12" s="34"/>
      <c r="AF12" s="34"/>
      <c r="AG12" s="34"/>
      <c r="AH12" s="34"/>
      <c r="AI12" s="34"/>
      <c r="AJ12" s="34"/>
      <c r="AK12" s="34"/>
    </row>
    <row r="13" spans="1:16384" s="68" customFormat="1" ht="14.45" x14ac:dyDescent="0.35">
      <c r="A13" s="30" t="s">
        <v>13</v>
      </c>
      <c r="B13" s="30" t="s">
        <v>21</v>
      </c>
      <c r="C13" s="30" t="s">
        <v>6</v>
      </c>
      <c r="D13" s="40">
        <f>SUMIFS(Table8[Variable cost],Table8[Process],"="&amp;Table73[[#This Row],[Column1]],Table8[[Output factor for costs ]],"="&amp;Table73[[#This Row],[Column3]])*Table73[[#This Row],[Column4]]</f>
        <v>0</v>
      </c>
      <c r="E13" s="40">
        <v>0</v>
      </c>
      <c r="F13" s="32">
        <f>PRODUCT(Table73[[#This Row],[1]:[25]])</f>
        <v>0.17797461422516755</v>
      </c>
      <c r="G13" s="34"/>
      <c r="H13" s="34"/>
      <c r="I13" s="34"/>
      <c r="J13" s="34"/>
      <c r="K13" s="34"/>
      <c r="L13" s="34">
        <f>L$3</f>
        <v>0.17797461422516755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5"/>
      <c r="AC13" s="35"/>
      <c r="AD13" s="35"/>
      <c r="AE13" s="34"/>
      <c r="AF13" s="34"/>
      <c r="AG13" s="34"/>
      <c r="AH13" s="34"/>
      <c r="AI13" s="34"/>
      <c r="AJ13" s="34"/>
      <c r="AK13" s="34"/>
    </row>
    <row r="14" spans="1:16384" s="68" customFormat="1" ht="14.45" x14ac:dyDescent="0.35">
      <c r="A14" s="30" t="s">
        <v>13</v>
      </c>
      <c r="B14" s="30" t="s">
        <v>21</v>
      </c>
      <c r="C14" s="30" t="s">
        <v>7</v>
      </c>
      <c r="D14" s="40">
        <f>SUMIFS(Table8[Variable cost],Table8[Process],"="&amp;Table73[[#This Row],[Column1]],Table8[[Output factor for costs ]],"="&amp;Table73[[#This Row],[Column3]])*Table73[[#This Row],[Column4]]</f>
        <v>0</v>
      </c>
      <c r="E14" s="40">
        <v>0</v>
      </c>
      <c r="F14" s="32">
        <f>PRODUCT(Table73[[#This Row],[1]:[25]])</f>
        <v>0.25456160291260915</v>
      </c>
      <c r="G14" s="34"/>
      <c r="H14" s="34"/>
      <c r="I14" s="34"/>
      <c r="J14" s="34"/>
      <c r="K14" s="34"/>
      <c r="L14" s="34"/>
      <c r="M14" s="34">
        <f>M$3</f>
        <v>0.25456160291260915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5"/>
      <c r="AC14" s="35"/>
      <c r="AD14" s="35"/>
      <c r="AE14" s="34"/>
      <c r="AF14" s="34"/>
      <c r="AG14" s="34"/>
      <c r="AH14" s="34"/>
      <c r="AI14" s="34"/>
      <c r="AJ14" s="34"/>
      <c r="AK14" s="34"/>
    </row>
    <row r="15" spans="1:16384" s="68" customFormat="1" ht="14.45" x14ac:dyDescent="0.35">
      <c r="A15" s="30" t="s">
        <v>13</v>
      </c>
      <c r="B15" s="30" t="s">
        <v>21</v>
      </c>
      <c r="C15" s="30" t="s">
        <v>178</v>
      </c>
      <c r="D15" s="40">
        <f>SUMIFS(Table8[Variable cost],Table8[Process],"="&amp;Table73[[#This Row],[Column1]],Table8[[Output factor for costs ]],"="&amp;Table73[[#This Row],[Column3]])*Table73[[#This Row],[Column4]]</f>
        <v>0</v>
      </c>
      <c r="E15" s="40">
        <v>0</v>
      </c>
      <c r="F15" s="32">
        <f>PRODUCT(Table73[[#This Row],[1]:[25]])</f>
        <v>0.48049868223590353</v>
      </c>
      <c r="G15" s="34"/>
      <c r="H15" s="34"/>
      <c r="I15" s="34"/>
      <c r="J15" s="34"/>
      <c r="K15" s="34"/>
      <c r="L15" s="34"/>
      <c r="M15" s="34"/>
      <c r="N15" s="34">
        <f>N$3</f>
        <v>0.48049868223590353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5"/>
      <c r="AC15" s="35"/>
      <c r="AD15" s="35"/>
      <c r="AE15" s="34"/>
      <c r="AF15" s="34"/>
      <c r="AG15" s="34"/>
      <c r="AH15" s="34"/>
      <c r="AI15" s="34"/>
      <c r="AJ15" s="34"/>
      <c r="AK15" s="34"/>
    </row>
    <row r="16" spans="1:16384" s="68" customFormat="1" ht="14.45" x14ac:dyDescent="0.35">
      <c r="A16" s="30" t="s">
        <v>177</v>
      </c>
      <c r="B16" s="30" t="s">
        <v>206</v>
      </c>
      <c r="C16" s="30" t="s">
        <v>6</v>
      </c>
      <c r="D16" s="40">
        <f>SUMIFS(Table8[Variable cost],Table8[Process],"="&amp;Table73[[#This Row],[Column1]],Table8[[Output factor for costs ]],"="&amp;Table73[[#This Row],[Column3]])*Table73[[#This Row],[Column4]]</f>
        <v>0</v>
      </c>
      <c r="E16" s="40">
        <v>0</v>
      </c>
      <c r="F16" s="32">
        <f>PRODUCT(Table73[[#This Row],[1]:[25]])</f>
        <v>0.17797461422516755</v>
      </c>
      <c r="G16" s="34"/>
      <c r="H16" s="34"/>
      <c r="I16" s="34"/>
      <c r="J16" s="34"/>
      <c r="K16" s="34"/>
      <c r="L16" s="34">
        <f>L$3</f>
        <v>0.17797461422516755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5"/>
      <c r="AC16" s="35"/>
      <c r="AD16" s="35"/>
      <c r="AE16" s="34"/>
      <c r="AF16" s="34"/>
      <c r="AG16" s="34"/>
      <c r="AH16" s="34"/>
      <c r="AI16" s="34"/>
      <c r="AJ16" s="34"/>
      <c r="AK16" s="34"/>
    </row>
    <row r="17" spans="1:37" s="68" customFormat="1" ht="14.45" x14ac:dyDescent="0.35">
      <c r="A17" s="30" t="s">
        <v>177</v>
      </c>
      <c r="B17" s="30" t="s">
        <v>206</v>
      </c>
      <c r="C17" s="30" t="s">
        <v>7</v>
      </c>
      <c r="D17" s="40">
        <f>SUMIFS(Table8[Variable cost],Table8[Process],"="&amp;Table73[[#This Row],[Column1]],Table8[[Output factor for costs ]],"="&amp;Table73[[#This Row],[Column3]])*Table73[[#This Row],[Column4]]</f>
        <v>0</v>
      </c>
      <c r="E17" s="40">
        <v>0</v>
      </c>
      <c r="F17" s="32">
        <f>PRODUCT(Table73[[#This Row],[1]:[25]])</f>
        <v>0.25456160291260915</v>
      </c>
      <c r="G17" s="34"/>
      <c r="H17" s="34"/>
      <c r="I17" s="34"/>
      <c r="J17" s="34"/>
      <c r="K17" s="34"/>
      <c r="L17" s="34"/>
      <c r="M17" s="34">
        <f>M$3</f>
        <v>0.25456160291260915</v>
      </c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5"/>
      <c r="AC17" s="35"/>
      <c r="AD17" s="35"/>
      <c r="AE17" s="34"/>
      <c r="AF17" s="34"/>
      <c r="AG17" s="34"/>
      <c r="AH17" s="34"/>
      <c r="AI17" s="34"/>
      <c r="AJ17" s="34"/>
      <c r="AK17" s="34"/>
    </row>
    <row r="18" spans="1:37" s="68" customFormat="1" ht="14.45" x14ac:dyDescent="0.35">
      <c r="A18" s="30" t="s">
        <v>177</v>
      </c>
      <c r="B18" s="30" t="s">
        <v>206</v>
      </c>
      <c r="C18" s="30" t="s">
        <v>179</v>
      </c>
      <c r="D18" s="40">
        <f>SUMIFS(Table8[Variable cost],Table8[Process],"="&amp;Table73[[#This Row],[Column1]],Table8[[Output factor for costs ]],"="&amp;Table73[[#This Row],[Column3]])*Table73[[#This Row],[Column4]]</f>
        <v>0</v>
      </c>
      <c r="E18" s="40">
        <v>0</v>
      </c>
      <c r="F18" s="32">
        <f>PRODUCT(Table73[[#This Row],[1]:[25]])</f>
        <v>0.48049868223590353</v>
      </c>
      <c r="G18" s="34"/>
      <c r="H18" s="34"/>
      <c r="I18" s="34"/>
      <c r="J18" s="34"/>
      <c r="K18" s="34"/>
      <c r="L18" s="34"/>
      <c r="M18" s="34"/>
      <c r="N18" s="34">
        <f>N$3</f>
        <v>0.48049868223590353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5"/>
      <c r="AC18" s="35"/>
      <c r="AD18" s="35"/>
      <c r="AE18" s="34"/>
      <c r="AF18" s="34"/>
      <c r="AG18" s="34"/>
      <c r="AH18" s="34"/>
      <c r="AI18" s="34"/>
      <c r="AJ18" s="34"/>
      <c r="AK18" s="34"/>
    </row>
    <row r="19" spans="1:37" s="68" customFormat="1" ht="14.45" x14ac:dyDescent="0.35">
      <c r="A19" s="30" t="s">
        <v>177</v>
      </c>
      <c r="B19" s="30" t="s">
        <v>203</v>
      </c>
      <c r="C19" s="30" t="s">
        <v>6</v>
      </c>
      <c r="D19" s="40">
        <f>SUMIFS(Table8[Variable cost],Table8[Process],"="&amp;Table73[[#This Row],[Column1]],Table8[[Output factor for costs ]],"="&amp;Table73[[#This Row],[Column3]])*Table73[[#This Row],[Column4]]</f>
        <v>0</v>
      </c>
      <c r="E19" s="40">
        <v>0</v>
      </c>
      <c r="F19" s="32">
        <f>PRODUCT(Table73[[#This Row],[1]:[25]])</f>
        <v>0.17797461422516755</v>
      </c>
      <c r="G19" s="34"/>
      <c r="H19" s="34"/>
      <c r="I19" s="34"/>
      <c r="J19" s="34"/>
      <c r="K19" s="34"/>
      <c r="L19" s="34">
        <f>L$3</f>
        <v>0.17797461422516755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5"/>
      <c r="AC19" s="35"/>
      <c r="AD19" s="35"/>
      <c r="AE19" s="34"/>
      <c r="AF19" s="34"/>
      <c r="AG19" s="34"/>
      <c r="AH19" s="34"/>
      <c r="AI19" s="34"/>
      <c r="AJ19" s="34"/>
      <c r="AK19" s="34"/>
    </row>
    <row r="20" spans="1:37" s="68" customFormat="1" ht="14.45" x14ac:dyDescent="0.35">
      <c r="A20" s="30" t="s">
        <v>177</v>
      </c>
      <c r="B20" s="30" t="s">
        <v>203</v>
      </c>
      <c r="C20" s="30" t="s">
        <v>7</v>
      </c>
      <c r="D20" s="40">
        <f>SUMIFS(Table8[Variable cost],Table8[Process],"="&amp;Table73[[#This Row],[Column1]],Table8[[Output factor for costs ]],"="&amp;Table73[[#This Row],[Column3]])*Table73[[#This Row],[Column4]]</f>
        <v>0</v>
      </c>
      <c r="E20" s="40">
        <v>0</v>
      </c>
      <c r="F20" s="32">
        <f>PRODUCT(Table73[[#This Row],[1]:[25]])</f>
        <v>0.25456160291260915</v>
      </c>
      <c r="G20" s="34"/>
      <c r="H20" s="34"/>
      <c r="I20" s="34"/>
      <c r="J20" s="34"/>
      <c r="K20" s="34"/>
      <c r="L20" s="34"/>
      <c r="M20" s="34">
        <f>M$3</f>
        <v>0.25456160291260915</v>
      </c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5"/>
      <c r="AC20" s="35"/>
      <c r="AD20" s="35"/>
      <c r="AE20" s="34"/>
      <c r="AF20" s="34"/>
      <c r="AG20" s="34"/>
      <c r="AH20" s="34"/>
      <c r="AI20" s="34"/>
      <c r="AJ20" s="34"/>
      <c r="AK20" s="34"/>
    </row>
    <row r="21" spans="1:37" s="68" customFormat="1" ht="14.45" x14ac:dyDescent="0.35">
      <c r="A21" s="30" t="s">
        <v>177</v>
      </c>
      <c r="B21" s="30" t="s">
        <v>203</v>
      </c>
      <c r="C21" s="30" t="s">
        <v>179</v>
      </c>
      <c r="D21" s="40">
        <f>SUMIFS(Table8[Variable cost],Table8[Process],"="&amp;Table73[[#This Row],[Column1]],Table8[[Output factor for costs ]],"="&amp;Table73[[#This Row],[Column3]])*Table73[[#This Row],[Column4]]</f>
        <v>0</v>
      </c>
      <c r="E21" s="40">
        <v>0</v>
      </c>
      <c r="F21" s="32">
        <f>PRODUCT(Table73[[#This Row],[1]:[25]])</f>
        <v>0.48049868223590353</v>
      </c>
      <c r="G21" s="34"/>
      <c r="H21" s="34"/>
      <c r="I21" s="34"/>
      <c r="J21" s="34"/>
      <c r="K21" s="34"/>
      <c r="L21" s="34"/>
      <c r="M21" s="34"/>
      <c r="N21" s="34">
        <f>N$3</f>
        <v>0.48049868223590353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5"/>
      <c r="AC21" s="35"/>
      <c r="AD21" s="35"/>
      <c r="AE21" s="34"/>
      <c r="AF21" s="34"/>
      <c r="AG21" s="34"/>
      <c r="AH21" s="34"/>
      <c r="AI21" s="34"/>
      <c r="AJ21" s="34"/>
      <c r="AK21" s="34"/>
    </row>
    <row r="22" spans="1:37" s="68" customFormat="1" ht="14.45" x14ac:dyDescent="0.35">
      <c r="A22" s="30" t="s">
        <v>177</v>
      </c>
      <c r="B22" s="30" t="s">
        <v>176</v>
      </c>
      <c r="C22" s="30" t="s">
        <v>6</v>
      </c>
      <c r="D22" s="40">
        <f>SUMIFS(Table8[Variable cost],Table8[Process],"="&amp;Table73[[#This Row],[Column1]],Table8[[Output factor for costs ]],"="&amp;Table73[[#This Row],[Column3]])*Table73[[#This Row],[Column4]]</f>
        <v>0</v>
      </c>
      <c r="E22" s="40">
        <v>0</v>
      </c>
      <c r="F22" s="32">
        <f>PRODUCT(Table73[[#This Row],[1]:[25]])</f>
        <v>0.17797461422516755</v>
      </c>
      <c r="G22" s="34"/>
      <c r="H22" s="34"/>
      <c r="I22" s="34"/>
      <c r="J22" s="34"/>
      <c r="K22" s="34"/>
      <c r="L22" s="34">
        <f>L$3</f>
        <v>0.17797461422516755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5"/>
      <c r="AC22" s="35"/>
      <c r="AD22" s="35"/>
      <c r="AE22" s="34"/>
      <c r="AF22" s="34"/>
      <c r="AG22" s="34"/>
      <c r="AH22" s="34"/>
      <c r="AI22" s="34"/>
      <c r="AJ22" s="34"/>
      <c r="AK22" s="34"/>
    </row>
    <row r="23" spans="1:37" s="68" customFormat="1" ht="14.45" x14ac:dyDescent="0.35">
      <c r="A23" s="30" t="s">
        <v>177</v>
      </c>
      <c r="B23" s="30" t="s">
        <v>176</v>
      </c>
      <c r="C23" s="30" t="s">
        <v>7</v>
      </c>
      <c r="D23" s="40">
        <f>SUMIFS(Table8[Variable cost],Table8[Process],"="&amp;Table73[[#This Row],[Column1]],Table8[[Output factor for costs ]],"="&amp;Table73[[#This Row],[Column3]])*Table73[[#This Row],[Column4]]</f>
        <v>0</v>
      </c>
      <c r="E23" s="40">
        <v>0</v>
      </c>
      <c r="F23" s="32">
        <f>PRODUCT(Table73[[#This Row],[1]:[25]])</f>
        <v>0.25456160291260915</v>
      </c>
      <c r="G23" s="34"/>
      <c r="H23" s="34"/>
      <c r="I23" s="34"/>
      <c r="J23" s="34"/>
      <c r="K23" s="34"/>
      <c r="L23" s="34"/>
      <c r="M23" s="34">
        <f>M$3</f>
        <v>0.25456160291260915</v>
      </c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5"/>
      <c r="AC23" s="35"/>
      <c r="AD23" s="35"/>
      <c r="AE23" s="34"/>
      <c r="AF23" s="34"/>
      <c r="AG23" s="34"/>
      <c r="AH23" s="34"/>
      <c r="AI23" s="34"/>
      <c r="AJ23" s="34"/>
      <c r="AK23" s="34"/>
    </row>
    <row r="24" spans="1:37" s="68" customFormat="1" ht="14.45" x14ac:dyDescent="0.35">
      <c r="A24" s="30" t="s">
        <v>177</v>
      </c>
      <c r="B24" s="30" t="s">
        <v>176</v>
      </c>
      <c r="C24" s="30" t="s">
        <v>179</v>
      </c>
      <c r="D24" s="40">
        <f>SUMIFS(Table8[Variable cost],Table8[Process],"="&amp;Table73[[#This Row],[Column1]],Table8[[Output factor for costs ]],"="&amp;Table73[[#This Row],[Column3]])*Table73[[#This Row],[Column4]]</f>
        <v>0</v>
      </c>
      <c r="E24" s="40">
        <v>0</v>
      </c>
      <c r="F24" s="32">
        <f>PRODUCT(Table73[[#This Row],[1]:[25]])</f>
        <v>0.48049868223590353</v>
      </c>
      <c r="G24" s="34"/>
      <c r="H24" s="34"/>
      <c r="I24" s="34"/>
      <c r="J24" s="34"/>
      <c r="K24" s="34"/>
      <c r="L24" s="34"/>
      <c r="M24" s="34"/>
      <c r="N24" s="34">
        <f>N$3</f>
        <v>0.48049868223590353</v>
      </c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5"/>
      <c r="AC24" s="35"/>
      <c r="AD24" s="35"/>
      <c r="AE24" s="34"/>
      <c r="AF24" s="34"/>
      <c r="AG24" s="34"/>
      <c r="AH24" s="34"/>
      <c r="AI24" s="34"/>
      <c r="AJ24" s="34"/>
      <c r="AK24" s="34"/>
    </row>
    <row r="25" spans="1:37" s="68" customFormat="1" ht="14.45" x14ac:dyDescent="0.35">
      <c r="A25" s="30" t="s">
        <v>154</v>
      </c>
      <c r="B25" s="30" t="s">
        <v>20</v>
      </c>
      <c r="C25" s="30" t="s">
        <v>146</v>
      </c>
      <c r="D25" s="41">
        <v>91</v>
      </c>
      <c r="E25" s="40">
        <v>0</v>
      </c>
      <c r="F25" s="32">
        <f>PRODUCT(Table73[[#This Row],[1]:[25]])</f>
        <v>0.46</v>
      </c>
      <c r="G25" s="34"/>
      <c r="H25" s="34">
        <f>H$3</f>
        <v>0.46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5"/>
      <c r="AC25" s="35"/>
      <c r="AD25" s="35"/>
      <c r="AE25" s="34"/>
      <c r="AF25" s="34"/>
      <c r="AG25" s="34"/>
      <c r="AH25" s="34"/>
      <c r="AI25" s="34"/>
      <c r="AJ25" s="34"/>
      <c r="AK25" s="34"/>
    </row>
    <row r="26" spans="1:37" s="68" customFormat="1" ht="14.45" x14ac:dyDescent="0.35">
      <c r="A26" s="30" t="s">
        <v>154</v>
      </c>
      <c r="B26" s="30" t="s">
        <v>22</v>
      </c>
      <c r="C26" s="30" t="s">
        <v>146</v>
      </c>
      <c r="D26" s="41">
        <v>91</v>
      </c>
      <c r="E26" s="40">
        <v>0</v>
      </c>
      <c r="F26" s="32">
        <f>PRODUCT(Table73[[#This Row],[1]:[25]])</f>
        <v>0.46</v>
      </c>
      <c r="G26" s="34"/>
      <c r="H26" s="34">
        <f>H$3</f>
        <v>0.46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5"/>
      <c r="AC26" s="35"/>
      <c r="AD26" s="35"/>
      <c r="AE26" s="34"/>
      <c r="AF26" s="34"/>
      <c r="AG26" s="34"/>
      <c r="AH26" s="34"/>
      <c r="AI26" s="34"/>
      <c r="AJ26" s="34"/>
      <c r="AK26" s="34"/>
    </row>
    <row r="27" spans="1:37" s="68" customFormat="1" ht="14.45" x14ac:dyDescent="0.35">
      <c r="A27" s="30" t="s">
        <v>154</v>
      </c>
      <c r="B27" s="30" t="s">
        <v>5</v>
      </c>
      <c r="C27" s="30" t="s">
        <v>146</v>
      </c>
      <c r="D27" s="41">
        <v>91</v>
      </c>
      <c r="E27" s="40">
        <v>0</v>
      </c>
      <c r="F27" s="32">
        <f>PRODUCT(Table73[[#This Row],[1]:[25]])</f>
        <v>0.46</v>
      </c>
      <c r="G27" s="34"/>
      <c r="H27" s="34">
        <f>H$3</f>
        <v>0.46</v>
      </c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5"/>
      <c r="AC27" s="35"/>
      <c r="AD27" s="35"/>
      <c r="AE27" s="34"/>
      <c r="AF27" s="34"/>
      <c r="AG27" s="34"/>
      <c r="AH27" s="34"/>
      <c r="AI27" s="34"/>
      <c r="AJ27" s="34"/>
      <c r="AK27" s="34"/>
    </row>
    <row r="28" spans="1:37" s="68" customFormat="1" ht="14.45" x14ac:dyDescent="0.35">
      <c r="A28" s="30" t="s">
        <v>154</v>
      </c>
      <c r="B28" s="30" t="s">
        <v>24</v>
      </c>
      <c r="C28" s="30" t="s">
        <v>146</v>
      </c>
      <c r="D28" s="41">
        <v>149.6</v>
      </c>
      <c r="E28" s="40">
        <v>0</v>
      </c>
      <c r="F28" s="32">
        <f>PRODUCT(Table73[[#This Row],[1]:[25]])</f>
        <v>1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5"/>
      <c r="AC28" s="35"/>
      <c r="AD28" s="35"/>
      <c r="AE28" s="34">
        <f>AE$3</f>
        <v>1</v>
      </c>
      <c r="AF28" s="34"/>
      <c r="AG28" s="34"/>
      <c r="AH28" s="34"/>
      <c r="AI28" s="34"/>
      <c r="AJ28" s="34"/>
      <c r="AK28" s="34"/>
    </row>
    <row r="29" spans="1:37" s="68" customFormat="1" ht="14.45" x14ac:dyDescent="0.35">
      <c r="A29" s="30" t="s">
        <v>154</v>
      </c>
      <c r="B29" s="30" t="s">
        <v>206</v>
      </c>
      <c r="C29" s="30" t="s">
        <v>146</v>
      </c>
      <c r="D29" s="41">
        <v>91</v>
      </c>
      <c r="E29" s="40">
        <v>0</v>
      </c>
      <c r="F29" s="32">
        <f>PRODUCT(Table73[[#This Row],[1]:[25]])</f>
        <v>0.46</v>
      </c>
      <c r="G29" s="34"/>
      <c r="H29" s="34">
        <f t="shared" ref="H29:H31" si="0">H$3</f>
        <v>0.46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5"/>
      <c r="AC29" s="35"/>
      <c r="AD29" s="35"/>
      <c r="AE29" s="34">
        <f t="shared" ref="AE29:AE31" si="1">AE$3</f>
        <v>1</v>
      </c>
      <c r="AF29" s="34"/>
      <c r="AG29" s="34"/>
      <c r="AH29" s="34"/>
      <c r="AI29" s="34"/>
      <c r="AJ29" s="34"/>
      <c r="AK29" s="34"/>
    </row>
    <row r="30" spans="1:37" s="68" customFormat="1" ht="14.45" x14ac:dyDescent="0.35">
      <c r="A30" s="30" t="s">
        <v>154</v>
      </c>
      <c r="B30" s="30" t="s">
        <v>203</v>
      </c>
      <c r="C30" s="30" t="s">
        <v>146</v>
      </c>
      <c r="D30" s="41">
        <v>91</v>
      </c>
      <c r="E30" s="40">
        <v>0</v>
      </c>
      <c r="F30" s="32">
        <f>PRODUCT(Table73[[#This Row],[1]:[25]])</f>
        <v>0.46</v>
      </c>
      <c r="G30" s="34"/>
      <c r="H30" s="34">
        <f t="shared" si="0"/>
        <v>0.46</v>
      </c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5"/>
      <c r="AC30" s="35"/>
      <c r="AD30" s="35"/>
      <c r="AE30" s="34">
        <f t="shared" si="1"/>
        <v>1</v>
      </c>
      <c r="AF30" s="34"/>
      <c r="AG30" s="34"/>
      <c r="AH30" s="34"/>
      <c r="AI30" s="34"/>
      <c r="AJ30" s="34"/>
      <c r="AK30" s="34"/>
    </row>
    <row r="31" spans="1:37" s="68" customFormat="1" ht="14.45" x14ac:dyDescent="0.35">
      <c r="A31" s="30" t="s">
        <v>154</v>
      </c>
      <c r="B31" s="30" t="s">
        <v>176</v>
      </c>
      <c r="C31" s="30" t="s">
        <v>146</v>
      </c>
      <c r="D31" s="41">
        <v>91</v>
      </c>
      <c r="E31" s="40">
        <v>0</v>
      </c>
      <c r="F31" s="32">
        <f>PRODUCT(Table73[[#This Row],[1]:[25]])</f>
        <v>0.46</v>
      </c>
      <c r="G31" s="34"/>
      <c r="H31" s="34">
        <f t="shared" si="0"/>
        <v>0.46</v>
      </c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5"/>
      <c r="AC31" s="35"/>
      <c r="AD31" s="35"/>
      <c r="AE31" s="34">
        <f t="shared" si="1"/>
        <v>1</v>
      </c>
      <c r="AF31" s="34"/>
      <c r="AG31" s="34"/>
      <c r="AH31" s="34"/>
      <c r="AI31" s="34"/>
      <c r="AJ31" s="34"/>
      <c r="AK31" s="34"/>
    </row>
    <row r="32" spans="1:37" s="68" customFormat="1" ht="14.45" x14ac:dyDescent="0.35">
      <c r="A32" s="30" t="s">
        <v>154</v>
      </c>
      <c r="B32" s="30" t="s">
        <v>25</v>
      </c>
      <c r="C32" s="30" t="s">
        <v>146</v>
      </c>
      <c r="D32" s="41">
        <v>166.1</v>
      </c>
      <c r="E32" s="40">
        <v>0</v>
      </c>
      <c r="F32" s="32">
        <f>PRODUCT(Table73[[#This Row],[1]:[25]])</f>
        <v>1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5"/>
      <c r="AC32" s="35"/>
      <c r="AD32" s="35"/>
      <c r="AE32" s="34">
        <f>AE$3</f>
        <v>1</v>
      </c>
      <c r="AF32" s="34"/>
      <c r="AG32" s="34"/>
      <c r="AH32" s="34"/>
      <c r="AI32" s="34"/>
      <c r="AJ32" s="34"/>
      <c r="AK32" s="34"/>
    </row>
    <row r="33" spans="1:37" s="68" customFormat="1" ht="14.45" x14ac:dyDescent="0.35">
      <c r="A33" s="30" t="s">
        <v>154</v>
      </c>
      <c r="B33" s="30" t="s">
        <v>7</v>
      </c>
      <c r="C33" s="30" t="s">
        <v>146</v>
      </c>
      <c r="D33" s="40">
        <f>SUMIFS(Table8[Variable cost],Table8[Process],"="&amp;Table73[[#This Row],[Column1]],Table8[[Output factor for costs ]],"="&amp;Table73[[#This Row],[Column3]])*Table73[[#This Row],[Column4]]</f>
        <v>0</v>
      </c>
      <c r="E33" s="40">
        <v>0</v>
      </c>
      <c r="F33" s="32">
        <f>PRODUCT(Table73[[#This Row],[1]:[25]])</f>
        <v>0.46</v>
      </c>
      <c r="G33" s="34"/>
      <c r="H33" s="34">
        <f>H$3</f>
        <v>0.46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5"/>
      <c r="AC33" s="35"/>
      <c r="AD33" s="35"/>
      <c r="AE33" s="34"/>
      <c r="AF33" s="34"/>
      <c r="AG33" s="34"/>
      <c r="AH33" s="34"/>
      <c r="AI33" s="34"/>
      <c r="AJ33" s="34"/>
      <c r="AK33" s="34"/>
    </row>
    <row r="34" spans="1:37" s="68" customFormat="1" ht="14.45" x14ac:dyDescent="0.35">
      <c r="A34" s="30" t="s">
        <v>154</v>
      </c>
      <c r="B34" s="30" t="s">
        <v>6</v>
      </c>
      <c r="C34" s="30" t="s">
        <v>146</v>
      </c>
      <c r="D34" s="40">
        <f>SUMIFS(Table8[Variable cost],Table8[Process],"="&amp;Table73[[#This Row],[Column1]],Table8[[Output factor for costs ]],"="&amp;Table73[[#This Row],[Column3]])*Table73[[#This Row],[Column4]]</f>
        <v>0</v>
      </c>
      <c r="E34" s="40">
        <v>0</v>
      </c>
      <c r="F34" s="32">
        <f>PRODUCT(Table73[[#This Row],[1]:[25]])</f>
        <v>0.46</v>
      </c>
      <c r="G34" s="34"/>
      <c r="H34" s="34">
        <f>H$3</f>
        <v>0.46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5"/>
      <c r="AC34" s="35"/>
      <c r="AD34" s="35"/>
      <c r="AE34" s="34"/>
      <c r="AF34" s="34"/>
      <c r="AG34" s="34"/>
      <c r="AH34" s="34"/>
      <c r="AI34" s="34"/>
      <c r="AJ34" s="34"/>
      <c r="AK34" s="34"/>
    </row>
    <row r="35" spans="1:37" s="68" customFormat="1" ht="14.45" x14ac:dyDescent="0.35">
      <c r="A35" s="30" t="s">
        <v>14</v>
      </c>
      <c r="B35" s="30" t="s">
        <v>146</v>
      </c>
      <c r="C35" s="30" t="s">
        <v>8</v>
      </c>
      <c r="D35" s="40">
        <f>SUMIFS(Table8[Variable cost],Table8[Process],"="&amp;Table73[[#This Row],[Column1]],Table8[[Output factor for costs ]],"="&amp;Table73[[#This Row],[Column3]])*Table73[[#This Row],[Column4]]</f>
        <v>1042.7200000000003</v>
      </c>
      <c r="E35" s="40">
        <v>0</v>
      </c>
      <c r="F35" s="32">
        <f>PRODUCT(Table73[[#This Row],[1]:[25]])</f>
        <v>4.6550000000000002</v>
      </c>
      <c r="G35" s="34">
        <f>G$3</f>
        <v>4.9000000000000004</v>
      </c>
      <c r="H35" s="34"/>
      <c r="I35" s="34">
        <v>0.95</v>
      </c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5"/>
      <c r="AC35" s="35"/>
      <c r="AD35" s="35"/>
      <c r="AE35" s="34"/>
      <c r="AF35" s="34"/>
      <c r="AG35" s="34"/>
      <c r="AH35" s="34"/>
      <c r="AI35" s="34"/>
      <c r="AJ35" s="34"/>
      <c r="AK35" s="34"/>
    </row>
    <row r="36" spans="1:37" s="68" customFormat="1" ht="14.45" x14ac:dyDescent="0.35">
      <c r="A36" s="30" t="s">
        <v>142</v>
      </c>
      <c r="B36" s="30" t="s">
        <v>7</v>
      </c>
      <c r="C36" s="30" t="s">
        <v>52</v>
      </c>
      <c r="D36" s="40">
        <f>SUMIFS(Table8[Variable cost],Table8[Process],"="&amp;Table73[[#This Row],[Column1]],Table8[[Output factor for costs ]],"="&amp;Table73[[#This Row],[Column3]])*Table73[[#This Row],[Column4]]</f>
        <v>1203.4328099708796</v>
      </c>
      <c r="E36" s="40">
        <v>0</v>
      </c>
      <c r="F36" s="32">
        <f>PRODUCT(Table73[[#This Row],[1]:[25]])</f>
        <v>1.4425600000000003</v>
      </c>
      <c r="G36" s="34">
        <f>G$3</f>
        <v>4.9000000000000004</v>
      </c>
      <c r="H36" s="34">
        <f>H$3</f>
        <v>0.46</v>
      </c>
      <c r="I36" s="34"/>
      <c r="J36" s="34"/>
      <c r="K36" s="34">
        <f>K$3</f>
        <v>0.64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5"/>
      <c r="AC36" s="35"/>
      <c r="AD36" s="35"/>
      <c r="AE36" s="34"/>
      <c r="AF36" s="34"/>
      <c r="AG36" s="34"/>
      <c r="AH36" s="34"/>
      <c r="AI36" s="34"/>
      <c r="AJ36" s="34"/>
      <c r="AK36" s="34"/>
    </row>
    <row r="37" spans="1:37" s="68" customFormat="1" ht="14.45" x14ac:dyDescent="0.35">
      <c r="A37" s="30" t="s">
        <v>142</v>
      </c>
      <c r="B37" s="30" t="s">
        <v>6</v>
      </c>
      <c r="C37" s="30" t="s">
        <v>52</v>
      </c>
      <c r="D37" s="40">
        <f>SUMIFS(Table8[Variable cost],Table8[Process],"="&amp;Table73[[#This Row],[Column1]],Table8[[Output factor for costs ]],"="&amp;Table73[[#This Row],[Column3]])*Table73[[#This Row],[Column4]]</f>
        <v>1203.4328099708796</v>
      </c>
      <c r="E37" s="40">
        <v>0</v>
      </c>
      <c r="F37" s="32">
        <f>PRODUCT(Table73[[#This Row],[1]:[25]])</f>
        <v>1.4425600000000003</v>
      </c>
      <c r="G37" s="34">
        <f>G$3</f>
        <v>4.9000000000000004</v>
      </c>
      <c r="H37" s="34">
        <f>H$3</f>
        <v>0.46</v>
      </c>
      <c r="I37" s="34"/>
      <c r="J37" s="34"/>
      <c r="K37" s="34">
        <f>K$3</f>
        <v>0.64</v>
      </c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5"/>
      <c r="AC37" s="35"/>
      <c r="AD37" s="35"/>
      <c r="AE37" s="34"/>
      <c r="AF37" s="34"/>
      <c r="AG37" s="34"/>
      <c r="AH37" s="34"/>
      <c r="AI37" s="34"/>
      <c r="AJ37" s="34"/>
      <c r="AK37" s="34"/>
    </row>
    <row r="38" spans="1:37" s="68" customFormat="1" ht="15" x14ac:dyDescent="0.35">
      <c r="A38" t="s">
        <v>27</v>
      </c>
      <c r="B38" s="30" t="s">
        <v>19</v>
      </c>
      <c r="C38" t="s">
        <v>27</v>
      </c>
      <c r="D38" s="40">
        <f>SUMIFS(Table8[Variable cost],Table8[Process],"="&amp;Table73[[#This Row],[Column1]],Table8[[Output factor for costs ]],"="&amp;Table73[[#This Row],[Column3]])*Table73[[#This Row],[Column4]]</f>
        <v>240.79999999999995</v>
      </c>
      <c r="E38" s="40">
        <v>0</v>
      </c>
      <c r="F38" s="32">
        <f>PRODUCT(Table73[[#This Row],[1]:[25]])</f>
        <v>0.21</v>
      </c>
      <c r="G38" s="34"/>
      <c r="H38" s="34"/>
      <c r="I38" s="34"/>
      <c r="J38" s="34"/>
      <c r="K38" s="34"/>
      <c r="L38" s="34"/>
      <c r="M38" s="34"/>
      <c r="N38" s="34"/>
      <c r="O38" s="34">
        <f t="shared" ref="O38:O55" si="2">O$3</f>
        <v>0.21</v>
      </c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5"/>
      <c r="AC38" s="35"/>
      <c r="AD38" s="35"/>
      <c r="AE38" s="34"/>
      <c r="AF38" s="34"/>
      <c r="AG38" s="34"/>
      <c r="AH38" s="34"/>
      <c r="AI38" s="34"/>
      <c r="AJ38" s="34"/>
      <c r="AK38" s="34"/>
    </row>
    <row r="39" spans="1:37" s="68" customFormat="1" ht="15" x14ac:dyDescent="0.35">
      <c r="A39" t="s">
        <v>27</v>
      </c>
      <c r="B39" s="30" t="s">
        <v>21</v>
      </c>
      <c r="C39" t="s">
        <v>27</v>
      </c>
      <c r="D39" s="40">
        <f>SUMIFS(Table8[Variable cost],Table8[Process],"="&amp;Table73[[#This Row],[Column1]],Table8[[Output factor for costs ]],"="&amp;Table73[[#This Row],[Column3]])*Table73[[#This Row],[Column4]]</f>
        <v>240.79999999999995</v>
      </c>
      <c r="E39" s="40">
        <v>0</v>
      </c>
      <c r="F39" s="32">
        <f>PRODUCT(Table73[[#This Row],[1]:[25]])</f>
        <v>0.21</v>
      </c>
      <c r="G39" s="34"/>
      <c r="H39" s="34"/>
      <c r="I39" s="34"/>
      <c r="J39" s="34"/>
      <c r="K39" s="34"/>
      <c r="L39" s="34"/>
      <c r="M39" s="34"/>
      <c r="N39" s="34"/>
      <c r="O39" s="34">
        <f t="shared" si="2"/>
        <v>0.21</v>
      </c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5"/>
      <c r="AC39" s="35"/>
      <c r="AD39" s="35"/>
      <c r="AE39" s="34"/>
      <c r="AF39" s="34"/>
      <c r="AG39" s="34"/>
      <c r="AH39" s="34"/>
      <c r="AI39" s="34"/>
      <c r="AJ39" s="34"/>
      <c r="AK39" s="34"/>
    </row>
    <row r="40" spans="1:37" s="68" customFormat="1" ht="15" x14ac:dyDescent="0.35">
      <c r="A40" t="s">
        <v>27</v>
      </c>
      <c r="B40" s="30" t="s">
        <v>20</v>
      </c>
      <c r="C40" t="s">
        <v>27</v>
      </c>
      <c r="D40" s="40">
        <f>SUMIFS(Table8[Variable cost],Table8[Process],"="&amp;Table73[[#This Row],[Column1]],Table8[[Output factor for costs ]],"="&amp;Table73[[#This Row],[Column3]])*Table73[[#This Row],[Column4]]</f>
        <v>240.79999999999995</v>
      </c>
      <c r="E40" s="40">
        <v>0</v>
      </c>
      <c r="F40" s="32">
        <f>PRODUCT(Table73[[#This Row],[1]:[25]])</f>
        <v>0.21</v>
      </c>
      <c r="G40" s="34"/>
      <c r="H40" s="34"/>
      <c r="I40" s="34"/>
      <c r="J40" s="34"/>
      <c r="K40" s="34"/>
      <c r="L40" s="34"/>
      <c r="M40" s="34"/>
      <c r="N40" s="34"/>
      <c r="O40" s="34">
        <f t="shared" si="2"/>
        <v>0.21</v>
      </c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5"/>
      <c r="AC40" s="35"/>
      <c r="AD40" s="35"/>
      <c r="AE40" s="34"/>
      <c r="AF40" s="34"/>
      <c r="AG40" s="34"/>
      <c r="AH40" s="34"/>
      <c r="AI40" s="34"/>
      <c r="AJ40" s="34"/>
      <c r="AK40" s="34"/>
    </row>
    <row r="41" spans="1:37" s="68" customFormat="1" ht="15" x14ac:dyDescent="0.35">
      <c r="A41" t="s">
        <v>27</v>
      </c>
      <c r="B41" s="30" t="s">
        <v>22</v>
      </c>
      <c r="C41" t="s">
        <v>27</v>
      </c>
      <c r="D41" s="40">
        <f>SUMIFS(Table8[Variable cost],Table8[Process],"="&amp;Table73[[#This Row],[Column1]],Table8[[Output factor for costs ]],"="&amp;Table73[[#This Row],[Column3]])*Table73[[#This Row],[Column4]]</f>
        <v>240.79999999999995</v>
      </c>
      <c r="E41" s="40">
        <v>0</v>
      </c>
      <c r="F41" s="32">
        <f>PRODUCT(Table73[[#This Row],[1]:[25]])</f>
        <v>0.21</v>
      </c>
      <c r="G41" s="34"/>
      <c r="H41" s="34"/>
      <c r="I41" s="34"/>
      <c r="J41" s="34"/>
      <c r="K41" s="34"/>
      <c r="L41" s="34"/>
      <c r="M41" s="34"/>
      <c r="N41" s="34"/>
      <c r="O41" s="34">
        <f t="shared" si="2"/>
        <v>0.21</v>
      </c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5"/>
      <c r="AC41" s="35"/>
      <c r="AD41" s="35"/>
      <c r="AE41" s="34"/>
      <c r="AF41" s="34"/>
      <c r="AG41" s="34"/>
      <c r="AH41" s="34"/>
      <c r="AI41" s="34"/>
      <c r="AJ41" s="34"/>
      <c r="AK41" s="34"/>
    </row>
    <row r="42" spans="1:37" s="68" customFormat="1" ht="15" x14ac:dyDescent="0.35">
      <c r="A42" t="s">
        <v>27</v>
      </c>
      <c r="B42" s="30" t="s">
        <v>176</v>
      </c>
      <c r="C42" t="s">
        <v>27</v>
      </c>
      <c r="D42" s="40">
        <f>SUMIFS(Table8[Variable cost],Table8[Process],"="&amp;Table73[[#This Row],[Column1]],Table8[[Output factor for costs ]],"="&amp;Table73[[#This Row],[Column3]])*Table73[[#This Row],[Column4]]</f>
        <v>240.79999999999995</v>
      </c>
      <c r="E42" s="40">
        <v>0</v>
      </c>
      <c r="F42" s="32">
        <f>PRODUCT(Table73[[#This Row],[1]:[25]])</f>
        <v>0.21</v>
      </c>
      <c r="G42" s="34"/>
      <c r="H42" s="34"/>
      <c r="I42" s="34"/>
      <c r="J42" s="34"/>
      <c r="K42" s="34"/>
      <c r="L42" s="34"/>
      <c r="M42" s="34"/>
      <c r="N42" s="34"/>
      <c r="O42" s="34">
        <f t="shared" si="2"/>
        <v>0.21</v>
      </c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5"/>
      <c r="AC42" s="35"/>
      <c r="AD42" s="35"/>
      <c r="AE42" s="34"/>
      <c r="AF42" s="34"/>
      <c r="AG42" s="34"/>
      <c r="AH42" s="34"/>
      <c r="AI42" s="34"/>
      <c r="AJ42" s="34"/>
      <c r="AK42" s="34"/>
    </row>
    <row r="43" spans="1:37" s="68" customFormat="1" ht="15" x14ac:dyDescent="0.35">
      <c r="A43" t="s">
        <v>27</v>
      </c>
      <c r="B43" s="30" t="s">
        <v>206</v>
      </c>
      <c r="C43" t="s">
        <v>27</v>
      </c>
      <c r="D43" s="40">
        <f>SUMIFS(Table8[Variable cost],Table8[Process],"="&amp;Table73[[#This Row],[Column1]],Table8[[Output factor for costs ]],"="&amp;Table73[[#This Row],[Column3]])*Table73[[#This Row],[Column4]]</f>
        <v>240.79999999999995</v>
      </c>
      <c r="E43" s="40">
        <v>0</v>
      </c>
      <c r="F43" s="32">
        <f>PRODUCT(Table73[[#This Row],[1]:[25]])</f>
        <v>0.21</v>
      </c>
      <c r="G43" s="34"/>
      <c r="H43" s="34"/>
      <c r="I43" s="34"/>
      <c r="J43" s="34"/>
      <c r="K43" s="34"/>
      <c r="L43" s="34"/>
      <c r="M43" s="34"/>
      <c r="N43" s="34"/>
      <c r="O43" s="34">
        <f t="shared" si="2"/>
        <v>0.21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5"/>
      <c r="AC43" s="35"/>
      <c r="AD43" s="35"/>
      <c r="AE43" s="34"/>
      <c r="AF43" s="34"/>
      <c r="AG43" s="34"/>
      <c r="AH43" s="34"/>
      <c r="AI43" s="34"/>
      <c r="AJ43" s="34"/>
      <c r="AK43" s="34"/>
    </row>
    <row r="44" spans="1:37" s="68" customFormat="1" ht="15" x14ac:dyDescent="0.35">
      <c r="A44" t="s">
        <v>27</v>
      </c>
      <c r="B44" s="30" t="s">
        <v>203</v>
      </c>
      <c r="C44" t="s">
        <v>27</v>
      </c>
      <c r="D44" s="40">
        <f>SUMIFS(Table8[Variable cost],Table8[Process],"="&amp;Table73[[#This Row],[Column1]],Table8[[Output factor for costs ]],"="&amp;Table73[[#This Row],[Column3]])*Table73[[#This Row],[Column4]]</f>
        <v>240.79999999999995</v>
      </c>
      <c r="E44" s="40">
        <v>0</v>
      </c>
      <c r="F44" s="32">
        <f>PRODUCT(Table73[[#This Row],[1]:[25]])</f>
        <v>0.21</v>
      </c>
      <c r="G44" s="34"/>
      <c r="H44" s="34"/>
      <c r="I44" s="34"/>
      <c r="J44" s="34"/>
      <c r="K44" s="34"/>
      <c r="L44" s="34"/>
      <c r="M44" s="34"/>
      <c r="N44" s="34"/>
      <c r="O44" s="34">
        <f t="shared" si="2"/>
        <v>0.21</v>
      </c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5"/>
      <c r="AC44" s="35"/>
      <c r="AD44" s="35"/>
      <c r="AE44" s="34"/>
      <c r="AF44" s="34"/>
      <c r="AG44" s="34"/>
      <c r="AH44" s="34"/>
      <c r="AI44" s="34"/>
      <c r="AJ44" s="34"/>
      <c r="AK44" s="34"/>
    </row>
    <row r="45" spans="1:37" s="68" customFormat="1" ht="15" x14ac:dyDescent="0.35">
      <c r="A45" t="s">
        <v>27</v>
      </c>
      <c r="B45" s="30" t="s">
        <v>5</v>
      </c>
      <c r="C45" t="s">
        <v>27</v>
      </c>
      <c r="D45" s="40">
        <f>SUMIFS(Table8[Variable cost],Table8[Process],"="&amp;Table73[[#This Row],[Column1]],Table8[[Output factor for costs ]],"="&amp;Table73[[#This Row],[Column3]])*Table73[[#This Row],[Column4]]</f>
        <v>240.79999999999995</v>
      </c>
      <c r="E45" s="40">
        <v>0</v>
      </c>
      <c r="F45" s="32">
        <f>PRODUCT(Table73[[#This Row],[1]:[25]])</f>
        <v>0.21</v>
      </c>
      <c r="G45" s="34"/>
      <c r="H45" s="34"/>
      <c r="I45" s="34"/>
      <c r="J45" s="34"/>
      <c r="K45" s="34"/>
      <c r="L45" s="34"/>
      <c r="M45" s="34"/>
      <c r="N45" s="34"/>
      <c r="O45" s="34">
        <f t="shared" si="2"/>
        <v>0.21</v>
      </c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5"/>
      <c r="AC45" s="35"/>
      <c r="AD45" s="35"/>
      <c r="AE45" s="34"/>
      <c r="AF45" s="34"/>
      <c r="AG45" s="34"/>
      <c r="AH45" s="34"/>
      <c r="AI45" s="34"/>
      <c r="AJ45" s="34"/>
      <c r="AK45" s="34"/>
    </row>
    <row r="46" spans="1:37" s="68" customFormat="1" ht="15" x14ac:dyDescent="0.35">
      <c r="A46" t="s">
        <v>27</v>
      </c>
      <c r="B46" s="30" t="s">
        <v>7</v>
      </c>
      <c r="C46" t="s">
        <v>27</v>
      </c>
      <c r="D46" s="40">
        <f>SUMIFS(Table8[Variable cost],Table8[Process],"="&amp;Table73[[#This Row],[Column1]],Table8[[Output factor for costs ]],"="&amp;Table73[[#This Row],[Column3]])*Table73[[#This Row],[Column4]]</f>
        <v>240.79999999999995</v>
      </c>
      <c r="E46" s="40">
        <v>0</v>
      </c>
      <c r="F46" s="32">
        <f>PRODUCT(Table73[[#This Row],[1]:[25]])</f>
        <v>0.21</v>
      </c>
      <c r="G46" s="34"/>
      <c r="H46" s="34"/>
      <c r="I46" s="34"/>
      <c r="J46" s="34"/>
      <c r="K46" s="34"/>
      <c r="L46" s="34"/>
      <c r="M46" s="34"/>
      <c r="N46" s="34"/>
      <c r="O46" s="34">
        <f t="shared" si="2"/>
        <v>0.21</v>
      </c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5"/>
      <c r="AC46" s="35"/>
      <c r="AD46" s="35"/>
      <c r="AE46" s="34"/>
      <c r="AF46" s="34"/>
      <c r="AG46" s="34"/>
      <c r="AH46" s="34"/>
      <c r="AI46" s="34"/>
      <c r="AJ46" s="34"/>
      <c r="AK46" s="34"/>
    </row>
    <row r="47" spans="1:37" s="68" customFormat="1" ht="15" x14ac:dyDescent="0.35">
      <c r="A47" s="30" t="s">
        <v>10</v>
      </c>
      <c r="B47" s="30" t="s">
        <v>19</v>
      </c>
      <c r="C47" t="s">
        <v>10</v>
      </c>
      <c r="D47" s="40">
        <f>SUMIFS(Table8[Variable cost],Table8[Process],"="&amp;Table73[[#This Row],[Column1]],Table8[[Output factor for costs ]],"="&amp;Table73[[#This Row],[Column3]])*Table73[[#This Row],[Column4]]</f>
        <v>240.79999999999995</v>
      </c>
      <c r="E47" s="40">
        <v>0</v>
      </c>
      <c r="F47" s="32">
        <f>PRODUCT(Table73[[#This Row],[1]:[25]])</f>
        <v>0.21</v>
      </c>
      <c r="G47" s="34"/>
      <c r="H47" s="34"/>
      <c r="I47" s="34"/>
      <c r="J47" s="34"/>
      <c r="K47" s="34"/>
      <c r="L47" s="34"/>
      <c r="M47" s="34"/>
      <c r="N47" s="34"/>
      <c r="O47" s="34">
        <f t="shared" si="2"/>
        <v>0.21</v>
      </c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5"/>
      <c r="AC47" s="35"/>
      <c r="AD47" s="35"/>
      <c r="AE47" s="34"/>
      <c r="AF47" s="34"/>
      <c r="AG47" s="34"/>
      <c r="AH47" s="34"/>
      <c r="AI47" s="34"/>
      <c r="AJ47" s="34"/>
      <c r="AK47" s="34"/>
    </row>
    <row r="48" spans="1:37" s="68" customFormat="1" ht="15" x14ac:dyDescent="0.35">
      <c r="A48" s="30" t="s">
        <v>10</v>
      </c>
      <c r="B48" s="30" t="s">
        <v>21</v>
      </c>
      <c r="C48" t="s">
        <v>10</v>
      </c>
      <c r="D48" s="40">
        <f>SUMIFS(Table8[Variable cost],Table8[Process],"="&amp;Table73[[#This Row],[Column1]],Table8[[Output factor for costs ]],"="&amp;Table73[[#This Row],[Column3]])*Table73[[#This Row],[Column4]]</f>
        <v>240.79999999999995</v>
      </c>
      <c r="E48" s="40">
        <v>0</v>
      </c>
      <c r="F48" s="32">
        <f>PRODUCT(Table73[[#This Row],[1]:[25]])</f>
        <v>0.21</v>
      </c>
      <c r="G48" s="34"/>
      <c r="H48" s="34"/>
      <c r="I48" s="34"/>
      <c r="J48" s="34"/>
      <c r="K48" s="34"/>
      <c r="L48" s="34"/>
      <c r="M48" s="34"/>
      <c r="N48" s="34"/>
      <c r="O48" s="34">
        <f t="shared" si="2"/>
        <v>0.21</v>
      </c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5"/>
      <c r="AC48" s="35"/>
      <c r="AD48" s="35"/>
      <c r="AE48" s="34"/>
      <c r="AF48" s="34"/>
      <c r="AG48" s="34"/>
      <c r="AH48" s="34"/>
      <c r="AI48" s="34"/>
      <c r="AJ48" s="34"/>
      <c r="AK48" s="34"/>
    </row>
    <row r="49" spans="1:37" s="68" customFormat="1" ht="15" x14ac:dyDescent="0.35">
      <c r="A49" s="30" t="s">
        <v>10</v>
      </c>
      <c r="B49" s="30" t="s">
        <v>20</v>
      </c>
      <c r="C49" t="s">
        <v>10</v>
      </c>
      <c r="D49" s="40">
        <f>SUMIFS(Table8[Variable cost],Table8[Process],"="&amp;Table73[[#This Row],[Column1]],Table8[[Output factor for costs ]],"="&amp;Table73[[#This Row],[Column3]])*Table73[[#This Row],[Column4]]</f>
        <v>240.79999999999995</v>
      </c>
      <c r="E49" s="40">
        <v>0</v>
      </c>
      <c r="F49" s="32">
        <f>PRODUCT(Table73[[#This Row],[1]:[25]])</f>
        <v>0.21</v>
      </c>
      <c r="G49" s="34"/>
      <c r="H49" s="34"/>
      <c r="I49" s="34"/>
      <c r="J49" s="34"/>
      <c r="K49" s="34"/>
      <c r="L49" s="34"/>
      <c r="M49" s="34"/>
      <c r="N49" s="34"/>
      <c r="O49" s="34">
        <f t="shared" si="2"/>
        <v>0.21</v>
      </c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5"/>
      <c r="AC49" s="35"/>
      <c r="AD49" s="35"/>
      <c r="AE49" s="34"/>
      <c r="AF49" s="34"/>
      <c r="AG49" s="34"/>
      <c r="AH49" s="34"/>
      <c r="AI49" s="34"/>
      <c r="AJ49" s="34"/>
      <c r="AK49" s="34"/>
    </row>
    <row r="50" spans="1:37" s="68" customFormat="1" ht="15" x14ac:dyDescent="0.35">
      <c r="A50" s="30" t="s">
        <v>10</v>
      </c>
      <c r="B50" s="30" t="s">
        <v>22</v>
      </c>
      <c r="C50" t="s">
        <v>10</v>
      </c>
      <c r="D50" s="40">
        <f>SUMIFS(Table8[Variable cost],Table8[Process],"="&amp;Table73[[#This Row],[Column1]],Table8[[Output factor for costs ]],"="&amp;Table73[[#This Row],[Column3]])*Table73[[#This Row],[Column4]]</f>
        <v>240.79999999999995</v>
      </c>
      <c r="E50" s="40">
        <v>0</v>
      </c>
      <c r="F50" s="32">
        <f>PRODUCT(Table73[[#This Row],[1]:[25]])</f>
        <v>0.21</v>
      </c>
      <c r="G50" s="34"/>
      <c r="H50" s="34"/>
      <c r="I50" s="34"/>
      <c r="J50" s="34"/>
      <c r="K50" s="34"/>
      <c r="L50" s="34"/>
      <c r="M50" s="34"/>
      <c r="N50" s="34"/>
      <c r="O50" s="34">
        <f t="shared" si="2"/>
        <v>0.21</v>
      </c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5"/>
      <c r="AC50" s="35"/>
      <c r="AD50" s="35"/>
      <c r="AE50" s="34"/>
      <c r="AF50" s="34"/>
      <c r="AG50" s="34"/>
      <c r="AH50" s="34"/>
      <c r="AI50" s="34"/>
      <c r="AJ50" s="34"/>
      <c r="AK50" s="34"/>
    </row>
    <row r="51" spans="1:37" s="68" customFormat="1" ht="15" x14ac:dyDescent="0.35">
      <c r="A51" s="30" t="s">
        <v>10</v>
      </c>
      <c r="B51" s="30" t="s">
        <v>176</v>
      </c>
      <c r="C51" t="s">
        <v>10</v>
      </c>
      <c r="D51" s="40">
        <f>SUMIFS(Table8[Variable cost],Table8[Process],"="&amp;Table73[[#This Row],[Column1]],Table8[[Output factor for costs ]],"="&amp;Table73[[#This Row],[Column3]])*Table73[[#This Row],[Column4]]</f>
        <v>240.79999999999995</v>
      </c>
      <c r="E51" s="40">
        <v>0</v>
      </c>
      <c r="F51" s="32">
        <f>PRODUCT(Table73[[#This Row],[1]:[25]])</f>
        <v>0.21</v>
      </c>
      <c r="G51" s="34"/>
      <c r="H51" s="34"/>
      <c r="I51" s="34"/>
      <c r="J51" s="34"/>
      <c r="K51" s="34"/>
      <c r="L51" s="34"/>
      <c r="M51" s="34"/>
      <c r="N51" s="34"/>
      <c r="O51" s="34">
        <f t="shared" si="2"/>
        <v>0.21</v>
      </c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5"/>
      <c r="AC51" s="35"/>
      <c r="AD51" s="35"/>
      <c r="AE51" s="34"/>
      <c r="AF51" s="34"/>
      <c r="AG51" s="34"/>
      <c r="AH51" s="34"/>
      <c r="AI51" s="34"/>
      <c r="AJ51" s="34"/>
      <c r="AK51" s="34"/>
    </row>
    <row r="52" spans="1:37" s="68" customFormat="1" ht="15" x14ac:dyDescent="0.35">
      <c r="A52" s="30" t="s">
        <v>10</v>
      </c>
      <c r="B52" s="30" t="s">
        <v>206</v>
      </c>
      <c r="C52" t="s">
        <v>10</v>
      </c>
      <c r="D52" s="40">
        <f>SUMIFS(Table8[Variable cost],Table8[Process],"="&amp;Table73[[#This Row],[Column1]],Table8[[Output factor for costs ]],"="&amp;Table73[[#This Row],[Column3]])*Table73[[#This Row],[Column4]]</f>
        <v>240.79999999999995</v>
      </c>
      <c r="E52" s="40">
        <v>0</v>
      </c>
      <c r="F52" s="32">
        <f>PRODUCT(Table73[[#This Row],[1]:[25]])</f>
        <v>0.21</v>
      </c>
      <c r="G52" s="34"/>
      <c r="H52" s="34"/>
      <c r="I52" s="34"/>
      <c r="J52" s="34"/>
      <c r="K52" s="34"/>
      <c r="L52" s="34"/>
      <c r="M52" s="34"/>
      <c r="N52" s="34"/>
      <c r="O52" s="34">
        <f t="shared" si="2"/>
        <v>0.21</v>
      </c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5"/>
      <c r="AC52" s="35"/>
      <c r="AD52" s="35"/>
      <c r="AE52" s="34"/>
      <c r="AF52" s="34"/>
      <c r="AG52" s="34"/>
      <c r="AH52" s="34"/>
      <c r="AI52" s="34"/>
      <c r="AJ52" s="34"/>
      <c r="AK52" s="34"/>
    </row>
    <row r="53" spans="1:37" s="68" customFormat="1" ht="15" x14ac:dyDescent="0.35">
      <c r="A53" s="30" t="s">
        <v>10</v>
      </c>
      <c r="B53" s="30" t="s">
        <v>203</v>
      </c>
      <c r="C53" t="s">
        <v>10</v>
      </c>
      <c r="D53" s="40">
        <f>SUMIFS(Table8[Variable cost],Table8[Process],"="&amp;Table73[[#This Row],[Column1]],Table8[[Output factor for costs ]],"="&amp;Table73[[#This Row],[Column3]])*Table73[[#This Row],[Column4]]</f>
        <v>240.79999999999995</v>
      </c>
      <c r="E53" s="40">
        <v>0</v>
      </c>
      <c r="F53" s="32">
        <f>PRODUCT(Table73[[#This Row],[1]:[25]])</f>
        <v>0.21</v>
      </c>
      <c r="G53" s="34"/>
      <c r="H53" s="34"/>
      <c r="I53" s="34"/>
      <c r="J53" s="34"/>
      <c r="K53" s="34"/>
      <c r="L53" s="34"/>
      <c r="M53" s="34"/>
      <c r="N53" s="34"/>
      <c r="O53" s="34">
        <f t="shared" si="2"/>
        <v>0.21</v>
      </c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5"/>
      <c r="AC53" s="35"/>
      <c r="AD53" s="35"/>
      <c r="AE53" s="34"/>
      <c r="AF53" s="34"/>
      <c r="AG53" s="34"/>
      <c r="AH53" s="34"/>
      <c r="AI53" s="34"/>
      <c r="AJ53" s="34"/>
      <c r="AK53" s="34"/>
    </row>
    <row r="54" spans="1:37" s="68" customFormat="1" ht="15" x14ac:dyDescent="0.35">
      <c r="A54" s="30" t="s">
        <v>10</v>
      </c>
      <c r="B54" s="30" t="s">
        <v>5</v>
      </c>
      <c r="C54" t="s">
        <v>10</v>
      </c>
      <c r="D54" s="40">
        <f>SUMIFS(Table8[Variable cost],Table8[Process],"="&amp;Table73[[#This Row],[Column1]],Table8[[Output factor for costs ]],"="&amp;Table73[[#This Row],[Column3]])*Table73[[#This Row],[Column4]]</f>
        <v>240.79999999999995</v>
      </c>
      <c r="E54" s="40">
        <v>0</v>
      </c>
      <c r="F54" s="32">
        <f>PRODUCT(Table73[[#This Row],[1]:[25]])</f>
        <v>0.21</v>
      </c>
      <c r="G54" s="34"/>
      <c r="H54" s="34"/>
      <c r="I54" s="34"/>
      <c r="J54" s="34"/>
      <c r="K54" s="34"/>
      <c r="L54" s="34"/>
      <c r="M54" s="34"/>
      <c r="N54" s="34"/>
      <c r="O54" s="34">
        <f t="shared" si="2"/>
        <v>0.21</v>
      </c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5"/>
      <c r="AC54" s="35"/>
      <c r="AD54" s="35"/>
      <c r="AE54" s="34"/>
      <c r="AF54" s="34"/>
      <c r="AG54" s="34"/>
      <c r="AH54" s="34"/>
      <c r="AI54" s="34"/>
      <c r="AJ54" s="34"/>
      <c r="AK54" s="34"/>
    </row>
    <row r="55" spans="1:37" s="68" customFormat="1" ht="15" x14ac:dyDescent="0.35">
      <c r="A55" s="30" t="s">
        <v>10</v>
      </c>
      <c r="B55" s="30" t="s">
        <v>7</v>
      </c>
      <c r="C55" t="s">
        <v>10</v>
      </c>
      <c r="D55" s="40">
        <f>SUMIFS(Table8[Variable cost],Table8[Process],"="&amp;Table73[[#This Row],[Column1]],Table8[[Output factor for costs ]],"="&amp;Table73[[#This Row],[Column3]])*Table73[[#This Row],[Column4]]</f>
        <v>240.79999999999995</v>
      </c>
      <c r="E55" s="40">
        <v>0</v>
      </c>
      <c r="F55" s="32">
        <f>PRODUCT(Table73[[#This Row],[1]:[25]])</f>
        <v>0.21</v>
      </c>
      <c r="G55" s="34"/>
      <c r="H55" s="34"/>
      <c r="I55" s="34"/>
      <c r="J55" s="34"/>
      <c r="K55" s="34"/>
      <c r="L55" s="34"/>
      <c r="M55" s="34"/>
      <c r="N55" s="34"/>
      <c r="O55" s="34">
        <f t="shared" si="2"/>
        <v>0.21</v>
      </c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5"/>
      <c r="AC55" s="35"/>
      <c r="AD55" s="35"/>
      <c r="AE55" s="34"/>
      <c r="AF55" s="34"/>
      <c r="AG55" s="34"/>
      <c r="AH55" s="34"/>
      <c r="AI55" s="34"/>
      <c r="AJ55" s="34"/>
      <c r="AK55" s="34"/>
    </row>
    <row r="56" spans="1:37" s="68" customFormat="1" ht="15" x14ac:dyDescent="0.35">
      <c r="A56" t="s">
        <v>27</v>
      </c>
      <c r="B56" s="30" t="s">
        <v>19</v>
      </c>
      <c r="C56" s="30" t="s">
        <v>9</v>
      </c>
      <c r="D56" s="40">
        <f>SUMIFS(Table8[Variable cost],Table8[Process],"="&amp;Table73[[#This Row],[Column1]],Table8[[Output factor for costs ]],"="&amp;Table73[[#This Row],[Column3]])*Table73[[#This Row],[Column4]]</f>
        <v>0</v>
      </c>
      <c r="E56" s="40">
        <v>0</v>
      </c>
      <c r="F56" s="32">
        <f>PRODUCT(Table73[[#This Row],[1]:[25]])</f>
        <v>0.23666999999999999</v>
      </c>
      <c r="G56" s="34"/>
      <c r="H56" s="34"/>
      <c r="I56" s="34"/>
      <c r="J56" s="34"/>
      <c r="K56" s="34"/>
      <c r="L56" s="34"/>
      <c r="M56" s="34"/>
      <c r="N56" s="34"/>
      <c r="O56" s="34"/>
      <c r="P56" s="34">
        <f t="shared" ref="P56:Q75" si="3">P$3</f>
        <v>0.21</v>
      </c>
      <c r="Q56" s="34"/>
      <c r="R56" s="34"/>
      <c r="S56" s="34"/>
      <c r="T56" s="34"/>
      <c r="U56" s="34"/>
      <c r="V56" s="34"/>
      <c r="W56" s="34">
        <f t="shared" ref="W56:W64" si="4">W$3</f>
        <v>1.127</v>
      </c>
      <c r="X56" s="34"/>
      <c r="Y56" s="34"/>
      <c r="Z56" s="34"/>
      <c r="AA56" s="34"/>
      <c r="AB56" s="35"/>
      <c r="AC56" s="35"/>
      <c r="AD56" s="35"/>
      <c r="AE56" s="34"/>
      <c r="AF56" s="34"/>
      <c r="AG56" s="34"/>
      <c r="AH56" s="34"/>
      <c r="AI56" s="34"/>
      <c r="AJ56" s="34"/>
      <c r="AK56" s="34"/>
    </row>
    <row r="57" spans="1:37" s="68" customFormat="1" ht="15" x14ac:dyDescent="0.35">
      <c r="A57" t="s">
        <v>27</v>
      </c>
      <c r="B57" s="30" t="s">
        <v>21</v>
      </c>
      <c r="C57" s="30" t="s">
        <v>9</v>
      </c>
      <c r="D57" s="40">
        <f>SUMIFS(Table8[Variable cost],Table8[Process],"="&amp;Table73[[#This Row],[Column1]],Table8[[Output factor for costs ]],"="&amp;Table73[[#This Row],[Column3]])*Table73[[#This Row],[Column4]]</f>
        <v>0</v>
      </c>
      <c r="E57" s="40">
        <v>0</v>
      </c>
      <c r="F57" s="32">
        <f>PRODUCT(Table73[[#This Row],[1]:[25]])</f>
        <v>0.23666999999999999</v>
      </c>
      <c r="G57" s="34"/>
      <c r="H57" s="34"/>
      <c r="I57" s="34"/>
      <c r="J57" s="34"/>
      <c r="K57" s="34"/>
      <c r="L57" s="34"/>
      <c r="M57" s="34"/>
      <c r="N57" s="34"/>
      <c r="O57" s="34"/>
      <c r="P57" s="34">
        <f t="shared" si="3"/>
        <v>0.21</v>
      </c>
      <c r="Q57" s="34"/>
      <c r="R57" s="34"/>
      <c r="S57" s="34"/>
      <c r="T57" s="34"/>
      <c r="U57" s="34"/>
      <c r="V57" s="34"/>
      <c r="W57" s="34">
        <f t="shared" si="4"/>
        <v>1.127</v>
      </c>
      <c r="X57" s="34"/>
      <c r="Y57" s="34"/>
      <c r="Z57" s="34"/>
      <c r="AA57" s="34"/>
      <c r="AB57" s="35"/>
      <c r="AC57" s="35"/>
      <c r="AD57" s="35"/>
      <c r="AE57" s="34"/>
      <c r="AF57" s="34"/>
      <c r="AG57" s="34"/>
      <c r="AH57" s="34"/>
      <c r="AI57" s="34"/>
      <c r="AJ57" s="34"/>
      <c r="AK57" s="34"/>
    </row>
    <row r="58" spans="1:37" s="68" customFormat="1" ht="15" x14ac:dyDescent="0.35">
      <c r="A58" t="s">
        <v>27</v>
      </c>
      <c r="B58" s="30" t="s">
        <v>20</v>
      </c>
      <c r="C58" s="30" t="s">
        <v>9</v>
      </c>
      <c r="D58" s="40">
        <f>SUMIFS(Table8[Variable cost],Table8[Process],"="&amp;Table73[[#This Row],[Column1]],Table8[[Output factor for costs ]],"="&amp;Table73[[#This Row],[Column3]])*Table73[[#This Row],[Column4]]</f>
        <v>0</v>
      </c>
      <c r="E58" s="40">
        <v>0</v>
      </c>
      <c r="F58" s="32">
        <f>PRODUCT(Table73[[#This Row],[1]:[25]])</f>
        <v>0.23666999999999999</v>
      </c>
      <c r="G58" s="34"/>
      <c r="H58" s="34"/>
      <c r="I58" s="34"/>
      <c r="J58" s="34"/>
      <c r="K58" s="34"/>
      <c r="L58" s="34"/>
      <c r="M58" s="34"/>
      <c r="N58" s="34"/>
      <c r="O58" s="34"/>
      <c r="P58" s="34">
        <f t="shared" si="3"/>
        <v>0.21</v>
      </c>
      <c r="Q58" s="34"/>
      <c r="R58" s="34"/>
      <c r="S58" s="34"/>
      <c r="T58" s="34"/>
      <c r="U58" s="34"/>
      <c r="V58" s="34"/>
      <c r="W58" s="34">
        <f t="shared" si="4"/>
        <v>1.127</v>
      </c>
      <c r="X58" s="34"/>
      <c r="Y58" s="34"/>
      <c r="Z58" s="34"/>
      <c r="AA58" s="34"/>
      <c r="AB58" s="35"/>
      <c r="AC58" s="35"/>
      <c r="AD58" s="35"/>
      <c r="AE58" s="34"/>
      <c r="AF58" s="34"/>
      <c r="AG58" s="34"/>
      <c r="AH58" s="34"/>
      <c r="AI58" s="34"/>
      <c r="AJ58" s="34"/>
      <c r="AK58" s="34"/>
    </row>
    <row r="59" spans="1:37" s="68" customFormat="1" ht="15" x14ac:dyDescent="0.35">
      <c r="A59" t="s">
        <v>27</v>
      </c>
      <c r="B59" s="30" t="s">
        <v>22</v>
      </c>
      <c r="C59" s="30" t="s">
        <v>9</v>
      </c>
      <c r="D59" s="40">
        <f>SUMIFS(Table8[Variable cost],Table8[Process],"="&amp;Table73[[#This Row],[Column1]],Table8[[Output factor for costs ]],"="&amp;Table73[[#This Row],[Column3]])*Table73[[#This Row],[Column4]]</f>
        <v>0</v>
      </c>
      <c r="E59" s="40">
        <v>0</v>
      </c>
      <c r="F59" s="32">
        <f>PRODUCT(Table73[[#This Row],[1]:[25]])</f>
        <v>0.23666999999999999</v>
      </c>
      <c r="G59" s="34"/>
      <c r="H59" s="34"/>
      <c r="I59" s="34"/>
      <c r="J59" s="34"/>
      <c r="K59" s="34"/>
      <c r="L59" s="34"/>
      <c r="M59" s="34"/>
      <c r="N59" s="34"/>
      <c r="O59" s="34"/>
      <c r="P59" s="34">
        <f t="shared" si="3"/>
        <v>0.21</v>
      </c>
      <c r="Q59" s="34"/>
      <c r="R59" s="34"/>
      <c r="S59" s="34"/>
      <c r="T59" s="34"/>
      <c r="U59" s="34"/>
      <c r="V59" s="34"/>
      <c r="W59" s="34">
        <f t="shared" si="4"/>
        <v>1.127</v>
      </c>
      <c r="X59" s="34"/>
      <c r="Y59" s="34"/>
      <c r="Z59" s="34"/>
      <c r="AA59" s="34"/>
      <c r="AB59" s="35"/>
      <c r="AC59" s="35"/>
      <c r="AD59" s="35"/>
      <c r="AE59" s="34"/>
      <c r="AF59" s="34"/>
      <c r="AG59" s="34"/>
      <c r="AH59" s="34"/>
      <c r="AI59" s="34"/>
      <c r="AJ59" s="34"/>
      <c r="AK59" s="34"/>
    </row>
    <row r="60" spans="1:37" s="68" customFormat="1" ht="15" x14ac:dyDescent="0.35">
      <c r="A60" t="s">
        <v>27</v>
      </c>
      <c r="B60" s="30" t="s">
        <v>176</v>
      </c>
      <c r="C60" s="30" t="s">
        <v>9</v>
      </c>
      <c r="D60" s="40">
        <f>SUMIFS(Table8[Variable cost],Table8[Process],"="&amp;Table73[[#This Row],[Column1]],Table8[[Output factor for costs ]],"="&amp;Table73[[#This Row],[Column3]])*Table73[[#This Row],[Column4]]</f>
        <v>0</v>
      </c>
      <c r="E60" s="40">
        <v>0</v>
      </c>
      <c r="F60" s="32">
        <f>PRODUCT(Table73[[#This Row],[1]:[25]])</f>
        <v>0.23666999999999999</v>
      </c>
      <c r="G60" s="34"/>
      <c r="H60" s="34"/>
      <c r="I60" s="34"/>
      <c r="J60" s="34"/>
      <c r="K60" s="34"/>
      <c r="L60" s="34"/>
      <c r="M60" s="34"/>
      <c r="N60" s="34"/>
      <c r="O60" s="34"/>
      <c r="P60" s="34">
        <f t="shared" si="3"/>
        <v>0.21</v>
      </c>
      <c r="Q60" s="34"/>
      <c r="R60" s="34"/>
      <c r="S60" s="34"/>
      <c r="T60" s="34"/>
      <c r="U60" s="34"/>
      <c r="V60" s="34"/>
      <c r="W60" s="34">
        <f t="shared" si="4"/>
        <v>1.127</v>
      </c>
      <c r="X60" s="34"/>
      <c r="Y60" s="34"/>
      <c r="Z60" s="34"/>
      <c r="AA60" s="34"/>
      <c r="AB60" s="35"/>
      <c r="AC60" s="35"/>
      <c r="AD60" s="35"/>
      <c r="AE60" s="34"/>
      <c r="AF60" s="34"/>
      <c r="AG60" s="34"/>
      <c r="AH60" s="34"/>
      <c r="AI60" s="34"/>
      <c r="AJ60" s="34"/>
      <c r="AK60" s="34"/>
    </row>
    <row r="61" spans="1:37" s="68" customFormat="1" ht="15" x14ac:dyDescent="0.35">
      <c r="A61" t="s">
        <v>27</v>
      </c>
      <c r="B61" s="30" t="s">
        <v>206</v>
      </c>
      <c r="C61" s="30" t="s">
        <v>9</v>
      </c>
      <c r="D61" s="40">
        <f>SUMIFS(Table8[Variable cost],Table8[Process],"="&amp;Table73[[#This Row],[Column1]],Table8[[Output factor for costs ]],"="&amp;Table73[[#This Row],[Column3]])*Table73[[#This Row],[Column4]]</f>
        <v>0</v>
      </c>
      <c r="E61" s="40">
        <v>0</v>
      </c>
      <c r="F61" s="32">
        <f>PRODUCT(Table73[[#This Row],[1]:[25]])</f>
        <v>0.23666999999999999</v>
      </c>
      <c r="G61" s="34"/>
      <c r="H61" s="34"/>
      <c r="I61" s="34"/>
      <c r="J61" s="34"/>
      <c r="K61" s="34"/>
      <c r="L61" s="34"/>
      <c r="M61" s="34"/>
      <c r="N61" s="34"/>
      <c r="O61" s="34"/>
      <c r="P61" s="34">
        <f t="shared" si="3"/>
        <v>0.21</v>
      </c>
      <c r="Q61" s="34"/>
      <c r="R61" s="34"/>
      <c r="S61" s="34"/>
      <c r="T61" s="34"/>
      <c r="U61" s="34"/>
      <c r="V61" s="34"/>
      <c r="W61" s="34">
        <f t="shared" si="4"/>
        <v>1.127</v>
      </c>
      <c r="X61" s="34"/>
      <c r="Y61" s="34"/>
      <c r="Z61" s="34"/>
      <c r="AA61" s="34"/>
      <c r="AB61" s="35"/>
      <c r="AC61" s="35"/>
      <c r="AD61" s="35"/>
      <c r="AE61" s="34"/>
      <c r="AF61" s="34"/>
      <c r="AG61" s="34"/>
      <c r="AH61" s="34"/>
      <c r="AI61" s="34"/>
      <c r="AJ61" s="34"/>
      <c r="AK61" s="34"/>
    </row>
    <row r="62" spans="1:37" s="68" customFormat="1" ht="15" x14ac:dyDescent="0.35">
      <c r="A62" t="s">
        <v>27</v>
      </c>
      <c r="B62" s="30" t="s">
        <v>203</v>
      </c>
      <c r="C62" s="30" t="s">
        <v>9</v>
      </c>
      <c r="D62" s="40">
        <f>SUMIFS(Table8[Variable cost],Table8[Process],"="&amp;Table73[[#This Row],[Column1]],Table8[[Output factor for costs ]],"="&amp;Table73[[#This Row],[Column3]])*Table73[[#This Row],[Column4]]</f>
        <v>0</v>
      </c>
      <c r="E62" s="40">
        <v>0</v>
      </c>
      <c r="F62" s="32">
        <f>PRODUCT(Table73[[#This Row],[1]:[25]])</f>
        <v>0.23666999999999999</v>
      </c>
      <c r="G62" s="34"/>
      <c r="H62" s="34"/>
      <c r="I62" s="34"/>
      <c r="J62" s="34"/>
      <c r="K62" s="34"/>
      <c r="L62" s="34"/>
      <c r="M62" s="34"/>
      <c r="N62" s="34"/>
      <c r="O62" s="34"/>
      <c r="P62" s="34">
        <f t="shared" si="3"/>
        <v>0.21</v>
      </c>
      <c r="Q62" s="34"/>
      <c r="R62" s="34"/>
      <c r="S62" s="34"/>
      <c r="T62" s="34"/>
      <c r="U62" s="34"/>
      <c r="V62" s="34"/>
      <c r="W62" s="34">
        <f t="shared" si="4"/>
        <v>1.127</v>
      </c>
      <c r="X62" s="34"/>
      <c r="Y62" s="34"/>
      <c r="Z62" s="34"/>
      <c r="AA62" s="34"/>
      <c r="AB62" s="35"/>
      <c r="AC62" s="35"/>
      <c r="AD62" s="35"/>
      <c r="AE62" s="34"/>
      <c r="AF62" s="34"/>
      <c r="AG62" s="34"/>
      <c r="AH62" s="34"/>
      <c r="AI62" s="34"/>
      <c r="AJ62" s="34"/>
      <c r="AK62" s="34"/>
    </row>
    <row r="63" spans="1:37" s="68" customFormat="1" ht="15" x14ac:dyDescent="0.35">
      <c r="A63" t="s">
        <v>27</v>
      </c>
      <c r="B63" s="30" t="s">
        <v>5</v>
      </c>
      <c r="C63" s="30" t="s">
        <v>9</v>
      </c>
      <c r="D63" s="40">
        <f>SUMIFS(Table8[Variable cost],Table8[Process],"="&amp;Table73[[#This Row],[Column1]],Table8[[Output factor for costs ]],"="&amp;Table73[[#This Row],[Column3]])*Table73[[#This Row],[Column4]]</f>
        <v>0</v>
      </c>
      <c r="E63" s="40">
        <v>0</v>
      </c>
      <c r="F63" s="32">
        <f>PRODUCT(Table73[[#This Row],[1]:[25]])</f>
        <v>0.23666999999999999</v>
      </c>
      <c r="G63" s="34"/>
      <c r="H63" s="34"/>
      <c r="I63" s="34"/>
      <c r="J63" s="34"/>
      <c r="K63" s="34"/>
      <c r="L63" s="34"/>
      <c r="M63" s="34"/>
      <c r="N63" s="34"/>
      <c r="O63" s="34"/>
      <c r="P63" s="34">
        <f t="shared" si="3"/>
        <v>0.21</v>
      </c>
      <c r="Q63" s="34"/>
      <c r="R63" s="34"/>
      <c r="S63" s="34"/>
      <c r="T63" s="34"/>
      <c r="U63" s="34"/>
      <c r="V63" s="34"/>
      <c r="W63" s="34">
        <f t="shared" si="4"/>
        <v>1.127</v>
      </c>
      <c r="X63" s="34"/>
      <c r="Y63" s="34"/>
      <c r="Z63" s="34"/>
      <c r="AA63" s="34"/>
      <c r="AB63" s="35"/>
      <c r="AC63" s="35"/>
      <c r="AD63" s="35"/>
      <c r="AE63" s="34"/>
      <c r="AF63" s="34"/>
      <c r="AG63" s="34"/>
      <c r="AH63" s="34"/>
      <c r="AI63" s="34"/>
      <c r="AJ63" s="34"/>
      <c r="AK63" s="34"/>
    </row>
    <row r="64" spans="1:37" s="68" customFormat="1" ht="15" x14ac:dyDescent="0.35">
      <c r="A64" t="s">
        <v>27</v>
      </c>
      <c r="B64" s="30" t="s">
        <v>7</v>
      </c>
      <c r="C64" s="30" t="s">
        <v>9</v>
      </c>
      <c r="D64" s="40">
        <f>SUMIFS(Table8[Variable cost],Table8[Process],"="&amp;Table73[[#This Row],[Column1]],Table8[[Output factor for costs ]],"="&amp;Table73[[#This Row],[Column3]])*Table73[[#This Row],[Column4]]</f>
        <v>0</v>
      </c>
      <c r="E64" s="40">
        <v>0</v>
      </c>
      <c r="F64" s="32">
        <f>PRODUCT(Table73[[#This Row],[1]:[25]])</f>
        <v>0.23666999999999999</v>
      </c>
      <c r="G64" s="34"/>
      <c r="H64" s="34"/>
      <c r="I64" s="34"/>
      <c r="J64" s="34"/>
      <c r="K64" s="34"/>
      <c r="L64" s="34"/>
      <c r="M64" s="34"/>
      <c r="N64" s="34"/>
      <c r="O64" s="34"/>
      <c r="P64" s="34">
        <f t="shared" si="3"/>
        <v>0.21</v>
      </c>
      <c r="Q64" s="34"/>
      <c r="R64" s="34"/>
      <c r="S64" s="34"/>
      <c r="T64" s="34"/>
      <c r="U64" s="34"/>
      <c r="V64" s="34"/>
      <c r="W64" s="34">
        <f t="shared" si="4"/>
        <v>1.127</v>
      </c>
      <c r="X64" s="34"/>
      <c r="Y64" s="34"/>
      <c r="Z64" s="34"/>
      <c r="AA64" s="34"/>
      <c r="AB64" s="35"/>
      <c r="AC64" s="35"/>
      <c r="AD64" s="35"/>
      <c r="AE64" s="34"/>
      <c r="AF64" s="34"/>
      <c r="AG64" s="34"/>
      <c r="AH64" s="34"/>
      <c r="AI64" s="34"/>
      <c r="AJ64" s="34"/>
      <c r="AK64" s="34"/>
    </row>
    <row r="65" spans="1:37" s="68" customFormat="1" ht="14.45" x14ac:dyDescent="0.35">
      <c r="A65" s="30" t="s">
        <v>10</v>
      </c>
      <c r="B65" s="30" t="s">
        <v>19</v>
      </c>
      <c r="C65" s="30" t="s">
        <v>9</v>
      </c>
      <c r="D65" s="40">
        <f>SUMIFS(Table8[Variable cost],Table8[Process],"="&amp;Table73[[#This Row],[Column1]],Table8[[Output factor for costs ]],"="&amp;Table73[[#This Row],[Column3]])*Table73[[#This Row],[Column4]]</f>
        <v>0</v>
      </c>
      <c r="E65" s="40">
        <v>0</v>
      </c>
      <c r="F65" s="32">
        <f>PRODUCT(Table73[[#This Row],[1]:[25]])</f>
        <v>-0.14584931506849313</v>
      </c>
      <c r="G65" s="34"/>
      <c r="H65" s="34"/>
      <c r="I65" s="34"/>
      <c r="J65" s="34"/>
      <c r="K65" s="34"/>
      <c r="L65" s="34"/>
      <c r="M65" s="34"/>
      <c r="N65" s="34"/>
      <c r="O65" s="34"/>
      <c r="P65" s="34">
        <f t="shared" si="3"/>
        <v>0.21</v>
      </c>
      <c r="Q65" s="34"/>
      <c r="R65" s="34"/>
      <c r="S65" s="34"/>
      <c r="T65" s="34"/>
      <c r="U65" s="34"/>
      <c r="V65" s="34"/>
      <c r="W65" s="34"/>
      <c r="X65" s="34"/>
      <c r="Y65" s="34"/>
      <c r="Z65" s="34">
        <f t="shared" ref="Z65:Z73" si="5">Z$3</f>
        <v>-0.69452054794520546</v>
      </c>
      <c r="AA65" s="34"/>
      <c r="AB65" s="35"/>
      <c r="AC65" s="35"/>
      <c r="AD65" s="35"/>
      <c r="AE65" s="34"/>
      <c r="AF65" s="34"/>
      <c r="AG65" s="34"/>
      <c r="AH65" s="34"/>
      <c r="AI65" s="34"/>
      <c r="AJ65" s="34"/>
      <c r="AK65" s="34"/>
    </row>
    <row r="66" spans="1:37" s="68" customFormat="1" ht="14.45" x14ac:dyDescent="0.35">
      <c r="A66" s="30" t="s">
        <v>10</v>
      </c>
      <c r="B66" s="30" t="s">
        <v>21</v>
      </c>
      <c r="C66" s="30" t="s">
        <v>9</v>
      </c>
      <c r="D66" s="40">
        <f>SUMIFS(Table8[Variable cost],Table8[Process],"="&amp;Table73[[#This Row],[Column1]],Table8[[Output factor for costs ]],"="&amp;Table73[[#This Row],[Column3]])*Table73[[#This Row],[Column4]]</f>
        <v>0</v>
      </c>
      <c r="E66" s="40">
        <v>0</v>
      </c>
      <c r="F66" s="32">
        <f>PRODUCT(Table73[[#This Row],[1]:[25]])</f>
        <v>-0.14584931506849313</v>
      </c>
      <c r="G66" s="34"/>
      <c r="H66" s="34"/>
      <c r="I66" s="34"/>
      <c r="J66" s="34"/>
      <c r="K66" s="34"/>
      <c r="L66" s="34"/>
      <c r="M66" s="34"/>
      <c r="N66" s="34"/>
      <c r="O66" s="34"/>
      <c r="P66" s="34">
        <f t="shared" si="3"/>
        <v>0.21</v>
      </c>
      <c r="Q66" s="34"/>
      <c r="R66" s="34"/>
      <c r="S66" s="34"/>
      <c r="T66" s="34"/>
      <c r="U66" s="34"/>
      <c r="V66" s="34"/>
      <c r="W66" s="34"/>
      <c r="X66" s="34"/>
      <c r="Y66" s="34"/>
      <c r="Z66" s="34">
        <f t="shared" si="5"/>
        <v>-0.69452054794520546</v>
      </c>
      <c r="AA66" s="34"/>
      <c r="AB66" s="35"/>
      <c r="AC66" s="35"/>
      <c r="AD66" s="35"/>
      <c r="AE66" s="34"/>
      <c r="AF66" s="34"/>
      <c r="AG66" s="34"/>
      <c r="AH66" s="34"/>
      <c r="AI66" s="34"/>
      <c r="AJ66" s="34"/>
      <c r="AK66" s="34"/>
    </row>
    <row r="67" spans="1:37" s="68" customFormat="1" ht="14.45" x14ac:dyDescent="0.35">
      <c r="A67" s="30" t="s">
        <v>10</v>
      </c>
      <c r="B67" s="30" t="s">
        <v>20</v>
      </c>
      <c r="C67" s="30" t="s">
        <v>9</v>
      </c>
      <c r="D67" s="40">
        <f>SUMIFS(Table8[Variable cost],Table8[Process],"="&amp;Table73[[#This Row],[Column1]],Table8[[Output factor for costs ]],"="&amp;Table73[[#This Row],[Column3]])*Table73[[#This Row],[Column4]]</f>
        <v>0</v>
      </c>
      <c r="E67" s="40">
        <v>0</v>
      </c>
      <c r="F67" s="32">
        <f>PRODUCT(Table73[[#This Row],[1]:[25]])</f>
        <v>-0.14584931506849313</v>
      </c>
      <c r="G67" s="34"/>
      <c r="H67" s="34"/>
      <c r="I67" s="34"/>
      <c r="J67" s="34"/>
      <c r="K67" s="34"/>
      <c r="L67" s="34"/>
      <c r="M67" s="34"/>
      <c r="N67" s="34"/>
      <c r="O67" s="34"/>
      <c r="P67" s="34">
        <f t="shared" si="3"/>
        <v>0.21</v>
      </c>
      <c r="Q67" s="34"/>
      <c r="R67" s="34"/>
      <c r="S67" s="34"/>
      <c r="T67" s="34"/>
      <c r="U67" s="34"/>
      <c r="V67" s="34"/>
      <c r="W67" s="34"/>
      <c r="X67" s="34"/>
      <c r="Y67" s="34"/>
      <c r="Z67" s="34">
        <f t="shared" si="5"/>
        <v>-0.69452054794520546</v>
      </c>
      <c r="AA67" s="34"/>
      <c r="AB67" s="35"/>
      <c r="AC67" s="35"/>
      <c r="AD67" s="35"/>
      <c r="AE67" s="34"/>
      <c r="AF67" s="34"/>
      <c r="AG67" s="34"/>
      <c r="AH67" s="34"/>
      <c r="AI67" s="34"/>
      <c r="AJ67" s="34"/>
      <c r="AK67" s="34"/>
    </row>
    <row r="68" spans="1:37" s="68" customFormat="1" ht="14.45" x14ac:dyDescent="0.35">
      <c r="A68" s="30" t="s">
        <v>10</v>
      </c>
      <c r="B68" s="30" t="s">
        <v>22</v>
      </c>
      <c r="C68" s="30" t="s">
        <v>9</v>
      </c>
      <c r="D68" s="40">
        <f>SUMIFS(Table8[Variable cost],Table8[Process],"="&amp;Table73[[#This Row],[Column1]],Table8[[Output factor for costs ]],"="&amp;Table73[[#This Row],[Column3]])*Table73[[#This Row],[Column4]]</f>
        <v>0</v>
      </c>
      <c r="E68" s="40">
        <v>0</v>
      </c>
      <c r="F68" s="32">
        <f>PRODUCT(Table73[[#This Row],[1]:[25]])</f>
        <v>-0.14584931506849313</v>
      </c>
      <c r="G68" s="34"/>
      <c r="H68" s="34"/>
      <c r="I68" s="34"/>
      <c r="J68" s="34"/>
      <c r="K68" s="34"/>
      <c r="L68" s="34"/>
      <c r="M68" s="34"/>
      <c r="N68" s="34"/>
      <c r="O68" s="34"/>
      <c r="P68" s="34">
        <f t="shared" si="3"/>
        <v>0.21</v>
      </c>
      <c r="Q68" s="34"/>
      <c r="R68" s="34"/>
      <c r="S68" s="34"/>
      <c r="T68" s="34"/>
      <c r="U68" s="34"/>
      <c r="V68" s="34"/>
      <c r="W68" s="34"/>
      <c r="X68" s="34"/>
      <c r="Y68" s="34"/>
      <c r="Z68" s="34">
        <f t="shared" si="5"/>
        <v>-0.69452054794520546</v>
      </c>
      <c r="AA68" s="34"/>
      <c r="AB68" s="35"/>
      <c r="AC68" s="35"/>
      <c r="AD68" s="35"/>
      <c r="AE68" s="34"/>
      <c r="AF68" s="34"/>
      <c r="AG68" s="34"/>
      <c r="AH68" s="34"/>
      <c r="AI68" s="34"/>
      <c r="AJ68" s="34"/>
      <c r="AK68" s="34"/>
    </row>
    <row r="69" spans="1:37" s="68" customFormat="1" ht="14.45" x14ac:dyDescent="0.35">
      <c r="A69" s="30" t="s">
        <v>10</v>
      </c>
      <c r="B69" s="30" t="s">
        <v>176</v>
      </c>
      <c r="C69" s="30" t="s">
        <v>9</v>
      </c>
      <c r="D69" s="40">
        <f>SUMIFS(Table8[Variable cost],Table8[Process],"="&amp;Table73[[#This Row],[Column1]],Table8[[Output factor for costs ]],"="&amp;Table73[[#This Row],[Column3]])*Table73[[#This Row],[Column4]]</f>
        <v>0</v>
      </c>
      <c r="E69" s="40">
        <v>0</v>
      </c>
      <c r="F69" s="32">
        <f>PRODUCT(Table73[[#This Row],[1]:[25]])</f>
        <v>-0.14584931506849313</v>
      </c>
      <c r="G69" s="34"/>
      <c r="H69" s="34"/>
      <c r="I69" s="34"/>
      <c r="J69" s="34"/>
      <c r="K69" s="34"/>
      <c r="L69" s="34"/>
      <c r="M69" s="34"/>
      <c r="N69" s="34"/>
      <c r="O69" s="34"/>
      <c r="P69" s="34">
        <f t="shared" si="3"/>
        <v>0.21</v>
      </c>
      <c r="Q69" s="34"/>
      <c r="R69" s="34"/>
      <c r="S69" s="34"/>
      <c r="T69" s="34"/>
      <c r="U69" s="34"/>
      <c r="V69" s="34"/>
      <c r="W69" s="34"/>
      <c r="X69" s="34"/>
      <c r="Y69" s="34"/>
      <c r="Z69" s="34">
        <f t="shared" si="5"/>
        <v>-0.69452054794520546</v>
      </c>
      <c r="AA69" s="34"/>
      <c r="AB69" s="35"/>
      <c r="AC69" s="35"/>
      <c r="AD69" s="35"/>
      <c r="AE69" s="34"/>
      <c r="AF69" s="34"/>
      <c r="AG69" s="34"/>
      <c r="AH69" s="34"/>
      <c r="AI69" s="34"/>
      <c r="AJ69" s="34"/>
      <c r="AK69" s="34"/>
    </row>
    <row r="70" spans="1:37" s="68" customFormat="1" ht="14.45" x14ac:dyDescent="0.35">
      <c r="A70" s="30" t="s">
        <v>10</v>
      </c>
      <c r="B70" s="30" t="s">
        <v>206</v>
      </c>
      <c r="C70" s="30" t="s">
        <v>9</v>
      </c>
      <c r="D70" s="40">
        <f>SUMIFS(Table8[Variable cost],Table8[Process],"="&amp;Table73[[#This Row],[Column1]],Table8[[Output factor for costs ]],"="&amp;Table73[[#This Row],[Column3]])*Table73[[#This Row],[Column4]]</f>
        <v>0</v>
      </c>
      <c r="E70" s="40">
        <v>0</v>
      </c>
      <c r="F70" s="32">
        <f>PRODUCT(Table73[[#This Row],[1]:[25]])</f>
        <v>-0.14584931506849313</v>
      </c>
      <c r="G70" s="34"/>
      <c r="H70" s="34"/>
      <c r="I70" s="34"/>
      <c r="J70" s="34"/>
      <c r="K70" s="34"/>
      <c r="L70" s="34"/>
      <c r="M70" s="34"/>
      <c r="N70" s="34"/>
      <c r="O70" s="34"/>
      <c r="P70" s="34">
        <f t="shared" si="3"/>
        <v>0.21</v>
      </c>
      <c r="Q70" s="34"/>
      <c r="R70" s="34"/>
      <c r="S70" s="34"/>
      <c r="T70" s="34"/>
      <c r="U70" s="34"/>
      <c r="V70" s="34"/>
      <c r="W70" s="34"/>
      <c r="X70" s="34"/>
      <c r="Y70" s="34"/>
      <c r="Z70" s="34">
        <f t="shared" si="5"/>
        <v>-0.69452054794520546</v>
      </c>
      <c r="AA70" s="34"/>
      <c r="AB70" s="35"/>
      <c r="AC70" s="35"/>
      <c r="AD70" s="35"/>
      <c r="AE70" s="34"/>
      <c r="AF70" s="34"/>
      <c r="AG70" s="34"/>
      <c r="AH70" s="34"/>
      <c r="AI70" s="34"/>
      <c r="AJ70" s="34"/>
      <c r="AK70" s="34"/>
    </row>
    <row r="71" spans="1:37" s="68" customFormat="1" ht="14.45" x14ac:dyDescent="0.35">
      <c r="A71" s="30" t="s">
        <v>10</v>
      </c>
      <c r="B71" s="30" t="s">
        <v>203</v>
      </c>
      <c r="C71" s="30" t="s">
        <v>9</v>
      </c>
      <c r="D71" s="40">
        <f>SUMIFS(Table8[Variable cost],Table8[Process],"="&amp;Table73[[#This Row],[Column1]],Table8[[Output factor for costs ]],"="&amp;Table73[[#This Row],[Column3]])*Table73[[#This Row],[Column4]]</f>
        <v>0</v>
      </c>
      <c r="E71" s="40">
        <v>0</v>
      </c>
      <c r="F71" s="32">
        <f>PRODUCT(Table73[[#This Row],[1]:[25]])</f>
        <v>-0.14584931506849313</v>
      </c>
      <c r="G71" s="34"/>
      <c r="H71" s="34"/>
      <c r="I71" s="34"/>
      <c r="J71" s="34"/>
      <c r="K71" s="34"/>
      <c r="L71" s="34"/>
      <c r="M71" s="34"/>
      <c r="N71" s="34"/>
      <c r="O71" s="34"/>
      <c r="P71" s="34">
        <f t="shared" si="3"/>
        <v>0.21</v>
      </c>
      <c r="Q71" s="34"/>
      <c r="R71" s="34"/>
      <c r="S71" s="34"/>
      <c r="T71" s="34"/>
      <c r="U71" s="34"/>
      <c r="V71" s="34"/>
      <c r="W71" s="34"/>
      <c r="X71" s="34"/>
      <c r="Y71" s="34"/>
      <c r="Z71" s="34">
        <f t="shared" si="5"/>
        <v>-0.69452054794520546</v>
      </c>
      <c r="AA71" s="34"/>
      <c r="AB71" s="35"/>
      <c r="AC71" s="35"/>
      <c r="AD71" s="35"/>
      <c r="AE71" s="34"/>
      <c r="AF71" s="34"/>
      <c r="AG71" s="34"/>
      <c r="AH71" s="34"/>
      <c r="AI71" s="34"/>
      <c r="AJ71" s="34"/>
      <c r="AK71" s="34"/>
    </row>
    <row r="72" spans="1:37" s="68" customFormat="1" ht="14.45" x14ac:dyDescent="0.35">
      <c r="A72" s="30" t="s">
        <v>10</v>
      </c>
      <c r="B72" s="30" t="s">
        <v>5</v>
      </c>
      <c r="C72" s="30" t="s">
        <v>9</v>
      </c>
      <c r="D72" s="40">
        <f>SUMIFS(Table8[Variable cost],Table8[Process],"="&amp;Table73[[#This Row],[Column1]],Table8[[Output factor for costs ]],"="&amp;Table73[[#This Row],[Column3]])*Table73[[#This Row],[Column4]]</f>
        <v>0</v>
      </c>
      <c r="E72" s="40">
        <v>0</v>
      </c>
      <c r="F72" s="32">
        <f>PRODUCT(Table73[[#This Row],[1]:[25]])</f>
        <v>-0.14584931506849313</v>
      </c>
      <c r="G72" s="34"/>
      <c r="H72" s="34"/>
      <c r="I72" s="34"/>
      <c r="J72" s="34"/>
      <c r="K72" s="34"/>
      <c r="L72" s="34"/>
      <c r="M72" s="34"/>
      <c r="N72" s="34"/>
      <c r="O72" s="34"/>
      <c r="P72" s="34">
        <f t="shared" si="3"/>
        <v>0.21</v>
      </c>
      <c r="Q72" s="34"/>
      <c r="R72" s="34"/>
      <c r="S72" s="34"/>
      <c r="T72" s="34"/>
      <c r="U72" s="34"/>
      <c r="V72" s="34"/>
      <c r="W72" s="34"/>
      <c r="X72" s="34"/>
      <c r="Y72" s="34"/>
      <c r="Z72" s="34">
        <f t="shared" si="5"/>
        <v>-0.69452054794520546</v>
      </c>
      <c r="AA72" s="34"/>
      <c r="AB72" s="35"/>
      <c r="AC72" s="35"/>
      <c r="AD72" s="35"/>
      <c r="AE72" s="34"/>
      <c r="AF72" s="34"/>
      <c r="AG72" s="34"/>
      <c r="AH72" s="34"/>
      <c r="AI72" s="34"/>
      <c r="AJ72" s="34"/>
      <c r="AK72" s="34"/>
    </row>
    <row r="73" spans="1:37" s="68" customFormat="1" ht="14.45" x14ac:dyDescent="0.35">
      <c r="A73" s="30" t="s">
        <v>10</v>
      </c>
      <c r="B73" s="30" t="s">
        <v>7</v>
      </c>
      <c r="C73" s="30" t="s">
        <v>9</v>
      </c>
      <c r="D73" s="40">
        <f>SUMIFS(Table8[Variable cost],Table8[Process],"="&amp;Table73[[#This Row],[Column1]],Table8[[Output factor for costs ]],"="&amp;Table73[[#This Row],[Column3]])*Table73[[#This Row],[Column4]]</f>
        <v>0</v>
      </c>
      <c r="E73" s="40">
        <v>0</v>
      </c>
      <c r="F73" s="32">
        <f>PRODUCT(Table73[[#This Row],[1]:[25]])</f>
        <v>-0.14584931506849313</v>
      </c>
      <c r="G73" s="34"/>
      <c r="H73" s="34"/>
      <c r="I73" s="34"/>
      <c r="J73" s="34"/>
      <c r="K73" s="34"/>
      <c r="L73" s="34"/>
      <c r="M73" s="34"/>
      <c r="N73" s="34"/>
      <c r="O73" s="34"/>
      <c r="P73" s="34">
        <f t="shared" si="3"/>
        <v>0.21</v>
      </c>
      <c r="Q73" s="34"/>
      <c r="R73" s="34"/>
      <c r="S73" s="34"/>
      <c r="T73" s="34"/>
      <c r="U73" s="34"/>
      <c r="V73" s="34"/>
      <c r="W73" s="34"/>
      <c r="X73" s="34"/>
      <c r="Y73" s="34"/>
      <c r="Z73" s="34">
        <f t="shared" si="5"/>
        <v>-0.69452054794520546</v>
      </c>
      <c r="AA73" s="34"/>
      <c r="AB73" s="35"/>
      <c r="AC73" s="35"/>
      <c r="AD73" s="35"/>
      <c r="AE73" s="34"/>
      <c r="AF73" s="34"/>
      <c r="AG73" s="34"/>
      <c r="AH73" s="34"/>
      <c r="AI73" s="34"/>
      <c r="AJ73" s="34"/>
      <c r="AK73" s="34"/>
    </row>
    <row r="74" spans="1:37" s="68" customFormat="1" ht="14.45" x14ac:dyDescent="0.35">
      <c r="A74" s="30" t="s">
        <v>43</v>
      </c>
      <c r="B74" s="30" t="s">
        <v>21</v>
      </c>
      <c r="C74" s="30" t="s">
        <v>26</v>
      </c>
      <c r="D74" s="40">
        <f>SUMIFS(Table8[Variable cost],Table8[Process],"="&amp;Table73[[#This Row],[Column1]],Table8[[Output factor for costs ]],"="&amp;Table73[[#This Row],[Column3]])*Table73[[#This Row],[Column4]]</f>
        <v>642.13333333333321</v>
      </c>
      <c r="E74" s="40">
        <v>0</v>
      </c>
      <c r="F74" s="32">
        <f>PRODUCT(Table73[[#This Row],[1]:[25]])</f>
        <v>0.42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>
        <f t="shared" si="3"/>
        <v>0.42</v>
      </c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5"/>
      <c r="AC74" s="35"/>
      <c r="AD74" s="35"/>
      <c r="AE74" s="34"/>
      <c r="AF74" s="34"/>
      <c r="AG74" s="34"/>
      <c r="AH74" s="34"/>
      <c r="AI74" s="34"/>
      <c r="AJ74" s="34"/>
      <c r="AK74" s="34"/>
    </row>
    <row r="75" spans="1:37" s="68" customFormat="1" ht="14.45" x14ac:dyDescent="0.35">
      <c r="A75" s="30" t="s">
        <v>43</v>
      </c>
      <c r="B75" s="30" t="s">
        <v>22</v>
      </c>
      <c r="C75" s="30" t="s">
        <v>26</v>
      </c>
      <c r="D75" s="40">
        <f>SUMIFS(Table8[Variable cost],Table8[Process],"="&amp;Table73[[#This Row],[Column1]],Table8[[Output factor for costs ]],"="&amp;Table73[[#This Row],[Column3]])*Table73[[#This Row],[Column4]]</f>
        <v>642.13333333333321</v>
      </c>
      <c r="E75" s="40">
        <v>0</v>
      </c>
      <c r="F75" s="32">
        <f>PRODUCT(Table73[[#This Row],[1]:[25]])</f>
        <v>0.42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>
        <f t="shared" si="3"/>
        <v>0.42</v>
      </c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5"/>
      <c r="AC75" s="35"/>
      <c r="AD75" s="35"/>
      <c r="AE75" s="34"/>
      <c r="AF75" s="34"/>
      <c r="AG75" s="34"/>
      <c r="AH75" s="34"/>
      <c r="AI75" s="34"/>
      <c r="AJ75" s="34"/>
      <c r="AK75" s="34"/>
    </row>
    <row r="76" spans="1:37" s="68" customFormat="1" ht="14.45" x14ac:dyDescent="0.35">
      <c r="A76" s="30" t="s">
        <v>43</v>
      </c>
      <c r="B76" s="30" t="s">
        <v>21</v>
      </c>
      <c r="C76" s="30" t="s">
        <v>9</v>
      </c>
      <c r="D76" s="40">
        <f>SUMIFS(Table8[Variable cost],Table8[Process],"="&amp;Table73[[#This Row],[Column1]],Table8[[Output factor for costs ]],"="&amp;Table73[[#This Row],[Column3]])*Table73[[#This Row],[Column4]]</f>
        <v>0</v>
      </c>
      <c r="E76" s="40">
        <v>0</v>
      </c>
      <c r="F76" s="32">
        <f>PRODUCT(Table73[[#This Row],[1]:[25]])</f>
        <v>-1.0535000000000001</v>
      </c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>
        <f>R$3</f>
        <v>0.43</v>
      </c>
      <c r="S76" s="34"/>
      <c r="T76" s="34"/>
      <c r="U76" s="34"/>
      <c r="V76" s="34"/>
      <c r="W76" s="34"/>
      <c r="X76" s="34">
        <f>X$3</f>
        <v>-2.4500000000000002</v>
      </c>
      <c r="Y76" s="34"/>
      <c r="Z76" s="34"/>
      <c r="AA76" s="34"/>
      <c r="AB76" s="35"/>
      <c r="AC76" s="35"/>
      <c r="AD76" s="35"/>
      <c r="AE76" s="34"/>
      <c r="AF76" s="34"/>
      <c r="AG76" s="34"/>
      <c r="AH76" s="34"/>
      <c r="AI76" s="34"/>
      <c r="AJ76" s="34"/>
      <c r="AK76" s="34"/>
    </row>
    <row r="77" spans="1:37" s="68" customFormat="1" ht="14.45" x14ac:dyDescent="0.35">
      <c r="A77" s="30" t="s">
        <v>43</v>
      </c>
      <c r="B77" s="30" t="s">
        <v>22</v>
      </c>
      <c r="C77" s="30" t="s">
        <v>9</v>
      </c>
      <c r="D77" s="40">
        <f>SUMIFS(Table8[Variable cost],Table8[Process],"="&amp;Table73[[#This Row],[Column1]],Table8[[Output factor for costs ]],"="&amp;Table73[[#This Row],[Column3]])*Table73[[#This Row],[Column4]]</f>
        <v>0</v>
      </c>
      <c r="E77" s="40">
        <v>0</v>
      </c>
      <c r="F77" s="32">
        <f>PRODUCT(Table73[[#This Row],[1]:[25]])</f>
        <v>-1.0535000000000001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>
        <f>R$3</f>
        <v>0.43</v>
      </c>
      <c r="S77" s="34"/>
      <c r="T77" s="34"/>
      <c r="U77" s="34"/>
      <c r="V77" s="34"/>
      <c r="W77" s="34"/>
      <c r="X77" s="34">
        <f>X$3</f>
        <v>-2.4500000000000002</v>
      </c>
      <c r="Y77" s="34"/>
      <c r="Z77" s="34"/>
      <c r="AA77" s="34"/>
      <c r="AB77" s="35"/>
      <c r="AC77" s="35"/>
      <c r="AD77" s="35"/>
      <c r="AE77" s="34"/>
      <c r="AF77" s="34"/>
      <c r="AG77" s="34"/>
      <c r="AH77" s="34"/>
      <c r="AI77" s="34"/>
      <c r="AJ77" s="34"/>
      <c r="AK77" s="34"/>
    </row>
    <row r="78" spans="1:37" s="68" customFormat="1" ht="14.45" x14ac:dyDescent="0.35">
      <c r="A78" s="30" t="s">
        <v>29</v>
      </c>
      <c r="B78" s="30" t="s">
        <v>27</v>
      </c>
      <c r="C78" s="30" t="s">
        <v>9</v>
      </c>
      <c r="D78" s="40">
        <f>SUMIFS(Table8[Variable cost],Table8[Process],"="&amp;Table73[[#This Row],[Column1]],Table8[[Output factor for costs ]],"="&amp;Table73[[#This Row],[Column3]])*Table73[[#This Row],[Column4]]</f>
        <v>0</v>
      </c>
      <c r="E78" s="40">
        <v>0</v>
      </c>
      <c r="F78" s="32">
        <f>PRODUCT(Table73[[#This Row],[1]:[25]])</f>
        <v>-0.61731009607010046</v>
      </c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>
        <f>S$3</f>
        <v>1.1000000000000001</v>
      </c>
      <c r="T78" s="34"/>
      <c r="U78" s="34"/>
      <c r="V78" s="34"/>
      <c r="W78" s="34"/>
      <c r="X78" s="34"/>
      <c r="Y78" s="34"/>
      <c r="Z78" s="34"/>
      <c r="AA78" s="34">
        <f>AA$3</f>
        <v>-0.56119099642736403</v>
      </c>
      <c r="AB78" s="35"/>
      <c r="AC78" s="35"/>
      <c r="AD78" s="35"/>
      <c r="AE78" s="34"/>
      <c r="AF78" s="34"/>
      <c r="AG78" s="34"/>
      <c r="AH78" s="34"/>
      <c r="AI78" s="34"/>
      <c r="AJ78" s="34"/>
      <c r="AK78" s="34"/>
    </row>
    <row r="79" spans="1:37" s="68" customFormat="1" ht="14.45" x14ac:dyDescent="0.35">
      <c r="A79" s="30" t="s">
        <v>29</v>
      </c>
      <c r="B79" s="30" t="s">
        <v>27</v>
      </c>
      <c r="C79" s="30" t="s">
        <v>29</v>
      </c>
      <c r="D79" s="40">
        <f>SUMIFS(Table8[Variable cost],Table8[Process],"="&amp;Table73[[#This Row],[Column1]],Table8[[Output factor for costs ]],"="&amp;Table73[[#This Row],[Column3]])*Table73[[#This Row],[Column4]]</f>
        <v>264</v>
      </c>
      <c r="E79" s="40">
        <v>0</v>
      </c>
      <c r="F79" s="32">
        <f>PRODUCT(Table73[[#This Row],[1]:[25]])</f>
        <v>1.1000000000000001</v>
      </c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>
        <f>S$3</f>
        <v>1.1000000000000001</v>
      </c>
      <c r="T79" s="34"/>
      <c r="U79" s="34"/>
      <c r="V79" s="34"/>
      <c r="W79" s="34"/>
      <c r="X79" s="34"/>
      <c r="Y79" s="34"/>
      <c r="Z79" s="34"/>
      <c r="AA79" s="34"/>
      <c r="AB79" s="35"/>
      <c r="AC79" s="35"/>
      <c r="AD79" s="35"/>
      <c r="AE79" s="34"/>
      <c r="AF79" s="34"/>
      <c r="AG79" s="34"/>
      <c r="AH79" s="34"/>
      <c r="AI79" s="34"/>
      <c r="AJ79" s="34"/>
      <c r="AK79" s="34"/>
    </row>
    <row r="80" spans="1:37" s="68" customFormat="1" ht="14.45" x14ac:dyDescent="0.35">
      <c r="A80" s="30" t="s">
        <v>31</v>
      </c>
      <c r="B80" s="30" t="s">
        <v>27</v>
      </c>
      <c r="C80" s="30" t="s">
        <v>9</v>
      </c>
      <c r="D80" s="40">
        <f>SUMIFS(Table8[Variable cost],Table8[Process],"="&amp;Table73[[#This Row],[Column1]],Table8[[Output factor for costs ]],"="&amp;Table73[[#This Row],[Column3]])*Table73[[#This Row],[Column4]]</f>
        <v>0</v>
      </c>
      <c r="E80" s="40">
        <v>0</v>
      </c>
      <c r="F80" s="32">
        <f>PRODUCT(Table73[[#This Row],[1]:[25]])</f>
        <v>-0.72954829535557331</v>
      </c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>
        <f>T$3</f>
        <v>1.3</v>
      </c>
      <c r="U80" s="34"/>
      <c r="V80" s="34"/>
      <c r="W80" s="34"/>
      <c r="X80" s="34"/>
      <c r="Y80" s="34"/>
      <c r="Z80" s="34"/>
      <c r="AA80" s="34">
        <f>AA$3</f>
        <v>-0.56119099642736403</v>
      </c>
      <c r="AB80" s="35"/>
      <c r="AC80" s="35"/>
      <c r="AD80" s="35"/>
      <c r="AE80" s="34"/>
      <c r="AF80" s="34"/>
      <c r="AG80" s="34"/>
      <c r="AH80" s="34"/>
      <c r="AI80" s="34"/>
      <c r="AJ80" s="34"/>
      <c r="AK80" s="34"/>
    </row>
    <row r="81" spans="1:37" s="68" customFormat="1" ht="14.45" x14ac:dyDescent="0.35">
      <c r="A81" s="30" t="s">
        <v>31</v>
      </c>
      <c r="B81" s="30" t="s">
        <v>27</v>
      </c>
      <c r="C81" s="30" t="s">
        <v>31</v>
      </c>
      <c r="D81" s="40">
        <f>SUMIFS(Table8[Variable cost],Table8[Process],"="&amp;Table73[[#This Row],[Column1]],Table8[[Output factor for costs ]],"="&amp;Table73[[#This Row],[Column3]])*Table73[[#This Row],[Column4]]</f>
        <v>416</v>
      </c>
      <c r="E81" s="40">
        <v>0</v>
      </c>
      <c r="F81" s="32">
        <f>PRODUCT(Table73[[#This Row],[1]:[25]])</f>
        <v>1.3</v>
      </c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>
        <f>T$3</f>
        <v>1.3</v>
      </c>
      <c r="U81" s="34"/>
      <c r="V81" s="34"/>
      <c r="W81" s="34"/>
      <c r="X81" s="34"/>
      <c r="Y81" s="34"/>
      <c r="Z81" s="34"/>
      <c r="AA81" s="34"/>
      <c r="AB81" s="35"/>
      <c r="AC81" s="35"/>
      <c r="AD81" s="35"/>
      <c r="AE81" s="34"/>
      <c r="AF81" s="34"/>
      <c r="AG81" s="34"/>
      <c r="AH81" s="34"/>
      <c r="AI81" s="34"/>
      <c r="AJ81" s="34"/>
      <c r="AK81" s="34"/>
    </row>
    <row r="82" spans="1:37" s="68" customFormat="1" ht="14.45" x14ac:dyDescent="0.35">
      <c r="A82" s="30" t="s">
        <v>30</v>
      </c>
      <c r="B82" s="30" t="s">
        <v>26</v>
      </c>
      <c r="C82" s="30" t="s">
        <v>30</v>
      </c>
      <c r="D82" s="40">
        <f>SUMIFS(Table8[Variable cost],Table8[Process],"="&amp;Table73[[#This Row],[Column1]],Table8[[Output factor for costs ]],"="&amp;Table73[[#This Row],[Column3]])*Table73[[#This Row],[Column4]]</f>
        <v>554.66666666666663</v>
      </c>
      <c r="E82" s="40">
        <v>0</v>
      </c>
      <c r="F82" s="32">
        <f>PRODUCT(Table73[[#This Row],[1]:[25]])</f>
        <v>1.3</v>
      </c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>
        <f>U$3</f>
        <v>1.3</v>
      </c>
      <c r="V82" s="34"/>
      <c r="W82" s="34"/>
      <c r="X82" s="34"/>
      <c r="Y82" s="34"/>
      <c r="Z82" s="34"/>
      <c r="AA82" s="34"/>
      <c r="AB82" s="35"/>
      <c r="AC82" s="35"/>
      <c r="AD82" s="35"/>
      <c r="AE82" s="34"/>
      <c r="AF82" s="34"/>
      <c r="AG82" s="34"/>
      <c r="AH82" s="34"/>
      <c r="AI82" s="34"/>
      <c r="AJ82" s="34"/>
      <c r="AK82" s="34"/>
    </row>
    <row r="83" spans="1:37" s="68" customFormat="1" ht="14.45" x14ac:dyDescent="0.35">
      <c r="A83" s="30" t="s">
        <v>28</v>
      </c>
      <c r="B83" s="30" t="s">
        <v>26</v>
      </c>
      <c r="C83" s="30" t="s">
        <v>28</v>
      </c>
      <c r="D83" s="40">
        <f>SUMIFS(Table8[Variable cost],Table8[Process],"="&amp;Table73[[#This Row],[Column1]],Table8[[Output factor for costs ]],"="&amp;Table73[[#This Row],[Column3]])*Table73[[#This Row],[Column4]]</f>
        <v>352</v>
      </c>
      <c r="E83" s="40">
        <v>0</v>
      </c>
      <c r="F83" s="32">
        <f>PRODUCT(Table73[[#This Row],[1]:[25]])</f>
        <v>1.1000000000000001</v>
      </c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>
        <f>V$3</f>
        <v>1.1000000000000001</v>
      </c>
      <c r="W83" s="34"/>
      <c r="X83" s="34"/>
      <c r="Y83" s="34"/>
      <c r="Z83" s="34"/>
      <c r="AA83" s="34"/>
      <c r="AB83" s="35"/>
      <c r="AC83" s="35"/>
      <c r="AD83" s="35"/>
      <c r="AE83" s="34"/>
      <c r="AF83" s="34"/>
      <c r="AG83" s="34"/>
      <c r="AH83" s="34"/>
      <c r="AI83" s="34"/>
      <c r="AJ83" s="34"/>
      <c r="AK83" s="34"/>
    </row>
    <row r="84" spans="1:37" s="68" customFormat="1" ht="14.45" x14ac:dyDescent="0.35">
      <c r="A84" s="30"/>
      <c r="B84" s="30"/>
      <c r="C84" s="30"/>
      <c r="D84" s="40"/>
      <c r="E84" s="40"/>
      <c r="F84" s="32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5"/>
      <c r="AC84" s="35"/>
      <c r="AD84" s="35"/>
      <c r="AE84" s="34"/>
      <c r="AF84" s="34"/>
      <c r="AG84" s="34"/>
      <c r="AH84" s="34"/>
      <c r="AI84" s="34"/>
      <c r="AJ84" s="34"/>
      <c r="AK84" s="34"/>
    </row>
  </sheetData>
  <phoneticPr fontId="1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27"/>
  <sheetViews>
    <sheetView workbookViewId="0">
      <selection activeCell="A27" sqref="A27"/>
    </sheetView>
  </sheetViews>
  <sheetFormatPr defaultRowHeight="16.5" x14ac:dyDescent="0.3"/>
  <cols>
    <col min="2" max="2" width="29.75" customWidth="1"/>
  </cols>
  <sheetData>
    <row r="1" spans="1:24" x14ac:dyDescent="0.3">
      <c r="A1">
        <v>4.9000000000000004</v>
      </c>
      <c r="B1" t="s">
        <v>2</v>
      </c>
      <c r="L1" s="6"/>
      <c r="M1" s="6"/>
      <c r="N1" s="6"/>
      <c r="X1" s="10"/>
    </row>
    <row r="2" spans="1:24" x14ac:dyDescent="0.3">
      <c r="A2">
        <v>0.46</v>
      </c>
      <c r="B2" t="s">
        <v>3</v>
      </c>
    </row>
    <row r="3" spans="1:24" x14ac:dyDescent="0.3">
      <c r="A3">
        <f>A1*A2</f>
        <v>2.2540000000000004</v>
      </c>
      <c r="B3" t="s">
        <v>15</v>
      </c>
    </row>
    <row r="4" spans="1:24" x14ac:dyDescent="0.3">
      <c r="A4">
        <v>0.5</v>
      </c>
      <c r="B4" t="s">
        <v>68</v>
      </c>
    </row>
    <row r="5" spans="1:24" x14ac:dyDescent="0.3">
      <c r="A5">
        <v>0.95</v>
      </c>
      <c r="B5" t="s">
        <v>51</v>
      </c>
    </row>
    <row r="6" spans="1:24" x14ac:dyDescent="0.3">
      <c r="A6">
        <v>1</v>
      </c>
      <c r="B6" t="s">
        <v>59</v>
      </c>
    </row>
    <row r="7" spans="1:24" x14ac:dyDescent="0.3">
      <c r="A7">
        <v>0.64</v>
      </c>
      <c r="B7" t="s">
        <v>57</v>
      </c>
    </row>
    <row r="8" spans="1:24" x14ac:dyDescent="0.3">
      <c r="A8" s="6">
        <v>0.17797461422516755</v>
      </c>
      <c r="B8" t="s">
        <v>32</v>
      </c>
    </row>
    <row r="9" spans="1:24" x14ac:dyDescent="0.3">
      <c r="A9" s="6">
        <v>0.25456160291260915</v>
      </c>
      <c r="B9" t="s">
        <v>33</v>
      </c>
    </row>
    <row r="10" spans="1:24" x14ac:dyDescent="0.3">
      <c r="A10" s="6">
        <v>0.48049868223590353</v>
      </c>
      <c r="B10" t="s">
        <v>34</v>
      </c>
    </row>
    <row r="11" spans="1:24" x14ac:dyDescent="0.3">
      <c r="A11">
        <v>0.21</v>
      </c>
      <c r="B11" t="s">
        <v>55</v>
      </c>
      <c r="E11" s="6"/>
      <c r="F11" s="6"/>
    </row>
    <row r="12" spans="1:24" x14ac:dyDescent="0.3">
      <c r="A12">
        <v>0.21</v>
      </c>
      <c r="B12" t="s">
        <v>56</v>
      </c>
      <c r="E12" s="6"/>
    </row>
    <row r="13" spans="1:24" x14ac:dyDescent="0.3">
      <c r="A13">
        <v>0.42</v>
      </c>
      <c r="B13" t="s">
        <v>16</v>
      </c>
      <c r="E13" s="6"/>
    </row>
    <row r="14" spans="1:24" x14ac:dyDescent="0.3">
      <c r="A14">
        <v>0.43</v>
      </c>
      <c r="B14" t="s">
        <v>17</v>
      </c>
      <c r="E14" s="6"/>
    </row>
    <row r="15" spans="1:24" x14ac:dyDescent="0.3">
      <c r="A15">
        <v>1.1000000000000001</v>
      </c>
      <c r="B15" t="s">
        <v>39</v>
      </c>
    </row>
    <row r="16" spans="1:24" x14ac:dyDescent="0.3">
      <c r="A16">
        <v>1.3</v>
      </c>
      <c r="B16" t="s">
        <v>40</v>
      </c>
    </row>
    <row r="17" spans="1:3" x14ac:dyDescent="0.3">
      <c r="A17">
        <v>1.3</v>
      </c>
      <c r="B17" t="s">
        <v>41</v>
      </c>
    </row>
    <row r="18" spans="1:3" x14ac:dyDescent="0.3">
      <c r="A18">
        <v>1.1000000000000001</v>
      </c>
      <c r="B18" t="s">
        <v>42</v>
      </c>
    </row>
    <row r="19" spans="1:3" x14ac:dyDescent="0.3">
      <c r="A19">
        <v>1.127</v>
      </c>
      <c r="B19" t="s">
        <v>44</v>
      </c>
      <c r="C19" t="s">
        <v>53</v>
      </c>
    </row>
    <row r="20" spans="1:3" x14ac:dyDescent="0.3">
      <c r="A20" s="10">
        <v>-2.4500000000000002</v>
      </c>
      <c r="B20" t="s">
        <v>48</v>
      </c>
      <c r="C20" t="s">
        <v>53</v>
      </c>
    </row>
    <row r="21" spans="1:3" x14ac:dyDescent="0.3">
      <c r="A21">
        <v>-0.46699999999999997</v>
      </c>
      <c r="B21" t="s">
        <v>45</v>
      </c>
      <c r="C21" t="s">
        <v>53</v>
      </c>
    </row>
    <row r="22" spans="1:3" x14ac:dyDescent="0.3">
      <c r="A22">
        <v>-0.90700000000000003</v>
      </c>
      <c r="B22" t="s">
        <v>46</v>
      </c>
      <c r="C22" t="s">
        <v>53</v>
      </c>
    </row>
    <row r="23" spans="1:3" x14ac:dyDescent="0.3">
      <c r="A23">
        <v>-0.44000000000000006</v>
      </c>
      <c r="B23" t="s">
        <v>47</v>
      </c>
      <c r="C23" t="s">
        <v>53</v>
      </c>
    </row>
    <row r="24" spans="1:3" x14ac:dyDescent="0.3">
      <c r="A24">
        <v>-2.1000000000000001E-2</v>
      </c>
      <c r="B24" t="s">
        <v>54</v>
      </c>
      <c r="C24" t="s">
        <v>53</v>
      </c>
    </row>
    <row r="25" spans="1:3" x14ac:dyDescent="0.3">
      <c r="A25">
        <f>12/44</f>
        <v>0.27272727272727271</v>
      </c>
      <c r="B25" t="s">
        <v>69</v>
      </c>
    </row>
    <row r="26" spans="1:3" x14ac:dyDescent="0.3">
      <c r="A26">
        <v>0.67</v>
      </c>
      <c r="B26" t="s">
        <v>194</v>
      </c>
    </row>
    <row r="27" spans="1:3" x14ac:dyDescent="0.3">
      <c r="A27">
        <v>-0.16405841400000001</v>
      </c>
      <c r="B27" t="s">
        <v>195</v>
      </c>
      <c r="C27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1"/>
  <sheetViews>
    <sheetView zoomScale="70" zoomScaleNormal="70" workbookViewId="0">
      <selection activeCell="A10" sqref="A10"/>
    </sheetView>
  </sheetViews>
  <sheetFormatPr defaultColWidth="8.875" defaultRowHeight="16.5" x14ac:dyDescent="0.3"/>
  <cols>
    <col min="1" max="1" width="17.5" customWidth="1"/>
    <col min="2" max="2" width="8.625" customWidth="1"/>
    <col min="3" max="3" width="7" customWidth="1"/>
    <col min="4" max="6" width="8.125" customWidth="1"/>
    <col min="7" max="34" width="5.25" customWidth="1"/>
  </cols>
  <sheetData>
    <row r="1" spans="1:33" s="3" customFormat="1" ht="18" x14ac:dyDescent="0.35">
      <c r="A1" s="8" t="s">
        <v>160</v>
      </c>
      <c r="B1" s="8"/>
      <c r="C1" s="8"/>
      <c r="D1" s="8"/>
      <c r="E1" s="8" t="s">
        <v>161</v>
      </c>
      <c r="F1" s="8" t="s">
        <v>162</v>
      </c>
      <c r="G1" s="8" t="s">
        <v>163</v>
      </c>
      <c r="H1" s="8"/>
    </row>
    <row r="2" spans="1:33" s="38" customFormat="1" ht="61.15" customHeight="1" x14ac:dyDescent="0.3">
      <c r="A2" s="46" t="s">
        <v>155</v>
      </c>
      <c r="B2" s="46" t="str">
        <f>Factors!B1</f>
        <v>SweFor name</v>
      </c>
      <c r="C2" s="46" t="str">
        <f>Factors!C1</f>
        <v>Unit</v>
      </c>
      <c r="D2" s="46" t="s">
        <v>166</v>
      </c>
      <c r="E2" s="46" t="s">
        <v>167</v>
      </c>
      <c r="F2" s="46" t="s">
        <v>168</v>
      </c>
      <c r="G2" s="38" t="str">
        <f t="array" ref="G2:AG2">TRANSPOSE((Processes!A2:A27))</f>
        <v>Sawmpi</v>
      </c>
      <c r="H2" s="38" t="str">
        <v>Sawmsp</v>
      </c>
      <c r="I2" s="38" t="str">
        <v>Sawmbe</v>
      </c>
      <c r="J2" s="38" t="str">
        <v>Sawmal</v>
      </c>
      <c r="K2" s="38" t="str">
        <v>Heatpl</v>
      </c>
      <c r="L2" s="38" t="str">
        <v>CHPpl_</v>
      </c>
      <c r="M2" s="38" t="str">
        <v>FTDpl_</v>
      </c>
      <c r="N2" s="38" t="str">
        <v>PuChem</v>
      </c>
      <c r="O2" s="38" t="str">
        <v>PuCTMP</v>
      </c>
      <c r="P2" s="38" t="str">
        <v>PuMech</v>
      </c>
      <c r="Q2" s="38" t="str">
        <v>PuDiss</v>
      </c>
      <c r="R2" s="38" t="str">
        <v>PaChem</v>
      </c>
      <c r="S2" s="38" t="str">
        <v>OtChem</v>
      </c>
      <c r="T2" s="38" t="str">
        <v>OtMech</v>
      </c>
      <c r="U2" s="38" t="str">
        <v>NwMech</v>
      </c>
      <c r="V2" s="38" t="str">
        <v>PuBCCS</v>
      </c>
      <c r="W2" s="38" t="str">
        <v>PaBCCS</v>
      </c>
      <c r="X2" s="38" t="str">
        <v>OtBCCS</v>
      </c>
      <c r="Y2" s="38" t="str">
        <v>TerFTD</v>
      </c>
      <c r="Z2" s="38" t="str">
        <v>TerTsp</v>
      </c>
      <c r="AA2" s="38" t="str">
        <v>TerTal</v>
      </c>
      <c r="AB2" s="38" t="str">
        <v>TerPsp</v>
      </c>
      <c r="AC2" s="38" t="str">
        <v>TerPal</v>
      </c>
      <c r="AD2" s="38" t="str">
        <v>TerHea</v>
      </c>
      <c r="AE2" s="38" t="str">
        <v>TerSee</v>
      </c>
      <c r="AF2" s="38" t="str">
        <v>ParBoa</v>
      </c>
      <c r="AG2" s="38" t="e">
        <v>#N/A</v>
      </c>
    </row>
    <row r="3" spans="1:33" s="7" customFormat="1" ht="14.45" x14ac:dyDescent="0.3">
      <c r="A3" s="7" t="str">
        <f>Factors!A2</f>
        <v>Pine saw timber</v>
      </c>
      <c r="B3" s="7" t="str">
        <f>Factors!B2</f>
        <v>PinTim</v>
      </c>
      <c r="C3" s="7" t="str">
        <f>Factors!C2</f>
        <v>m3fub</v>
      </c>
      <c r="D3" s="7">
        <v>300</v>
      </c>
      <c r="E3" s="45">
        <v>22.024800000000003</v>
      </c>
      <c r="F3" s="45">
        <v>0.99111600000000022</v>
      </c>
      <c r="G3" s="47">
        <v>2</v>
      </c>
      <c r="H3" s="47">
        <v>0</v>
      </c>
      <c r="I3" s="47">
        <v>0</v>
      </c>
      <c r="J3" s="47">
        <v>2</v>
      </c>
      <c r="K3" s="47">
        <v>0</v>
      </c>
      <c r="L3" s="47">
        <v>0</v>
      </c>
      <c r="M3" s="47">
        <v>0</v>
      </c>
      <c r="N3" s="47">
        <v>2</v>
      </c>
      <c r="O3" s="47">
        <v>0</v>
      </c>
      <c r="P3" s="47">
        <v>0</v>
      </c>
      <c r="Q3" s="47">
        <v>2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7">
        <v>0</v>
      </c>
      <c r="X3" s="47">
        <v>0</v>
      </c>
      <c r="Y3" s="47">
        <v>0</v>
      </c>
      <c r="Z3" s="47">
        <v>0</v>
      </c>
      <c r="AA3" s="47">
        <v>0</v>
      </c>
      <c r="AB3" s="47">
        <v>0</v>
      </c>
      <c r="AC3" s="47">
        <v>0</v>
      </c>
      <c r="AD3" s="47">
        <v>0</v>
      </c>
      <c r="AE3" s="47">
        <v>0</v>
      </c>
      <c r="AF3" s="47">
        <v>0</v>
      </c>
      <c r="AG3" s="47">
        <v>0</v>
      </c>
    </row>
    <row r="4" spans="1:33" s="7" customFormat="1" ht="14.45" x14ac:dyDescent="0.3">
      <c r="A4" s="7" t="str">
        <f>Factors!A3</f>
        <v>Pine pulpwood</v>
      </c>
      <c r="B4" s="7" t="str">
        <f>Factors!B3</f>
        <v>PinPuw</v>
      </c>
      <c r="C4" s="7" t="str">
        <f>Factors!C3</f>
        <v>m3fub</v>
      </c>
      <c r="D4" s="7">
        <v>300</v>
      </c>
      <c r="E4" s="7">
        <v>22.024800000000003</v>
      </c>
      <c r="F4" s="45">
        <v>0.99111600000000022</v>
      </c>
      <c r="G4" s="47">
        <v>0</v>
      </c>
      <c r="H4" s="47">
        <v>0</v>
      </c>
      <c r="I4" s="47">
        <v>0</v>
      </c>
      <c r="J4" s="47">
        <v>0</v>
      </c>
      <c r="K4" s="47">
        <v>0</v>
      </c>
      <c r="L4" s="47">
        <v>0</v>
      </c>
      <c r="M4" s="47">
        <v>0</v>
      </c>
      <c r="N4" s="47">
        <v>2</v>
      </c>
      <c r="O4" s="47">
        <v>0</v>
      </c>
      <c r="P4" s="47">
        <v>0</v>
      </c>
      <c r="Q4" s="47">
        <v>2</v>
      </c>
      <c r="R4" s="47">
        <v>0</v>
      </c>
      <c r="S4" s="47">
        <v>0</v>
      </c>
      <c r="T4" s="47">
        <v>0</v>
      </c>
      <c r="U4" s="47">
        <v>0</v>
      </c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2</v>
      </c>
      <c r="AE4" s="47">
        <v>0</v>
      </c>
      <c r="AF4" s="47">
        <v>0</v>
      </c>
      <c r="AG4" s="47">
        <v>0</v>
      </c>
    </row>
    <row r="5" spans="1:33" s="7" customFormat="1" ht="14.45" x14ac:dyDescent="0.3">
      <c r="A5" s="7" t="str">
        <f>Factors!A4</f>
        <v>Spruce saw timber</v>
      </c>
      <c r="B5" s="7" t="str">
        <f>Factors!B4</f>
        <v>SprTim</v>
      </c>
      <c r="C5" s="7" t="str">
        <f>Factors!C4</f>
        <v>m3fub</v>
      </c>
      <c r="D5" s="7">
        <v>300</v>
      </c>
      <c r="E5" s="7">
        <v>22.024800000000003</v>
      </c>
      <c r="F5" s="45">
        <v>0.99111600000000022</v>
      </c>
      <c r="G5" s="47">
        <v>0</v>
      </c>
      <c r="H5" s="47">
        <v>2</v>
      </c>
      <c r="I5" s="47">
        <v>0</v>
      </c>
      <c r="J5" s="47">
        <v>2</v>
      </c>
      <c r="K5" s="47">
        <v>0</v>
      </c>
      <c r="L5" s="47">
        <v>0</v>
      </c>
      <c r="M5" s="47">
        <v>0</v>
      </c>
      <c r="N5" s="47">
        <v>2</v>
      </c>
      <c r="O5" s="47">
        <v>2</v>
      </c>
      <c r="P5" s="47">
        <v>2</v>
      </c>
      <c r="Q5" s="47">
        <v>2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</row>
    <row r="6" spans="1:33" s="7" customFormat="1" ht="14.45" x14ac:dyDescent="0.3">
      <c r="A6" s="7" t="str">
        <f>Factors!A5</f>
        <v>Spruce pulpwood</v>
      </c>
      <c r="B6" s="7" t="str">
        <f>Factors!B5</f>
        <v>SprPuw</v>
      </c>
      <c r="C6" s="7" t="str">
        <f>Factors!C5</f>
        <v>m3fub</v>
      </c>
      <c r="D6" s="7">
        <v>300</v>
      </c>
      <c r="E6" s="7">
        <v>22.024800000000003</v>
      </c>
      <c r="F6" s="45">
        <v>0.99111600000000022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2</v>
      </c>
      <c r="O6" s="47">
        <v>2</v>
      </c>
      <c r="P6" s="47">
        <v>2</v>
      </c>
      <c r="Q6" s="47">
        <v>2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2</v>
      </c>
      <c r="AE6" s="47">
        <v>0</v>
      </c>
      <c r="AF6" s="47">
        <v>0</v>
      </c>
      <c r="AG6" s="47">
        <v>0</v>
      </c>
    </row>
    <row r="7" spans="1:33" s="7" customFormat="1" ht="14.45" x14ac:dyDescent="0.3">
      <c r="A7" s="7" t="str">
        <f>Factors!A6</f>
        <v>Deciduous pulpwood</v>
      </c>
      <c r="B7" s="7" t="str">
        <f>Factors!B6</f>
        <v>Decids</v>
      </c>
      <c r="C7" s="7" t="str">
        <f>Factors!C6</f>
        <v>m3fub</v>
      </c>
      <c r="D7" s="7">
        <v>300</v>
      </c>
      <c r="E7" s="7">
        <v>22.024800000000003</v>
      </c>
      <c r="F7" s="45">
        <v>0.99111600000000022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2</v>
      </c>
      <c r="O7" s="47">
        <v>0</v>
      </c>
      <c r="P7" s="47">
        <v>0</v>
      </c>
      <c r="Q7" s="47">
        <v>2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20</v>
      </c>
      <c r="AE7" s="47">
        <v>0</v>
      </c>
      <c r="AF7" s="47">
        <v>0</v>
      </c>
      <c r="AG7" s="47">
        <v>0</v>
      </c>
    </row>
    <row r="8" spans="1:33" s="37" customFormat="1" ht="14.45" x14ac:dyDescent="0.3">
      <c r="A8" s="7" t="str">
        <f>Factors!A7</f>
        <v>Sawdust</v>
      </c>
      <c r="B8" s="7" t="str">
        <f>Factors!B7</f>
        <v>Sawdst</v>
      </c>
      <c r="C8" s="7" t="str">
        <f>Factors!C7</f>
        <v>m3fub</v>
      </c>
      <c r="D8" s="7">
        <v>300</v>
      </c>
      <c r="E8" s="7">
        <v>22.024800000000003</v>
      </c>
      <c r="F8" s="45">
        <v>0.99111600000000022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20</v>
      </c>
      <c r="AE8" s="47">
        <v>0</v>
      </c>
      <c r="AF8" s="47">
        <v>0</v>
      </c>
      <c r="AG8" s="47">
        <v>0</v>
      </c>
    </row>
    <row r="9" spans="1:33" s="37" customFormat="1" ht="14.45" x14ac:dyDescent="0.3">
      <c r="A9" s="7" t="str">
        <f>Factors!A8</f>
        <v>Chips</v>
      </c>
      <c r="B9" s="7" t="str">
        <f>Factors!B8</f>
        <v>Chips_</v>
      </c>
      <c r="C9" s="7" t="str">
        <f>Factors!C8</f>
        <v>m3fub</v>
      </c>
      <c r="D9" s="7">
        <v>300</v>
      </c>
      <c r="E9" s="7">
        <v>22.024800000000003</v>
      </c>
      <c r="F9" s="45">
        <v>0.99111600000000022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2</v>
      </c>
      <c r="O9" s="47">
        <v>0</v>
      </c>
      <c r="P9" s="47">
        <v>0</v>
      </c>
      <c r="Q9" s="47">
        <v>2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20</v>
      </c>
      <c r="AE9" s="47">
        <v>0</v>
      </c>
      <c r="AF9" s="47">
        <v>0</v>
      </c>
      <c r="AG9" s="47">
        <v>0</v>
      </c>
    </row>
    <row r="10" spans="1:33" s="7" customFormat="1" ht="14.45" x14ac:dyDescent="0.3">
      <c r="A10" s="7" t="str">
        <f>Factors!A9</f>
        <v>Residues above gr.</v>
      </c>
      <c r="B10" s="7" t="str">
        <f>Factors!B9</f>
        <v>ResStm</v>
      </c>
      <c r="C10" s="7" t="str">
        <f>Factors!C9</f>
        <v>tonTS</v>
      </c>
      <c r="D10" s="7">
        <v>300</v>
      </c>
      <c r="E10" s="7">
        <v>71.820000000000007</v>
      </c>
      <c r="F10" s="45">
        <v>2.5270000000000001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20</v>
      </c>
      <c r="AE10" s="47">
        <v>0</v>
      </c>
      <c r="AF10" s="47">
        <v>0</v>
      </c>
      <c r="AG10" s="47">
        <v>0</v>
      </c>
    </row>
    <row r="11" spans="1:33" s="7" customFormat="1" ht="14.45" x14ac:dyDescent="0.3">
      <c r="A11" s="7" t="str">
        <f>Factors!A10</f>
        <v>Stump and roots</v>
      </c>
      <c r="B11" s="7" t="str">
        <f>Factors!B10</f>
        <v>ResRot</v>
      </c>
      <c r="C11" s="7" t="str">
        <f>Factors!C10</f>
        <v>tonTS</v>
      </c>
      <c r="D11" s="7">
        <v>300</v>
      </c>
      <c r="E11" s="7">
        <v>71.820000000000007</v>
      </c>
      <c r="F11" s="45">
        <v>2.5270000000000001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</row>
    <row r="12" spans="1:33" s="36" customFormat="1" ht="14.45" x14ac:dyDescent="0.3">
      <c r="A12" s="7" t="str">
        <f>Factors!A11</f>
        <v>Sawn wood</v>
      </c>
      <c r="B12" s="7" t="str">
        <f>Factors!B11</f>
        <v>Sawnwd</v>
      </c>
      <c r="C12" s="7" t="str">
        <f>Factors!C11</f>
        <v>m3sw</v>
      </c>
      <c r="D12" s="7">
        <v>0</v>
      </c>
      <c r="E12" s="7">
        <v>0</v>
      </c>
      <c r="F12" s="45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</row>
    <row r="13" spans="1:33" s="36" customFormat="1" ht="14.45" x14ac:dyDescent="0.3">
      <c r="A13" s="7" t="str">
        <f>Factors!A12</f>
        <v>Heat</v>
      </c>
      <c r="B13" s="7" t="str">
        <f>Factors!B12</f>
        <v>Heat__</v>
      </c>
      <c r="C13" s="7" t="str">
        <f>Factors!C12</f>
        <v>MWh</v>
      </c>
      <c r="D13" s="7">
        <v>0</v>
      </c>
      <c r="E13" s="7">
        <v>0</v>
      </c>
      <c r="F13" s="45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</row>
    <row r="14" spans="1:33" s="36" customFormat="1" ht="14.45" x14ac:dyDescent="0.3">
      <c r="A14" s="7" t="str">
        <f>Factors!A13</f>
        <v>Electricity</v>
      </c>
      <c r="B14" s="7" t="str">
        <f>Factors!B13</f>
        <v>Electr</v>
      </c>
      <c r="C14" s="7" t="str">
        <f>Factors!C13</f>
        <v>MWh</v>
      </c>
      <c r="D14" s="7">
        <v>0</v>
      </c>
      <c r="E14" s="7">
        <v>0</v>
      </c>
      <c r="F14" s="45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</row>
    <row r="15" spans="1:33" s="36" customFormat="1" ht="14.45" x14ac:dyDescent="0.3">
      <c r="A15" s="7" t="str">
        <f>Factors!A14</f>
        <v>Biofuel</v>
      </c>
      <c r="B15" s="7" t="str">
        <f>Factors!B14</f>
        <v>BioFue</v>
      </c>
      <c r="C15" s="7" t="str">
        <f>Factors!C14</f>
        <v>MWh</v>
      </c>
      <c r="D15" s="7">
        <v>0</v>
      </c>
      <c r="E15" s="7">
        <v>0</v>
      </c>
      <c r="F15" s="45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</row>
    <row r="16" spans="1:33" s="36" customFormat="1" ht="14.45" x14ac:dyDescent="0.3">
      <c r="A16" s="7" t="str">
        <f>Factors!A15</f>
        <v>Pulp chem. process</v>
      </c>
      <c r="B16" s="7" t="str">
        <f>Factors!B15</f>
        <v>PuChem</v>
      </c>
      <c r="C16" s="7" t="str">
        <f>Factors!C15</f>
        <v>ton</v>
      </c>
      <c r="D16" s="7">
        <v>0</v>
      </c>
      <c r="E16" s="7">
        <v>0</v>
      </c>
      <c r="F16" s="45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</row>
    <row r="17" spans="1:33" s="36" customFormat="1" ht="14.45" x14ac:dyDescent="0.3">
      <c r="A17" s="7" t="str">
        <f>Factors!A16</f>
        <v>Pulp mech. process</v>
      </c>
      <c r="B17" s="7" t="str">
        <f>Factors!B16</f>
        <v>PuMech</v>
      </c>
      <c r="C17" s="7" t="str">
        <f>Factors!C16</f>
        <v>ton</v>
      </c>
      <c r="D17" s="7">
        <v>0</v>
      </c>
      <c r="E17" s="7">
        <v>0</v>
      </c>
      <c r="F17" s="45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</row>
    <row r="18" spans="1:33" s="36" customFormat="1" ht="14.45" x14ac:dyDescent="0.3">
      <c r="A18" s="7" t="str">
        <f>Factors!A17</f>
        <v>Dissolving pulp</v>
      </c>
      <c r="B18" s="7" t="str">
        <f>Factors!B17</f>
        <v>PuDiss</v>
      </c>
      <c r="C18" s="7" t="str">
        <f>Factors!C17</f>
        <v>ton</v>
      </c>
      <c r="D18" s="7">
        <v>0</v>
      </c>
      <c r="E18" s="7">
        <v>0</v>
      </c>
      <c r="F18" s="45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</row>
    <row r="19" spans="1:33" s="36" customFormat="1" ht="14.45" x14ac:dyDescent="0.3">
      <c r="A19" s="7" t="str">
        <f>Factors!A18</f>
        <v>Packaging</v>
      </c>
      <c r="B19" s="7" t="str">
        <f>Factors!B18</f>
        <v>PaChem</v>
      </c>
      <c r="C19" s="7" t="str">
        <f>Factors!C18</f>
        <v>ton</v>
      </c>
      <c r="D19" s="7">
        <v>0</v>
      </c>
      <c r="E19" s="7">
        <v>0</v>
      </c>
      <c r="F19" s="45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</row>
    <row r="20" spans="1:33" s="36" customFormat="1" ht="14.45" x14ac:dyDescent="0.3">
      <c r="A20" s="7" t="str">
        <f>Factors!A19</f>
        <v>Other paper chem.</v>
      </c>
      <c r="B20" s="7" t="str">
        <f>Factors!B19</f>
        <v>OtChem</v>
      </c>
      <c r="C20" s="7" t="str">
        <f>Factors!C19</f>
        <v>ton</v>
      </c>
      <c r="D20" s="7">
        <v>0</v>
      </c>
      <c r="E20" s="7">
        <v>0</v>
      </c>
      <c r="F20" s="45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</row>
    <row r="21" spans="1:33" s="36" customFormat="1" ht="14.45" x14ac:dyDescent="0.3">
      <c r="A21" s="7" t="str">
        <f>Factors!A20</f>
        <v>Other paper mech.</v>
      </c>
      <c r="B21" s="7" t="str">
        <f>Factors!B20</f>
        <v>OtMech</v>
      </c>
      <c r="C21" s="7" t="str">
        <f>Factors!C20</f>
        <v>ton</v>
      </c>
      <c r="D21" s="7">
        <v>0</v>
      </c>
      <c r="E21" s="7">
        <v>0</v>
      </c>
      <c r="F21" s="45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</row>
    <row r="22" spans="1:33" s="36" customFormat="1" ht="14.45" x14ac:dyDescent="0.3">
      <c r="A22" s="7" t="str">
        <f>Factors!A21</f>
        <v>Newsprint</v>
      </c>
      <c r="B22" s="7" t="str">
        <f>Factors!B21</f>
        <v>NwMech</v>
      </c>
      <c r="C22" s="7" t="str">
        <f>Factors!C21</f>
        <v>ton</v>
      </c>
      <c r="D22" s="7">
        <v>0</v>
      </c>
      <c r="E22" s="7">
        <v>0</v>
      </c>
      <c r="F22" s="45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</row>
    <row r="23" spans="1:33" s="36" customFormat="1" ht="14.45" x14ac:dyDescent="0.3">
      <c r="A23" s="7" t="str">
        <f>Factors!A22</f>
        <v>Particle board</v>
      </c>
      <c r="B23" s="7" t="str">
        <f>Factors!B22</f>
        <v>ParBoa</v>
      </c>
      <c r="C23" s="7" t="str">
        <f>Factors!C22</f>
        <v>m3fub</v>
      </c>
      <c r="D23" s="7">
        <v>0</v>
      </c>
      <c r="E23" s="7">
        <v>0</v>
      </c>
      <c r="F23" s="45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</row>
    <row r="25" spans="1:33" ht="14.45" x14ac:dyDescent="0.3">
      <c r="E25" s="6"/>
      <c r="F25" s="6"/>
      <c r="G25" s="47">
        <v>2</v>
      </c>
      <c r="H25" s="47">
        <v>0</v>
      </c>
      <c r="I25" s="47">
        <v>0</v>
      </c>
      <c r="J25" s="47">
        <v>2</v>
      </c>
      <c r="K25" s="47">
        <v>0</v>
      </c>
      <c r="L25" s="47">
        <v>0</v>
      </c>
      <c r="M25" s="47">
        <v>0</v>
      </c>
      <c r="N25" s="47">
        <v>2</v>
      </c>
      <c r="O25" s="47">
        <v>0</v>
      </c>
      <c r="P25" s="47">
        <v>0</v>
      </c>
      <c r="Q25" s="47">
        <v>2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/>
      <c r="AF25" s="47"/>
      <c r="AG25" s="47"/>
    </row>
    <row r="26" spans="1:33" ht="14.45" x14ac:dyDescent="0.3">
      <c r="E26" s="6"/>
      <c r="F26" s="6"/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2</v>
      </c>
      <c r="O26" s="47">
        <v>0</v>
      </c>
      <c r="P26" s="47">
        <v>0</v>
      </c>
      <c r="Q26" s="47">
        <v>2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2</v>
      </c>
      <c r="AE26" s="47"/>
      <c r="AF26" s="47"/>
      <c r="AG26" s="47"/>
    </row>
    <row r="27" spans="1:33" ht="14.45" x14ac:dyDescent="0.3">
      <c r="E27" s="6"/>
      <c r="F27" s="6"/>
      <c r="G27" s="47">
        <v>0</v>
      </c>
      <c r="H27" s="47">
        <v>2</v>
      </c>
      <c r="I27" s="47">
        <v>0</v>
      </c>
      <c r="J27" s="47">
        <v>2</v>
      </c>
      <c r="K27" s="47">
        <v>0</v>
      </c>
      <c r="L27" s="47">
        <v>0</v>
      </c>
      <c r="M27" s="47">
        <v>0</v>
      </c>
      <c r="N27" s="47">
        <v>2</v>
      </c>
      <c r="O27" s="47">
        <v>2</v>
      </c>
      <c r="P27" s="47">
        <v>2</v>
      </c>
      <c r="Q27" s="47">
        <v>2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/>
      <c r="AF27" s="47"/>
      <c r="AG27" s="47"/>
    </row>
    <row r="28" spans="1:33" ht="14.45" x14ac:dyDescent="0.3">
      <c r="E28" s="6"/>
      <c r="F28" s="6"/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2</v>
      </c>
      <c r="O28" s="47">
        <v>2</v>
      </c>
      <c r="P28" s="47">
        <v>2</v>
      </c>
      <c r="Q28" s="47">
        <v>2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2</v>
      </c>
      <c r="AE28" s="47"/>
      <c r="AF28" s="47"/>
      <c r="AG28" s="47"/>
    </row>
    <row r="29" spans="1:33" ht="14.45" x14ac:dyDescent="0.3">
      <c r="E29" s="6"/>
      <c r="F29" s="6"/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2</v>
      </c>
      <c r="O29" s="47">
        <v>0</v>
      </c>
      <c r="P29" s="47">
        <v>0</v>
      </c>
      <c r="Q29" s="47">
        <v>2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/>
      <c r="AF29" s="47"/>
      <c r="AG29" s="47"/>
    </row>
    <row r="30" spans="1:33" ht="14.45" x14ac:dyDescent="0.3">
      <c r="E30" s="6"/>
      <c r="F30" s="6"/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2</v>
      </c>
      <c r="O30" s="47">
        <v>0</v>
      </c>
      <c r="P30" s="47">
        <v>0</v>
      </c>
      <c r="Q30" s="47">
        <v>2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2</v>
      </c>
      <c r="AE30" s="47"/>
      <c r="AF30" s="47"/>
      <c r="AG30" s="47"/>
    </row>
    <row r="31" spans="1:33" ht="14.45" x14ac:dyDescent="0.3">
      <c r="E31" s="6"/>
      <c r="F31" s="6"/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30</v>
      </c>
      <c r="AE31" s="47"/>
      <c r="AF31" s="47"/>
      <c r="AG31" s="47"/>
    </row>
    <row r="32" spans="1:33" ht="14.45" x14ac:dyDescent="0.3">
      <c r="E32" s="6"/>
      <c r="F32" s="6"/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2</v>
      </c>
      <c r="O32" s="47">
        <v>0</v>
      </c>
      <c r="P32" s="47">
        <v>0</v>
      </c>
      <c r="Q32" s="47">
        <v>2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30</v>
      </c>
      <c r="AE32" s="47"/>
      <c r="AF32" s="47"/>
      <c r="AG32" s="47"/>
    </row>
    <row r="33" spans="5:33" x14ac:dyDescent="0.3">
      <c r="E33" s="6"/>
      <c r="F33" s="6"/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47">
        <v>0</v>
      </c>
      <c r="Y33" s="47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30</v>
      </c>
      <c r="AE33" s="47"/>
      <c r="AF33" s="47"/>
      <c r="AG33" s="47"/>
    </row>
    <row r="34" spans="5:33" x14ac:dyDescent="0.3">
      <c r="E34" s="6"/>
      <c r="F34" s="6"/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/>
      <c r="AF34" s="47"/>
      <c r="AG34" s="47"/>
    </row>
    <row r="35" spans="5:33" x14ac:dyDescent="0.3">
      <c r="E35" s="6"/>
      <c r="F35" s="6"/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/>
      <c r="AF35" s="47"/>
      <c r="AG35" s="47"/>
    </row>
    <row r="36" spans="5:33" x14ac:dyDescent="0.3">
      <c r="E36" s="6"/>
      <c r="F36" s="6"/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/>
      <c r="AF36" s="47"/>
      <c r="AG36" s="47"/>
    </row>
    <row r="37" spans="5:33" x14ac:dyDescent="0.3">
      <c r="E37" s="6"/>
      <c r="F37" s="6"/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/>
      <c r="AF37" s="47"/>
      <c r="AG37" s="47"/>
    </row>
    <row r="39" spans="5:33" x14ac:dyDescent="0.3">
      <c r="G39" s="47">
        <v>2</v>
      </c>
      <c r="H39" s="47">
        <v>0</v>
      </c>
      <c r="I39" s="47">
        <v>0</v>
      </c>
      <c r="J39" s="47">
        <v>2</v>
      </c>
      <c r="K39" s="47">
        <v>0</v>
      </c>
      <c r="L39" s="47">
        <v>0</v>
      </c>
      <c r="M39" s="47">
        <v>0</v>
      </c>
      <c r="N39" s="47">
        <v>2</v>
      </c>
      <c r="O39" s="47">
        <v>0</v>
      </c>
      <c r="P39" s="47">
        <v>0</v>
      </c>
      <c r="Q39" s="47">
        <v>2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v>0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/>
      <c r="AF39" s="47"/>
      <c r="AG39" s="47"/>
    </row>
    <row r="40" spans="5:33" x14ac:dyDescent="0.3">
      <c r="G40" s="47">
        <v>0</v>
      </c>
      <c r="H40" s="47">
        <v>0</v>
      </c>
      <c r="I40" s="47">
        <v>0</v>
      </c>
      <c r="J40" s="47">
        <v>0</v>
      </c>
      <c r="K40" s="47">
        <v>2</v>
      </c>
      <c r="L40" s="47">
        <v>0</v>
      </c>
      <c r="M40" s="47">
        <v>0</v>
      </c>
      <c r="N40" s="47">
        <v>2</v>
      </c>
      <c r="O40" s="47">
        <v>0</v>
      </c>
      <c r="P40" s="47">
        <v>0</v>
      </c>
      <c r="Q40" s="47">
        <v>2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/>
      <c r="AF40" s="47"/>
      <c r="AG40" s="47"/>
    </row>
    <row r="41" spans="5:33" x14ac:dyDescent="0.3">
      <c r="G41" s="47">
        <v>0</v>
      </c>
      <c r="H41" s="47">
        <v>2</v>
      </c>
      <c r="I41" s="47">
        <v>0</v>
      </c>
      <c r="J41" s="47">
        <v>2</v>
      </c>
      <c r="K41" s="47">
        <v>0</v>
      </c>
      <c r="L41" s="47">
        <v>0</v>
      </c>
      <c r="M41" s="47">
        <v>0</v>
      </c>
      <c r="N41" s="47">
        <v>2</v>
      </c>
      <c r="O41" s="47">
        <v>2</v>
      </c>
      <c r="P41" s="47">
        <v>2</v>
      </c>
      <c r="Q41" s="47">
        <v>2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/>
      <c r="AF41" s="47"/>
      <c r="AG41" s="47"/>
    </row>
    <row r="42" spans="5:33" x14ac:dyDescent="0.3">
      <c r="G42" s="47">
        <v>0</v>
      </c>
      <c r="H42" s="47">
        <v>0</v>
      </c>
      <c r="I42" s="47">
        <v>0</v>
      </c>
      <c r="J42" s="47">
        <v>0</v>
      </c>
      <c r="K42" s="47">
        <v>2</v>
      </c>
      <c r="L42" s="47">
        <v>0</v>
      </c>
      <c r="M42" s="47">
        <v>0</v>
      </c>
      <c r="N42" s="47">
        <v>2</v>
      </c>
      <c r="O42" s="47">
        <v>2</v>
      </c>
      <c r="P42" s="47">
        <v>2</v>
      </c>
      <c r="Q42" s="47">
        <v>2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/>
      <c r="AF42" s="47"/>
      <c r="AG42" s="47"/>
    </row>
    <row r="43" spans="5:33" x14ac:dyDescent="0.3"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2</v>
      </c>
      <c r="O43" s="47">
        <v>0</v>
      </c>
      <c r="P43" s="47">
        <v>0</v>
      </c>
      <c r="Q43" s="47">
        <v>2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/>
      <c r="AF43" s="47"/>
      <c r="AG43" s="47"/>
    </row>
    <row r="44" spans="5:33" x14ac:dyDescent="0.3">
      <c r="G44" s="47">
        <v>0</v>
      </c>
      <c r="H44" s="47">
        <v>0</v>
      </c>
      <c r="I44" s="47">
        <v>0</v>
      </c>
      <c r="J44" s="47">
        <v>0</v>
      </c>
      <c r="K44" s="47">
        <v>2</v>
      </c>
      <c r="L44" s="47">
        <v>0</v>
      </c>
      <c r="M44" s="47">
        <v>0</v>
      </c>
      <c r="N44" s="47">
        <v>2</v>
      </c>
      <c r="O44" s="47">
        <v>0</v>
      </c>
      <c r="P44" s="47">
        <v>0</v>
      </c>
      <c r="Q44" s="47">
        <v>2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/>
      <c r="AF44" s="47"/>
      <c r="AG44" s="47"/>
    </row>
    <row r="45" spans="5:33" x14ac:dyDescent="0.3">
      <c r="G45" s="47">
        <v>0</v>
      </c>
      <c r="H45" s="47">
        <v>0</v>
      </c>
      <c r="I45" s="47">
        <v>0</v>
      </c>
      <c r="J45" s="47">
        <v>0</v>
      </c>
      <c r="K45" s="47">
        <v>30</v>
      </c>
      <c r="L45" s="47">
        <v>0</v>
      </c>
      <c r="M45" s="47">
        <v>0</v>
      </c>
      <c r="N45" s="47">
        <v>2</v>
      </c>
      <c r="O45" s="47">
        <v>0</v>
      </c>
      <c r="P45" s="47">
        <v>0</v>
      </c>
      <c r="Q45" s="47">
        <v>2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/>
      <c r="AF45" s="47"/>
      <c r="AG45" s="47"/>
    </row>
    <row r="46" spans="5:33" x14ac:dyDescent="0.3">
      <c r="G46" s="47">
        <v>0</v>
      </c>
      <c r="H46" s="47">
        <v>0</v>
      </c>
      <c r="I46" s="47">
        <v>0</v>
      </c>
      <c r="J46" s="47">
        <v>0</v>
      </c>
      <c r="K46" s="47">
        <v>30</v>
      </c>
      <c r="L46" s="47">
        <v>0</v>
      </c>
      <c r="M46" s="47">
        <v>0</v>
      </c>
      <c r="N46" s="47">
        <v>2</v>
      </c>
      <c r="O46" s="47">
        <v>0</v>
      </c>
      <c r="P46" s="47">
        <v>0</v>
      </c>
      <c r="Q46" s="47">
        <v>2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/>
      <c r="AF46" s="47"/>
      <c r="AG46" s="47"/>
    </row>
    <row r="47" spans="5:33" x14ac:dyDescent="0.3">
      <c r="G47" s="47">
        <v>0</v>
      </c>
      <c r="H47" s="47">
        <v>0</v>
      </c>
      <c r="I47" s="47">
        <v>0</v>
      </c>
      <c r="J47" s="47">
        <v>0</v>
      </c>
      <c r="K47" s="47">
        <v>30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/>
      <c r="AF47" s="47"/>
      <c r="AG47" s="47"/>
    </row>
    <row r="48" spans="5:33" x14ac:dyDescent="0.3"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v>0</v>
      </c>
      <c r="X48" s="47">
        <v>0</v>
      </c>
      <c r="Y48" s="47">
        <v>0</v>
      </c>
      <c r="Z48" s="47">
        <v>0</v>
      </c>
      <c r="AA48" s="47">
        <v>0</v>
      </c>
      <c r="AB48" s="47">
        <v>0</v>
      </c>
      <c r="AC48" s="47">
        <v>0</v>
      </c>
      <c r="AD48" s="47">
        <v>0</v>
      </c>
      <c r="AE48" s="47"/>
      <c r="AF48" s="47"/>
      <c r="AG48" s="47"/>
    </row>
    <row r="49" spans="7:33" x14ac:dyDescent="0.3"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/>
      <c r="AF49" s="47"/>
      <c r="AG49" s="47"/>
    </row>
    <row r="50" spans="7:33" x14ac:dyDescent="0.3"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0</v>
      </c>
      <c r="V50" s="47">
        <v>0</v>
      </c>
      <c r="W50" s="47">
        <v>0</v>
      </c>
      <c r="X50" s="47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0</v>
      </c>
      <c r="AD50" s="47">
        <v>0</v>
      </c>
      <c r="AE50" s="47"/>
      <c r="AF50" s="47"/>
      <c r="AG50" s="47"/>
    </row>
    <row r="51" spans="7:33" x14ac:dyDescent="0.3"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/>
      <c r="AF51" s="47"/>
      <c r="AG51" s="47"/>
    </row>
  </sheetData>
  <conditionalFormatting sqref="G3:AG23">
    <cfRule type="cellIs" dxfId="5" priority="1" operator="lessThan">
      <formula>1</formula>
    </cfRule>
    <cfRule type="cellIs" dxfId="4" priority="2" operator="lessThan">
      <formula>1</formula>
    </cfRule>
  </conditionalFormatting>
  <conditionalFormatting sqref="G25:AG37">
    <cfRule type="cellIs" dxfId="3" priority="39" operator="lessThan">
      <formula>1</formula>
    </cfRule>
    <cfRule type="cellIs" dxfId="2" priority="40" operator="lessThan">
      <formula>1</formula>
    </cfRule>
  </conditionalFormatting>
  <conditionalFormatting sqref="G39:AG51">
    <cfRule type="cellIs" dxfId="1" priority="60" operator="lessThan">
      <formula>1</formula>
    </cfRule>
    <cfRule type="cellIs" dxfId="0" priority="61" operator="less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C249-71B4-420C-9175-1DA2667DC59C}">
  <dimension ref="A1:AB128"/>
  <sheetViews>
    <sheetView zoomScale="85" zoomScaleNormal="85" workbookViewId="0">
      <selection activeCell="B2" sqref="B2:W2"/>
    </sheetView>
  </sheetViews>
  <sheetFormatPr defaultColWidth="8.875" defaultRowHeight="16.5" x14ac:dyDescent="0.3"/>
  <cols>
    <col min="1" max="1" width="24.75" style="53" customWidth="1"/>
    <col min="2" max="28" width="14.5" style="53" customWidth="1"/>
    <col min="29" max="16384" width="8.875" style="53"/>
  </cols>
  <sheetData>
    <row r="1" spans="1:28" x14ac:dyDescent="0.3">
      <c r="A1" s="59" t="s">
        <v>16559</v>
      </c>
      <c r="B1" s="53">
        <v>1</v>
      </c>
      <c r="C1" s="53">
        <v>2</v>
      </c>
      <c r="D1" s="53">
        <v>3</v>
      </c>
      <c r="E1" s="53">
        <v>4</v>
      </c>
      <c r="F1" s="53">
        <v>5</v>
      </c>
      <c r="G1" s="53">
        <v>6</v>
      </c>
      <c r="H1" s="53">
        <v>7</v>
      </c>
      <c r="I1" s="53">
        <v>8</v>
      </c>
      <c r="J1" s="53">
        <v>9</v>
      </c>
      <c r="K1" s="53">
        <v>10</v>
      </c>
      <c r="L1" s="53">
        <v>11</v>
      </c>
      <c r="M1" s="53">
        <v>12</v>
      </c>
      <c r="N1" s="53">
        <v>13</v>
      </c>
      <c r="O1" s="53">
        <v>14</v>
      </c>
      <c r="P1" s="53">
        <v>15</v>
      </c>
      <c r="Q1" s="53">
        <v>16</v>
      </c>
      <c r="R1" s="53">
        <v>17</v>
      </c>
      <c r="S1" s="53">
        <v>18</v>
      </c>
      <c r="T1" s="53">
        <v>19</v>
      </c>
      <c r="U1" s="53">
        <v>20</v>
      </c>
      <c r="V1" s="53">
        <v>21</v>
      </c>
      <c r="W1" s="53">
        <v>22</v>
      </c>
    </row>
    <row r="2" spans="1:28" x14ac:dyDescent="0.3">
      <c r="A2" s="59" t="s">
        <v>16560</v>
      </c>
      <c r="B2" s="53">
        <v>5</v>
      </c>
      <c r="C2" s="53">
        <v>5</v>
      </c>
      <c r="D2" s="53">
        <v>5</v>
      </c>
      <c r="E2" s="53">
        <v>5</v>
      </c>
      <c r="F2" s="53">
        <v>5</v>
      </c>
      <c r="G2" s="53">
        <v>5</v>
      </c>
      <c r="H2" s="53">
        <v>5</v>
      </c>
      <c r="I2" s="53">
        <v>5</v>
      </c>
      <c r="J2" s="53">
        <v>5</v>
      </c>
      <c r="K2" s="53">
        <v>5</v>
      </c>
      <c r="L2" s="53">
        <v>5</v>
      </c>
      <c r="M2" s="53">
        <v>5</v>
      </c>
      <c r="N2" s="53">
        <v>5</v>
      </c>
      <c r="O2" s="53">
        <v>5</v>
      </c>
      <c r="P2" s="53">
        <v>5</v>
      </c>
      <c r="Q2" s="53">
        <v>5</v>
      </c>
      <c r="R2" s="53">
        <v>5</v>
      </c>
      <c r="S2" s="53">
        <v>5</v>
      </c>
      <c r="T2" s="53">
        <v>5</v>
      </c>
      <c r="U2" s="53">
        <v>5</v>
      </c>
      <c r="V2" s="53">
        <v>5</v>
      </c>
      <c r="W2" s="53">
        <v>5</v>
      </c>
    </row>
    <row r="3" spans="1:28" ht="18.75" x14ac:dyDescent="0.3">
      <c r="A3" s="56" t="s">
        <v>67</v>
      </c>
      <c r="B3" s="59" t="s">
        <v>199</v>
      </c>
      <c r="C3" s="59">
        <v>10</v>
      </c>
    </row>
    <row r="4" spans="1:28" ht="14.45" x14ac:dyDescent="0.3">
      <c r="A4" s="53" t="str">
        <f>Factors!B2</f>
        <v>PinTim</v>
      </c>
      <c r="B4" s="54">
        <v>0</v>
      </c>
      <c r="C4" s="54">
        <f t="shared" ref="C4:W10" si="0">B4</f>
        <v>0</v>
      </c>
      <c r="D4" s="54">
        <f t="shared" si="0"/>
        <v>0</v>
      </c>
      <c r="E4" s="54">
        <f t="shared" si="0"/>
        <v>0</v>
      </c>
      <c r="F4" s="54">
        <f t="shared" si="0"/>
        <v>0</v>
      </c>
      <c r="G4" s="54">
        <f t="shared" si="0"/>
        <v>0</v>
      </c>
      <c r="H4" s="54">
        <f t="shared" si="0"/>
        <v>0</v>
      </c>
      <c r="I4" s="54">
        <f t="shared" si="0"/>
        <v>0</v>
      </c>
      <c r="J4" s="54">
        <f t="shared" si="0"/>
        <v>0</v>
      </c>
      <c r="K4" s="54">
        <f t="shared" si="0"/>
        <v>0</v>
      </c>
      <c r="L4" s="54">
        <f t="shared" si="0"/>
        <v>0</v>
      </c>
      <c r="M4" s="54">
        <f t="shared" si="0"/>
        <v>0</v>
      </c>
      <c r="N4" s="54">
        <f t="shared" si="0"/>
        <v>0</v>
      </c>
      <c r="O4" s="54">
        <f t="shared" si="0"/>
        <v>0</v>
      </c>
      <c r="P4" s="54">
        <f t="shared" si="0"/>
        <v>0</v>
      </c>
      <c r="Q4" s="54">
        <f t="shared" si="0"/>
        <v>0</v>
      </c>
      <c r="R4" s="54">
        <f t="shared" si="0"/>
        <v>0</v>
      </c>
      <c r="S4" s="54">
        <f t="shared" si="0"/>
        <v>0</v>
      </c>
      <c r="T4" s="54">
        <f t="shared" si="0"/>
        <v>0</v>
      </c>
      <c r="U4" s="54">
        <f t="shared" si="0"/>
        <v>0</v>
      </c>
      <c r="V4" s="54">
        <f t="shared" si="0"/>
        <v>0</v>
      </c>
      <c r="W4" s="54">
        <f t="shared" si="0"/>
        <v>0</v>
      </c>
      <c r="X4" s="54"/>
      <c r="Y4" s="54"/>
      <c r="Z4" s="54"/>
      <c r="AA4" s="54"/>
      <c r="AB4" s="54"/>
    </row>
    <row r="5" spans="1:28" ht="14.45" x14ac:dyDescent="0.3">
      <c r="A5" s="53" t="str">
        <f>Factors!B3</f>
        <v>PinPuw</v>
      </c>
      <c r="B5" s="54">
        <v>0</v>
      </c>
      <c r="C5" s="54">
        <f t="shared" si="0"/>
        <v>0</v>
      </c>
      <c r="D5" s="54">
        <f t="shared" si="0"/>
        <v>0</v>
      </c>
      <c r="E5" s="54">
        <f t="shared" si="0"/>
        <v>0</v>
      </c>
      <c r="F5" s="54">
        <f t="shared" si="0"/>
        <v>0</v>
      </c>
      <c r="G5" s="54">
        <f t="shared" si="0"/>
        <v>0</v>
      </c>
      <c r="H5" s="54">
        <f t="shared" si="0"/>
        <v>0</v>
      </c>
      <c r="I5" s="54">
        <f t="shared" si="0"/>
        <v>0</v>
      </c>
      <c r="J5" s="54">
        <f t="shared" si="0"/>
        <v>0</v>
      </c>
      <c r="K5" s="54">
        <f t="shared" si="0"/>
        <v>0</v>
      </c>
      <c r="L5" s="54">
        <f t="shared" si="0"/>
        <v>0</v>
      </c>
      <c r="M5" s="54">
        <f t="shared" si="0"/>
        <v>0</v>
      </c>
      <c r="N5" s="54">
        <f t="shared" si="0"/>
        <v>0</v>
      </c>
      <c r="O5" s="54">
        <f t="shared" si="0"/>
        <v>0</v>
      </c>
      <c r="P5" s="54">
        <f t="shared" si="0"/>
        <v>0</v>
      </c>
      <c r="Q5" s="54">
        <f t="shared" si="0"/>
        <v>0</v>
      </c>
      <c r="R5" s="54">
        <f t="shared" si="0"/>
        <v>0</v>
      </c>
      <c r="S5" s="54">
        <f t="shared" si="0"/>
        <v>0</v>
      </c>
      <c r="T5" s="54">
        <f t="shared" si="0"/>
        <v>0</v>
      </c>
      <c r="U5" s="54">
        <f t="shared" si="0"/>
        <v>0</v>
      </c>
      <c r="V5" s="54">
        <f t="shared" si="0"/>
        <v>0</v>
      </c>
      <c r="W5" s="54">
        <f t="shared" si="0"/>
        <v>0</v>
      </c>
      <c r="X5" s="54"/>
      <c r="Y5" s="54"/>
      <c r="Z5" s="54"/>
      <c r="AA5" s="54"/>
      <c r="AB5" s="54"/>
    </row>
    <row r="6" spans="1:28" ht="14.45" x14ac:dyDescent="0.3">
      <c r="A6" s="53" t="str">
        <f>Factors!B4</f>
        <v>SprTim</v>
      </c>
      <c r="B6" s="54">
        <v>0</v>
      </c>
      <c r="C6" s="54">
        <f t="shared" si="0"/>
        <v>0</v>
      </c>
      <c r="D6" s="54">
        <f t="shared" si="0"/>
        <v>0</v>
      </c>
      <c r="E6" s="54">
        <f t="shared" si="0"/>
        <v>0</v>
      </c>
      <c r="F6" s="54">
        <f t="shared" si="0"/>
        <v>0</v>
      </c>
      <c r="G6" s="54">
        <f t="shared" si="0"/>
        <v>0</v>
      </c>
      <c r="H6" s="54">
        <f t="shared" si="0"/>
        <v>0</v>
      </c>
      <c r="I6" s="54">
        <f t="shared" si="0"/>
        <v>0</v>
      </c>
      <c r="J6" s="54">
        <f t="shared" si="0"/>
        <v>0</v>
      </c>
      <c r="K6" s="54">
        <f t="shared" si="0"/>
        <v>0</v>
      </c>
      <c r="L6" s="54">
        <f t="shared" si="0"/>
        <v>0</v>
      </c>
      <c r="M6" s="54">
        <f t="shared" si="0"/>
        <v>0</v>
      </c>
      <c r="N6" s="54">
        <f t="shared" si="0"/>
        <v>0</v>
      </c>
      <c r="O6" s="54">
        <f t="shared" si="0"/>
        <v>0</v>
      </c>
      <c r="P6" s="54">
        <f t="shared" si="0"/>
        <v>0</v>
      </c>
      <c r="Q6" s="54">
        <f t="shared" si="0"/>
        <v>0</v>
      </c>
      <c r="R6" s="54">
        <f t="shared" si="0"/>
        <v>0</v>
      </c>
      <c r="S6" s="54">
        <f t="shared" si="0"/>
        <v>0</v>
      </c>
      <c r="T6" s="54">
        <f t="shared" si="0"/>
        <v>0</v>
      </c>
      <c r="U6" s="54">
        <f t="shared" si="0"/>
        <v>0</v>
      </c>
      <c r="V6" s="54">
        <f t="shared" si="0"/>
        <v>0</v>
      </c>
      <c r="W6" s="54">
        <f t="shared" si="0"/>
        <v>0</v>
      </c>
      <c r="X6" s="54"/>
      <c r="Y6" s="54"/>
      <c r="Z6" s="54"/>
      <c r="AA6" s="54"/>
      <c r="AB6" s="54"/>
    </row>
    <row r="7" spans="1:28" ht="14.45" x14ac:dyDescent="0.3">
      <c r="A7" s="53" t="str">
        <f>Factors!B5</f>
        <v>SprPuw</v>
      </c>
      <c r="B7" s="54">
        <v>0</v>
      </c>
      <c r="C7" s="54">
        <f t="shared" si="0"/>
        <v>0</v>
      </c>
      <c r="D7" s="54">
        <f t="shared" si="0"/>
        <v>0</v>
      </c>
      <c r="E7" s="54">
        <f t="shared" si="0"/>
        <v>0</v>
      </c>
      <c r="F7" s="54">
        <f t="shared" si="0"/>
        <v>0</v>
      </c>
      <c r="G7" s="54">
        <f t="shared" si="0"/>
        <v>0</v>
      </c>
      <c r="H7" s="54">
        <f t="shared" si="0"/>
        <v>0</v>
      </c>
      <c r="I7" s="54">
        <f t="shared" si="0"/>
        <v>0</v>
      </c>
      <c r="J7" s="54">
        <f t="shared" si="0"/>
        <v>0</v>
      </c>
      <c r="K7" s="54">
        <f t="shared" si="0"/>
        <v>0</v>
      </c>
      <c r="L7" s="54">
        <f t="shared" si="0"/>
        <v>0</v>
      </c>
      <c r="M7" s="54">
        <f t="shared" si="0"/>
        <v>0</v>
      </c>
      <c r="N7" s="54">
        <f t="shared" si="0"/>
        <v>0</v>
      </c>
      <c r="O7" s="54">
        <f t="shared" si="0"/>
        <v>0</v>
      </c>
      <c r="P7" s="54">
        <f t="shared" si="0"/>
        <v>0</v>
      </c>
      <c r="Q7" s="54">
        <f t="shared" si="0"/>
        <v>0</v>
      </c>
      <c r="R7" s="54">
        <f t="shared" si="0"/>
        <v>0</v>
      </c>
      <c r="S7" s="54">
        <f t="shared" si="0"/>
        <v>0</v>
      </c>
      <c r="T7" s="54">
        <f t="shared" si="0"/>
        <v>0</v>
      </c>
      <c r="U7" s="54">
        <f t="shared" si="0"/>
        <v>0</v>
      </c>
      <c r="V7" s="54">
        <f t="shared" si="0"/>
        <v>0</v>
      </c>
      <c r="W7" s="54">
        <f t="shared" si="0"/>
        <v>0</v>
      </c>
      <c r="X7" s="54"/>
      <c r="Y7" s="54"/>
      <c r="Z7" s="54"/>
      <c r="AA7" s="54"/>
      <c r="AB7" s="54"/>
    </row>
    <row r="8" spans="1:28" ht="14.45" x14ac:dyDescent="0.3">
      <c r="A8" s="53" t="str">
        <f>Factors!B6</f>
        <v>Decids</v>
      </c>
      <c r="B8" s="54">
        <v>0</v>
      </c>
      <c r="C8" s="54">
        <f t="shared" si="0"/>
        <v>0</v>
      </c>
      <c r="D8" s="54">
        <f t="shared" si="0"/>
        <v>0</v>
      </c>
      <c r="E8" s="54">
        <f t="shared" si="0"/>
        <v>0</v>
      </c>
      <c r="F8" s="54">
        <f t="shared" si="0"/>
        <v>0</v>
      </c>
      <c r="G8" s="54">
        <f t="shared" si="0"/>
        <v>0</v>
      </c>
      <c r="H8" s="54">
        <f t="shared" si="0"/>
        <v>0</v>
      </c>
      <c r="I8" s="54">
        <f t="shared" si="0"/>
        <v>0</v>
      </c>
      <c r="J8" s="54">
        <f t="shared" si="0"/>
        <v>0</v>
      </c>
      <c r="K8" s="54">
        <f t="shared" si="0"/>
        <v>0</v>
      </c>
      <c r="L8" s="54">
        <f t="shared" si="0"/>
        <v>0</v>
      </c>
      <c r="M8" s="54">
        <f t="shared" si="0"/>
        <v>0</v>
      </c>
      <c r="N8" s="54">
        <f t="shared" si="0"/>
        <v>0</v>
      </c>
      <c r="O8" s="54">
        <f t="shared" si="0"/>
        <v>0</v>
      </c>
      <c r="P8" s="54">
        <f t="shared" si="0"/>
        <v>0</v>
      </c>
      <c r="Q8" s="54">
        <f t="shared" si="0"/>
        <v>0</v>
      </c>
      <c r="R8" s="54">
        <f t="shared" si="0"/>
        <v>0</v>
      </c>
      <c r="S8" s="54">
        <f t="shared" si="0"/>
        <v>0</v>
      </c>
      <c r="T8" s="54">
        <f t="shared" si="0"/>
        <v>0</v>
      </c>
      <c r="U8" s="54">
        <f t="shared" si="0"/>
        <v>0</v>
      </c>
      <c r="V8" s="54">
        <f t="shared" si="0"/>
        <v>0</v>
      </c>
      <c r="W8" s="54">
        <f t="shared" si="0"/>
        <v>0</v>
      </c>
      <c r="X8" s="54"/>
      <c r="Y8" s="54"/>
      <c r="Z8" s="54"/>
      <c r="AA8" s="54"/>
      <c r="AB8" s="54"/>
    </row>
    <row r="9" spans="1:28" ht="14.45" x14ac:dyDescent="0.3">
      <c r="A9" s="53" t="str">
        <f>Factors!B7</f>
        <v>Sawdst</v>
      </c>
      <c r="B9" s="54">
        <v>0</v>
      </c>
      <c r="C9" s="54">
        <f t="shared" si="0"/>
        <v>0</v>
      </c>
      <c r="D9" s="54">
        <f t="shared" si="0"/>
        <v>0</v>
      </c>
      <c r="E9" s="54">
        <f t="shared" si="0"/>
        <v>0</v>
      </c>
      <c r="F9" s="54">
        <f t="shared" si="0"/>
        <v>0</v>
      </c>
      <c r="G9" s="54">
        <f t="shared" si="0"/>
        <v>0</v>
      </c>
      <c r="H9" s="54">
        <f t="shared" si="0"/>
        <v>0</v>
      </c>
      <c r="I9" s="54">
        <f t="shared" si="0"/>
        <v>0</v>
      </c>
      <c r="J9" s="54">
        <f t="shared" si="0"/>
        <v>0</v>
      </c>
      <c r="K9" s="54">
        <f t="shared" si="0"/>
        <v>0</v>
      </c>
      <c r="L9" s="54">
        <f t="shared" si="0"/>
        <v>0</v>
      </c>
      <c r="M9" s="54">
        <f t="shared" si="0"/>
        <v>0</v>
      </c>
      <c r="N9" s="54">
        <f t="shared" si="0"/>
        <v>0</v>
      </c>
      <c r="O9" s="54">
        <f t="shared" si="0"/>
        <v>0</v>
      </c>
      <c r="P9" s="54">
        <f t="shared" si="0"/>
        <v>0</v>
      </c>
      <c r="Q9" s="54">
        <f t="shared" si="0"/>
        <v>0</v>
      </c>
      <c r="R9" s="54">
        <f t="shared" si="0"/>
        <v>0</v>
      </c>
      <c r="S9" s="54">
        <f t="shared" si="0"/>
        <v>0</v>
      </c>
      <c r="T9" s="54">
        <f t="shared" si="0"/>
        <v>0</v>
      </c>
      <c r="U9" s="54">
        <f t="shared" si="0"/>
        <v>0</v>
      </c>
      <c r="V9" s="54">
        <f t="shared" si="0"/>
        <v>0</v>
      </c>
      <c r="W9" s="54">
        <f t="shared" si="0"/>
        <v>0</v>
      </c>
      <c r="X9" s="54"/>
      <c r="Y9" s="54"/>
      <c r="Z9" s="54"/>
      <c r="AA9" s="54"/>
      <c r="AB9" s="54"/>
    </row>
    <row r="10" spans="1:28" ht="14.45" x14ac:dyDescent="0.3">
      <c r="A10" s="53" t="str">
        <f>Factors!B8</f>
        <v>Chips_</v>
      </c>
      <c r="B10" s="54">
        <v>0</v>
      </c>
      <c r="C10" s="54">
        <f t="shared" si="0"/>
        <v>0</v>
      </c>
      <c r="D10" s="54">
        <f t="shared" si="0"/>
        <v>0</v>
      </c>
      <c r="E10" s="54">
        <f t="shared" si="0"/>
        <v>0</v>
      </c>
      <c r="F10" s="54">
        <f t="shared" si="0"/>
        <v>0</v>
      </c>
      <c r="G10" s="54">
        <f t="shared" si="0"/>
        <v>0</v>
      </c>
      <c r="H10" s="54">
        <f t="shared" si="0"/>
        <v>0</v>
      </c>
      <c r="I10" s="54">
        <f t="shared" si="0"/>
        <v>0</v>
      </c>
      <c r="J10" s="54">
        <f t="shared" si="0"/>
        <v>0</v>
      </c>
      <c r="K10" s="54">
        <f t="shared" si="0"/>
        <v>0</v>
      </c>
      <c r="L10" s="54">
        <f t="shared" si="0"/>
        <v>0</v>
      </c>
      <c r="M10" s="54">
        <f t="shared" si="0"/>
        <v>0</v>
      </c>
      <c r="N10" s="54">
        <f t="shared" si="0"/>
        <v>0</v>
      </c>
      <c r="O10" s="54">
        <f t="shared" si="0"/>
        <v>0</v>
      </c>
      <c r="P10" s="54">
        <f t="shared" si="0"/>
        <v>0</v>
      </c>
      <c r="Q10" s="54">
        <f t="shared" si="0"/>
        <v>0</v>
      </c>
      <c r="R10" s="54">
        <f t="shared" si="0"/>
        <v>0</v>
      </c>
      <c r="S10" s="54">
        <f t="shared" si="0"/>
        <v>0</v>
      </c>
      <c r="T10" s="54">
        <f t="shared" si="0"/>
        <v>0</v>
      </c>
      <c r="U10" s="54">
        <f t="shared" si="0"/>
        <v>0</v>
      </c>
      <c r="V10" s="54">
        <f t="shared" si="0"/>
        <v>0</v>
      </c>
      <c r="W10" s="54">
        <f t="shared" si="0"/>
        <v>0</v>
      </c>
      <c r="X10" s="54"/>
      <c r="Y10" s="54"/>
      <c r="Z10" s="54"/>
      <c r="AA10" s="54"/>
      <c r="AB10" s="54"/>
    </row>
    <row r="11" spans="1:28" ht="14.45" x14ac:dyDescent="0.3">
      <c r="A11" s="53" t="str">
        <f>Factors!B9</f>
        <v>ResStm</v>
      </c>
      <c r="B11" s="54">
        <v>0</v>
      </c>
      <c r="C11" s="54">
        <v>0</v>
      </c>
      <c r="D11" s="54">
        <v>0</v>
      </c>
      <c r="E11" s="54">
        <v>0</v>
      </c>
      <c r="F11" s="54">
        <v>0</v>
      </c>
      <c r="G11" s="54">
        <v>0</v>
      </c>
      <c r="H11" s="54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0</v>
      </c>
      <c r="P11" s="54">
        <v>0</v>
      </c>
      <c r="Q11" s="54">
        <v>0</v>
      </c>
      <c r="R11" s="54">
        <v>0</v>
      </c>
      <c r="S11" s="54">
        <v>0</v>
      </c>
      <c r="T11" s="54">
        <v>0</v>
      </c>
      <c r="U11" s="54">
        <v>0</v>
      </c>
      <c r="V11" s="54">
        <v>0</v>
      </c>
      <c r="W11" s="54">
        <v>0</v>
      </c>
      <c r="X11" s="54"/>
      <c r="Y11" s="54"/>
      <c r="Z11" s="54"/>
      <c r="AA11" s="54"/>
      <c r="AB11" s="54"/>
    </row>
    <row r="12" spans="1:28" ht="14.45" x14ac:dyDescent="0.3">
      <c r="A12" s="53" t="str">
        <f>Factors!B10</f>
        <v>ResRot</v>
      </c>
      <c r="B12" s="54">
        <v>0</v>
      </c>
      <c r="C12" s="54">
        <v>0</v>
      </c>
      <c r="D12" s="54">
        <v>0</v>
      </c>
      <c r="E12" s="54">
        <v>0</v>
      </c>
      <c r="F12" s="54">
        <v>0</v>
      </c>
      <c r="G12" s="54">
        <v>0</v>
      </c>
      <c r="H12" s="54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  <c r="N12" s="54">
        <v>0</v>
      </c>
      <c r="O12" s="54">
        <v>0</v>
      </c>
      <c r="P12" s="54">
        <v>0</v>
      </c>
      <c r="Q12" s="54">
        <v>0</v>
      </c>
      <c r="R12" s="54">
        <v>0</v>
      </c>
      <c r="S12" s="54">
        <v>0</v>
      </c>
      <c r="T12" s="54">
        <v>0</v>
      </c>
      <c r="U12" s="54">
        <v>0</v>
      </c>
      <c r="V12" s="54">
        <v>0</v>
      </c>
      <c r="W12" s="54">
        <v>0</v>
      </c>
      <c r="X12" s="54"/>
      <c r="Y12" s="54"/>
      <c r="Z12" s="54"/>
      <c r="AA12" s="54"/>
      <c r="AB12" s="54"/>
    </row>
    <row r="13" spans="1:28" ht="14.45" x14ac:dyDescent="0.3">
      <c r="A13" s="53" t="str">
        <f>Factors!B11</f>
        <v>Sawnwd</v>
      </c>
      <c r="B13" s="54">
        <f>('[2]All prices'!$F$28*$C$3+C13)/2</f>
        <v>2230</v>
      </c>
      <c r="C13" s="57">
        <f>'[2]All prices'!$G$28*$C$3</f>
        <v>2470</v>
      </c>
      <c r="D13" s="54">
        <f>(C13+E13)/2</f>
        <v>2215</v>
      </c>
      <c r="E13" s="57">
        <f>'[2]All prices'!$H$28*$C$3</f>
        <v>1960</v>
      </c>
      <c r="F13" s="54">
        <f>(E13+G13)/2</f>
        <v>1935</v>
      </c>
      <c r="G13" s="57">
        <f>'[2]All prices'!$I$28*$C$3</f>
        <v>1910</v>
      </c>
      <c r="H13" s="54">
        <f>(G13+I13)/2</f>
        <v>1915</v>
      </c>
      <c r="I13" s="57">
        <f>'[2]All prices'!$J$28*$C$3</f>
        <v>1920</v>
      </c>
      <c r="J13" s="54">
        <f>(I13+K13)/2</f>
        <v>1950</v>
      </c>
      <c r="K13" s="57">
        <f>'[2]All prices'!$K$28*$C$3</f>
        <v>1980</v>
      </c>
      <c r="L13" s="54">
        <f>(K13+M13)/2</f>
        <v>1955</v>
      </c>
      <c r="M13" s="57">
        <f>'[2]All prices'!$L$28*$C$3</f>
        <v>1930</v>
      </c>
      <c r="N13" s="54">
        <f>(M13+O13)/2</f>
        <v>1820</v>
      </c>
      <c r="O13" s="57">
        <f>'[2]All prices'!$M$28*$C$3</f>
        <v>1710</v>
      </c>
      <c r="P13" s="54">
        <f>(O13+Q13)/2</f>
        <v>1695</v>
      </c>
      <c r="Q13" s="57">
        <f>'[2]All prices'!$N$28*$C$3</f>
        <v>1680</v>
      </c>
      <c r="R13" s="58">
        <f>Q13</f>
        <v>1680</v>
      </c>
      <c r="S13" s="58">
        <f>R13</f>
        <v>1680</v>
      </c>
      <c r="T13" s="58">
        <f>S13</f>
        <v>1680</v>
      </c>
      <c r="U13" s="58">
        <f>T13</f>
        <v>1680</v>
      </c>
      <c r="V13" s="58">
        <f>U13</f>
        <v>1680</v>
      </c>
      <c r="W13" s="58">
        <v>1680</v>
      </c>
      <c r="Y13" s="54"/>
      <c r="Z13" s="54"/>
      <c r="AA13" s="54"/>
      <c r="AB13" s="54"/>
    </row>
    <row r="14" spans="1:28" ht="14.45" x14ac:dyDescent="0.3">
      <c r="A14" s="53" t="str">
        <f>Factors!B12</f>
        <v>Heat__</v>
      </c>
      <c r="B14" s="54">
        <v>0</v>
      </c>
      <c r="C14" s="54">
        <v>0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54">
        <v>0</v>
      </c>
      <c r="O14" s="54">
        <v>0</v>
      </c>
      <c r="P14" s="54">
        <v>0</v>
      </c>
      <c r="Q14" s="54">
        <v>0</v>
      </c>
      <c r="R14" s="54">
        <v>0</v>
      </c>
      <c r="S14" s="54">
        <v>0</v>
      </c>
      <c r="T14" s="54">
        <v>0</v>
      </c>
      <c r="U14" s="54">
        <v>0</v>
      </c>
      <c r="V14" s="54">
        <v>0</v>
      </c>
      <c r="W14" s="54">
        <v>0</v>
      </c>
      <c r="Y14" s="54"/>
      <c r="Z14" s="54"/>
      <c r="AA14" s="54"/>
      <c r="AB14" s="54"/>
    </row>
    <row r="15" spans="1:28" ht="14.45" x14ac:dyDescent="0.3">
      <c r="A15" s="53" t="str">
        <f>Factors!B13</f>
        <v>Electr</v>
      </c>
      <c r="B15" s="54">
        <v>650</v>
      </c>
      <c r="C15" s="54">
        <v>650</v>
      </c>
      <c r="D15" s="54">
        <v>650</v>
      </c>
      <c r="E15" s="54">
        <v>650</v>
      </c>
      <c r="F15" s="54">
        <v>650</v>
      </c>
      <c r="G15" s="54">
        <v>650</v>
      </c>
      <c r="H15" s="54">
        <v>650</v>
      </c>
      <c r="I15" s="54">
        <v>650</v>
      </c>
      <c r="J15" s="54">
        <v>650</v>
      </c>
      <c r="K15" s="54">
        <v>650</v>
      </c>
      <c r="L15" s="54">
        <v>650</v>
      </c>
      <c r="M15" s="54">
        <v>650</v>
      </c>
      <c r="N15" s="54">
        <v>650</v>
      </c>
      <c r="O15" s="54">
        <v>650</v>
      </c>
      <c r="P15" s="54">
        <v>650</v>
      </c>
      <c r="Q15" s="54">
        <v>650</v>
      </c>
      <c r="R15" s="54">
        <v>650</v>
      </c>
      <c r="S15" s="54">
        <v>650</v>
      </c>
      <c r="T15" s="54">
        <v>650</v>
      </c>
      <c r="U15" s="54">
        <v>650</v>
      </c>
      <c r="V15" s="54">
        <v>650</v>
      </c>
      <c r="W15" s="54">
        <v>650</v>
      </c>
      <c r="Y15" s="54"/>
      <c r="Z15" s="54"/>
      <c r="AA15" s="54"/>
      <c r="AB15" s="54"/>
    </row>
    <row r="16" spans="1:28" ht="14.45" x14ac:dyDescent="0.3">
      <c r="A16" s="53" t="str">
        <f>Factors!B14</f>
        <v>BioFue</v>
      </c>
      <c r="B16" s="54">
        <v>0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Y16" s="54"/>
      <c r="Z16" s="54"/>
      <c r="AA16" s="54"/>
      <c r="AB16" s="54"/>
    </row>
    <row r="17" spans="1:28" ht="14.45" x14ac:dyDescent="0.3">
      <c r="A17" s="53" t="str">
        <f>Factors!B15</f>
        <v>PuChem</v>
      </c>
      <c r="B17" s="54">
        <f>('[2]All prices'!$F$20*$C$3+C17)/2</f>
        <v>6525</v>
      </c>
      <c r="C17" s="57">
        <f>'[2]All prices'!$G$20*$C$3</f>
        <v>5420</v>
      </c>
      <c r="D17" s="54">
        <f t="shared" ref="D17:D24" si="1">(C17+E17)/2</f>
        <v>5275</v>
      </c>
      <c r="E17" s="57">
        <f>'[2]All prices'!$H$20*$C$3</f>
        <v>5130</v>
      </c>
      <c r="F17" s="54">
        <f t="shared" ref="F17:F24" si="2">(E17+G17)/2</f>
        <v>5100</v>
      </c>
      <c r="G17" s="57">
        <f>'[2]All prices'!$I$20*$C$3</f>
        <v>5070</v>
      </c>
      <c r="H17" s="54">
        <f t="shared" ref="H17:H24" si="3">(G17+I17)/2</f>
        <v>5090</v>
      </c>
      <c r="I17" s="57">
        <f>'[2]All prices'!$J$20*$C$3</f>
        <v>5110</v>
      </c>
      <c r="J17" s="54">
        <f t="shared" ref="J17:J24" si="4">(I17+K17)/2</f>
        <v>5085</v>
      </c>
      <c r="K17" s="57">
        <f>'[2]All prices'!$K$20*$C$3</f>
        <v>5060</v>
      </c>
      <c r="L17" s="54">
        <f t="shared" ref="L17:L24" si="5">(K17+M17)/2</f>
        <v>5025</v>
      </c>
      <c r="M17" s="57">
        <f>'[2]All prices'!$L$20*$C$3</f>
        <v>4990</v>
      </c>
      <c r="N17" s="54">
        <f t="shared" ref="N17:N24" si="6">(M17+O17)/2</f>
        <v>4895</v>
      </c>
      <c r="O17" s="57">
        <f>'[2]All prices'!$M$20*$C$3</f>
        <v>4800</v>
      </c>
      <c r="P17" s="54">
        <f t="shared" ref="P17:P24" si="7">(O17+Q17)/2</f>
        <v>4760</v>
      </c>
      <c r="Q17" s="57">
        <f>'[2]All prices'!$N$20*$C$3</f>
        <v>4720</v>
      </c>
      <c r="R17" s="58">
        <f t="shared" ref="R17:V24" si="8">Q17</f>
        <v>4720</v>
      </c>
      <c r="S17" s="58">
        <f t="shared" si="8"/>
        <v>4720</v>
      </c>
      <c r="T17" s="58">
        <f t="shared" si="8"/>
        <v>4720</v>
      </c>
      <c r="U17" s="58">
        <f t="shared" si="8"/>
        <v>4720</v>
      </c>
      <c r="V17" s="58">
        <f t="shared" si="8"/>
        <v>4720</v>
      </c>
      <c r="W17" s="54">
        <v>4720</v>
      </c>
      <c r="Y17" s="54"/>
      <c r="Z17" s="54"/>
      <c r="AA17" s="54"/>
      <c r="AB17" s="54"/>
    </row>
    <row r="18" spans="1:28" ht="14.45" x14ac:dyDescent="0.3">
      <c r="A18" s="53" t="str">
        <f>Factors!B16</f>
        <v>PuMech</v>
      </c>
      <c r="B18" s="54">
        <f>('[2]All prices'!$F$22*$C$3+C18)/2</f>
        <v>4820</v>
      </c>
      <c r="C18" s="57">
        <f>'[2]All prices'!$G$22*$C$3</f>
        <v>5130</v>
      </c>
      <c r="D18" s="54">
        <f t="shared" si="1"/>
        <v>5095</v>
      </c>
      <c r="E18" s="57">
        <f>'[2]All prices'!$H$22*$C$3</f>
        <v>5060</v>
      </c>
      <c r="F18" s="54">
        <f t="shared" si="2"/>
        <v>5010</v>
      </c>
      <c r="G18" s="57">
        <f>'[2]All prices'!$I$22*$C$3</f>
        <v>4960</v>
      </c>
      <c r="H18" s="54">
        <f t="shared" si="3"/>
        <v>4940</v>
      </c>
      <c r="I18" s="57">
        <f>'[2]All prices'!$J$22*$C$3</f>
        <v>4920</v>
      </c>
      <c r="J18" s="54">
        <f t="shared" si="4"/>
        <v>4890</v>
      </c>
      <c r="K18" s="57">
        <f>'[2]All prices'!$K$22*$C$3</f>
        <v>4860</v>
      </c>
      <c r="L18" s="54">
        <f t="shared" si="5"/>
        <v>4840</v>
      </c>
      <c r="M18" s="57">
        <f>'[2]All prices'!$L$22*$C$3</f>
        <v>4820</v>
      </c>
      <c r="N18" s="54">
        <f t="shared" si="6"/>
        <v>4820</v>
      </c>
      <c r="O18" s="57">
        <f>'[2]All prices'!$M$22*$C$3</f>
        <v>4820</v>
      </c>
      <c r="P18" s="54">
        <f t="shared" si="7"/>
        <v>4740</v>
      </c>
      <c r="Q18" s="57">
        <f>'[2]All prices'!$N$22*$C$3</f>
        <v>4660</v>
      </c>
      <c r="R18" s="58">
        <f t="shared" si="8"/>
        <v>4660</v>
      </c>
      <c r="S18" s="58">
        <f t="shared" si="8"/>
        <v>4660</v>
      </c>
      <c r="T18" s="58">
        <f t="shared" si="8"/>
        <v>4660</v>
      </c>
      <c r="U18" s="58">
        <f t="shared" si="8"/>
        <v>4660</v>
      </c>
      <c r="V18" s="58">
        <f t="shared" si="8"/>
        <v>4660</v>
      </c>
      <c r="W18" s="54">
        <v>4660</v>
      </c>
      <c r="Y18" s="54"/>
      <c r="Z18" s="54"/>
      <c r="AA18" s="54"/>
      <c r="AB18" s="54"/>
    </row>
    <row r="19" spans="1:28" ht="14.45" x14ac:dyDescent="0.3">
      <c r="A19" s="53" t="str">
        <f>Factors!B17</f>
        <v>PuDiss</v>
      </c>
      <c r="B19" s="54">
        <f>('[2]All prices'!$F$44*$C$3+C19)/2</f>
        <v>6185</v>
      </c>
      <c r="C19" s="57">
        <f>'[2]All prices'!$G$44*$C$3</f>
        <v>5820</v>
      </c>
      <c r="D19" s="54">
        <f t="shared" si="1"/>
        <v>5915</v>
      </c>
      <c r="E19" s="57">
        <f>'[2]All prices'!$H$44*$C$3</f>
        <v>6010</v>
      </c>
      <c r="F19" s="54">
        <f t="shared" si="2"/>
        <v>5880</v>
      </c>
      <c r="G19" s="57">
        <f>'[2]All prices'!$I$44*$C$3</f>
        <v>5750</v>
      </c>
      <c r="H19" s="54">
        <f t="shared" si="3"/>
        <v>5645</v>
      </c>
      <c r="I19" s="57">
        <f>'[2]All prices'!$J$44*$C$3</f>
        <v>5540</v>
      </c>
      <c r="J19" s="54">
        <f t="shared" si="4"/>
        <v>5530</v>
      </c>
      <c r="K19" s="57">
        <f>'[2]All prices'!$K$44*$C$3</f>
        <v>5520</v>
      </c>
      <c r="L19" s="54">
        <f t="shared" si="5"/>
        <v>5485</v>
      </c>
      <c r="M19" s="57">
        <f>'[2]All prices'!$L$44*$C$3</f>
        <v>5450</v>
      </c>
      <c r="N19" s="54">
        <f t="shared" si="6"/>
        <v>5170</v>
      </c>
      <c r="O19" s="57">
        <f>'[2]All prices'!$M$44*$C$3</f>
        <v>4890</v>
      </c>
      <c r="P19" s="54">
        <f t="shared" si="7"/>
        <v>4810</v>
      </c>
      <c r="Q19" s="57">
        <f>'[2]All prices'!$N$44*$C$3</f>
        <v>4730</v>
      </c>
      <c r="R19" s="58">
        <f t="shared" si="8"/>
        <v>4730</v>
      </c>
      <c r="S19" s="58">
        <f t="shared" si="8"/>
        <v>4730</v>
      </c>
      <c r="T19" s="58">
        <f t="shared" si="8"/>
        <v>4730</v>
      </c>
      <c r="U19" s="58">
        <f t="shared" si="8"/>
        <v>4730</v>
      </c>
      <c r="V19" s="58">
        <f t="shared" si="8"/>
        <v>4730</v>
      </c>
      <c r="W19" s="54">
        <v>4730</v>
      </c>
      <c r="Y19" s="54"/>
      <c r="Z19" s="54"/>
      <c r="AA19" s="54"/>
      <c r="AB19" s="54"/>
    </row>
    <row r="20" spans="1:28" ht="14.45" x14ac:dyDescent="0.3">
      <c r="A20" s="53" t="str">
        <f>Factors!B18</f>
        <v>PaChem</v>
      </c>
      <c r="B20" s="54">
        <f>('[2]All prices'!$F$41*$C$3+C20)/2</f>
        <v>8380</v>
      </c>
      <c r="C20" s="57">
        <f>'[2]All prices'!$G$41*$C$3</f>
        <v>8450</v>
      </c>
      <c r="D20" s="54">
        <f t="shared" si="1"/>
        <v>8280</v>
      </c>
      <c r="E20" s="57">
        <f>'[2]All prices'!$H$41*$C$3</f>
        <v>8110</v>
      </c>
      <c r="F20" s="54">
        <f t="shared" si="2"/>
        <v>8275</v>
      </c>
      <c r="G20" s="57">
        <f>'[2]All prices'!$I$41*$C$3</f>
        <v>8440</v>
      </c>
      <c r="H20" s="54">
        <f t="shared" si="3"/>
        <v>8450</v>
      </c>
      <c r="I20" s="57">
        <f>'[2]All prices'!$J$41*$C$3</f>
        <v>8460</v>
      </c>
      <c r="J20" s="54">
        <f t="shared" si="4"/>
        <v>8435</v>
      </c>
      <c r="K20" s="57">
        <f>'[2]All prices'!$K$41*$C$3</f>
        <v>8410</v>
      </c>
      <c r="L20" s="54">
        <f t="shared" si="5"/>
        <v>8380</v>
      </c>
      <c r="M20" s="57">
        <f>'[2]All prices'!$L$41*$C$3</f>
        <v>8350</v>
      </c>
      <c r="N20" s="54">
        <f t="shared" si="6"/>
        <v>8255</v>
      </c>
      <c r="O20" s="57">
        <f>'[2]All prices'!$M$41*$C$3</f>
        <v>8160</v>
      </c>
      <c r="P20" s="54">
        <f t="shared" si="7"/>
        <v>8110</v>
      </c>
      <c r="Q20" s="57">
        <f>'[2]All prices'!$N$41*$C$3</f>
        <v>8060</v>
      </c>
      <c r="R20" s="58">
        <f t="shared" si="8"/>
        <v>8060</v>
      </c>
      <c r="S20" s="58">
        <f t="shared" si="8"/>
        <v>8060</v>
      </c>
      <c r="T20" s="58">
        <f t="shared" si="8"/>
        <v>8060</v>
      </c>
      <c r="U20" s="58">
        <f t="shared" si="8"/>
        <v>8060</v>
      </c>
      <c r="V20" s="58">
        <f t="shared" si="8"/>
        <v>8060</v>
      </c>
      <c r="W20" s="54">
        <v>8060</v>
      </c>
      <c r="Y20" s="54"/>
      <c r="Z20" s="54"/>
      <c r="AA20" s="54"/>
      <c r="AB20" s="54"/>
    </row>
    <row r="21" spans="1:28" ht="14.45" x14ac:dyDescent="0.3">
      <c r="A21" s="53" t="str">
        <f>Factors!B19</f>
        <v>OtChem</v>
      </c>
      <c r="B21" s="54">
        <f>('[2]All prices'!$F$40*$C$3+C21)/2</f>
        <v>7900</v>
      </c>
      <c r="C21" s="57">
        <f>'[2]All prices'!$G$40*$C$3</f>
        <v>7520</v>
      </c>
      <c r="D21" s="54">
        <f t="shared" si="1"/>
        <v>7445</v>
      </c>
      <c r="E21" s="57">
        <f>'[2]All prices'!$H$40*$C$3</f>
        <v>7370</v>
      </c>
      <c r="F21" s="54">
        <f t="shared" si="2"/>
        <v>7440</v>
      </c>
      <c r="G21" s="57">
        <f>'[2]All prices'!$I$40*$C$3</f>
        <v>7510</v>
      </c>
      <c r="H21" s="54">
        <f t="shared" si="3"/>
        <v>7430</v>
      </c>
      <c r="I21" s="57">
        <f>'[2]All prices'!$J$40*$C$3</f>
        <v>7350</v>
      </c>
      <c r="J21" s="54">
        <f t="shared" si="4"/>
        <v>7270</v>
      </c>
      <c r="K21" s="57">
        <f>'[2]All prices'!$K$40*$C$3</f>
        <v>7190</v>
      </c>
      <c r="L21" s="54">
        <f t="shared" si="5"/>
        <v>7165</v>
      </c>
      <c r="M21" s="57">
        <f>'[2]All prices'!$L$40*$C$3</f>
        <v>7140</v>
      </c>
      <c r="N21" s="54">
        <f t="shared" si="6"/>
        <v>7030</v>
      </c>
      <c r="O21" s="57">
        <f>'[2]All prices'!$M$40*$C$3</f>
        <v>6920</v>
      </c>
      <c r="P21" s="54">
        <f t="shared" si="7"/>
        <v>6860</v>
      </c>
      <c r="Q21" s="57">
        <f>'[2]All prices'!$N$40*$C$3</f>
        <v>6800</v>
      </c>
      <c r="R21" s="58">
        <f t="shared" si="8"/>
        <v>6800</v>
      </c>
      <c r="S21" s="58">
        <f t="shared" si="8"/>
        <v>6800</v>
      </c>
      <c r="T21" s="58">
        <f t="shared" si="8"/>
        <v>6800</v>
      </c>
      <c r="U21" s="58">
        <f t="shared" si="8"/>
        <v>6800</v>
      </c>
      <c r="V21" s="58">
        <f t="shared" si="8"/>
        <v>6800</v>
      </c>
      <c r="W21" s="54">
        <v>6800</v>
      </c>
      <c r="Y21" s="54"/>
      <c r="Z21" s="54"/>
      <c r="AA21" s="54"/>
      <c r="AB21" s="54"/>
    </row>
    <row r="22" spans="1:28" ht="14.45" x14ac:dyDescent="0.3">
      <c r="A22" s="53" t="str">
        <f>Factors!B20</f>
        <v>OtMech</v>
      </c>
      <c r="B22" s="54">
        <f>('[2]All prices'!$F$42*$C$3+C22)/2</f>
        <v>8580</v>
      </c>
      <c r="C22" s="57">
        <f>'[2]All prices'!$G$42*$C$3</f>
        <v>8450</v>
      </c>
      <c r="D22" s="54">
        <f t="shared" si="1"/>
        <v>8280</v>
      </c>
      <c r="E22" s="57">
        <f>'[2]All prices'!$H$42*$C$3</f>
        <v>8110</v>
      </c>
      <c r="F22" s="54">
        <f t="shared" si="2"/>
        <v>8070</v>
      </c>
      <c r="G22" s="57">
        <f>'[2]All prices'!$I$42*$C$3</f>
        <v>8030</v>
      </c>
      <c r="H22" s="54">
        <f t="shared" si="3"/>
        <v>8245</v>
      </c>
      <c r="I22" s="57">
        <f>'[2]All prices'!$J$42*$C$3</f>
        <v>8460</v>
      </c>
      <c r="J22" s="54">
        <f t="shared" si="4"/>
        <v>8435</v>
      </c>
      <c r="K22" s="57">
        <f>'[2]All prices'!$K$42*$C$3</f>
        <v>8410</v>
      </c>
      <c r="L22" s="54">
        <f t="shared" si="5"/>
        <v>8380</v>
      </c>
      <c r="M22" s="57">
        <f>'[2]All prices'!$L$42*$C$3</f>
        <v>8350</v>
      </c>
      <c r="N22" s="54">
        <f t="shared" si="6"/>
        <v>8255</v>
      </c>
      <c r="O22" s="57">
        <f>'[2]All prices'!$M$42*$C$3</f>
        <v>8160</v>
      </c>
      <c r="P22" s="54">
        <f t="shared" si="7"/>
        <v>8110</v>
      </c>
      <c r="Q22" s="57">
        <f>'[2]All prices'!$N$42*$C$3</f>
        <v>8060</v>
      </c>
      <c r="R22" s="58">
        <f t="shared" si="8"/>
        <v>8060</v>
      </c>
      <c r="S22" s="58">
        <f t="shared" si="8"/>
        <v>8060</v>
      </c>
      <c r="T22" s="58">
        <f t="shared" si="8"/>
        <v>8060</v>
      </c>
      <c r="U22" s="58">
        <f t="shared" si="8"/>
        <v>8060</v>
      </c>
      <c r="V22" s="58">
        <f t="shared" si="8"/>
        <v>8060</v>
      </c>
      <c r="W22" s="54">
        <v>8060</v>
      </c>
      <c r="Y22" s="54"/>
      <c r="Z22" s="54"/>
      <c r="AA22" s="54"/>
      <c r="AB22" s="54"/>
    </row>
    <row r="23" spans="1:28" ht="14.45" x14ac:dyDescent="0.3">
      <c r="A23" s="53" t="str">
        <f>Factors!B21</f>
        <v>NwMech</v>
      </c>
      <c r="B23" s="54">
        <f>('[2]All prices'!$F$39*$C$3+C23)/2</f>
        <v>6500</v>
      </c>
      <c r="C23" s="57">
        <f>'[2]All prices'!$G$39*$C$3</f>
        <v>6460</v>
      </c>
      <c r="D23" s="54">
        <f t="shared" si="1"/>
        <v>6375</v>
      </c>
      <c r="E23" s="57">
        <f>'[2]All prices'!$H$39*$C$3</f>
        <v>6290</v>
      </c>
      <c r="F23" s="54">
        <f t="shared" si="2"/>
        <v>6410</v>
      </c>
      <c r="G23" s="57">
        <f>'[2]All prices'!$I$39*$C$3</f>
        <v>6530</v>
      </c>
      <c r="H23" s="54">
        <f t="shared" si="3"/>
        <v>6530</v>
      </c>
      <c r="I23" s="57">
        <f>'[2]All prices'!$J$39*$C$3</f>
        <v>6530</v>
      </c>
      <c r="J23" s="54">
        <f t="shared" si="4"/>
        <v>6485</v>
      </c>
      <c r="K23" s="57">
        <f>'[2]All prices'!$K$39*$C$3</f>
        <v>6440</v>
      </c>
      <c r="L23" s="54">
        <f t="shared" si="5"/>
        <v>6440</v>
      </c>
      <c r="M23" s="57">
        <f>'[2]All prices'!$L$39*$C$3</f>
        <v>6440</v>
      </c>
      <c r="N23" s="54">
        <f t="shared" si="6"/>
        <v>6355</v>
      </c>
      <c r="O23" s="57">
        <f>'[2]All prices'!$M$39*$C$3</f>
        <v>6270</v>
      </c>
      <c r="P23" s="54">
        <f t="shared" si="7"/>
        <v>6215</v>
      </c>
      <c r="Q23" s="57">
        <f>'[2]All prices'!$N$39*$C$3</f>
        <v>6160</v>
      </c>
      <c r="R23" s="58">
        <f t="shared" si="8"/>
        <v>6160</v>
      </c>
      <c r="S23" s="58">
        <f t="shared" si="8"/>
        <v>6160</v>
      </c>
      <c r="T23" s="58">
        <f t="shared" si="8"/>
        <v>6160</v>
      </c>
      <c r="U23" s="58">
        <f t="shared" si="8"/>
        <v>6160</v>
      </c>
      <c r="V23" s="58">
        <f t="shared" si="8"/>
        <v>6160</v>
      </c>
      <c r="W23" s="54">
        <v>6160</v>
      </c>
      <c r="Y23" s="54"/>
      <c r="Z23" s="54"/>
      <c r="AA23" s="54"/>
      <c r="AB23" s="54"/>
    </row>
    <row r="24" spans="1:28" ht="14.45" x14ac:dyDescent="0.3">
      <c r="A24" s="53" t="str">
        <f>Factors!B22</f>
        <v>ParBoa</v>
      </c>
      <c r="B24" s="54">
        <f>('[2]All prices'!$F$30*$C$3+C24)/2</f>
        <v>2895</v>
      </c>
      <c r="C24" s="57">
        <f>'[2]All prices'!$G$30*$C$3</f>
        <v>2750</v>
      </c>
      <c r="D24" s="54">
        <f t="shared" si="1"/>
        <v>2830</v>
      </c>
      <c r="E24" s="57">
        <f>'[2]All prices'!$H$30*$C$3</f>
        <v>2910</v>
      </c>
      <c r="F24" s="54">
        <f t="shared" si="2"/>
        <v>2915</v>
      </c>
      <c r="G24" s="57">
        <f>'[2]All prices'!$I$30*$C$3</f>
        <v>2920</v>
      </c>
      <c r="H24" s="54">
        <f t="shared" si="3"/>
        <v>2855</v>
      </c>
      <c r="I24" s="57">
        <f>'[2]All prices'!$J$30*$C$3</f>
        <v>2790</v>
      </c>
      <c r="J24" s="54">
        <f t="shared" si="4"/>
        <v>2875</v>
      </c>
      <c r="K24" s="57">
        <f>'[2]All prices'!$K$30*$C$3</f>
        <v>2960</v>
      </c>
      <c r="L24" s="54">
        <f t="shared" si="5"/>
        <v>2905</v>
      </c>
      <c r="M24" s="57">
        <f>'[2]All prices'!$L$30*$C$3</f>
        <v>2850</v>
      </c>
      <c r="N24" s="54">
        <f t="shared" si="6"/>
        <v>2830</v>
      </c>
      <c r="O24" s="57">
        <f>'[2]All prices'!$M$30*$C$3</f>
        <v>2810</v>
      </c>
      <c r="P24" s="54">
        <f t="shared" si="7"/>
        <v>2800</v>
      </c>
      <c r="Q24" s="57">
        <f>'[2]All prices'!$N$30*$C$3</f>
        <v>2790</v>
      </c>
      <c r="R24" s="58">
        <f t="shared" si="8"/>
        <v>2790</v>
      </c>
      <c r="S24" s="58">
        <f t="shared" si="8"/>
        <v>2790</v>
      </c>
      <c r="T24" s="58">
        <f t="shared" si="8"/>
        <v>2790</v>
      </c>
      <c r="U24" s="58">
        <f t="shared" si="8"/>
        <v>2790</v>
      </c>
      <c r="V24" s="58">
        <f t="shared" si="8"/>
        <v>2790</v>
      </c>
      <c r="W24" s="54">
        <v>2790</v>
      </c>
      <c r="Y24" s="54"/>
      <c r="Z24" s="54"/>
      <c r="AA24" s="54"/>
      <c r="AB24" s="54"/>
    </row>
    <row r="25" spans="1:28" ht="14.45" x14ac:dyDescent="0.3">
      <c r="B25" s="54"/>
      <c r="C25" s="57"/>
      <c r="D25" s="54"/>
      <c r="E25" s="57"/>
      <c r="F25" s="54"/>
      <c r="G25" s="57"/>
      <c r="H25" s="54"/>
      <c r="I25" s="57"/>
      <c r="J25" s="54"/>
      <c r="K25" s="57"/>
      <c r="L25" s="54"/>
      <c r="M25" s="57"/>
      <c r="N25" s="54"/>
      <c r="O25" s="57"/>
      <c r="P25" s="54"/>
      <c r="Q25" s="57"/>
      <c r="R25" s="58"/>
      <c r="S25" s="58"/>
      <c r="T25" s="58"/>
      <c r="U25" s="58"/>
      <c r="V25" s="58"/>
      <c r="W25" s="54"/>
      <c r="Y25" s="54"/>
      <c r="Z25" s="54"/>
      <c r="AA25" s="54"/>
      <c r="AB25" s="54"/>
    </row>
    <row r="26" spans="1:28" ht="14.45" x14ac:dyDescent="0.3">
      <c r="B26" s="54"/>
      <c r="C26" s="57"/>
      <c r="D26" s="54"/>
      <c r="E26" s="57"/>
      <c r="F26" s="54"/>
      <c r="G26" s="57"/>
      <c r="H26" s="54"/>
      <c r="I26" s="57"/>
      <c r="J26" s="54"/>
      <c r="K26" s="57"/>
      <c r="L26" s="54"/>
      <c r="M26" s="57"/>
      <c r="N26" s="54"/>
      <c r="O26" s="57"/>
      <c r="P26" s="54"/>
      <c r="Q26" s="57"/>
      <c r="R26" s="58"/>
      <c r="S26" s="58"/>
      <c r="T26" s="58"/>
      <c r="U26" s="58"/>
      <c r="V26" s="58"/>
      <c r="W26" s="54"/>
      <c r="Y26" s="54"/>
      <c r="Z26" s="54"/>
      <c r="AA26" s="54"/>
      <c r="AB26" s="54"/>
    </row>
    <row r="27" spans="1:28" ht="14.45" x14ac:dyDescent="0.3">
      <c r="B27" s="54"/>
      <c r="C27" s="57"/>
      <c r="D27" s="54"/>
      <c r="E27" s="57"/>
      <c r="F27" s="54"/>
      <c r="G27" s="57"/>
      <c r="H27" s="54"/>
      <c r="I27" s="57"/>
      <c r="J27" s="54"/>
      <c r="K27" s="57"/>
      <c r="L27" s="54"/>
      <c r="M27" s="57"/>
      <c r="N27" s="54"/>
      <c r="O27" s="57"/>
      <c r="P27" s="54"/>
      <c r="Q27" s="57"/>
      <c r="R27" s="58"/>
      <c r="S27" s="58"/>
      <c r="T27" s="58"/>
      <c r="U27" s="58"/>
      <c r="V27" s="58"/>
      <c r="W27" s="54"/>
      <c r="Y27" s="54"/>
      <c r="Z27" s="54"/>
      <c r="AA27" s="54"/>
      <c r="AB27" s="54"/>
    </row>
    <row r="28" spans="1:28" ht="14.45" x14ac:dyDescent="0.3"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spans="1:28" ht="18.75" x14ac:dyDescent="0.3">
      <c r="A29" s="56" t="s">
        <v>66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spans="1:28" x14ac:dyDescent="0.3">
      <c r="A30" s="53" t="str">
        <f>Factors!B2</f>
        <v>PinTim</v>
      </c>
      <c r="B30" s="54">
        <v>0</v>
      </c>
      <c r="C30" s="54">
        <f t="shared" ref="C30:W36" si="9">B30</f>
        <v>0</v>
      </c>
      <c r="D30" s="54">
        <f t="shared" si="9"/>
        <v>0</v>
      </c>
      <c r="E30" s="54">
        <f t="shared" si="9"/>
        <v>0</v>
      </c>
      <c r="F30" s="54">
        <f t="shared" si="9"/>
        <v>0</v>
      </c>
      <c r="G30" s="54">
        <f t="shared" si="9"/>
        <v>0</v>
      </c>
      <c r="H30" s="54">
        <f t="shared" si="9"/>
        <v>0</v>
      </c>
      <c r="I30" s="54">
        <f t="shared" si="9"/>
        <v>0</v>
      </c>
      <c r="J30" s="54">
        <f t="shared" si="9"/>
        <v>0</v>
      </c>
      <c r="K30" s="54">
        <f t="shared" si="9"/>
        <v>0</v>
      </c>
      <c r="L30" s="54">
        <f t="shared" si="9"/>
        <v>0</v>
      </c>
      <c r="M30" s="54">
        <f t="shared" si="9"/>
        <v>0</v>
      </c>
      <c r="N30" s="54">
        <f t="shared" si="9"/>
        <v>0</v>
      </c>
      <c r="O30" s="54">
        <f t="shared" si="9"/>
        <v>0</v>
      </c>
      <c r="P30" s="54">
        <f t="shared" si="9"/>
        <v>0</v>
      </c>
      <c r="Q30" s="54">
        <f t="shared" si="9"/>
        <v>0</v>
      </c>
      <c r="R30" s="54">
        <f t="shared" si="9"/>
        <v>0</v>
      </c>
      <c r="S30" s="54">
        <f t="shared" si="9"/>
        <v>0</v>
      </c>
      <c r="T30" s="54">
        <f t="shared" si="9"/>
        <v>0</v>
      </c>
      <c r="U30" s="54">
        <f t="shared" si="9"/>
        <v>0</v>
      </c>
      <c r="V30" s="54">
        <f t="shared" si="9"/>
        <v>0</v>
      </c>
      <c r="W30" s="54">
        <f t="shared" si="9"/>
        <v>0</v>
      </c>
      <c r="X30" s="54"/>
      <c r="Y30" s="54"/>
      <c r="Z30" s="54"/>
      <c r="AA30" s="54"/>
      <c r="AB30" s="54"/>
    </row>
    <row r="31" spans="1:28" x14ac:dyDescent="0.3">
      <c r="A31" s="53" t="str">
        <f>Factors!B3</f>
        <v>PinPuw</v>
      </c>
      <c r="B31" s="54">
        <v>0</v>
      </c>
      <c r="C31" s="54">
        <f t="shared" si="9"/>
        <v>0</v>
      </c>
      <c r="D31" s="54">
        <f t="shared" si="9"/>
        <v>0</v>
      </c>
      <c r="E31" s="54">
        <f t="shared" si="9"/>
        <v>0</v>
      </c>
      <c r="F31" s="54">
        <f t="shared" si="9"/>
        <v>0</v>
      </c>
      <c r="G31" s="54">
        <f t="shared" si="9"/>
        <v>0</v>
      </c>
      <c r="H31" s="54">
        <f t="shared" si="9"/>
        <v>0</v>
      </c>
      <c r="I31" s="54">
        <f t="shared" si="9"/>
        <v>0</v>
      </c>
      <c r="J31" s="54">
        <f t="shared" si="9"/>
        <v>0</v>
      </c>
      <c r="K31" s="54">
        <f t="shared" si="9"/>
        <v>0</v>
      </c>
      <c r="L31" s="54">
        <f t="shared" si="9"/>
        <v>0</v>
      </c>
      <c r="M31" s="54">
        <f t="shared" si="9"/>
        <v>0</v>
      </c>
      <c r="N31" s="54">
        <f t="shared" si="9"/>
        <v>0</v>
      </c>
      <c r="O31" s="54">
        <f t="shared" si="9"/>
        <v>0</v>
      </c>
      <c r="P31" s="54">
        <f t="shared" si="9"/>
        <v>0</v>
      </c>
      <c r="Q31" s="54">
        <f t="shared" si="9"/>
        <v>0</v>
      </c>
      <c r="R31" s="54">
        <f t="shared" si="9"/>
        <v>0</v>
      </c>
      <c r="S31" s="54">
        <f t="shared" si="9"/>
        <v>0</v>
      </c>
      <c r="T31" s="54">
        <f t="shared" si="9"/>
        <v>0</v>
      </c>
      <c r="U31" s="54">
        <f t="shared" si="9"/>
        <v>0</v>
      </c>
      <c r="V31" s="54">
        <f t="shared" si="9"/>
        <v>0</v>
      </c>
      <c r="W31" s="54">
        <f t="shared" si="9"/>
        <v>0</v>
      </c>
      <c r="X31" s="54"/>
      <c r="Y31" s="54"/>
      <c r="Z31" s="54"/>
      <c r="AA31" s="54"/>
      <c r="AB31" s="54"/>
    </row>
    <row r="32" spans="1:28" x14ac:dyDescent="0.3">
      <c r="A32" s="53" t="str">
        <f>Factors!B4</f>
        <v>SprTim</v>
      </c>
      <c r="B32" s="54">
        <v>0</v>
      </c>
      <c r="C32" s="54">
        <f t="shared" si="9"/>
        <v>0</v>
      </c>
      <c r="D32" s="54">
        <f t="shared" si="9"/>
        <v>0</v>
      </c>
      <c r="E32" s="54">
        <f t="shared" si="9"/>
        <v>0</v>
      </c>
      <c r="F32" s="54">
        <f t="shared" si="9"/>
        <v>0</v>
      </c>
      <c r="G32" s="54">
        <f t="shared" si="9"/>
        <v>0</v>
      </c>
      <c r="H32" s="54">
        <f t="shared" si="9"/>
        <v>0</v>
      </c>
      <c r="I32" s="54">
        <f t="shared" si="9"/>
        <v>0</v>
      </c>
      <c r="J32" s="54">
        <f t="shared" si="9"/>
        <v>0</v>
      </c>
      <c r="K32" s="54">
        <f t="shared" si="9"/>
        <v>0</v>
      </c>
      <c r="L32" s="54">
        <f t="shared" si="9"/>
        <v>0</v>
      </c>
      <c r="M32" s="54">
        <f t="shared" si="9"/>
        <v>0</v>
      </c>
      <c r="N32" s="54">
        <f t="shared" si="9"/>
        <v>0</v>
      </c>
      <c r="O32" s="54">
        <f t="shared" si="9"/>
        <v>0</v>
      </c>
      <c r="P32" s="54">
        <f t="shared" si="9"/>
        <v>0</v>
      </c>
      <c r="Q32" s="54">
        <f t="shared" si="9"/>
        <v>0</v>
      </c>
      <c r="R32" s="54">
        <f t="shared" si="9"/>
        <v>0</v>
      </c>
      <c r="S32" s="54">
        <f t="shared" si="9"/>
        <v>0</v>
      </c>
      <c r="T32" s="54">
        <f t="shared" si="9"/>
        <v>0</v>
      </c>
      <c r="U32" s="54">
        <f t="shared" si="9"/>
        <v>0</v>
      </c>
      <c r="V32" s="54">
        <f t="shared" si="9"/>
        <v>0</v>
      </c>
      <c r="W32" s="54">
        <f t="shared" si="9"/>
        <v>0</v>
      </c>
      <c r="X32" s="54"/>
      <c r="Y32" s="54"/>
      <c r="Z32" s="54"/>
      <c r="AA32" s="54"/>
      <c r="AB32" s="54"/>
    </row>
    <row r="33" spans="1:28" x14ac:dyDescent="0.3">
      <c r="A33" s="53" t="str">
        <f>Factors!B5</f>
        <v>SprPuw</v>
      </c>
      <c r="B33" s="54">
        <v>0</v>
      </c>
      <c r="C33" s="54">
        <f t="shared" si="9"/>
        <v>0</v>
      </c>
      <c r="D33" s="54">
        <f t="shared" si="9"/>
        <v>0</v>
      </c>
      <c r="E33" s="54">
        <f t="shared" si="9"/>
        <v>0</v>
      </c>
      <c r="F33" s="54">
        <f t="shared" si="9"/>
        <v>0</v>
      </c>
      <c r="G33" s="54">
        <f t="shared" si="9"/>
        <v>0</v>
      </c>
      <c r="H33" s="54">
        <f t="shared" si="9"/>
        <v>0</v>
      </c>
      <c r="I33" s="54">
        <f t="shared" si="9"/>
        <v>0</v>
      </c>
      <c r="J33" s="54">
        <f t="shared" si="9"/>
        <v>0</v>
      </c>
      <c r="K33" s="54">
        <f t="shared" si="9"/>
        <v>0</v>
      </c>
      <c r="L33" s="54">
        <f t="shared" si="9"/>
        <v>0</v>
      </c>
      <c r="M33" s="54">
        <f t="shared" si="9"/>
        <v>0</v>
      </c>
      <c r="N33" s="54">
        <f t="shared" si="9"/>
        <v>0</v>
      </c>
      <c r="O33" s="54">
        <f t="shared" si="9"/>
        <v>0</v>
      </c>
      <c r="P33" s="54">
        <f t="shared" si="9"/>
        <v>0</v>
      </c>
      <c r="Q33" s="54">
        <f t="shared" si="9"/>
        <v>0</v>
      </c>
      <c r="R33" s="54">
        <f t="shared" si="9"/>
        <v>0</v>
      </c>
      <c r="S33" s="54">
        <f t="shared" si="9"/>
        <v>0</v>
      </c>
      <c r="T33" s="54">
        <f t="shared" si="9"/>
        <v>0</v>
      </c>
      <c r="U33" s="54">
        <f t="shared" si="9"/>
        <v>0</v>
      </c>
      <c r="V33" s="54">
        <f t="shared" si="9"/>
        <v>0</v>
      </c>
      <c r="W33" s="54">
        <f t="shared" si="9"/>
        <v>0</v>
      </c>
      <c r="X33" s="54"/>
      <c r="Y33" s="54"/>
      <c r="Z33" s="54"/>
      <c r="AA33" s="54"/>
      <c r="AB33" s="54"/>
    </row>
    <row r="34" spans="1:28" x14ac:dyDescent="0.3">
      <c r="A34" s="53" t="str">
        <f>Factors!B6</f>
        <v>Decids</v>
      </c>
      <c r="B34" s="54">
        <v>0</v>
      </c>
      <c r="C34" s="54">
        <f t="shared" si="9"/>
        <v>0</v>
      </c>
      <c r="D34" s="54">
        <f t="shared" si="9"/>
        <v>0</v>
      </c>
      <c r="E34" s="54">
        <f t="shared" si="9"/>
        <v>0</v>
      </c>
      <c r="F34" s="54">
        <f t="shared" si="9"/>
        <v>0</v>
      </c>
      <c r="G34" s="54">
        <f t="shared" si="9"/>
        <v>0</v>
      </c>
      <c r="H34" s="54">
        <f t="shared" si="9"/>
        <v>0</v>
      </c>
      <c r="I34" s="54">
        <f t="shared" si="9"/>
        <v>0</v>
      </c>
      <c r="J34" s="54">
        <f t="shared" si="9"/>
        <v>0</v>
      </c>
      <c r="K34" s="54">
        <f t="shared" si="9"/>
        <v>0</v>
      </c>
      <c r="L34" s="54">
        <f t="shared" si="9"/>
        <v>0</v>
      </c>
      <c r="M34" s="54">
        <f t="shared" si="9"/>
        <v>0</v>
      </c>
      <c r="N34" s="54">
        <f t="shared" si="9"/>
        <v>0</v>
      </c>
      <c r="O34" s="54">
        <f t="shared" si="9"/>
        <v>0</v>
      </c>
      <c r="P34" s="54">
        <f t="shared" si="9"/>
        <v>0</v>
      </c>
      <c r="Q34" s="54">
        <f t="shared" si="9"/>
        <v>0</v>
      </c>
      <c r="R34" s="54">
        <f t="shared" si="9"/>
        <v>0</v>
      </c>
      <c r="S34" s="54">
        <f t="shared" si="9"/>
        <v>0</v>
      </c>
      <c r="T34" s="54">
        <f t="shared" si="9"/>
        <v>0</v>
      </c>
      <c r="U34" s="54">
        <f t="shared" si="9"/>
        <v>0</v>
      </c>
      <c r="V34" s="54">
        <f t="shared" si="9"/>
        <v>0</v>
      </c>
      <c r="W34" s="54">
        <f t="shared" si="9"/>
        <v>0</v>
      </c>
      <c r="X34" s="54"/>
      <c r="Y34" s="54"/>
      <c r="Z34" s="54"/>
      <c r="AA34" s="54"/>
      <c r="AB34" s="54"/>
    </row>
    <row r="35" spans="1:28" x14ac:dyDescent="0.3">
      <c r="A35" s="53" t="str">
        <f>Factors!B7</f>
        <v>Sawdst</v>
      </c>
      <c r="B35" s="54">
        <v>0</v>
      </c>
      <c r="C35" s="54">
        <f t="shared" si="9"/>
        <v>0</v>
      </c>
      <c r="D35" s="54">
        <f t="shared" si="9"/>
        <v>0</v>
      </c>
      <c r="E35" s="54">
        <f t="shared" si="9"/>
        <v>0</v>
      </c>
      <c r="F35" s="54">
        <f t="shared" si="9"/>
        <v>0</v>
      </c>
      <c r="G35" s="54">
        <f t="shared" si="9"/>
        <v>0</v>
      </c>
      <c r="H35" s="54">
        <f t="shared" si="9"/>
        <v>0</v>
      </c>
      <c r="I35" s="54">
        <f t="shared" si="9"/>
        <v>0</v>
      </c>
      <c r="J35" s="54">
        <f t="shared" si="9"/>
        <v>0</v>
      </c>
      <c r="K35" s="54">
        <f t="shared" si="9"/>
        <v>0</v>
      </c>
      <c r="L35" s="54">
        <f t="shared" si="9"/>
        <v>0</v>
      </c>
      <c r="M35" s="54">
        <f t="shared" si="9"/>
        <v>0</v>
      </c>
      <c r="N35" s="54">
        <f t="shared" si="9"/>
        <v>0</v>
      </c>
      <c r="O35" s="54">
        <f t="shared" si="9"/>
        <v>0</v>
      </c>
      <c r="P35" s="54">
        <f t="shared" si="9"/>
        <v>0</v>
      </c>
      <c r="Q35" s="54">
        <f t="shared" si="9"/>
        <v>0</v>
      </c>
      <c r="R35" s="54">
        <f t="shared" si="9"/>
        <v>0</v>
      </c>
      <c r="S35" s="54">
        <f t="shared" si="9"/>
        <v>0</v>
      </c>
      <c r="T35" s="54">
        <f t="shared" si="9"/>
        <v>0</v>
      </c>
      <c r="U35" s="54">
        <f t="shared" si="9"/>
        <v>0</v>
      </c>
      <c r="V35" s="54">
        <f t="shared" si="9"/>
        <v>0</v>
      </c>
      <c r="W35" s="54">
        <f t="shared" si="9"/>
        <v>0</v>
      </c>
      <c r="X35" s="54"/>
      <c r="Y35" s="54"/>
      <c r="Z35" s="54"/>
      <c r="AA35" s="54"/>
      <c r="AB35" s="54"/>
    </row>
    <row r="36" spans="1:28" x14ac:dyDescent="0.3">
      <c r="A36" s="53" t="str">
        <f>Factors!B8</f>
        <v>Chips_</v>
      </c>
      <c r="B36" s="54">
        <v>0</v>
      </c>
      <c r="C36" s="54">
        <f t="shared" si="9"/>
        <v>0</v>
      </c>
      <c r="D36" s="54">
        <f t="shared" si="9"/>
        <v>0</v>
      </c>
      <c r="E36" s="54">
        <f t="shared" si="9"/>
        <v>0</v>
      </c>
      <c r="F36" s="54">
        <f t="shared" si="9"/>
        <v>0</v>
      </c>
      <c r="G36" s="54">
        <f t="shared" si="9"/>
        <v>0</v>
      </c>
      <c r="H36" s="54">
        <f t="shared" si="9"/>
        <v>0</v>
      </c>
      <c r="I36" s="54">
        <f t="shared" si="9"/>
        <v>0</v>
      </c>
      <c r="J36" s="54">
        <f t="shared" si="9"/>
        <v>0</v>
      </c>
      <c r="K36" s="54">
        <f t="shared" si="9"/>
        <v>0</v>
      </c>
      <c r="L36" s="54">
        <f t="shared" si="9"/>
        <v>0</v>
      </c>
      <c r="M36" s="54">
        <f t="shared" si="9"/>
        <v>0</v>
      </c>
      <c r="N36" s="54">
        <f t="shared" si="9"/>
        <v>0</v>
      </c>
      <c r="O36" s="54">
        <f t="shared" si="9"/>
        <v>0</v>
      </c>
      <c r="P36" s="54">
        <f t="shared" si="9"/>
        <v>0</v>
      </c>
      <c r="Q36" s="54">
        <f t="shared" si="9"/>
        <v>0</v>
      </c>
      <c r="R36" s="54">
        <f t="shared" si="9"/>
        <v>0</v>
      </c>
      <c r="S36" s="54">
        <f t="shared" si="9"/>
        <v>0</v>
      </c>
      <c r="T36" s="54">
        <f t="shared" si="9"/>
        <v>0</v>
      </c>
      <c r="U36" s="54">
        <f t="shared" si="9"/>
        <v>0</v>
      </c>
      <c r="V36" s="54">
        <f t="shared" si="9"/>
        <v>0</v>
      </c>
      <c r="W36" s="54">
        <f t="shared" si="9"/>
        <v>0</v>
      </c>
      <c r="X36" s="54"/>
      <c r="Y36" s="54"/>
      <c r="Z36" s="54"/>
      <c r="AA36" s="54"/>
      <c r="AB36" s="54"/>
    </row>
    <row r="37" spans="1:28" x14ac:dyDescent="0.3">
      <c r="A37" s="53" t="str">
        <f>Factors!B9</f>
        <v>ResStm</v>
      </c>
      <c r="B37" s="54">
        <v>0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4">
        <v>0</v>
      </c>
      <c r="O37" s="54">
        <v>0</v>
      </c>
      <c r="P37" s="54">
        <v>0</v>
      </c>
      <c r="Q37" s="54">
        <v>0</v>
      </c>
      <c r="R37" s="54">
        <v>0</v>
      </c>
      <c r="S37" s="54">
        <v>0</v>
      </c>
      <c r="T37" s="54">
        <v>0</v>
      </c>
      <c r="U37" s="54">
        <v>0</v>
      </c>
      <c r="V37" s="54">
        <v>0</v>
      </c>
      <c r="W37" s="54">
        <v>0</v>
      </c>
      <c r="X37" s="54"/>
      <c r="Y37" s="54"/>
      <c r="Z37" s="54"/>
      <c r="AA37" s="54"/>
      <c r="AB37" s="54"/>
    </row>
    <row r="38" spans="1:28" x14ac:dyDescent="0.3">
      <c r="A38" s="53" t="str">
        <f>Factors!B10</f>
        <v>ResRot</v>
      </c>
      <c r="B38" s="54">
        <v>0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4">
        <v>0</v>
      </c>
      <c r="O38" s="54">
        <v>0</v>
      </c>
      <c r="P38" s="54">
        <v>0</v>
      </c>
      <c r="Q38" s="54">
        <v>0</v>
      </c>
      <c r="R38" s="54">
        <v>0</v>
      </c>
      <c r="S38" s="54">
        <v>0</v>
      </c>
      <c r="T38" s="54">
        <v>0</v>
      </c>
      <c r="U38" s="54">
        <v>0</v>
      </c>
      <c r="V38" s="54">
        <v>0</v>
      </c>
      <c r="W38" s="54">
        <v>0</v>
      </c>
      <c r="X38" s="54"/>
      <c r="Y38" s="54"/>
      <c r="Z38" s="54"/>
      <c r="AA38" s="54"/>
      <c r="AB38" s="54"/>
    </row>
    <row r="39" spans="1:28" x14ac:dyDescent="0.3">
      <c r="A39" s="53" t="str">
        <f>Factors!B11</f>
        <v>Sawnwd</v>
      </c>
      <c r="B39" s="54">
        <f>([2]Semi_finished_products!$F$9*1000000+C39)/2</f>
        <v>18664500</v>
      </c>
      <c r="C39" s="57">
        <f>[2]Semi_finished_products!$G$9*1000000</f>
        <v>18928000</v>
      </c>
      <c r="D39" s="54">
        <f>(C39+E39)/2</f>
        <v>18928000</v>
      </c>
      <c r="E39" s="57">
        <f>[2]Semi_finished_products!$H$9*1000000</f>
        <v>18928000</v>
      </c>
      <c r="F39" s="54">
        <f>(E39+G39)/2</f>
        <v>18928000</v>
      </c>
      <c r="G39" s="57">
        <f>[2]Semi_finished_products!$I$9*1000000</f>
        <v>18928000</v>
      </c>
      <c r="H39" s="54">
        <f>(G39+I39)/2</f>
        <v>18928000</v>
      </c>
      <c r="I39" s="57">
        <f>[2]Semi_finished_products!$J$9*1000000</f>
        <v>18928000</v>
      </c>
      <c r="J39" s="54">
        <f>(I39+K39)/2</f>
        <v>18928000</v>
      </c>
      <c r="K39" s="57">
        <f>[2]Semi_finished_products!$K$9*1000000</f>
        <v>18928000</v>
      </c>
      <c r="L39" s="54">
        <f>(K39+M39)/2</f>
        <v>18928000</v>
      </c>
      <c r="M39" s="57">
        <f>[2]Semi_finished_products!$L$9*1000000</f>
        <v>18928000</v>
      </c>
      <c r="N39" s="54">
        <f>(M39+O39)/2</f>
        <v>18647500</v>
      </c>
      <c r="O39" s="57">
        <f>[2]Semi_finished_products!$M$9*1000000</f>
        <v>18367000</v>
      </c>
      <c r="P39" s="54">
        <f>(O39+Q39)/2</f>
        <v>18367000</v>
      </c>
      <c r="Q39" s="57">
        <f>[2]Semi_finished_products!$N$9*1000000</f>
        <v>18367000</v>
      </c>
      <c r="R39" s="58">
        <f>Q39</f>
        <v>18367000</v>
      </c>
      <c r="S39" s="58">
        <f t="shared" ref="S39:V39" si="10">R39</f>
        <v>18367000</v>
      </c>
      <c r="T39" s="58">
        <f t="shared" si="10"/>
        <v>18367000</v>
      </c>
      <c r="U39" s="58">
        <f t="shared" si="10"/>
        <v>18367000</v>
      </c>
      <c r="V39" s="58">
        <f t="shared" si="10"/>
        <v>18367000</v>
      </c>
      <c r="W39" s="58">
        <v>18367000</v>
      </c>
      <c r="Y39" s="54"/>
      <c r="Z39" s="54"/>
      <c r="AA39" s="54"/>
      <c r="AB39" s="54"/>
    </row>
    <row r="40" spans="1:28" x14ac:dyDescent="0.3">
      <c r="A40" s="53" t="str">
        <f>Factors!B12</f>
        <v>Heat__</v>
      </c>
      <c r="B40" s="54">
        <v>20250000</v>
      </c>
      <c r="C40" s="54">
        <v>18000000</v>
      </c>
      <c r="D40" s="54">
        <v>18750000</v>
      </c>
      <c r="E40" s="54">
        <v>18000000</v>
      </c>
      <c r="F40" s="54">
        <v>18750000</v>
      </c>
      <c r="G40" s="54">
        <v>17250000</v>
      </c>
      <c r="H40" s="54">
        <v>17250000</v>
      </c>
      <c r="I40" s="54">
        <v>17250000</v>
      </c>
      <c r="J40" s="54">
        <v>17250000</v>
      </c>
      <c r="K40" s="54">
        <v>17250000</v>
      </c>
      <c r="L40" s="54">
        <v>17250000</v>
      </c>
      <c r="M40" s="54">
        <v>17250000</v>
      </c>
      <c r="N40" s="54">
        <v>17250000</v>
      </c>
      <c r="O40" s="54">
        <v>17250000</v>
      </c>
      <c r="P40" s="54">
        <v>17250000</v>
      </c>
      <c r="Q40" s="54">
        <v>17250000</v>
      </c>
      <c r="R40" s="54">
        <v>17250000</v>
      </c>
      <c r="S40" s="54">
        <v>17250000</v>
      </c>
      <c r="T40" s="54">
        <v>17250000</v>
      </c>
      <c r="U40" s="54">
        <v>17250000</v>
      </c>
      <c r="V40" s="54">
        <v>17250000</v>
      </c>
      <c r="W40" s="54">
        <v>17250000</v>
      </c>
      <c r="Y40" s="54"/>
      <c r="Z40" s="54"/>
      <c r="AA40" s="54"/>
      <c r="AB40" s="54"/>
    </row>
    <row r="41" spans="1:28" x14ac:dyDescent="0.3">
      <c r="A41" s="53" t="str">
        <f>Factors!B13</f>
        <v>Electr</v>
      </c>
      <c r="B41" s="54">
        <v>0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>
        <v>0</v>
      </c>
      <c r="O41" s="54">
        <v>0</v>
      </c>
      <c r="P41" s="54">
        <v>0</v>
      </c>
      <c r="Q41" s="54">
        <v>0</v>
      </c>
      <c r="R41" s="54">
        <v>0</v>
      </c>
      <c r="S41" s="54">
        <v>0</v>
      </c>
      <c r="T41" s="54">
        <v>0</v>
      </c>
      <c r="U41" s="54">
        <v>0</v>
      </c>
      <c r="V41" s="54">
        <v>0</v>
      </c>
      <c r="W41" s="54">
        <v>0</v>
      </c>
      <c r="Y41" s="54"/>
      <c r="Z41" s="54"/>
      <c r="AA41" s="54"/>
      <c r="AB41" s="54"/>
    </row>
    <row r="42" spans="1:28" x14ac:dyDescent="0.3">
      <c r="A42" s="53" t="str">
        <f>Factors!B14</f>
        <v>BioFue</v>
      </c>
      <c r="B42" s="54">
        <v>0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7">
        <v>0</v>
      </c>
      <c r="J42" s="57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57">
        <v>0</v>
      </c>
      <c r="Q42" s="57">
        <v>0</v>
      </c>
      <c r="R42" s="57">
        <v>0</v>
      </c>
      <c r="S42" s="57">
        <v>0</v>
      </c>
      <c r="T42" s="57">
        <v>0</v>
      </c>
      <c r="U42" s="57">
        <v>0</v>
      </c>
      <c r="V42" s="57">
        <v>0</v>
      </c>
      <c r="W42" s="57">
        <v>0</v>
      </c>
      <c r="Y42" s="54"/>
      <c r="Z42" s="54"/>
      <c r="AA42" s="54"/>
      <c r="AB42" s="54"/>
    </row>
    <row r="43" spans="1:28" x14ac:dyDescent="0.3">
      <c r="A43" s="53" t="str">
        <f>Factors!B15</f>
        <v>PuChem</v>
      </c>
      <c r="B43" s="54">
        <f t="shared" ref="B43:Q50" si="11">D121</f>
        <v>3704145.983625114</v>
      </c>
      <c r="C43" s="57">
        <f t="shared" si="11"/>
        <v>4003704.467250227</v>
      </c>
      <c r="D43" s="54">
        <f t="shared" si="11"/>
        <v>4123425.0962118935</v>
      </c>
      <c r="E43" s="57">
        <f t="shared" si="11"/>
        <v>4243145.72517356</v>
      </c>
      <c r="F43" s="54">
        <f t="shared" si="11"/>
        <v>4243145.72517356</v>
      </c>
      <c r="G43" s="57">
        <f t="shared" si="11"/>
        <v>4243145.72517356</v>
      </c>
      <c r="H43" s="54">
        <f t="shared" si="11"/>
        <v>4243145.72517356</v>
      </c>
      <c r="I43" s="57">
        <f t="shared" si="11"/>
        <v>4243145.72517356</v>
      </c>
      <c r="J43" s="54">
        <f t="shared" si="11"/>
        <v>4243145.72517356</v>
      </c>
      <c r="K43" s="57">
        <f t="shared" si="11"/>
        <v>4243145.72517356</v>
      </c>
      <c r="L43" s="54">
        <f t="shared" si="11"/>
        <v>4243145.72517356</v>
      </c>
      <c r="M43" s="57">
        <f t="shared" si="11"/>
        <v>4243145.72517356</v>
      </c>
      <c r="N43" s="54">
        <f t="shared" si="11"/>
        <v>4243145.72517356</v>
      </c>
      <c r="O43" s="57">
        <f t="shared" si="11"/>
        <v>4243145.72517356</v>
      </c>
      <c r="P43" s="54">
        <f t="shared" si="11"/>
        <v>4243145.72517356</v>
      </c>
      <c r="Q43" s="57">
        <f t="shared" si="11"/>
        <v>4243145.72517356</v>
      </c>
      <c r="R43" s="58">
        <f t="shared" ref="R43:V50" si="12">Q43</f>
        <v>4243145.72517356</v>
      </c>
      <c r="S43" s="58">
        <f t="shared" si="12"/>
        <v>4243145.72517356</v>
      </c>
      <c r="T43" s="58">
        <f t="shared" si="12"/>
        <v>4243145.72517356</v>
      </c>
      <c r="U43" s="58">
        <f t="shared" si="12"/>
        <v>4243145.72517356</v>
      </c>
      <c r="V43" s="58">
        <f t="shared" si="12"/>
        <v>4243145.72517356</v>
      </c>
      <c r="W43" s="54">
        <v>4243145.72517356</v>
      </c>
      <c r="Y43" s="54"/>
      <c r="Z43" s="54"/>
      <c r="AA43" s="54"/>
      <c r="AB43" s="54"/>
    </row>
    <row r="44" spans="1:28" x14ac:dyDescent="0.3">
      <c r="A44" s="53" t="str">
        <f>Factors!B16</f>
        <v>PuMech</v>
      </c>
      <c r="B44" s="54">
        <f t="shared" si="11"/>
        <v>530249.99999999988</v>
      </c>
      <c r="C44" s="57">
        <f t="shared" si="11"/>
        <v>530249.99999999988</v>
      </c>
      <c r="D44" s="54">
        <f t="shared" si="11"/>
        <v>530249.99999999988</v>
      </c>
      <c r="E44" s="57">
        <f t="shared" si="11"/>
        <v>530249.99999999988</v>
      </c>
      <c r="F44" s="54">
        <f t="shared" si="11"/>
        <v>530249.99999999988</v>
      </c>
      <c r="G44" s="57">
        <f t="shared" si="11"/>
        <v>530249.99999999988</v>
      </c>
      <c r="H44" s="54">
        <f t="shared" si="11"/>
        <v>530249.99999999988</v>
      </c>
      <c r="I44" s="57">
        <f t="shared" si="11"/>
        <v>530249.99999999988</v>
      </c>
      <c r="J44" s="54">
        <f t="shared" si="11"/>
        <v>530249.99999999988</v>
      </c>
      <c r="K44" s="57">
        <f t="shared" si="11"/>
        <v>530249.99999999988</v>
      </c>
      <c r="L44" s="54">
        <f t="shared" si="11"/>
        <v>509349.46646341443</v>
      </c>
      <c r="M44" s="57">
        <f t="shared" si="11"/>
        <v>488448.93292682903</v>
      </c>
      <c r="N44" s="54">
        <f t="shared" si="11"/>
        <v>439604.03963414615</v>
      </c>
      <c r="O44" s="57">
        <f t="shared" si="11"/>
        <v>390759.14634146326</v>
      </c>
      <c r="P44" s="54">
        <f t="shared" si="11"/>
        <v>351729.42073170719</v>
      </c>
      <c r="Q44" s="57">
        <f t="shared" si="11"/>
        <v>312699.69512195111</v>
      </c>
      <c r="R44" s="58">
        <f t="shared" si="12"/>
        <v>312699.69512195111</v>
      </c>
      <c r="S44" s="58">
        <f t="shared" si="12"/>
        <v>312699.69512195111</v>
      </c>
      <c r="T44" s="58">
        <f t="shared" si="12"/>
        <v>312699.69512195111</v>
      </c>
      <c r="U44" s="58">
        <f t="shared" si="12"/>
        <v>312699.69512195111</v>
      </c>
      <c r="V44" s="58">
        <f t="shared" si="12"/>
        <v>312699.69512195111</v>
      </c>
      <c r="W44" s="54">
        <v>312699.69512195111</v>
      </c>
      <c r="Y44" s="54"/>
      <c r="Z44" s="54"/>
      <c r="AA44" s="54"/>
      <c r="AB44" s="54"/>
    </row>
    <row r="45" spans="1:28" x14ac:dyDescent="0.3">
      <c r="A45" s="53" t="str">
        <f>Factors!B17</f>
        <v>PuDiss</v>
      </c>
      <c r="B45" s="54">
        <f t="shared" si="11"/>
        <v>302847.34154175589</v>
      </c>
      <c r="C45" s="57">
        <f t="shared" si="11"/>
        <v>269357.68308351177</v>
      </c>
      <c r="D45" s="54">
        <f t="shared" si="11"/>
        <v>253873.21734475376</v>
      </c>
      <c r="E45" s="57">
        <f t="shared" si="11"/>
        <v>238388.75160599573</v>
      </c>
      <c r="F45" s="54">
        <f t="shared" si="11"/>
        <v>231546.77837259101</v>
      </c>
      <c r="G45" s="57">
        <f t="shared" si="11"/>
        <v>224704.8051391863</v>
      </c>
      <c r="H45" s="54">
        <f t="shared" si="11"/>
        <v>220383.55888650965</v>
      </c>
      <c r="I45" s="57">
        <f t="shared" si="11"/>
        <v>216062.31263383297</v>
      </c>
      <c r="J45" s="54">
        <f t="shared" si="11"/>
        <v>216062.31263383297</v>
      </c>
      <c r="K45" s="57">
        <f t="shared" si="11"/>
        <v>216062.31263383297</v>
      </c>
      <c r="L45" s="54">
        <f t="shared" si="11"/>
        <v>208860.23554603854</v>
      </c>
      <c r="M45" s="57">
        <f t="shared" si="11"/>
        <v>201658.15845824411</v>
      </c>
      <c r="N45" s="54">
        <f t="shared" si="11"/>
        <v>195176.28907922914</v>
      </c>
      <c r="O45" s="57">
        <f t="shared" si="11"/>
        <v>188694.41970021414</v>
      </c>
      <c r="P45" s="54">
        <f t="shared" si="11"/>
        <v>187614.10813704497</v>
      </c>
      <c r="Q45" s="57">
        <f t="shared" si="11"/>
        <v>186533.79657387582</v>
      </c>
      <c r="R45" s="58">
        <f t="shared" si="12"/>
        <v>186533.79657387582</v>
      </c>
      <c r="S45" s="58">
        <f t="shared" si="12"/>
        <v>186533.79657387582</v>
      </c>
      <c r="T45" s="58">
        <f t="shared" si="12"/>
        <v>186533.79657387582</v>
      </c>
      <c r="U45" s="58">
        <f t="shared" si="12"/>
        <v>186533.79657387582</v>
      </c>
      <c r="V45" s="58">
        <f t="shared" si="12"/>
        <v>186533.79657387582</v>
      </c>
      <c r="W45" s="54">
        <v>186533.79657387582</v>
      </c>
      <c r="Y45" s="54"/>
      <c r="Z45" s="54"/>
      <c r="AA45" s="54"/>
      <c r="AB45" s="54"/>
    </row>
    <row r="46" spans="1:28" x14ac:dyDescent="0.3">
      <c r="A46" s="53" t="str">
        <f>Factors!B18</f>
        <v>PaChem</v>
      </c>
      <c r="B46" s="54">
        <f t="shared" si="11"/>
        <v>5945000</v>
      </c>
      <c r="C46" s="57">
        <f t="shared" si="11"/>
        <v>5945000</v>
      </c>
      <c r="D46" s="54">
        <f t="shared" si="11"/>
        <v>5945000</v>
      </c>
      <c r="E46" s="57">
        <f t="shared" si="11"/>
        <v>5945000</v>
      </c>
      <c r="F46" s="54">
        <f t="shared" si="11"/>
        <v>5945000</v>
      </c>
      <c r="G46" s="57">
        <f t="shared" si="11"/>
        <v>5945000</v>
      </c>
      <c r="H46" s="54">
        <f t="shared" si="11"/>
        <v>5945000</v>
      </c>
      <c r="I46" s="57">
        <f t="shared" si="11"/>
        <v>5945000</v>
      </c>
      <c r="J46" s="54">
        <f t="shared" si="11"/>
        <v>5945000</v>
      </c>
      <c r="K46" s="57">
        <f t="shared" si="11"/>
        <v>5945000</v>
      </c>
      <c r="L46" s="54">
        <f t="shared" si="11"/>
        <v>5945000</v>
      </c>
      <c r="M46" s="57">
        <f t="shared" si="11"/>
        <v>5945000</v>
      </c>
      <c r="N46" s="54">
        <f t="shared" si="11"/>
        <v>5945000</v>
      </c>
      <c r="O46" s="57">
        <f t="shared" si="11"/>
        <v>5945000</v>
      </c>
      <c r="P46" s="54">
        <f t="shared" si="11"/>
        <v>5945000</v>
      </c>
      <c r="Q46" s="57">
        <f t="shared" si="11"/>
        <v>5945000</v>
      </c>
      <c r="R46" s="58">
        <f t="shared" si="12"/>
        <v>5945000</v>
      </c>
      <c r="S46" s="58">
        <f t="shared" si="12"/>
        <v>5945000</v>
      </c>
      <c r="T46" s="58">
        <f t="shared" si="12"/>
        <v>5945000</v>
      </c>
      <c r="U46" s="58">
        <f t="shared" si="12"/>
        <v>5945000</v>
      </c>
      <c r="V46" s="58">
        <f t="shared" si="12"/>
        <v>5945000</v>
      </c>
      <c r="W46" s="54">
        <v>5945000</v>
      </c>
      <c r="Y46" s="54"/>
      <c r="Z46" s="54"/>
      <c r="AA46" s="54"/>
      <c r="AB46" s="54"/>
    </row>
    <row r="47" spans="1:28" x14ac:dyDescent="0.3">
      <c r="A47" s="53" t="str">
        <f>Factors!B19</f>
        <v>OtChem</v>
      </c>
      <c r="B47" s="54">
        <f t="shared" si="11"/>
        <v>591250</v>
      </c>
      <c r="C47" s="57">
        <f t="shared" si="11"/>
        <v>591250</v>
      </c>
      <c r="D47" s="54">
        <f t="shared" si="11"/>
        <v>591250</v>
      </c>
      <c r="E47" s="57">
        <f t="shared" si="11"/>
        <v>591250</v>
      </c>
      <c r="F47" s="54">
        <f t="shared" si="11"/>
        <v>591250</v>
      </c>
      <c r="G47" s="57">
        <f t="shared" si="11"/>
        <v>591250</v>
      </c>
      <c r="H47" s="54">
        <f t="shared" si="11"/>
        <v>591250</v>
      </c>
      <c r="I47" s="57">
        <f t="shared" si="11"/>
        <v>591250</v>
      </c>
      <c r="J47" s="54">
        <f t="shared" si="11"/>
        <v>591250</v>
      </c>
      <c r="K47" s="57">
        <f t="shared" si="11"/>
        <v>591250</v>
      </c>
      <c r="L47" s="54">
        <f t="shared" si="11"/>
        <v>591250</v>
      </c>
      <c r="M47" s="57">
        <f t="shared" si="11"/>
        <v>591250</v>
      </c>
      <c r="N47" s="54">
        <f t="shared" si="11"/>
        <v>577425.30703826167</v>
      </c>
      <c r="O47" s="57">
        <f t="shared" si="11"/>
        <v>563600.61407652346</v>
      </c>
      <c r="P47" s="54">
        <f t="shared" si="11"/>
        <v>550753.42465753423</v>
      </c>
      <c r="Q47" s="57">
        <f t="shared" si="11"/>
        <v>537906.23523854511</v>
      </c>
      <c r="R47" s="58">
        <f t="shared" si="12"/>
        <v>537906.23523854511</v>
      </c>
      <c r="S47" s="58">
        <f t="shared" si="12"/>
        <v>537906.23523854511</v>
      </c>
      <c r="T47" s="58">
        <f t="shared" si="12"/>
        <v>537906.23523854511</v>
      </c>
      <c r="U47" s="58">
        <f t="shared" si="12"/>
        <v>537906.23523854511</v>
      </c>
      <c r="V47" s="58">
        <f t="shared" si="12"/>
        <v>537906.23523854511</v>
      </c>
      <c r="W47" s="54">
        <v>537906.23523854511</v>
      </c>
      <c r="Y47" s="54"/>
      <c r="Z47" s="54"/>
      <c r="AA47" s="54"/>
      <c r="AB47" s="54"/>
    </row>
    <row r="48" spans="1:28" x14ac:dyDescent="0.3">
      <c r="A48" s="53" t="str">
        <f>Factors!B20</f>
        <v>OtMech</v>
      </c>
      <c r="B48" s="54">
        <f t="shared" si="11"/>
        <v>1817012.1951219512</v>
      </c>
      <c r="C48" s="57">
        <f t="shared" si="11"/>
        <v>1860274.3902439023</v>
      </c>
      <c r="D48" s="54">
        <f t="shared" si="11"/>
        <v>1910025.9146341463</v>
      </c>
      <c r="E48" s="57">
        <f t="shared" si="11"/>
        <v>1959777.4390243902</v>
      </c>
      <c r="F48" s="54">
        <f t="shared" si="11"/>
        <v>2013855.1829268292</v>
      </c>
      <c r="G48" s="57">
        <f t="shared" si="11"/>
        <v>2067932.9268292685</v>
      </c>
      <c r="H48" s="54">
        <f t="shared" si="11"/>
        <v>2128500</v>
      </c>
      <c r="I48" s="57">
        <f t="shared" si="11"/>
        <v>2189067.0731707318</v>
      </c>
      <c r="J48" s="54">
        <f t="shared" si="11"/>
        <v>2273428.3536585364</v>
      </c>
      <c r="K48" s="57">
        <f t="shared" si="11"/>
        <v>2357789.6341463416</v>
      </c>
      <c r="L48" s="54">
        <f t="shared" si="11"/>
        <v>2357789.6341463416</v>
      </c>
      <c r="M48" s="57">
        <f t="shared" si="11"/>
        <v>2357789.6341463416</v>
      </c>
      <c r="N48" s="54">
        <f t="shared" si="11"/>
        <v>2357789.6341463416</v>
      </c>
      <c r="O48" s="57">
        <f t="shared" si="11"/>
        <v>2357789.6341463416</v>
      </c>
      <c r="P48" s="54">
        <f t="shared" si="11"/>
        <v>2357789.6341463416</v>
      </c>
      <c r="Q48" s="57">
        <f t="shared" si="11"/>
        <v>2357789.6341463416</v>
      </c>
      <c r="R48" s="58">
        <f t="shared" si="12"/>
        <v>2357789.6341463416</v>
      </c>
      <c r="S48" s="58">
        <f t="shared" si="12"/>
        <v>2357789.6341463416</v>
      </c>
      <c r="T48" s="58">
        <f t="shared" si="12"/>
        <v>2357789.6341463416</v>
      </c>
      <c r="U48" s="58">
        <f t="shared" si="12"/>
        <v>2357789.6341463416</v>
      </c>
      <c r="V48" s="58">
        <f t="shared" si="12"/>
        <v>2357789.6341463416</v>
      </c>
      <c r="W48" s="54">
        <v>2357789.6341463416</v>
      </c>
      <c r="Y48" s="54"/>
      <c r="Z48" s="54"/>
      <c r="AA48" s="54"/>
      <c r="AB48" s="54"/>
    </row>
    <row r="49" spans="1:28" x14ac:dyDescent="0.3">
      <c r="A49" s="53" t="str">
        <f>Factors!B21</f>
        <v>NwMech</v>
      </c>
      <c r="B49" s="54">
        <f t="shared" si="11"/>
        <v>889000</v>
      </c>
      <c r="C49" s="57">
        <f t="shared" si="11"/>
        <v>889000</v>
      </c>
      <c r="D49" s="54">
        <f t="shared" si="11"/>
        <v>889000</v>
      </c>
      <c r="E49" s="57">
        <f t="shared" si="11"/>
        <v>889000</v>
      </c>
      <c r="F49" s="54">
        <f t="shared" si="11"/>
        <v>889000</v>
      </c>
      <c r="G49" s="57">
        <f t="shared" si="11"/>
        <v>889000</v>
      </c>
      <c r="H49" s="54">
        <f t="shared" si="11"/>
        <v>889000</v>
      </c>
      <c r="I49" s="57">
        <f t="shared" si="11"/>
        <v>889000</v>
      </c>
      <c r="J49" s="54">
        <f t="shared" si="11"/>
        <v>889000</v>
      </c>
      <c r="K49" s="57">
        <f t="shared" si="11"/>
        <v>889000</v>
      </c>
      <c r="L49" s="54">
        <f t="shared" si="11"/>
        <v>889000</v>
      </c>
      <c r="M49" s="57">
        <f t="shared" si="11"/>
        <v>889000</v>
      </c>
      <c r="N49" s="54">
        <f t="shared" si="11"/>
        <v>889000</v>
      </c>
      <c r="O49" s="57">
        <f t="shared" si="11"/>
        <v>889000</v>
      </c>
      <c r="P49" s="54">
        <f t="shared" si="11"/>
        <v>889000</v>
      </c>
      <c r="Q49" s="57">
        <f t="shared" si="11"/>
        <v>889000</v>
      </c>
      <c r="R49" s="58">
        <f t="shared" si="12"/>
        <v>889000</v>
      </c>
      <c r="S49" s="58">
        <f t="shared" si="12"/>
        <v>889000</v>
      </c>
      <c r="T49" s="58">
        <f t="shared" si="12"/>
        <v>889000</v>
      </c>
      <c r="U49" s="58">
        <f t="shared" si="12"/>
        <v>889000</v>
      </c>
      <c r="V49" s="58">
        <f t="shared" si="12"/>
        <v>889000</v>
      </c>
      <c r="W49" s="54">
        <v>889000</v>
      </c>
      <c r="Y49" s="54"/>
      <c r="Z49" s="54"/>
      <c r="AA49" s="54"/>
      <c r="AB49" s="54"/>
    </row>
    <row r="50" spans="1:28" x14ac:dyDescent="0.3">
      <c r="A50" s="53" t="str">
        <f>Factors!B22</f>
        <v>ParBoa</v>
      </c>
      <c r="B50" s="54">
        <f t="shared" si="11"/>
        <v>724648.30392156867</v>
      </c>
      <c r="C50" s="57">
        <f t="shared" si="11"/>
        <v>867295.60784313735</v>
      </c>
      <c r="D50" s="54">
        <f t="shared" si="11"/>
        <v>1046771.8520499109</v>
      </c>
      <c r="E50" s="57">
        <f t="shared" si="11"/>
        <v>1226248.0962566845</v>
      </c>
      <c r="F50" s="54">
        <f t="shared" si="11"/>
        <v>1402612.035650624</v>
      </c>
      <c r="G50" s="57">
        <f t="shared" si="11"/>
        <v>1578975.9750445634</v>
      </c>
      <c r="H50" s="54">
        <f t="shared" si="11"/>
        <v>1727329.1711229947</v>
      </c>
      <c r="I50" s="57">
        <f t="shared" si="11"/>
        <v>1875682.3672014261</v>
      </c>
      <c r="J50" s="54">
        <f t="shared" si="11"/>
        <v>2035447.3475935829</v>
      </c>
      <c r="K50" s="57">
        <f t="shared" si="11"/>
        <v>2195212.3279857398</v>
      </c>
      <c r="L50" s="54">
        <f t="shared" si="11"/>
        <v>2225297.9411764708</v>
      </c>
      <c r="M50" s="57">
        <f t="shared" si="11"/>
        <v>2255383.5543672014</v>
      </c>
      <c r="N50" s="54">
        <f t="shared" si="11"/>
        <v>2279244.5579322642</v>
      </c>
      <c r="O50" s="57">
        <f t="shared" si="11"/>
        <v>2303105.5614973265</v>
      </c>
      <c r="P50" s="54">
        <f t="shared" si="11"/>
        <v>2381431.8992869877</v>
      </c>
      <c r="Q50" s="57">
        <f t="shared" si="11"/>
        <v>2459758.237076649</v>
      </c>
      <c r="R50" s="58">
        <f t="shared" si="12"/>
        <v>2459758.237076649</v>
      </c>
      <c r="S50" s="58">
        <f t="shared" si="12"/>
        <v>2459758.237076649</v>
      </c>
      <c r="T50" s="58">
        <f t="shared" si="12"/>
        <v>2459758.237076649</v>
      </c>
      <c r="U50" s="58">
        <f t="shared" si="12"/>
        <v>2459758.237076649</v>
      </c>
      <c r="V50" s="58">
        <f t="shared" si="12"/>
        <v>2459758.237076649</v>
      </c>
      <c r="W50" s="54">
        <v>2459758.237076649</v>
      </c>
      <c r="Y50" s="54"/>
      <c r="Z50" s="54"/>
      <c r="AA50" s="54"/>
      <c r="AB50" s="54"/>
    </row>
    <row r="51" spans="1:28" x14ac:dyDescent="0.3">
      <c r="B51" s="54"/>
      <c r="C51" s="57"/>
      <c r="D51" s="54"/>
      <c r="E51" s="57"/>
      <c r="F51" s="54"/>
      <c r="G51" s="57"/>
      <c r="H51" s="54"/>
      <c r="I51" s="57"/>
      <c r="J51" s="54"/>
      <c r="K51" s="57"/>
      <c r="L51" s="54"/>
      <c r="M51" s="57"/>
      <c r="N51" s="54"/>
      <c r="O51" s="57"/>
      <c r="P51" s="54"/>
      <c r="Q51" s="57"/>
      <c r="R51" s="58"/>
      <c r="S51" s="58"/>
      <c r="T51" s="58"/>
      <c r="U51" s="58"/>
      <c r="V51" s="58"/>
      <c r="W51" s="54"/>
      <c r="Y51" s="54"/>
      <c r="Z51" s="54"/>
      <c r="AA51" s="54"/>
      <c r="AB51" s="54"/>
    </row>
    <row r="52" spans="1:28" x14ac:dyDescent="0.3">
      <c r="B52" s="54"/>
      <c r="C52" s="57"/>
      <c r="D52" s="54"/>
      <c r="E52" s="57"/>
      <c r="F52" s="54"/>
      <c r="G52" s="57"/>
      <c r="H52" s="54"/>
      <c r="I52" s="57"/>
      <c r="J52" s="54"/>
      <c r="K52" s="57"/>
      <c r="L52" s="54"/>
      <c r="M52" s="57"/>
      <c r="N52" s="54"/>
      <c r="O52" s="57"/>
      <c r="P52" s="54"/>
      <c r="Q52" s="57"/>
      <c r="R52" s="58"/>
      <c r="S52" s="58"/>
      <c r="T52" s="58"/>
      <c r="U52" s="58"/>
      <c r="V52" s="58"/>
      <c r="W52" s="54"/>
      <c r="Y52" s="54"/>
      <c r="Z52" s="54"/>
      <c r="AA52" s="54"/>
      <c r="AB52" s="54"/>
    </row>
    <row r="53" spans="1:28" x14ac:dyDescent="0.3">
      <c r="B53" s="54"/>
      <c r="C53" s="57"/>
      <c r="D53" s="54"/>
      <c r="E53" s="57"/>
      <c r="F53" s="54"/>
      <c r="G53" s="57"/>
      <c r="H53" s="54"/>
      <c r="I53" s="57"/>
      <c r="J53" s="54"/>
      <c r="K53" s="57"/>
      <c r="L53" s="54"/>
      <c r="M53" s="57"/>
      <c r="N53" s="54"/>
      <c r="O53" s="57"/>
      <c r="P53" s="54"/>
      <c r="Q53" s="57"/>
      <c r="R53" s="58"/>
      <c r="S53" s="58"/>
      <c r="T53" s="58"/>
      <c r="U53" s="58"/>
      <c r="V53" s="58"/>
      <c r="W53" s="54"/>
      <c r="Y53" s="54"/>
      <c r="Z53" s="54"/>
      <c r="AA53" s="54"/>
      <c r="AB53" s="54"/>
    </row>
    <row r="54" spans="1:28" x14ac:dyDescent="0.3">
      <c r="B54" s="54"/>
      <c r="C54" s="57"/>
      <c r="D54" s="54"/>
      <c r="E54" s="57"/>
      <c r="F54" s="54"/>
      <c r="G54" s="57"/>
      <c r="H54" s="54"/>
      <c r="I54" s="57"/>
      <c r="J54" s="54"/>
      <c r="K54" s="57"/>
      <c r="L54" s="54"/>
      <c r="M54" s="57"/>
      <c r="N54" s="54"/>
      <c r="O54" s="57"/>
      <c r="P54" s="54"/>
      <c r="Q54" s="57"/>
      <c r="R54" s="58"/>
      <c r="S54" s="58"/>
      <c r="T54" s="58"/>
      <c r="U54" s="58"/>
      <c r="V54" s="58"/>
      <c r="W54" s="54"/>
      <c r="Y54" s="54"/>
      <c r="Z54" s="54"/>
      <c r="AA54" s="54"/>
      <c r="AB54" s="54"/>
    </row>
    <row r="55" spans="1:28" x14ac:dyDescent="0.3">
      <c r="B55" s="54"/>
      <c r="C55" s="57"/>
      <c r="D55" s="54"/>
      <c r="E55" s="57"/>
      <c r="F55" s="54"/>
      <c r="G55" s="57"/>
      <c r="H55" s="54"/>
      <c r="I55" s="57"/>
      <c r="J55" s="54"/>
      <c r="K55" s="57"/>
      <c r="L55" s="54"/>
      <c r="M55" s="57"/>
      <c r="N55" s="54"/>
      <c r="O55" s="57"/>
      <c r="P55" s="54"/>
      <c r="Q55" s="57"/>
      <c r="R55" s="58"/>
      <c r="S55" s="58"/>
      <c r="T55" s="58"/>
      <c r="U55" s="58"/>
      <c r="V55" s="58"/>
      <c r="W55" s="54"/>
      <c r="Y55" s="54"/>
      <c r="Z55" s="54"/>
      <c r="AA55" s="54"/>
      <c r="AB55" s="54"/>
    </row>
    <row r="56" spans="1:28" x14ac:dyDescent="0.3">
      <c r="B56" s="54"/>
      <c r="C56" s="57"/>
      <c r="D56" s="54"/>
      <c r="E56" s="57"/>
      <c r="F56" s="54"/>
      <c r="G56" s="57"/>
      <c r="H56" s="54"/>
      <c r="I56" s="57"/>
      <c r="J56" s="54"/>
      <c r="K56" s="57"/>
      <c r="L56" s="54"/>
      <c r="M56" s="57"/>
      <c r="N56" s="54"/>
      <c r="O56" s="57"/>
      <c r="P56" s="54"/>
      <c r="Q56" s="57"/>
      <c r="R56" s="58"/>
      <c r="S56" s="58"/>
      <c r="T56" s="58"/>
      <c r="U56" s="58"/>
      <c r="V56" s="58"/>
      <c r="W56" s="54"/>
      <c r="Y56" s="54"/>
      <c r="Z56" s="54"/>
      <c r="AA56" s="54"/>
      <c r="AB56" s="54"/>
    </row>
    <row r="57" spans="1:28" x14ac:dyDescent="0.3">
      <c r="B57" s="54"/>
      <c r="C57" s="57"/>
      <c r="D57" s="54"/>
      <c r="E57" s="57"/>
      <c r="F57" s="54"/>
      <c r="G57" s="57"/>
      <c r="H57" s="54"/>
      <c r="I57" s="57"/>
      <c r="J57" s="54"/>
      <c r="K57" s="57"/>
      <c r="L57" s="54"/>
      <c r="M57" s="57"/>
      <c r="N57" s="54"/>
      <c r="O57" s="57"/>
      <c r="P57" s="54"/>
      <c r="Q57" s="57"/>
      <c r="R57" s="58"/>
      <c r="S57" s="58"/>
      <c r="T57" s="58"/>
      <c r="U57" s="58"/>
      <c r="V57" s="58"/>
      <c r="W57" s="54"/>
      <c r="Y57" s="54"/>
      <c r="Z57" s="54"/>
      <c r="AA57" s="54"/>
      <c r="AB57" s="54"/>
    </row>
    <row r="58" spans="1:28" x14ac:dyDescent="0.3"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 spans="1:28" ht="18.75" x14ac:dyDescent="0.3">
      <c r="A59" s="56" t="s">
        <v>37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</row>
    <row r="60" spans="1:28" x14ac:dyDescent="0.3">
      <c r="A60" s="55" t="str">
        <f>Factors!B2</f>
        <v>PinTim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/>
      <c r="Y60" s="54"/>
      <c r="Z60" s="54"/>
      <c r="AA60" s="54"/>
      <c r="AB60" s="54"/>
    </row>
    <row r="61" spans="1:28" x14ac:dyDescent="0.3">
      <c r="A61" s="55" t="str">
        <f>Factors!B3</f>
        <v>PinPuw</v>
      </c>
      <c r="B61" s="54">
        <v>0</v>
      </c>
      <c r="C61" s="54">
        <v>0</v>
      </c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0</v>
      </c>
      <c r="K61" s="54">
        <v>0</v>
      </c>
      <c r="L61" s="54">
        <v>0</v>
      </c>
      <c r="M61" s="54">
        <v>0</v>
      </c>
      <c r="N61" s="54">
        <v>0</v>
      </c>
      <c r="O61" s="54">
        <v>0</v>
      </c>
      <c r="P61" s="54">
        <v>0</v>
      </c>
      <c r="Q61" s="54">
        <v>0</v>
      </c>
      <c r="R61" s="54">
        <v>0</v>
      </c>
      <c r="S61" s="54">
        <v>0</v>
      </c>
      <c r="T61" s="54">
        <v>0</v>
      </c>
      <c r="U61" s="54">
        <v>0</v>
      </c>
      <c r="V61" s="54">
        <v>0</v>
      </c>
      <c r="W61" s="54">
        <v>0</v>
      </c>
      <c r="X61" s="54"/>
      <c r="Y61" s="54"/>
      <c r="Z61" s="54"/>
      <c r="AA61" s="54"/>
      <c r="AB61" s="54"/>
    </row>
    <row r="62" spans="1:28" x14ac:dyDescent="0.3">
      <c r="A62" s="55" t="str">
        <f>Factors!B4</f>
        <v>SprTim</v>
      </c>
      <c r="B62" s="54">
        <v>0</v>
      </c>
      <c r="C62" s="54">
        <v>0</v>
      </c>
      <c r="D62" s="54">
        <v>0</v>
      </c>
      <c r="E62" s="54">
        <v>0</v>
      </c>
      <c r="F62" s="54">
        <v>0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0</v>
      </c>
      <c r="O62" s="54">
        <v>0</v>
      </c>
      <c r="P62" s="54">
        <v>0</v>
      </c>
      <c r="Q62" s="54">
        <v>0</v>
      </c>
      <c r="R62" s="54">
        <v>0</v>
      </c>
      <c r="S62" s="54">
        <v>0</v>
      </c>
      <c r="T62" s="54">
        <v>0</v>
      </c>
      <c r="U62" s="54">
        <v>0</v>
      </c>
      <c r="V62" s="54">
        <v>0</v>
      </c>
      <c r="W62" s="54">
        <v>0</v>
      </c>
      <c r="X62" s="54"/>
      <c r="Y62" s="54"/>
      <c r="Z62" s="54"/>
      <c r="AA62" s="54"/>
      <c r="AB62" s="54"/>
    </row>
    <row r="63" spans="1:28" x14ac:dyDescent="0.3">
      <c r="A63" s="55" t="str">
        <f>Factors!B5</f>
        <v>SprPuw</v>
      </c>
      <c r="B63" s="54">
        <v>0</v>
      </c>
      <c r="C63" s="54">
        <v>0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0</v>
      </c>
      <c r="O63" s="54">
        <v>0</v>
      </c>
      <c r="P63" s="54">
        <v>0</v>
      </c>
      <c r="Q63" s="54">
        <v>0</v>
      </c>
      <c r="R63" s="54">
        <v>0</v>
      </c>
      <c r="S63" s="54">
        <v>0</v>
      </c>
      <c r="T63" s="54">
        <v>0</v>
      </c>
      <c r="U63" s="54">
        <v>0</v>
      </c>
      <c r="V63" s="54">
        <v>0</v>
      </c>
      <c r="W63" s="54">
        <v>0</v>
      </c>
      <c r="X63" s="54"/>
      <c r="Y63" s="54"/>
      <c r="Z63" s="54"/>
      <c r="AA63" s="54"/>
      <c r="AB63" s="54"/>
    </row>
    <row r="64" spans="1:28" x14ac:dyDescent="0.3">
      <c r="A64" s="55" t="str">
        <f>Factors!B6</f>
        <v>Decids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/>
      <c r="Y64" s="54"/>
      <c r="Z64" s="54"/>
      <c r="AA64" s="54"/>
      <c r="AB64" s="54"/>
    </row>
    <row r="65" spans="1:28" x14ac:dyDescent="0.3">
      <c r="A65" s="53" t="str">
        <f>Factors!B7</f>
        <v>Sawdst</v>
      </c>
      <c r="B65" s="54">
        <f t="shared" ref="B65:W67" si="13">B9</f>
        <v>0</v>
      </c>
      <c r="C65" s="54">
        <f t="shared" si="13"/>
        <v>0</v>
      </c>
      <c r="D65" s="54">
        <f t="shared" si="13"/>
        <v>0</v>
      </c>
      <c r="E65" s="54">
        <f t="shared" si="13"/>
        <v>0</v>
      </c>
      <c r="F65" s="54">
        <f t="shared" si="13"/>
        <v>0</v>
      </c>
      <c r="G65" s="54">
        <f t="shared" si="13"/>
        <v>0</v>
      </c>
      <c r="H65" s="54">
        <f t="shared" si="13"/>
        <v>0</v>
      </c>
      <c r="I65" s="54">
        <f t="shared" si="13"/>
        <v>0</v>
      </c>
      <c r="J65" s="54">
        <f t="shared" si="13"/>
        <v>0</v>
      </c>
      <c r="K65" s="54">
        <f t="shared" si="13"/>
        <v>0</v>
      </c>
      <c r="L65" s="54">
        <f t="shared" si="13"/>
        <v>0</v>
      </c>
      <c r="M65" s="54">
        <f t="shared" si="13"/>
        <v>0</v>
      </c>
      <c r="N65" s="54">
        <f t="shared" si="13"/>
        <v>0</v>
      </c>
      <c r="O65" s="54">
        <f t="shared" si="13"/>
        <v>0</v>
      </c>
      <c r="P65" s="54">
        <f t="shared" si="13"/>
        <v>0</v>
      </c>
      <c r="Q65" s="54">
        <f t="shared" si="13"/>
        <v>0</v>
      </c>
      <c r="R65" s="54">
        <f t="shared" si="13"/>
        <v>0</v>
      </c>
      <c r="S65" s="54">
        <f t="shared" si="13"/>
        <v>0</v>
      </c>
      <c r="T65" s="54">
        <f t="shared" si="13"/>
        <v>0</v>
      </c>
      <c r="U65" s="54">
        <f t="shared" si="13"/>
        <v>0</v>
      </c>
      <c r="V65" s="54">
        <f t="shared" si="13"/>
        <v>0</v>
      </c>
      <c r="W65" s="54">
        <f t="shared" si="13"/>
        <v>0</v>
      </c>
      <c r="X65" s="54"/>
      <c r="Y65" s="54"/>
      <c r="Z65" s="54"/>
      <c r="AA65" s="54"/>
      <c r="AB65" s="54"/>
    </row>
    <row r="66" spans="1:28" x14ac:dyDescent="0.3">
      <c r="A66" s="53" t="str">
        <f>Factors!B8</f>
        <v>Chips_</v>
      </c>
      <c r="B66" s="54">
        <f t="shared" si="13"/>
        <v>0</v>
      </c>
      <c r="C66" s="54">
        <f t="shared" si="13"/>
        <v>0</v>
      </c>
      <c r="D66" s="54">
        <f t="shared" si="13"/>
        <v>0</v>
      </c>
      <c r="E66" s="54">
        <f t="shared" si="13"/>
        <v>0</v>
      </c>
      <c r="F66" s="54">
        <f t="shared" si="13"/>
        <v>0</v>
      </c>
      <c r="G66" s="54">
        <f t="shared" si="13"/>
        <v>0</v>
      </c>
      <c r="H66" s="54">
        <f t="shared" si="13"/>
        <v>0</v>
      </c>
      <c r="I66" s="54">
        <f t="shared" si="13"/>
        <v>0</v>
      </c>
      <c r="J66" s="54">
        <f t="shared" si="13"/>
        <v>0</v>
      </c>
      <c r="K66" s="54">
        <f t="shared" si="13"/>
        <v>0</v>
      </c>
      <c r="L66" s="54">
        <f t="shared" si="13"/>
        <v>0</v>
      </c>
      <c r="M66" s="54">
        <f t="shared" si="13"/>
        <v>0</v>
      </c>
      <c r="N66" s="54">
        <f t="shared" si="13"/>
        <v>0</v>
      </c>
      <c r="O66" s="54">
        <f t="shared" si="13"/>
        <v>0</v>
      </c>
      <c r="P66" s="54">
        <f t="shared" si="13"/>
        <v>0</v>
      </c>
      <c r="Q66" s="54">
        <f t="shared" si="13"/>
        <v>0</v>
      </c>
      <c r="R66" s="54">
        <f t="shared" si="13"/>
        <v>0</v>
      </c>
      <c r="S66" s="54">
        <f t="shared" si="13"/>
        <v>0</v>
      </c>
      <c r="T66" s="54">
        <f t="shared" si="13"/>
        <v>0</v>
      </c>
      <c r="U66" s="54">
        <f t="shared" si="13"/>
        <v>0</v>
      </c>
      <c r="V66" s="54">
        <f t="shared" si="13"/>
        <v>0</v>
      </c>
      <c r="W66" s="54">
        <f t="shared" si="13"/>
        <v>0</v>
      </c>
      <c r="X66" s="54"/>
      <c r="Y66" s="54"/>
      <c r="Z66" s="54"/>
      <c r="AA66" s="54"/>
      <c r="AB66" s="54"/>
    </row>
    <row r="67" spans="1:28" x14ac:dyDescent="0.3">
      <c r="A67" s="55" t="str">
        <f>Factors!B9</f>
        <v>ResStm</v>
      </c>
      <c r="B67" s="54">
        <f t="shared" si="13"/>
        <v>0</v>
      </c>
      <c r="C67" s="54">
        <f t="shared" si="13"/>
        <v>0</v>
      </c>
      <c r="D67" s="54">
        <f t="shared" si="13"/>
        <v>0</v>
      </c>
      <c r="E67" s="54">
        <f t="shared" si="13"/>
        <v>0</v>
      </c>
      <c r="F67" s="54">
        <f t="shared" si="13"/>
        <v>0</v>
      </c>
      <c r="G67" s="54">
        <f t="shared" si="13"/>
        <v>0</v>
      </c>
      <c r="H67" s="54">
        <f t="shared" si="13"/>
        <v>0</v>
      </c>
      <c r="I67" s="54">
        <f t="shared" si="13"/>
        <v>0</v>
      </c>
      <c r="J67" s="54">
        <f t="shared" si="13"/>
        <v>0</v>
      </c>
      <c r="K67" s="54">
        <f t="shared" si="13"/>
        <v>0</v>
      </c>
      <c r="L67" s="54">
        <f t="shared" si="13"/>
        <v>0</v>
      </c>
      <c r="M67" s="54">
        <f t="shared" si="13"/>
        <v>0</v>
      </c>
      <c r="N67" s="54">
        <f t="shared" si="13"/>
        <v>0</v>
      </c>
      <c r="O67" s="54">
        <f t="shared" si="13"/>
        <v>0</v>
      </c>
      <c r="P67" s="54">
        <f t="shared" si="13"/>
        <v>0</v>
      </c>
      <c r="Q67" s="54">
        <f t="shared" si="13"/>
        <v>0</v>
      </c>
      <c r="R67" s="54">
        <f t="shared" si="13"/>
        <v>0</v>
      </c>
      <c r="S67" s="54">
        <f t="shared" si="13"/>
        <v>0</v>
      </c>
      <c r="T67" s="54">
        <f t="shared" si="13"/>
        <v>0</v>
      </c>
      <c r="U67" s="54">
        <f t="shared" si="13"/>
        <v>0</v>
      </c>
      <c r="V67" s="54">
        <f t="shared" si="13"/>
        <v>0</v>
      </c>
      <c r="W67" s="54">
        <f t="shared" si="13"/>
        <v>0</v>
      </c>
      <c r="X67" s="54"/>
      <c r="Y67" s="54"/>
      <c r="Z67" s="54"/>
      <c r="AA67" s="54"/>
      <c r="AB67" s="54"/>
    </row>
    <row r="68" spans="1:28" x14ac:dyDescent="0.3">
      <c r="A68" s="53" t="str">
        <f>Factors!B10</f>
        <v>ResRot</v>
      </c>
      <c r="B68" s="54">
        <v>0</v>
      </c>
      <c r="C68" s="54">
        <v>0</v>
      </c>
      <c r="D68" s="54">
        <v>0</v>
      </c>
      <c r="E68" s="54">
        <v>0</v>
      </c>
      <c r="F68" s="54">
        <v>0</v>
      </c>
      <c r="G68" s="54">
        <v>0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0</v>
      </c>
      <c r="O68" s="54">
        <v>0</v>
      </c>
      <c r="P68" s="54">
        <v>0</v>
      </c>
      <c r="Q68" s="54">
        <v>0</v>
      </c>
      <c r="R68" s="54">
        <v>0</v>
      </c>
      <c r="S68" s="54">
        <v>0</v>
      </c>
      <c r="T68" s="54">
        <v>0</v>
      </c>
      <c r="U68" s="54">
        <v>0</v>
      </c>
      <c r="V68" s="54">
        <v>0</v>
      </c>
      <c r="W68" s="54">
        <v>0</v>
      </c>
      <c r="X68" s="54"/>
      <c r="Y68" s="54"/>
      <c r="Z68" s="54"/>
      <c r="AA68" s="54"/>
      <c r="AB68" s="54"/>
    </row>
    <row r="69" spans="1:28" x14ac:dyDescent="0.3">
      <c r="A69" s="53" t="str">
        <f>Factors!B11</f>
        <v>Sawnwd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/>
      <c r="Y69" s="54"/>
      <c r="Z69" s="54"/>
      <c r="AA69" s="54"/>
      <c r="AB69" s="54"/>
    </row>
    <row r="70" spans="1:28" x14ac:dyDescent="0.3">
      <c r="A70" s="53" t="str">
        <f>Factors!B12</f>
        <v>Heat__</v>
      </c>
      <c r="B70" s="54">
        <v>0</v>
      </c>
      <c r="C70" s="54">
        <v>0</v>
      </c>
      <c r="D70" s="54">
        <v>0</v>
      </c>
      <c r="E70" s="54">
        <v>0</v>
      </c>
      <c r="F70" s="54">
        <v>0</v>
      </c>
      <c r="G70" s="54">
        <v>0</v>
      </c>
      <c r="H70" s="54">
        <v>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4">
        <v>0</v>
      </c>
      <c r="O70" s="54">
        <v>0</v>
      </c>
      <c r="P70" s="54">
        <v>0</v>
      </c>
      <c r="Q70" s="54">
        <v>0</v>
      </c>
      <c r="R70" s="54">
        <v>0</v>
      </c>
      <c r="S70" s="54">
        <v>0</v>
      </c>
      <c r="T70" s="54">
        <v>0</v>
      </c>
      <c r="U70" s="54">
        <v>0</v>
      </c>
      <c r="V70" s="54">
        <v>0</v>
      </c>
      <c r="W70" s="54">
        <v>0</v>
      </c>
      <c r="X70" s="54"/>
      <c r="Y70" s="54"/>
      <c r="Z70" s="54"/>
      <c r="AA70" s="54"/>
      <c r="AB70" s="54"/>
    </row>
    <row r="71" spans="1:28" x14ac:dyDescent="0.3">
      <c r="A71" s="53" t="str">
        <f>Factors!B13</f>
        <v>Electr</v>
      </c>
      <c r="B71" s="54">
        <v>0</v>
      </c>
      <c r="C71" s="54">
        <v>0</v>
      </c>
      <c r="D71" s="54">
        <v>0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4">
        <v>0</v>
      </c>
      <c r="O71" s="54">
        <v>0</v>
      </c>
      <c r="P71" s="54">
        <v>0</v>
      </c>
      <c r="Q71" s="54">
        <v>0</v>
      </c>
      <c r="R71" s="54">
        <v>0</v>
      </c>
      <c r="S71" s="54">
        <v>0</v>
      </c>
      <c r="T71" s="54">
        <v>0</v>
      </c>
      <c r="U71" s="54">
        <v>0</v>
      </c>
      <c r="V71" s="54">
        <v>0</v>
      </c>
      <c r="W71" s="54">
        <v>0</v>
      </c>
      <c r="X71" s="54"/>
      <c r="Y71" s="54"/>
      <c r="Z71" s="54"/>
      <c r="AA71" s="54"/>
      <c r="AB71" s="54"/>
    </row>
    <row r="72" spans="1:28" x14ac:dyDescent="0.3">
      <c r="A72" s="53" t="str">
        <f>Factors!B14</f>
        <v>BioFue</v>
      </c>
      <c r="B72" s="54">
        <v>0</v>
      </c>
      <c r="C72" s="54">
        <v>0</v>
      </c>
      <c r="D72" s="54">
        <v>0</v>
      </c>
      <c r="E72" s="54">
        <v>0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>
        <v>0</v>
      </c>
      <c r="O72" s="54">
        <v>0</v>
      </c>
      <c r="P72" s="54">
        <v>0</v>
      </c>
      <c r="Q72" s="54">
        <v>0</v>
      </c>
      <c r="R72" s="54">
        <v>0</v>
      </c>
      <c r="S72" s="54">
        <v>0</v>
      </c>
      <c r="T72" s="54">
        <v>0</v>
      </c>
      <c r="U72" s="54">
        <v>0</v>
      </c>
      <c r="V72" s="54">
        <v>0</v>
      </c>
      <c r="W72" s="54">
        <v>0</v>
      </c>
      <c r="X72" s="54"/>
      <c r="Y72" s="54"/>
      <c r="Z72" s="54"/>
      <c r="AA72" s="54"/>
      <c r="AB72" s="54"/>
    </row>
    <row r="73" spans="1:28" x14ac:dyDescent="0.3">
      <c r="A73" s="53" t="str">
        <f>Factors!B15</f>
        <v>PuChem</v>
      </c>
      <c r="B73" s="54">
        <v>0</v>
      </c>
      <c r="C73" s="54">
        <v>0</v>
      </c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4">
        <v>0</v>
      </c>
      <c r="O73" s="54">
        <v>0</v>
      </c>
      <c r="P73" s="54">
        <v>0</v>
      </c>
      <c r="Q73" s="54">
        <v>0</v>
      </c>
      <c r="R73" s="54">
        <v>0</v>
      </c>
      <c r="S73" s="54">
        <v>0</v>
      </c>
      <c r="T73" s="54">
        <v>0</v>
      </c>
      <c r="U73" s="54">
        <v>0</v>
      </c>
      <c r="V73" s="54">
        <v>0</v>
      </c>
      <c r="W73" s="54">
        <v>0</v>
      </c>
      <c r="X73" s="54"/>
      <c r="Y73" s="54"/>
      <c r="Z73" s="54"/>
      <c r="AA73" s="54"/>
      <c r="AB73" s="54"/>
    </row>
    <row r="74" spans="1:28" x14ac:dyDescent="0.3">
      <c r="A74" s="53" t="str">
        <f>Factors!B16</f>
        <v>PuMech</v>
      </c>
      <c r="B74" s="54">
        <v>0</v>
      </c>
      <c r="C74" s="54">
        <v>0</v>
      </c>
      <c r="D74" s="54">
        <v>0</v>
      </c>
      <c r="E74" s="54">
        <v>0</v>
      </c>
      <c r="F74" s="54">
        <v>0</v>
      </c>
      <c r="G74" s="54">
        <v>0</v>
      </c>
      <c r="H74" s="54">
        <v>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4">
        <v>0</v>
      </c>
      <c r="O74" s="54">
        <v>0</v>
      </c>
      <c r="P74" s="54">
        <v>0</v>
      </c>
      <c r="Q74" s="54">
        <v>0</v>
      </c>
      <c r="R74" s="54">
        <v>0</v>
      </c>
      <c r="S74" s="54">
        <v>0</v>
      </c>
      <c r="T74" s="54">
        <v>0</v>
      </c>
      <c r="U74" s="54">
        <v>0</v>
      </c>
      <c r="V74" s="54">
        <v>0</v>
      </c>
      <c r="W74" s="54">
        <v>0</v>
      </c>
      <c r="X74" s="54"/>
      <c r="Y74" s="54"/>
      <c r="Z74" s="54"/>
      <c r="AA74" s="54"/>
      <c r="AB74" s="54"/>
    </row>
    <row r="75" spans="1:28" x14ac:dyDescent="0.3">
      <c r="A75" s="53" t="str">
        <f>Factors!B17</f>
        <v>PuDiss</v>
      </c>
      <c r="B75" s="54">
        <v>0</v>
      </c>
      <c r="C75" s="54">
        <v>0</v>
      </c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4">
        <v>0</v>
      </c>
      <c r="O75" s="54">
        <v>0</v>
      </c>
      <c r="P75" s="54">
        <v>0</v>
      </c>
      <c r="Q75" s="54">
        <v>0</v>
      </c>
      <c r="R75" s="54">
        <v>0</v>
      </c>
      <c r="S75" s="54">
        <v>0</v>
      </c>
      <c r="T75" s="54">
        <v>0</v>
      </c>
      <c r="U75" s="54">
        <v>0</v>
      </c>
      <c r="V75" s="54">
        <v>0</v>
      </c>
      <c r="W75" s="54">
        <v>0</v>
      </c>
      <c r="X75" s="54"/>
      <c r="Y75" s="54"/>
      <c r="Z75" s="54"/>
      <c r="AA75" s="54"/>
      <c r="AB75" s="54"/>
    </row>
    <row r="76" spans="1:28" x14ac:dyDescent="0.3">
      <c r="A76" s="53" t="str">
        <f>Factors!B18</f>
        <v>PaChem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/>
      <c r="Y76" s="54"/>
      <c r="Z76" s="54"/>
      <c r="AA76" s="54"/>
      <c r="AB76" s="54"/>
    </row>
    <row r="77" spans="1:28" x14ac:dyDescent="0.3">
      <c r="A77" s="53" t="str">
        <f>Factors!B19</f>
        <v>OtChem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/>
      <c r="Y77" s="54"/>
      <c r="Z77" s="54"/>
      <c r="AA77" s="54"/>
      <c r="AB77" s="54"/>
    </row>
    <row r="78" spans="1:28" x14ac:dyDescent="0.3">
      <c r="A78" s="53" t="str">
        <f>Factors!B20</f>
        <v>OtMech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>
        <v>0</v>
      </c>
      <c r="X78" s="54"/>
      <c r="Y78" s="54"/>
      <c r="Z78" s="54"/>
      <c r="AA78" s="54"/>
      <c r="AB78" s="54"/>
    </row>
    <row r="79" spans="1:28" x14ac:dyDescent="0.3">
      <c r="A79" s="53" t="str">
        <f>Factors!B21</f>
        <v>NwMech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/>
      <c r="Y79" s="54"/>
      <c r="Z79" s="54"/>
      <c r="AA79" s="54"/>
      <c r="AB79" s="54"/>
    </row>
    <row r="80" spans="1:28" x14ac:dyDescent="0.3"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 spans="1:28" x14ac:dyDescent="0.3"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</row>
    <row r="82" spans="1:28" x14ac:dyDescent="0.3"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</row>
    <row r="83" spans="1:28" x14ac:dyDescent="0.3"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</row>
    <row r="84" spans="1:28" x14ac:dyDescent="0.3"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</row>
    <row r="85" spans="1:28" x14ac:dyDescent="0.3"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</row>
    <row r="86" spans="1:28" x14ac:dyDescent="0.3"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</row>
    <row r="87" spans="1:28" x14ac:dyDescent="0.3"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</row>
    <row r="88" spans="1:28" x14ac:dyDescent="0.3"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</row>
    <row r="89" spans="1:28" ht="18.75" x14ac:dyDescent="0.3">
      <c r="A89" s="56" t="s">
        <v>36</v>
      </c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 spans="1:28" x14ac:dyDescent="0.3">
      <c r="A90" s="55" t="str">
        <f>Factors!B2</f>
        <v>PinTim</v>
      </c>
      <c r="B90" s="54">
        <v>400000</v>
      </c>
      <c r="C90" s="54">
        <v>400000</v>
      </c>
      <c r="D90" s="54">
        <v>400000</v>
      </c>
      <c r="E90" s="54">
        <v>400000</v>
      </c>
      <c r="F90" s="54">
        <v>400000</v>
      </c>
      <c r="G90" s="54">
        <v>400000</v>
      </c>
      <c r="H90" s="54">
        <v>400000</v>
      </c>
      <c r="I90" s="54">
        <v>400000</v>
      </c>
      <c r="J90" s="54">
        <v>400000</v>
      </c>
      <c r="K90" s="54">
        <v>400000</v>
      </c>
      <c r="L90" s="54">
        <v>400000</v>
      </c>
      <c r="M90" s="54">
        <v>400000</v>
      </c>
      <c r="N90" s="54">
        <v>400000</v>
      </c>
      <c r="O90" s="54">
        <v>400000</v>
      </c>
      <c r="P90" s="54">
        <v>400000</v>
      </c>
      <c r="Q90" s="54">
        <v>400000</v>
      </c>
      <c r="R90" s="54">
        <v>400000</v>
      </c>
      <c r="S90" s="54">
        <v>400000</v>
      </c>
      <c r="T90" s="54">
        <v>400000</v>
      </c>
      <c r="U90" s="54">
        <v>400000</v>
      </c>
      <c r="V90" s="54">
        <v>400000</v>
      </c>
      <c r="W90" s="54">
        <v>400000</v>
      </c>
      <c r="X90" s="54">
        <v>400000</v>
      </c>
      <c r="Y90" s="54"/>
      <c r="Z90" s="54"/>
      <c r="AA90" s="54"/>
      <c r="AB90" s="54"/>
    </row>
    <row r="91" spans="1:28" x14ac:dyDescent="0.3">
      <c r="A91" s="55" t="str">
        <f>Factors!B3</f>
        <v>PinPuw</v>
      </c>
      <c r="B91" s="54">
        <v>1300000</v>
      </c>
      <c r="C91" s="54">
        <v>1300000</v>
      </c>
      <c r="D91" s="54">
        <v>1300000</v>
      </c>
      <c r="E91" s="54">
        <v>1300000</v>
      </c>
      <c r="F91" s="54">
        <v>1300000</v>
      </c>
      <c r="G91" s="54">
        <v>1300000</v>
      </c>
      <c r="H91" s="54">
        <v>1300000</v>
      </c>
      <c r="I91" s="54">
        <v>1300000</v>
      </c>
      <c r="J91" s="54">
        <v>1300000</v>
      </c>
      <c r="K91" s="54">
        <v>1300000</v>
      </c>
      <c r="L91" s="54">
        <v>1300000</v>
      </c>
      <c r="M91" s="54">
        <v>1300000</v>
      </c>
      <c r="N91" s="54">
        <v>1300000</v>
      </c>
      <c r="O91" s="54">
        <v>1300000</v>
      </c>
      <c r="P91" s="54">
        <v>1300000</v>
      </c>
      <c r="Q91" s="54">
        <v>1300000</v>
      </c>
      <c r="R91" s="54">
        <v>1300000</v>
      </c>
      <c r="S91" s="54">
        <v>1300000</v>
      </c>
      <c r="T91" s="54">
        <v>1300000</v>
      </c>
      <c r="U91" s="54">
        <v>1300000</v>
      </c>
      <c r="V91" s="54">
        <v>1300000</v>
      </c>
      <c r="W91" s="54">
        <v>1300000</v>
      </c>
      <c r="X91" s="54">
        <v>1300000</v>
      </c>
      <c r="Y91" s="54"/>
      <c r="Z91" s="54"/>
      <c r="AA91" s="54"/>
      <c r="AB91" s="54"/>
    </row>
    <row r="92" spans="1:28" x14ac:dyDescent="0.3">
      <c r="A92" s="55" t="str">
        <f>Factors!B4</f>
        <v>SprTim</v>
      </c>
      <c r="B92" s="54">
        <v>500000</v>
      </c>
      <c r="C92" s="54">
        <v>500000</v>
      </c>
      <c r="D92" s="54">
        <v>500000</v>
      </c>
      <c r="E92" s="54">
        <v>500000</v>
      </c>
      <c r="F92" s="54">
        <v>500000</v>
      </c>
      <c r="G92" s="54">
        <v>500000</v>
      </c>
      <c r="H92" s="54">
        <v>500000</v>
      </c>
      <c r="I92" s="54">
        <v>500000</v>
      </c>
      <c r="J92" s="54">
        <v>500000</v>
      </c>
      <c r="K92" s="54">
        <v>500000</v>
      </c>
      <c r="L92" s="54">
        <v>500000</v>
      </c>
      <c r="M92" s="54">
        <v>500000</v>
      </c>
      <c r="N92" s="54">
        <v>500000</v>
      </c>
      <c r="O92" s="54">
        <v>500000</v>
      </c>
      <c r="P92" s="54">
        <v>500000</v>
      </c>
      <c r="Q92" s="54">
        <v>500000</v>
      </c>
      <c r="R92" s="54">
        <v>500000</v>
      </c>
      <c r="S92" s="54">
        <v>500000</v>
      </c>
      <c r="T92" s="54">
        <v>500000</v>
      </c>
      <c r="U92" s="54">
        <v>500000</v>
      </c>
      <c r="V92" s="54">
        <v>500000</v>
      </c>
      <c r="W92" s="54">
        <v>500000</v>
      </c>
      <c r="X92" s="54">
        <v>500000</v>
      </c>
      <c r="Y92" s="54"/>
      <c r="Z92" s="54"/>
      <c r="AA92" s="54"/>
      <c r="AB92" s="54"/>
    </row>
    <row r="93" spans="1:28" x14ac:dyDescent="0.3">
      <c r="A93" s="55" t="str">
        <f>Factors!B5</f>
        <v>SprPuw</v>
      </c>
      <c r="B93" s="54">
        <v>1800000</v>
      </c>
      <c r="C93" s="54">
        <v>1800000</v>
      </c>
      <c r="D93" s="54">
        <v>1800000</v>
      </c>
      <c r="E93" s="54">
        <v>1800000</v>
      </c>
      <c r="F93" s="54">
        <v>1800000</v>
      </c>
      <c r="G93" s="54">
        <v>1800000</v>
      </c>
      <c r="H93" s="54">
        <v>1800000</v>
      </c>
      <c r="I93" s="54">
        <v>1800000</v>
      </c>
      <c r="J93" s="54">
        <v>1800000</v>
      </c>
      <c r="K93" s="54">
        <v>1800000</v>
      </c>
      <c r="L93" s="54">
        <v>1800000</v>
      </c>
      <c r="M93" s="54">
        <v>1800000</v>
      </c>
      <c r="N93" s="54">
        <v>1800000</v>
      </c>
      <c r="O93" s="54">
        <v>1800000</v>
      </c>
      <c r="P93" s="54">
        <v>1800000</v>
      </c>
      <c r="Q93" s="54">
        <v>1800000</v>
      </c>
      <c r="R93" s="54">
        <v>1800000</v>
      </c>
      <c r="S93" s="54">
        <v>1800000</v>
      </c>
      <c r="T93" s="54">
        <v>1800000</v>
      </c>
      <c r="U93" s="54">
        <v>1800000</v>
      </c>
      <c r="V93" s="54">
        <v>1800000</v>
      </c>
      <c r="W93" s="54">
        <v>1800000</v>
      </c>
      <c r="X93" s="54">
        <v>1800000</v>
      </c>
      <c r="Y93" s="54"/>
      <c r="Z93" s="54"/>
      <c r="AA93" s="54"/>
      <c r="AB93" s="54"/>
    </row>
    <row r="94" spans="1:28" x14ac:dyDescent="0.3">
      <c r="A94" s="55" t="str">
        <f>Factors!B6</f>
        <v>Decids</v>
      </c>
      <c r="B94" s="54">
        <v>2700000</v>
      </c>
      <c r="C94" s="54">
        <v>2700000</v>
      </c>
      <c r="D94" s="54">
        <v>2700000</v>
      </c>
      <c r="E94" s="54">
        <v>2700000</v>
      </c>
      <c r="F94" s="54">
        <v>2700000</v>
      </c>
      <c r="G94" s="54">
        <v>2700000</v>
      </c>
      <c r="H94" s="54">
        <v>2700000</v>
      </c>
      <c r="I94" s="54">
        <v>2700000</v>
      </c>
      <c r="J94" s="54">
        <v>2700000</v>
      </c>
      <c r="K94" s="54">
        <v>2700000</v>
      </c>
      <c r="L94" s="54">
        <v>2700000</v>
      </c>
      <c r="M94" s="54">
        <v>2700000</v>
      </c>
      <c r="N94" s="54">
        <v>2700000</v>
      </c>
      <c r="O94" s="54">
        <v>2700000</v>
      </c>
      <c r="P94" s="54">
        <v>2700000</v>
      </c>
      <c r="Q94" s="54">
        <v>2700000</v>
      </c>
      <c r="R94" s="54">
        <v>2700000</v>
      </c>
      <c r="S94" s="54">
        <v>2700000</v>
      </c>
      <c r="T94" s="54">
        <v>2700000</v>
      </c>
      <c r="U94" s="54">
        <v>2700000</v>
      </c>
      <c r="V94" s="54">
        <v>2700000</v>
      </c>
      <c r="W94" s="54">
        <v>2700000</v>
      </c>
      <c r="X94" s="54">
        <v>2700000</v>
      </c>
      <c r="Y94" s="54"/>
      <c r="Z94" s="54"/>
      <c r="AA94" s="54"/>
      <c r="AB94" s="54"/>
    </row>
    <row r="95" spans="1:28" x14ac:dyDescent="0.3">
      <c r="A95" s="53" t="str">
        <f>Factors!B7</f>
        <v>Sawdst</v>
      </c>
      <c r="B95" s="54">
        <v>0</v>
      </c>
      <c r="C95" s="54">
        <v>0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4">
        <v>0</v>
      </c>
      <c r="O95" s="54">
        <v>0</v>
      </c>
      <c r="P95" s="54">
        <v>0</v>
      </c>
      <c r="Q95" s="54">
        <v>0</v>
      </c>
      <c r="R95" s="54">
        <v>0</v>
      </c>
      <c r="S95" s="54">
        <v>0</v>
      </c>
      <c r="T95" s="54">
        <v>0</v>
      </c>
      <c r="U95" s="54">
        <v>0</v>
      </c>
      <c r="V95" s="54">
        <v>0</v>
      </c>
      <c r="W95" s="54">
        <v>0</v>
      </c>
      <c r="X95" s="54">
        <v>0</v>
      </c>
      <c r="Y95" s="54"/>
      <c r="Z95" s="54"/>
      <c r="AA95" s="54"/>
      <c r="AB95" s="54"/>
    </row>
    <row r="96" spans="1:28" x14ac:dyDescent="0.3">
      <c r="A96" s="53" t="str">
        <f>Factors!B8</f>
        <v>Chips_</v>
      </c>
      <c r="B96" s="54">
        <v>0</v>
      </c>
      <c r="C96" s="54">
        <v>0</v>
      </c>
      <c r="D96" s="54">
        <v>0</v>
      </c>
      <c r="E96" s="54">
        <v>0</v>
      </c>
      <c r="F96" s="54">
        <v>0</v>
      </c>
      <c r="G96" s="54">
        <v>0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4">
        <v>0</v>
      </c>
      <c r="O96" s="54">
        <v>0</v>
      </c>
      <c r="P96" s="54">
        <v>0</v>
      </c>
      <c r="Q96" s="54">
        <v>0</v>
      </c>
      <c r="R96" s="54">
        <v>0</v>
      </c>
      <c r="S96" s="54">
        <v>0</v>
      </c>
      <c r="T96" s="54">
        <v>0</v>
      </c>
      <c r="U96" s="54">
        <v>0</v>
      </c>
      <c r="V96" s="54">
        <v>0</v>
      </c>
      <c r="W96" s="54">
        <v>0</v>
      </c>
      <c r="X96" s="54">
        <v>0</v>
      </c>
      <c r="Y96" s="54"/>
      <c r="Z96" s="54"/>
      <c r="AA96" s="54"/>
      <c r="AB96" s="54"/>
    </row>
    <row r="97" spans="1:28" x14ac:dyDescent="0.3">
      <c r="A97" s="55" t="str">
        <f>Factors!B9</f>
        <v>ResStm</v>
      </c>
      <c r="B97" s="54">
        <v>0</v>
      </c>
      <c r="C97" s="54">
        <v>0</v>
      </c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  <c r="N97" s="54">
        <v>0</v>
      </c>
      <c r="O97" s="54">
        <v>0</v>
      </c>
      <c r="P97" s="54">
        <v>0</v>
      </c>
      <c r="Q97" s="54">
        <v>0</v>
      </c>
      <c r="R97" s="54">
        <v>0</v>
      </c>
      <c r="S97" s="54">
        <v>0</v>
      </c>
      <c r="T97" s="54">
        <v>0</v>
      </c>
      <c r="U97" s="54">
        <v>0</v>
      </c>
      <c r="V97" s="54">
        <v>0</v>
      </c>
      <c r="W97" s="54">
        <v>0</v>
      </c>
      <c r="X97" s="54">
        <v>0</v>
      </c>
      <c r="Y97" s="54"/>
      <c r="Z97" s="54"/>
      <c r="AA97" s="54"/>
      <c r="AB97" s="54"/>
    </row>
    <row r="98" spans="1:28" x14ac:dyDescent="0.3">
      <c r="A98" s="53" t="str">
        <f>Factors!B10</f>
        <v>ResRot</v>
      </c>
      <c r="B98" s="54">
        <v>0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4">
        <v>0</v>
      </c>
      <c r="O98" s="54">
        <v>0</v>
      </c>
      <c r="P98" s="54">
        <v>0</v>
      </c>
      <c r="Q98" s="54">
        <v>0</v>
      </c>
      <c r="R98" s="54">
        <v>0</v>
      </c>
      <c r="S98" s="54">
        <v>0</v>
      </c>
      <c r="T98" s="54">
        <v>0</v>
      </c>
      <c r="U98" s="54">
        <v>0</v>
      </c>
      <c r="V98" s="54">
        <v>0</v>
      </c>
      <c r="W98" s="54">
        <v>0</v>
      </c>
      <c r="X98" s="54">
        <v>0</v>
      </c>
      <c r="Y98" s="54"/>
      <c r="Z98" s="54"/>
      <c r="AA98" s="54"/>
      <c r="AB98" s="54"/>
    </row>
    <row r="99" spans="1:28" x14ac:dyDescent="0.3">
      <c r="A99" s="53" t="str">
        <f>Factors!B11</f>
        <v>Sawnwd</v>
      </c>
      <c r="B99" s="54">
        <v>0</v>
      </c>
      <c r="C99" s="54">
        <v>0</v>
      </c>
      <c r="D99" s="54">
        <v>0</v>
      </c>
      <c r="E99" s="54">
        <v>0</v>
      </c>
      <c r="F99" s="54">
        <v>0</v>
      </c>
      <c r="G99" s="54">
        <v>0</v>
      </c>
      <c r="H99" s="54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  <c r="N99" s="54">
        <v>0</v>
      </c>
      <c r="O99" s="54">
        <v>0</v>
      </c>
      <c r="P99" s="54">
        <v>0</v>
      </c>
      <c r="Q99" s="54">
        <v>0</v>
      </c>
      <c r="R99" s="54">
        <v>0</v>
      </c>
      <c r="S99" s="54">
        <v>0</v>
      </c>
      <c r="T99" s="54">
        <v>0</v>
      </c>
      <c r="U99" s="54">
        <v>0</v>
      </c>
      <c r="V99" s="54">
        <v>0</v>
      </c>
      <c r="W99" s="54">
        <v>0</v>
      </c>
      <c r="X99" s="54">
        <v>0</v>
      </c>
      <c r="Y99" s="54"/>
      <c r="Z99" s="54"/>
      <c r="AA99" s="54"/>
      <c r="AB99" s="54"/>
    </row>
    <row r="100" spans="1:28" x14ac:dyDescent="0.3">
      <c r="A100" s="53" t="str">
        <f>Factors!B12</f>
        <v>Heat__</v>
      </c>
      <c r="B100" s="54">
        <v>0</v>
      </c>
      <c r="C100" s="54">
        <v>0</v>
      </c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4">
        <v>0</v>
      </c>
      <c r="O100" s="54">
        <v>0</v>
      </c>
      <c r="P100" s="54">
        <v>0</v>
      </c>
      <c r="Q100" s="54">
        <v>0</v>
      </c>
      <c r="R100" s="54">
        <v>0</v>
      </c>
      <c r="S100" s="54">
        <v>0</v>
      </c>
      <c r="T100" s="54">
        <v>0</v>
      </c>
      <c r="U100" s="54">
        <v>0</v>
      </c>
      <c r="V100" s="54">
        <v>0</v>
      </c>
      <c r="W100" s="54">
        <v>0</v>
      </c>
      <c r="X100" s="54">
        <v>0</v>
      </c>
      <c r="Y100" s="54"/>
      <c r="Z100" s="54"/>
      <c r="AA100" s="54"/>
      <c r="AB100" s="54"/>
    </row>
    <row r="101" spans="1:28" x14ac:dyDescent="0.3">
      <c r="A101" s="53" t="str">
        <f>Factors!B13</f>
        <v>Electr</v>
      </c>
      <c r="B101" s="54">
        <v>0</v>
      </c>
      <c r="C101" s="54">
        <v>0</v>
      </c>
      <c r="D101" s="54">
        <v>0</v>
      </c>
      <c r="E101" s="54">
        <v>0</v>
      </c>
      <c r="F101" s="54">
        <v>0</v>
      </c>
      <c r="G101" s="54">
        <v>0</v>
      </c>
      <c r="H101" s="54">
        <v>0</v>
      </c>
      <c r="I101" s="54">
        <v>0</v>
      </c>
      <c r="J101" s="54">
        <v>0</v>
      </c>
      <c r="K101" s="54">
        <v>0</v>
      </c>
      <c r="L101" s="54">
        <v>0</v>
      </c>
      <c r="M101" s="54">
        <v>0</v>
      </c>
      <c r="N101" s="54">
        <v>0</v>
      </c>
      <c r="O101" s="54">
        <v>0</v>
      </c>
      <c r="P101" s="54">
        <v>0</v>
      </c>
      <c r="Q101" s="54">
        <v>0</v>
      </c>
      <c r="R101" s="54">
        <v>0</v>
      </c>
      <c r="S101" s="54">
        <v>0</v>
      </c>
      <c r="T101" s="54">
        <v>0</v>
      </c>
      <c r="U101" s="54">
        <v>0</v>
      </c>
      <c r="V101" s="54">
        <v>0</v>
      </c>
      <c r="W101" s="54">
        <v>0</v>
      </c>
      <c r="X101" s="54">
        <v>0</v>
      </c>
      <c r="Y101" s="54"/>
      <c r="Z101" s="54"/>
      <c r="AA101" s="54"/>
      <c r="AB101" s="54"/>
    </row>
    <row r="102" spans="1:28" x14ac:dyDescent="0.3">
      <c r="A102" s="53" t="str">
        <f>Factors!B14</f>
        <v>BioFue</v>
      </c>
      <c r="B102" s="54">
        <v>0</v>
      </c>
      <c r="C102" s="54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4">
        <v>0</v>
      </c>
      <c r="O102" s="54">
        <v>0</v>
      </c>
      <c r="P102" s="54">
        <v>0</v>
      </c>
      <c r="Q102" s="54">
        <v>0</v>
      </c>
      <c r="R102" s="54">
        <v>0</v>
      </c>
      <c r="S102" s="54">
        <v>0</v>
      </c>
      <c r="T102" s="54">
        <v>0</v>
      </c>
      <c r="U102" s="54">
        <v>0</v>
      </c>
      <c r="V102" s="54">
        <v>0</v>
      </c>
      <c r="W102" s="54">
        <v>0</v>
      </c>
      <c r="X102" s="54">
        <v>0</v>
      </c>
      <c r="Y102" s="54"/>
      <c r="Z102" s="54"/>
      <c r="AA102" s="54"/>
      <c r="AB102" s="54"/>
    </row>
    <row r="103" spans="1:28" x14ac:dyDescent="0.3">
      <c r="A103" s="53" t="str">
        <f>Factors!B15</f>
        <v>PuChem</v>
      </c>
      <c r="B103" s="54">
        <v>0</v>
      </c>
      <c r="C103" s="54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0</v>
      </c>
      <c r="N103" s="54">
        <v>0</v>
      </c>
      <c r="O103" s="54">
        <v>0</v>
      </c>
      <c r="P103" s="54">
        <v>0</v>
      </c>
      <c r="Q103" s="54">
        <v>0</v>
      </c>
      <c r="R103" s="54">
        <v>0</v>
      </c>
      <c r="S103" s="54">
        <v>0</v>
      </c>
      <c r="T103" s="54">
        <v>0</v>
      </c>
      <c r="U103" s="54">
        <v>0</v>
      </c>
      <c r="V103" s="54">
        <v>0</v>
      </c>
      <c r="W103" s="54">
        <v>0</v>
      </c>
      <c r="X103" s="54">
        <v>0</v>
      </c>
      <c r="Y103" s="54"/>
      <c r="Z103" s="54"/>
      <c r="AA103" s="54"/>
      <c r="AB103" s="54"/>
    </row>
    <row r="104" spans="1:28" x14ac:dyDescent="0.3">
      <c r="A104" s="53" t="str">
        <f>Factors!B16</f>
        <v>PuMech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/>
      <c r="Z104" s="54"/>
      <c r="AA104" s="54"/>
      <c r="AB104" s="54"/>
    </row>
    <row r="105" spans="1:28" x14ac:dyDescent="0.3">
      <c r="A105" s="53" t="str">
        <f>Factors!B17</f>
        <v>PuDiss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/>
      <c r="Z105" s="54"/>
      <c r="AA105" s="54"/>
      <c r="AB105" s="54"/>
    </row>
    <row r="106" spans="1:28" x14ac:dyDescent="0.3">
      <c r="A106" s="53" t="str">
        <f>Factors!B18</f>
        <v>PaChem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/>
      <c r="Z106" s="54"/>
      <c r="AA106" s="54"/>
      <c r="AB106" s="54"/>
    </row>
    <row r="107" spans="1:28" x14ac:dyDescent="0.3">
      <c r="A107" s="53" t="str">
        <f>Factors!B19</f>
        <v>OtChem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/>
      <c r="Z107" s="54"/>
      <c r="AA107" s="54"/>
      <c r="AB107" s="54"/>
    </row>
    <row r="108" spans="1:28" x14ac:dyDescent="0.3">
      <c r="A108" s="53" t="str">
        <f>Factors!B20</f>
        <v>OtMech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/>
      <c r="Z108" s="54"/>
      <c r="AA108" s="54"/>
      <c r="AB108" s="54"/>
    </row>
    <row r="109" spans="1:28" x14ac:dyDescent="0.3">
      <c r="A109" s="53" t="str">
        <f>Factors!B21</f>
        <v>NwMech</v>
      </c>
      <c r="B109" s="54">
        <v>0</v>
      </c>
      <c r="C109" s="54">
        <v>0</v>
      </c>
      <c r="D109" s="54">
        <v>0</v>
      </c>
      <c r="E109" s="54">
        <v>0</v>
      </c>
      <c r="F109" s="54">
        <v>0</v>
      </c>
      <c r="G109" s="54">
        <v>0</v>
      </c>
      <c r="H109" s="54">
        <v>0</v>
      </c>
      <c r="I109" s="54">
        <v>0</v>
      </c>
      <c r="J109" s="54">
        <v>0</v>
      </c>
      <c r="K109" s="54">
        <v>0</v>
      </c>
      <c r="L109" s="54">
        <v>0</v>
      </c>
      <c r="M109" s="54">
        <v>0</v>
      </c>
      <c r="N109" s="54">
        <v>0</v>
      </c>
      <c r="O109" s="54">
        <v>0</v>
      </c>
      <c r="P109" s="54">
        <v>0</v>
      </c>
      <c r="Q109" s="54">
        <v>0</v>
      </c>
      <c r="R109" s="54">
        <v>0</v>
      </c>
      <c r="S109" s="54">
        <v>0</v>
      </c>
      <c r="T109" s="54">
        <v>0</v>
      </c>
      <c r="U109" s="54">
        <v>0</v>
      </c>
      <c r="V109" s="54">
        <v>0</v>
      </c>
      <c r="W109" s="54">
        <v>0</v>
      </c>
      <c r="X109" s="54">
        <v>0</v>
      </c>
      <c r="Y109" s="54"/>
      <c r="Z109" s="54"/>
      <c r="AA109" s="54"/>
      <c r="AB109" s="54"/>
    </row>
    <row r="111" spans="1:28" x14ac:dyDescent="0.3">
      <c r="A111" s="64" t="s">
        <v>208</v>
      </c>
    </row>
    <row r="112" spans="1:28" x14ac:dyDescent="0.3">
      <c r="A112" s="65" t="str">
        <f t="shared" ref="A112:A118" si="14">A34</f>
        <v>Decids</v>
      </c>
      <c r="B112" s="54">
        <v>6626000</v>
      </c>
      <c r="C112" s="54">
        <v>7209000</v>
      </c>
      <c r="D112" s="54">
        <v>7792000</v>
      </c>
      <c r="E112" s="54">
        <v>8025000</v>
      </c>
      <c r="F112" s="54">
        <v>8258000.0000000009</v>
      </c>
      <c r="G112" s="54">
        <v>8258000.0000000009</v>
      </c>
      <c r="H112" s="54">
        <v>8258000.0000000009</v>
      </c>
      <c r="I112" s="54">
        <v>8258000.0000000009</v>
      </c>
      <c r="J112" s="54">
        <v>8258000.0000000009</v>
      </c>
      <c r="K112" s="54">
        <v>8258000.0000000009</v>
      </c>
      <c r="L112" s="54">
        <v>8258000.0000000009</v>
      </c>
      <c r="M112" s="54">
        <v>8258000.0000000009</v>
      </c>
      <c r="N112" s="54">
        <v>8258000.0000000009</v>
      </c>
      <c r="O112" s="54">
        <v>8258000.0000000009</v>
      </c>
      <c r="P112" s="54">
        <v>8258000.0000000009</v>
      </c>
      <c r="Q112" s="54">
        <v>8258000.0000000009</v>
      </c>
      <c r="R112" s="54">
        <v>8258000.0000000009</v>
      </c>
      <c r="S112" s="54">
        <v>8258000.0000000009</v>
      </c>
      <c r="T112" s="54">
        <v>8258000.0000000009</v>
      </c>
      <c r="U112" s="54">
        <v>8258000.0000000009</v>
      </c>
      <c r="V112" s="54">
        <v>8258000.0000000009</v>
      </c>
      <c r="W112" s="54">
        <v>8258000.0000000009</v>
      </c>
      <c r="X112" s="53">
        <v>8258000.0000000009</v>
      </c>
    </row>
    <row r="113" spans="1:24" x14ac:dyDescent="0.3">
      <c r="A113" s="65" t="str">
        <f t="shared" si="14"/>
        <v>Sawdst</v>
      </c>
      <c r="B113" s="54">
        <v>2296000.0000000005</v>
      </c>
      <c r="C113" s="54">
        <v>2296000.0000000005</v>
      </c>
      <c r="D113" s="54">
        <v>2296000.0000000005</v>
      </c>
      <c r="E113" s="54">
        <v>2296000.0000000005</v>
      </c>
      <c r="F113" s="54">
        <v>2296000.0000000005</v>
      </c>
      <c r="G113" s="54">
        <v>2296000.0000000005</v>
      </c>
      <c r="H113" s="54">
        <v>2296000.0000000005</v>
      </c>
      <c r="I113" s="54">
        <v>2296000.0000000005</v>
      </c>
      <c r="J113" s="54">
        <v>2296000.0000000005</v>
      </c>
      <c r="K113" s="54">
        <v>2296000.0000000005</v>
      </c>
      <c r="L113" s="54">
        <v>2296000.0000000005</v>
      </c>
      <c r="M113" s="54">
        <v>2205500</v>
      </c>
      <c r="N113" s="54">
        <v>2115000</v>
      </c>
      <c r="O113" s="54">
        <v>1903500</v>
      </c>
      <c r="P113" s="54">
        <v>1692000</v>
      </c>
      <c r="Q113" s="54">
        <v>1523000</v>
      </c>
      <c r="R113" s="54">
        <v>1354000</v>
      </c>
      <c r="S113" s="54">
        <v>1354000</v>
      </c>
      <c r="T113" s="54">
        <v>1354000</v>
      </c>
      <c r="U113" s="54">
        <v>1354000</v>
      </c>
      <c r="V113" s="54">
        <v>1354000</v>
      </c>
      <c r="W113" s="54">
        <v>1354000</v>
      </c>
      <c r="X113" s="53">
        <v>1354000</v>
      </c>
    </row>
    <row r="114" spans="1:24" x14ac:dyDescent="0.3">
      <c r="A114" s="65" t="str">
        <f t="shared" si="14"/>
        <v>Chips_</v>
      </c>
      <c r="B114" s="54">
        <v>467000</v>
      </c>
      <c r="C114" s="54">
        <v>420500</v>
      </c>
      <c r="D114" s="54">
        <v>374000</v>
      </c>
      <c r="E114" s="54">
        <v>352500</v>
      </c>
      <c r="F114" s="54">
        <v>331000</v>
      </c>
      <c r="G114" s="54">
        <v>321500</v>
      </c>
      <c r="H114" s="54">
        <v>312000</v>
      </c>
      <c r="I114" s="54">
        <v>306000</v>
      </c>
      <c r="J114" s="54">
        <v>300000</v>
      </c>
      <c r="K114" s="54">
        <v>300000</v>
      </c>
      <c r="L114" s="54">
        <v>300000</v>
      </c>
      <c r="M114" s="54">
        <v>290000</v>
      </c>
      <c r="N114" s="54">
        <v>280000</v>
      </c>
      <c r="O114" s="54">
        <v>271000</v>
      </c>
      <c r="P114" s="54">
        <v>262000</v>
      </c>
      <c r="Q114" s="54">
        <v>260500</v>
      </c>
      <c r="R114" s="54">
        <v>259000</v>
      </c>
      <c r="S114" s="54">
        <v>259000</v>
      </c>
      <c r="T114" s="54">
        <v>259000</v>
      </c>
      <c r="U114" s="54">
        <v>259000</v>
      </c>
      <c r="V114" s="54">
        <v>259000</v>
      </c>
      <c r="W114" s="54">
        <v>259000</v>
      </c>
      <c r="X114" s="53">
        <v>259000</v>
      </c>
    </row>
    <row r="115" spans="1:24" x14ac:dyDescent="0.3">
      <c r="A115" s="65" t="str">
        <f t="shared" si="14"/>
        <v>ResStm</v>
      </c>
      <c r="B115" s="54">
        <v>6083000</v>
      </c>
      <c r="C115" s="54">
        <v>6083000</v>
      </c>
      <c r="D115" s="54">
        <v>6083000</v>
      </c>
      <c r="E115" s="54">
        <v>6083000</v>
      </c>
      <c r="F115" s="54">
        <v>6083000</v>
      </c>
      <c r="G115" s="54">
        <v>6083000</v>
      </c>
      <c r="H115" s="54">
        <v>6083000</v>
      </c>
      <c r="I115" s="54">
        <v>6083000</v>
      </c>
      <c r="J115" s="54">
        <v>6083000</v>
      </c>
      <c r="K115" s="54">
        <v>6083000</v>
      </c>
      <c r="L115" s="54">
        <v>6083000</v>
      </c>
      <c r="M115" s="54">
        <v>6083000</v>
      </c>
      <c r="N115" s="54">
        <v>6083000</v>
      </c>
      <c r="O115" s="54">
        <v>6083000</v>
      </c>
      <c r="P115" s="54">
        <v>6083000</v>
      </c>
      <c r="Q115" s="54">
        <v>6083000</v>
      </c>
      <c r="R115" s="54">
        <v>6083000</v>
      </c>
      <c r="S115" s="54">
        <v>6083000</v>
      </c>
      <c r="T115" s="54">
        <v>6083000</v>
      </c>
      <c r="U115" s="54">
        <v>6083000</v>
      </c>
      <c r="V115" s="54">
        <v>6083000</v>
      </c>
      <c r="W115" s="54">
        <v>6083000</v>
      </c>
      <c r="X115" s="53">
        <v>6083000</v>
      </c>
    </row>
    <row r="116" spans="1:24" x14ac:dyDescent="0.3">
      <c r="A116" s="65" t="str">
        <f t="shared" si="14"/>
        <v>ResRot</v>
      </c>
      <c r="B116" s="54">
        <v>2117000</v>
      </c>
      <c r="C116" s="54">
        <v>2117000</v>
      </c>
      <c r="D116" s="54">
        <v>2117000</v>
      </c>
      <c r="E116" s="54">
        <v>2117000</v>
      </c>
      <c r="F116" s="54">
        <v>2117000</v>
      </c>
      <c r="G116" s="54">
        <v>2117000</v>
      </c>
      <c r="H116" s="54">
        <v>2117000</v>
      </c>
      <c r="I116" s="54">
        <v>2117000</v>
      </c>
      <c r="J116" s="54">
        <v>2117000</v>
      </c>
      <c r="K116" s="54">
        <v>2117000</v>
      </c>
      <c r="L116" s="54">
        <v>2117000</v>
      </c>
      <c r="M116" s="54">
        <v>2117000</v>
      </c>
      <c r="N116" s="54">
        <v>2117000</v>
      </c>
      <c r="O116" s="54">
        <v>2067500</v>
      </c>
      <c r="P116" s="54">
        <v>2018000.0000000002</v>
      </c>
      <c r="Q116" s="54">
        <v>1972000</v>
      </c>
      <c r="R116" s="54">
        <v>1926000</v>
      </c>
      <c r="S116" s="54">
        <v>1926000</v>
      </c>
      <c r="T116" s="54">
        <v>1926000</v>
      </c>
      <c r="U116" s="54">
        <v>1926000</v>
      </c>
      <c r="V116" s="54">
        <v>1926000</v>
      </c>
      <c r="W116" s="54">
        <v>1926000</v>
      </c>
      <c r="X116" s="53">
        <v>1926000</v>
      </c>
    </row>
    <row r="117" spans="1:24" x14ac:dyDescent="0.3">
      <c r="A117" s="65" t="str">
        <f t="shared" si="14"/>
        <v>Sawnwd</v>
      </c>
      <c r="B117" s="54">
        <v>410000.00000000006</v>
      </c>
      <c r="C117" s="54">
        <v>420000</v>
      </c>
      <c r="D117" s="54">
        <v>430000</v>
      </c>
      <c r="E117" s="54">
        <v>441500</v>
      </c>
      <c r="F117" s="54">
        <v>453000</v>
      </c>
      <c r="G117" s="54">
        <v>465500</v>
      </c>
      <c r="H117" s="54">
        <v>478000.00000000006</v>
      </c>
      <c r="I117" s="54">
        <v>492000</v>
      </c>
      <c r="J117" s="54">
        <v>506000</v>
      </c>
      <c r="K117" s="54">
        <v>525500</v>
      </c>
      <c r="L117" s="54">
        <v>545000</v>
      </c>
      <c r="M117" s="54">
        <v>545000</v>
      </c>
      <c r="N117" s="54">
        <v>545000</v>
      </c>
      <c r="O117" s="54">
        <v>545000</v>
      </c>
      <c r="P117" s="54">
        <v>545000</v>
      </c>
      <c r="Q117" s="54">
        <v>545000</v>
      </c>
      <c r="R117" s="54">
        <v>545000</v>
      </c>
      <c r="S117" s="54">
        <v>545000</v>
      </c>
      <c r="T117" s="54">
        <v>545000</v>
      </c>
      <c r="U117" s="54">
        <v>545000</v>
      </c>
      <c r="V117" s="54">
        <v>545000</v>
      </c>
      <c r="W117" s="54">
        <v>545000</v>
      </c>
      <c r="X117" s="53">
        <v>545000</v>
      </c>
    </row>
    <row r="118" spans="1:24" x14ac:dyDescent="0.3">
      <c r="A118" s="65" t="str">
        <f t="shared" si="14"/>
        <v>Heat__</v>
      </c>
      <c r="B118" s="54">
        <v>561000</v>
      </c>
      <c r="C118" s="54">
        <v>698500</v>
      </c>
      <c r="D118" s="54">
        <v>836000</v>
      </c>
      <c r="E118" s="54">
        <v>1009000</v>
      </c>
      <c r="F118" s="54">
        <v>1182000</v>
      </c>
      <c r="G118" s="54">
        <v>1352000</v>
      </c>
      <c r="H118" s="54">
        <v>1522000</v>
      </c>
      <c r="I118" s="54">
        <v>1665000</v>
      </c>
      <c r="J118" s="54">
        <v>1808000</v>
      </c>
      <c r="K118" s="54">
        <v>1962000</v>
      </c>
      <c r="L118" s="54">
        <v>2116000</v>
      </c>
      <c r="M118" s="54">
        <v>2145000</v>
      </c>
      <c r="N118" s="54">
        <v>2174000</v>
      </c>
      <c r="O118" s="54">
        <v>2197000</v>
      </c>
      <c r="P118" s="54">
        <v>2220000</v>
      </c>
      <c r="Q118" s="54">
        <v>2295500</v>
      </c>
      <c r="R118" s="54">
        <v>2371000</v>
      </c>
      <c r="S118" s="54">
        <v>2371000</v>
      </c>
      <c r="T118" s="54">
        <v>2371000</v>
      </c>
      <c r="U118" s="54">
        <v>2371000</v>
      </c>
      <c r="V118" s="54">
        <v>2371000</v>
      </c>
      <c r="W118" s="54">
        <v>2371000</v>
      </c>
      <c r="X118" s="53">
        <v>2371000</v>
      </c>
    </row>
    <row r="120" spans="1:24" x14ac:dyDescent="0.3">
      <c r="A120" s="64" t="s">
        <v>207</v>
      </c>
    </row>
    <row r="121" spans="1:24" x14ac:dyDescent="0.3">
      <c r="A121" s="65" t="str">
        <f t="shared" ref="A121:A128" si="15">A43</f>
        <v>PuChem</v>
      </c>
      <c r="B121" s="66">
        <f>IIASA!B42/B112</f>
        <v>0.51382244189556303</v>
      </c>
      <c r="C121" s="54">
        <f t="shared" ref="C121:W126" si="16">B112*$B121</f>
        <v>3404587.5000000005</v>
      </c>
      <c r="D121" s="54">
        <f t="shared" si="16"/>
        <v>3704145.983625114</v>
      </c>
      <c r="E121" s="54">
        <f t="shared" si="16"/>
        <v>4003704.467250227</v>
      </c>
      <c r="F121" s="54">
        <f t="shared" si="16"/>
        <v>4123425.0962118935</v>
      </c>
      <c r="G121" s="54">
        <f t="shared" si="16"/>
        <v>4243145.72517356</v>
      </c>
      <c r="H121" s="54">
        <f t="shared" si="16"/>
        <v>4243145.72517356</v>
      </c>
      <c r="I121" s="54">
        <f t="shared" si="16"/>
        <v>4243145.72517356</v>
      </c>
      <c r="J121" s="54">
        <f t="shared" si="16"/>
        <v>4243145.72517356</v>
      </c>
      <c r="K121" s="54">
        <f t="shared" si="16"/>
        <v>4243145.72517356</v>
      </c>
      <c r="L121" s="54">
        <f t="shared" si="16"/>
        <v>4243145.72517356</v>
      </c>
      <c r="M121" s="54">
        <f t="shared" si="16"/>
        <v>4243145.72517356</v>
      </c>
      <c r="N121" s="54">
        <f t="shared" si="16"/>
        <v>4243145.72517356</v>
      </c>
      <c r="O121" s="54">
        <f t="shared" si="16"/>
        <v>4243145.72517356</v>
      </c>
      <c r="P121" s="54">
        <f t="shared" si="16"/>
        <v>4243145.72517356</v>
      </c>
      <c r="Q121" s="54">
        <f t="shared" si="16"/>
        <v>4243145.72517356</v>
      </c>
      <c r="R121" s="54">
        <f t="shared" si="16"/>
        <v>4243145.72517356</v>
      </c>
      <c r="S121" s="54">
        <f t="shared" si="16"/>
        <v>4243145.72517356</v>
      </c>
      <c r="T121" s="54">
        <f t="shared" si="16"/>
        <v>4243145.72517356</v>
      </c>
      <c r="U121" s="54">
        <f t="shared" si="16"/>
        <v>4243145.72517356</v>
      </c>
      <c r="V121" s="54">
        <f t="shared" si="16"/>
        <v>4243145.72517356</v>
      </c>
      <c r="W121" s="54">
        <f t="shared" si="16"/>
        <v>4243145.72517356</v>
      </c>
      <c r="X121" s="54">
        <v>4243145.72517356</v>
      </c>
    </row>
    <row r="122" spans="1:24" x14ac:dyDescent="0.3">
      <c r="A122" s="65" t="str">
        <f t="shared" si="15"/>
        <v>PuMech</v>
      </c>
      <c r="B122" s="66">
        <f>IIASA!B43/B113</f>
        <v>0.23094512195121941</v>
      </c>
      <c r="C122" s="54">
        <f t="shared" si="16"/>
        <v>530249.99999999988</v>
      </c>
      <c r="D122" s="54">
        <f t="shared" si="16"/>
        <v>530249.99999999988</v>
      </c>
      <c r="E122" s="54">
        <f t="shared" si="16"/>
        <v>530249.99999999988</v>
      </c>
      <c r="F122" s="54">
        <f t="shared" si="16"/>
        <v>530249.99999999988</v>
      </c>
      <c r="G122" s="54">
        <f t="shared" si="16"/>
        <v>530249.99999999988</v>
      </c>
      <c r="H122" s="54">
        <f t="shared" si="16"/>
        <v>530249.99999999988</v>
      </c>
      <c r="I122" s="54">
        <f t="shared" si="16"/>
        <v>530249.99999999988</v>
      </c>
      <c r="J122" s="54">
        <f t="shared" si="16"/>
        <v>530249.99999999988</v>
      </c>
      <c r="K122" s="54">
        <f t="shared" si="16"/>
        <v>530249.99999999988</v>
      </c>
      <c r="L122" s="54">
        <f t="shared" si="16"/>
        <v>530249.99999999988</v>
      </c>
      <c r="M122" s="54">
        <f t="shared" si="16"/>
        <v>530249.99999999988</v>
      </c>
      <c r="N122" s="54">
        <f t="shared" si="16"/>
        <v>509349.46646341443</v>
      </c>
      <c r="O122" s="54">
        <f t="shared" si="16"/>
        <v>488448.93292682903</v>
      </c>
      <c r="P122" s="54">
        <f t="shared" si="16"/>
        <v>439604.03963414615</v>
      </c>
      <c r="Q122" s="54">
        <f t="shared" si="16"/>
        <v>390759.14634146326</v>
      </c>
      <c r="R122" s="54">
        <f t="shared" si="16"/>
        <v>351729.42073170719</v>
      </c>
      <c r="S122" s="54">
        <f t="shared" si="16"/>
        <v>312699.69512195111</v>
      </c>
      <c r="T122" s="54">
        <f t="shared" si="16"/>
        <v>312699.69512195111</v>
      </c>
      <c r="U122" s="54">
        <f t="shared" si="16"/>
        <v>312699.69512195111</v>
      </c>
      <c r="V122" s="54">
        <f t="shared" si="16"/>
        <v>312699.69512195111</v>
      </c>
      <c r="W122" s="54">
        <f t="shared" si="16"/>
        <v>312699.69512195111</v>
      </c>
      <c r="X122" s="54">
        <v>312699.69512195111</v>
      </c>
    </row>
    <row r="123" spans="1:24" x14ac:dyDescent="0.3">
      <c r="A123" s="65" t="str">
        <f t="shared" si="15"/>
        <v>PuDiss</v>
      </c>
      <c r="B123" s="66">
        <f>IIASA!B44/B114</f>
        <v>0.72020770877944329</v>
      </c>
      <c r="C123" s="54">
        <f t="shared" si="16"/>
        <v>336337</v>
      </c>
      <c r="D123" s="54">
        <f t="shared" si="16"/>
        <v>302847.34154175589</v>
      </c>
      <c r="E123" s="54">
        <f t="shared" si="16"/>
        <v>269357.68308351177</v>
      </c>
      <c r="F123" s="54">
        <f t="shared" si="16"/>
        <v>253873.21734475376</v>
      </c>
      <c r="G123" s="54">
        <f t="shared" si="16"/>
        <v>238388.75160599573</v>
      </c>
      <c r="H123" s="54">
        <f t="shared" si="16"/>
        <v>231546.77837259101</v>
      </c>
      <c r="I123" s="54">
        <f t="shared" si="16"/>
        <v>224704.8051391863</v>
      </c>
      <c r="J123" s="54">
        <f t="shared" si="16"/>
        <v>220383.55888650965</v>
      </c>
      <c r="K123" s="54">
        <f t="shared" si="16"/>
        <v>216062.31263383297</v>
      </c>
      <c r="L123" s="54">
        <f t="shared" si="16"/>
        <v>216062.31263383297</v>
      </c>
      <c r="M123" s="54">
        <f t="shared" si="16"/>
        <v>216062.31263383297</v>
      </c>
      <c r="N123" s="54">
        <f t="shared" si="16"/>
        <v>208860.23554603854</v>
      </c>
      <c r="O123" s="54">
        <f t="shared" si="16"/>
        <v>201658.15845824411</v>
      </c>
      <c r="P123" s="54">
        <f t="shared" si="16"/>
        <v>195176.28907922914</v>
      </c>
      <c r="Q123" s="54">
        <f t="shared" si="16"/>
        <v>188694.41970021414</v>
      </c>
      <c r="R123" s="54">
        <f t="shared" si="16"/>
        <v>187614.10813704497</v>
      </c>
      <c r="S123" s="54">
        <f t="shared" si="16"/>
        <v>186533.79657387582</v>
      </c>
      <c r="T123" s="54">
        <f t="shared" si="16"/>
        <v>186533.79657387582</v>
      </c>
      <c r="U123" s="54">
        <f t="shared" si="16"/>
        <v>186533.79657387582</v>
      </c>
      <c r="V123" s="54">
        <f t="shared" si="16"/>
        <v>186533.79657387582</v>
      </c>
      <c r="W123" s="54">
        <f t="shared" si="16"/>
        <v>186533.79657387582</v>
      </c>
      <c r="X123" s="54">
        <v>186533.79657387582</v>
      </c>
    </row>
    <row r="124" spans="1:24" x14ac:dyDescent="0.3">
      <c r="A124" s="65" t="str">
        <f t="shared" si="15"/>
        <v>PaChem</v>
      </c>
      <c r="B124" s="66">
        <f>IIASA!B45/B115</f>
        <v>0.97731382541509126</v>
      </c>
      <c r="C124" s="54">
        <f t="shared" si="16"/>
        <v>5945000</v>
      </c>
      <c r="D124" s="54">
        <f t="shared" si="16"/>
        <v>5945000</v>
      </c>
      <c r="E124" s="54">
        <f t="shared" si="16"/>
        <v>5945000</v>
      </c>
      <c r="F124" s="54">
        <f t="shared" si="16"/>
        <v>5945000</v>
      </c>
      <c r="G124" s="54">
        <f t="shared" si="16"/>
        <v>5945000</v>
      </c>
      <c r="H124" s="54">
        <f t="shared" si="16"/>
        <v>5945000</v>
      </c>
      <c r="I124" s="54">
        <f t="shared" si="16"/>
        <v>5945000</v>
      </c>
      <c r="J124" s="54">
        <f t="shared" si="16"/>
        <v>5945000</v>
      </c>
      <c r="K124" s="54">
        <f t="shared" si="16"/>
        <v>5945000</v>
      </c>
      <c r="L124" s="54">
        <f t="shared" si="16"/>
        <v>5945000</v>
      </c>
      <c r="M124" s="54">
        <f t="shared" si="16"/>
        <v>5945000</v>
      </c>
      <c r="N124" s="54">
        <f t="shared" si="16"/>
        <v>5945000</v>
      </c>
      <c r="O124" s="54">
        <f t="shared" si="16"/>
        <v>5945000</v>
      </c>
      <c r="P124" s="54">
        <f t="shared" si="16"/>
        <v>5945000</v>
      </c>
      <c r="Q124" s="54">
        <f t="shared" si="16"/>
        <v>5945000</v>
      </c>
      <c r="R124" s="54">
        <f t="shared" si="16"/>
        <v>5945000</v>
      </c>
      <c r="S124" s="54">
        <f t="shared" si="16"/>
        <v>5945000</v>
      </c>
      <c r="T124" s="54">
        <f t="shared" si="16"/>
        <v>5945000</v>
      </c>
      <c r="U124" s="54">
        <f t="shared" si="16"/>
        <v>5945000</v>
      </c>
      <c r="V124" s="54">
        <f t="shared" si="16"/>
        <v>5945000</v>
      </c>
      <c r="W124" s="54">
        <f t="shared" si="16"/>
        <v>5945000</v>
      </c>
      <c r="X124" s="54">
        <v>5945000</v>
      </c>
    </row>
    <row r="125" spans="1:24" x14ac:dyDescent="0.3">
      <c r="A125" s="65" t="str">
        <f t="shared" si="15"/>
        <v>OtChem</v>
      </c>
      <c r="B125" s="66">
        <f>IIASA!B46/B116</f>
        <v>0.27928672649976383</v>
      </c>
      <c r="C125" s="54">
        <f t="shared" si="16"/>
        <v>591250</v>
      </c>
      <c r="D125" s="54">
        <f t="shared" si="16"/>
        <v>591250</v>
      </c>
      <c r="E125" s="54">
        <f t="shared" si="16"/>
        <v>591250</v>
      </c>
      <c r="F125" s="54">
        <f t="shared" si="16"/>
        <v>591250</v>
      </c>
      <c r="G125" s="54">
        <f t="shared" si="16"/>
        <v>591250</v>
      </c>
      <c r="H125" s="54">
        <f t="shared" si="16"/>
        <v>591250</v>
      </c>
      <c r="I125" s="54">
        <f t="shared" si="16"/>
        <v>591250</v>
      </c>
      <c r="J125" s="54">
        <f t="shared" si="16"/>
        <v>591250</v>
      </c>
      <c r="K125" s="54">
        <f t="shared" si="16"/>
        <v>591250</v>
      </c>
      <c r="L125" s="54">
        <f t="shared" si="16"/>
        <v>591250</v>
      </c>
      <c r="M125" s="54">
        <f t="shared" si="16"/>
        <v>591250</v>
      </c>
      <c r="N125" s="54">
        <f t="shared" si="16"/>
        <v>591250</v>
      </c>
      <c r="O125" s="54">
        <f t="shared" si="16"/>
        <v>591250</v>
      </c>
      <c r="P125" s="54">
        <f t="shared" si="16"/>
        <v>577425.30703826167</v>
      </c>
      <c r="Q125" s="54">
        <f t="shared" si="16"/>
        <v>563600.61407652346</v>
      </c>
      <c r="R125" s="54">
        <f t="shared" si="16"/>
        <v>550753.42465753423</v>
      </c>
      <c r="S125" s="54">
        <f t="shared" si="16"/>
        <v>537906.23523854511</v>
      </c>
      <c r="T125" s="54">
        <f t="shared" si="16"/>
        <v>537906.23523854511</v>
      </c>
      <c r="U125" s="54">
        <f t="shared" si="16"/>
        <v>537906.23523854511</v>
      </c>
      <c r="V125" s="54">
        <f t="shared" si="16"/>
        <v>537906.23523854511</v>
      </c>
      <c r="W125" s="54">
        <f t="shared" si="16"/>
        <v>537906.23523854511</v>
      </c>
      <c r="X125" s="54">
        <v>537906.23523854511</v>
      </c>
    </row>
    <row r="126" spans="1:24" x14ac:dyDescent="0.3">
      <c r="A126" s="65" t="str">
        <f t="shared" si="15"/>
        <v>OtMech</v>
      </c>
      <c r="B126" s="66">
        <f>IIASA!B47/B117</f>
        <v>4.3262195121951219</v>
      </c>
      <c r="C126" s="54">
        <f t="shared" si="16"/>
        <v>1773750.0000000002</v>
      </c>
      <c r="D126" s="54">
        <f t="shared" si="16"/>
        <v>1817012.1951219512</v>
      </c>
      <c r="E126" s="54">
        <f t="shared" si="16"/>
        <v>1860274.3902439023</v>
      </c>
      <c r="F126" s="54">
        <f t="shared" si="16"/>
        <v>1910025.9146341463</v>
      </c>
      <c r="G126" s="54">
        <f t="shared" si="16"/>
        <v>1959777.4390243902</v>
      </c>
      <c r="H126" s="54">
        <f t="shared" si="16"/>
        <v>2013855.1829268292</v>
      </c>
      <c r="I126" s="54">
        <f t="shared" si="16"/>
        <v>2067932.9268292685</v>
      </c>
      <c r="J126" s="54">
        <f t="shared" si="16"/>
        <v>2128500</v>
      </c>
      <c r="K126" s="54">
        <f t="shared" si="16"/>
        <v>2189067.0731707318</v>
      </c>
      <c r="L126" s="54">
        <f t="shared" si="16"/>
        <v>2273428.3536585364</v>
      </c>
      <c r="M126" s="54">
        <f t="shared" si="16"/>
        <v>2357789.6341463416</v>
      </c>
      <c r="N126" s="54">
        <f t="shared" si="16"/>
        <v>2357789.6341463416</v>
      </c>
      <c r="O126" s="54">
        <f t="shared" si="16"/>
        <v>2357789.6341463416</v>
      </c>
      <c r="P126" s="54">
        <f t="shared" si="16"/>
        <v>2357789.6341463416</v>
      </c>
      <c r="Q126" s="54">
        <f t="shared" si="16"/>
        <v>2357789.6341463416</v>
      </c>
      <c r="R126" s="54">
        <f t="shared" si="16"/>
        <v>2357789.6341463416</v>
      </c>
      <c r="S126" s="54">
        <f t="shared" si="16"/>
        <v>2357789.6341463416</v>
      </c>
      <c r="T126" s="54">
        <f t="shared" si="16"/>
        <v>2357789.6341463416</v>
      </c>
      <c r="U126" s="54">
        <f t="shared" si="16"/>
        <v>2357789.6341463416</v>
      </c>
      <c r="V126" s="54">
        <f t="shared" si="16"/>
        <v>2357789.6341463416</v>
      </c>
      <c r="W126" s="54">
        <f t="shared" si="16"/>
        <v>2357789.6341463416</v>
      </c>
      <c r="X126" s="54">
        <v>2357789.6341463416</v>
      </c>
    </row>
    <row r="127" spans="1:24" x14ac:dyDescent="0.3">
      <c r="A127" s="65" t="str">
        <f t="shared" si="15"/>
        <v>NwMech</v>
      </c>
      <c r="B127" s="66">
        <v>1.33</v>
      </c>
      <c r="C127" s="54">
        <v>889000</v>
      </c>
      <c r="D127" s="54">
        <v>889000</v>
      </c>
      <c r="E127" s="54">
        <v>889000</v>
      </c>
      <c r="F127" s="54">
        <v>889000</v>
      </c>
      <c r="G127" s="54">
        <v>889000</v>
      </c>
      <c r="H127" s="54">
        <v>889000</v>
      </c>
      <c r="I127" s="54">
        <v>889000</v>
      </c>
      <c r="J127" s="54">
        <v>889000</v>
      </c>
      <c r="K127" s="54">
        <v>889000</v>
      </c>
      <c r="L127" s="54">
        <v>889000</v>
      </c>
      <c r="M127" s="54">
        <v>889000</v>
      </c>
      <c r="N127" s="54">
        <v>889000</v>
      </c>
      <c r="O127" s="54">
        <v>889000</v>
      </c>
      <c r="P127" s="54">
        <v>889000</v>
      </c>
      <c r="Q127" s="54">
        <v>889000</v>
      </c>
      <c r="R127" s="54">
        <v>889000</v>
      </c>
      <c r="S127" s="54">
        <v>889000</v>
      </c>
      <c r="T127" s="54">
        <v>889000</v>
      </c>
      <c r="U127" s="54">
        <v>889000</v>
      </c>
      <c r="V127" s="54">
        <v>889000</v>
      </c>
      <c r="W127" s="54">
        <v>889000</v>
      </c>
      <c r="X127" s="54">
        <v>889000</v>
      </c>
    </row>
    <row r="128" spans="1:24" x14ac:dyDescent="0.3">
      <c r="A128" s="65" t="str">
        <f t="shared" si="15"/>
        <v>ParBoa</v>
      </c>
      <c r="B128" s="66">
        <f>IIASA!B49/B118</f>
        <v>1.0374349376114083</v>
      </c>
      <c r="C128" s="54">
        <f t="shared" ref="C128:W128" si="17">B118*$B128</f>
        <v>582001</v>
      </c>
      <c r="D128" s="54">
        <f t="shared" si="17"/>
        <v>724648.30392156867</v>
      </c>
      <c r="E128" s="54">
        <f t="shared" si="17"/>
        <v>867295.60784313735</v>
      </c>
      <c r="F128" s="54">
        <f t="shared" si="17"/>
        <v>1046771.8520499109</v>
      </c>
      <c r="G128" s="54">
        <f t="shared" si="17"/>
        <v>1226248.0962566845</v>
      </c>
      <c r="H128" s="54">
        <f t="shared" si="17"/>
        <v>1402612.035650624</v>
      </c>
      <c r="I128" s="54">
        <f t="shared" si="17"/>
        <v>1578975.9750445634</v>
      </c>
      <c r="J128" s="54">
        <f t="shared" si="17"/>
        <v>1727329.1711229947</v>
      </c>
      <c r="K128" s="54">
        <f t="shared" si="17"/>
        <v>1875682.3672014261</v>
      </c>
      <c r="L128" s="54">
        <f t="shared" si="17"/>
        <v>2035447.3475935829</v>
      </c>
      <c r="M128" s="54">
        <f t="shared" si="17"/>
        <v>2195212.3279857398</v>
      </c>
      <c r="N128" s="54">
        <f t="shared" si="17"/>
        <v>2225297.9411764708</v>
      </c>
      <c r="O128" s="54">
        <f t="shared" si="17"/>
        <v>2255383.5543672014</v>
      </c>
      <c r="P128" s="54">
        <f t="shared" si="17"/>
        <v>2279244.5579322642</v>
      </c>
      <c r="Q128" s="54">
        <f t="shared" si="17"/>
        <v>2303105.5614973265</v>
      </c>
      <c r="R128" s="54">
        <f t="shared" si="17"/>
        <v>2381431.8992869877</v>
      </c>
      <c r="S128" s="54">
        <f t="shared" si="17"/>
        <v>2459758.237076649</v>
      </c>
      <c r="T128" s="54">
        <f t="shared" si="17"/>
        <v>2459758.237076649</v>
      </c>
      <c r="U128" s="54">
        <f t="shared" si="17"/>
        <v>2459758.237076649</v>
      </c>
      <c r="V128" s="54">
        <f t="shared" si="17"/>
        <v>2459758.237076649</v>
      </c>
      <c r="W128" s="54">
        <f t="shared" si="17"/>
        <v>2459758.237076649</v>
      </c>
      <c r="X128" s="54">
        <v>2459758.237076649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3"/>
  <dimension ref="A1:AB128"/>
  <sheetViews>
    <sheetView zoomScale="55" zoomScaleNormal="55" workbookViewId="0"/>
  </sheetViews>
  <sheetFormatPr defaultColWidth="8.875" defaultRowHeight="16.5" x14ac:dyDescent="0.3"/>
  <cols>
    <col min="1" max="1" width="24.75" style="53" customWidth="1"/>
    <col min="2" max="28" width="14.5" style="53" customWidth="1"/>
    <col min="29" max="16384" width="8.875" style="53"/>
  </cols>
  <sheetData>
    <row r="1" spans="1:28" ht="14.45" x14ac:dyDescent="0.3">
      <c r="A1" s="59" t="s">
        <v>16558</v>
      </c>
      <c r="B1" s="53">
        <v>1</v>
      </c>
      <c r="C1" s="53">
        <v>2</v>
      </c>
      <c r="D1" s="53">
        <v>3</v>
      </c>
      <c r="E1" s="53">
        <v>4</v>
      </c>
      <c r="F1" s="53">
        <v>5</v>
      </c>
      <c r="G1" s="53">
        <v>6</v>
      </c>
      <c r="H1" s="53">
        <v>7</v>
      </c>
      <c r="I1" s="53">
        <v>8</v>
      </c>
      <c r="J1" s="53">
        <v>9</v>
      </c>
      <c r="K1" s="53">
        <v>10</v>
      </c>
      <c r="L1" s="53">
        <v>11</v>
      </c>
      <c r="M1" s="53">
        <v>12</v>
      </c>
      <c r="N1" s="53">
        <v>13</v>
      </c>
      <c r="O1" s="53">
        <v>14</v>
      </c>
      <c r="P1" s="53">
        <v>15</v>
      </c>
      <c r="Q1" s="53">
        <v>16</v>
      </c>
      <c r="R1" s="53">
        <v>17</v>
      </c>
      <c r="S1" s="53">
        <v>18</v>
      </c>
      <c r="T1" s="53">
        <v>19</v>
      </c>
      <c r="U1" s="53">
        <v>20</v>
      </c>
      <c r="V1" s="53">
        <v>21</v>
      </c>
      <c r="W1" s="53">
        <v>22</v>
      </c>
      <c r="Z1" s="53">
        <v>22</v>
      </c>
      <c r="AA1" s="53">
        <v>23</v>
      </c>
      <c r="AB1" s="53">
        <v>24</v>
      </c>
    </row>
    <row r="2" spans="1:28" ht="14.45" x14ac:dyDescent="0.3">
      <c r="A2" s="59" t="s">
        <v>16559</v>
      </c>
      <c r="B2" s="53">
        <v>0</v>
      </c>
      <c r="C2" s="53">
        <v>1</v>
      </c>
      <c r="D2" s="53">
        <v>2</v>
      </c>
      <c r="E2" s="53">
        <v>3</v>
      </c>
      <c r="F2" s="53">
        <v>4</v>
      </c>
      <c r="G2" s="53">
        <v>5</v>
      </c>
      <c r="H2" s="53">
        <v>6</v>
      </c>
      <c r="I2" s="53">
        <v>7</v>
      </c>
      <c r="J2" s="53">
        <v>8</v>
      </c>
      <c r="K2" s="53">
        <v>9</v>
      </c>
      <c r="L2" s="53">
        <v>10</v>
      </c>
      <c r="M2" s="53">
        <v>11</v>
      </c>
      <c r="N2" s="53">
        <v>12</v>
      </c>
      <c r="O2" s="53">
        <v>13</v>
      </c>
      <c r="P2" s="53">
        <v>14</v>
      </c>
      <c r="Q2" s="53">
        <v>15</v>
      </c>
      <c r="R2" s="53">
        <v>16</v>
      </c>
      <c r="S2" s="53">
        <v>17</v>
      </c>
      <c r="T2" s="53">
        <v>18</v>
      </c>
      <c r="U2" s="53">
        <v>19</v>
      </c>
      <c r="V2" s="53">
        <v>20</v>
      </c>
      <c r="W2" s="53">
        <v>21</v>
      </c>
      <c r="X2" s="53">
        <v>22</v>
      </c>
      <c r="Z2" s="53">
        <v>5</v>
      </c>
      <c r="AA2" s="53">
        <v>5</v>
      </c>
      <c r="AB2" s="53">
        <v>5</v>
      </c>
    </row>
    <row r="3" spans="1:28" ht="18.75" x14ac:dyDescent="0.3">
      <c r="A3" s="56" t="s">
        <v>67</v>
      </c>
      <c r="B3" s="59" t="s">
        <v>199</v>
      </c>
      <c r="C3" s="59">
        <v>10</v>
      </c>
    </row>
    <row r="4" spans="1:28" ht="14.45" x14ac:dyDescent="0.3">
      <c r="A4" s="53" t="str">
        <f>Factors!B2</f>
        <v>PinTim</v>
      </c>
      <c r="B4" s="54">
        <v>0</v>
      </c>
      <c r="C4" s="54">
        <f t="shared" ref="C4:W4" si="0">B4</f>
        <v>0</v>
      </c>
      <c r="D4" s="54">
        <f t="shared" si="0"/>
        <v>0</v>
      </c>
      <c r="E4" s="54">
        <f t="shared" si="0"/>
        <v>0</v>
      </c>
      <c r="F4" s="54">
        <f t="shared" si="0"/>
        <v>0</v>
      </c>
      <c r="G4" s="54">
        <f t="shared" si="0"/>
        <v>0</v>
      </c>
      <c r="H4" s="54">
        <f t="shared" si="0"/>
        <v>0</v>
      </c>
      <c r="I4" s="54">
        <f t="shared" si="0"/>
        <v>0</v>
      </c>
      <c r="J4" s="54">
        <f t="shared" si="0"/>
        <v>0</v>
      </c>
      <c r="K4" s="54">
        <f t="shared" si="0"/>
        <v>0</v>
      </c>
      <c r="L4" s="54">
        <f t="shared" si="0"/>
        <v>0</v>
      </c>
      <c r="M4" s="54">
        <f t="shared" si="0"/>
        <v>0</v>
      </c>
      <c r="N4" s="54">
        <f t="shared" si="0"/>
        <v>0</v>
      </c>
      <c r="O4" s="54">
        <f t="shared" si="0"/>
        <v>0</v>
      </c>
      <c r="P4" s="54">
        <f t="shared" si="0"/>
        <v>0</v>
      </c>
      <c r="Q4" s="54">
        <f t="shared" si="0"/>
        <v>0</v>
      </c>
      <c r="R4" s="54">
        <f t="shared" si="0"/>
        <v>0</v>
      </c>
      <c r="S4" s="54">
        <f t="shared" si="0"/>
        <v>0</v>
      </c>
      <c r="T4" s="54">
        <f t="shared" si="0"/>
        <v>0</v>
      </c>
      <c r="U4" s="54">
        <f t="shared" si="0"/>
        <v>0</v>
      </c>
      <c r="V4" s="54">
        <f t="shared" si="0"/>
        <v>0</v>
      </c>
      <c r="W4" s="54">
        <f t="shared" si="0"/>
        <v>0</v>
      </c>
      <c r="X4" s="54">
        <v>0</v>
      </c>
      <c r="Y4" s="54"/>
      <c r="Z4" s="54">
        <f t="shared" ref="Z4:Z10" si="1">V4</f>
        <v>0</v>
      </c>
      <c r="AA4" s="54">
        <f t="shared" ref="AA4:AB10" si="2">Z4</f>
        <v>0</v>
      </c>
      <c r="AB4" s="54">
        <f t="shared" si="2"/>
        <v>0</v>
      </c>
    </row>
    <row r="5" spans="1:28" ht="14.45" x14ac:dyDescent="0.3">
      <c r="A5" s="53" t="str">
        <f>Factors!B3</f>
        <v>PinPuw</v>
      </c>
      <c r="B5" s="54">
        <v>0</v>
      </c>
      <c r="C5" s="54">
        <f t="shared" ref="C5:W5" si="3">B5</f>
        <v>0</v>
      </c>
      <c r="D5" s="54">
        <f t="shared" si="3"/>
        <v>0</v>
      </c>
      <c r="E5" s="54">
        <f t="shared" si="3"/>
        <v>0</v>
      </c>
      <c r="F5" s="54">
        <f t="shared" si="3"/>
        <v>0</v>
      </c>
      <c r="G5" s="54">
        <f t="shared" si="3"/>
        <v>0</v>
      </c>
      <c r="H5" s="54">
        <f t="shared" si="3"/>
        <v>0</v>
      </c>
      <c r="I5" s="54">
        <f t="shared" si="3"/>
        <v>0</v>
      </c>
      <c r="J5" s="54">
        <f t="shared" si="3"/>
        <v>0</v>
      </c>
      <c r="K5" s="54">
        <f t="shared" si="3"/>
        <v>0</v>
      </c>
      <c r="L5" s="54">
        <f t="shared" si="3"/>
        <v>0</v>
      </c>
      <c r="M5" s="54">
        <f t="shared" si="3"/>
        <v>0</v>
      </c>
      <c r="N5" s="54">
        <f t="shared" si="3"/>
        <v>0</v>
      </c>
      <c r="O5" s="54">
        <f t="shared" si="3"/>
        <v>0</v>
      </c>
      <c r="P5" s="54">
        <f t="shared" si="3"/>
        <v>0</v>
      </c>
      <c r="Q5" s="54">
        <f t="shared" si="3"/>
        <v>0</v>
      </c>
      <c r="R5" s="54">
        <f t="shared" si="3"/>
        <v>0</v>
      </c>
      <c r="S5" s="54">
        <f t="shared" si="3"/>
        <v>0</v>
      </c>
      <c r="T5" s="54">
        <f t="shared" si="3"/>
        <v>0</v>
      </c>
      <c r="U5" s="54">
        <f t="shared" si="3"/>
        <v>0</v>
      </c>
      <c r="V5" s="54">
        <f t="shared" si="3"/>
        <v>0</v>
      </c>
      <c r="W5" s="54">
        <f t="shared" si="3"/>
        <v>0</v>
      </c>
      <c r="X5" s="54">
        <v>0</v>
      </c>
      <c r="Y5" s="54"/>
      <c r="Z5" s="54">
        <f t="shared" si="1"/>
        <v>0</v>
      </c>
      <c r="AA5" s="54">
        <f t="shared" si="2"/>
        <v>0</v>
      </c>
      <c r="AB5" s="54">
        <f t="shared" si="2"/>
        <v>0</v>
      </c>
    </row>
    <row r="6" spans="1:28" ht="14.45" x14ac:dyDescent="0.3">
      <c r="A6" s="53" t="str">
        <f>Factors!B4</f>
        <v>SprTim</v>
      </c>
      <c r="B6" s="54">
        <v>0</v>
      </c>
      <c r="C6" s="54">
        <f t="shared" ref="C6:W6" si="4">B6</f>
        <v>0</v>
      </c>
      <c r="D6" s="54">
        <f t="shared" si="4"/>
        <v>0</v>
      </c>
      <c r="E6" s="54">
        <f t="shared" si="4"/>
        <v>0</v>
      </c>
      <c r="F6" s="54">
        <f t="shared" si="4"/>
        <v>0</v>
      </c>
      <c r="G6" s="54">
        <f t="shared" si="4"/>
        <v>0</v>
      </c>
      <c r="H6" s="54">
        <f t="shared" si="4"/>
        <v>0</v>
      </c>
      <c r="I6" s="54">
        <f t="shared" si="4"/>
        <v>0</v>
      </c>
      <c r="J6" s="54">
        <f t="shared" si="4"/>
        <v>0</v>
      </c>
      <c r="K6" s="54">
        <f t="shared" si="4"/>
        <v>0</v>
      </c>
      <c r="L6" s="54">
        <f t="shared" si="4"/>
        <v>0</v>
      </c>
      <c r="M6" s="54">
        <f t="shared" si="4"/>
        <v>0</v>
      </c>
      <c r="N6" s="54">
        <f t="shared" si="4"/>
        <v>0</v>
      </c>
      <c r="O6" s="54">
        <f t="shared" si="4"/>
        <v>0</v>
      </c>
      <c r="P6" s="54">
        <f t="shared" si="4"/>
        <v>0</v>
      </c>
      <c r="Q6" s="54">
        <f t="shared" si="4"/>
        <v>0</v>
      </c>
      <c r="R6" s="54">
        <f t="shared" si="4"/>
        <v>0</v>
      </c>
      <c r="S6" s="54">
        <f t="shared" si="4"/>
        <v>0</v>
      </c>
      <c r="T6" s="54">
        <f t="shared" si="4"/>
        <v>0</v>
      </c>
      <c r="U6" s="54">
        <f t="shared" si="4"/>
        <v>0</v>
      </c>
      <c r="V6" s="54">
        <f t="shared" si="4"/>
        <v>0</v>
      </c>
      <c r="W6" s="54">
        <f t="shared" si="4"/>
        <v>0</v>
      </c>
      <c r="X6" s="54">
        <v>0</v>
      </c>
      <c r="Y6" s="54"/>
      <c r="Z6" s="54">
        <f t="shared" si="1"/>
        <v>0</v>
      </c>
      <c r="AA6" s="54">
        <f t="shared" si="2"/>
        <v>0</v>
      </c>
      <c r="AB6" s="54">
        <f t="shared" si="2"/>
        <v>0</v>
      </c>
    </row>
    <row r="7" spans="1:28" ht="14.45" x14ac:dyDescent="0.3">
      <c r="A7" s="53" t="str">
        <f>Factors!B5</f>
        <v>SprPuw</v>
      </c>
      <c r="B7" s="54">
        <v>0</v>
      </c>
      <c r="C7" s="54">
        <f t="shared" ref="C7:W7" si="5">B7</f>
        <v>0</v>
      </c>
      <c r="D7" s="54">
        <f t="shared" si="5"/>
        <v>0</v>
      </c>
      <c r="E7" s="54">
        <f t="shared" si="5"/>
        <v>0</v>
      </c>
      <c r="F7" s="54">
        <f t="shared" si="5"/>
        <v>0</v>
      </c>
      <c r="G7" s="54">
        <f t="shared" si="5"/>
        <v>0</v>
      </c>
      <c r="H7" s="54">
        <f t="shared" si="5"/>
        <v>0</v>
      </c>
      <c r="I7" s="54">
        <f t="shared" si="5"/>
        <v>0</v>
      </c>
      <c r="J7" s="54">
        <f t="shared" si="5"/>
        <v>0</v>
      </c>
      <c r="K7" s="54">
        <f t="shared" si="5"/>
        <v>0</v>
      </c>
      <c r="L7" s="54">
        <f t="shared" si="5"/>
        <v>0</v>
      </c>
      <c r="M7" s="54">
        <f t="shared" si="5"/>
        <v>0</v>
      </c>
      <c r="N7" s="54">
        <f t="shared" si="5"/>
        <v>0</v>
      </c>
      <c r="O7" s="54">
        <f t="shared" si="5"/>
        <v>0</v>
      </c>
      <c r="P7" s="54">
        <f t="shared" si="5"/>
        <v>0</v>
      </c>
      <c r="Q7" s="54">
        <f t="shared" si="5"/>
        <v>0</v>
      </c>
      <c r="R7" s="54">
        <f t="shared" si="5"/>
        <v>0</v>
      </c>
      <c r="S7" s="54">
        <f t="shared" si="5"/>
        <v>0</v>
      </c>
      <c r="T7" s="54">
        <f t="shared" si="5"/>
        <v>0</v>
      </c>
      <c r="U7" s="54">
        <f t="shared" si="5"/>
        <v>0</v>
      </c>
      <c r="V7" s="54">
        <f t="shared" si="5"/>
        <v>0</v>
      </c>
      <c r="W7" s="54">
        <f t="shared" si="5"/>
        <v>0</v>
      </c>
      <c r="X7" s="54">
        <v>0</v>
      </c>
      <c r="Y7" s="54"/>
      <c r="Z7" s="54">
        <f t="shared" si="1"/>
        <v>0</v>
      </c>
      <c r="AA7" s="54">
        <f t="shared" si="2"/>
        <v>0</v>
      </c>
      <c r="AB7" s="54">
        <f t="shared" si="2"/>
        <v>0</v>
      </c>
    </row>
    <row r="8" spans="1:28" ht="14.45" x14ac:dyDescent="0.3">
      <c r="A8" s="53" t="str">
        <f>Factors!B6</f>
        <v>Decids</v>
      </c>
      <c r="B8" s="54">
        <v>0</v>
      </c>
      <c r="C8" s="54">
        <f t="shared" ref="C8:W8" si="6">B8</f>
        <v>0</v>
      </c>
      <c r="D8" s="54">
        <f t="shared" si="6"/>
        <v>0</v>
      </c>
      <c r="E8" s="54">
        <f t="shared" si="6"/>
        <v>0</v>
      </c>
      <c r="F8" s="54">
        <f t="shared" si="6"/>
        <v>0</v>
      </c>
      <c r="G8" s="54">
        <f t="shared" si="6"/>
        <v>0</v>
      </c>
      <c r="H8" s="54">
        <f t="shared" si="6"/>
        <v>0</v>
      </c>
      <c r="I8" s="54">
        <f t="shared" si="6"/>
        <v>0</v>
      </c>
      <c r="J8" s="54">
        <f t="shared" si="6"/>
        <v>0</v>
      </c>
      <c r="K8" s="54">
        <f t="shared" si="6"/>
        <v>0</v>
      </c>
      <c r="L8" s="54">
        <f t="shared" si="6"/>
        <v>0</v>
      </c>
      <c r="M8" s="54">
        <f t="shared" si="6"/>
        <v>0</v>
      </c>
      <c r="N8" s="54">
        <f t="shared" si="6"/>
        <v>0</v>
      </c>
      <c r="O8" s="54">
        <f t="shared" si="6"/>
        <v>0</v>
      </c>
      <c r="P8" s="54">
        <f t="shared" si="6"/>
        <v>0</v>
      </c>
      <c r="Q8" s="54">
        <f t="shared" si="6"/>
        <v>0</v>
      </c>
      <c r="R8" s="54">
        <f t="shared" si="6"/>
        <v>0</v>
      </c>
      <c r="S8" s="54">
        <f t="shared" si="6"/>
        <v>0</v>
      </c>
      <c r="T8" s="54">
        <f t="shared" si="6"/>
        <v>0</v>
      </c>
      <c r="U8" s="54">
        <f t="shared" si="6"/>
        <v>0</v>
      </c>
      <c r="V8" s="54">
        <f t="shared" si="6"/>
        <v>0</v>
      </c>
      <c r="W8" s="54">
        <f t="shared" si="6"/>
        <v>0</v>
      </c>
      <c r="X8" s="54">
        <v>0</v>
      </c>
      <c r="Y8" s="54"/>
      <c r="Z8" s="54">
        <f t="shared" si="1"/>
        <v>0</v>
      </c>
      <c r="AA8" s="54">
        <f t="shared" si="2"/>
        <v>0</v>
      </c>
      <c r="AB8" s="54">
        <f t="shared" si="2"/>
        <v>0</v>
      </c>
    </row>
    <row r="9" spans="1:28" ht="14.45" x14ac:dyDescent="0.3">
      <c r="A9" s="53" t="str">
        <f>Factors!B7</f>
        <v>Sawdst</v>
      </c>
      <c r="B9" s="54">
        <v>0</v>
      </c>
      <c r="C9" s="54">
        <f t="shared" ref="C9:W9" si="7">B9</f>
        <v>0</v>
      </c>
      <c r="D9" s="54">
        <f t="shared" si="7"/>
        <v>0</v>
      </c>
      <c r="E9" s="54">
        <f t="shared" si="7"/>
        <v>0</v>
      </c>
      <c r="F9" s="54">
        <f t="shared" si="7"/>
        <v>0</v>
      </c>
      <c r="G9" s="54">
        <f t="shared" si="7"/>
        <v>0</v>
      </c>
      <c r="H9" s="54">
        <f t="shared" si="7"/>
        <v>0</v>
      </c>
      <c r="I9" s="54">
        <f t="shared" si="7"/>
        <v>0</v>
      </c>
      <c r="J9" s="54">
        <f t="shared" si="7"/>
        <v>0</v>
      </c>
      <c r="K9" s="54">
        <f t="shared" si="7"/>
        <v>0</v>
      </c>
      <c r="L9" s="54">
        <f t="shared" si="7"/>
        <v>0</v>
      </c>
      <c r="M9" s="54">
        <f t="shared" si="7"/>
        <v>0</v>
      </c>
      <c r="N9" s="54">
        <f t="shared" si="7"/>
        <v>0</v>
      </c>
      <c r="O9" s="54">
        <f t="shared" si="7"/>
        <v>0</v>
      </c>
      <c r="P9" s="54">
        <f t="shared" si="7"/>
        <v>0</v>
      </c>
      <c r="Q9" s="54">
        <f t="shared" si="7"/>
        <v>0</v>
      </c>
      <c r="R9" s="54">
        <f t="shared" si="7"/>
        <v>0</v>
      </c>
      <c r="S9" s="54">
        <f t="shared" si="7"/>
        <v>0</v>
      </c>
      <c r="T9" s="54">
        <f t="shared" si="7"/>
        <v>0</v>
      </c>
      <c r="U9" s="54">
        <f t="shared" si="7"/>
        <v>0</v>
      </c>
      <c r="V9" s="54">
        <f t="shared" si="7"/>
        <v>0</v>
      </c>
      <c r="W9" s="54">
        <f t="shared" si="7"/>
        <v>0</v>
      </c>
      <c r="X9" s="54">
        <v>0</v>
      </c>
      <c r="Y9" s="54"/>
      <c r="Z9" s="54">
        <f t="shared" si="1"/>
        <v>0</v>
      </c>
      <c r="AA9" s="54">
        <f t="shared" si="2"/>
        <v>0</v>
      </c>
      <c r="AB9" s="54">
        <f t="shared" si="2"/>
        <v>0</v>
      </c>
    </row>
    <row r="10" spans="1:28" ht="14.45" x14ac:dyDescent="0.3">
      <c r="A10" s="53" t="str">
        <f>Factors!B8</f>
        <v>Chips_</v>
      </c>
      <c r="B10" s="54">
        <v>0</v>
      </c>
      <c r="C10" s="54">
        <f t="shared" ref="C10:W10" si="8">B10</f>
        <v>0</v>
      </c>
      <c r="D10" s="54">
        <f t="shared" si="8"/>
        <v>0</v>
      </c>
      <c r="E10" s="54">
        <f t="shared" si="8"/>
        <v>0</v>
      </c>
      <c r="F10" s="54">
        <f t="shared" si="8"/>
        <v>0</v>
      </c>
      <c r="G10" s="54">
        <f t="shared" si="8"/>
        <v>0</v>
      </c>
      <c r="H10" s="54">
        <f t="shared" si="8"/>
        <v>0</v>
      </c>
      <c r="I10" s="54">
        <f t="shared" si="8"/>
        <v>0</v>
      </c>
      <c r="J10" s="54">
        <f t="shared" si="8"/>
        <v>0</v>
      </c>
      <c r="K10" s="54">
        <f t="shared" si="8"/>
        <v>0</v>
      </c>
      <c r="L10" s="54">
        <f t="shared" si="8"/>
        <v>0</v>
      </c>
      <c r="M10" s="54">
        <f t="shared" si="8"/>
        <v>0</v>
      </c>
      <c r="N10" s="54">
        <f t="shared" si="8"/>
        <v>0</v>
      </c>
      <c r="O10" s="54">
        <f t="shared" si="8"/>
        <v>0</v>
      </c>
      <c r="P10" s="54">
        <f t="shared" si="8"/>
        <v>0</v>
      </c>
      <c r="Q10" s="54">
        <f t="shared" si="8"/>
        <v>0</v>
      </c>
      <c r="R10" s="54">
        <f t="shared" si="8"/>
        <v>0</v>
      </c>
      <c r="S10" s="54">
        <f t="shared" si="8"/>
        <v>0</v>
      </c>
      <c r="T10" s="54">
        <f t="shared" si="8"/>
        <v>0</v>
      </c>
      <c r="U10" s="54">
        <f t="shared" si="8"/>
        <v>0</v>
      </c>
      <c r="V10" s="54">
        <f t="shared" si="8"/>
        <v>0</v>
      </c>
      <c r="W10" s="54">
        <f t="shared" si="8"/>
        <v>0</v>
      </c>
      <c r="X10" s="54">
        <v>0</v>
      </c>
      <c r="Y10" s="54"/>
      <c r="Z10" s="54">
        <f t="shared" si="1"/>
        <v>0</v>
      </c>
      <c r="AA10" s="54">
        <f t="shared" si="2"/>
        <v>0</v>
      </c>
      <c r="AB10" s="54">
        <f t="shared" si="2"/>
        <v>0</v>
      </c>
    </row>
    <row r="11" spans="1:28" ht="14.45" x14ac:dyDescent="0.3">
      <c r="A11" s="53" t="str">
        <f>Factors!B9</f>
        <v>ResStm</v>
      </c>
      <c r="B11" s="54">
        <v>0</v>
      </c>
      <c r="C11" s="54">
        <v>0</v>
      </c>
      <c r="D11" s="54">
        <v>0</v>
      </c>
      <c r="E11" s="54">
        <v>0</v>
      </c>
      <c r="F11" s="54">
        <v>0</v>
      </c>
      <c r="G11" s="54">
        <v>0</v>
      </c>
      <c r="H11" s="54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0</v>
      </c>
      <c r="P11" s="54">
        <v>0</v>
      </c>
      <c r="Q11" s="54">
        <v>0</v>
      </c>
      <c r="R11" s="54">
        <v>0</v>
      </c>
      <c r="S11" s="54">
        <v>0</v>
      </c>
      <c r="T11" s="54">
        <v>0</v>
      </c>
      <c r="U11" s="54">
        <v>0</v>
      </c>
      <c r="V11" s="54">
        <v>0</v>
      </c>
      <c r="W11" s="54">
        <v>0</v>
      </c>
      <c r="X11" s="54">
        <v>0</v>
      </c>
      <c r="Y11" s="54"/>
      <c r="Z11" s="54">
        <v>0</v>
      </c>
      <c r="AA11" s="54">
        <v>0</v>
      </c>
      <c r="AB11" s="54">
        <v>0</v>
      </c>
    </row>
    <row r="12" spans="1:28" ht="14.45" x14ac:dyDescent="0.3">
      <c r="A12" s="53" t="str">
        <f>Factors!B10</f>
        <v>ResRot</v>
      </c>
      <c r="B12" s="54">
        <v>0</v>
      </c>
      <c r="C12" s="54">
        <v>0</v>
      </c>
      <c r="D12" s="54">
        <v>0</v>
      </c>
      <c r="E12" s="54">
        <v>0</v>
      </c>
      <c r="F12" s="54">
        <v>0</v>
      </c>
      <c r="G12" s="54">
        <v>0</v>
      </c>
      <c r="H12" s="54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  <c r="N12" s="54">
        <v>0</v>
      </c>
      <c r="O12" s="54">
        <v>0</v>
      </c>
      <c r="P12" s="54">
        <v>0</v>
      </c>
      <c r="Q12" s="54">
        <v>0</v>
      </c>
      <c r="R12" s="54">
        <v>0</v>
      </c>
      <c r="S12" s="54">
        <v>0</v>
      </c>
      <c r="T12" s="54">
        <v>0</v>
      </c>
      <c r="U12" s="54">
        <v>0</v>
      </c>
      <c r="V12" s="54">
        <v>0</v>
      </c>
      <c r="W12" s="54">
        <v>0</v>
      </c>
      <c r="X12" s="54">
        <v>0</v>
      </c>
      <c r="Y12" s="54"/>
      <c r="Z12" s="54">
        <v>0</v>
      </c>
      <c r="AA12" s="54">
        <v>0</v>
      </c>
      <c r="AB12" s="54">
        <v>0</v>
      </c>
    </row>
    <row r="13" spans="1:28" ht="14.45" x14ac:dyDescent="0.3">
      <c r="A13" s="53" t="str">
        <f>Factors!B11</f>
        <v>Sawnwd</v>
      </c>
      <c r="B13" s="57">
        <f>'[2]All prices'!$F$28*$C$3</f>
        <v>1990</v>
      </c>
      <c r="C13" s="54">
        <f>(B13+D13)/2</f>
        <v>2230</v>
      </c>
      <c r="D13" s="57">
        <f>'[2]All prices'!$G$28*$C$3</f>
        <v>2470</v>
      </c>
      <c r="E13" s="54">
        <f>(D13+F13)/2</f>
        <v>2215</v>
      </c>
      <c r="F13" s="57">
        <f>'[2]All prices'!$H$28*$C$3</f>
        <v>1960</v>
      </c>
      <c r="G13" s="54">
        <f>(F13+H13)/2</f>
        <v>1935</v>
      </c>
      <c r="H13" s="57">
        <f>'[2]All prices'!$I$28*$C$3</f>
        <v>1910</v>
      </c>
      <c r="I13" s="54">
        <f>(H13+J13)/2</f>
        <v>1915</v>
      </c>
      <c r="J13" s="57">
        <f>'[2]All prices'!$J$28*$C$3</f>
        <v>1920</v>
      </c>
      <c r="K13" s="54">
        <f>(J13+L13)/2</f>
        <v>1950</v>
      </c>
      <c r="L13" s="57">
        <f>'[2]All prices'!$K$28*$C$3</f>
        <v>1980</v>
      </c>
      <c r="M13" s="54">
        <f>(L13+N13)/2</f>
        <v>1955</v>
      </c>
      <c r="N13" s="57">
        <f>'[2]All prices'!$L$28*$C$3</f>
        <v>1930</v>
      </c>
      <c r="O13" s="54">
        <f>(N13+P13)/2</f>
        <v>1820</v>
      </c>
      <c r="P13" s="57">
        <f>'[2]All prices'!$M$28*$C$3</f>
        <v>1710</v>
      </c>
      <c r="Q13" s="54">
        <f>(P13+R13)/2</f>
        <v>1695</v>
      </c>
      <c r="R13" s="57">
        <f>'[2]All prices'!$N$28*$C$3</f>
        <v>1680</v>
      </c>
      <c r="S13" s="58">
        <f t="shared" ref="S13:W13" si="9">R13</f>
        <v>1680</v>
      </c>
      <c r="T13" s="58">
        <f t="shared" si="9"/>
        <v>1680</v>
      </c>
      <c r="U13" s="58">
        <f t="shared" si="9"/>
        <v>1680</v>
      </c>
      <c r="V13" s="58">
        <f t="shared" si="9"/>
        <v>1680</v>
      </c>
      <c r="W13" s="58">
        <f t="shared" si="9"/>
        <v>1680</v>
      </c>
      <c r="X13" s="58">
        <v>1680</v>
      </c>
      <c r="Y13" s="54"/>
      <c r="Z13" s="54">
        <f t="shared" ref="Z13:Z23" si="10">V13</f>
        <v>1680</v>
      </c>
      <c r="AA13" s="54">
        <f>Z13</f>
        <v>1680</v>
      </c>
      <c r="AB13" s="54">
        <f>AA13</f>
        <v>1680</v>
      </c>
    </row>
    <row r="14" spans="1:28" ht="14.45" x14ac:dyDescent="0.3">
      <c r="A14" s="53" t="str">
        <f>Factors!B12</f>
        <v>Heat__</v>
      </c>
      <c r="B14" s="54">
        <v>0</v>
      </c>
      <c r="C14" s="54">
        <v>0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54">
        <v>0</v>
      </c>
      <c r="O14" s="54">
        <v>0</v>
      </c>
      <c r="P14" s="54">
        <v>0</v>
      </c>
      <c r="Q14" s="54">
        <v>0</v>
      </c>
      <c r="R14" s="54">
        <v>0</v>
      </c>
      <c r="S14" s="54">
        <v>0</v>
      </c>
      <c r="T14" s="54">
        <v>0</v>
      </c>
      <c r="U14" s="54">
        <v>0</v>
      </c>
      <c r="V14" s="54">
        <v>0</v>
      </c>
      <c r="W14" s="54">
        <v>0</v>
      </c>
      <c r="X14" s="54">
        <v>0</v>
      </c>
      <c r="Y14" s="54"/>
      <c r="Z14" s="54">
        <f t="shared" si="10"/>
        <v>0</v>
      </c>
      <c r="AA14" s="54">
        <f t="shared" ref="AA14:AB23" si="11">Z14</f>
        <v>0</v>
      </c>
      <c r="AB14" s="54">
        <f t="shared" si="11"/>
        <v>0</v>
      </c>
    </row>
    <row r="15" spans="1:28" ht="14.45" x14ac:dyDescent="0.3">
      <c r="A15" s="53" t="str">
        <f>Factors!B13</f>
        <v>Electr</v>
      </c>
      <c r="B15" s="54">
        <v>650</v>
      </c>
      <c r="C15" s="54">
        <v>650</v>
      </c>
      <c r="D15" s="54">
        <v>650</v>
      </c>
      <c r="E15" s="54">
        <v>650</v>
      </c>
      <c r="F15" s="54">
        <v>650</v>
      </c>
      <c r="G15" s="54">
        <v>650</v>
      </c>
      <c r="H15" s="54">
        <v>650</v>
      </c>
      <c r="I15" s="54">
        <v>650</v>
      </c>
      <c r="J15" s="54">
        <v>650</v>
      </c>
      <c r="K15" s="54">
        <v>650</v>
      </c>
      <c r="L15" s="54">
        <v>650</v>
      </c>
      <c r="M15" s="54">
        <v>650</v>
      </c>
      <c r="N15" s="54">
        <v>650</v>
      </c>
      <c r="O15" s="54">
        <v>650</v>
      </c>
      <c r="P15" s="54">
        <v>650</v>
      </c>
      <c r="Q15" s="54">
        <v>650</v>
      </c>
      <c r="R15" s="54">
        <v>650</v>
      </c>
      <c r="S15" s="54">
        <v>650</v>
      </c>
      <c r="T15" s="54">
        <v>650</v>
      </c>
      <c r="U15" s="54">
        <v>650</v>
      </c>
      <c r="V15" s="54">
        <v>650</v>
      </c>
      <c r="W15" s="54">
        <v>650</v>
      </c>
      <c r="X15" s="54">
        <v>650</v>
      </c>
      <c r="Y15" s="54"/>
      <c r="Z15" s="54">
        <f t="shared" si="10"/>
        <v>650</v>
      </c>
      <c r="AA15" s="54">
        <f t="shared" si="11"/>
        <v>650</v>
      </c>
      <c r="AB15" s="54">
        <f t="shared" si="11"/>
        <v>650</v>
      </c>
    </row>
    <row r="16" spans="1:28" ht="14.45" x14ac:dyDescent="0.3">
      <c r="A16" s="53" t="str">
        <f>Factors!B14</f>
        <v>BioFue</v>
      </c>
      <c r="B16" s="54">
        <v>0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/>
      <c r="Z16" s="54">
        <f t="shared" si="10"/>
        <v>0</v>
      </c>
      <c r="AA16" s="54">
        <f t="shared" si="11"/>
        <v>0</v>
      </c>
      <c r="AB16" s="54">
        <f t="shared" si="11"/>
        <v>0</v>
      </c>
    </row>
    <row r="17" spans="1:28" ht="14.45" x14ac:dyDescent="0.3">
      <c r="A17" s="53" t="str">
        <f>Factors!B15</f>
        <v>PuChem</v>
      </c>
      <c r="B17" s="57">
        <f>'[2]All prices'!$F$20*$C$3</f>
        <v>7630</v>
      </c>
      <c r="C17" s="54">
        <f t="shared" ref="C17:C24" si="12">(B17+D17)/2</f>
        <v>6525</v>
      </c>
      <c r="D17" s="57">
        <f>'[2]All prices'!$G$20*$C$3</f>
        <v>5420</v>
      </c>
      <c r="E17" s="54">
        <f t="shared" ref="E17:E24" si="13">(D17+F17)/2</f>
        <v>5275</v>
      </c>
      <c r="F17" s="57">
        <f>'[2]All prices'!$H$20*$C$3</f>
        <v>5130</v>
      </c>
      <c r="G17" s="54">
        <f t="shared" ref="G17:G24" si="14">(F17+H17)/2</f>
        <v>5100</v>
      </c>
      <c r="H17" s="57">
        <f>'[2]All prices'!$I$20*$C$3</f>
        <v>5070</v>
      </c>
      <c r="I17" s="54">
        <f t="shared" ref="I17:I24" si="15">(H17+J17)/2</f>
        <v>5090</v>
      </c>
      <c r="J17" s="57">
        <f>'[2]All prices'!$J$20*$C$3</f>
        <v>5110</v>
      </c>
      <c r="K17" s="54">
        <f t="shared" ref="K17:K24" si="16">(J17+L17)/2</f>
        <v>5085</v>
      </c>
      <c r="L17" s="57">
        <f>'[2]All prices'!$K$20*$C$3</f>
        <v>5060</v>
      </c>
      <c r="M17" s="54">
        <f t="shared" ref="M17:M24" si="17">(L17+N17)/2</f>
        <v>5025</v>
      </c>
      <c r="N17" s="57">
        <f>'[2]All prices'!$L$20*$C$3</f>
        <v>4990</v>
      </c>
      <c r="O17" s="54">
        <f t="shared" ref="O17:O24" si="18">(N17+P17)/2</f>
        <v>4895</v>
      </c>
      <c r="P17" s="57">
        <f>'[2]All prices'!$M$20*$C$3</f>
        <v>4800</v>
      </c>
      <c r="Q17" s="54">
        <f t="shared" ref="Q17:Q24" si="19">(P17+R17)/2</f>
        <v>4760</v>
      </c>
      <c r="R17" s="57">
        <f>'[2]All prices'!$N$20*$C$3</f>
        <v>4720</v>
      </c>
      <c r="S17" s="58">
        <f t="shared" ref="S17:W24" si="20">R17</f>
        <v>4720</v>
      </c>
      <c r="T17" s="58">
        <f t="shared" si="20"/>
        <v>4720</v>
      </c>
      <c r="U17" s="58">
        <f t="shared" si="20"/>
        <v>4720</v>
      </c>
      <c r="V17" s="58">
        <f t="shared" si="20"/>
        <v>4720</v>
      </c>
      <c r="W17" s="58">
        <f t="shared" si="20"/>
        <v>4720</v>
      </c>
      <c r="X17" s="54">
        <v>4720</v>
      </c>
      <c r="Y17" s="54"/>
      <c r="Z17" s="54">
        <f t="shared" si="10"/>
        <v>4720</v>
      </c>
      <c r="AA17" s="54">
        <f t="shared" si="11"/>
        <v>4720</v>
      </c>
      <c r="AB17" s="54">
        <f t="shared" si="11"/>
        <v>4720</v>
      </c>
    </row>
    <row r="18" spans="1:28" ht="14.45" x14ac:dyDescent="0.3">
      <c r="A18" s="53" t="str">
        <f>Factors!B16</f>
        <v>PuMech</v>
      </c>
      <c r="B18" s="57">
        <f>'[2]All prices'!$F$22*$C$3</f>
        <v>4510</v>
      </c>
      <c r="C18" s="54">
        <f t="shared" si="12"/>
        <v>4820</v>
      </c>
      <c r="D18" s="57">
        <f>'[2]All prices'!$G$22*$C$3</f>
        <v>5130</v>
      </c>
      <c r="E18" s="54">
        <f t="shared" si="13"/>
        <v>5095</v>
      </c>
      <c r="F18" s="57">
        <f>'[2]All prices'!$H$22*$C$3</f>
        <v>5060</v>
      </c>
      <c r="G18" s="54">
        <f t="shared" si="14"/>
        <v>5010</v>
      </c>
      <c r="H18" s="57">
        <f>'[2]All prices'!$I$22*$C$3</f>
        <v>4960</v>
      </c>
      <c r="I18" s="54">
        <f t="shared" si="15"/>
        <v>4940</v>
      </c>
      <c r="J18" s="57">
        <f>'[2]All prices'!$J$22*$C$3</f>
        <v>4920</v>
      </c>
      <c r="K18" s="54">
        <f t="shared" si="16"/>
        <v>4890</v>
      </c>
      <c r="L18" s="57">
        <f>'[2]All prices'!$K$22*$C$3</f>
        <v>4860</v>
      </c>
      <c r="M18" s="54">
        <f t="shared" si="17"/>
        <v>4840</v>
      </c>
      <c r="N18" s="57">
        <f>'[2]All prices'!$L$22*$C$3</f>
        <v>4820</v>
      </c>
      <c r="O18" s="54">
        <f t="shared" si="18"/>
        <v>4820</v>
      </c>
      <c r="P18" s="57">
        <f>'[2]All prices'!$M$22*$C$3</f>
        <v>4820</v>
      </c>
      <c r="Q18" s="54">
        <f t="shared" si="19"/>
        <v>4740</v>
      </c>
      <c r="R18" s="57">
        <f>'[2]All prices'!$N$22*$C$3</f>
        <v>4660</v>
      </c>
      <c r="S18" s="58">
        <f t="shared" si="20"/>
        <v>4660</v>
      </c>
      <c r="T18" s="58">
        <f t="shared" si="20"/>
        <v>4660</v>
      </c>
      <c r="U18" s="58">
        <f t="shared" si="20"/>
        <v>4660</v>
      </c>
      <c r="V18" s="58">
        <f t="shared" si="20"/>
        <v>4660</v>
      </c>
      <c r="W18" s="58">
        <f t="shared" si="20"/>
        <v>4660</v>
      </c>
      <c r="X18" s="54">
        <v>4660</v>
      </c>
      <c r="Y18" s="54"/>
      <c r="Z18" s="54">
        <f t="shared" si="10"/>
        <v>4660</v>
      </c>
      <c r="AA18" s="54">
        <f t="shared" si="11"/>
        <v>4660</v>
      </c>
      <c r="AB18" s="54">
        <f t="shared" si="11"/>
        <v>4660</v>
      </c>
    </row>
    <row r="19" spans="1:28" ht="14.45" x14ac:dyDescent="0.3">
      <c r="A19" s="53" t="str">
        <f>Factors!B17</f>
        <v>PuDiss</v>
      </c>
      <c r="B19" s="57">
        <f>'[2]All prices'!$F$44*$C$3</f>
        <v>6550</v>
      </c>
      <c r="C19" s="54">
        <f t="shared" si="12"/>
        <v>6185</v>
      </c>
      <c r="D19" s="57">
        <f>'[2]All prices'!$G$44*$C$3</f>
        <v>5820</v>
      </c>
      <c r="E19" s="54">
        <f t="shared" si="13"/>
        <v>5915</v>
      </c>
      <c r="F19" s="57">
        <f>'[2]All prices'!$H$44*$C$3</f>
        <v>6010</v>
      </c>
      <c r="G19" s="54">
        <f t="shared" si="14"/>
        <v>5880</v>
      </c>
      <c r="H19" s="57">
        <f>'[2]All prices'!$I$44*$C$3</f>
        <v>5750</v>
      </c>
      <c r="I19" s="54">
        <f t="shared" si="15"/>
        <v>5645</v>
      </c>
      <c r="J19" s="57">
        <f>'[2]All prices'!$J$44*$C$3</f>
        <v>5540</v>
      </c>
      <c r="K19" s="54">
        <f t="shared" si="16"/>
        <v>5530</v>
      </c>
      <c r="L19" s="57">
        <f>'[2]All prices'!$K$44*$C$3</f>
        <v>5520</v>
      </c>
      <c r="M19" s="54">
        <f t="shared" si="17"/>
        <v>5485</v>
      </c>
      <c r="N19" s="57">
        <f>'[2]All prices'!$L$44*$C$3</f>
        <v>5450</v>
      </c>
      <c r="O19" s="54">
        <f t="shared" si="18"/>
        <v>5170</v>
      </c>
      <c r="P19" s="57">
        <f>'[2]All prices'!$M$44*$C$3</f>
        <v>4890</v>
      </c>
      <c r="Q19" s="54">
        <f t="shared" si="19"/>
        <v>4810</v>
      </c>
      <c r="R19" s="57">
        <f>'[2]All prices'!$N$44*$C$3</f>
        <v>4730</v>
      </c>
      <c r="S19" s="58">
        <f t="shared" si="20"/>
        <v>4730</v>
      </c>
      <c r="T19" s="58">
        <f t="shared" si="20"/>
        <v>4730</v>
      </c>
      <c r="U19" s="58">
        <f t="shared" si="20"/>
        <v>4730</v>
      </c>
      <c r="V19" s="58">
        <f t="shared" si="20"/>
        <v>4730</v>
      </c>
      <c r="W19" s="58">
        <f t="shared" si="20"/>
        <v>4730</v>
      </c>
      <c r="X19" s="54">
        <v>4730</v>
      </c>
      <c r="Y19" s="54"/>
      <c r="Z19" s="54">
        <f t="shared" si="10"/>
        <v>4730</v>
      </c>
      <c r="AA19" s="54">
        <f t="shared" si="11"/>
        <v>4730</v>
      </c>
      <c r="AB19" s="54">
        <f t="shared" si="11"/>
        <v>4730</v>
      </c>
    </row>
    <row r="20" spans="1:28" ht="14.45" x14ac:dyDescent="0.3">
      <c r="A20" s="53" t="str">
        <f>Factors!B18</f>
        <v>PaChem</v>
      </c>
      <c r="B20" s="57">
        <f>'[2]All prices'!$F$41*$C$3</f>
        <v>8310</v>
      </c>
      <c r="C20" s="54">
        <f t="shared" si="12"/>
        <v>8380</v>
      </c>
      <c r="D20" s="57">
        <f>'[2]All prices'!$G$41*$C$3</f>
        <v>8450</v>
      </c>
      <c r="E20" s="54">
        <f t="shared" si="13"/>
        <v>8280</v>
      </c>
      <c r="F20" s="57">
        <f>'[2]All prices'!$H$41*$C$3</f>
        <v>8110</v>
      </c>
      <c r="G20" s="54">
        <f t="shared" si="14"/>
        <v>8275</v>
      </c>
      <c r="H20" s="57">
        <f>'[2]All prices'!$I$41*$C$3</f>
        <v>8440</v>
      </c>
      <c r="I20" s="54">
        <f t="shared" si="15"/>
        <v>8450</v>
      </c>
      <c r="J20" s="57">
        <f>'[2]All prices'!$J$41*$C$3</f>
        <v>8460</v>
      </c>
      <c r="K20" s="54">
        <f t="shared" si="16"/>
        <v>8435</v>
      </c>
      <c r="L20" s="57">
        <f>'[2]All prices'!$K$41*$C$3</f>
        <v>8410</v>
      </c>
      <c r="M20" s="54">
        <f t="shared" si="17"/>
        <v>8380</v>
      </c>
      <c r="N20" s="57">
        <f>'[2]All prices'!$L$41*$C$3</f>
        <v>8350</v>
      </c>
      <c r="O20" s="54">
        <f t="shared" si="18"/>
        <v>8255</v>
      </c>
      <c r="P20" s="57">
        <f>'[2]All prices'!$M$41*$C$3</f>
        <v>8160</v>
      </c>
      <c r="Q20" s="54">
        <f t="shared" si="19"/>
        <v>8110</v>
      </c>
      <c r="R20" s="57">
        <f>'[2]All prices'!$N$41*$C$3</f>
        <v>8060</v>
      </c>
      <c r="S20" s="58">
        <f t="shared" si="20"/>
        <v>8060</v>
      </c>
      <c r="T20" s="58">
        <f t="shared" si="20"/>
        <v>8060</v>
      </c>
      <c r="U20" s="58">
        <f t="shared" si="20"/>
        <v>8060</v>
      </c>
      <c r="V20" s="58">
        <f t="shared" si="20"/>
        <v>8060</v>
      </c>
      <c r="W20" s="58">
        <f t="shared" si="20"/>
        <v>8060</v>
      </c>
      <c r="X20" s="54">
        <v>8060</v>
      </c>
      <c r="Y20" s="54"/>
      <c r="Z20" s="54">
        <f t="shared" si="10"/>
        <v>8060</v>
      </c>
      <c r="AA20" s="54">
        <f t="shared" si="11"/>
        <v>8060</v>
      </c>
      <c r="AB20" s="54">
        <f t="shared" si="11"/>
        <v>8060</v>
      </c>
    </row>
    <row r="21" spans="1:28" ht="14.45" x14ac:dyDescent="0.3">
      <c r="A21" s="53" t="str">
        <f>Factors!B19</f>
        <v>OtChem</v>
      </c>
      <c r="B21" s="57">
        <f>'[2]All prices'!$F$40*$C$3</f>
        <v>8280</v>
      </c>
      <c r="C21" s="54">
        <f t="shared" si="12"/>
        <v>7900</v>
      </c>
      <c r="D21" s="57">
        <f>'[2]All prices'!$G$40*$C$3</f>
        <v>7520</v>
      </c>
      <c r="E21" s="54">
        <f t="shared" si="13"/>
        <v>7445</v>
      </c>
      <c r="F21" s="57">
        <f>'[2]All prices'!$H$40*$C$3</f>
        <v>7370</v>
      </c>
      <c r="G21" s="54">
        <f t="shared" si="14"/>
        <v>7440</v>
      </c>
      <c r="H21" s="57">
        <f>'[2]All prices'!$I$40*$C$3</f>
        <v>7510</v>
      </c>
      <c r="I21" s="54">
        <f t="shared" si="15"/>
        <v>7430</v>
      </c>
      <c r="J21" s="57">
        <f>'[2]All prices'!$J$40*$C$3</f>
        <v>7350</v>
      </c>
      <c r="K21" s="54">
        <f t="shared" si="16"/>
        <v>7270</v>
      </c>
      <c r="L21" s="57">
        <f>'[2]All prices'!$K$40*$C$3</f>
        <v>7190</v>
      </c>
      <c r="M21" s="54">
        <f t="shared" si="17"/>
        <v>7165</v>
      </c>
      <c r="N21" s="57">
        <f>'[2]All prices'!$L$40*$C$3</f>
        <v>7140</v>
      </c>
      <c r="O21" s="54">
        <f t="shared" si="18"/>
        <v>7030</v>
      </c>
      <c r="P21" s="57">
        <f>'[2]All prices'!$M$40*$C$3</f>
        <v>6920</v>
      </c>
      <c r="Q21" s="54">
        <f t="shared" si="19"/>
        <v>6860</v>
      </c>
      <c r="R21" s="57">
        <f>'[2]All prices'!$N$40*$C$3</f>
        <v>6800</v>
      </c>
      <c r="S21" s="58">
        <f t="shared" si="20"/>
        <v>6800</v>
      </c>
      <c r="T21" s="58">
        <f t="shared" si="20"/>
        <v>6800</v>
      </c>
      <c r="U21" s="58">
        <f t="shared" si="20"/>
        <v>6800</v>
      </c>
      <c r="V21" s="58">
        <f t="shared" si="20"/>
        <v>6800</v>
      </c>
      <c r="W21" s="58">
        <f t="shared" si="20"/>
        <v>6800</v>
      </c>
      <c r="X21" s="54">
        <v>6800</v>
      </c>
      <c r="Y21" s="54"/>
      <c r="Z21" s="54">
        <f t="shared" si="10"/>
        <v>6800</v>
      </c>
      <c r="AA21" s="54">
        <f t="shared" si="11"/>
        <v>6800</v>
      </c>
      <c r="AB21" s="54">
        <f t="shared" si="11"/>
        <v>6800</v>
      </c>
    </row>
    <row r="22" spans="1:28" ht="14.45" x14ac:dyDescent="0.3">
      <c r="A22" s="53" t="str">
        <f>Factors!B20</f>
        <v>OtMech</v>
      </c>
      <c r="B22" s="57">
        <f>'[2]All prices'!$F$42*$C$3</f>
        <v>8710</v>
      </c>
      <c r="C22" s="54">
        <f t="shared" si="12"/>
        <v>8580</v>
      </c>
      <c r="D22" s="57">
        <f>'[2]All prices'!$G$42*$C$3</f>
        <v>8450</v>
      </c>
      <c r="E22" s="54">
        <f t="shared" si="13"/>
        <v>8280</v>
      </c>
      <c r="F22" s="57">
        <f>'[2]All prices'!$H$42*$C$3</f>
        <v>8110</v>
      </c>
      <c r="G22" s="54">
        <f t="shared" si="14"/>
        <v>8070</v>
      </c>
      <c r="H22" s="57">
        <f>'[2]All prices'!$I$42*$C$3</f>
        <v>8030</v>
      </c>
      <c r="I22" s="54">
        <f t="shared" si="15"/>
        <v>8245</v>
      </c>
      <c r="J22" s="57">
        <f>'[2]All prices'!$J$42*$C$3</f>
        <v>8460</v>
      </c>
      <c r="K22" s="54">
        <f t="shared" si="16"/>
        <v>8435</v>
      </c>
      <c r="L22" s="57">
        <f>'[2]All prices'!$K$42*$C$3</f>
        <v>8410</v>
      </c>
      <c r="M22" s="54">
        <f t="shared" si="17"/>
        <v>8380</v>
      </c>
      <c r="N22" s="57">
        <f>'[2]All prices'!$L$42*$C$3</f>
        <v>8350</v>
      </c>
      <c r="O22" s="54">
        <f t="shared" si="18"/>
        <v>8255</v>
      </c>
      <c r="P22" s="57">
        <f>'[2]All prices'!$M$42*$C$3</f>
        <v>8160</v>
      </c>
      <c r="Q22" s="54">
        <f t="shared" si="19"/>
        <v>8110</v>
      </c>
      <c r="R22" s="57">
        <f>'[2]All prices'!$N$42*$C$3</f>
        <v>8060</v>
      </c>
      <c r="S22" s="58">
        <f t="shared" si="20"/>
        <v>8060</v>
      </c>
      <c r="T22" s="58">
        <f t="shared" si="20"/>
        <v>8060</v>
      </c>
      <c r="U22" s="58">
        <f t="shared" si="20"/>
        <v>8060</v>
      </c>
      <c r="V22" s="58">
        <f t="shared" si="20"/>
        <v>8060</v>
      </c>
      <c r="W22" s="58">
        <f t="shared" si="20"/>
        <v>8060</v>
      </c>
      <c r="X22" s="54">
        <v>8060</v>
      </c>
      <c r="Y22" s="54"/>
      <c r="Z22" s="54">
        <f t="shared" si="10"/>
        <v>8060</v>
      </c>
      <c r="AA22" s="54">
        <f t="shared" si="11"/>
        <v>8060</v>
      </c>
      <c r="AB22" s="54">
        <f t="shared" si="11"/>
        <v>8060</v>
      </c>
    </row>
    <row r="23" spans="1:28" ht="14.45" x14ac:dyDescent="0.3">
      <c r="A23" s="53" t="str">
        <f>Factors!B21</f>
        <v>NwMech</v>
      </c>
      <c r="B23" s="57">
        <f>'[2]All prices'!$F$39*$C$3</f>
        <v>6540</v>
      </c>
      <c r="C23" s="54">
        <f t="shared" si="12"/>
        <v>6500</v>
      </c>
      <c r="D23" s="57">
        <f>'[2]All prices'!$G$39*$C$3</f>
        <v>6460</v>
      </c>
      <c r="E23" s="54">
        <f t="shared" si="13"/>
        <v>6375</v>
      </c>
      <c r="F23" s="57">
        <f>'[2]All prices'!$H$39*$C$3</f>
        <v>6290</v>
      </c>
      <c r="G23" s="54">
        <f t="shared" si="14"/>
        <v>6410</v>
      </c>
      <c r="H23" s="57">
        <f>'[2]All prices'!$I$39*$C$3</f>
        <v>6530</v>
      </c>
      <c r="I23" s="54">
        <f t="shared" si="15"/>
        <v>6530</v>
      </c>
      <c r="J23" s="57">
        <f>'[2]All prices'!$J$39*$C$3</f>
        <v>6530</v>
      </c>
      <c r="K23" s="54">
        <f t="shared" si="16"/>
        <v>6485</v>
      </c>
      <c r="L23" s="57">
        <f>'[2]All prices'!$K$39*$C$3</f>
        <v>6440</v>
      </c>
      <c r="M23" s="54">
        <f t="shared" si="17"/>
        <v>6440</v>
      </c>
      <c r="N23" s="57">
        <f>'[2]All prices'!$L$39*$C$3</f>
        <v>6440</v>
      </c>
      <c r="O23" s="54">
        <f t="shared" si="18"/>
        <v>6355</v>
      </c>
      <c r="P23" s="57">
        <f>'[2]All prices'!$M$39*$C$3</f>
        <v>6270</v>
      </c>
      <c r="Q23" s="54">
        <f t="shared" si="19"/>
        <v>6215</v>
      </c>
      <c r="R23" s="57">
        <f>'[2]All prices'!$N$39*$C$3</f>
        <v>6160</v>
      </c>
      <c r="S23" s="58">
        <f t="shared" si="20"/>
        <v>6160</v>
      </c>
      <c r="T23" s="58">
        <f t="shared" si="20"/>
        <v>6160</v>
      </c>
      <c r="U23" s="58">
        <f t="shared" si="20"/>
        <v>6160</v>
      </c>
      <c r="V23" s="58">
        <f t="shared" si="20"/>
        <v>6160</v>
      </c>
      <c r="W23" s="58">
        <f t="shared" si="20"/>
        <v>6160</v>
      </c>
      <c r="X23" s="54">
        <v>6160</v>
      </c>
      <c r="Y23" s="54"/>
      <c r="Z23" s="54">
        <f t="shared" si="10"/>
        <v>6160</v>
      </c>
      <c r="AA23" s="54">
        <f t="shared" si="11"/>
        <v>6160</v>
      </c>
      <c r="AB23" s="54">
        <f t="shared" si="11"/>
        <v>6160</v>
      </c>
    </row>
    <row r="24" spans="1:28" ht="14.45" x14ac:dyDescent="0.3">
      <c r="A24" s="53" t="str">
        <f>Factors!B22</f>
        <v>ParBoa</v>
      </c>
      <c r="B24" s="57">
        <f>'[2]All prices'!$F$30*$C$3</f>
        <v>3040</v>
      </c>
      <c r="C24" s="54">
        <f t="shared" si="12"/>
        <v>2895</v>
      </c>
      <c r="D24" s="57">
        <f>'[2]All prices'!$G$30*$C$3</f>
        <v>2750</v>
      </c>
      <c r="E24" s="54">
        <f t="shared" si="13"/>
        <v>2830</v>
      </c>
      <c r="F24" s="57">
        <f>'[2]All prices'!$H$30*$C$3</f>
        <v>2910</v>
      </c>
      <c r="G24" s="54">
        <f t="shared" si="14"/>
        <v>2915</v>
      </c>
      <c r="H24" s="57">
        <f>'[2]All prices'!$I$30*$C$3</f>
        <v>2920</v>
      </c>
      <c r="I24" s="54">
        <f t="shared" si="15"/>
        <v>2855</v>
      </c>
      <c r="J24" s="57">
        <f>'[2]All prices'!$J$30*$C$3</f>
        <v>2790</v>
      </c>
      <c r="K24" s="54">
        <f t="shared" si="16"/>
        <v>2875</v>
      </c>
      <c r="L24" s="57">
        <f>'[2]All prices'!$K$30*$C$3</f>
        <v>2960</v>
      </c>
      <c r="M24" s="54">
        <f t="shared" si="17"/>
        <v>2905</v>
      </c>
      <c r="N24" s="57">
        <f>'[2]All prices'!$L$30*$C$3</f>
        <v>2850</v>
      </c>
      <c r="O24" s="54">
        <f t="shared" si="18"/>
        <v>2830</v>
      </c>
      <c r="P24" s="57">
        <f>'[2]All prices'!$M$30*$C$3</f>
        <v>2810</v>
      </c>
      <c r="Q24" s="54">
        <f t="shared" si="19"/>
        <v>2800</v>
      </c>
      <c r="R24" s="57">
        <f>'[2]All prices'!$N$30*$C$3</f>
        <v>2790</v>
      </c>
      <c r="S24" s="58">
        <f t="shared" si="20"/>
        <v>2790</v>
      </c>
      <c r="T24" s="58">
        <f t="shared" si="20"/>
        <v>2790</v>
      </c>
      <c r="U24" s="58">
        <f t="shared" si="20"/>
        <v>2790</v>
      </c>
      <c r="V24" s="58">
        <f t="shared" si="20"/>
        <v>2790</v>
      </c>
      <c r="W24" s="58">
        <f t="shared" si="20"/>
        <v>2790</v>
      </c>
      <c r="X24" s="54">
        <v>2790</v>
      </c>
      <c r="Y24" s="54"/>
      <c r="Z24" s="54"/>
      <c r="AA24" s="54"/>
      <c r="AB24" s="54"/>
    </row>
    <row r="25" spans="1:28" ht="14.45" x14ac:dyDescent="0.3">
      <c r="B25" s="57"/>
      <c r="C25" s="54"/>
      <c r="D25" s="57"/>
      <c r="E25" s="54"/>
      <c r="F25" s="57"/>
      <c r="G25" s="54"/>
      <c r="H25" s="57"/>
      <c r="I25" s="54"/>
      <c r="J25" s="57"/>
      <c r="K25" s="54"/>
      <c r="L25" s="57"/>
      <c r="M25" s="54"/>
      <c r="N25" s="57"/>
      <c r="O25" s="54"/>
      <c r="P25" s="57"/>
      <c r="Q25" s="54"/>
      <c r="R25" s="57"/>
      <c r="S25" s="58"/>
      <c r="T25" s="58"/>
      <c r="U25" s="58"/>
      <c r="V25" s="58"/>
      <c r="W25" s="58"/>
      <c r="X25" s="54"/>
      <c r="Y25" s="54"/>
      <c r="Z25" s="54"/>
      <c r="AA25" s="54"/>
      <c r="AB25" s="54"/>
    </row>
    <row r="26" spans="1:28" ht="14.45" x14ac:dyDescent="0.3">
      <c r="B26" s="57"/>
      <c r="C26" s="54"/>
      <c r="D26" s="57"/>
      <c r="E26" s="54"/>
      <c r="F26" s="57"/>
      <c r="G26" s="54"/>
      <c r="H26" s="57"/>
      <c r="I26" s="54"/>
      <c r="J26" s="57"/>
      <c r="K26" s="54"/>
      <c r="L26" s="57"/>
      <c r="M26" s="54"/>
      <c r="N26" s="57"/>
      <c r="O26" s="54"/>
      <c r="P26" s="57"/>
      <c r="Q26" s="54"/>
      <c r="R26" s="57"/>
      <c r="S26" s="58"/>
      <c r="T26" s="58"/>
      <c r="U26" s="58"/>
      <c r="V26" s="58"/>
      <c r="W26" s="58"/>
      <c r="X26" s="54"/>
      <c r="Y26" s="54"/>
      <c r="Z26" s="54"/>
      <c r="AA26" s="54"/>
      <c r="AB26" s="54"/>
    </row>
    <row r="27" spans="1:28" ht="14.45" x14ac:dyDescent="0.3">
      <c r="B27" s="57"/>
      <c r="C27" s="54"/>
      <c r="D27" s="57"/>
      <c r="E27" s="54"/>
      <c r="F27" s="57"/>
      <c r="G27" s="54"/>
      <c r="H27" s="57"/>
      <c r="I27" s="54"/>
      <c r="J27" s="57"/>
      <c r="K27" s="54"/>
      <c r="L27" s="57"/>
      <c r="M27" s="54"/>
      <c r="N27" s="57"/>
      <c r="O27" s="54"/>
      <c r="P27" s="57"/>
      <c r="Q27" s="54"/>
      <c r="R27" s="57"/>
      <c r="S27" s="58"/>
      <c r="T27" s="58"/>
      <c r="U27" s="58"/>
      <c r="V27" s="58"/>
      <c r="W27" s="58"/>
      <c r="X27" s="54"/>
      <c r="Y27" s="54"/>
      <c r="Z27" s="54"/>
      <c r="AA27" s="54"/>
      <c r="AB27" s="54"/>
    </row>
    <row r="28" spans="1:28" ht="14.45" x14ac:dyDescent="0.3"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spans="1:28" ht="18" x14ac:dyDescent="0.35">
      <c r="A29" s="56" t="s">
        <v>66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spans="1:28" ht="14.45" x14ac:dyDescent="0.3">
      <c r="A30" s="53" t="str">
        <f>Factors!B2</f>
        <v>PinTim</v>
      </c>
      <c r="B30" s="54">
        <v>0</v>
      </c>
      <c r="C30" s="54">
        <f t="shared" ref="C30:W30" si="21">B30</f>
        <v>0</v>
      </c>
      <c r="D30" s="54">
        <f t="shared" si="21"/>
        <v>0</v>
      </c>
      <c r="E30" s="54">
        <f t="shared" si="21"/>
        <v>0</v>
      </c>
      <c r="F30" s="54">
        <f t="shared" si="21"/>
        <v>0</v>
      </c>
      <c r="G30" s="54">
        <f t="shared" si="21"/>
        <v>0</v>
      </c>
      <c r="H30" s="54">
        <f t="shared" si="21"/>
        <v>0</v>
      </c>
      <c r="I30" s="54">
        <f t="shared" si="21"/>
        <v>0</v>
      </c>
      <c r="J30" s="54">
        <f t="shared" si="21"/>
        <v>0</v>
      </c>
      <c r="K30" s="54">
        <f t="shared" si="21"/>
        <v>0</v>
      </c>
      <c r="L30" s="54">
        <f t="shared" si="21"/>
        <v>0</v>
      </c>
      <c r="M30" s="54">
        <f t="shared" si="21"/>
        <v>0</v>
      </c>
      <c r="N30" s="54">
        <f t="shared" si="21"/>
        <v>0</v>
      </c>
      <c r="O30" s="54">
        <f t="shared" si="21"/>
        <v>0</v>
      </c>
      <c r="P30" s="54">
        <f t="shared" si="21"/>
        <v>0</v>
      </c>
      <c r="Q30" s="54">
        <f t="shared" si="21"/>
        <v>0</v>
      </c>
      <c r="R30" s="54">
        <f t="shared" si="21"/>
        <v>0</v>
      </c>
      <c r="S30" s="54">
        <f t="shared" si="21"/>
        <v>0</v>
      </c>
      <c r="T30" s="54">
        <f t="shared" si="21"/>
        <v>0</v>
      </c>
      <c r="U30" s="54">
        <f t="shared" si="21"/>
        <v>0</v>
      </c>
      <c r="V30" s="54">
        <f t="shared" si="21"/>
        <v>0</v>
      </c>
      <c r="W30" s="54">
        <f t="shared" si="21"/>
        <v>0</v>
      </c>
      <c r="X30" s="54">
        <v>0</v>
      </c>
      <c r="Y30" s="54"/>
      <c r="Z30" s="54">
        <f t="shared" ref="Z30:Z36" si="22">V30</f>
        <v>0</v>
      </c>
      <c r="AA30" s="54">
        <f t="shared" ref="AA30:AB36" si="23">Z30</f>
        <v>0</v>
      </c>
      <c r="AB30" s="54">
        <f t="shared" si="23"/>
        <v>0</v>
      </c>
    </row>
    <row r="31" spans="1:28" ht="14.45" x14ac:dyDescent="0.3">
      <c r="A31" s="53" t="str">
        <f>Factors!B3</f>
        <v>PinPuw</v>
      </c>
      <c r="B31" s="54">
        <v>0</v>
      </c>
      <c r="C31" s="54">
        <f t="shared" ref="C31:W31" si="24">B31</f>
        <v>0</v>
      </c>
      <c r="D31" s="54">
        <f t="shared" si="24"/>
        <v>0</v>
      </c>
      <c r="E31" s="54">
        <f t="shared" si="24"/>
        <v>0</v>
      </c>
      <c r="F31" s="54">
        <f t="shared" si="24"/>
        <v>0</v>
      </c>
      <c r="G31" s="54">
        <f t="shared" si="24"/>
        <v>0</v>
      </c>
      <c r="H31" s="54">
        <f t="shared" si="24"/>
        <v>0</v>
      </c>
      <c r="I31" s="54">
        <f t="shared" si="24"/>
        <v>0</v>
      </c>
      <c r="J31" s="54">
        <f t="shared" si="24"/>
        <v>0</v>
      </c>
      <c r="K31" s="54">
        <f t="shared" si="24"/>
        <v>0</v>
      </c>
      <c r="L31" s="54">
        <f t="shared" si="24"/>
        <v>0</v>
      </c>
      <c r="M31" s="54">
        <f t="shared" si="24"/>
        <v>0</v>
      </c>
      <c r="N31" s="54">
        <f t="shared" si="24"/>
        <v>0</v>
      </c>
      <c r="O31" s="54">
        <f t="shared" si="24"/>
        <v>0</v>
      </c>
      <c r="P31" s="54">
        <f t="shared" si="24"/>
        <v>0</v>
      </c>
      <c r="Q31" s="54">
        <f t="shared" si="24"/>
        <v>0</v>
      </c>
      <c r="R31" s="54">
        <f t="shared" si="24"/>
        <v>0</v>
      </c>
      <c r="S31" s="54">
        <f t="shared" si="24"/>
        <v>0</v>
      </c>
      <c r="T31" s="54">
        <f t="shared" si="24"/>
        <v>0</v>
      </c>
      <c r="U31" s="54">
        <f t="shared" si="24"/>
        <v>0</v>
      </c>
      <c r="V31" s="54">
        <f t="shared" si="24"/>
        <v>0</v>
      </c>
      <c r="W31" s="54">
        <f t="shared" si="24"/>
        <v>0</v>
      </c>
      <c r="X31" s="54">
        <v>0</v>
      </c>
      <c r="Y31" s="54"/>
      <c r="Z31" s="54">
        <f t="shared" si="22"/>
        <v>0</v>
      </c>
      <c r="AA31" s="54">
        <f t="shared" si="23"/>
        <v>0</v>
      </c>
      <c r="AB31" s="54">
        <f t="shared" si="23"/>
        <v>0</v>
      </c>
    </row>
    <row r="32" spans="1:28" ht="14.45" x14ac:dyDescent="0.3">
      <c r="A32" s="53" t="str">
        <f>Factors!B4</f>
        <v>SprTim</v>
      </c>
      <c r="B32" s="54">
        <v>0</v>
      </c>
      <c r="C32" s="54">
        <f t="shared" ref="C32:W32" si="25">B32</f>
        <v>0</v>
      </c>
      <c r="D32" s="54">
        <f t="shared" si="25"/>
        <v>0</v>
      </c>
      <c r="E32" s="54">
        <f t="shared" si="25"/>
        <v>0</v>
      </c>
      <c r="F32" s="54">
        <f t="shared" si="25"/>
        <v>0</v>
      </c>
      <c r="G32" s="54">
        <f t="shared" si="25"/>
        <v>0</v>
      </c>
      <c r="H32" s="54">
        <f t="shared" si="25"/>
        <v>0</v>
      </c>
      <c r="I32" s="54">
        <f t="shared" si="25"/>
        <v>0</v>
      </c>
      <c r="J32" s="54">
        <f t="shared" si="25"/>
        <v>0</v>
      </c>
      <c r="K32" s="54">
        <f t="shared" si="25"/>
        <v>0</v>
      </c>
      <c r="L32" s="54">
        <f t="shared" si="25"/>
        <v>0</v>
      </c>
      <c r="M32" s="54">
        <f t="shared" si="25"/>
        <v>0</v>
      </c>
      <c r="N32" s="54">
        <f t="shared" si="25"/>
        <v>0</v>
      </c>
      <c r="O32" s="54">
        <f t="shared" si="25"/>
        <v>0</v>
      </c>
      <c r="P32" s="54">
        <f t="shared" si="25"/>
        <v>0</v>
      </c>
      <c r="Q32" s="54">
        <f t="shared" si="25"/>
        <v>0</v>
      </c>
      <c r="R32" s="54">
        <f t="shared" si="25"/>
        <v>0</v>
      </c>
      <c r="S32" s="54">
        <f t="shared" si="25"/>
        <v>0</v>
      </c>
      <c r="T32" s="54">
        <f t="shared" si="25"/>
        <v>0</v>
      </c>
      <c r="U32" s="54">
        <f t="shared" si="25"/>
        <v>0</v>
      </c>
      <c r="V32" s="54">
        <f t="shared" si="25"/>
        <v>0</v>
      </c>
      <c r="W32" s="54">
        <f t="shared" si="25"/>
        <v>0</v>
      </c>
      <c r="X32" s="54">
        <v>0</v>
      </c>
      <c r="Y32" s="54"/>
      <c r="Z32" s="54">
        <f t="shared" si="22"/>
        <v>0</v>
      </c>
      <c r="AA32" s="54">
        <f t="shared" si="23"/>
        <v>0</v>
      </c>
      <c r="AB32" s="54">
        <f t="shared" si="23"/>
        <v>0</v>
      </c>
    </row>
    <row r="33" spans="1:28" ht="14.45" x14ac:dyDescent="0.3">
      <c r="A33" s="53" t="str">
        <f>Factors!B5</f>
        <v>SprPuw</v>
      </c>
      <c r="B33" s="54">
        <v>0</v>
      </c>
      <c r="C33" s="54">
        <f t="shared" ref="C33:W33" si="26">B33</f>
        <v>0</v>
      </c>
      <c r="D33" s="54">
        <f t="shared" si="26"/>
        <v>0</v>
      </c>
      <c r="E33" s="54">
        <f t="shared" si="26"/>
        <v>0</v>
      </c>
      <c r="F33" s="54">
        <f t="shared" si="26"/>
        <v>0</v>
      </c>
      <c r="G33" s="54">
        <f t="shared" si="26"/>
        <v>0</v>
      </c>
      <c r="H33" s="54">
        <f t="shared" si="26"/>
        <v>0</v>
      </c>
      <c r="I33" s="54">
        <f t="shared" si="26"/>
        <v>0</v>
      </c>
      <c r="J33" s="54">
        <f t="shared" si="26"/>
        <v>0</v>
      </c>
      <c r="K33" s="54">
        <f t="shared" si="26"/>
        <v>0</v>
      </c>
      <c r="L33" s="54">
        <f t="shared" si="26"/>
        <v>0</v>
      </c>
      <c r="M33" s="54">
        <f t="shared" si="26"/>
        <v>0</v>
      </c>
      <c r="N33" s="54">
        <f t="shared" si="26"/>
        <v>0</v>
      </c>
      <c r="O33" s="54">
        <f t="shared" si="26"/>
        <v>0</v>
      </c>
      <c r="P33" s="54">
        <f t="shared" si="26"/>
        <v>0</v>
      </c>
      <c r="Q33" s="54">
        <f t="shared" si="26"/>
        <v>0</v>
      </c>
      <c r="R33" s="54">
        <f t="shared" si="26"/>
        <v>0</v>
      </c>
      <c r="S33" s="54">
        <f t="shared" si="26"/>
        <v>0</v>
      </c>
      <c r="T33" s="54">
        <f t="shared" si="26"/>
        <v>0</v>
      </c>
      <c r="U33" s="54">
        <f t="shared" si="26"/>
        <v>0</v>
      </c>
      <c r="V33" s="54">
        <f t="shared" si="26"/>
        <v>0</v>
      </c>
      <c r="W33" s="54">
        <f t="shared" si="26"/>
        <v>0</v>
      </c>
      <c r="X33" s="54">
        <v>0</v>
      </c>
      <c r="Y33" s="54"/>
      <c r="Z33" s="54">
        <f t="shared" si="22"/>
        <v>0</v>
      </c>
      <c r="AA33" s="54">
        <f t="shared" si="23"/>
        <v>0</v>
      </c>
      <c r="AB33" s="54">
        <f t="shared" si="23"/>
        <v>0</v>
      </c>
    </row>
    <row r="34" spans="1:28" ht="14.45" x14ac:dyDescent="0.3">
      <c r="A34" s="53" t="str">
        <f>Factors!B6</f>
        <v>Decids</v>
      </c>
      <c r="B34" s="54">
        <v>0</v>
      </c>
      <c r="C34" s="54">
        <f t="shared" ref="C34:W34" si="27">B34</f>
        <v>0</v>
      </c>
      <c r="D34" s="54">
        <f t="shared" si="27"/>
        <v>0</v>
      </c>
      <c r="E34" s="54">
        <f t="shared" si="27"/>
        <v>0</v>
      </c>
      <c r="F34" s="54">
        <f t="shared" si="27"/>
        <v>0</v>
      </c>
      <c r="G34" s="54">
        <f t="shared" si="27"/>
        <v>0</v>
      </c>
      <c r="H34" s="54">
        <f t="shared" si="27"/>
        <v>0</v>
      </c>
      <c r="I34" s="54">
        <f t="shared" si="27"/>
        <v>0</v>
      </c>
      <c r="J34" s="54">
        <f t="shared" si="27"/>
        <v>0</v>
      </c>
      <c r="K34" s="54">
        <f t="shared" si="27"/>
        <v>0</v>
      </c>
      <c r="L34" s="54">
        <f t="shared" si="27"/>
        <v>0</v>
      </c>
      <c r="M34" s="54">
        <f t="shared" si="27"/>
        <v>0</v>
      </c>
      <c r="N34" s="54">
        <f t="shared" si="27"/>
        <v>0</v>
      </c>
      <c r="O34" s="54">
        <f t="shared" si="27"/>
        <v>0</v>
      </c>
      <c r="P34" s="54">
        <f t="shared" si="27"/>
        <v>0</v>
      </c>
      <c r="Q34" s="54">
        <f t="shared" si="27"/>
        <v>0</v>
      </c>
      <c r="R34" s="54">
        <f t="shared" si="27"/>
        <v>0</v>
      </c>
      <c r="S34" s="54">
        <f t="shared" si="27"/>
        <v>0</v>
      </c>
      <c r="T34" s="54">
        <f t="shared" si="27"/>
        <v>0</v>
      </c>
      <c r="U34" s="54">
        <f t="shared" si="27"/>
        <v>0</v>
      </c>
      <c r="V34" s="54">
        <f t="shared" si="27"/>
        <v>0</v>
      </c>
      <c r="W34" s="54">
        <f t="shared" si="27"/>
        <v>0</v>
      </c>
      <c r="X34" s="54">
        <v>0</v>
      </c>
      <c r="Y34" s="54"/>
      <c r="Z34" s="54">
        <f t="shared" si="22"/>
        <v>0</v>
      </c>
      <c r="AA34" s="54">
        <f t="shared" si="23"/>
        <v>0</v>
      </c>
      <c r="AB34" s="54">
        <f t="shared" si="23"/>
        <v>0</v>
      </c>
    </row>
    <row r="35" spans="1:28" ht="14.45" x14ac:dyDescent="0.3">
      <c r="A35" s="53" t="str">
        <f>Factors!B7</f>
        <v>Sawdst</v>
      </c>
      <c r="B35" s="54">
        <v>0</v>
      </c>
      <c r="C35" s="54">
        <f t="shared" ref="C35:W35" si="28">B35</f>
        <v>0</v>
      </c>
      <c r="D35" s="54">
        <f t="shared" si="28"/>
        <v>0</v>
      </c>
      <c r="E35" s="54">
        <f t="shared" si="28"/>
        <v>0</v>
      </c>
      <c r="F35" s="54">
        <f t="shared" si="28"/>
        <v>0</v>
      </c>
      <c r="G35" s="54">
        <f t="shared" si="28"/>
        <v>0</v>
      </c>
      <c r="H35" s="54">
        <f t="shared" si="28"/>
        <v>0</v>
      </c>
      <c r="I35" s="54">
        <f t="shared" si="28"/>
        <v>0</v>
      </c>
      <c r="J35" s="54">
        <f t="shared" si="28"/>
        <v>0</v>
      </c>
      <c r="K35" s="54">
        <f t="shared" si="28"/>
        <v>0</v>
      </c>
      <c r="L35" s="54">
        <f t="shared" si="28"/>
        <v>0</v>
      </c>
      <c r="M35" s="54">
        <f t="shared" si="28"/>
        <v>0</v>
      </c>
      <c r="N35" s="54">
        <f t="shared" si="28"/>
        <v>0</v>
      </c>
      <c r="O35" s="54">
        <f t="shared" si="28"/>
        <v>0</v>
      </c>
      <c r="P35" s="54">
        <f t="shared" si="28"/>
        <v>0</v>
      </c>
      <c r="Q35" s="54">
        <f t="shared" si="28"/>
        <v>0</v>
      </c>
      <c r="R35" s="54">
        <f t="shared" si="28"/>
        <v>0</v>
      </c>
      <c r="S35" s="54">
        <f t="shared" si="28"/>
        <v>0</v>
      </c>
      <c r="T35" s="54">
        <f t="shared" si="28"/>
        <v>0</v>
      </c>
      <c r="U35" s="54">
        <f t="shared" si="28"/>
        <v>0</v>
      </c>
      <c r="V35" s="54">
        <f t="shared" si="28"/>
        <v>0</v>
      </c>
      <c r="W35" s="54">
        <f t="shared" si="28"/>
        <v>0</v>
      </c>
      <c r="X35" s="54">
        <v>0</v>
      </c>
      <c r="Y35" s="54"/>
      <c r="Z35" s="54">
        <f t="shared" si="22"/>
        <v>0</v>
      </c>
      <c r="AA35" s="54">
        <f t="shared" si="23"/>
        <v>0</v>
      </c>
      <c r="AB35" s="54">
        <f t="shared" si="23"/>
        <v>0</v>
      </c>
    </row>
    <row r="36" spans="1:28" ht="14.45" x14ac:dyDescent="0.3">
      <c r="A36" s="53" t="str">
        <f>Factors!B8</f>
        <v>Chips_</v>
      </c>
      <c r="B36" s="54">
        <v>0</v>
      </c>
      <c r="C36" s="54">
        <f t="shared" ref="C36:W36" si="29">B36</f>
        <v>0</v>
      </c>
      <c r="D36" s="54">
        <f t="shared" si="29"/>
        <v>0</v>
      </c>
      <c r="E36" s="54">
        <f t="shared" si="29"/>
        <v>0</v>
      </c>
      <c r="F36" s="54">
        <f t="shared" si="29"/>
        <v>0</v>
      </c>
      <c r="G36" s="54">
        <f t="shared" si="29"/>
        <v>0</v>
      </c>
      <c r="H36" s="54">
        <f t="shared" si="29"/>
        <v>0</v>
      </c>
      <c r="I36" s="54">
        <f t="shared" si="29"/>
        <v>0</v>
      </c>
      <c r="J36" s="54">
        <f t="shared" si="29"/>
        <v>0</v>
      </c>
      <c r="K36" s="54">
        <f t="shared" si="29"/>
        <v>0</v>
      </c>
      <c r="L36" s="54">
        <f t="shared" si="29"/>
        <v>0</v>
      </c>
      <c r="M36" s="54">
        <f t="shared" si="29"/>
        <v>0</v>
      </c>
      <c r="N36" s="54">
        <f t="shared" si="29"/>
        <v>0</v>
      </c>
      <c r="O36" s="54">
        <f t="shared" si="29"/>
        <v>0</v>
      </c>
      <c r="P36" s="54">
        <f t="shared" si="29"/>
        <v>0</v>
      </c>
      <c r="Q36" s="54">
        <f t="shared" si="29"/>
        <v>0</v>
      </c>
      <c r="R36" s="54">
        <f t="shared" si="29"/>
        <v>0</v>
      </c>
      <c r="S36" s="54">
        <f t="shared" si="29"/>
        <v>0</v>
      </c>
      <c r="T36" s="54">
        <f t="shared" si="29"/>
        <v>0</v>
      </c>
      <c r="U36" s="54">
        <f t="shared" si="29"/>
        <v>0</v>
      </c>
      <c r="V36" s="54">
        <f t="shared" si="29"/>
        <v>0</v>
      </c>
      <c r="W36" s="54">
        <f t="shared" si="29"/>
        <v>0</v>
      </c>
      <c r="X36" s="54">
        <v>0</v>
      </c>
      <c r="Y36" s="54"/>
      <c r="Z36" s="54">
        <f t="shared" si="22"/>
        <v>0</v>
      </c>
      <c r="AA36" s="54">
        <f t="shared" si="23"/>
        <v>0</v>
      </c>
      <c r="AB36" s="54">
        <f t="shared" si="23"/>
        <v>0</v>
      </c>
    </row>
    <row r="37" spans="1:28" ht="14.45" x14ac:dyDescent="0.3">
      <c r="A37" s="53" t="str">
        <f>Factors!B9</f>
        <v>ResStm</v>
      </c>
      <c r="B37" s="54">
        <v>0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4">
        <v>0</v>
      </c>
      <c r="O37" s="54">
        <v>0</v>
      </c>
      <c r="P37" s="54">
        <v>0</v>
      </c>
      <c r="Q37" s="54">
        <v>0</v>
      </c>
      <c r="R37" s="54">
        <v>0</v>
      </c>
      <c r="S37" s="54">
        <v>0</v>
      </c>
      <c r="T37" s="54">
        <v>0</v>
      </c>
      <c r="U37" s="54">
        <v>0</v>
      </c>
      <c r="V37" s="54">
        <v>0</v>
      </c>
      <c r="W37" s="54">
        <v>0</v>
      </c>
      <c r="X37" s="54">
        <v>0</v>
      </c>
      <c r="Y37" s="54"/>
      <c r="Z37" s="54">
        <v>0</v>
      </c>
      <c r="AA37" s="54">
        <v>0</v>
      </c>
      <c r="AB37" s="54">
        <v>0</v>
      </c>
    </row>
    <row r="38" spans="1:28" ht="14.45" x14ac:dyDescent="0.3">
      <c r="A38" s="53" t="str">
        <f>Factors!B10</f>
        <v>ResRot</v>
      </c>
      <c r="B38" s="54">
        <v>0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4">
        <v>0</v>
      </c>
      <c r="O38" s="54">
        <v>0</v>
      </c>
      <c r="P38" s="54">
        <v>0</v>
      </c>
      <c r="Q38" s="54">
        <v>0</v>
      </c>
      <c r="R38" s="54">
        <v>0</v>
      </c>
      <c r="S38" s="54">
        <v>0</v>
      </c>
      <c r="T38" s="54">
        <v>0</v>
      </c>
      <c r="U38" s="54">
        <v>0</v>
      </c>
      <c r="V38" s="54">
        <v>0</v>
      </c>
      <c r="W38" s="54">
        <v>0</v>
      </c>
      <c r="X38" s="54">
        <v>0</v>
      </c>
      <c r="Y38" s="54"/>
      <c r="Z38" s="54">
        <v>0</v>
      </c>
      <c r="AA38" s="54">
        <v>0</v>
      </c>
      <c r="AB38" s="54">
        <v>0</v>
      </c>
    </row>
    <row r="39" spans="1:28" ht="14.45" x14ac:dyDescent="0.3">
      <c r="A39" s="53" t="str">
        <f>Factors!B11</f>
        <v>Sawnwd</v>
      </c>
      <c r="B39" s="57">
        <f>[2]Semi_finished_products!$F$9*1000000</f>
        <v>18401000</v>
      </c>
      <c r="C39" s="54">
        <f>(B39+D39)/2</f>
        <v>18664500</v>
      </c>
      <c r="D39" s="57">
        <f>[2]Semi_finished_products!$G$9*1000000</f>
        <v>18928000</v>
      </c>
      <c r="E39" s="54">
        <f>(D39+F39)/2</f>
        <v>18928000</v>
      </c>
      <c r="F39" s="57">
        <f>[2]Semi_finished_products!$H$9*1000000</f>
        <v>18928000</v>
      </c>
      <c r="G39" s="54">
        <f>(F39+H39)/2</f>
        <v>18928000</v>
      </c>
      <c r="H39" s="57">
        <f>[2]Semi_finished_products!$I$9*1000000</f>
        <v>18928000</v>
      </c>
      <c r="I39" s="54">
        <f>(H39+J39)/2</f>
        <v>18928000</v>
      </c>
      <c r="J39" s="57">
        <f>[2]Semi_finished_products!$J$9*1000000</f>
        <v>18928000</v>
      </c>
      <c r="K39" s="54">
        <f>(J39+L39)/2</f>
        <v>18928000</v>
      </c>
      <c r="L39" s="57">
        <f>[2]Semi_finished_products!$K$9*1000000</f>
        <v>18928000</v>
      </c>
      <c r="M39" s="54">
        <f>(L39+N39)/2</f>
        <v>18928000</v>
      </c>
      <c r="N39" s="57">
        <f>[2]Semi_finished_products!$L$9*1000000</f>
        <v>18928000</v>
      </c>
      <c r="O39" s="54">
        <f>(N39+P39)/2</f>
        <v>18647500</v>
      </c>
      <c r="P39" s="57">
        <f>[2]Semi_finished_products!$M$9*1000000</f>
        <v>18367000</v>
      </c>
      <c r="Q39" s="54">
        <f>(P39+R39)/2</f>
        <v>18367000</v>
      </c>
      <c r="R39" s="57">
        <f>[2]Semi_finished_products!$N$9*1000000</f>
        <v>18367000</v>
      </c>
      <c r="S39" s="58">
        <f>R39</f>
        <v>18367000</v>
      </c>
      <c r="T39" s="58">
        <f t="shared" ref="T39:W39" si="30">S39</f>
        <v>18367000</v>
      </c>
      <c r="U39" s="58">
        <f t="shared" si="30"/>
        <v>18367000</v>
      </c>
      <c r="V39" s="58">
        <f t="shared" si="30"/>
        <v>18367000</v>
      </c>
      <c r="W39" s="58">
        <f t="shared" si="30"/>
        <v>18367000</v>
      </c>
      <c r="X39" s="58">
        <v>18367000</v>
      </c>
      <c r="Y39" s="54"/>
      <c r="Z39" s="54">
        <v>19580317.233362999</v>
      </c>
      <c r="AA39" s="54">
        <v>19580317.233362999</v>
      </c>
      <c r="AB39" s="54">
        <v>19580317.233362999</v>
      </c>
    </row>
    <row r="40" spans="1:28" ht="14.45" x14ac:dyDescent="0.3">
      <c r="A40" s="53" t="str">
        <f>Factors!B12</f>
        <v>Heat__</v>
      </c>
      <c r="B40" s="54">
        <v>20250000</v>
      </c>
      <c r="C40" s="54">
        <v>20250000</v>
      </c>
      <c r="D40" s="54">
        <v>18000000</v>
      </c>
      <c r="E40" s="54">
        <v>18750000</v>
      </c>
      <c r="F40" s="54">
        <v>18000000</v>
      </c>
      <c r="G40" s="54">
        <v>18750000</v>
      </c>
      <c r="H40" s="54">
        <v>17250000</v>
      </c>
      <c r="I40" s="54">
        <v>17250000</v>
      </c>
      <c r="J40" s="54">
        <v>17250000</v>
      </c>
      <c r="K40" s="54">
        <v>17250000</v>
      </c>
      <c r="L40" s="54">
        <v>17250000</v>
      </c>
      <c r="M40" s="54">
        <v>17250000</v>
      </c>
      <c r="N40" s="54">
        <v>17250000</v>
      </c>
      <c r="O40" s="54">
        <v>17250000</v>
      </c>
      <c r="P40" s="54">
        <v>17250000</v>
      </c>
      <c r="Q40" s="54">
        <v>17250000</v>
      </c>
      <c r="R40" s="54">
        <v>17250000</v>
      </c>
      <c r="S40" s="54">
        <v>17250000</v>
      </c>
      <c r="T40" s="54">
        <v>17250000</v>
      </c>
      <c r="U40" s="54">
        <v>17250000</v>
      </c>
      <c r="V40" s="54">
        <v>17250000</v>
      </c>
      <c r="W40" s="54">
        <v>17250000</v>
      </c>
      <c r="X40" s="54">
        <v>17250000</v>
      </c>
      <c r="Y40" s="54"/>
      <c r="Z40" s="54">
        <v>17250000</v>
      </c>
      <c r="AA40" s="54">
        <v>17250000</v>
      </c>
      <c r="AB40" s="54">
        <v>17250000</v>
      </c>
    </row>
    <row r="41" spans="1:28" ht="14.45" x14ac:dyDescent="0.3">
      <c r="A41" s="53" t="str">
        <f>Factors!B13</f>
        <v>Electr</v>
      </c>
      <c r="B41" s="54">
        <v>0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>
        <v>0</v>
      </c>
      <c r="O41" s="54">
        <v>0</v>
      </c>
      <c r="P41" s="54">
        <v>0</v>
      </c>
      <c r="Q41" s="54">
        <v>0</v>
      </c>
      <c r="R41" s="54">
        <v>0</v>
      </c>
      <c r="S41" s="54">
        <v>0</v>
      </c>
      <c r="T41" s="54">
        <v>0</v>
      </c>
      <c r="U41" s="54">
        <v>0</v>
      </c>
      <c r="V41" s="54">
        <v>0</v>
      </c>
      <c r="W41" s="54">
        <v>0</v>
      </c>
      <c r="X41" s="54">
        <v>0</v>
      </c>
      <c r="Y41" s="54"/>
      <c r="Z41" s="54">
        <v>0</v>
      </c>
      <c r="AA41" s="54">
        <v>0</v>
      </c>
      <c r="AB41" s="54">
        <v>0</v>
      </c>
    </row>
    <row r="42" spans="1:28" ht="14.45" x14ac:dyDescent="0.3">
      <c r="A42" s="53" t="str">
        <f>Factors!B14</f>
        <v>BioFue</v>
      </c>
      <c r="B42" s="54">
        <v>0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7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57">
        <v>0</v>
      </c>
      <c r="Q42" s="57">
        <v>0</v>
      </c>
      <c r="R42" s="57">
        <v>0</v>
      </c>
      <c r="S42" s="57">
        <v>0</v>
      </c>
      <c r="T42" s="57">
        <v>0</v>
      </c>
      <c r="U42" s="57">
        <v>0</v>
      </c>
      <c r="V42" s="57">
        <v>0</v>
      </c>
      <c r="W42" s="57">
        <v>0</v>
      </c>
      <c r="X42" s="57">
        <v>0</v>
      </c>
      <c r="Y42" s="54"/>
      <c r="Z42" s="54">
        <v>0</v>
      </c>
      <c r="AA42" s="54">
        <v>0</v>
      </c>
      <c r="AB42" s="54">
        <v>0</v>
      </c>
    </row>
    <row r="43" spans="1:28" ht="14.45" x14ac:dyDescent="0.3">
      <c r="A43" s="53" t="str">
        <f>Factors!B15</f>
        <v>PuChem</v>
      </c>
      <c r="B43" s="57">
        <f t="shared" ref="B43:R43" si="31">C121</f>
        <v>3404587.5000000005</v>
      </c>
      <c r="C43" s="54">
        <f t="shared" si="31"/>
        <v>3704145.983625114</v>
      </c>
      <c r="D43" s="57">
        <f t="shared" si="31"/>
        <v>4003704.467250227</v>
      </c>
      <c r="E43" s="54">
        <f t="shared" si="31"/>
        <v>4123425.0962118935</v>
      </c>
      <c r="F43" s="57">
        <f t="shared" si="31"/>
        <v>4243145.72517356</v>
      </c>
      <c r="G43" s="54">
        <f t="shared" si="31"/>
        <v>4243145.72517356</v>
      </c>
      <c r="H43" s="57">
        <f t="shared" si="31"/>
        <v>4243145.72517356</v>
      </c>
      <c r="I43" s="54">
        <f t="shared" si="31"/>
        <v>4243145.72517356</v>
      </c>
      <c r="J43" s="57">
        <f t="shared" si="31"/>
        <v>4243145.72517356</v>
      </c>
      <c r="K43" s="54">
        <f t="shared" si="31"/>
        <v>4243145.72517356</v>
      </c>
      <c r="L43" s="57">
        <f t="shared" si="31"/>
        <v>4243145.72517356</v>
      </c>
      <c r="M43" s="54">
        <f t="shared" si="31"/>
        <v>4243145.72517356</v>
      </c>
      <c r="N43" s="57">
        <f t="shared" si="31"/>
        <v>4243145.72517356</v>
      </c>
      <c r="O43" s="54">
        <f t="shared" si="31"/>
        <v>4243145.72517356</v>
      </c>
      <c r="P43" s="57">
        <f t="shared" si="31"/>
        <v>4243145.72517356</v>
      </c>
      <c r="Q43" s="54">
        <f t="shared" si="31"/>
        <v>4243145.72517356</v>
      </c>
      <c r="R43" s="57">
        <f t="shared" si="31"/>
        <v>4243145.72517356</v>
      </c>
      <c r="S43" s="58">
        <f t="shared" ref="S43:S50" si="32">R43</f>
        <v>4243145.72517356</v>
      </c>
      <c r="T43" s="58">
        <f t="shared" ref="T43:W50" si="33">S43</f>
        <v>4243145.72517356</v>
      </c>
      <c r="U43" s="58">
        <f t="shared" si="33"/>
        <v>4243145.72517356</v>
      </c>
      <c r="V43" s="58">
        <f t="shared" si="33"/>
        <v>4243145.72517356</v>
      </c>
      <c r="W43" s="58">
        <f t="shared" si="33"/>
        <v>4243145.72517356</v>
      </c>
      <c r="X43" s="54">
        <v>4243145.72517356</v>
      </c>
      <c r="Y43" s="54"/>
      <c r="Z43" s="54">
        <v>4081840.8687517252</v>
      </c>
      <c r="AA43" s="54">
        <v>4081840.8687517252</v>
      </c>
      <c r="AB43" s="54">
        <v>4081840.8687517252</v>
      </c>
    </row>
    <row r="44" spans="1:28" ht="14.45" x14ac:dyDescent="0.3">
      <c r="A44" s="53" t="str">
        <f>Factors!B16</f>
        <v>PuMech</v>
      </c>
      <c r="B44" s="57">
        <f t="shared" ref="B44:R44" si="34">C122</f>
        <v>530249.99999999988</v>
      </c>
      <c r="C44" s="54">
        <f t="shared" si="34"/>
        <v>530249.99999999988</v>
      </c>
      <c r="D44" s="57">
        <f>E122</f>
        <v>530249.99999999988</v>
      </c>
      <c r="E44" s="54">
        <f t="shared" si="34"/>
        <v>530249.99999999988</v>
      </c>
      <c r="F44" s="57">
        <f t="shared" si="34"/>
        <v>530249.99999999988</v>
      </c>
      <c r="G44" s="54">
        <f t="shared" si="34"/>
        <v>530249.99999999988</v>
      </c>
      <c r="H44" s="57">
        <f t="shared" si="34"/>
        <v>530249.99999999988</v>
      </c>
      <c r="I44" s="54">
        <f t="shared" si="34"/>
        <v>530249.99999999988</v>
      </c>
      <c r="J44" s="57">
        <f t="shared" si="34"/>
        <v>530249.99999999988</v>
      </c>
      <c r="K44" s="54">
        <f t="shared" si="34"/>
        <v>530249.99999999988</v>
      </c>
      <c r="L44" s="57">
        <f t="shared" si="34"/>
        <v>530249.99999999988</v>
      </c>
      <c r="M44" s="54">
        <f t="shared" si="34"/>
        <v>509349.46646341443</v>
      </c>
      <c r="N44" s="57">
        <f t="shared" si="34"/>
        <v>488448.93292682903</v>
      </c>
      <c r="O44" s="54">
        <f t="shared" si="34"/>
        <v>439604.03963414615</v>
      </c>
      <c r="P44" s="57">
        <f t="shared" si="34"/>
        <v>390759.14634146326</v>
      </c>
      <c r="Q44" s="54">
        <f t="shared" si="34"/>
        <v>351729.42073170719</v>
      </c>
      <c r="R44" s="57">
        <f t="shared" si="34"/>
        <v>312699.69512195111</v>
      </c>
      <c r="S44" s="58">
        <f t="shared" si="32"/>
        <v>312699.69512195111</v>
      </c>
      <c r="T44" s="58">
        <f t="shared" si="33"/>
        <v>312699.69512195111</v>
      </c>
      <c r="U44" s="58">
        <f t="shared" si="33"/>
        <v>312699.69512195111</v>
      </c>
      <c r="V44" s="58">
        <f t="shared" si="33"/>
        <v>312699.69512195111</v>
      </c>
      <c r="W44" s="58">
        <f t="shared" si="33"/>
        <v>312699.69512195111</v>
      </c>
      <c r="X44" s="54">
        <v>312699.69512195111</v>
      </c>
      <c r="Y44" s="54"/>
      <c r="Z44" s="54">
        <v>380726.74415053963</v>
      </c>
      <c r="AA44" s="54">
        <v>380726.74415053963</v>
      </c>
      <c r="AB44" s="54">
        <v>380726.74415053963</v>
      </c>
    </row>
    <row r="45" spans="1:28" ht="14.45" x14ac:dyDescent="0.3">
      <c r="A45" s="53" t="str">
        <f>Factors!B17</f>
        <v>PuDiss</v>
      </c>
      <c r="B45" s="57">
        <f t="shared" ref="B45:R45" si="35">C123</f>
        <v>336337</v>
      </c>
      <c r="C45" s="54">
        <f t="shared" si="35"/>
        <v>302847.34154175589</v>
      </c>
      <c r="D45" s="57">
        <f t="shared" si="35"/>
        <v>269357.68308351177</v>
      </c>
      <c r="E45" s="54">
        <f t="shared" si="35"/>
        <v>253873.21734475376</v>
      </c>
      <c r="F45" s="57">
        <f t="shared" si="35"/>
        <v>238388.75160599573</v>
      </c>
      <c r="G45" s="54">
        <f t="shared" si="35"/>
        <v>231546.77837259101</v>
      </c>
      <c r="H45" s="57">
        <f t="shared" si="35"/>
        <v>224704.8051391863</v>
      </c>
      <c r="I45" s="54">
        <f t="shared" si="35"/>
        <v>220383.55888650965</v>
      </c>
      <c r="J45" s="57">
        <f t="shared" si="35"/>
        <v>216062.31263383297</v>
      </c>
      <c r="K45" s="54">
        <f t="shared" si="35"/>
        <v>216062.31263383297</v>
      </c>
      <c r="L45" s="57">
        <f t="shared" si="35"/>
        <v>216062.31263383297</v>
      </c>
      <c r="M45" s="54">
        <f t="shared" si="35"/>
        <v>208860.23554603854</v>
      </c>
      <c r="N45" s="57">
        <f t="shared" si="35"/>
        <v>201658.15845824411</v>
      </c>
      <c r="O45" s="54">
        <f t="shared" si="35"/>
        <v>195176.28907922914</v>
      </c>
      <c r="P45" s="57">
        <f t="shared" si="35"/>
        <v>188694.41970021414</v>
      </c>
      <c r="Q45" s="54">
        <f t="shared" si="35"/>
        <v>187614.10813704497</v>
      </c>
      <c r="R45" s="57">
        <f t="shared" si="35"/>
        <v>186533.79657387582</v>
      </c>
      <c r="S45" s="58">
        <f t="shared" si="32"/>
        <v>186533.79657387582</v>
      </c>
      <c r="T45" s="58">
        <f t="shared" si="33"/>
        <v>186533.79657387582</v>
      </c>
      <c r="U45" s="58">
        <f t="shared" si="33"/>
        <v>186533.79657387582</v>
      </c>
      <c r="V45" s="58">
        <f t="shared" si="33"/>
        <v>186533.79657387582</v>
      </c>
      <c r="W45" s="58">
        <f t="shared" si="33"/>
        <v>186533.79657387582</v>
      </c>
      <c r="X45" s="54">
        <v>186533.79657387582</v>
      </c>
      <c r="Y45" s="54"/>
      <c r="Z45" s="54">
        <v>417220.51329008659</v>
      </c>
      <c r="AA45" s="54">
        <v>417220.51329008659</v>
      </c>
      <c r="AB45" s="54">
        <v>417220.51329008659</v>
      </c>
    </row>
    <row r="46" spans="1:28" ht="14.45" x14ac:dyDescent="0.3">
      <c r="A46" s="53" t="str">
        <f>Factors!B18</f>
        <v>PaChem</v>
      </c>
      <c r="B46" s="57">
        <f t="shared" ref="B46:R46" si="36">C124</f>
        <v>5945000</v>
      </c>
      <c r="C46" s="54">
        <f t="shared" si="36"/>
        <v>5945000</v>
      </c>
      <c r="D46" s="57">
        <f t="shared" si="36"/>
        <v>5945000</v>
      </c>
      <c r="E46" s="54">
        <f t="shared" si="36"/>
        <v>5945000</v>
      </c>
      <c r="F46" s="57">
        <f t="shared" si="36"/>
        <v>5945000</v>
      </c>
      <c r="G46" s="54">
        <f t="shared" si="36"/>
        <v>5945000</v>
      </c>
      <c r="H46" s="57">
        <f t="shared" si="36"/>
        <v>5945000</v>
      </c>
      <c r="I46" s="54">
        <f t="shared" si="36"/>
        <v>5945000</v>
      </c>
      <c r="J46" s="57">
        <f t="shared" si="36"/>
        <v>5945000</v>
      </c>
      <c r="K46" s="54">
        <f t="shared" si="36"/>
        <v>5945000</v>
      </c>
      <c r="L46" s="57">
        <f t="shared" si="36"/>
        <v>5945000</v>
      </c>
      <c r="M46" s="54">
        <f t="shared" si="36"/>
        <v>5945000</v>
      </c>
      <c r="N46" s="57">
        <f t="shared" si="36"/>
        <v>5945000</v>
      </c>
      <c r="O46" s="54">
        <f t="shared" si="36"/>
        <v>5945000</v>
      </c>
      <c r="P46" s="57">
        <f t="shared" si="36"/>
        <v>5945000</v>
      </c>
      <c r="Q46" s="54">
        <f t="shared" si="36"/>
        <v>5945000</v>
      </c>
      <c r="R46" s="57">
        <f t="shared" si="36"/>
        <v>5945000</v>
      </c>
      <c r="S46" s="58">
        <f t="shared" si="32"/>
        <v>5945000</v>
      </c>
      <c r="T46" s="58">
        <f t="shared" si="33"/>
        <v>5945000</v>
      </c>
      <c r="U46" s="58">
        <f t="shared" si="33"/>
        <v>5945000</v>
      </c>
      <c r="V46" s="58">
        <f t="shared" si="33"/>
        <v>5945000</v>
      </c>
      <c r="W46" s="58">
        <f t="shared" si="33"/>
        <v>5945000</v>
      </c>
      <c r="X46" s="54">
        <v>5945000</v>
      </c>
      <c r="Y46" s="54"/>
      <c r="Z46" s="54">
        <v>7891956.2984492658</v>
      </c>
      <c r="AA46" s="54">
        <v>7891956.2984492658</v>
      </c>
      <c r="AB46" s="54">
        <v>7891956.2984492658</v>
      </c>
    </row>
    <row r="47" spans="1:28" x14ac:dyDescent="0.3">
      <c r="A47" s="53" t="str">
        <f>Factors!B19</f>
        <v>OtChem</v>
      </c>
      <c r="B47" s="57">
        <f t="shared" ref="B47:R47" si="37">C125</f>
        <v>591250</v>
      </c>
      <c r="C47" s="54">
        <f t="shared" si="37"/>
        <v>591250</v>
      </c>
      <c r="D47" s="57">
        <f t="shared" si="37"/>
        <v>591250</v>
      </c>
      <c r="E47" s="54">
        <f t="shared" si="37"/>
        <v>591250</v>
      </c>
      <c r="F47" s="57">
        <f t="shared" si="37"/>
        <v>591250</v>
      </c>
      <c r="G47" s="54">
        <f t="shared" si="37"/>
        <v>591250</v>
      </c>
      <c r="H47" s="57">
        <f t="shared" si="37"/>
        <v>591250</v>
      </c>
      <c r="I47" s="54">
        <f t="shared" si="37"/>
        <v>591250</v>
      </c>
      <c r="J47" s="57">
        <f t="shared" si="37"/>
        <v>591250</v>
      </c>
      <c r="K47" s="54">
        <f t="shared" si="37"/>
        <v>591250</v>
      </c>
      <c r="L47" s="57">
        <f t="shared" si="37"/>
        <v>591250</v>
      </c>
      <c r="M47" s="54">
        <f t="shared" si="37"/>
        <v>591250</v>
      </c>
      <c r="N47" s="57">
        <f t="shared" si="37"/>
        <v>591250</v>
      </c>
      <c r="O47" s="54">
        <f t="shared" si="37"/>
        <v>577425.30703826167</v>
      </c>
      <c r="P47" s="57">
        <f t="shared" si="37"/>
        <v>563600.61407652346</v>
      </c>
      <c r="Q47" s="54">
        <f t="shared" si="37"/>
        <v>550753.42465753423</v>
      </c>
      <c r="R47" s="57">
        <f t="shared" si="37"/>
        <v>537906.23523854511</v>
      </c>
      <c r="S47" s="58">
        <f t="shared" si="32"/>
        <v>537906.23523854511</v>
      </c>
      <c r="T47" s="58">
        <f t="shared" si="33"/>
        <v>537906.23523854511</v>
      </c>
      <c r="U47" s="58">
        <f t="shared" si="33"/>
        <v>537906.23523854511</v>
      </c>
      <c r="V47" s="58">
        <f t="shared" si="33"/>
        <v>537906.23523854511</v>
      </c>
      <c r="W47" s="58">
        <f t="shared" si="33"/>
        <v>537906.23523854511</v>
      </c>
      <c r="X47" s="54">
        <v>537906.23523854511</v>
      </c>
      <c r="Y47" s="54"/>
      <c r="Z47" s="54">
        <v>574181.37691086344</v>
      </c>
      <c r="AA47" s="54">
        <v>574181.37691086344</v>
      </c>
      <c r="AB47" s="54">
        <v>574181.37691086344</v>
      </c>
    </row>
    <row r="48" spans="1:28" x14ac:dyDescent="0.3">
      <c r="A48" s="53" t="str">
        <f>Factors!B20</f>
        <v>OtMech</v>
      </c>
      <c r="B48" s="57">
        <f t="shared" ref="B48:R48" si="38">C126</f>
        <v>1773750.0000000002</v>
      </c>
      <c r="C48" s="54">
        <f t="shared" si="38"/>
        <v>1817012.1951219512</v>
      </c>
      <c r="D48" s="57">
        <f t="shared" si="38"/>
        <v>1860274.3902439023</v>
      </c>
      <c r="E48" s="54">
        <f t="shared" si="38"/>
        <v>1910025.9146341463</v>
      </c>
      <c r="F48" s="57">
        <f t="shared" si="38"/>
        <v>1959777.4390243902</v>
      </c>
      <c r="G48" s="54">
        <f t="shared" si="38"/>
        <v>2013855.1829268292</v>
      </c>
      <c r="H48" s="57">
        <f t="shared" si="38"/>
        <v>2067932.9268292685</v>
      </c>
      <c r="I48" s="54">
        <f t="shared" si="38"/>
        <v>2128500</v>
      </c>
      <c r="J48" s="57">
        <f t="shared" si="38"/>
        <v>2189067.0731707318</v>
      </c>
      <c r="K48" s="54">
        <f t="shared" si="38"/>
        <v>2273428.3536585364</v>
      </c>
      <c r="L48" s="57">
        <f t="shared" si="38"/>
        <v>2357789.6341463416</v>
      </c>
      <c r="M48" s="54">
        <f t="shared" si="38"/>
        <v>2357789.6341463416</v>
      </c>
      <c r="N48" s="57">
        <f t="shared" si="38"/>
        <v>2357789.6341463416</v>
      </c>
      <c r="O48" s="54">
        <f t="shared" si="38"/>
        <v>2357789.6341463416</v>
      </c>
      <c r="P48" s="57">
        <f t="shared" si="38"/>
        <v>2357789.6341463416</v>
      </c>
      <c r="Q48" s="54">
        <f t="shared" si="38"/>
        <v>2357789.6341463416</v>
      </c>
      <c r="R48" s="57">
        <f t="shared" si="38"/>
        <v>2357789.6341463416</v>
      </c>
      <c r="S48" s="58">
        <f t="shared" si="32"/>
        <v>2357789.6341463416</v>
      </c>
      <c r="T48" s="58">
        <f t="shared" si="33"/>
        <v>2357789.6341463416</v>
      </c>
      <c r="U48" s="58">
        <f t="shared" si="33"/>
        <v>2357789.6341463416</v>
      </c>
      <c r="V48" s="58">
        <f t="shared" si="33"/>
        <v>2357789.6341463416</v>
      </c>
      <c r="W48" s="58">
        <f t="shared" si="33"/>
        <v>2357789.6341463416</v>
      </c>
      <c r="X48" s="54">
        <v>2357789.6341463416</v>
      </c>
      <c r="Y48" s="54"/>
      <c r="Z48" s="54">
        <v>1274484.6984935116</v>
      </c>
      <c r="AA48" s="54">
        <v>1274484.6984935116</v>
      </c>
      <c r="AB48" s="54">
        <v>1274484.6984935116</v>
      </c>
    </row>
    <row r="49" spans="1:28" x14ac:dyDescent="0.3">
      <c r="A49" s="53" t="str">
        <f>Factors!B21</f>
        <v>NwMech</v>
      </c>
      <c r="B49" s="57">
        <f t="shared" ref="B49:R49" si="39">C127</f>
        <v>889000</v>
      </c>
      <c r="C49" s="54">
        <f t="shared" si="39"/>
        <v>889000</v>
      </c>
      <c r="D49" s="57">
        <f t="shared" si="39"/>
        <v>889000</v>
      </c>
      <c r="E49" s="54">
        <f t="shared" si="39"/>
        <v>889000</v>
      </c>
      <c r="F49" s="57">
        <f t="shared" si="39"/>
        <v>889000</v>
      </c>
      <c r="G49" s="54">
        <f t="shared" si="39"/>
        <v>889000</v>
      </c>
      <c r="H49" s="57">
        <f t="shared" si="39"/>
        <v>889000</v>
      </c>
      <c r="I49" s="54">
        <f t="shared" si="39"/>
        <v>889000</v>
      </c>
      <c r="J49" s="57">
        <f t="shared" si="39"/>
        <v>889000</v>
      </c>
      <c r="K49" s="54">
        <f t="shared" si="39"/>
        <v>889000</v>
      </c>
      <c r="L49" s="57">
        <f t="shared" si="39"/>
        <v>889000</v>
      </c>
      <c r="M49" s="54">
        <f t="shared" si="39"/>
        <v>889000</v>
      </c>
      <c r="N49" s="57">
        <f t="shared" si="39"/>
        <v>889000</v>
      </c>
      <c r="O49" s="54">
        <f t="shared" si="39"/>
        <v>889000</v>
      </c>
      <c r="P49" s="57">
        <f t="shared" si="39"/>
        <v>889000</v>
      </c>
      <c r="Q49" s="54">
        <f t="shared" si="39"/>
        <v>889000</v>
      </c>
      <c r="R49" s="57">
        <f t="shared" si="39"/>
        <v>889000</v>
      </c>
      <c r="S49" s="58">
        <f t="shared" si="32"/>
        <v>889000</v>
      </c>
      <c r="T49" s="58">
        <f t="shared" si="33"/>
        <v>889000</v>
      </c>
      <c r="U49" s="58">
        <f t="shared" si="33"/>
        <v>889000</v>
      </c>
      <c r="V49" s="58">
        <f t="shared" si="33"/>
        <v>889000</v>
      </c>
      <c r="W49" s="58">
        <f t="shared" si="33"/>
        <v>889000</v>
      </c>
      <c r="X49" s="54">
        <v>889000</v>
      </c>
      <c r="Y49" s="54"/>
      <c r="Z49" s="54">
        <v>765929.63116022374</v>
      </c>
      <c r="AA49" s="54">
        <v>765929.63116022374</v>
      </c>
      <c r="AB49" s="54">
        <v>765929.63116022374</v>
      </c>
    </row>
    <row r="50" spans="1:28" x14ac:dyDescent="0.3">
      <c r="A50" s="53" t="str">
        <f>Factors!B22</f>
        <v>ParBoa</v>
      </c>
      <c r="B50" s="57">
        <f t="shared" ref="B50:R50" si="40">C128</f>
        <v>582001</v>
      </c>
      <c r="C50" s="54">
        <f t="shared" si="40"/>
        <v>724648.30392156867</v>
      </c>
      <c r="D50" s="57">
        <f t="shared" si="40"/>
        <v>867295.60784313735</v>
      </c>
      <c r="E50" s="54">
        <f t="shared" si="40"/>
        <v>1046771.8520499109</v>
      </c>
      <c r="F50" s="57">
        <f t="shared" si="40"/>
        <v>1226248.0962566845</v>
      </c>
      <c r="G50" s="54">
        <f t="shared" si="40"/>
        <v>1402612.035650624</v>
      </c>
      <c r="H50" s="57">
        <f t="shared" si="40"/>
        <v>1578975.9750445634</v>
      </c>
      <c r="I50" s="54">
        <f t="shared" si="40"/>
        <v>1727329.1711229947</v>
      </c>
      <c r="J50" s="57">
        <f t="shared" si="40"/>
        <v>1875682.3672014261</v>
      </c>
      <c r="K50" s="54">
        <f t="shared" si="40"/>
        <v>2035447.3475935829</v>
      </c>
      <c r="L50" s="57">
        <f t="shared" si="40"/>
        <v>2195212.3279857398</v>
      </c>
      <c r="M50" s="54">
        <f t="shared" si="40"/>
        <v>2225297.9411764708</v>
      </c>
      <c r="N50" s="57">
        <f t="shared" si="40"/>
        <v>2255383.5543672014</v>
      </c>
      <c r="O50" s="54">
        <f t="shared" si="40"/>
        <v>2279244.5579322642</v>
      </c>
      <c r="P50" s="57">
        <f t="shared" si="40"/>
        <v>2303105.5614973265</v>
      </c>
      <c r="Q50" s="54">
        <f t="shared" si="40"/>
        <v>2381431.8992869877</v>
      </c>
      <c r="R50" s="57">
        <f t="shared" si="40"/>
        <v>2459758.237076649</v>
      </c>
      <c r="S50" s="58">
        <f t="shared" si="32"/>
        <v>2459758.237076649</v>
      </c>
      <c r="T50" s="58">
        <f t="shared" si="33"/>
        <v>2459758.237076649</v>
      </c>
      <c r="U50" s="58">
        <f t="shared" si="33"/>
        <v>2459758.237076649</v>
      </c>
      <c r="V50" s="58">
        <f t="shared" si="33"/>
        <v>2459758.237076649</v>
      </c>
      <c r="W50" s="58">
        <f t="shared" si="33"/>
        <v>2459758.237076649</v>
      </c>
      <c r="X50" s="54">
        <v>2459758.237076649</v>
      </c>
      <c r="Y50" s="54"/>
      <c r="Z50" s="54"/>
      <c r="AA50" s="54"/>
      <c r="AB50" s="54"/>
    </row>
    <row r="51" spans="1:28" x14ac:dyDescent="0.3">
      <c r="B51" s="57"/>
      <c r="C51" s="54"/>
      <c r="D51" s="57"/>
      <c r="E51" s="54"/>
      <c r="F51" s="57"/>
      <c r="G51" s="54"/>
      <c r="H51" s="57"/>
      <c r="I51" s="54"/>
      <c r="J51" s="57"/>
      <c r="K51" s="54"/>
      <c r="L51" s="57"/>
      <c r="M51" s="54"/>
      <c r="N51" s="57"/>
      <c r="O51" s="54"/>
      <c r="P51" s="57"/>
      <c r="Q51" s="54"/>
      <c r="R51" s="57"/>
      <c r="S51" s="58"/>
      <c r="T51" s="58"/>
      <c r="U51" s="58"/>
      <c r="V51" s="58"/>
      <c r="W51" s="58"/>
      <c r="X51" s="54"/>
      <c r="Y51" s="54"/>
      <c r="Z51" s="54"/>
      <c r="AA51" s="54"/>
      <c r="AB51" s="54"/>
    </row>
    <row r="52" spans="1:28" x14ac:dyDescent="0.3">
      <c r="B52" s="57"/>
      <c r="C52" s="54"/>
      <c r="D52" s="57"/>
      <c r="E52" s="54"/>
      <c r="F52" s="57"/>
      <c r="G52" s="54"/>
      <c r="H52" s="57"/>
      <c r="I52" s="54"/>
      <c r="J52" s="57"/>
      <c r="K52" s="54"/>
      <c r="L52" s="57"/>
      <c r="M52" s="54"/>
      <c r="N52" s="57"/>
      <c r="O52" s="54"/>
      <c r="P52" s="57"/>
      <c r="Q52" s="54"/>
      <c r="R52" s="57"/>
      <c r="S52" s="58"/>
      <c r="T52" s="58"/>
      <c r="U52" s="58"/>
      <c r="V52" s="58"/>
      <c r="W52" s="58"/>
      <c r="X52" s="54"/>
      <c r="Y52" s="54"/>
      <c r="Z52" s="54"/>
      <c r="AA52" s="54"/>
      <c r="AB52" s="54"/>
    </row>
    <row r="53" spans="1:28" x14ac:dyDescent="0.3">
      <c r="B53" s="57"/>
      <c r="C53" s="54"/>
      <c r="D53" s="57"/>
      <c r="E53" s="54"/>
      <c r="F53" s="57"/>
      <c r="G53" s="54"/>
      <c r="H53" s="57"/>
      <c r="I53" s="54"/>
      <c r="J53" s="57"/>
      <c r="K53" s="54"/>
      <c r="L53" s="57"/>
      <c r="M53" s="54"/>
      <c r="N53" s="57"/>
      <c r="O53" s="54"/>
      <c r="P53" s="57"/>
      <c r="Q53" s="54"/>
      <c r="R53" s="57"/>
      <c r="S53" s="58"/>
      <c r="T53" s="58"/>
      <c r="U53" s="58"/>
      <c r="V53" s="58"/>
      <c r="W53" s="58"/>
      <c r="X53" s="54"/>
      <c r="Y53" s="54"/>
      <c r="Z53" s="54"/>
      <c r="AA53" s="54"/>
      <c r="AB53" s="54"/>
    </row>
    <row r="54" spans="1:28" x14ac:dyDescent="0.3">
      <c r="B54" s="57"/>
      <c r="C54" s="54"/>
      <c r="D54" s="57"/>
      <c r="E54" s="54"/>
      <c r="F54" s="57"/>
      <c r="G54" s="54"/>
      <c r="H54" s="57"/>
      <c r="I54" s="54"/>
      <c r="J54" s="57"/>
      <c r="K54" s="54"/>
      <c r="L54" s="57"/>
      <c r="M54" s="54"/>
      <c r="N54" s="57"/>
      <c r="O54" s="54"/>
      <c r="P54" s="57"/>
      <c r="Q54" s="54"/>
      <c r="R54" s="57"/>
      <c r="S54" s="58"/>
      <c r="T54" s="58"/>
      <c r="U54" s="58"/>
      <c r="V54" s="58"/>
      <c r="W54" s="58"/>
      <c r="X54" s="54"/>
      <c r="Y54" s="54"/>
      <c r="Z54" s="54"/>
      <c r="AA54" s="54"/>
      <c r="AB54" s="54"/>
    </row>
    <row r="55" spans="1:28" x14ac:dyDescent="0.3">
      <c r="B55" s="57"/>
      <c r="C55" s="54"/>
      <c r="D55" s="57"/>
      <c r="E55" s="54"/>
      <c r="F55" s="57"/>
      <c r="G55" s="54"/>
      <c r="H55" s="57"/>
      <c r="I55" s="54"/>
      <c r="J55" s="57"/>
      <c r="K55" s="54"/>
      <c r="L55" s="57"/>
      <c r="M55" s="54"/>
      <c r="N55" s="57"/>
      <c r="O55" s="54"/>
      <c r="P55" s="57"/>
      <c r="Q55" s="54"/>
      <c r="R55" s="57"/>
      <c r="S55" s="58"/>
      <c r="T55" s="58"/>
      <c r="U55" s="58"/>
      <c r="V55" s="58"/>
      <c r="W55" s="58"/>
      <c r="X55" s="54"/>
      <c r="Y55" s="54"/>
      <c r="Z55" s="54"/>
      <c r="AA55" s="54"/>
      <c r="AB55" s="54"/>
    </row>
    <row r="56" spans="1:28" x14ac:dyDescent="0.3">
      <c r="B56" s="57"/>
      <c r="C56" s="54"/>
      <c r="D56" s="57"/>
      <c r="E56" s="54"/>
      <c r="F56" s="57"/>
      <c r="G56" s="54"/>
      <c r="H56" s="57"/>
      <c r="I56" s="54"/>
      <c r="J56" s="57"/>
      <c r="K56" s="54"/>
      <c r="L56" s="57"/>
      <c r="M56" s="54"/>
      <c r="N56" s="57"/>
      <c r="O56" s="54"/>
      <c r="P56" s="57"/>
      <c r="Q56" s="54"/>
      <c r="R56" s="57"/>
      <c r="S56" s="58"/>
      <c r="T56" s="58"/>
      <c r="U56" s="58"/>
      <c r="V56" s="58"/>
      <c r="W56" s="58"/>
      <c r="X56" s="54"/>
      <c r="Y56" s="54"/>
      <c r="Z56" s="54"/>
      <c r="AA56" s="54"/>
      <c r="AB56" s="54"/>
    </row>
    <row r="57" spans="1:28" x14ac:dyDescent="0.3">
      <c r="B57" s="57"/>
      <c r="C57" s="54"/>
      <c r="D57" s="57"/>
      <c r="E57" s="54"/>
      <c r="F57" s="57"/>
      <c r="G57" s="54"/>
      <c r="H57" s="57"/>
      <c r="I57" s="54"/>
      <c r="J57" s="57"/>
      <c r="K57" s="54"/>
      <c r="L57" s="57"/>
      <c r="M57" s="54"/>
      <c r="N57" s="57"/>
      <c r="O57" s="54"/>
      <c r="P57" s="57"/>
      <c r="Q57" s="54"/>
      <c r="R57" s="57"/>
      <c r="S57" s="58"/>
      <c r="T57" s="58"/>
      <c r="U57" s="58"/>
      <c r="V57" s="58"/>
      <c r="W57" s="58"/>
      <c r="X57" s="54"/>
      <c r="Y57" s="54"/>
      <c r="Z57" s="54"/>
      <c r="AA57" s="54"/>
      <c r="AB57" s="54"/>
    </row>
    <row r="58" spans="1:28" x14ac:dyDescent="0.3"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 spans="1:28" ht="18.75" x14ac:dyDescent="0.3">
      <c r="A59" s="56" t="s">
        <v>37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</row>
    <row r="60" spans="1:28" x14ac:dyDescent="0.3">
      <c r="A60" s="55" t="str">
        <f>Factors!B2</f>
        <v>PinTim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>
        <v>0</v>
      </c>
      <c r="Y60" s="54"/>
      <c r="Z60" s="54">
        <v>1</v>
      </c>
      <c r="AA60" s="54">
        <v>1</v>
      </c>
      <c r="AB60" s="54">
        <v>1</v>
      </c>
    </row>
    <row r="61" spans="1:28" x14ac:dyDescent="0.3">
      <c r="A61" s="55" t="str">
        <f>Factors!B3</f>
        <v>PinPuw</v>
      </c>
      <c r="B61" s="54">
        <v>0</v>
      </c>
      <c r="C61" s="54">
        <v>0</v>
      </c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0</v>
      </c>
      <c r="K61" s="54">
        <v>0</v>
      </c>
      <c r="L61" s="54">
        <v>0</v>
      </c>
      <c r="M61" s="54">
        <v>0</v>
      </c>
      <c r="N61" s="54">
        <v>0</v>
      </c>
      <c r="O61" s="54">
        <v>0</v>
      </c>
      <c r="P61" s="54">
        <v>0</v>
      </c>
      <c r="Q61" s="54">
        <v>0</v>
      </c>
      <c r="R61" s="54">
        <v>0</v>
      </c>
      <c r="S61" s="54">
        <v>0</v>
      </c>
      <c r="T61" s="54">
        <v>0</v>
      </c>
      <c r="U61" s="54">
        <v>0</v>
      </c>
      <c r="V61" s="54">
        <v>0</v>
      </c>
      <c r="W61" s="54">
        <v>0</v>
      </c>
      <c r="X61" s="54">
        <v>0</v>
      </c>
      <c r="Y61" s="54"/>
      <c r="Z61" s="54">
        <v>1</v>
      </c>
      <c r="AA61" s="54">
        <v>1</v>
      </c>
      <c r="AB61" s="54">
        <v>1</v>
      </c>
    </row>
    <row r="62" spans="1:28" x14ac:dyDescent="0.3">
      <c r="A62" s="55" t="str">
        <f>Factors!B4</f>
        <v>SprTim</v>
      </c>
      <c r="B62" s="54">
        <v>0</v>
      </c>
      <c r="C62" s="54">
        <v>0</v>
      </c>
      <c r="D62" s="54">
        <v>0</v>
      </c>
      <c r="E62" s="54">
        <v>0</v>
      </c>
      <c r="F62" s="54">
        <v>0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0</v>
      </c>
      <c r="O62" s="54">
        <v>0</v>
      </c>
      <c r="P62" s="54">
        <v>0</v>
      </c>
      <c r="Q62" s="54">
        <v>0</v>
      </c>
      <c r="R62" s="54">
        <v>0</v>
      </c>
      <c r="S62" s="54">
        <v>0</v>
      </c>
      <c r="T62" s="54">
        <v>0</v>
      </c>
      <c r="U62" s="54">
        <v>0</v>
      </c>
      <c r="V62" s="54">
        <v>0</v>
      </c>
      <c r="W62" s="54">
        <v>0</v>
      </c>
      <c r="X62" s="54">
        <v>0</v>
      </c>
      <c r="Y62" s="54"/>
      <c r="Z62" s="54">
        <v>1</v>
      </c>
      <c r="AA62" s="54">
        <v>1</v>
      </c>
      <c r="AB62" s="54">
        <v>1</v>
      </c>
    </row>
    <row r="63" spans="1:28" x14ac:dyDescent="0.3">
      <c r="A63" s="55" t="str">
        <f>Factors!B5</f>
        <v>SprPuw</v>
      </c>
      <c r="B63" s="54">
        <v>0</v>
      </c>
      <c r="C63" s="54">
        <v>0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0</v>
      </c>
      <c r="O63" s="54">
        <v>0</v>
      </c>
      <c r="P63" s="54">
        <v>0</v>
      </c>
      <c r="Q63" s="54">
        <v>0</v>
      </c>
      <c r="R63" s="54">
        <v>0</v>
      </c>
      <c r="S63" s="54">
        <v>0</v>
      </c>
      <c r="T63" s="54">
        <v>0</v>
      </c>
      <c r="U63" s="54">
        <v>0</v>
      </c>
      <c r="V63" s="54">
        <v>0</v>
      </c>
      <c r="W63" s="54">
        <v>0</v>
      </c>
      <c r="X63" s="54">
        <v>0</v>
      </c>
      <c r="Y63" s="54"/>
      <c r="Z63" s="54">
        <v>1</v>
      </c>
      <c r="AA63" s="54">
        <v>1</v>
      </c>
      <c r="AB63" s="54">
        <v>1</v>
      </c>
    </row>
    <row r="64" spans="1:28" x14ac:dyDescent="0.3">
      <c r="A64" s="55" t="str">
        <f>Factors!B6</f>
        <v>Decids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/>
      <c r="Z64" s="54">
        <v>1</v>
      </c>
      <c r="AA64" s="54">
        <v>1</v>
      </c>
      <c r="AB64" s="54">
        <v>1</v>
      </c>
    </row>
    <row r="65" spans="1:28" x14ac:dyDescent="0.3">
      <c r="A65" s="53" t="str">
        <f>Factors!B7</f>
        <v>Sawdst</v>
      </c>
      <c r="B65" s="54">
        <f t="shared" ref="B65:W65" si="41">B9</f>
        <v>0</v>
      </c>
      <c r="C65" s="54">
        <f t="shared" si="41"/>
        <v>0</v>
      </c>
      <c r="D65" s="54">
        <f t="shared" si="41"/>
        <v>0</v>
      </c>
      <c r="E65" s="54">
        <f t="shared" si="41"/>
        <v>0</v>
      </c>
      <c r="F65" s="54">
        <f t="shared" si="41"/>
        <v>0</v>
      </c>
      <c r="G65" s="54">
        <f t="shared" si="41"/>
        <v>0</v>
      </c>
      <c r="H65" s="54">
        <f t="shared" si="41"/>
        <v>0</v>
      </c>
      <c r="I65" s="54">
        <f t="shared" si="41"/>
        <v>0</v>
      </c>
      <c r="J65" s="54">
        <f t="shared" si="41"/>
        <v>0</v>
      </c>
      <c r="K65" s="54">
        <f t="shared" si="41"/>
        <v>0</v>
      </c>
      <c r="L65" s="54">
        <f t="shared" si="41"/>
        <v>0</v>
      </c>
      <c r="M65" s="54">
        <f t="shared" si="41"/>
        <v>0</v>
      </c>
      <c r="N65" s="54">
        <f t="shared" si="41"/>
        <v>0</v>
      </c>
      <c r="O65" s="54">
        <f t="shared" si="41"/>
        <v>0</v>
      </c>
      <c r="P65" s="54">
        <f t="shared" si="41"/>
        <v>0</v>
      </c>
      <c r="Q65" s="54">
        <f t="shared" si="41"/>
        <v>0</v>
      </c>
      <c r="R65" s="54">
        <f t="shared" si="41"/>
        <v>0</v>
      </c>
      <c r="S65" s="54">
        <f t="shared" si="41"/>
        <v>0</v>
      </c>
      <c r="T65" s="54">
        <f t="shared" si="41"/>
        <v>0</v>
      </c>
      <c r="U65" s="54">
        <f t="shared" si="41"/>
        <v>0</v>
      </c>
      <c r="V65" s="54">
        <f t="shared" si="41"/>
        <v>0</v>
      </c>
      <c r="W65" s="54">
        <f t="shared" si="41"/>
        <v>0</v>
      </c>
      <c r="X65" s="54">
        <v>0</v>
      </c>
      <c r="Y65" s="54"/>
      <c r="Z65" s="54">
        <f t="shared" ref="Z65:AB66" si="42">Z9</f>
        <v>0</v>
      </c>
      <c r="AA65" s="54">
        <f t="shared" si="42"/>
        <v>0</v>
      </c>
      <c r="AB65" s="54">
        <f t="shared" si="42"/>
        <v>0</v>
      </c>
    </row>
    <row r="66" spans="1:28" x14ac:dyDescent="0.3">
      <c r="A66" s="53" t="str">
        <f>Factors!B8</f>
        <v>Chips_</v>
      </c>
      <c r="B66" s="54">
        <f t="shared" ref="B66:W66" si="43">B10</f>
        <v>0</v>
      </c>
      <c r="C66" s="54">
        <f t="shared" si="43"/>
        <v>0</v>
      </c>
      <c r="D66" s="54">
        <f t="shared" si="43"/>
        <v>0</v>
      </c>
      <c r="E66" s="54">
        <f t="shared" si="43"/>
        <v>0</v>
      </c>
      <c r="F66" s="54">
        <f t="shared" si="43"/>
        <v>0</v>
      </c>
      <c r="G66" s="54">
        <f t="shared" si="43"/>
        <v>0</v>
      </c>
      <c r="H66" s="54">
        <f t="shared" si="43"/>
        <v>0</v>
      </c>
      <c r="I66" s="54">
        <f t="shared" si="43"/>
        <v>0</v>
      </c>
      <c r="J66" s="54">
        <f t="shared" si="43"/>
        <v>0</v>
      </c>
      <c r="K66" s="54">
        <f t="shared" si="43"/>
        <v>0</v>
      </c>
      <c r="L66" s="54">
        <f t="shared" si="43"/>
        <v>0</v>
      </c>
      <c r="M66" s="54">
        <f t="shared" si="43"/>
        <v>0</v>
      </c>
      <c r="N66" s="54">
        <f t="shared" si="43"/>
        <v>0</v>
      </c>
      <c r="O66" s="54">
        <f t="shared" si="43"/>
        <v>0</v>
      </c>
      <c r="P66" s="54">
        <f t="shared" si="43"/>
        <v>0</v>
      </c>
      <c r="Q66" s="54">
        <f t="shared" si="43"/>
        <v>0</v>
      </c>
      <c r="R66" s="54">
        <f t="shared" si="43"/>
        <v>0</v>
      </c>
      <c r="S66" s="54">
        <f t="shared" si="43"/>
        <v>0</v>
      </c>
      <c r="T66" s="54">
        <f t="shared" si="43"/>
        <v>0</v>
      </c>
      <c r="U66" s="54">
        <f t="shared" si="43"/>
        <v>0</v>
      </c>
      <c r="V66" s="54">
        <f t="shared" si="43"/>
        <v>0</v>
      </c>
      <c r="W66" s="54">
        <f t="shared" si="43"/>
        <v>0</v>
      </c>
      <c r="X66" s="54">
        <v>0</v>
      </c>
      <c r="Y66" s="54"/>
      <c r="Z66" s="54">
        <f t="shared" si="42"/>
        <v>0</v>
      </c>
      <c r="AA66" s="54">
        <f t="shared" si="42"/>
        <v>0</v>
      </c>
      <c r="AB66" s="54">
        <f t="shared" si="42"/>
        <v>0</v>
      </c>
    </row>
    <row r="67" spans="1:28" x14ac:dyDescent="0.3">
      <c r="A67" s="55" t="str">
        <f>Factors!B9</f>
        <v>ResStm</v>
      </c>
      <c r="B67" s="54">
        <f t="shared" ref="B67:W67" si="44">B11</f>
        <v>0</v>
      </c>
      <c r="C67" s="54">
        <f t="shared" si="44"/>
        <v>0</v>
      </c>
      <c r="D67" s="54">
        <f t="shared" si="44"/>
        <v>0</v>
      </c>
      <c r="E67" s="54">
        <f t="shared" si="44"/>
        <v>0</v>
      </c>
      <c r="F67" s="54">
        <f t="shared" si="44"/>
        <v>0</v>
      </c>
      <c r="G67" s="54">
        <f t="shared" si="44"/>
        <v>0</v>
      </c>
      <c r="H67" s="54">
        <f t="shared" si="44"/>
        <v>0</v>
      </c>
      <c r="I67" s="54">
        <f t="shared" si="44"/>
        <v>0</v>
      </c>
      <c r="J67" s="54">
        <f t="shared" si="44"/>
        <v>0</v>
      </c>
      <c r="K67" s="54">
        <f t="shared" si="44"/>
        <v>0</v>
      </c>
      <c r="L67" s="54">
        <f t="shared" si="44"/>
        <v>0</v>
      </c>
      <c r="M67" s="54">
        <f t="shared" si="44"/>
        <v>0</v>
      </c>
      <c r="N67" s="54">
        <f t="shared" si="44"/>
        <v>0</v>
      </c>
      <c r="O67" s="54">
        <f t="shared" si="44"/>
        <v>0</v>
      </c>
      <c r="P67" s="54">
        <f t="shared" si="44"/>
        <v>0</v>
      </c>
      <c r="Q67" s="54">
        <f t="shared" si="44"/>
        <v>0</v>
      </c>
      <c r="R67" s="54">
        <f t="shared" si="44"/>
        <v>0</v>
      </c>
      <c r="S67" s="54">
        <f t="shared" si="44"/>
        <v>0</v>
      </c>
      <c r="T67" s="54">
        <f t="shared" si="44"/>
        <v>0</v>
      </c>
      <c r="U67" s="54">
        <f t="shared" si="44"/>
        <v>0</v>
      </c>
      <c r="V67" s="54">
        <f t="shared" si="44"/>
        <v>0</v>
      </c>
      <c r="W67" s="54">
        <f t="shared" si="44"/>
        <v>0</v>
      </c>
      <c r="X67" s="54">
        <v>0</v>
      </c>
      <c r="Y67" s="54"/>
      <c r="Z67" s="54">
        <f>Z14*ConvFact!$A$1*2</f>
        <v>0</v>
      </c>
      <c r="AA67" s="54">
        <f>AA14*ConvFact!$A$1*2</f>
        <v>0</v>
      </c>
      <c r="AB67" s="54">
        <f>AB14*ConvFact!$A$1*2</f>
        <v>0</v>
      </c>
    </row>
    <row r="68" spans="1:28" x14ac:dyDescent="0.3">
      <c r="A68" s="53" t="str">
        <f>Factors!B10</f>
        <v>ResRot</v>
      </c>
      <c r="B68" s="54">
        <v>0</v>
      </c>
      <c r="C68" s="54">
        <v>0</v>
      </c>
      <c r="D68" s="54">
        <v>0</v>
      </c>
      <c r="E68" s="54">
        <v>0</v>
      </c>
      <c r="F68" s="54">
        <v>0</v>
      </c>
      <c r="G68" s="54">
        <v>0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0</v>
      </c>
      <c r="O68" s="54">
        <v>0</v>
      </c>
      <c r="P68" s="54">
        <v>0</v>
      </c>
      <c r="Q68" s="54">
        <v>0</v>
      </c>
      <c r="R68" s="54">
        <v>0</v>
      </c>
      <c r="S68" s="54">
        <v>0</v>
      </c>
      <c r="T68" s="54">
        <v>0</v>
      </c>
      <c r="U68" s="54">
        <v>0</v>
      </c>
      <c r="V68" s="54">
        <v>0</v>
      </c>
      <c r="W68" s="54">
        <v>0</v>
      </c>
      <c r="X68" s="54">
        <v>0</v>
      </c>
      <c r="Y68" s="54"/>
      <c r="Z68" s="54">
        <v>0</v>
      </c>
      <c r="AA68" s="54">
        <v>0</v>
      </c>
      <c r="AB68" s="54">
        <v>0</v>
      </c>
    </row>
    <row r="69" spans="1:28" x14ac:dyDescent="0.3">
      <c r="A69" s="53" t="str">
        <f>Factors!B11</f>
        <v>Sawnwd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/>
      <c r="Z69" s="54">
        <v>0</v>
      </c>
      <c r="AA69" s="54">
        <v>0</v>
      </c>
      <c r="AB69" s="54">
        <v>0</v>
      </c>
    </row>
    <row r="70" spans="1:28" x14ac:dyDescent="0.3">
      <c r="A70" s="53" t="str">
        <f>Factors!B12</f>
        <v>Heat__</v>
      </c>
      <c r="B70" s="54">
        <v>0</v>
      </c>
      <c r="C70" s="54">
        <v>0</v>
      </c>
      <c r="D70" s="54">
        <v>0</v>
      </c>
      <c r="E70" s="54">
        <v>0</v>
      </c>
      <c r="F70" s="54">
        <v>0</v>
      </c>
      <c r="G70" s="54">
        <v>0</v>
      </c>
      <c r="H70" s="54">
        <v>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4">
        <v>0</v>
      </c>
      <c r="O70" s="54">
        <v>0</v>
      </c>
      <c r="P70" s="54">
        <v>0</v>
      </c>
      <c r="Q70" s="54">
        <v>0</v>
      </c>
      <c r="R70" s="54">
        <v>0</v>
      </c>
      <c r="S70" s="54">
        <v>0</v>
      </c>
      <c r="T70" s="54">
        <v>0</v>
      </c>
      <c r="U70" s="54">
        <v>0</v>
      </c>
      <c r="V70" s="54">
        <v>0</v>
      </c>
      <c r="W70" s="54">
        <v>0</v>
      </c>
      <c r="X70" s="54">
        <v>0</v>
      </c>
      <c r="Y70" s="54"/>
      <c r="Z70" s="54">
        <v>0</v>
      </c>
      <c r="AA70" s="54">
        <v>0</v>
      </c>
      <c r="AB70" s="54">
        <v>0</v>
      </c>
    </row>
    <row r="71" spans="1:28" x14ac:dyDescent="0.3">
      <c r="A71" s="53" t="str">
        <f>Factors!B13</f>
        <v>Electr</v>
      </c>
      <c r="B71" s="54">
        <v>0</v>
      </c>
      <c r="C71" s="54">
        <v>0</v>
      </c>
      <c r="D71" s="54">
        <v>0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4">
        <v>0</v>
      </c>
      <c r="O71" s="54">
        <v>0</v>
      </c>
      <c r="P71" s="54">
        <v>0</v>
      </c>
      <c r="Q71" s="54">
        <v>0</v>
      </c>
      <c r="R71" s="54">
        <v>0</v>
      </c>
      <c r="S71" s="54">
        <v>0</v>
      </c>
      <c r="T71" s="54">
        <v>0</v>
      </c>
      <c r="U71" s="54">
        <v>0</v>
      </c>
      <c r="V71" s="54">
        <v>0</v>
      </c>
      <c r="W71" s="54">
        <v>0</v>
      </c>
      <c r="X71" s="54">
        <v>0</v>
      </c>
      <c r="Y71" s="54"/>
      <c r="Z71" s="54">
        <v>0</v>
      </c>
      <c r="AA71" s="54">
        <v>0</v>
      </c>
      <c r="AB71" s="54">
        <v>0</v>
      </c>
    </row>
    <row r="72" spans="1:28" x14ac:dyDescent="0.3">
      <c r="A72" s="53" t="str">
        <f>Factors!B14</f>
        <v>BioFue</v>
      </c>
      <c r="B72" s="54">
        <v>0</v>
      </c>
      <c r="C72" s="54">
        <v>0</v>
      </c>
      <c r="D72" s="54">
        <v>0</v>
      </c>
      <c r="E72" s="54">
        <v>0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>
        <v>0</v>
      </c>
      <c r="O72" s="54">
        <v>0</v>
      </c>
      <c r="P72" s="54">
        <v>0</v>
      </c>
      <c r="Q72" s="54">
        <v>0</v>
      </c>
      <c r="R72" s="54">
        <v>0</v>
      </c>
      <c r="S72" s="54">
        <v>0</v>
      </c>
      <c r="T72" s="54">
        <v>0</v>
      </c>
      <c r="U72" s="54">
        <v>0</v>
      </c>
      <c r="V72" s="54">
        <v>0</v>
      </c>
      <c r="W72" s="54">
        <v>0</v>
      </c>
      <c r="X72" s="54">
        <v>0</v>
      </c>
      <c r="Y72" s="54"/>
      <c r="Z72" s="54">
        <v>0</v>
      </c>
      <c r="AA72" s="54">
        <v>0</v>
      </c>
      <c r="AB72" s="54">
        <v>0</v>
      </c>
    </row>
    <row r="73" spans="1:28" x14ac:dyDescent="0.3">
      <c r="A73" s="53" t="str">
        <f>Factors!B15</f>
        <v>PuChem</v>
      </c>
      <c r="B73" s="54">
        <v>0</v>
      </c>
      <c r="C73" s="54">
        <v>0</v>
      </c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4">
        <v>0</v>
      </c>
      <c r="O73" s="54">
        <v>0</v>
      </c>
      <c r="P73" s="54">
        <v>0</v>
      </c>
      <c r="Q73" s="54">
        <v>0</v>
      </c>
      <c r="R73" s="54">
        <v>0</v>
      </c>
      <c r="S73" s="54">
        <v>0</v>
      </c>
      <c r="T73" s="54">
        <v>0</v>
      </c>
      <c r="U73" s="54">
        <v>0</v>
      </c>
      <c r="V73" s="54">
        <v>0</v>
      </c>
      <c r="W73" s="54">
        <v>0</v>
      </c>
      <c r="X73" s="54">
        <v>0</v>
      </c>
      <c r="Y73" s="54"/>
      <c r="Z73" s="54">
        <v>0</v>
      </c>
      <c r="AA73" s="54">
        <v>0</v>
      </c>
      <c r="AB73" s="54">
        <v>0</v>
      </c>
    </row>
    <row r="74" spans="1:28" x14ac:dyDescent="0.3">
      <c r="A74" s="53" t="str">
        <f>Factors!B16</f>
        <v>PuMech</v>
      </c>
      <c r="B74" s="54">
        <v>0</v>
      </c>
      <c r="C74" s="54">
        <v>0</v>
      </c>
      <c r="D74" s="54">
        <v>0</v>
      </c>
      <c r="E74" s="54">
        <v>0</v>
      </c>
      <c r="F74" s="54">
        <v>0</v>
      </c>
      <c r="G74" s="54">
        <v>0</v>
      </c>
      <c r="H74" s="54">
        <v>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4">
        <v>0</v>
      </c>
      <c r="O74" s="54">
        <v>0</v>
      </c>
      <c r="P74" s="54">
        <v>0</v>
      </c>
      <c r="Q74" s="54">
        <v>0</v>
      </c>
      <c r="R74" s="54">
        <v>0</v>
      </c>
      <c r="S74" s="54">
        <v>0</v>
      </c>
      <c r="T74" s="54">
        <v>0</v>
      </c>
      <c r="U74" s="54">
        <v>0</v>
      </c>
      <c r="V74" s="54">
        <v>0</v>
      </c>
      <c r="W74" s="54">
        <v>0</v>
      </c>
      <c r="X74" s="54">
        <v>0</v>
      </c>
      <c r="Y74" s="54"/>
      <c r="Z74" s="54">
        <v>0</v>
      </c>
      <c r="AA74" s="54">
        <v>0</v>
      </c>
      <c r="AB74" s="54">
        <v>0</v>
      </c>
    </row>
    <row r="75" spans="1:28" x14ac:dyDescent="0.3">
      <c r="A75" s="53" t="str">
        <f>Factors!B17</f>
        <v>PuDiss</v>
      </c>
      <c r="B75" s="54">
        <v>0</v>
      </c>
      <c r="C75" s="54">
        <v>0</v>
      </c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4">
        <v>0</v>
      </c>
      <c r="O75" s="54">
        <v>0</v>
      </c>
      <c r="P75" s="54">
        <v>0</v>
      </c>
      <c r="Q75" s="54">
        <v>0</v>
      </c>
      <c r="R75" s="54">
        <v>0</v>
      </c>
      <c r="S75" s="54">
        <v>0</v>
      </c>
      <c r="T75" s="54">
        <v>0</v>
      </c>
      <c r="U75" s="54">
        <v>0</v>
      </c>
      <c r="V75" s="54">
        <v>0</v>
      </c>
      <c r="W75" s="54">
        <v>0</v>
      </c>
      <c r="X75" s="54">
        <v>0</v>
      </c>
      <c r="Y75" s="54"/>
      <c r="Z75" s="54">
        <v>0</v>
      </c>
      <c r="AA75" s="54">
        <v>0</v>
      </c>
      <c r="AB75" s="54">
        <v>0</v>
      </c>
    </row>
    <row r="76" spans="1:28" x14ac:dyDescent="0.3">
      <c r="A76" s="53" t="str">
        <f>Factors!B18</f>
        <v>PaChem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/>
      <c r="Z76" s="54">
        <v>0</v>
      </c>
      <c r="AA76" s="54">
        <v>0</v>
      </c>
      <c r="AB76" s="54">
        <v>0</v>
      </c>
    </row>
    <row r="77" spans="1:28" x14ac:dyDescent="0.3">
      <c r="A77" s="53" t="str">
        <f>Factors!B19</f>
        <v>OtChem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/>
      <c r="Z77" s="54">
        <v>0</v>
      </c>
      <c r="AA77" s="54">
        <v>0</v>
      </c>
      <c r="AB77" s="54">
        <v>0</v>
      </c>
    </row>
    <row r="78" spans="1:28" x14ac:dyDescent="0.3">
      <c r="A78" s="53" t="str">
        <f>Factors!B20</f>
        <v>OtMech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>
        <v>0</v>
      </c>
      <c r="X78" s="54">
        <v>0</v>
      </c>
      <c r="Y78" s="54"/>
      <c r="Z78" s="54">
        <v>0</v>
      </c>
      <c r="AA78" s="54">
        <v>0</v>
      </c>
      <c r="AB78" s="54">
        <v>0</v>
      </c>
    </row>
    <row r="79" spans="1:28" x14ac:dyDescent="0.3">
      <c r="A79" s="53" t="str">
        <f>Factors!B21</f>
        <v>NwMech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/>
      <c r="Z79" s="54">
        <v>0</v>
      </c>
      <c r="AA79" s="54">
        <v>0</v>
      </c>
      <c r="AB79" s="54">
        <v>0</v>
      </c>
    </row>
    <row r="80" spans="1:28" x14ac:dyDescent="0.3"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 spans="1:28" x14ac:dyDescent="0.3"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</row>
    <row r="82" spans="1:28" x14ac:dyDescent="0.3"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</row>
    <row r="83" spans="1:28" x14ac:dyDescent="0.3"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</row>
    <row r="84" spans="1:28" x14ac:dyDescent="0.3"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</row>
    <row r="85" spans="1:28" x14ac:dyDescent="0.3"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</row>
    <row r="86" spans="1:28" x14ac:dyDescent="0.3"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</row>
    <row r="87" spans="1:28" x14ac:dyDescent="0.3"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</row>
    <row r="88" spans="1:28" x14ac:dyDescent="0.3"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</row>
    <row r="89" spans="1:28" ht="18.75" x14ac:dyDescent="0.3">
      <c r="A89" s="56" t="s">
        <v>36</v>
      </c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 spans="1:28" x14ac:dyDescent="0.3">
      <c r="A90" s="55" t="str">
        <f>Factors!B2</f>
        <v>PinTim</v>
      </c>
      <c r="B90" s="54">
        <v>400000</v>
      </c>
      <c r="C90" s="54">
        <v>400000</v>
      </c>
      <c r="D90" s="54">
        <v>400000</v>
      </c>
      <c r="E90" s="54">
        <v>400000</v>
      </c>
      <c r="F90" s="54">
        <v>400000</v>
      </c>
      <c r="G90" s="54">
        <v>400000</v>
      </c>
      <c r="H90" s="54">
        <v>400000</v>
      </c>
      <c r="I90" s="54">
        <v>400000</v>
      </c>
      <c r="J90" s="54">
        <v>400000</v>
      </c>
      <c r="K90" s="54">
        <v>400000</v>
      </c>
      <c r="L90" s="54">
        <v>400000</v>
      </c>
      <c r="M90" s="54">
        <v>400000</v>
      </c>
      <c r="N90" s="54">
        <v>400000</v>
      </c>
      <c r="O90" s="54">
        <v>400000</v>
      </c>
      <c r="P90" s="54">
        <v>400000</v>
      </c>
      <c r="Q90" s="54">
        <v>400000</v>
      </c>
      <c r="R90" s="54">
        <v>400000</v>
      </c>
      <c r="S90" s="54">
        <v>400000</v>
      </c>
      <c r="T90" s="54">
        <v>400000</v>
      </c>
      <c r="U90" s="54">
        <v>400000</v>
      </c>
      <c r="V90" s="54">
        <v>400000</v>
      </c>
      <c r="W90" s="54">
        <v>400000</v>
      </c>
      <c r="X90" s="54">
        <v>400000</v>
      </c>
      <c r="Y90" s="54"/>
      <c r="Z90" s="54">
        <f>V90*0.8</f>
        <v>320000</v>
      </c>
      <c r="AA90" s="54">
        <f t="shared" ref="AA90:AB94" si="45">Z90*0.8</f>
        <v>256000</v>
      </c>
      <c r="AB90" s="54">
        <f t="shared" si="45"/>
        <v>204800</v>
      </c>
    </row>
    <row r="91" spans="1:28" x14ac:dyDescent="0.3">
      <c r="A91" s="55" t="str">
        <f>Factors!B3</f>
        <v>PinPuw</v>
      </c>
      <c r="B91" s="54">
        <v>1300000</v>
      </c>
      <c r="C91" s="54">
        <v>1300000</v>
      </c>
      <c r="D91" s="54">
        <v>1300000</v>
      </c>
      <c r="E91" s="54">
        <v>1300000</v>
      </c>
      <c r="F91" s="54">
        <v>1300000</v>
      </c>
      <c r="G91" s="54">
        <v>1300000</v>
      </c>
      <c r="H91" s="54">
        <v>1300000</v>
      </c>
      <c r="I91" s="54">
        <v>1300000</v>
      </c>
      <c r="J91" s="54">
        <v>1300000</v>
      </c>
      <c r="K91" s="54">
        <v>1300000</v>
      </c>
      <c r="L91" s="54">
        <v>1300000</v>
      </c>
      <c r="M91" s="54">
        <v>1300000</v>
      </c>
      <c r="N91" s="54">
        <v>1300000</v>
      </c>
      <c r="O91" s="54">
        <v>1300000</v>
      </c>
      <c r="P91" s="54">
        <v>1300000</v>
      </c>
      <c r="Q91" s="54">
        <v>1300000</v>
      </c>
      <c r="R91" s="54">
        <v>1300000</v>
      </c>
      <c r="S91" s="54">
        <v>1300000</v>
      </c>
      <c r="T91" s="54">
        <v>1300000</v>
      </c>
      <c r="U91" s="54">
        <v>1300000</v>
      </c>
      <c r="V91" s="54">
        <v>1300000</v>
      </c>
      <c r="W91" s="54">
        <v>1300000</v>
      </c>
      <c r="X91" s="54">
        <v>1300000</v>
      </c>
      <c r="Y91" s="54"/>
      <c r="Z91" s="54">
        <f>V91*0.8</f>
        <v>1040000</v>
      </c>
      <c r="AA91" s="54">
        <f t="shared" si="45"/>
        <v>832000</v>
      </c>
      <c r="AB91" s="54">
        <f t="shared" si="45"/>
        <v>665600</v>
      </c>
    </row>
    <row r="92" spans="1:28" x14ac:dyDescent="0.3">
      <c r="A92" s="55" t="str">
        <f>Factors!B4</f>
        <v>SprTim</v>
      </c>
      <c r="B92" s="54">
        <v>500000</v>
      </c>
      <c r="C92" s="54">
        <v>500000</v>
      </c>
      <c r="D92" s="54">
        <v>500000</v>
      </c>
      <c r="E92" s="54">
        <v>500000</v>
      </c>
      <c r="F92" s="54">
        <v>500000</v>
      </c>
      <c r="G92" s="54">
        <v>500000</v>
      </c>
      <c r="H92" s="54">
        <v>500000</v>
      </c>
      <c r="I92" s="54">
        <v>500000</v>
      </c>
      <c r="J92" s="54">
        <v>500000</v>
      </c>
      <c r="K92" s="54">
        <v>500000</v>
      </c>
      <c r="L92" s="54">
        <v>500000</v>
      </c>
      <c r="M92" s="54">
        <v>500000</v>
      </c>
      <c r="N92" s="54">
        <v>500000</v>
      </c>
      <c r="O92" s="54">
        <v>500000</v>
      </c>
      <c r="P92" s="54">
        <v>500000</v>
      </c>
      <c r="Q92" s="54">
        <v>500000</v>
      </c>
      <c r="R92" s="54">
        <v>500000</v>
      </c>
      <c r="S92" s="54">
        <v>500000</v>
      </c>
      <c r="T92" s="54">
        <v>500000</v>
      </c>
      <c r="U92" s="54">
        <v>500000</v>
      </c>
      <c r="V92" s="54">
        <v>500000</v>
      </c>
      <c r="W92" s="54">
        <v>500000</v>
      </c>
      <c r="X92" s="54">
        <v>500000</v>
      </c>
      <c r="Y92" s="54"/>
      <c r="Z92" s="54">
        <f>V92*0.8</f>
        <v>400000</v>
      </c>
      <c r="AA92" s="54">
        <f t="shared" si="45"/>
        <v>320000</v>
      </c>
      <c r="AB92" s="54">
        <f t="shared" si="45"/>
        <v>256000</v>
      </c>
    </row>
    <row r="93" spans="1:28" x14ac:dyDescent="0.3">
      <c r="A93" s="55" t="str">
        <f>Factors!B5</f>
        <v>SprPuw</v>
      </c>
      <c r="B93" s="54">
        <v>1800000</v>
      </c>
      <c r="C93" s="54">
        <v>1800000</v>
      </c>
      <c r="D93" s="54">
        <v>1800000</v>
      </c>
      <c r="E93" s="54">
        <v>1800000</v>
      </c>
      <c r="F93" s="54">
        <v>1800000</v>
      </c>
      <c r="G93" s="54">
        <v>1800000</v>
      </c>
      <c r="H93" s="54">
        <v>1800000</v>
      </c>
      <c r="I93" s="54">
        <v>1800000</v>
      </c>
      <c r="J93" s="54">
        <v>1800000</v>
      </c>
      <c r="K93" s="54">
        <v>1800000</v>
      </c>
      <c r="L93" s="54">
        <v>1800000</v>
      </c>
      <c r="M93" s="54">
        <v>1800000</v>
      </c>
      <c r="N93" s="54">
        <v>1800000</v>
      </c>
      <c r="O93" s="54">
        <v>1800000</v>
      </c>
      <c r="P93" s="54">
        <v>1800000</v>
      </c>
      <c r="Q93" s="54">
        <v>1800000</v>
      </c>
      <c r="R93" s="54">
        <v>1800000</v>
      </c>
      <c r="S93" s="54">
        <v>1800000</v>
      </c>
      <c r="T93" s="54">
        <v>1800000</v>
      </c>
      <c r="U93" s="54">
        <v>1800000</v>
      </c>
      <c r="V93" s="54">
        <v>1800000</v>
      </c>
      <c r="W93" s="54">
        <v>1800000</v>
      </c>
      <c r="X93" s="54">
        <v>1800000</v>
      </c>
      <c r="Y93" s="54"/>
      <c r="Z93" s="54">
        <f>V93*0.8</f>
        <v>1440000</v>
      </c>
      <c r="AA93" s="54">
        <f t="shared" si="45"/>
        <v>1152000</v>
      </c>
      <c r="AB93" s="54">
        <f t="shared" si="45"/>
        <v>921600</v>
      </c>
    </row>
    <row r="94" spans="1:28" x14ac:dyDescent="0.3">
      <c r="A94" s="55" t="str">
        <f>Factors!B6</f>
        <v>Decids</v>
      </c>
      <c r="B94" s="54">
        <v>2700000</v>
      </c>
      <c r="C94" s="54">
        <v>2700000</v>
      </c>
      <c r="D94" s="54">
        <v>2700000</v>
      </c>
      <c r="E94" s="54">
        <v>2700000</v>
      </c>
      <c r="F94" s="54">
        <v>2700000</v>
      </c>
      <c r="G94" s="54">
        <v>2700000</v>
      </c>
      <c r="H94" s="54">
        <v>2700000</v>
      </c>
      <c r="I94" s="54">
        <v>2700000</v>
      </c>
      <c r="J94" s="54">
        <v>2700000</v>
      </c>
      <c r="K94" s="54">
        <v>2700000</v>
      </c>
      <c r="L94" s="54">
        <v>2700000</v>
      </c>
      <c r="M94" s="54">
        <v>2700000</v>
      </c>
      <c r="N94" s="54">
        <v>2700000</v>
      </c>
      <c r="O94" s="54">
        <v>2700000</v>
      </c>
      <c r="P94" s="54">
        <v>2700000</v>
      </c>
      <c r="Q94" s="54">
        <v>2700000</v>
      </c>
      <c r="R94" s="54">
        <v>2700000</v>
      </c>
      <c r="S94" s="54">
        <v>2700000</v>
      </c>
      <c r="T94" s="54">
        <v>2700000</v>
      </c>
      <c r="U94" s="54">
        <v>2700000</v>
      </c>
      <c r="V94" s="54">
        <v>2700000</v>
      </c>
      <c r="W94" s="54">
        <v>2700000</v>
      </c>
      <c r="X94" s="54">
        <v>2700000</v>
      </c>
      <c r="Y94" s="54"/>
      <c r="Z94" s="54">
        <f>V94*0.8</f>
        <v>2160000</v>
      </c>
      <c r="AA94" s="54">
        <f t="shared" si="45"/>
        <v>1728000</v>
      </c>
      <c r="AB94" s="54">
        <f t="shared" si="45"/>
        <v>1382400</v>
      </c>
    </row>
    <row r="95" spans="1:28" x14ac:dyDescent="0.3">
      <c r="A95" s="53" t="str">
        <f>Factors!B7</f>
        <v>Sawdst</v>
      </c>
      <c r="B95" s="54">
        <v>0</v>
      </c>
      <c r="C95" s="54">
        <v>0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4">
        <v>0</v>
      </c>
      <c r="O95" s="54">
        <v>0</v>
      </c>
      <c r="P95" s="54">
        <v>0</v>
      </c>
      <c r="Q95" s="54">
        <v>0</v>
      </c>
      <c r="R95" s="54">
        <v>0</v>
      </c>
      <c r="S95" s="54">
        <v>0</v>
      </c>
      <c r="T95" s="54">
        <v>0</v>
      </c>
      <c r="U95" s="54">
        <v>0</v>
      </c>
      <c r="V95" s="54">
        <v>0</v>
      </c>
      <c r="W95" s="54">
        <v>0</v>
      </c>
      <c r="X95" s="54">
        <v>0</v>
      </c>
      <c r="Y95" s="54"/>
      <c r="Z95" s="54">
        <v>0</v>
      </c>
      <c r="AA95" s="54">
        <v>0</v>
      </c>
      <c r="AB95" s="54">
        <v>0</v>
      </c>
    </row>
    <row r="96" spans="1:28" x14ac:dyDescent="0.3">
      <c r="A96" s="53" t="str">
        <f>Factors!B8</f>
        <v>Chips_</v>
      </c>
      <c r="B96" s="54">
        <v>0</v>
      </c>
      <c r="C96" s="54">
        <v>0</v>
      </c>
      <c r="D96" s="54">
        <v>0</v>
      </c>
      <c r="E96" s="54">
        <v>0</v>
      </c>
      <c r="F96" s="54">
        <v>0</v>
      </c>
      <c r="G96" s="54">
        <v>0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4">
        <v>0</v>
      </c>
      <c r="O96" s="54">
        <v>0</v>
      </c>
      <c r="P96" s="54">
        <v>0</v>
      </c>
      <c r="Q96" s="54">
        <v>0</v>
      </c>
      <c r="R96" s="54">
        <v>0</v>
      </c>
      <c r="S96" s="54">
        <v>0</v>
      </c>
      <c r="T96" s="54">
        <v>0</v>
      </c>
      <c r="U96" s="54">
        <v>0</v>
      </c>
      <c r="V96" s="54">
        <v>0</v>
      </c>
      <c r="W96" s="54">
        <v>0</v>
      </c>
      <c r="X96" s="54">
        <v>0</v>
      </c>
      <c r="Y96" s="54"/>
      <c r="Z96" s="54">
        <v>0</v>
      </c>
      <c r="AA96" s="54">
        <v>0</v>
      </c>
      <c r="AB96" s="54">
        <v>0</v>
      </c>
    </row>
    <row r="97" spans="1:28" x14ac:dyDescent="0.3">
      <c r="A97" s="55" t="str">
        <f>Factors!B9</f>
        <v>ResStm</v>
      </c>
      <c r="B97" s="54">
        <v>0</v>
      </c>
      <c r="C97" s="54">
        <v>0</v>
      </c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  <c r="N97" s="54">
        <v>0</v>
      </c>
      <c r="O97" s="54">
        <v>0</v>
      </c>
      <c r="P97" s="54">
        <v>0</v>
      </c>
      <c r="Q97" s="54">
        <v>0</v>
      </c>
      <c r="R97" s="54">
        <v>0</v>
      </c>
      <c r="S97" s="54">
        <v>0</v>
      </c>
      <c r="T97" s="54">
        <v>0</v>
      </c>
      <c r="U97" s="54">
        <v>0</v>
      </c>
      <c r="V97" s="54">
        <v>0</v>
      </c>
      <c r="W97" s="54">
        <v>0</v>
      </c>
      <c r="X97" s="54">
        <v>0</v>
      </c>
      <c r="Y97" s="54"/>
      <c r="Z97" s="54">
        <v>100000000</v>
      </c>
      <c r="AA97" s="54">
        <v>100000000</v>
      </c>
      <c r="AB97" s="54">
        <v>100000000</v>
      </c>
    </row>
    <row r="98" spans="1:28" x14ac:dyDescent="0.3">
      <c r="A98" s="53" t="str">
        <f>Factors!B10</f>
        <v>ResRot</v>
      </c>
      <c r="B98" s="54">
        <v>0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4">
        <v>0</v>
      </c>
      <c r="O98" s="54">
        <v>0</v>
      </c>
      <c r="P98" s="54">
        <v>0</v>
      </c>
      <c r="Q98" s="54">
        <v>0</v>
      </c>
      <c r="R98" s="54">
        <v>0</v>
      </c>
      <c r="S98" s="54">
        <v>0</v>
      </c>
      <c r="T98" s="54">
        <v>0</v>
      </c>
      <c r="U98" s="54">
        <v>0</v>
      </c>
      <c r="V98" s="54">
        <v>0</v>
      </c>
      <c r="W98" s="54">
        <v>0</v>
      </c>
      <c r="X98" s="54">
        <v>0</v>
      </c>
      <c r="Y98" s="54"/>
      <c r="Z98" s="54">
        <v>0</v>
      </c>
      <c r="AA98" s="54">
        <v>0</v>
      </c>
      <c r="AB98" s="54">
        <v>0</v>
      </c>
    </row>
    <row r="99" spans="1:28" x14ac:dyDescent="0.3">
      <c r="A99" s="53" t="str">
        <f>Factors!B11</f>
        <v>Sawnwd</v>
      </c>
      <c r="B99" s="54">
        <v>0</v>
      </c>
      <c r="C99" s="54">
        <v>0</v>
      </c>
      <c r="D99" s="54">
        <v>0</v>
      </c>
      <c r="E99" s="54">
        <v>0</v>
      </c>
      <c r="F99" s="54">
        <v>0</v>
      </c>
      <c r="G99" s="54">
        <v>0</v>
      </c>
      <c r="H99" s="54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  <c r="N99" s="54">
        <v>0</v>
      </c>
      <c r="O99" s="54">
        <v>0</v>
      </c>
      <c r="P99" s="54">
        <v>0</v>
      </c>
      <c r="Q99" s="54">
        <v>0</v>
      </c>
      <c r="R99" s="54">
        <v>0</v>
      </c>
      <c r="S99" s="54">
        <v>0</v>
      </c>
      <c r="T99" s="54">
        <v>0</v>
      </c>
      <c r="U99" s="54">
        <v>0</v>
      </c>
      <c r="V99" s="54">
        <v>0</v>
      </c>
      <c r="W99" s="54">
        <v>0</v>
      </c>
      <c r="X99" s="54">
        <v>0</v>
      </c>
      <c r="Y99" s="54"/>
      <c r="Z99" s="54">
        <v>0</v>
      </c>
      <c r="AA99" s="54">
        <v>0</v>
      </c>
      <c r="AB99" s="54">
        <v>0</v>
      </c>
    </row>
    <row r="100" spans="1:28" x14ac:dyDescent="0.3">
      <c r="A100" s="53" t="str">
        <f>Factors!B12</f>
        <v>Heat__</v>
      </c>
      <c r="B100" s="54">
        <v>0</v>
      </c>
      <c r="C100" s="54">
        <v>0</v>
      </c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4">
        <v>0</v>
      </c>
      <c r="O100" s="54">
        <v>0</v>
      </c>
      <c r="P100" s="54">
        <v>0</v>
      </c>
      <c r="Q100" s="54">
        <v>0</v>
      </c>
      <c r="R100" s="54">
        <v>0</v>
      </c>
      <c r="S100" s="54">
        <v>0</v>
      </c>
      <c r="T100" s="54">
        <v>0</v>
      </c>
      <c r="U100" s="54">
        <v>0</v>
      </c>
      <c r="V100" s="54">
        <v>0</v>
      </c>
      <c r="W100" s="54">
        <v>0</v>
      </c>
      <c r="X100" s="54">
        <v>0</v>
      </c>
      <c r="Y100" s="54"/>
      <c r="Z100" s="54">
        <v>0</v>
      </c>
      <c r="AA100" s="54">
        <v>0</v>
      </c>
      <c r="AB100" s="54">
        <v>0</v>
      </c>
    </row>
    <row r="101" spans="1:28" x14ac:dyDescent="0.3">
      <c r="A101" s="53" t="str">
        <f>Factors!B13</f>
        <v>Electr</v>
      </c>
      <c r="B101" s="54">
        <v>0</v>
      </c>
      <c r="C101" s="54">
        <v>0</v>
      </c>
      <c r="D101" s="54">
        <v>0</v>
      </c>
      <c r="E101" s="54">
        <v>0</v>
      </c>
      <c r="F101" s="54">
        <v>0</v>
      </c>
      <c r="G101" s="54">
        <v>0</v>
      </c>
      <c r="H101" s="54">
        <v>0</v>
      </c>
      <c r="I101" s="54">
        <v>0</v>
      </c>
      <c r="J101" s="54">
        <v>0</v>
      </c>
      <c r="K101" s="54">
        <v>0</v>
      </c>
      <c r="L101" s="54">
        <v>0</v>
      </c>
      <c r="M101" s="54">
        <v>0</v>
      </c>
      <c r="N101" s="54">
        <v>0</v>
      </c>
      <c r="O101" s="54">
        <v>0</v>
      </c>
      <c r="P101" s="54">
        <v>0</v>
      </c>
      <c r="Q101" s="54">
        <v>0</v>
      </c>
      <c r="R101" s="54">
        <v>0</v>
      </c>
      <c r="S101" s="54">
        <v>0</v>
      </c>
      <c r="T101" s="54">
        <v>0</v>
      </c>
      <c r="U101" s="54">
        <v>0</v>
      </c>
      <c r="V101" s="54">
        <v>0</v>
      </c>
      <c r="W101" s="54">
        <v>0</v>
      </c>
      <c r="X101" s="54">
        <v>0</v>
      </c>
      <c r="Y101" s="54"/>
      <c r="Z101" s="54">
        <v>0</v>
      </c>
      <c r="AA101" s="54">
        <v>0</v>
      </c>
      <c r="AB101" s="54">
        <v>0</v>
      </c>
    </row>
    <row r="102" spans="1:28" x14ac:dyDescent="0.3">
      <c r="A102" s="53" t="str">
        <f>Factors!B14</f>
        <v>BioFue</v>
      </c>
      <c r="B102" s="54">
        <v>0</v>
      </c>
      <c r="C102" s="54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4">
        <v>0</v>
      </c>
      <c r="O102" s="54">
        <v>0</v>
      </c>
      <c r="P102" s="54">
        <v>0</v>
      </c>
      <c r="Q102" s="54">
        <v>0</v>
      </c>
      <c r="R102" s="54">
        <v>0</v>
      </c>
      <c r="S102" s="54">
        <v>0</v>
      </c>
      <c r="T102" s="54">
        <v>0</v>
      </c>
      <c r="U102" s="54">
        <v>0</v>
      </c>
      <c r="V102" s="54">
        <v>0</v>
      </c>
      <c r="W102" s="54">
        <v>0</v>
      </c>
      <c r="X102" s="54">
        <v>0</v>
      </c>
      <c r="Y102" s="54"/>
      <c r="Z102" s="54">
        <v>0</v>
      </c>
      <c r="AA102" s="54">
        <v>0</v>
      </c>
      <c r="AB102" s="54">
        <v>0</v>
      </c>
    </row>
    <row r="103" spans="1:28" x14ac:dyDescent="0.3">
      <c r="A103" s="53" t="str">
        <f>Factors!B15</f>
        <v>PuChem</v>
      </c>
      <c r="B103" s="54">
        <v>0</v>
      </c>
      <c r="C103" s="54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0</v>
      </c>
      <c r="N103" s="54">
        <v>0</v>
      </c>
      <c r="O103" s="54">
        <v>0</v>
      </c>
      <c r="P103" s="54">
        <v>0</v>
      </c>
      <c r="Q103" s="54">
        <v>0</v>
      </c>
      <c r="R103" s="54">
        <v>0</v>
      </c>
      <c r="S103" s="54">
        <v>0</v>
      </c>
      <c r="T103" s="54">
        <v>0</v>
      </c>
      <c r="U103" s="54">
        <v>0</v>
      </c>
      <c r="V103" s="54">
        <v>0</v>
      </c>
      <c r="W103" s="54">
        <v>0</v>
      </c>
      <c r="X103" s="54">
        <v>0</v>
      </c>
      <c r="Y103" s="54"/>
      <c r="Z103" s="54">
        <v>0</v>
      </c>
      <c r="AA103" s="54">
        <v>0</v>
      </c>
      <c r="AB103" s="54">
        <v>0</v>
      </c>
    </row>
    <row r="104" spans="1:28" x14ac:dyDescent="0.3">
      <c r="A104" s="53" t="str">
        <f>Factors!B16</f>
        <v>PuMech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/>
      <c r="Z104" s="54">
        <v>0</v>
      </c>
      <c r="AA104" s="54">
        <v>0</v>
      </c>
      <c r="AB104" s="54">
        <v>0</v>
      </c>
    </row>
    <row r="105" spans="1:28" x14ac:dyDescent="0.3">
      <c r="A105" s="53" t="str">
        <f>Factors!B17</f>
        <v>PuDiss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/>
      <c r="Z105" s="54">
        <v>0</v>
      </c>
      <c r="AA105" s="54">
        <v>0</v>
      </c>
      <c r="AB105" s="54">
        <v>0</v>
      </c>
    </row>
    <row r="106" spans="1:28" x14ac:dyDescent="0.3">
      <c r="A106" s="53" t="str">
        <f>Factors!B18</f>
        <v>PaChem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/>
      <c r="Z106" s="54">
        <v>0</v>
      </c>
      <c r="AA106" s="54">
        <v>0</v>
      </c>
      <c r="AB106" s="54">
        <v>0</v>
      </c>
    </row>
    <row r="107" spans="1:28" x14ac:dyDescent="0.3">
      <c r="A107" s="53" t="str">
        <f>Factors!B19</f>
        <v>OtChem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/>
      <c r="Z107" s="54">
        <v>0</v>
      </c>
      <c r="AA107" s="54">
        <v>0</v>
      </c>
      <c r="AB107" s="54">
        <v>0</v>
      </c>
    </row>
    <row r="108" spans="1:28" x14ac:dyDescent="0.3">
      <c r="A108" s="53" t="str">
        <f>Factors!B20</f>
        <v>OtMech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/>
      <c r="Z108" s="54">
        <v>0</v>
      </c>
      <c r="AA108" s="54">
        <v>0</v>
      </c>
      <c r="AB108" s="54">
        <v>0</v>
      </c>
    </row>
    <row r="109" spans="1:28" x14ac:dyDescent="0.3">
      <c r="A109" s="53" t="str">
        <f>Factors!B21</f>
        <v>NwMech</v>
      </c>
      <c r="B109" s="54">
        <v>0</v>
      </c>
      <c r="C109" s="54">
        <v>0</v>
      </c>
      <c r="D109" s="54">
        <v>0</v>
      </c>
      <c r="E109" s="54">
        <v>0</v>
      </c>
      <c r="F109" s="54">
        <v>0</v>
      </c>
      <c r="G109" s="54">
        <v>0</v>
      </c>
      <c r="H109" s="54">
        <v>0</v>
      </c>
      <c r="I109" s="54">
        <v>0</v>
      </c>
      <c r="J109" s="54">
        <v>0</v>
      </c>
      <c r="K109" s="54">
        <v>0</v>
      </c>
      <c r="L109" s="54">
        <v>0</v>
      </c>
      <c r="M109" s="54">
        <v>0</v>
      </c>
      <c r="N109" s="54">
        <v>0</v>
      </c>
      <c r="O109" s="54">
        <v>0</v>
      </c>
      <c r="P109" s="54">
        <v>0</v>
      </c>
      <c r="Q109" s="54">
        <v>0</v>
      </c>
      <c r="R109" s="54">
        <v>0</v>
      </c>
      <c r="S109" s="54">
        <v>0</v>
      </c>
      <c r="T109" s="54">
        <v>0</v>
      </c>
      <c r="U109" s="54">
        <v>0</v>
      </c>
      <c r="V109" s="54">
        <v>0</v>
      </c>
      <c r="W109" s="54">
        <v>0</v>
      </c>
      <c r="X109" s="54">
        <v>0</v>
      </c>
      <c r="Y109" s="54"/>
      <c r="Z109" s="54">
        <v>0</v>
      </c>
      <c r="AA109" s="54">
        <v>0</v>
      </c>
      <c r="AB109" s="54">
        <v>0</v>
      </c>
    </row>
    <row r="111" spans="1:28" x14ac:dyDescent="0.3">
      <c r="A111" s="64" t="s">
        <v>208</v>
      </c>
    </row>
    <row r="112" spans="1:28" x14ac:dyDescent="0.3">
      <c r="A112" s="65" t="str">
        <f t="shared" ref="A112:A118" si="46">A34</f>
        <v>Decids</v>
      </c>
      <c r="B112" s="54">
        <v>6626000</v>
      </c>
      <c r="C112" s="54">
        <v>7209000</v>
      </c>
      <c r="D112" s="54">
        <v>7792000</v>
      </c>
      <c r="E112" s="54">
        <v>8025000</v>
      </c>
      <c r="F112" s="54">
        <v>8258000.0000000009</v>
      </c>
      <c r="G112" s="54">
        <v>8258000.0000000009</v>
      </c>
      <c r="H112" s="54">
        <v>8258000.0000000009</v>
      </c>
      <c r="I112" s="54">
        <v>8258000.0000000009</v>
      </c>
      <c r="J112" s="54">
        <v>8258000.0000000009</v>
      </c>
      <c r="K112" s="54">
        <v>8258000.0000000009</v>
      </c>
      <c r="L112" s="54">
        <v>8258000.0000000009</v>
      </c>
      <c r="M112" s="54">
        <v>8258000.0000000009</v>
      </c>
      <c r="N112" s="54">
        <v>8258000.0000000009</v>
      </c>
      <c r="O112" s="54">
        <v>8258000.0000000009</v>
      </c>
      <c r="P112" s="54">
        <v>8258000.0000000009</v>
      </c>
      <c r="Q112" s="54">
        <v>8258000.0000000009</v>
      </c>
      <c r="R112" s="54">
        <v>8258000.0000000009</v>
      </c>
      <c r="S112" s="54">
        <v>8258000.0000000009</v>
      </c>
      <c r="T112" s="54">
        <v>8258000.0000000009</v>
      </c>
      <c r="U112" s="54">
        <v>8258000.0000000009</v>
      </c>
      <c r="V112" s="54">
        <v>8258000.0000000009</v>
      </c>
      <c r="W112" s="54">
        <v>8258000.0000000009</v>
      </c>
      <c r="X112" s="53">
        <v>8258000.0000000009</v>
      </c>
    </row>
    <row r="113" spans="1:24" x14ac:dyDescent="0.3">
      <c r="A113" s="65" t="str">
        <f t="shared" si="46"/>
        <v>Sawdst</v>
      </c>
      <c r="B113" s="54">
        <v>2296000.0000000005</v>
      </c>
      <c r="C113" s="54">
        <v>2296000.0000000005</v>
      </c>
      <c r="D113" s="54">
        <v>2296000.0000000005</v>
      </c>
      <c r="E113" s="54">
        <v>2296000.0000000005</v>
      </c>
      <c r="F113" s="54">
        <v>2296000.0000000005</v>
      </c>
      <c r="G113" s="54">
        <v>2296000.0000000005</v>
      </c>
      <c r="H113" s="54">
        <v>2296000.0000000005</v>
      </c>
      <c r="I113" s="54">
        <v>2296000.0000000005</v>
      </c>
      <c r="J113" s="54">
        <v>2296000.0000000005</v>
      </c>
      <c r="K113" s="54">
        <v>2296000.0000000005</v>
      </c>
      <c r="L113" s="54">
        <v>2296000.0000000005</v>
      </c>
      <c r="M113" s="54">
        <v>2205500</v>
      </c>
      <c r="N113" s="54">
        <v>2115000</v>
      </c>
      <c r="O113" s="54">
        <v>1903500</v>
      </c>
      <c r="P113" s="54">
        <v>1692000</v>
      </c>
      <c r="Q113" s="54">
        <v>1523000</v>
      </c>
      <c r="R113" s="54">
        <v>1354000</v>
      </c>
      <c r="S113" s="54">
        <v>1354000</v>
      </c>
      <c r="T113" s="54">
        <v>1354000</v>
      </c>
      <c r="U113" s="54">
        <v>1354000</v>
      </c>
      <c r="V113" s="54">
        <v>1354000</v>
      </c>
      <c r="W113" s="54">
        <v>1354000</v>
      </c>
      <c r="X113" s="53">
        <v>1354000</v>
      </c>
    </row>
    <row r="114" spans="1:24" x14ac:dyDescent="0.3">
      <c r="A114" s="65" t="str">
        <f t="shared" si="46"/>
        <v>Chips_</v>
      </c>
      <c r="B114" s="54">
        <v>467000</v>
      </c>
      <c r="C114" s="54">
        <v>420500</v>
      </c>
      <c r="D114" s="54">
        <v>374000</v>
      </c>
      <c r="E114" s="54">
        <v>352500</v>
      </c>
      <c r="F114" s="54">
        <v>331000</v>
      </c>
      <c r="G114" s="54">
        <v>321500</v>
      </c>
      <c r="H114" s="54">
        <v>312000</v>
      </c>
      <c r="I114" s="54">
        <v>306000</v>
      </c>
      <c r="J114" s="54">
        <v>300000</v>
      </c>
      <c r="K114" s="54">
        <v>300000</v>
      </c>
      <c r="L114" s="54">
        <v>300000</v>
      </c>
      <c r="M114" s="54">
        <v>290000</v>
      </c>
      <c r="N114" s="54">
        <v>280000</v>
      </c>
      <c r="O114" s="54">
        <v>271000</v>
      </c>
      <c r="P114" s="54">
        <v>262000</v>
      </c>
      <c r="Q114" s="54">
        <v>260500</v>
      </c>
      <c r="R114" s="54">
        <v>259000</v>
      </c>
      <c r="S114" s="54">
        <v>259000</v>
      </c>
      <c r="T114" s="54">
        <v>259000</v>
      </c>
      <c r="U114" s="54">
        <v>259000</v>
      </c>
      <c r="V114" s="54">
        <v>259000</v>
      </c>
      <c r="W114" s="54">
        <v>259000</v>
      </c>
      <c r="X114" s="53">
        <v>259000</v>
      </c>
    </row>
    <row r="115" spans="1:24" x14ac:dyDescent="0.3">
      <c r="A115" s="65" t="str">
        <f t="shared" si="46"/>
        <v>ResStm</v>
      </c>
      <c r="B115" s="54">
        <v>6083000</v>
      </c>
      <c r="C115" s="54">
        <v>6083000</v>
      </c>
      <c r="D115" s="54">
        <v>6083000</v>
      </c>
      <c r="E115" s="54">
        <v>6083000</v>
      </c>
      <c r="F115" s="54">
        <v>6083000</v>
      </c>
      <c r="G115" s="54">
        <v>6083000</v>
      </c>
      <c r="H115" s="54">
        <v>6083000</v>
      </c>
      <c r="I115" s="54">
        <v>6083000</v>
      </c>
      <c r="J115" s="54">
        <v>6083000</v>
      </c>
      <c r="K115" s="54">
        <v>6083000</v>
      </c>
      <c r="L115" s="54">
        <v>6083000</v>
      </c>
      <c r="M115" s="54">
        <v>6083000</v>
      </c>
      <c r="N115" s="54">
        <v>6083000</v>
      </c>
      <c r="O115" s="54">
        <v>6083000</v>
      </c>
      <c r="P115" s="54">
        <v>6083000</v>
      </c>
      <c r="Q115" s="54">
        <v>6083000</v>
      </c>
      <c r="R115" s="54">
        <v>6083000</v>
      </c>
      <c r="S115" s="54">
        <v>6083000</v>
      </c>
      <c r="T115" s="54">
        <v>6083000</v>
      </c>
      <c r="U115" s="54">
        <v>6083000</v>
      </c>
      <c r="V115" s="54">
        <v>6083000</v>
      </c>
      <c r="W115" s="54">
        <v>6083000</v>
      </c>
      <c r="X115" s="53">
        <v>6083000</v>
      </c>
    </row>
    <row r="116" spans="1:24" x14ac:dyDescent="0.3">
      <c r="A116" s="65" t="str">
        <f t="shared" si="46"/>
        <v>ResRot</v>
      </c>
      <c r="B116" s="54">
        <v>2117000</v>
      </c>
      <c r="C116" s="54">
        <v>2117000</v>
      </c>
      <c r="D116" s="54">
        <v>2117000</v>
      </c>
      <c r="E116" s="54">
        <v>2117000</v>
      </c>
      <c r="F116" s="54">
        <v>2117000</v>
      </c>
      <c r="G116" s="54">
        <v>2117000</v>
      </c>
      <c r="H116" s="54">
        <v>2117000</v>
      </c>
      <c r="I116" s="54">
        <v>2117000</v>
      </c>
      <c r="J116" s="54">
        <v>2117000</v>
      </c>
      <c r="K116" s="54">
        <v>2117000</v>
      </c>
      <c r="L116" s="54">
        <v>2117000</v>
      </c>
      <c r="M116" s="54">
        <v>2117000</v>
      </c>
      <c r="N116" s="54">
        <v>2117000</v>
      </c>
      <c r="O116" s="54">
        <v>2067500</v>
      </c>
      <c r="P116" s="54">
        <v>2018000.0000000002</v>
      </c>
      <c r="Q116" s="54">
        <v>1972000</v>
      </c>
      <c r="R116" s="54">
        <v>1926000</v>
      </c>
      <c r="S116" s="54">
        <v>1926000</v>
      </c>
      <c r="T116" s="54">
        <v>1926000</v>
      </c>
      <c r="U116" s="54">
        <v>1926000</v>
      </c>
      <c r="V116" s="54">
        <v>1926000</v>
      </c>
      <c r="W116" s="54">
        <v>1926000</v>
      </c>
      <c r="X116" s="53">
        <v>1926000</v>
      </c>
    </row>
    <row r="117" spans="1:24" x14ac:dyDescent="0.3">
      <c r="A117" s="65" t="str">
        <f t="shared" si="46"/>
        <v>Sawnwd</v>
      </c>
      <c r="B117" s="54">
        <v>410000.00000000006</v>
      </c>
      <c r="C117" s="54">
        <v>420000</v>
      </c>
      <c r="D117" s="54">
        <v>430000</v>
      </c>
      <c r="E117" s="54">
        <v>441500</v>
      </c>
      <c r="F117" s="54">
        <v>453000</v>
      </c>
      <c r="G117" s="54">
        <v>465500</v>
      </c>
      <c r="H117" s="54">
        <v>478000.00000000006</v>
      </c>
      <c r="I117" s="54">
        <v>492000</v>
      </c>
      <c r="J117" s="54">
        <v>506000</v>
      </c>
      <c r="K117" s="54">
        <v>525500</v>
      </c>
      <c r="L117" s="54">
        <v>545000</v>
      </c>
      <c r="M117" s="54">
        <v>545000</v>
      </c>
      <c r="N117" s="54">
        <v>545000</v>
      </c>
      <c r="O117" s="54">
        <v>545000</v>
      </c>
      <c r="P117" s="54">
        <v>545000</v>
      </c>
      <c r="Q117" s="54">
        <v>545000</v>
      </c>
      <c r="R117" s="54">
        <v>545000</v>
      </c>
      <c r="S117" s="54">
        <v>545000</v>
      </c>
      <c r="T117" s="54">
        <v>545000</v>
      </c>
      <c r="U117" s="54">
        <v>545000</v>
      </c>
      <c r="V117" s="54">
        <v>545000</v>
      </c>
      <c r="W117" s="54">
        <v>545000</v>
      </c>
      <c r="X117" s="53">
        <v>545000</v>
      </c>
    </row>
    <row r="118" spans="1:24" x14ac:dyDescent="0.3">
      <c r="A118" s="65" t="str">
        <f t="shared" si="46"/>
        <v>Heat__</v>
      </c>
      <c r="B118" s="54">
        <v>561000</v>
      </c>
      <c r="C118" s="54">
        <v>698500</v>
      </c>
      <c r="D118" s="54">
        <v>836000</v>
      </c>
      <c r="E118" s="54">
        <v>1009000</v>
      </c>
      <c r="F118" s="54">
        <v>1182000</v>
      </c>
      <c r="G118" s="54">
        <v>1352000</v>
      </c>
      <c r="H118" s="54">
        <v>1522000</v>
      </c>
      <c r="I118" s="54">
        <v>1665000</v>
      </c>
      <c r="J118" s="54">
        <v>1808000</v>
      </c>
      <c r="K118" s="54">
        <v>1962000</v>
      </c>
      <c r="L118" s="54">
        <v>2116000</v>
      </c>
      <c r="M118" s="54">
        <v>2145000</v>
      </c>
      <c r="N118" s="54">
        <v>2174000</v>
      </c>
      <c r="O118" s="54">
        <v>2197000</v>
      </c>
      <c r="P118" s="54">
        <v>2220000</v>
      </c>
      <c r="Q118" s="54">
        <v>2295500</v>
      </c>
      <c r="R118" s="54">
        <v>2371000</v>
      </c>
      <c r="S118" s="54">
        <v>2371000</v>
      </c>
      <c r="T118" s="54">
        <v>2371000</v>
      </c>
      <c r="U118" s="54">
        <v>2371000</v>
      </c>
      <c r="V118" s="54">
        <v>2371000</v>
      </c>
      <c r="W118" s="54">
        <v>2371000</v>
      </c>
      <c r="X118" s="53">
        <v>2371000</v>
      </c>
    </row>
    <row r="120" spans="1:24" x14ac:dyDescent="0.3">
      <c r="A120" s="64" t="s">
        <v>207</v>
      </c>
    </row>
    <row r="121" spans="1:24" x14ac:dyDescent="0.3">
      <c r="A121" s="65" t="str">
        <f t="shared" ref="A121:A128" si="47">A43</f>
        <v>PuChem</v>
      </c>
      <c r="B121" s="66">
        <f>IIASA!B42/B112</f>
        <v>0.51382244189556303</v>
      </c>
      <c r="C121" s="54">
        <f t="shared" ref="C121:W121" si="48">B112*$B121</f>
        <v>3404587.5000000005</v>
      </c>
      <c r="D121" s="54">
        <f t="shared" si="48"/>
        <v>3704145.983625114</v>
      </c>
      <c r="E121" s="54">
        <f t="shared" si="48"/>
        <v>4003704.467250227</v>
      </c>
      <c r="F121" s="54">
        <f t="shared" si="48"/>
        <v>4123425.0962118935</v>
      </c>
      <c r="G121" s="54">
        <f t="shared" si="48"/>
        <v>4243145.72517356</v>
      </c>
      <c r="H121" s="54">
        <f t="shared" si="48"/>
        <v>4243145.72517356</v>
      </c>
      <c r="I121" s="54">
        <f t="shared" si="48"/>
        <v>4243145.72517356</v>
      </c>
      <c r="J121" s="54">
        <f t="shared" si="48"/>
        <v>4243145.72517356</v>
      </c>
      <c r="K121" s="54">
        <f t="shared" si="48"/>
        <v>4243145.72517356</v>
      </c>
      <c r="L121" s="54">
        <f t="shared" si="48"/>
        <v>4243145.72517356</v>
      </c>
      <c r="M121" s="54">
        <f t="shared" si="48"/>
        <v>4243145.72517356</v>
      </c>
      <c r="N121" s="54">
        <f t="shared" si="48"/>
        <v>4243145.72517356</v>
      </c>
      <c r="O121" s="54">
        <f t="shared" si="48"/>
        <v>4243145.72517356</v>
      </c>
      <c r="P121" s="54">
        <f t="shared" si="48"/>
        <v>4243145.72517356</v>
      </c>
      <c r="Q121" s="54">
        <f t="shared" si="48"/>
        <v>4243145.72517356</v>
      </c>
      <c r="R121" s="54">
        <f t="shared" si="48"/>
        <v>4243145.72517356</v>
      </c>
      <c r="S121" s="54">
        <f t="shared" si="48"/>
        <v>4243145.72517356</v>
      </c>
      <c r="T121" s="54">
        <f t="shared" si="48"/>
        <v>4243145.72517356</v>
      </c>
      <c r="U121" s="54">
        <f t="shared" si="48"/>
        <v>4243145.72517356</v>
      </c>
      <c r="V121" s="54">
        <f t="shared" si="48"/>
        <v>4243145.72517356</v>
      </c>
      <c r="W121" s="54">
        <f t="shared" si="48"/>
        <v>4243145.72517356</v>
      </c>
      <c r="X121" s="54">
        <v>4243145.72517356</v>
      </c>
    </row>
    <row r="122" spans="1:24" x14ac:dyDescent="0.3">
      <c r="A122" s="65" t="str">
        <f t="shared" si="47"/>
        <v>PuMech</v>
      </c>
      <c r="B122" s="66">
        <f>IIASA!B43/B113</f>
        <v>0.23094512195121941</v>
      </c>
      <c r="C122" s="54">
        <f t="shared" ref="C122:W122" si="49">B113*$B122</f>
        <v>530249.99999999988</v>
      </c>
      <c r="D122" s="54">
        <f t="shared" si="49"/>
        <v>530249.99999999988</v>
      </c>
      <c r="E122" s="54">
        <f t="shared" si="49"/>
        <v>530249.99999999988</v>
      </c>
      <c r="F122" s="54">
        <f t="shared" si="49"/>
        <v>530249.99999999988</v>
      </c>
      <c r="G122" s="54">
        <f t="shared" si="49"/>
        <v>530249.99999999988</v>
      </c>
      <c r="H122" s="54">
        <f t="shared" si="49"/>
        <v>530249.99999999988</v>
      </c>
      <c r="I122" s="54">
        <f t="shared" si="49"/>
        <v>530249.99999999988</v>
      </c>
      <c r="J122" s="54">
        <f t="shared" si="49"/>
        <v>530249.99999999988</v>
      </c>
      <c r="K122" s="54">
        <f t="shared" si="49"/>
        <v>530249.99999999988</v>
      </c>
      <c r="L122" s="54">
        <f t="shared" si="49"/>
        <v>530249.99999999988</v>
      </c>
      <c r="M122" s="54">
        <f t="shared" si="49"/>
        <v>530249.99999999988</v>
      </c>
      <c r="N122" s="54">
        <f t="shared" si="49"/>
        <v>509349.46646341443</v>
      </c>
      <c r="O122" s="54">
        <f t="shared" si="49"/>
        <v>488448.93292682903</v>
      </c>
      <c r="P122" s="54">
        <f t="shared" si="49"/>
        <v>439604.03963414615</v>
      </c>
      <c r="Q122" s="54">
        <f t="shared" si="49"/>
        <v>390759.14634146326</v>
      </c>
      <c r="R122" s="54">
        <f t="shared" si="49"/>
        <v>351729.42073170719</v>
      </c>
      <c r="S122" s="54">
        <f t="shared" si="49"/>
        <v>312699.69512195111</v>
      </c>
      <c r="T122" s="54">
        <f t="shared" si="49"/>
        <v>312699.69512195111</v>
      </c>
      <c r="U122" s="54">
        <f t="shared" si="49"/>
        <v>312699.69512195111</v>
      </c>
      <c r="V122" s="54">
        <f t="shared" si="49"/>
        <v>312699.69512195111</v>
      </c>
      <c r="W122" s="54">
        <f t="shared" si="49"/>
        <v>312699.69512195111</v>
      </c>
      <c r="X122" s="54">
        <v>312699.69512195111</v>
      </c>
    </row>
    <row r="123" spans="1:24" x14ac:dyDescent="0.3">
      <c r="A123" s="65" t="str">
        <f t="shared" si="47"/>
        <v>PuDiss</v>
      </c>
      <c r="B123" s="66">
        <f>IIASA!B44/B114</f>
        <v>0.72020770877944329</v>
      </c>
      <c r="C123" s="54">
        <f t="shared" ref="C123:W123" si="50">B114*$B123</f>
        <v>336337</v>
      </c>
      <c r="D123" s="54">
        <f t="shared" si="50"/>
        <v>302847.34154175589</v>
      </c>
      <c r="E123" s="54">
        <f t="shared" si="50"/>
        <v>269357.68308351177</v>
      </c>
      <c r="F123" s="54">
        <f t="shared" si="50"/>
        <v>253873.21734475376</v>
      </c>
      <c r="G123" s="54">
        <f t="shared" si="50"/>
        <v>238388.75160599573</v>
      </c>
      <c r="H123" s="54">
        <f t="shared" si="50"/>
        <v>231546.77837259101</v>
      </c>
      <c r="I123" s="54">
        <f t="shared" si="50"/>
        <v>224704.8051391863</v>
      </c>
      <c r="J123" s="54">
        <f t="shared" si="50"/>
        <v>220383.55888650965</v>
      </c>
      <c r="K123" s="54">
        <f t="shared" si="50"/>
        <v>216062.31263383297</v>
      </c>
      <c r="L123" s="54">
        <f t="shared" si="50"/>
        <v>216062.31263383297</v>
      </c>
      <c r="M123" s="54">
        <f t="shared" si="50"/>
        <v>216062.31263383297</v>
      </c>
      <c r="N123" s="54">
        <f t="shared" si="50"/>
        <v>208860.23554603854</v>
      </c>
      <c r="O123" s="54">
        <f t="shared" si="50"/>
        <v>201658.15845824411</v>
      </c>
      <c r="P123" s="54">
        <f t="shared" si="50"/>
        <v>195176.28907922914</v>
      </c>
      <c r="Q123" s="54">
        <f t="shared" si="50"/>
        <v>188694.41970021414</v>
      </c>
      <c r="R123" s="54">
        <f t="shared" si="50"/>
        <v>187614.10813704497</v>
      </c>
      <c r="S123" s="54">
        <f t="shared" si="50"/>
        <v>186533.79657387582</v>
      </c>
      <c r="T123" s="54">
        <f t="shared" si="50"/>
        <v>186533.79657387582</v>
      </c>
      <c r="U123" s="54">
        <f t="shared" si="50"/>
        <v>186533.79657387582</v>
      </c>
      <c r="V123" s="54">
        <f t="shared" si="50"/>
        <v>186533.79657387582</v>
      </c>
      <c r="W123" s="54">
        <f t="shared" si="50"/>
        <v>186533.79657387582</v>
      </c>
      <c r="X123" s="54">
        <v>186533.79657387582</v>
      </c>
    </row>
    <row r="124" spans="1:24" x14ac:dyDescent="0.3">
      <c r="A124" s="65" t="str">
        <f t="shared" si="47"/>
        <v>PaChem</v>
      </c>
      <c r="B124" s="66">
        <f>IIASA!B45/B115</f>
        <v>0.97731382541509126</v>
      </c>
      <c r="C124" s="54">
        <f t="shared" ref="C124:W124" si="51">B115*$B124</f>
        <v>5945000</v>
      </c>
      <c r="D124" s="54">
        <f t="shared" si="51"/>
        <v>5945000</v>
      </c>
      <c r="E124" s="54">
        <f t="shared" si="51"/>
        <v>5945000</v>
      </c>
      <c r="F124" s="54">
        <f t="shared" si="51"/>
        <v>5945000</v>
      </c>
      <c r="G124" s="54">
        <f t="shared" si="51"/>
        <v>5945000</v>
      </c>
      <c r="H124" s="54">
        <f t="shared" si="51"/>
        <v>5945000</v>
      </c>
      <c r="I124" s="54">
        <f t="shared" si="51"/>
        <v>5945000</v>
      </c>
      <c r="J124" s="54">
        <f t="shared" si="51"/>
        <v>5945000</v>
      </c>
      <c r="K124" s="54">
        <f t="shared" si="51"/>
        <v>5945000</v>
      </c>
      <c r="L124" s="54">
        <f t="shared" si="51"/>
        <v>5945000</v>
      </c>
      <c r="M124" s="54">
        <f t="shared" si="51"/>
        <v>5945000</v>
      </c>
      <c r="N124" s="54">
        <f t="shared" si="51"/>
        <v>5945000</v>
      </c>
      <c r="O124" s="54">
        <f t="shared" si="51"/>
        <v>5945000</v>
      </c>
      <c r="P124" s="54">
        <f t="shared" si="51"/>
        <v>5945000</v>
      </c>
      <c r="Q124" s="54">
        <f t="shared" si="51"/>
        <v>5945000</v>
      </c>
      <c r="R124" s="54">
        <f t="shared" si="51"/>
        <v>5945000</v>
      </c>
      <c r="S124" s="54">
        <f t="shared" si="51"/>
        <v>5945000</v>
      </c>
      <c r="T124" s="54">
        <f t="shared" si="51"/>
        <v>5945000</v>
      </c>
      <c r="U124" s="54">
        <f t="shared" si="51"/>
        <v>5945000</v>
      </c>
      <c r="V124" s="54">
        <f t="shared" si="51"/>
        <v>5945000</v>
      </c>
      <c r="W124" s="54">
        <f t="shared" si="51"/>
        <v>5945000</v>
      </c>
      <c r="X124" s="54">
        <v>5945000</v>
      </c>
    </row>
    <row r="125" spans="1:24" x14ac:dyDescent="0.3">
      <c r="A125" s="65" t="str">
        <f t="shared" si="47"/>
        <v>OtChem</v>
      </c>
      <c r="B125" s="66">
        <f>IIASA!B46/B116</f>
        <v>0.27928672649976383</v>
      </c>
      <c r="C125" s="54">
        <f t="shared" ref="C125:W125" si="52">B116*$B125</f>
        <v>591250</v>
      </c>
      <c r="D125" s="54">
        <f t="shared" si="52"/>
        <v>591250</v>
      </c>
      <c r="E125" s="54">
        <f t="shared" si="52"/>
        <v>591250</v>
      </c>
      <c r="F125" s="54">
        <f t="shared" si="52"/>
        <v>591250</v>
      </c>
      <c r="G125" s="54">
        <f t="shared" si="52"/>
        <v>591250</v>
      </c>
      <c r="H125" s="54">
        <f t="shared" si="52"/>
        <v>591250</v>
      </c>
      <c r="I125" s="54">
        <f t="shared" si="52"/>
        <v>591250</v>
      </c>
      <c r="J125" s="54">
        <f t="shared" si="52"/>
        <v>591250</v>
      </c>
      <c r="K125" s="54">
        <f t="shared" si="52"/>
        <v>591250</v>
      </c>
      <c r="L125" s="54">
        <f t="shared" si="52"/>
        <v>591250</v>
      </c>
      <c r="M125" s="54">
        <f t="shared" si="52"/>
        <v>591250</v>
      </c>
      <c r="N125" s="54">
        <f t="shared" si="52"/>
        <v>591250</v>
      </c>
      <c r="O125" s="54">
        <f t="shared" si="52"/>
        <v>591250</v>
      </c>
      <c r="P125" s="54">
        <f t="shared" si="52"/>
        <v>577425.30703826167</v>
      </c>
      <c r="Q125" s="54">
        <f t="shared" si="52"/>
        <v>563600.61407652346</v>
      </c>
      <c r="R125" s="54">
        <f t="shared" si="52"/>
        <v>550753.42465753423</v>
      </c>
      <c r="S125" s="54">
        <f t="shared" si="52"/>
        <v>537906.23523854511</v>
      </c>
      <c r="T125" s="54">
        <f t="shared" si="52"/>
        <v>537906.23523854511</v>
      </c>
      <c r="U125" s="54">
        <f t="shared" si="52"/>
        <v>537906.23523854511</v>
      </c>
      <c r="V125" s="54">
        <f t="shared" si="52"/>
        <v>537906.23523854511</v>
      </c>
      <c r="W125" s="54">
        <f t="shared" si="52"/>
        <v>537906.23523854511</v>
      </c>
      <c r="X125" s="54">
        <v>537906.23523854511</v>
      </c>
    </row>
    <row r="126" spans="1:24" x14ac:dyDescent="0.3">
      <c r="A126" s="65" t="str">
        <f t="shared" si="47"/>
        <v>OtMech</v>
      </c>
      <c r="B126" s="66">
        <f>IIASA!B47/B117</f>
        <v>4.3262195121951219</v>
      </c>
      <c r="C126" s="54">
        <f t="shared" ref="C126:W126" si="53">B117*$B126</f>
        <v>1773750.0000000002</v>
      </c>
      <c r="D126" s="54">
        <f t="shared" si="53"/>
        <v>1817012.1951219512</v>
      </c>
      <c r="E126" s="54">
        <f t="shared" si="53"/>
        <v>1860274.3902439023</v>
      </c>
      <c r="F126" s="54">
        <f t="shared" si="53"/>
        <v>1910025.9146341463</v>
      </c>
      <c r="G126" s="54">
        <f t="shared" si="53"/>
        <v>1959777.4390243902</v>
      </c>
      <c r="H126" s="54">
        <f t="shared" si="53"/>
        <v>2013855.1829268292</v>
      </c>
      <c r="I126" s="54">
        <f t="shared" si="53"/>
        <v>2067932.9268292685</v>
      </c>
      <c r="J126" s="54">
        <f t="shared" si="53"/>
        <v>2128500</v>
      </c>
      <c r="K126" s="54">
        <f t="shared" si="53"/>
        <v>2189067.0731707318</v>
      </c>
      <c r="L126" s="54">
        <f t="shared" si="53"/>
        <v>2273428.3536585364</v>
      </c>
      <c r="M126" s="54">
        <f t="shared" si="53"/>
        <v>2357789.6341463416</v>
      </c>
      <c r="N126" s="54">
        <f t="shared" si="53"/>
        <v>2357789.6341463416</v>
      </c>
      <c r="O126" s="54">
        <f t="shared" si="53"/>
        <v>2357789.6341463416</v>
      </c>
      <c r="P126" s="54">
        <f t="shared" si="53"/>
        <v>2357789.6341463416</v>
      </c>
      <c r="Q126" s="54">
        <f t="shared" si="53"/>
        <v>2357789.6341463416</v>
      </c>
      <c r="R126" s="54">
        <f t="shared" si="53"/>
        <v>2357789.6341463416</v>
      </c>
      <c r="S126" s="54">
        <f t="shared" si="53"/>
        <v>2357789.6341463416</v>
      </c>
      <c r="T126" s="54">
        <f t="shared" si="53"/>
        <v>2357789.6341463416</v>
      </c>
      <c r="U126" s="54">
        <f t="shared" si="53"/>
        <v>2357789.6341463416</v>
      </c>
      <c r="V126" s="54">
        <f t="shared" si="53"/>
        <v>2357789.6341463416</v>
      </c>
      <c r="W126" s="54">
        <f t="shared" si="53"/>
        <v>2357789.6341463416</v>
      </c>
      <c r="X126" s="54">
        <v>2357789.6341463416</v>
      </c>
    </row>
    <row r="127" spans="1:24" x14ac:dyDescent="0.3">
      <c r="A127" s="65" t="str">
        <f t="shared" si="47"/>
        <v>NwMech</v>
      </c>
      <c r="B127" s="66">
        <v>1.33</v>
      </c>
      <c r="C127" s="54">
        <v>889000</v>
      </c>
      <c r="D127" s="54">
        <v>889000</v>
      </c>
      <c r="E127" s="54">
        <v>889000</v>
      </c>
      <c r="F127" s="54">
        <v>889000</v>
      </c>
      <c r="G127" s="54">
        <v>889000</v>
      </c>
      <c r="H127" s="54">
        <v>889000</v>
      </c>
      <c r="I127" s="54">
        <v>889000</v>
      </c>
      <c r="J127" s="54">
        <v>889000</v>
      </c>
      <c r="K127" s="54">
        <v>889000</v>
      </c>
      <c r="L127" s="54">
        <v>889000</v>
      </c>
      <c r="M127" s="54">
        <v>889000</v>
      </c>
      <c r="N127" s="54">
        <v>889000</v>
      </c>
      <c r="O127" s="54">
        <v>889000</v>
      </c>
      <c r="P127" s="54">
        <v>889000</v>
      </c>
      <c r="Q127" s="54">
        <v>889000</v>
      </c>
      <c r="R127" s="54">
        <v>889000</v>
      </c>
      <c r="S127" s="54">
        <v>889000</v>
      </c>
      <c r="T127" s="54">
        <v>889000</v>
      </c>
      <c r="U127" s="54">
        <v>889000</v>
      </c>
      <c r="V127" s="54">
        <v>889000</v>
      </c>
      <c r="W127" s="54">
        <v>889000</v>
      </c>
      <c r="X127" s="54">
        <v>889000</v>
      </c>
    </row>
    <row r="128" spans="1:24" x14ac:dyDescent="0.3">
      <c r="A128" s="65" t="str">
        <f t="shared" si="47"/>
        <v>ParBoa</v>
      </c>
      <c r="B128" s="66">
        <f>IIASA!B49/B118</f>
        <v>1.0374349376114083</v>
      </c>
      <c r="C128" s="54">
        <f t="shared" ref="C128" si="54">B118*$B128</f>
        <v>582001</v>
      </c>
      <c r="D128" s="54">
        <f t="shared" ref="D128:W128" si="55">C118*$B128</f>
        <v>724648.30392156867</v>
      </c>
      <c r="E128" s="54">
        <f t="shared" si="55"/>
        <v>867295.60784313735</v>
      </c>
      <c r="F128" s="54">
        <f t="shared" si="55"/>
        <v>1046771.8520499109</v>
      </c>
      <c r="G128" s="54">
        <f t="shared" si="55"/>
        <v>1226248.0962566845</v>
      </c>
      <c r="H128" s="54">
        <f t="shared" si="55"/>
        <v>1402612.035650624</v>
      </c>
      <c r="I128" s="54">
        <f t="shared" si="55"/>
        <v>1578975.9750445634</v>
      </c>
      <c r="J128" s="54">
        <f t="shared" si="55"/>
        <v>1727329.1711229947</v>
      </c>
      <c r="K128" s="54">
        <f t="shared" si="55"/>
        <v>1875682.3672014261</v>
      </c>
      <c r="L128" s="54">
        <f t="shared" si="55"/>
        <v>2035447.3475935829</v>
      </c>
      <c r="M128" s="54">
        <f t="shared" si="55"/>
        <v>2195212.3279857398</v>
      </c>
      <c r="N128" s="54">
        <f t="shared" si="55"/>
        <v>2225297.9411764708</v>
      </c>
      <c r="O128" s="54">
        <f t="shared" si="55"/>
        <v>2255383.5543672014</v>
      </c>
      <c r="P128" s="54">
        <f t="shared" si="55"/>
        <v>2279244.5579322642</v>
      </c>
      <c r="Q128" s="54">
        <f t="shared" si="55"/>
        <v>2303105.5614973265</v>
      </c>
      <c r="R128" s="54">
        <f t="shared" si="55"/>
        <v>2381431.8992869877</v>
      </c>
      <c r="S128" s="54">
        <f t="shared" si="55"/>
        <v>2459758.237076649</v>
      </c>
      <c r="T128" s="54">
        <f t="shared" si="55"/>
        <v>2459758.237076649</v>
      </c>
      <c r="U128" s="54">
        <f t="shared" si="55"/>
        <v>2459758.237076649</v>
      </c>
      <c r="V128" s="54">
        <f t="shared" si="55"/>
        <v>2459758.237076649</v>
      </c>
      <c r="W128" s="54">
        <f t="shared" si="55"/>
        <v>2459758.237076649</v>
      </c>
      <c r="X128" s="54">
        <v>2459758.237076649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Z95"/>
  <sheetViews>
    <sheetView zoomScale="55" zoomScaleNormal="55" workbookViewId="0">
      <selection activeCell="B31" sqref="B31"/>
    </sheetView>
  </sheetViews>
  <sheetFormatPr defaultRowHeight="16.5" x14ac:dyDescent="0.3"/>
  <cols>
    <col min="2" max="26" width="14.5" customWidth="1"/>
  </cols>
  <sheetData>
    <row r="1" spans="1:26" ht="14.45" x14ac:dyDescent="0.3">
      <c r="A1" s="3" t="s">
        <v>23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X1">
        <v>22</v>
      </c>
      <c r="Y1">
        <v>23</v>
      </c>
      <c r="Z1">
        <v>24</v>
      </c>
    </row>
    <row r="2" spans="1:26" ht="14.45" x14ac:dyDescent="0.3">
      <c r="A2" s="3" t="s">
        <v>35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X2">
        <v>5</v>
      </c>
      <c r="Y2">
        <v>5</v>
      </c>
      <c r="Z2">
        <v>5</v>
      </c>
    </row>
    <row r="3" spans="1:26" ht="18" x14ac:dyDescent="0.35">
      <c r="A3" s="8" t="s">
        <v>67</v>
      </c>
    </row>
    <row r="4" spans="1:26" ht="14.45" x14ac:dyDescent="0.3">
      <c r="A4" t="str">
        <f>Factors!B2</f>
        <v>PinTim</v>
      </c>
      <c r="B4" s="4">
        <v>0</v>
      </c>
      <c r="C4" s="4">
        <f t="shared" ref="C4:C10" si="0">B4</f>
        <v>0</v>
      </c>
      <c r="D4" s="4">
        <f t="shared" ref="D4:U21" si="1">C4</f>
        <v>0</v>
      </c>
      <c r="E4" s="4">
        <f t="shared" si="1"/>
        <v>0</v>
      </c>
      <c r="F4" s="4">
        <f t="shared" si="1"/>
        <v>0</v>
      </c>
      <c r="G4" s="4">
        <f t="shared" si="1"/>
        <v>0</v>
      </c>
      <c r="H4" s="4">
        <f t="shared" si="1"/>
        <v>0</v>
      </c>
      <c r="I4" s="4">
        <f t="shared" si="1"/>
        <v>0</v>
      </c>
      <c r="J4" s="4">
        <f t="shared" si="1"/>
        <v>0</v>
      </c>
      <c r="K4" s="4">
        <f t="shared" si="1"/>
        <v>0</v>
      </c>
      <c r="L4" s="4">
        <f t="shared" ref="L4:L24" si="2">K4</f>
        <v>0</v>
      </c>
      <c r="M4" s="4">
        <f t="shared" si="1"/>
        <v>0</v>
      </c>
      <c r="N4" s="4">
        <f t="shared" ref="N4:N24" si="3">M4</f>
        <v>0</v>
      </c>
      <c r="O4" s="4">
        <f t="shared" si="1"/>
        <v>0</v>
      </c>
      <c r="P4" s="4">
        <f t="shared" si="1"/>
        <v>0</v>
      </c>
      <c r="Q4" s="4">
        <f t="shared" si="1"/>
        <v>0</v>
      </c>
      <c r="R4" s="4">
        <f t="shared" si="1"/>
        <v>0</v>
      </c>
      <c r="S4" s="4">
        <f t="shared" si="1"/>
        <v>0</v>
      </c>
      <c r="T4" s="4">
        <f t="shared" si="1"/>
        <v>0</v>
      </c>
      <c r="U4" s="4">
        <f t="shared" si="1"/>
        <v>0</v>
      </c>
      <c r="V4" s="4">
        <f t="shared" ref="V4:V10" si="4">U4</f>
        <v>0</v>
      </c>
      <c r="W4" s="4"/>
      <c r="X4" s="4">
        <f t="shared" ref="X4:X10" si="5">V4</f>
        <v>0</v>
      </c>
      <c r="Y4" s="4">
        <f t="shared" ref="Y4:Y10" si="6">X4</f>
        <v>0</v>
      </c>
      <c r="Z4" s="4">
        <f t="shared" ref="Z4:Z10" si="7">Y4</f>
        <v>0</v>
      </c>
    </row>
    <row r="5" spans="1:26" ht="14.45" x14ac:dyDescent="0.3">
      <c r="A5" t="str">
        <f>Factors!B3</f>
        <v>PinPuw</v>
      </c>
      <c r="B5" s="4">
        <v>0</v>
      </c>
      <c r="C5" s="4">
        <f t="shared" si="0"/>
        <v>0</v>
      </c>
      <c r="D5" s="4">
        <f t="shared" ref="D5:K5" si="8">C5</f>
        <v>0</v>
      </c>
      <c r="E5" s="4">
        <f t="shared" si="8"/>
        <v>0</v>
      </c>
      <c r="F5" s="4">
        <f t="shared" si="8"/>
        <v>0</v>
      </c>
      <c r="G5" s="4">
        <f t="shared" si="8"/>
        <v>0</v>
      </c>
      <c r="H5" s="4">
        <f t="shared" si="8"/>
        <v>0</v>
      </c>
      <c r="I5" s="4">
        <f t="shared" si="8"/>
        <v>0</v>
      </c>
      <c r="J5" s="4">
        <f t="shared" si="8"/>
        <v>0</v>
      </c>
      <c r="K5" s="4">
        <f t="shared" si="8"/>
        <v>0</v>
      </c>
      <c r="L5" s="4">
        <f t="shared" si="2"/>
        <v>0</v>
      </c>
      <c r="M5" s="4">
        <f>L5</f>
        <v>0</v>
      </c>
      <c r="N5" s="4">
        <f t="shared" si="3"/>
        <v>0</v>
      </c>
      <c r="O5" s="4">
        <f>N5</f>
        <v>0</v>
      </c>
      <c r="P5" s="4">
        <f>O5</f>
        <v>0</v>
      </c>
      <c r="Q5" s="4">
        <f>P5</f>
        <v>0</v>
      </c>
      <c r="R5" s="4">
        <f>Q5</f>
        <v>0</v>
      </c>
      <c r="S5" s="4">
        <f t="shared" si="1"/>
        <v>0</v>
      </c>
      <c r="T5" s="4">
        <f t="shared" si="1"/>
        <v>0</v>
      </c>
      <c r="U5" s="4">
        <f t="shared" si="1"/>
        <v>0</v>
      </c>
      <c r="V5" s="4">
        <f t="shared" si="4"/>
        <v>0</v>
      </c>
      <c r="W5" s="4"/>
      <c r="X5" s="4">
        <f t="shared" si="5"/>
        <v>0</v>
      </c>
      <c r="Y5" s="4">
        <f t="shared" si="6"/>
        <v>0</v>
      </c>
      <c r="Z5" s="4">
        <f t="shared" si="7"/>
        <v>0</v>
      </c>
    </row>
    <row r="6" spans="1:26" ht="14.45" x14ac:dyDescent="0.3">
      <c r="A6" t="str">
        <f>Factors!B4</f>
        <v>SprTim</v>
      </c>
      <c r="B6" s="4">
        <v>0</v>
      </c>
      <c r="C6" s="4">
        <f t="shared" si="0"/>
        <v>0</v>
      </c>
      <c r="D6" s="4">
        <f t="shared" si="1"/>
        <v>0</v>
      </c>
      <c r="E6" s="4">
        <f t="shared" si="1"/>
        <v>0</v>
      </c>
      <c r="F6" s="4">
        <f t="shared" si="1"/>
        <v>0</v>
      </c>
      <c r="G6" s="4">
        <f t="shared" si="1"/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2"/>
        <v>0</v>
      </c>
      <c r="M6" s="4">
        <f t="shared" si="1"/>
        <v>0</v>
      </c>
      <c r="N6" s="4">
        <f t="shared" si="3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4"/>
        <v>0</v>
      </c>
      <c r="W6" s="4"/>
      <c r="X6" s="4">
        <f t="shared" si="5"/>
        <v>0</v>
      </c>
      <c r="Y6" s="4">
        <f t="shared" si="6"/>
        <v>0</v>
      </c>
      <c r="Z6" s="4">
        <f t="shared" si="7"/>
        <v>0</v>
      </c>
    </row>
    <row r="7" spans="1:26" ht="14.45" x14ac:dyDescent="0.3">
      <c r="A7" t="str">
        <f>Factors!B5</f>
        <v>SprPuw</v>
      </c>
      <c r="B7" s="4">
        <v>0</v>
      </c>
      <c r="C7" s="4">
        <f t="shared" si="0"/>
        <v>0</v>
      </c>
      <c r="D7" s="4">
        <f t="shared" si="1"/>
        <v>0</v>
      </c>
      <c r="E7" s="4">
        <f t="shared" si="1"/>
        <v>0</v>
      </c>
      <c r="F7" s="4">
        <f t="shared" si="1"/>
        <v>0</v>
      </c>
      <c r="G7" s="4">
        <f t="shared" si="1"/>
        <v>0</v>
      </c>
      <c r="H7" s="4">
        <f t="shared" si="1"/>
        <v>0</v>
      </c>
      <c r="I7" s="4">
        <f t="shared" si="1"/>
        <v>0</v>
      </c>
      <c r="J7" s="4">
        <f t="shared" si="1"/>
        <v>0</v>
      </c>
      <c r="K7" s="4">
        <f t="shared" si="1"/>
        <v>0</v>
      </c>
      <c r="L7" s="4">
        <f t="shared" si="2"/>
        <v>0</v>
      </c>
      <c r="M7" s="4">
        <f t="shared" si="1"/>
        <v>0</v>
      </c>
      <c r="N7" s="4">
        <f t="shared" si="3"/>
        <v>0</v>
      </c>
      <c r="O7" s="4">
        <f t="shared" si="1"/>
        <v>0</v>
      </c>
      <c r="P7" s="4">
        <f t="shared" si="1"/>
        <v>0</v>
      </c>
      <c r="Q7" s="4">
        <f t="shared" si="1"/>
        <v>0</v>
      </c>
      <c r="R7" s="4">
        <f t="shared" si="1"/>
        <v>0</v>
      </c>
      <c r="S7" s="4">
        <f t="shared" si="1"/>
        <v>0</v>
      </c>
      <c r="T7" s="4">
        <f t="shared" si="1"/>
        <v>0</v>
      </c>
      <c r="U7" s="4">
        <f t="shared" si="1"/>
        <v>0</v>
      </c>
      <c r="V7" s="4">
        <f t="shared" si="4"/>
        <v>0</v>
      </c>
      <c r="W7" s="4"/>
      <c r="X7" s="4">
        <f t="shared" si="5"/>
        <v>0</v>
      </c>
      <c r="Y7" s="4">
        <f t="shared" si="6"/>
        <v>0</v>
      </c>
      <c r="Z7" s="4">
        <f t="shared" si="7"/>
        <v>0</v>
      </c>
    </row>
    <row r="8" spans="1:26" ht="14.45" x14ac:dyDescent="0.3">
      <c r="A8" t="str">
        <f>Factors!B6</f>
        <v>Decids</v>
      </c>
      <c r="B8" s="4">
        <v>0</v>
      </c>
      <c r="C8" s="4">
        <f t="shared" si="0"/>
        <v>0</v>
      </c>
      <c r="D8" s="4">
        <f t="shared" si="1"/>
        <v>0</v>
      </c>
      <c r="E8" s="4">
        <f t="shared" si="1"/>
        <v>0</v>
      </c>
      <c r="F8" s="4">
        <f t="shared" si="1"/>
        <v>0</v>
      </c>
      <c r="G8" s="4">
        <f t="shared" si="1"/>
        <v>0</v>
      </c>
      <c r="H8" s="4">
        <f t="shared" si="1"/>
        <v>0</v>
      </c>
      <c r="I8" s="4">
        <f t="shared" si="1"/>
        <v>0</v>
      </c>
      <c r="J8" s="4">
        <f t="shared" si="1"/>
        <v>0</v>
      </c>
      <c r="K8" s="4">
        <f t="shared" si="1"/>
        <v>0</v>
      </c>
      <c r="L8" s="4">
        <f t="shared" si="2"/>
        <v>0</v>
      </c>
      <c r="M8" s="4">
        <f t="shared" si="1"/>
        <v>0</v>
      </c>
      <c r="N8" s="4">
        <f t="shared" si="3"/>
        <v>0</v>
      </c>
      <c r="O8" s="4">
        <f t="shared" si="1"/>
        <v>0</v>
      </c>
      <c r="P8" s="4">
        <f t="shared" si="1"/>
        <v>0</v>
      </c>
      <c r="Q8" s="4">
        <f t="shared" si="1"/>
        <v>0</v>
      </c>
      <c r="R8" s="4">
        <f t="shared" si="1"/>
        <v>0</v>
      </c>
      <c r="S8" s="4">
        <f t="shared" si="1"/>
        <v>0</v>
      </c>
      <c r="T8" s="4">
        <f t="shared" si="1"/>
        <v>0</v>
      </c>
      <c r="U8" s="4">
        <f t="shared" si="1"/>
        <v>0</v>
      </c>
      <c r="V8" s="4">
        <f t="shared" si="4"/>
        <v>0</v>
      </c>
      <c r="W8" s="4"/>
      <c r="X8" s="4">
        <f t="shared" si="5"/>
        <v>0</v>
      </c>
      <c r="Y8" s="4">
        <f t="shared" si="6"/>
        <v>0</v>
      </c>
      <c r="Z8" s="4">
        <f t="shared" si="7"/>
        <v>0</v>
      </c>
    </row>
    <row r="9" spans="1:26" ht="14.45" x14ac:dyDescent="0.3">
      <c r="A9" t="str">
        <f>Factors!B7</f>
        <v>Sawdst</v>
      </c>
      <c r="B9" s="4">
        <v>0</v>
      </c>
      <c r="C9" s="4">
        <f t="shared" si="0"/>
        <v>0</v>
      </c>
      <c r="D9" s="4">
        <f t="shared" si="1"/>
        <v>0</v>
      </c>
      <c r="E9" s="4">
        <f t="shared" si="1"/>
        <v>0</v>
      </c>
      <c r="F9" s="4">
        <f t="shared" si="1"/>
        <v>0</v>
      </c>
      <c r="G9" s="4">
        <f t="shared" si="1"/>
        <v>0</v>
      </c>
      <c r="H9" s="4">
        <f t="shared" si="1"/>
        <v>0</v>
      </c>
      <c r="I9" s="4">
        <f t="shared" si="1"/>
        <v>0</v>
      </c>
      <c r="J9" s="4">
        <f t="shared" si="1"/>
        <v>0</v>
      </c>
      <c r="K9" s="4">
        <f t="shared" si="1"/>
        <v>0</v>
      </c>
      <c r="L9" s="4">
        <f t="shared" si="2"/>
        <v>0</v>
      </c>
      <c r="M9" s="4">
        <f t="shared" si="1"/>
        <v>0</v>
      </c>
      <c r="N9" s="4">
        <f t="shared" si="3"/>
        <v>0</v>
      </c>
      <c r="O9" s="4">
        <f t="shared" si="1"/>
        <v>0</v>
      </c>
      <c r="P9" s="4">
        <f t="shared" si="1"/>
        <v>0</v>
      </c>
      <c r="Q9" s="4">
        <f t="shared" si="1"/>
        <v>0</v>
      </c>
      <c r="R9" s="4">
        <f t="shared" si="1"/>
        <v>0</v>
      </c>
      <c r="S9" s="4">
        <f t="shared" si="1"/>
        <v>0</v>
      </c>
      <c r="T9" s="4">
        <f t="shared" si="1"/>
        <v>0</v>
      </c>
      <c r="U9" s="4">
        <f t="shared" si="1"/>
        <v>0</v>
      </c>
      <c r="V9" s="4">
        <f t="shared" si="4"/>
        <v>0</v>
      </c>
      <c r="W9" s="4"/>
      <c r="X9" s="4">
        <f t="shared" si="5"/>
        <v>0</v>
      </c>
      <c r="Y9" s="4">
        <f t="shared" si="6"/>
        <v>0</v>
      </c>
      <c r="Z9" s="4">
        <f t="shared" si="7"/>
        <v>0</v>
      </c>
    </row>
    <row r="10" spans="1:26" ht="14.45" x14ac:dyDescent="0.3">
      <c r="A10" t="str">
        <f>Factors!B8</f>
        <v>Chips_</v>
      </c>
      <c r="B10" s="4">
        <v>0</v>
      </c>
      <c r="C10" s="4">
        <f t="shared" si="0"/>
        <v>0</v>
      </c>
      <c r="D10" s="4">
        <f t="shared" si="1"/>
        <v>0</v>
      </c>
      <c r="E10" s="4">
        <f t="shared" si="1"/>
        <v>0</v>
      </c>
      <c r="F10" s="4">
        <f t="shared" si="1"/>
        <v>0</v>
      </c>
      <c r="G10" s="4">
        <f t="shared" si="1"/>
        <v>0</v>
      </c>
      <c r="H10" s="4">
        <f t="shared" si="1"/>
        <v>0</v>
      </c>
      <c r="I10" s="4">
        <f t="shared" si="1"/>
        <v>0</v>
      </c>
      <c r="J10" s="4">
        <f t="shared" si="1"/>
        <v>0</v>
      </c>
      <c r="K10" s="4">
        <f t="shared" si="1"/>
        <v>0</v>
      </c>
      <c r="L10" s="4">
        <f t="shared" si="2"/>
        <v>0</v>
      </c>
      <c r="M10" s="4">
        <f t="shared" si="1"/>
        <v>0</v>
      </c>
      <c r="N10" s="4">
        <f t="shared" si="3"/>
        <v>0</v>
      </c>
      <c r="O10" s="4">
        <f t="shared" si="1"/>
        <v>0</v>
      </c>
      <c r="P10" s="4">
        <f t="shared" si="1"/>
        <v>0</v>
      </c>
      <c r="Q10" s="4">
        <f t="shared" si="1"/>
        <v>0</v>
      </c>
      <c r="R10" s="4">
        <f t="shared" si="1"/>
        <v>0</v>
      </c>
      <c r="S10" s="4">
        <f t="shared" si="1"/>
        <v>0</v>
      </c>
      <c r="T10" s="4">
        <f t="shared" si="1"/>
        <v>0</v>
      </c>
      <c r="U10" s="4">
        <f t="shared" si="1"/>
        <v>0</v>
      </c>
      <c r="V10" s="4">
        <f t="shared" si="4"/>
        <v>0</v>
      </c>
      <c r="W10" s="4"/>
      <c r="X10" s="4">
        <f t="shared" si="5"/>
        <v>0</v>
      </c>
      <c r="Y10" s="4">
        <f t="shared" si="6"/>
        <v>0</v>
      </c>
      <c r="Z10" s="4">
        <f t="shared" si="7"/>
        <v>0</v>
      </c>
    </row>
    <row r="11" spans="1:26" ht="14.45" x14ac:dyDescent="0.3">
      <c r="A11" t="str">
        <f>Factors!B9</f>
        <v>ResStm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/>
      <c r="X11" s="4">
        <v>0</v>
      </c>
      <c r="Y11" s="4">
        <v>0</v>
      </c>
      <c r="Z11" s="4">
        <v>0</v>
      </c>
    </row>
    <row r="12" spans="1:26" ht="14.45" x14ac:dyDescent="0.3">
      <c r="A12" t="str">
        <f>Factors!B10</f>
        <v>ResRot</v>
      </c>
      <c r="B12" s="5">
        <v>2152.3303600805457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/>
      <c r="X12" s="4">
        <v>0</v>
      </c>
      <c r="Y12" s="4">
        <v>0</v>
      </c>
      <c r="Z12" s="4">
        <v>0</v>
      </c>
    </row>
    <row r="13" spans="1:26" ht="14.45" x14ac:dyDescent="0.3">
      <c r="A13" t="str">
        <f>Factors!B11</f>
        <v>Sawnwd</v>
      </c>
      <c r="B13" s="5">
        <v>111</v>
      </c>
      <c r="C13" s="4">
        <f t="shared" ref="C13:C24" si="9">B13</f>
        <v>111</v>
      </c>
      <c r="D13" s="4">
        <f t="shared" si="1"/>
        <v>111</v>
      </c>
      <c r="E13" s="4">
        <f t="shared" si="1"/>
        <v>111</v>
      </c>
      <c r="F13" s="4">
        <f t="shared" si="1"/>
        <v>111</v>
      </c>
      <c r="G13" s="4">
        <f t="shared" si="1"/>
        <v>111</v>
      </c>
      <c r="H13" s="4">
        <f t="shared" si="1"/>
        <v>111</v>
      </c>
      <c r="I13" s="4">
        <f t="shared" si="1"/>
        <v>111</v>
      </c>
      <c r="J13" s="4">
        <f t="shared" si="1"/>
        <v>111</v>
      </c>
      <c r="K13" s="4">
        <f t="shared" si="1"/>
        <v>111</v>
      </c>
      <c r="L13" s="4">
        <f t="shared" si="2"/>
        <v>111</v>
      </c>
      <c r="M13" s="4">
        <f t="shared" si="1"/>
        <v>111</v>
      </c>
      <c r="N13" s="4">
        <f t="shared" si="3"/>
        <v>111</v>
      </c>
      <c r="O13" s="4">
        <f t="shared" si="1"/>
        <v>111</v>
      </c>
      <c r="P13" s="4">
        <f t="shared" si="1"/>
        <v>111</v>
      </c>
      <c r="Q13" s="4">
        <f t="shared" si="1"/>
        <v>111</v>
      </c>
      <c r="R13" s="4">
        <f t="shared" si="1"/>
        <v>111</v>
      </c>
      <c r="S13" s="4">
        <f t="shared" si="1"/>
        <v>111</v>
      </c>
      <c r="T13" s="4">
        <f t="shared" si="1"/>
        <v>111</v>
      </c>
      <c r="U13" s="4">
        <f t="shared" si="1"/>
        <v>111</v>
      </c>
      <c r="V13" s="4">
        <f t="shared" ref="V13:V24" si="10">U13</f>
        <v>111</v>
      </c>
      <c r="W13" s="4"/>
      <c r="X13" s="4">
        <f t="shared" ref="X13:X24" si="11">V13</f>
        <v>111</v>
      </c>
      <c r="Y13" s="4">
        <f t="shared" ref="Y13:Y24" si="12">X13</f>
        <v>111</v>
      </c>
      <c r="Z13" s="4">
        <f t="shared" ref="Z13:Z24" si="13">Y13</f>
        <v>111</v>
      </c>
    </row>
    <row r="14" spans="1:26" ht="14.45" x14ac:dyDescent="0.3">
      <c r="A14" t="e">
        <f>Factors!#REF!</f>
        <v>#REF!</v>
      </c>
      <c r="B14" s="4">
        <v>3000</v>
      </c>
      <c r="C14" s="4">
        <v>3000</v>
      </c>
      <c r="D14" s="4">
        <v>3000</v>
      </c>
      <c r="E14" s="4">
        <v>3000</v>
      </c>
      <c r="F14" s="4">
        <v>3000</v>
      </c>
      <c r="G14" s="4">
        <v>3000</v>
      </c>
      <c r="H14" s="4">
        <v>3000</v>
      </c>
      <c r="I14" s="4">
        <v>3000</v>
      </c>
      <c r="J14" s="4">
        <v>3000</v>
      </c>
      <c r="K14" s="4">
        <v>3000</v>
      </c>
      <c r="L14" s="4">
        <v>3000</v>
      </c>
      <c r="M14" s="4">
        <v>3000</v>
      </c>
      <c r="N14" s="4">
        <v>3000</v>
      </c>
      <c r="O14" s="4">
        <v>3000</v>
      </c>
      <c r="P14" s="4">
        <v>3000</v>
      </c>
      <c r="Q14" s="4">
        <v>3000</v>
      </c>
      <c r="R14" s="4">
        <v>3000</v>
      </c>
      <c r="S14" s="4">
        <v>3000</v>
      </c>
      <c r="T14" s="4">
        <v>3000</v>
      </c>
      <c r="U14" s="4">
        <v>3000</v>
      </c>
      <c r="V14" s="4">
        <v>3000</v>
      </c>
      <c r="W14" s="4"/>
      <c r="X14" s="4">
        <v>3000</v>
      </c>
      <c r="Y14" s="4">
        <v>3000</v>
      </c>
      <c r="Z14" s="4">
        <v>3000</v>
      </c>
    </row>
    <row r="15" spans="1:26" ht="14.45" x14ac:dyDescent="0.3">
      <c r="A15" t="str">
        <f>Factors!B12</f>
        <v>Heat__</v>
      </c>
      <c r="B15" s="4">
        <v>600</v>
      </c>
      <c r="C15" s="4">
        <f t="shared" si="9"/>
        <v>600</v>
      </c>
      <c r="D15" s="4">
        <f t="shared" si="1"/>
        <v>600</v>
      </c>
      <c r="E15" s="4">
        <f t="shared" si="1"/>
        <v>600</v>
      </c>
      <c r="F15" s="4">
        <f t="shared" si="1"/>
        <v>600</v>
      </c>
      <c r="G15" s="4">
        <f t="shared" si="1"/>
        <v>600</v>
      </c>
      <c r="H15" s="4">
        <f t="shared" si="1"/>
        <v>600</v>
      </c>
      <c r="I15" s="4">
        <f t="shared" si="1"/>
        <v>600</v>
      </c>
      <c r="J15" s="4">
        <f t="shared" si="1"/>
        <v>600</v>
      </c>
      <c r="K15" s="4">
        <f t="shared" si="1"/>
        <v>600</v>
      </c>
      <c r="L15" s="4">
        <f t="shared" si="2"/>
        <v>600</v>
      </c>
      <c r="M15" s="4">
        <f t="shared" si="1"/>
        <v>600</v>
      </c>
      <c r="N15" s="4">
        <f t="shared" si="3"/>
        <v>600</v>
      </c>
      <c r="O15" s="4">
        <f t="shared" si="1"/>
        <v>600</v>
      </c>
      <c r="P15" s="4">
        <f t="shared" si="1"/>
        <v>600</v>
      </c>
      <c r="Q15" s="4">
        <f t="shared" si="1"/>
        <v>600</v>
      </c>
      <c r="R15" s="4">
        <f t="shared" si="1"/>
        <v>600</v>
      </c>
      <c r="S15" s="4">
        <f t="shared" si="1"/>
        <v>600</v>
      </c>
      <c r="T15" s="4">
        <f t="shared" si="1"/>
        <v>600</v>
      </c>
      <c r="U15" s="4">
        <f t="shared" si="1"/>
        <v>600</v>
      </c>
      <c r="V15" s="4">
        <f t="shared" si="10"/>
        <v>600</v>
      </c>
      <c r="W15" s="4"/>
      <c r="X15" s="4">
        <f t="shared" si="11"/>
        <v>600</v>
      </c>
      <c r="Y15" s="4">
        <f t="shared" si="12"/>
        <v>600</v>
      </c>
      <c r="Z15" s="4">
        <f t="shared" si="13"/>
        <v>600</v>
      </c>
    </row>
    <row r="16" spans="1:26" ht="14.45" x14ac:dyDescent="0.3">
      <c r="A16" t="str">
        <f>Factors!B13</f>
        <v>Electr</v>
      </c>
      <c r="B16" s="4">
        <v>651</v>
      </c>
      <c r="C16" s="4">
        <f t="shared" si="9"/>
        <v>651</v>
      </c>
      <c r="D16" s="4">
        <f t="shared" si="1"/>
        <v>651</v>
      </c>
      <c r="E16" s="4">
        <f t="shared" si="1"/>
        <v>651</v>
      </c>
      <c r="F16" s="4">
        <f t="shared" si="1"/>
        <v>651</v>
      </c>
      <c r="G16" s="4">
        <f t="shared" si="1"/>
        <v>651</v>
      </c>
      <c r="H16" s="4">
        <f t="shared" si="1"/>
        <v>651</v>
      </c>
      <c r="I16" s="4">
        <f t="shared" si="1"/>
        <v>651</v>
      </c>
      <c r="J16" s="4">
        <f t="shared" si="1"/>
        <v>651</v>
      </c>
      <c r="K16" s="4">
        <f t="shared" si="1"/>
        <v>651</v>
      </c>
      <c r="L16" s="4">
        <f t="shared" si="2"/>
        <v>651</v>
      </c>
      <c r="M16" s="4">
        <f t="shared" si="1"/>
        <v>651</v>
      </c>
      <c r="N16" s="4">
        <f t="shared" si="3"/>
        <v>651</v>
      </c>
      <c r="O16" s="4">
        <f t="shared" si="1"/>
        <v>651</v>
      </c>
      <c r="P16" s="4">
        <f t="shared" si="1"/>
        <v>651</v>
      </c>
      <c r="Q16" s="4">
        <f t="shared" si="1"/>
        <v>651</v>
      </c>
      <c r="R16" s="4">
        <f t="shared" si="1"/>
        <v>651</v>
      </c>
      <c r="S16" s="4">
        <f t="shared" si="1"/>
        <v>651</v>
      </c>
      <c r="T16" s="4">
        <f t="shared" si="1"/>
        <v>651</v>
      </c>
      <c r="U16" s="4">
        <f t="shared" si="1"/>
        <v>651</v>
      </c>
      <c r="V16" s="4">
        <f t="shared" si="10"/>
        <v>651</v>
      </c>
      <c r="W16" s="4"/>
      <c r="X16" s="4">
        <f t="shared" si="11"/>
        <v>651</v>
      </c>
      <c r="Y16" s="4">
        <f t="shared" si="12"/>
        <v>651</v>
      </c>
      <c r="Z16" s="4">
        <f t="shared" si="13"/>
        <v>651</v>
      </c>
    </row>
    <row r="17" spans="1:26" ht="14.45" x14ac:dyDescent="0.3">
      <c r="A17" t="str">
        <f>Factors!B14</f>
        <v>BioFue</v>
      </c>
      <c r="B17" s="4">
        <v>650</v>
      </c>
      <c r="C17" s="4">
        <f t="shared" ref="C17:U17" si="14">B17</f>
        <v>650</v>
      </c>
      <c r="D17" s="4">
        <f t="shared" si="14"/>
        <v>650</v>
      </c>
      <c r="E17" s="4">
        <f t="shared" si="14"/>
        <v>650</v>
      </c>
      <c r="F17" s="4">
        <f t="shared" si="14"/>
        <v>650</v>
      </c>
      <c r="G17" s="4">
        <f t="shared" si="14"/>
        <v>650</v>
      </c>
      <c r="H17" s="4">
        <f t="shared" si="14"/>
        <v>650</v>
      </c>
      <c r="I17" s="4">
        <f t="shared" si="14"/>
        <v>650</v>
      </c>
      <c r="J17" s="4">
        <f t="shared" si="14"/>
        <v>650</v>
      </c>
      <c r="K17" s="4">
        <f t="shared" si="14"/>
        <v>650</v>
      </c>
      <c r="L17" s="4">
        <f t="shared" si="14"/>
        <v>650</v>
      </c>
      <c r="M17" s="4">
        <f t="shared" si="14"/>
        <v>650</v>
      </c>
      <c r="N17" s="4">
        <f t="shared" si="14"/>
        <v>650</v>
      </c>
      <c r="O17" s="4">
        <f t="shared" si="14"/>
        <v>650</v>
      </c>
      <c r="P17" s="4">
        <f t="shared" si="14"/>
        <v>650</v>
      </c>
      <c r="Q17" s="4">
        <f t="shared" si="14"/>
        <v>650</v>
      </c>
      <c r="R17" s="4">
        <f t="shared" si="14"/>
        <v>650</v>
      </c>
      <c r="S17" s="4">
        <f t="shared" si="14"/>
        <v>650</v>
      </c>
      <c r="T17" s="4">
        <f t="shared" si="14"/>
        <v>650</v>
      </c>
      <c r="U17" s="4">
        <f t="shared" si="14"/>
        <v>650</v>
      </c>
      <c r="V17" s="4">
        <f t="shared" si="10"/>
        <v>650</v>
      </c>
      <c r="W17" s="4"/>
      <c r="X17" s="4">
        <f t="shared" si="11"/>
        <v>650</v>
      </c>
      <c r="Y17" s="4">
        <f t="shared" si="12"/>
        <v>650</v>
      </c>
      <c r="Z17" s="4">
        <f t="shared" si="13"/>
        <v>650</v>
      </c>
    </row>
    <row r="18" spans="1:26" ht="14.45" x14ac:dyDescent="0.3">
      <c r="A18" t="str">
        <f>Factors!B15</f>
        <v>PuChem</v>
      </c>
      <c r="B18" s="5">
        <v>5671.6872449494358</v>
      </c>
      <c r="C18" s="4">
        <f t="shared" si="9"/>
        <v>5671.6872449494358</v>
      </c>
      <c r="D18" s="4">
        <f t="shared" si="1"/>
        <v>5671.6872449494358</v>
      </c>
      <c r="E18" s="4">
        <f t="shared" si="1"/>
        <v>5671.6872449494358</v>
      </c>
      <c r="F18" s="4">
        <f t="shared" si="1"/>
        <v>5671.6872449494358</v>
      </c>
      <c r="G18" s="4">
        <f t="shared" si="1"/>
        <v>5671.6872449494358</v>
      </c>
      <c r="H18" s="4">
        <f t="shared" si="1"/>
        <v>5671.6872449494358</v>
      </c>
      <c r="I18" s="4">
        <f t="shared" si="1"/>
        <v>5671.6872449494358</v>
      </c>
      <c r="J18" s="4">
        <f t="shared" si="1"/>
        <v>5671.6872449494358</v>
      </c>
      <c r="K18" s="4">
        <f t="shared" si="1"/>
        <v>5671.6872449494358</v>
      </c>
      <c r="L18" s="4">
        <f t="shared" si="2"/>
        <v>5671.6872449494358</v>
      </c>
      <c r="M18" s="4">
        <f t="shared" si="1"/>
        <v>5671.6872449494358</v>
      </c>
      <c r="N18" s="4">
        <f t="shared" si="3"/>
        <v>5671.6872449494358</v>
      </c>
      <c r="O18" s="4">
        <f t="shared" si="1"/>
        <v>5671.6872449494358</v>
      </c>
      <c r="P18" s="4">
        <f t="shared" si="1"/>
        <v>5671.6872449494358</v>
      </c>
      <c r="Q18" s="4">
        <f t="shared" si="1"/>
        <v>5671.6872449494358</v>
      </c>
      <c r="R18" s="4">
        <f t="shared" si="1"/>
        <v>5671.6872449494358</v>
      </c>
      <c r="S18" s="4">
        <f t="shared" si="1"/>
        <v>5671.6872449494358</v>
      </c>
      <c r="T18" s="4">
        <f t="shared" si="1"/>
        <v>5671.6872449494358</v>
      </c>
      <c r="U18" s="4">
        <f t="shared" si="1"/>
        <v>5671.6872449494358</v>
      </c>
      <c r="V18" s="4">
        <f t="shared" si="10"/>
        <v>5671.6872449494358</v>
      </c>
      <c r="W18" s="4"/>
      <c r="X18" s="4">
        <f t="shared" si="11"/>
        <v>5671.6872449494358</v>
      </c>
      <c r="Y18" s="4">
        <f t="shared" si="12"/>
        <v>5671.6872449494358</v>
      </c>
      <c r="Z18" s="4">
        <f t="shared" si="13"/>
        <v>5671.6872449494358</v>
      </c>
    </row>
    <row r="19" spans="1:26" ht="14.45" x14ac:dyDescent="0.3">
      <c r="A19" t="str">
        <f>Factors!B16</f>
        <v>PuMech</v>
      </c>
      <c r="B19" s="5">
        <v>4521.8222798989136</v>
      </c>
      <c r="C19" s="4">
        <f t="shared" si="9"/>
        <v>4521.8222798989136</v>
      </c>
      <c r="D19" s="4">
        <f t="shared" si="1"/>
        <v>4521.8222798989136</v>
      </c>
      <c r="E19" s="4">
        <f t="shared" si="1"/>
        <v>4521.8222798989136</v>
      </c>
      <c r="F19" s="4">
        <f t="shared" si="1"/>
        <v>4521.8222798989136</v>
      </c>
      <c r="G19" s="4">
        <f t="shared" si="1"/>
        <v>4521.8222798989136</v>
      </c>
      <c r="H19" s="4">
        <f t="shared" si="1"/>
        <v>4521.8222798989136</v>
      </c>
      <c r="I19" s="4">
        <f t="shared" si="1"/>
        <v>4521.8222798989136</v>
      </c>
      <c r="J19" s="4">
        <f t="shared" si="1"/>
        <v>4521.8222798989136</v>
      </c>
      <c r="K19" s="4">
        <f t="shared" si="1"/>
        <v>4521.8222798989136</v>
      </c>
      <c r="L19" s="4">
        <f t="shared" si="2"/>
        <v>4521.8222798989136</v>
      </c>
      <c r="M19" s="4">
        <f t="shared" si="1"/>
        <v>4521.8222798989136</v>
      </c>
      <c r="N19" s="4">
        <f t="shared" si="3"/>
        <v>4521.8222798989136</v>
      </c>
      <c r="O19" s="4">
        <f t="shared" si="1"/>
        <v>4521.8222798989136</v>
      </c>
      <c r="P19" s="4">
        <f t="shared" si="1"/>
        <v>4521.8222798989136</v>
      </c>
      <c r="Q19" s="4">
        <f t="shared" si="1"/>
        <v>4521.8222798989136</v>
      </c>
      <c r="R19" s="4">
        <f t="shared" si="1"/>
        <v>4521.8222798989136</v>
      </c>
      <c r="S19" s="4">
        <f t="shared" si="1"/>
        <v>4521.8222798989136</v>
      </c>
      <c r="T19" s="4">
        <f t="shared" si="1"/>
        <v>4521.8222798989136</v>
      </c>
      <c r="U19" s="4">
        <f t="shared" si="1"/>
        <v>4521.8222798989136</v>
      </c>
      <c r="V19" s="4">
        <f t="shared" si="10"/>
        <v>4521.8222798989136</v>
      </c>
      <c r="W19" s="4"/>
      <c r="X19" s="4">
        <f t="shared" si="11"/>
        <v>4521.8222798989136</v>
      </c>
      <c r="Y19" s="4">
        <f t="shared" si="12"/>
        <v>4521.8222798989136</v>
      </c>
      <c r="Z19" s="4">
        <f t="shared" si="13"/>
        <v>4521.8222798989136</v>
      </c>
    </row>
    <row r="20" spans="1:26" ht="14.45" x14ac:dyDescent="0.3">
      <c r="A20" t="str">
        <f>Factors!B17</f>
        <v>PuDiss</v>
      </c>
      <c r="B20" s="5">
        <v>7543.8622572003678</v>
      </c>
      <c r="C20" s="4">
        <f t="shared" si="9"/>
        <v>7543.8622572003678</v>
      </c>
      <c r="D20" s="4">
        <f t="shared" si="1"/>
        <v>7543.8622572003678</v>
      </c>
      <c r="E20" s="4">
        <f t="shared" si="1"/>
        <v>7543.8622572003678</v>
      </c>
      <c r="F20" s="4">
        <f t="shared" si="1"/>
        <v>7543.8622572003678</v>
      </c>
      <c r="G20" s="4">
        <f t="shared" si="1"/>
        <v>7543.8622572003678</v>
      </c>
      <c r="H20" s="4">
        <f t="shared" si="1"/>
        <v>7543.8622572003678</v>
      </c>
      <c r="I20" s="4">
        <f t="shared" si="1"/>
        <v>7543.8622572003678</v>
      </c>
      <c r="J20" s="4">
        <f t="shared" si="1"/>
        <v>7543.8622572003678</v>
      </c>
      <c r="K20" s="4">
        <f t="shared" si="1"/>
        <v>7543.8622572003678</v>
      </c>
      <c r="L20" s="4">
        <f t="shared" si="2"/>
        <v>7543.8622572003678</v>
      </c>
      <c r="M20" s="4">
        <f t="shared" si="1"/>
        <v>7543.8622572003678</v>
      </c>
      <c r="N20" s="4">
        <f t="shared" si="3"/>
        <v>7543.8622572003678</v>
      </c>
      <c r="O20" s="4">
        <f t="shared" si="1"/>
        <v>7543.8622572003678</v>
      </c>
      <c r="P20" s="4">
        <f t="shared" si="1"/>
        <v>7543.8622572003678</v>
      </c>
      <c r="Q20" s="4">
        <f t="shared" si="1"/>
        <v>7543.8622572003678</v>
      </c>
      <c r="R20" s="4">
        <f t="shared" si="1"/>
        <v>7543.8622572003678</v>
      </c>
      <c r="S20" s="4">
        <f t="shared" si="1"/>
        <v>7543.8622572003678</v>
      </c>
      <c r="T20" s="4">
        <f t="shared" si="1"/>
        <v>7543.8622572003678</v>
      </c>
      <c r="U20" s="4">
        <f t="shared" si="1"/>
        <v>7543.8622572003678</v>
      </c>
      <c r="V20" s="4">
        <f t="shared" si="10"/>
        <v>7543.8622572003678</v>
      </c>
      <c r="W20" s="4"/>
      <c r="X20" s="4">
        <f t="shared" si="11"/>
        <v>7543.8622572003678</v>
      </c>
      <c r="Y20" s="4">
        <f t="shared" si="12"/>
        <v>7543.8622572003678</v>
      </c>
      <c r="Z20" s="4">
        <f t="shared" si="13"/>
        <v>7543.8622572003678</v>
      </c>
    </row>
    <row r="21" spans="1:26" ht="14.45" x14ac:dyDescent="0.3">
      <c r="A21" t="str">
        <f>Factors!B18</f>
        <v>PaChem</v>
      </c>
      <c r="B21" s="5">
        <v>7987.3416225966739</v>
      </c>
      <c r="C21" s="4">
        <f t="shared" si="9"/>
        <v>7987.3416225966739</v>
      </c>
      <c r="D21" s="4">
        <f t="shared" si="1"/>
        <v>7987.3416225966739</v>
      </c>
      <c r="E21" s="4">
        <f t="shared" si="1"/>
        <v>7987.3416225966739</v>
      </c>
      <c r="F21" s="4">
        <f t="shared" si="1"/>
        <v>7987.3416225966739</v>
      </c>
      <c r="G21" s="4">
        <f t="shared" si="1"/>
        <v>7987.3416225966739</v>
      </c>
      <c r="H21" s="4">
        <f t="shared" si="1"/>
        <v>7987.3416225966739</v>
      </c>
      <c r="I21" s="4">
        <f t="shared" si="1"/>
        <v>7987.3416225966739</v>
      </c>
      <c r="J21" s="4">
        <f t="shared" si="1"/>
        <v>7987.3416225966739</v>
      </c>
      <c r="K21" s="4">
        <f t="shared" si="1"/>
        <v>7987.3416225966739</v>
      </c>
      <c r="L21" s="4">
        <f t="shared" si="2"/>
        <v>7987.3416225966739</v>
      </c>
      <c r="M21" s="4">
        <f t="shared" si="1"/>
        <v>7987.3416225966739</v>
      </c>
      <c r="N21" s="4">
        <f t="shared" si="3"/>
        <v>7987.3416225966739</v>
      </c>
      <c r="O21" s="4">
        <f t="shared" si="1"/>
        <v>7987.3416225966739</v>
      </c>
      <c r="P21" s="4">
        <f t="shared" si="1"/>
        <v>7987.3416225966739</v>
      </c>
      <c r="Q21" s="4">
        <f t="shared" si="1"/>
        <v>7987.3416225966739</v>
      </c>
      <c r="R21" s="4">
        <f t="shared" si="1"/>
        <v>7987.3416225966739</v>
      </c>
      <c r="S21" s="4">
        <f t="shared" si="1"/>
        <v>7987.3416225966739</v>
      </c>
      <c r="T21" s="4">
        <f t="shared" si="1"/>
        <v>7987.3416225966739</v>
      </c>
      <c r="U21" s="4">
        <f t="shared" si="1"/>
        <v>7987.3416225966739</v>
      </c>
      <c r="V21" s="4">
        <f t="shared" si="10"/>
        <v>7987.3416225966739</v>
      </c>
      <c r="W21" s="4"/>
      <c r="X21" s="4">
        <f t="shared" si="11"/>
        <v>7987.3416225966739</v>
      </c>
      <c r="Y21" s="4">
        <f t="shared" si="12"/>
        <v>7987.3416225966739</v>
      </c>
      <c r="Z21" s="4">
        <f t="shared" si="13"/>
        <v>7987.3416225966739</v>
      </c>
    </row>
    <row r="22" spans="1:26" ht="14.45" x14ac:dyDescent="0.3">
      <c r="A22" t="str">
        <f>Factors!B19</f>
        <v>OtChem</v>
      </c>
      <c r="B22" s="5">
        <v>8979.0977576808982</v>
      </c>
      <c r="C22" s="4">
        <f t="shared" si="9"/>
        <v>8979.0977576808982</v>
      </c>
      <c r="D22" s="4">
        <f t="shared" ref="D22:U24" si="15">C22</f>
        <v>8979.0977576808982</v>
      </c>
      <c r="E22" s="4">
        <f t="shared" si="15"/>
        <v>8979.0977576808982</v>
      </c>
      <c r="F22" s="4">
        <f t="shared" si="15"/>
        <v>8979.0977576808982</v>
      </c>
      <c r="G22" s="4">
        <f t="shared" si="15"/>
        <v>8979.0977576808982</v>
      </c>
      <c r="H22" s="4">
        <f t="shared" si="15"/>
        <v>8979.0977576808982</v>
      </c>
      <c r="I22" s="4">
        <f t="shared" si="15"/>
        <v>8979.0977576808982</v>
      </c>
      <c r="J22" s="4">
        <f t="shared" si="15"/>
        <v>8979.0977576808982</v>
      </c>
      <c r="K22" s="4">
        <f t="shared" si="15"/>
        <v>8979.0977576808982</v>
      </c>
      <c r="L22" s="4">
        <f t="shared" si="2"/>
        <v>8979.0977576808982</v>
      </c>
      <c r="M22" s="4">
        <f t="shared" si="15"/>
        <v>8979.0977576808982</v>
      </c>
      <c r="N22" s="4">
        <f t="shared" si="3"/>
        <v>8979.0977576808982</v>
      </c>
      <c r="O22" s="4">
        <f t="shared" si="15"/>
        <v>8979.0977576808982</v>
      </c>
      <c r="P22" s="4">
        <f t="shared" si="15"/>
        <v>8979.0977576808982</v>
      </c>
      <c r="Q22" s="4">
        <f t="shared" si="15"/>
        <v>8979.0977576808982</v>
      </c>
      <c r="R22" s="4">
        <f t="shared" si="15"/>
        <v>8979.0977576808982</v>
      </c>
      <c r="S22" s="4">
        <f t="shared" si="15"/>
        <v>8979.0977576808982</v>
      </c>
      <c r="T22" s="4">
        <f t="shared" si="15"/>
        <v>8979.0977576808982</v>
      </c>
      <c r="U22" s="4">
        <f t="shared" si="15"/>
        <v>8979.0977576808982</v>
      </c>
      <c r="V22" s="4">
        <f t="shared" si="10"/>
        <v>8979.0977576808982</v>
      </c>
      <c r="W22" s="4"/>
      <c r="X22" s="4">
        <f t="shared" si="11"/>
        <v>8979.0977576808982</v>
      </c>
      <c r="Y22" s="4">
        <f t="shared" si="12"/>
        <v>8979.0977576808982</v>
      </c>
      <c r="Z22" s="4">
        <f t="shared" si="13"/>
        <v>8979.0977576808982</v>
      </c>
    </row>
    <row r="23" spans="1:26" ht="14.45" x14ac:dyDescent="0.3">
      <c r="A23" t="str">
        <f>Factors!B20</f>
        <v>OtMech</v>
      </c>
      <c r="B23" s="5">
        <v>6194.744892345203</v>
      </c>
      <c r="C23" s="4">
        <f t="shared" si="9"/>
        <v>6194.744892345203</v>
      </c>
      <c r="D23" s="4">
        <f t="shared" si="15"/>
        <v>6194.744892345203</v>
      </c>
      <c r="E23" s="4">
        <f t="shared" si="15"/>
        <v>6194.744892345203</v>
      </c>
      <c r="F23" s="4">
        <f t="shared" si="15"/>
        <v>6194.744892345203</v>
      </c>
      <c r="G23" s="4">
        <f t="shared" si="15"/>
        <v>6194.744892345203</v>
      </c>
      <c r="H23" s="4">
        <f t="shared" si="15"/>
        <v>6194.744892345203</v>
      </c>
      <c r="I23" s="4">
        <f t="shared" si="15"/>
        <v>6194.744892345203</v>
      </c>
      <c r="J23" s="4">
        <f t="shared" si="15"/>
        <v>6194.744892345203</v>
      </c>
      <c r="K23" s="4">
        <f t="shared" si="15"/>
        <v>6194.744892345203</v>
      </c>
      <c r="L23" s="4">
        <f t="shared" si="2"/>
        <v>6194.744892345203</v>
      </c>
      <c r="M23" s="4">
        <f t="shared" si="15"/>
        <v>6194.744892345203</v>
      </c>
      <c r="N23" s="4">
        <f t="shared" si="3"/>
        <v>6194.744892345203</v>
      </c>
      <c r="O23" s="4">
        <f t="shared" si="15"/>
        <v>6194.744892345203</v>
      </c>
      <c r="P23" s="4">
        <f t="shared" si="15"/>
        <v>6194.744892345203</v>
      </c>
      <c r="Q23" s="4">
        <f t="shared" si="15"/>
        <v>6194.744892345203</v>
      </c>
      <c r="R23" s="4">
        <f t="shared" si="15"/>
        <v>6194.744892345203</v>
      </c>
      <c r="S23" s="4">
        <f t="shared" si="15"/>
        <v>6194.744892345203</v>
      </c>
      <c r="T23" s="4">
        <f t="shared" si="15"/>
        <v>6194.744892345203</v>
      </c>
      <c r="U23" s="4">
        <f t="shared" si="15"/>
        <v>6194.744892345203</v>
      </c>
      <c r="V23" s="4">
        <f t="shared" si="10"/>
        <v>6194.744892345203</v>
      </c>
      <c r="W23" s="4"/>
      <c r="X23" s="4">
        <f t="shared" si="11"/>
        <v>6194.744892345203</v>
      </c>
      <c r="Y23" s="4">
        <f t="shared" si="12"/>
        <v>6194.744892345203</v>
      </c>
      <c r="Z23" s="4">
        <f t="shared" si="13"/>
        <v>6194.744892345203</v>
      </c>
    </row>
    <row r="24" spans="1:26" ht="14.45" x14ac:dyDescent="0.3">
      <c r="A24" t="str">
        <f>Factors!B21</f>
        <v>NwMech</v>
      </c>
      <c r="B24" s="5">
        <v>5203.8884869339317</v>
      </c>
      <c r="C24" s="4">
        <f t="shared" si="9"/>
        <v>5203.8884869339317</v>
      </c>
      <c r="D24" s="4">
        <f t="shared" si="15"/>
        <v>5203.8884869339317</v>
      </c>
      <c r="E24" s="4">
        <f t="shared" si="15"/>
        <v>5203.8884869339317</v>
      </c>
      <c r="F24" s="4">
        <f t="shared" si="15"/>
        <v>5203.8884869339317</v>
      </c>
      <c r="G24" s="4">
        <f t="shared" si="15"/>
        <v>5203.8884869339317</v>
      </c>
      <c r="H24" s="4">
        <f t="shared" si="15"/>
        <v>5203.8884869339317</v>
      </c>
      <c r="I24" s="4">
        <f t="shared" si="15"/>
        <v>5203.8884869339317</v>
      </c>
      <c r="J24" s="4">
        <f t="shared" si="15"/>
        <v>5203.8884869339317</v>
      </c>
      <c r="K24" s="4">
        <f t="shared" si="15"/>
        <v>5203.8884869339317</v>
      </c>
      <c r="L24" s="4">
        <f t="shared" si="2"/>
        <v>5203.8884869339317</v>
      </c>
      <c r="M24" s="4">
        <f t="shared" si="15"/>
        <v>5203.8884869339317</v>
      </c>
      <c r="N24" s="4">
        <f t="shared" si="3"/>
        <v>5203.8884869339317</v>
      </c>
      <c r="O24" s="4">
        <f t="shared" si="15"/>
        <v>5203.8884869339317</v>
      </c>
      <c r="P24" s="4">
        <f t="shared" si="15"/>
        <v>5203.8884869339317</v>
      </c>
      <c r="Q24" s="4">
        <f t="shared" si="15"/>
        <v>5203.8884869339317</v>
      </c>
      <c r="R24" s="4">
        <f t="shared" si="15"/>
        <v>5203.8884869339317</v>
      </c>
      <c r="S24" s="4">
        <f t="shared" si="15"/>
        <v>5203.8884869339317</v>
      </c>
      <c r="T24" s="4">
        <f t="shared" si="15"/>
        <v>5203.8884869339317</v>
      </c>
      <c r="U24" s="4">
        <f t="shared" si="15"/>
        <v>5203.8884869339317</v>
      </c>
      <c r="V24" s="4">
        <f t="shared" si="10"/>
        <v>5203.8884869339317</v>
      </c>
      <c r="W24" s="4"/>
      <c r="X24" s="4">
        <f t="shared" si="11"/>
        <v>5203.8884869339317</v>
      </c>
      <c r="Y24" s="4">
        <f t="shared" si="12"/>
        <v>5203.8884869339317</v>
      </c>
      <c r="Z24" s="4">
        <f t="shared" si="13"/>
        <v>5203.8884869339317</v>
      </c>
    </row>
    <row r="25" spans="1:26" ht="14.45" x14ac:dyDescent="0.3"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" x14ac:dyDescent="0.35">
      <c r="A26" s="8" t="s">
        <v>66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45" x14ac:dyDescent="0.3">
      <c r="A27" t="str">
        <f>Factors!B2</f>
        <v>PinTim</v>
      </c>
      <c r="B27" s="4">
        <v>0</v>
      </c>
      <c r="C27" s="4">
        <f t="shared" ref="C27:U27" si="16">B27</f>
        <v>0</v>
      </c>
      <c r="D27" s="4">
        <f t="shared" si="16"/>
        <v>0</v>
      </c>
      <c r="E27" s="4">
        <f t="shared" si="16"/>
        <v>0</v>
      </c>
      <c r="F27" s="4">
        <f t="shared" si="16"/>
        <v>0</v>
      </c>
      <c r="G27" s="4">
        <f t="shared" si="16"/>
        <v>0</v>
      </c>
      <c r="H27" s="4">
        <f t="shared" si="16"/>
        <v>0</v>
      </c>
      <c r="I27" s="4">
        <f t="shared" si="16"/>
        <v>0</v>
      </c>
      <c r="J27" s="4">
        <f t="shared" si="16"/>
        <v>0</v>
      </c>
      <c r="K27" s="4">
        <f t="shared" si="16"/>
        <v>0</v>
      </c>
      <c r="L27" s="4">
        <f t="shared" si="16"/>
        <v>0</v>
      </c>
      <c r="M27" s="4">
        <f t="shared" si="16"/>
        <v>0</v>
      </c>
      <c r="N27" s="4">
        <f t="shared" si="16"/>
        <v>0</v>
      </c>
      <c r="O27" s="4">
        <f t="shared" si="16"/>
        <v>0</v>
      </c>
      <c r="P27" s="4">
        <f t="shared" si="16"/>
        <v>0</v>
      </c>
      <c r="Q27" s="4">
        <f t="shared" si="16"/>
        <v>0</v>
      </c>
      <c r="R27" s="4">
        <f t="shared" si="16"/>
        <v>0</v>
      </c>
      <c r="S27" s="4">
        <f t="shared" si="16"/>
        <v>0</v>
      </c>
      <c r="T27" s="4">
        <f t="shared" si="16"/>
        <v>0</v>
      </c>
      <c r="U27" s="4">
        <f t="shared" si="16"/>
        <v>0</v>
      </c>
      <c r="V27" s="4">
        <f t="shared" ref="V27:V33" si="17">U27</f>
        <v>0</v>
      </c>
      <c r="W27" s="4"/>
      <c r="X27" s="4">
        <f t="shared" ref="X27:X33" si="18">V27</f>
        <v>0</v>
      </c>
      <c r="Y27" s="4">
        <f t="shared" ref="Y27:Y33" si="19">X27</f>
        <v>0</v>
      </c>
      <c r="Z27" s="4">
        <f t="shared" ref="Z27:Z33" si="20">Y27</f>
        <v>0</v>
      </c>
    </row>
    <row r="28" spans="1:26" ht="14.45" x14ac:dyDescent="0.3">
      <c r="A28" t="str">
        <f>Factors!B3</f>
        <v>PinPuw</v>
      </c>
      <c r="B28" s="4">
        <v>0</v>
      </c>
      <c r="C28" s="4">
        <f t="shared" ref="C28:U28" si="21">B28</f>
        <v>0</v>
      </c>
      <c r="D28" s="4">
        <f t="shared" si="21"/>
        <v>0</v>
      </c>
      <c r="E28" s="4">
        <f t="shared" si="21"/>
        <v>0</v>
      </c>
      <c r="F28" s="4">
        <f t="shared" si="21"/>
        <v>0</v>
      </c>
      <c r="G28" s="4">
        <f t="shared" si="21"/>
        <v>0</v>
      </c>
      <c r="H28" s="4">
        <f t="shared" si="21"/>
        <v>0</v>
      </c>
      <c r="I28" s="4">
        <f t="shared" si="21"/>
        <v>0</v>
      </c>
      <c r="J28" s="4">
        <f t="shared" si="21"/>
        <v>0</v>
      </c>
      <c r="K28" s="4">
        <f t="shared" si="21"/>
        <v>0</v>
      </c>
      <c r="L28" s="4">
        <f t="shared" si="21"/>
        <v>0</v>
      </c>
      <c r="M28" s="4">
        <f t="shared" si="21"/>
        <v>0</v>
      </c>
      <c r="N28" s="4">
        <f t="shared" si="21"/>
        <v>0</v>
      </c>
      <c r="O28" s="4">
        <f t="shared" si="21"/>
        <v>0</v>
      </c>
      <c r="P28" s="4">
        <f t="shared" si="21"/>
        <v>0</v>
      </c>
      <c r="Q28" s="4">
        <f t="shared" si="21"/>
        <v>0</v>
      </c>
      <c r="R28" s="4">
        <f t="shared" si="21"/>
        <v>0</v>
      </c>
      <c r="S28" s="4">
        <f t="shared" si="21"/>
        <v>0</v>
      </c>
      <c r="T28" s="4">
        <f t="shared" si="21"/>
        <v>0</v>
      </c>
      <c r="U28" s="4">
        <f t="shared" si="21"/>
        <v>0</v>
      </c>
      <c r="V28" s="4">
        <f t="shared" si="17"/>
        <v>0</v>
      </c>
      <c r="W28" s="4"/>
      <c r="X28" s="4">
        <f t="shared" si="18"/>
        <v>0</v>
      </c>
      <c r="Y28" s="4">
        <f t="shared" si="19"/>
        <v>0</v>
      </c>
      <c r="Z28" s="4">
        <f t="shared" si="20"/>
        <v>0</v>
      </c>
    </row>
    <row r="29" spans="1:26" ht="14.45" x14ac:dyDescent="0.3">
      <c r="A29" t="str">
        <f>Factors!B4</f>
        <v>SprTim</v>
      </c>
      <c r="B29" s="4">
        <v>0</v>
      </c>
      <c r="C29" s="4">
        <f t="shared" ref="C29:U29" si="22">B29</f>
        <v>0</v>
      </c>
      <c r="D29" s="4">
        <f t="shared" si="22"/>
        <v>0</v>
      </c>
      <c r="E29" s="4">
        <f t="shared" si="22"/>
        <v>0</v>
      </c>
      <c r="F29" s="4">
        <f t="shared" si="22"/>
        <v>0</v>
      </c>
      <c r="G29" s="4">
        <f t="shared" si="22"/>
        <v>0</v>
      </c>
      <c r="H29" s="4">
        <f t="shared" si="22"/>
        <v>0</v>
      </c>
      <c r="I29" s="4">
        <f t="shared" si="22"/>
        <v>0</v>
      </c>
      <c r="J29" s="4">
        <f t="shared" si="22"/>
        <v>0</v>
      </c>
      <c r="K29" s="4">
        <f t="shared" si="22"/>
        <v>0</v>
      </c>
      <c r="L29" s="4">
        <f t="shared" si="22"/>
        <v>0</v>
      </c>
      <c r="M29" s="4">
        <f t="shared" si="22"/>
        <v>0</v>
      </c>
      <c r="N29" s="4">
        <f t="shared" si="22"/>
        <v>0</v>
      </c>
      <c r="O29" s="4">
        <f t="shared" si="22"/>
        <v>0</v>
      </c>
      <c r="P29" s="4">
        <f t="shared" si="22"/>
        <v>0</v>
      </c>
      <c r="Q29" s="4">
        <f t="shared" si="22"/>
        <v>0</v>
      </c>
      <c r="R29" s="4">
        <f t="shared" si="22"/>
        <v>0</v>
      </c>
      <c r="S29" s="4">
        <f t="shared" si="22"/>
        <v>0</v>
      </c>
      <c r="T29" s="4">
        <f t="shared" si="22"/>
        <v>0</v>
      </c>
      <c r="U29" s="4">
        <f t="shared" si="22"/>
        <v>0</v>
      </c>
      <c r="V29" s="4">
        <f t="shared" si="17"/>
        <v>0</v>
      </c>
      <c r="W29" s="4"/>
      <c r="X29" s="4">
        <f t="shared" si="18"/>
        <v>0</v>
      </c>
      <c r="Y29" s="4">
        <f t="shared" si="19"/>
        <v>0</v>
      </c>
      <c r="Z29" s="4">
        <f t="shared" si="20"/>
        <v>0</v>
      </c>
    </row>
    <row r="30" spans="1:26" ht="14.45" x14ac:dyDescent="0.3">
      <c r="A30" t="str">
        <f>Factors!B5</f>
        <v>SprPuw</v>
      </c>
      <c r="B30" s="4">
        <v>0</v>
      </c>
      <c r="C30" s="4">
        <f t="shared" ref="C30:U30" si="23">B30</f>
        <v>0</v>
      </c>
      <c r="D30" s="4">
        <f t="shared" si="23"/>
        <v>0</v>
      </c>
      <c r="E30" s="4">
        <f t="shared" si="23"/>
        <v>0</v>
      </c>
      <c r="F30" s="4">
        <f t="shared" si="23"/>
        <v>0</v>
      </c>
      <c r="G30" s="4">
        <f t="shared" si="23"/>
        <v>0</v>
      </c>
      <c r="H30" s="4">
        <f t="shared" si="23"/>
        <v>0</v>
      </c>
      <c r="I30" s="4">
        <f t="shared" si="23"/>
        <v>0</v>
      </c>
      <c r="J30" s="4">
        <f t="shared" si="23"/>
        <v>0</v>
      </c>
      <c r="K30" s="4">
        <f t="shared" si="23"/>
        <v>0</v>
      </c>
      <c r="L30" s="4">
        <f t="shared" si="23"/>
        <v>0</v>
      </c>
      <c r="M30" s="4">
        <f t="shared" si="23"/>
        <v>0</v>
      </c>
      <c r="N30" s="4">
        <f t="shared" si="23"/>
        <v>0</v>
      </c>
      <c r="O30" s="4">
        <f t="shared" si="23"/>
        <v>0</v>
      </c>
      <c r="P30" s="4">
        <f t="shared" si="23"/>
        <v>0</v>
      </c>
      <c r="Q30" s="4">
        <f t="shared" si="23"/>
        <v>0</v>
      </c>
      <c r="R30" s="4">
        <f t="shared" si="23"/>
        <v>0</v>
      </c>
      <c r="S30" s="4">
        <f t="shared" si="23"/>
        <v>0</v>
      </c>
      <c r="T30" s="4">
        <f t="shared" si="23"/>
        <v>0</v>
      </c>
      <c r="U30" s="4">
        <f t="shared" si="23"/>
        <v>0</v>
      </c>
      <c r="V30" s="4">
        <f t="shared" si="17"/>
        <v>0</v>
      </c>
      <c r="W30" s="4"/>
      <c r="X30" s="4">
        <f t="shared" si="18"/>
        <v>0</v>
      </c>
      <c r="Y30" s="4">
        <f t="shared" si="19"/>
        <v>0</v>
      </c>
      <c r="Z30" s="4">
        <f t="shared" si="20"/>
        <v>0</v>
      </c>
    </row>
    <row r="31" spans="1:26" ht="14.45" x14ac:dyDescent="0.3">
      <c r="A31" t="str">
        <f>Factors!B6</f>
        <v>Decids</v>
      </c>
      <c r="B31" s="4">
        <v>0</v>
      </c>
      <c r="C31" s="4">
        <f t="shared" ref="C31:U31" si="24">B31</f>
        <v>0</v>
      </c>
      <c r="D31" s="4">
        <f t="shared" si="24"/>
        <v>0</v>
      </c>
      <c r="E31" s="4">
        <f t="shared" si="24"/>
        <v>0</v>
      </c>
      <c r="F31" s="4">
        <f t="shared" si="24"/>
        <v>0</v>
      </c>
      <c r="G31" s="4">
        <f t="shared" si="24"/>
        <v>0</v>
      </c>
      <c r="H31" s="4">
        <f t="shared" si="24"/>
        <v>0</v>
      </c>
      <c r="I31" s="4">
        <f t="shared" si="24"/>
        <v>0</v>
      </c>
      <c r="J31" s="4">
        <f t="shared" si="24"/>
        <v>0</v>
      </c>
      <c r="K31" s="4">
        <f t="shared" si="24"/>
        <v>0</v>
      </c>
      <c r="L31" s="4">
        <f t="shared" si="24"/>
        <v>0</v>
      </c>
      <c r="M31" s="4">
        <f t="shared" si="24"/>
        <v>0</v>
      </c>
      <c r="N31" s="4">
        <f t="shared" si="24"/>
        <v>0</v>
      </c>
      <c r="O31" s="4">
        <f t="shared" si="24"/>
        <v>0</v>
      </c>
      <c r="P31" s="4">
        <f t="shared" si="24"/>
        <v>0</v>
      </c>
      <c r="Q31" s="4">
        <f t="shared" si="24"/>
        <v>0</v>
      </c>
      <c r="R31" s="4">
        <f t="shared" si="24"/>
        <v>0</v>
      </c>
      <c r="S31" s="4">
        <f t="shared" si="24"/>
        <v>0</v>
      </c>
      <c r="T31" s="4">
        <f t="shared" si="24"/>
        <v>0</v>
      </c>
      <c r="U31" s="4">
        <f t="shared" si="24"/>
        <v>0</v>
      </c>
      <c r="V31" s="4">
        <f t="shared" si="17"/>
        <v>0</v>
      </c>
      <c r="W31" s="4"/>
      <c r="X31" s="4">
        <f t="shared" si="18"/>
        <v>0</v>
      </c>
      <c r="Y31" s="4">
        <f t="shared" si="19"/>
        <v>0</v>
      </c>
      <c r="Z31" s="4">
        <f t="shared" si="20"/>
        <v>0</v>
      </c>
    </row>
    <row r="32" spans="1:26" ht="14.45" x14ac:dyDescent="0.3">
      <c r="A32" t="str">
        <f>Factors!B7</f>
        <v>Sawdst</v>
      </c>
      <c r="B32" s="4">
        <v>0</v>
      </c>
      <c r="C32" s="4">
        <f t="shared" ref="C32:U32" si="25">B32</f>
        <v>0</v>
      </c>
      <c r="D32" s="4">
        <f t="shared" si="25"/>
        <v>0</v>
      </c>
      <c r="E32" s="4">
        <f t="shared" si="25"/>
        <v>0</v>
      </c>
      <c r="F32" s="4">
        <f t="shared" si="25"/>
        <v>0</v>
      </c>
      <c r="G32" s="4">
        <f t="shared" si="25"/>
        <v>0</v>
      </c>
      <c r="H32" s="4">
        <f t="shared" si="25"/>
        <v>0</v>
      </c>
      <c r="I32" s="4">
        <f t="shared" si="25"/>
        <v>0</v>
      </c>
      <c r="J32" s="4">
        <f t="shared" si="25"/>
        <v>0</v>
      </c>
      <c r="K32" s="4">
        <f t="shared" si="25"/>
        <v>0</v>
      </c>
      <c r="L32" s="4">
        <f t="shared" si="25"/>
        <v>0</v>
      </c>
      <c r="M32" s="4">
        <f t="shared" si="25"/>
        <v>0</v>
      </c>
      <c r="N32" s="4">
        <f t="shared" si="25"/>
        <v>0</v>
      </c>
      <c r="O32" s="4">
        <f t="shared" si="25"/>
        <v>0</v>
      </c>
      <c r="P32" s="4">
        <f t="shared" si="25"/>
        <v>0</v>
      </c>
      <c r="Q32" s="4">
        <f t="shared" si="25"/>
        <v>0</v>
      </c>
      <c r="R32" s="4">
        <f t="shared" si="25"/>
        <v>0</v>
      </c>
      <c r="S32" s="4">
        <f t="shared" si="25"/>
        <v>0</v>
      </c>
      <c r="T32" s="4">
        <f t="shared" si="25"/>
        <v>0</v>
      </c>
      <c r="U32" s="4">
        <f t="shared" si="25"/>
        <v>0</v>
      </c>
      <c r="V32" s="4">
        <f t="shared" si="17"/>
        <v>0</v>
      </c>
      <c r="W32" s="4"/>
      <c r="X32" s="4">
        <f t="shared" si="18"/>
        <v>0</v>
      </c>
      <c r="Y32" s="4">
        <f t="shared" si="19"/>
        <v>0</v>
      </c>
      <c r="Z32" s="4">
        <f t="shared" si="20"/>
        <v>0</v>
      </c>
    </row>
    <row r="33" spans="1:26" ht="14.45" x14ac:dyDescent="0.3">
      <c r="A33" t="str">
        <f>Factors!B8</f>
        <v>Chips_</v>
      </c>
      <c r="B33" s="4">
        <v>0</v>
      </c>
      <c r="C33" s="4">
        <f t="shared" ref="C33:U33" si="26">B33</f>
        <v>0</v>
      </c>
      <c r="D33" s="4">
        <f t="shared" si="26"/>
        <v>0</v>
      </c>
      <c r="E33" s="4">
        <f t="shared" si="26"/>
        <v>0</v>
      </c>
      <c r="F33" s="4">
        <f t="shared" si="26"/>
        <v>0</v>
      </c>
      <c r="G33" s="4">
        <f t="shared" si="26"/>
        <v>0</v>
      </c>
      <c r="H33" s="4">
        <f t="shared" si="26"/>
        <v>0</v>
      </c>
      <c r="I33" s="4">
        <f t="shared" si="26"/>
        <v>0</v>
      </c>
      <c r="J33" s="4">
        <f t="shared" si="26"/>
        <v>0</v>
      </c>
      <c r="K33" s="4">
        <f t="shared" si="26"/>
        <v>0</v>
      </c>
      <c r="L33" s="4">
        <f t="shared" si="26"/>
        <v>0</v>
      </c>
      <c r="M33" s="4">
        <f t="shared" si="26"/>
        <v>0</v>
      </c>
      <c r="N33" s="4">
        <f t="shared" si="26"/>
        <v>0</v>
      </c>
      <c r="O33" s="4">
        <f t="shared" si="26"/>
        <v>0</v>
      </c>
      <c r="P33" s="4">
        <f t="shared" si="26"/>
        <v>0</v>
      </c>
      <c r="Q33" s="4">
        <f t="shared" si="26"/>
        <v>0</v>
      </c>
      <c r="R33" s="4">
        <f t="shared" si="26"/>
        <v>0</v>
      </c>
      <c r="S33" s="4">
        <f t="shared" si="26"/>
        <v>0</v>
      </c>
      <c r="T33" s="4">
        <f t="shared" si="26"/>
        <v>0</v>
      </c>
      <c r="U33" s="4">
        <f t="shared" si="26"/>
        <v>0</v>
      </c>
      <c r="V33" s="4">
        <f t="shared" si="17"/>
        <v>0</v>
      </c>
      <c r="W33" s="4"/>
      <c r="X33" s="4">
        <f t="shared" si="18"/>
        <v>0</v>
      </c>
      <c r="Y33" s="4">
        <f t="shared" si="19"/>
        <v>0</v>
      </c>
      <c r="Z33" s="4">
        <f t="shared" si="20"/>
        <v>0</v>
      </c>
    </row>
    <row r="34" spans="1:26" ht="14.45" x14ac:dyDescent="0.3">
      <c r="A34" t="str">
        <f>Factors!B9</f>
        <v>ResStm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/>
      <c r="X34" s="4">
        <v>0</v>
      </c>
      <c r="Y34" s="4">
        <v>0</v>
      </c>
      <c r="Z34" s="4">
        <v>0</v>
      </c>
    </row>
    <row r="35" spans="1:26" ht="14.45" x14ac:dyDescent="0.3">
      <c r="A35" t="str">
        <f>Factors!B10</f>
        <v>ResRot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/>
      <c r="X35" s="4">
        <v>0</v>
      </c>
      <c r="Y35" s="4">
        <v>0</v>
      </c>
      <c r="Z35" s="4">
        <v>0</v>
      </c>
    </row>
    <row r="36" spans="1:26" ht="14.45" x14ac:dyDescent="0.3">
      <c r="A36" t="str">
        <f>Factors!B11</f>
        <v>Sawnwd</v>
      </c>
      <c r="B36" s="5">
        <v>18630000</v>
      </c>
      <c r="C36" s="4">
        <v>18816300</v>
      </c>
      <c r="D36" s="4">
        <v>19004463</v>
      </c>
      <c r="E36" s="4">
        <v>19194507.629999999</v>
      </c>
      <c r="F36" s="4">
        <v>19386452.706299998</v>
      </c>
      <c r="G36" s="4">
        <v>19580317.233362999</v>
      </c>
      <c r="H36" s="4">
        <v>19580317.233362999</v>
      </c>
      <c r="I36" s="4">
        <v>19580317.233362999</v>
      </c>
      <c r="J36" s="4">
        <v>19580317.233362999</v>
      </c>
      <c r="K36" s="4">
        <v>19580317.233362999</v>
      </c>
      <c r="L36" s="4">
        <v>19580317.233362999</v>
      </c>
      <c r="M36" s="4">
        <v>19580317.233362999</v>
      </c>
      <c r="N36" s="4">
        <v>19580317.233362999</v>
      </c>
      <c r="O36" s="4">
        <v>19580317.233362999</v>
      </c>
      <c r="P36" s="4">
        <v>19580317.233362999</v>
      </c>
      <c r="Q36" s="4">
        <v>19580317.233362999</v>
      </c>
      <c r="R36" s="4">
        <v>19580317.233362999</v>
      </c>
      <c r="S36" s="4">
        <v>19580317.233362999</v>
      </c>
      <c r="T36" s="4">
        <v>19580317.233362999</v>
      </c>
      <c r="U36" s="4">
        <v>19580317.233362999</v>
      </c>
      <c r="V36" s="4">
        <v>19580317.233362999</v>
      </c>
      <c r="W36" s="4"/>
      <c r="X36" s="4">
        <v>19580317.233362999</v>
      </c>
      <c r="Y36" s="4">
        <v>19580317.233362999</v>
      </c>
      <c r="Z36" s="4">
        <v>19580317.233362999</v>
      </c>
    </row>
    <row r="37" spans="1:26" ht="14.45" x14ac:dyDescent="0.3">
      <c r="A37" t="e">
        <f>Factors!#REF!</f>
        <v>#REF!</v>
      </c>
      <c r="B37" s="4">
        <v>111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/>
      <c r="X37" s="4"/>
      <c r="Y37" s="4"/>
      <c r="Z37" s="4"/>
    </row>
    <row r="38" spans="1:26" ht="14.45" x14ac:dyDescent="0.3">
      <c r="A38" t="str">
        <f>Factors!B12</f>
        <v>Heat__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/>
      <c r="X38" s="4">
        <v>17250000</v>
      </c>
      <c r="Y38" s="4">
        <v>17250000</v>
      </c>
      <c r="Z38" s="4">
        <v>17250000</v>
      </c>
    </row>
    <row r="39" spans="1:26" ht="14.45" x14ac:dyDescent="0.3">
      <c r="A39" t="str">
        <f>Factors!B13</f>
        <v>Electr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/>
      <c r="X39" s="4">
        <v>0</v>
      </c>
      <c r="Y39" s="4">
        <v>0</v>
      </c>
      <c r="Z39" s="4">
        <v>0</v>
      </c>
    </row>
    <row r="40" spans="1:26" ht="14.45" x14ac:dyDescent="0.3">
      <c r="A40" t="str">
        <f>Factors!B14</f>
        <v>BioFue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/>
      <c r="X40" s="4">
        <v>0</v>
      </c>
      <c r="Y40" s="4">
        <v>0</v>
      </c>
      <c r="Z40" s="4">
        <v>0</v>
      </c>
    </row>
    <row r="41" spans="1:26" ht="14.45" x14ac:dyDescent="0.3">
      <c r="A41" t="str">
        <f>Factors!B15</f>
        <v>PuChem</v>
      </c>
      <c r="B41" s="5">
        <v>3290524</v>
      </c>
      <c r="C41" s="4">
        <v>3435447.0888858577</v>
      </c>
      <c r="D41" s="4">
        <v>3586752.9610889675</v>
      </c>
      <c r="E41" s="4">
        <v>3744722.7307036277</v>
      </c>
      <c r="F41" s="4">
        <v>3909649.8928074911</v>
      </c>
      <c r="G41" s="4">
        <v>4081840.8687517252</v>
      </c>
      <c r="H41" s="4">
        <v>4081840.8687517252</v>
      </c>
      <c r="I41" s="4">
        <v>4081840.8687517252</v>
      </c>
      <c r="J41" s="4">
        <v>4081840.8687517252</v>
      </c>
      <c r="K41" s="4">
        <v>4081840.8687517252</v>
      </c>
      <c r="L41" s="4">
        <v>4081840.8687517252</v>
      </c>
      <c r="M41" s="4">
        <v>4081840.8687517252</v>
      </c>
      <c r="N41" s="4">
        <v>4081840.8687517252</v>
      </c>
      <c r="O41" s="4">
        <v>4081840.8687517252</v>
      </c>
      <c r="P41" s="4">
        <v>4081840.8687517252</v>
      </c>
      <c r="Q41" s="4">
        <v>4081840.8687517252</v>
      </c>
      <c r="R41" s="4">
        <v>4081840.8687517252</v>
      </c>
      <c r="S41" s="4">
        <v>4081840.8687517252</v>
      </c>
      <c r="T41" s="4">
        <v>4081840.8687517252</v>
      </c>
      <c r="U41" s="4">
        <v>4081840.8687517252</v>
      </c>
      <c r="V41" s="4">
        <v>4081840.8687517252</v>
      </c>
      <c r="W41" s="4"/>
      <c r="X41" s="4">
        <v>4081840.8687517252</v>
      </c>
      <c r="Y41" s="4">
        <v>4081840.8687517252</v>
      </c>
      <c r="Z41" s="4">
        <v>4081840.8687517252</v>
      </c>
    </row>
    <row r="42" spans="1:26" ht="14.45" x14ac:dyDescent="0.3">
      <c r="A42" t="str">
        <f>Factors!B16</f>
        <v>PuMech</v>
      </c>
      <c r="B42" s="5">
        <v>409948</v>
      </c>
      <c r="C42" s="4">
        <v>403929.61402838596</v>
      </c>
      <c r="D42" s="4">
        <v>397999.58309132099</v>
      </c>
      <c r="E42" s="4">
        <v>392156.61006160732</v>
      </c>
      <c r="F42" s="4">
        <v>386399.41685497988</v>
      </c>
      <c r="G42" s="4">
        <v>380726.74415053963</v>
      </c>
      <c r="H42" s="4">
        <v>380726.74415053963</v>
      </c>
      <c r="I42" s="4">
        <v>380726.74415053963</v>
      </c>
      <c r="J42" s="4">
        <v>380726.74415053963</v>
      </c>
      <c r="K42" s="4">
        <v>380726.74415053963</v>
      </c>
      <c r="L42" s="4">
        <v>380726.74415053963</v>
      </c>
      <c r="M42" s="4">
        <v>380726.74415053963</v>
      </c>
      <c r="N42" s="4">
        <v>380726.74415053963</v>
      </c>
      <c r="O42" s="4">
        <v>380726.74415053963</v>
      </c>
      <c r="P42" s="4">
        <v>380726.74415053963</v>
      </c>
      <c r="Q42" s="4">
        <v>380726.74415053963</v>
      </c>
      <c r="R42" s="4">
        <v>380726.74415053963</v>
      </c>
      <c r="S42" s="4">
        <v>380726.74415053963</v>
      </c>
      <c r="T42" s="4">
        <v>380726.74415053963</v>
      </c>
      <c r="U42" s="4">
        <v>380726.74415053963</v>
      </c>
      <c r="V42" s="4">
        <v>380726.74415053963</v>
      </c>
      <c r="W42" s="4"/>
      <c r="X42" s="4">
        <v>380726.74415053963</v>
      </c>
      <c r="Y42" s="4">
        <v>380726.74415053963</v>
      </c>
      <c r="Z42" s="4">
        <v>380726.74415053963</v>
      </c>
    </row>
    <row r="43" spans="1:26" ht="14.45" x14ac:dyDescent="0.3">
      <c r="A43" t="str">
        <f>Factors!B17</f>
        <v>PuDiss</v>
      </c>
      <c r="B43" s="5">
        <v>336337</v>
      </c>
      <c r="C43" s="4">
        <v>351150.14129500429</v>
      </c>
      <c r="D43" s="4">
        <v>366615.69120109139</v>
      </c>
      <c r="E43" s="4">
        <v>382762.38346131681</v>
      </c>
      <c r="F43" s="4">
        <v>399620.21732623532</v>
      </c>
      <c r="G43" s="4">
        <v>417220.51329008659</v>
      </c>
      <c r="H43" s="4">
        <v>417220.51329008659</v>
      </c>
      <c r="I43" s="4">
        <v>417220.51329008659</v>
      </c>
      <c r="J43" s="4">
        <v>417220.51329008659</v>
      </c>
      <c r="K43" s="4">
        <v>417220.51329008659</v>
      </c>
      <c r="L43" s="4">
        <v>417220.51329008659</v>
      </c>
      <c r="M43" s="4">
        <v>417220.51329008659</v>
      </c>
      <c r="N43" s="4">
        <v>417220.51329008659</v>
      </c>
      <c r="O43" s="4">
        <v>417220.51329008659</v>
      </c>
      <c r="P43" s="4">
        <v>417220.51329008659</v>
      </c>
      <c r="Q43" s="4">
        <v>417220.51329008659</v>
      </c>
      <c r="R43" s="4">
        <v>417220.51329008659</v>
      </c>
      <c r="S43" s="4">
        <v>417220.51329008659</v>
      </c>
      <c r="T43" s="4">
        <v>417220.51329008659</v>
      </c>
      <c r="U43" s="4">
        <v>417220.51329008659</v>
      </c>
      <c r="V43" s="4">
        <v>417220.51329008659</v>
      </c>
      <c r="W43" s="4"/>
      <c r="X43" s="4">
        <v>417220.51329008659</v>
      </c>
      <c r="Y43" s="4">
        <v>417220.51329008659</v>
      </c>
      <c r="Z43" s="4">
        <v>417220.51329008659</v>
      </c>
    </row>
    <row r="44" spans="1:26" ht="14.45" x14ac:dyDescent="0.3">
      <c r="A44" t="str">
        <f>Factors!B18</f>
        <v>PaChem</v>
      </c>
      <c r="B44" s="5">
        <v>6362000</v>
      </c>
      <c r="C44" s="4">
        <v>6642198.7438753909</v>
      </c>
      <c r="D44" s="4">
        <v>6934738.1567337029</v>
      </c>
      <c r="E44" s="4">
        <v>7240161.7531847442</v>
      </c>
      <c r="F44" s="4">
        <v>7559036.9856111845</v>
      </c>
      <c r="G44" s="4">
        <v>7891956.2984492658</v>
      </c>
      <c r="H44" s="4">
        <v>7891956.2984492658</v>
      </c>
      <c r="I44" s="4">
        <v>7891956.2984492658</v>
      </c>
      <c r="J44" s="4">
        <v>7891956.2984492658</v>
      </c>
      <c r="K44" s="4">
        <v>7891956.2984492658</v>
      </c>
      <c r="L44" s="4">
        <v>7891956.2984492658</v>
      </c>
      <c r="M44" s="4">
        <v>7891956.2984492658</v>
      </c>
      <c r="N44" s="4">
        <v>7891956.2984492658</v>
      </c>
      <c r="O44" s="4">
        <v>7891956.2984492658</v>
      </c>
      <c r="P44" s="4">
        <v>7891956.2984492658</v>
      </c>
      <c r="Q44" s="4">
        <v>7891956.2984492658</v>
      </c>
      <c r="R44" s="4">
        <v>7891956.2984492658</v>
      </c>
      <c r="S44" s="4">
        <v>7891956.2984492658</v>
      </c>
      <c r="T44" s="4">
        <v>7891956.2984492658</v>
      </c>
      <c r="U44" s="4">
        <v>7891956.2984492658</v>
      </c>
      <c r="V44" s="4">
        <v>7891956.2984492658</v>
      </c>
      <c r="W44" s="4"/>
      <c r="X44" s="4">
        <v>7891956.2984492658</v>
      </c>
      <c r="Y44" s="4">
        <v>7891956.2984492658</v>
      </c>
      <c r="Z44" s="4">
        <v>7891956.2984492658</v>
      </c>
    </row>
    <row r="45" spans="1:26" ht="14.45" x14ac:dyDescent="0.3">
      <c r="A45" t="str">
        <f>Factors!B19</f>
        <v>OtChem</v>
      </c>
      <c r="B45" s="5">
        <v>462869</v>
      </c>
      <c r="C45" s="4">
        <v>483254.93404257437</v>
      </c>
      <c r="D45" s="4">
        <v>504538.71673517325</v>
      </c>
      <c r="E45" s="4">
        <v>526759.89162761229</v>
      </c>
      <c r="F45" s="4">
        <v>549959.7438687305</v>
      </c>
      <c r="G45" s="4">
        <v>574181.37691086344</v>
      </c>
      <c r="H45" s="4">
        <v>574181.37691086344</v>
      </c>
      <c r="I45" s="4">
        <v>574181.37691086344</v>
      </c>
      <c r="J45" s="4">
        <v>574181.37691086344</v>
      </c>
      <c r="K45" s="4">
        <v>574181.37691086344</v>
      </c>
      <c r="L45" s="4">
        <v>574181.37691086344</v>
      </c>
      <c r="M45" s="4">
        <v>574181.37691086344</v>
      </c>
      <c r="N45" s="4">
        <v>574181.37691086344</v>
      </c>
      <c r="O45" s="4">
        <v>574181.37691086344</v>
      </c>
      <c r="P45" s="4">
        <v>574181.37691086344</v>
      </c>
      <c r="Q45" s="4">
        <v>574181.37691086344</v>
      </c>
      <c r="R45" s="4">
        <v>574181.37691086344</v>
      </c>
      <c r="S45" s="4">
        <v>574181.37691086344</v>
      </c>
      <c r="T45" s="4">
        <v>574181.37691086344</v>
      </c>
      <c r="U45" s="4">
        <v>574181.37691086344</v>
      </c>
      <c r="V45" s="4">
        <v>574181.37691086344</v>
      </c>
      <c r="W45" s="4"/>
      <c r="X45" s="4">
        <v>574181.37691086344</v>
      </c>
      <c r="Y45" s="4">
        <v>574181.37691086344</v>
      </c>
      <c r="Z45" s="4">
        <v>574181.37691086344</v>
      </c>
    </row>
    <row r="46" spans="1:26" ht="14.45" x14ac:dyDescent="0.3">
      <c r="A46" t="str">
        <f>Factors!B20</f>
        <v>OtMech</v>
      </c>
      <c r="B46" s="5">
        <v>1372303</v>
      </c>
      <c r="C46" s="4">
        <v>1352156.4225706579</v>
      </c>
      <c r="D46" s="4">
        <v>1332305.6140656108</v>
      </c>
      <c r="E46" s="4">
        <v>1312746.2323450143</v>
      </c>
      <c r="F46" s="4">
        <v>1293473.9990153373</v>
      </c>
      <c r="G46" s="4">
        <v>1274484.6984935116</v>
      </c>
      <c r="H46" s="4">
        <v>1274484.6984935116</v>
      </c>
      <c r="I46" s="4">
        <v>1274484.6984935116</v>
      </c>
      <c r="J46" s="4">
        <v>1274484.6984935116</v>
      </c>
      <c r="K46" s="4">
        <v>1274484.6984935116</v>
      </c>
      <c r="L46" s="4">
        <v>1274484.6984935116</v>
      </c>
      <c r="M46" s="4">
        <v>1274484.6984935116</v>
      </c>
      <c r="N46" s="4">
        <v>1274484.6984935116</v>
      </c>
      <c r="O46" s="4">
        <v>1274484.6984935116</v>
      </c>
      <c r="P46" s="4">
        <v>1274484.6984935116</v>
      </c>
      <c r="Q46" s="4">
        <v>1274484.6984935116</v>
      </c>
      <c r="R46" s="4">
        <v>1274484.6984935116</v>
      </c>
      <c r="S46" s="4">
        <v>1274484.6984935116</v>
      </c>
      <c r="T46" s="4">
        <v>1274484.6984935116</v>
      </c>
      <c r="U46" s="4">
        <v>1274484.6984935116</v>
      </c>
      <c r="V46" s="4">
        <v>1274484.6984935116</v>
      </c>
      <c r="W46" s="4"/>
      <c r="X46" s="4">
        <v>1274484.6984935116</v>
      </c>
      <c r="Y46" s="4">
        <v>1274484.6984935116</v>
      </c>
      <c r="Z46" s="4">
        <v>1274484.6984935116</v>
      </c>
    </row>
    <row r="47" spans="1:26" x14ac:dyDescent="0.3">
      <c r="A47" t="str">
        <f>Factors!B21</f>
        <v>NwMech</v>
      </c>
      <c r="B47" s="5">
        <v>889000</v>
      </c>
      <c r="C47" s="4">
        <v>862897.4449014751</v>
      </c>
      <c r="D47" s="4">
        <v>837561.30530651775</v>
      </c>
      <c r="E47" s="4">
        <v>812969.07794976211</v>
      </c>
      <c r="F47" s="4">
        <v>789098.92030006507</v>
      </c>
      <c r="G47" s="4">
        <v>765929.63116022374</v>
      </c>
      <c r="H47" s="4">
        <v>765929.63116022374</v>
      </c>
      <c r="I47" s="4">
        <v>765929.63116022374</v>
      </c>
      <c r="J47" s="4">
        <v>765929.63116022374</v>
      </c>
      <c r="K47" s="4">
        <v>765929.63116022374</v>
      </c>
      <c r="L47" s="4">
        <v>765929.63116022374</v>
      </c>
      <c r="M47" s="4">
        <v>765929.63116022374</v>
      </c>
      <c r="N47" s="4">
        <v>765929.63116022374</v>
      </c>
      <c r="O47" s="4">
        <v>765929.63116022374</v>
      </c>
      <c r="P47" s="4">
        <v>765929.63116022374</v>
      </c>
      <c r="Q47" s="4">
        <v>765929.63116022374</v>
      </c>
      <c r="R47" s="4">
        <v>765929.63116022374</v>
      </c>
      <c r="S47" s="4">
        <v>765929.63116022374</v>
      </c>
      <c r="T47" s="4">
        <v>765929.63116022374</v>
      </c>
      <c r="U47" s="4">
        <v>765929.63116022374</v>
      </c>
      <c r="V47" s="4">
        <v>765929.63116022374</v>
      </c>
      <c r="W47" s="4"/>
      <c r="X47" s="4">
        <v>765929.63116022374</v>
      </c>
      <c r="Y47" s="4">
        <v>765929.63116022374</v>
      </c>
      <c r="Z47" s="4">
        <v>765929.63116022374</v>
      </c>
    </row>
    <row r="48" spans="1:26" x14ac:dyDescent="0.3"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3"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x14ac:dyDescent="0.3">
      <c r="A50" s="8" t="s">
        <v>37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3">
      <c r="A51" s="7" t="str">
        <f>Factors!B2</f>
        <v>PinTim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/>
      <c r="X51" s="4">
        <v>1</v>
      </c>
      <c r="Y51" s="4">
        <v>1</v>
      </c>
      <c r="Z51" s="4">
        <v>1</v>
      </c>
    </row>
    <row r="52" spans="1:26" x14ac:dyDescent="0.3">
      <c r="A52" s="7" t="str">
        <f>Factors!B3</f>
        <v>PinPuw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/>
      <c r="X52" s="4">
        <v>1</v>
      </c>
      <c r="Y52" s="4">
        <v>1</v>
      </c>
      <c r="Z52" s="4">
        <v>1</v>
      </c>
    </row>
    <row r="53" spans="1:26" x14ac:dyDescent="0.3">
      <c r="A53" s="7" t="str">
        <f>Factors!B4</f>
        <v>SprTim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/>
      <c r="X53" s="4">
        <v>1</v>
      </c>
      <c r="Y53" s="4">
        <v>1</v>
      </c>
      <c r="Z53" s="4">
        <v>1</v>
      </c>
    </row>
    <row r="54" spans="1:26" x14ac:dyDescent="0.3">
      <c r="A54" s="7" t="str">
        <f>Factors!B5</f>
        <v>SprPuw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/>
      <c r="X54" s="4">
        <v>1</v>
      </c>
      <c r="Y54" s="4">
        <v>1</v>
      </c>
      <c r="Z54" s="4">
        <v>1</v>
      </c>
    </row>
    <row r="55" spans="1:26" x14ac:dyDescent="0.3">
      <c r="A55" s="7" t="str">
        <f>Factors!B6</f>
        <v>Decids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/>
      <c r="X55" s="4">
        <v>1</v>
      </c>
      <c r="Y55" s="4">
        <v>1</v>
      </c>
      <c r="Z55" s="4">
        <v>1</v>
      </c>
    </row>
    <row r="56" spans="1:26" x14ac:dyDescent="0.3">
      <c r="A56" t="str">
        <f>Factors!B7</f>
        <v>Sawdst</v>
      </c>
      <c r="B56" s="4">
        <f t="shared" ref="B56:V56" si="27">B9</f>
        <v>0</v>
      </c>
      <c r="C56" s="4">
        <f t="shared" si="27"/>
        <v>0</v>
      </c>
      <c r="D56" s="4">
        <f t="shared" si="27"/>
        <v>0</v>
      </c>
      <c r="E56" s="4">
        <f t="shared" si="27"/>
        <v>0</v>
      </c>
      <c r="F56" s="4">
        <f t="shared" si="27"/>
        <v>0</v>
      </c>
      <c r="G56" s="4">
        <f t="shared" si="27"/>
        <v>0</v>
      </c>
      <c r="H56" s="4">
        <f t="shared" si="27"/>
        <v>0</v>
      </c>
      <c r="I56" s="4">
        <f t="shared" si="27"/>
        <v>0</v>
      </c>
      <c r="J56" s="4">
        <f t="shared" si="27"/>
        <v>0</v>
      </c>
      <c r="K56" s="4">
        <f t="shared" si="27"/>
        <v>0</v>
      </c>
      <c r="L56" s="4">
        <f t="shared" si="27"/>
        <v>0</v>
      </c>
      <c r="M56" s="4">
        <f t="shared" si="27"/>
        <v>0</v>
      </c>
      <c r="N56" s="4">
        <f t="shared" si="27"/>
        <v>0</v>
      </c>
      <c r="O56" s="4">
        <f t="shared" si="27"/>
        <v>0</v>
      </c>
      <c r="P56" s="4">
        <f t="shared" si="27"/>
        <v>0</v>
      </c>
      <c r="Q56" s="4">
        <f t="shared" si="27"/>
        <v>0</v>
      </c>
      <c r="R56" s="4">
        <f t="shared" si="27"/>
        <v>0</v>
      </c>
      <c r="S56" s="4">
        <f t="shared" si="27"/>
        <v>0</v>
      </c>
      <c r="T56" s="4">
        <f t="shared" si="27"/>
        <v>0</v>
      </c>
      <c r="U56" s="4">
        <f t="shared" si="27"/>
        <v>0</v>
      </c>
      <c r="V56" s="4">
        <f t="shared" si="27"/>
        <v>0</v>
      </c>
      <c r="W56" s="4"/>
      <c r="X56" s="4">
        <f t="shared" ref="X56:Z57" si="28">X9</f>
        <v>0</v>
      </c>
      <c r="Y56" s="4">
        <f t="shared" si="28"/>
        <v>0</v>
      </c>
      <c r="Z56" s="4">
        <f t="shared" si="28"/>
        <v>0</v>
      </c>
    </row>
    <row r="57" spans="1:26" x14ac:dyDescent="0.3">
      <c r="A57" t="str">
        <f>Factors!B8</f>
        <v>Chips_</v>
      </c>
      <c r="B57" s="4">
        <f t="shared" ref="B57:V57" si="29">B10</f>
        <v>0</v>
      </c>
      <c r="C57" s="4">
        <f t="shared" si="29"/>
        <v>0</v>
      </c>
      <c r="D57" s="4">
        <f t="shared" si="29"/>
        <v>0</v>
      </c>
      <c r="E57" s="4">
        <f t="shared" si="29"/>
        <v>0</v>
      </c>
      <c r="F57" s="4">
        <f t="shared" si="29"/>
        <v>0</v>
      </c>
      <c r="G57" s="4">
        <f t="shared" si="29"/>
        <v>0</v>
      </c>
      <c r="H57" s="4">
        <f t="shared" si="29"/>
        <v>0</v>
      </c>
      <c r="I57" s="4">
        <f t="shared" si="29"/>
        <v>0</v>
      </c>
      <c r="J57" s="4">
        <f t="shared" si="29"/>
        <v>0</v>
      </c>
      <c r="K57" s="4">
        <f t="shared" si="29"/>
        <v>0</v>
      </c>
      <c r="L57" s="4">
        <f t="shared" si="29"/>
        <v>0</v>
      </c>
      <c r="M57" s="4">
        <f t="shared" si="29"/>
        <v>0</v>
      </c>
      <c r="N57" s="4">
        <f t="shared" si="29"/>
        <v>0</v>
      </c>
      <c r="O57" s="4">
        <f t="shared" si="29"/>
        <v>0</v>
      </c>
      <c r="P57" s="4">
        <f t="shared" si="29"/>
        <v>0</v>
      </c>
      <c r="Q57" s="4">
        <f t="shared" si="29"/>
        <v>0</v>
      </c>
      <c r="R57" s="4">
        <f t="shared" si="29"/>
        <v>0</v>
      </c>
      <c r="S57" s="4">
        <f t="shared" si="29"/>
        <v>0</v>
      </c>
      <c r="T57" s="4">
        <f t="shared" si="29"/>
        <v>0</v>
      </c>
      <c r="U57" s="4">
        <f t="shared" si="29"/>
        <v>0</v>
      </c>
      <c r="V57" s="4">
        <f t="shared" si="29"/>
        <v>0</v>
      </c>
      <c r="W57" s="4"/>
      <c r="X57" s="4">
        <f t="shared" si="28"/>
        <v>0</v>
      </c>
      <c r="Y57" s="4">
        <f t="shared" si="28"/>
        <v>0</v>
      </c>
      <c r="Z57" s="4">
        <f t="shared" si="28"/>
        <v>0</v>
      </c>
    </row>
    <row r="58" spans="1:26" x14ac:dyDescent="0.3">
      <c r="A58" s="7" t="str">
        <f>Factors!B9</f>
        <v>ResStm</v>
      </c>
      <c r="B58" s="4">
        <f>0</f>
        <v>0</v>
      </c>
      <c r="C58" s="4">
        <f>B58</f>
        <v>0</v>
      </c>
      <c r="D58" s="4">
        <f t="shared" ref="D58:V58" si="30">C58</f>
        <v>0</v>
      </c>
      <c r="E58" s="4">
        <f t="shared" si="30"/>
        <v>0</v>
      </c>
      <c r="F58" s="4">
        <f t="shared" si="30"/>
        <v>0</v>
      </c>
      <c r="G58" s="4">
        <f t="shared" si="30"/>
        <v>0</v>
      </c>
      <c r="H58" s="4">
        <f t="shared" si="30"/>
        <v>0</v>
      </c>
      <c r="I58" s="4">
        <f t="shared" si="30"/>
        <v>0</v>
      </c>
      <c r="J58" s="4">
        <f t="shared" si="30"/>
        <v>0</v>
      </c>
      <c r="K58" s="4">
        <f t="shared" si="30"/>
        <v>0</v>
      </c>
      <c r="L58" s="4">
        <f t="shared" si="30"/>
        <v>0</v>
      </c>
      <c r="M58" s="4">
        <f t="shared" si="30"/>
        <v>0</v>
      </c>
      <c r="N58" s="4">
        <f t="shared" si="30"/>
        <v>0</v>
      </c>
      <c r="O58" s="4">
        <f t="shared" si="30"/>
        <v>0</v>
      </c>
      <c r="P58" s="4">
        <f t="shared" si="30"/>
        <v>0</v>
      </c>
      <c r="Q58" s="4">
        <f t="shared" si="30"/>
        <v>0</v>
      </c>
      <c r="R58" s="4">
        <f t="shared" si="30"/>
        <v>0</v>
      </c>
      <c r="S58" s="4">
        <f t="shared" si="30"/>
        <v>0</v>
      </c>
      <c r="T58" s="4">
        <f t="shared" si="30"/>
        <v>0</v>
      </c>
      <c r="U58" s="4">
        <f t="shared" si="30"/>
        <v>0</v>
      </c>
      <c r="V58" s="4">
        <f t="shared" si="30"/>
        <v>0</v>
      </c>
      <c r="W58" s="4"/>
      <c r="X58" s="4">
        <f>X15*ConvFact!$A$1*2</f>
        <v>5880</v>
      </c>
      <c r="Y58" s="4">
        <f>Y15*ConvFact!$A$1*2</f>
        <v>5880</v>
      </c>
      <c r="Z58" s="4">
        <f>Z15*ConvFact!$A$1*2</f>
        <v>5880</v>
      </c>
    </row>
    <row r="59" spans="1:26" x14ac:dyDescent="0.3">
      <c r="A59" t="str">
        <f>Factors!B10</f>
        <v>ResRot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/>
      <c r="X59" s="4">
        <v>0</v>
      </c>
      <c r="Y59" s="4">
        <v>0</v>
      </c>
      <c r="Z59" s="4">
        <v>0</v>
      </c>
    </row>
    <row r="60" spans="1:26" x14ac:dyDescent="0.3">
      <c r="A60" t="str">
        <f>Factors!B11</f>
        <v>Sawnwd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/>
      <c r="X60" s="4">
        <v>0</v>
      </c>
      <c r="Y60" s="4">
        <v>0</v>
      </c>
      <c r="Z60" s="4">
        <v>0</v>
      </c>
    </row>
    <row r="61" spans="1:26" x14ac:dyDescent="0.3">
      <c r="A61" t="e">
        <f>Factors!#REF!</f>
        <v>#REF!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/>
      <c r="X61" s="4"/>
      <c r="Y61" s="4"/>
      <c r="Z61" s="4"/>
    </row>
    <row r="62" spans="1:26" x14ac:dyDescent="0.3">
      <c r="A62" t="str">
        <f>Factors!B12</f>
        <v>Heat__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/>
      <c r="X62" s="4">
        <v>0</v>
      </c>
      <c r="Y62" s="4">
        <v>0</v>
      </c>
      <c r="Z62" s="4">
        <v>0</v>
      </c>
    </row>
    <row r="63" spans="1:26" x14ac:dyDescent="0.3">
      <c r="A63" t="str">
        <f>Factors!B13</f>
        <v>Electr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/>
      <c r="X63" s="4">
        <v>0</v>
      </c>
      <c r="Y63" s="4">
        <v>0</v>
      </c>
      <c r="Z63" s="4">
        <v>0</v>
      </c>
    </row>
    <row r="64" spans="1:26" x14ac:dyDescent="0.3">
      <c r="A64" t="str">
        <f>Factors!B14</f>
        <v>BioFue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/>
      <c r="X64" s="4">
        <v>0</v>
      </c>
      <c r="Y64" s="4">
        <v>0</v>
      </c>
      <c r="Z64" s="4">
        <v>0</v>
      </c>
    </row>
    <row r="65" spans="1:26" x14ac:dyDescent="0.3">
      <c r="A65" t="str">
        <f>Factors!B15</f>
        <v>PuChem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/>
      <c r="X65" s="4">
        <v>0</v>
      </c>
      <c r="Y65" s="4">
        <v>0</v>
      </c>
      <c r="Z65" s="4">
        <v>0</v>
      </c>
    </row>
    <row r="66" spans="1:26" x14ac:dyDescent="0.3">
      <c r="A66" t="str">
        <f>Factors!B16</f>
        <v>PuMech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/>
      <c r="X66" s="4">
        <v>0</v>
      </c>
      <c r="Y66" s="4">
        <v>0</v>
      </c>
      <c r="Z66" s="4">
        <v>0</v>
      </c>
    </row>
    <row r="67" spans="1:26" x14ac:dyDescent="0.3">
      <c r="A67" t="str">
        <f>Factors!B17</f>
        <v>PuDiss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/>
      <c r="X67" s="4">
        <v>0</v>
      </c>
      <c r="Y67" s="4">
        <v>0</v>
      </c>
      <c r="Z67" s="4">
        <v>0</v>
      </c>
    </row>
    <row r="68" spans="1:26" x14ac:dyDescent="0.3">
      <c r="A68" t="str">
        <f>Factors!B18</f>
        <v>PaChem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/>
      <c r="X68" s="4">
        <v>0</v>
      </c>
      <c r="Y68" s="4">
        <v>0</v>
      </c>
      <c r="Z68" s="4">
        <v>0</v>
      </c>
    </row>
    <row r="69" spans="1:26" x14ac:dyDescent="0.3">
      <c r="A69" t="str">
        <f>Factors!B19</f>
        <v>OtChem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/>
      <c r="X69" s="4">
        <v>0</v>
      </c>
      <c r="Y69" s="4">
        <v>0</v>
      </c>
      <c r="Z69" s="4">
        <v>0</v>
      </c>
    </row>
    <row r="70" spans="1:26" x14ac:dyDescent="0.3">
      <c r="A70" t="str">
        <f>Factors!B20</f>
        <v>OtMech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/>
      <c r="X70" s="4">
        <v>0</v>
      </c>
      <c r="Y70" s="4">
        <v>0</v>
      </c>
      <c r="Z70" s="4">
        <v>0</v>
      </c>
    </row>
    <row r="71" spans="1:26" x14ac:dyDescent="0.3">
      <c r="A71" t="str">
        <f>Factors!B21</f>
        <v>NwMech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/>
      <c r="X71" s="4">
        <v>0</v>
      </c>
      <c r="Y71" s="4">
        <v>0</v>
      </c>
      <c r="Z71" s="4">
        <v>0</v>
      </c>
    </row>
    <row r="72" spans="1:26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x14ac:dyDescent="0.3">
      <c r="A73" s="8" t="s">
        <v>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3">
      <c r="A74" s="7" t="str">
        <f>Factors!B2</f>
        <v>PinTim</v>
      </c>
      <c r="B74" s="4">
        <v>400000</v>
      </c>
      <c r="C74" s="4">
        <f>B74*0.8</f>
        <v>320000</v>
      </c>
      <c r="D74" s="4">
        <f t="shared" ref="D74:U78" si="31">C74*0.8</f>
        <v>256000</v>
      </c>
      <c r="E74" s="4">
        <f t="shared" si="31"/>
        <v>204800</v>
      </c>
      <c r="F74" s="4">
        <f t="shared" si="31"/>
        <v>163840</v>
      </c>
      <c r="G74" s="4">
        <f t="shared" si="31"/>
        <v>131072</v>
      </c>
      <c r="H74" s="4">
        <f t="shared" si="31"/>
        <v>104857.60000000001</v>
      </c>
      <c r="I74" s="4">
        <f t="shared" si="31"/>
        <v>83886.080000000016</v>
      </c>
      <c r="J74" s="4">
        <f t="shared" si="31"/>
        <v>67108.864000000016</v>
      </c>
      <c r="K74" s="4">
        <f t="shared" si="31"/>
        <v>53687.091200000017</v>
      </c>
      <c r="L74" s="4">
        <f t="shared" si="31"/>
        <v>42949.672960000018</v>
      </c>
      <c r="M74" s="4">
        <f t="shared" si="31"/>
        <v>34359.738368000013</v>
      </c>
      <c r="N74" s="4">
        <f t="shared" si="31"/>
        <v>27487.790694400013</v>
      </c>
      <c r="O74" s="4">
        <f t="shared" si="31"/>
        <v>21990.232555520011</v>
      </c>
      <c r="P74" s="4">
        <f t="shared" si="31"/>
        <v>17592.186044416008</v>
      </c>
      <c r="Q74" s="4">
        <f t="shared" si="31"/>
        <v>14073.748835532808</v>
      </c>
      <c r="R74" s="4">
        <f t="shared" si="31"/>
        <v>11258.999068426247</v>
      </c>
      <c r="S74" s="4">
        <f t="shared" si="31"/>
        <v>9007.1992547409973</v>
      </c>
      <c r="T74" s="4">
        <f t="shared" si="31"/>
        <v>7205.7594037927984</v>
      </c>
      <c r="U74" s="4">
        <f t="shared" si="31"/>
        <v>5764.6075230342394</v>
      </c>
      <c r="V74" s="4">
        <f>U74*0.8</f>
        <v>4611.6860184273919</v>
      </c>
      <c r="W74" s="4"/>
      <c r="X74" s="4">
        <f>V74*0.8</f>
        <v>3689.3488147419139</v>
      </c>
      <c r="Y74" s="4">
        <f t="shared" ref="Y74:Z78" si="32">X74*0.8</f>
        <v>2951.4790517935312</v>
      </c>
      <c r="Z74" s="4">
        <f t="shared" si="32"/>
        <v>2361.183241434825</v>
      </c>
    </row>
    <row r="75" spans="1:26" x14ac:dyDescent="0.3">
      <c r="A75" s="7" t="str">
        <f>Factors!B3</f>
        <v>PinPuw</v>
      </c>
      <c r="B75" s="4">
        <v>1300000</v>
      </c>
      <c r="C75" s="4">
        <f>B75*0.8</f>
        <v>1040000</v>
      </c>
      <c r="D75" s="4">
        <f t="shared" ref="D75:R75" si="33">C75*0.8</f>
        <v>832000</v>
      </c>
      <c r="E75" s="4">
        <f t="shared" si="33"/>
        <v>665600</v>
      </c>
      <c r="F75" s="4">
        <f t="shared" si="33"/>
        <v>532480</v>
      </c>
      <c r="G75" s="4">
        <f t="shared" si="33"/>
        <v>425984</v>
      </c>
      <c r="H75" s="4">
        <f t="shared" si="33"/>
        <v>340787.20000000001</v>
      </c>
      <c r="I75" s="4">
        <f t="shared" si="33"/>
        <v>272629.76000000001</v>
      </c>
      <c r="J75" s="4">
        <f t="shared" si="33"/>
        <v>218103.80800000002</v>
      </c>
      <c r="K75" s="4">
        <f t="shared" si="33"/>
        <v>174483.04640000002</v>
      </c>
      <c r="L75" s="4">
        <f t="shared" si="33"/>
        <v>139586.43712000002</v>
      </c>
      <c r="M75" s="4">
        <f t="shared" si="33"/>
        <v>111669.14969600002</v>
      </c>
      <c r="N75" s="4">
        <f t="shared" si="33"/>
        <v>89335.319756800018</v>
      </c>
      <c r="O75" s="4">
        <f t="shared" si="33"/>
        <v>71468.255805440014</v>
      </c>
      <c r="P75" s="4">
        <f t="shared" si="33"/>
        <v>57174.604644352017</v>
      </c>
      <c r="Q75" s="4">
        <f t="shared" si="33"/>
        <v>45739.683715481617</v>
      </c>
      <c r="R75" s="4">
        <f t="shared" si="33"/>
        <v>36591.746972385292</v>
      </c>
      <c r="S75" s="4">
        <f t="shared" si="31"/>
        <v>29273.397577908236</v>
      </c>
      <c r="T75" s="4">
        <f t="shared" si="31"/>
        <v>23418.718062326589</v>
      </c>
      <c r="U75" s="4">
        <f t="shared" si="31"/>
        <v>18734.974449861271</v>
      </c>
      <c r="V75" s="4">
        <f>U75*0.8</f>
        <v>14987.979559889018</v>
      </c>
      <c r="W75" s="4"/>
      <c r="X75" s="4">
        <f>V75*0.8</f>
        <v>11990.383647911214</v>
      </c>
      <c r="Y75" s="4">
        <f t="shared" si="32"/>
        <v>9592.3069183289717</v>
      </c>
      <c r="Z75" s="4">
        <f t="shared" si="32"/>
        <v>7673.8455346631781</v>
      </c>
    </row>
    <row r="76" spans="1:26" x14ac:dyDescent="0.3">
      <c r="A76" s="7" t="str">
        <f>Factors!B4</f>
        <v>SprTim</v>
      </c>
      <c r="B76" s="4">
        <v>500000</v>
      </c>
      <c r="C76" s="4">
        <f>B76*0.8</f>
        <v>400000</v>
      </c>
      <c r="D76" s="4">
        <f t="shared" si="31"/>
        <v>320000</v>
      </c>
      <c r="E76" s="4">
        <f t="shared" si="31"/>
        <v>256000</v>
      </c>
      <c r="F76" s="4">
        <f t="shared" si="31"/>
        <v>204800</v>
      </c>
      <c r="G76" s="4">
        <f t="shared" si="31"/>
        <v>163840</v>
      </c>
      <c r="H76" s="4">
        <f t="shared" si="31"/>
        <v>131072</v>
      </c>
      <c r="I76" s="4">
        <f t="shared" si="31"/>
        <v>104857.60000000001</v>
      </c>
      <c r="J76" s="4">
        <f t="shared" si="31"/>
        <v>83886.080000000016</v>
      </c>
      <c r="K76" s="4">
        <f t="shared" si="31"/>
        <v>67108.864000000016</v>
      </c>
      <c r="L76" s="4">
        <f t="shared" si="31"/>
        <v>53687.091200000017</v>
      </c>
      <c r="M76" s="4">
        <f t="shared" si="31"/>
        <v>42949.672960000018</v>
      </c>
      <c r="N76" s="4">
        <f t="shared" si="31"/>
        <v>34359.738368000013</v>
      </c>
      <c r="O76" s="4">
        <f t="shared" si="31"/>
        <v>27487.790694400013</v>
      </c>
      <c r="P76" s="4">
        <f t="shared" si="31"/>
        <v>21990.232555520011</v>
      </c>
      <c r="Q76" s="4">
        <f t="shared" si="31"/>
        <v>17592.186044416008</v>
      </c>
      <c r="R76" s="4">
        <f t="shared" si="31"/>
        <v>14073.748835532808</v>
      </c>
      <c r="S76" s="4">
        <f t="shared" si="31"/>
        <v>11258.999068426247</v>
      </c>
      <c r="T76" s="4">
        <f t="shared" si="31"/>
        <v>9007.1992547409973</v>
      </c>
      <c r="U76" s="4">
        <f t="shared" si="31"/>
        <v>7205.7594037927984</v>
      </c>
      <c r="V76" s="4">
        <f>U76*0.8</f>
        <v>5764.6075230342394</v>
      </c>
      <c r="W76" s="4"/>
      <c r="X76" s="4">
        <f>V76*0.8</f>
        <v>4611.6860184273919</v>
      </c>
      <c r="Y76" s="4">
        <f t="shared" si="32"/>
        <v>3689.3488147419139</v>
      </c>
      <c r="Z76" s="4">
        <f t="shared" si="32"/>
        <v>2951.4790517935312</v>
      </c>
    </row>
    <row r="77" spans="1:26" x14ac:dyDescent="0.3">
      <c r="A77" s="7" t="str">
        <f>Factors!B5</f>
        <v>SprPuw</v>
      </c>
      <c r="B77" s="4">
        <v>1800000</v>
      </c>
      <c r="C77" s="4">
        <f>B77*0.8</f>
        <v>1440000</v>
      </c>
      <c r="D77" s="4">
        <f t="shared" si="31"/>
        <v>1152000</v>
      </c>
      <c r="E77" s="4">
        <f t="shared" si="31"/>
        <v>921600</v>
      </c>
      <c r="F77" s="4">
        <f t="shared" si="31"/>
        <v>737280</v>
      </c>
      <c r="G77" s="4">
        <f t="shared" si="31"/>
        <v>589824</v>
      </c>
      <c r="H77" s="4">
        <f t="shared" si="31"/>
        <v>471859.20000000001</v>
      </c>
      <c r="I77" s="4">
        <f t="shared" si="31"/>
        <v>377487.36000000004</v>
      </c>
      <c r="J77" s="4">
        <f t="shared" si="31"/>
        <v>301989.88800000004</v>
      </c>
      <c r="K77" s="4">
        <f t="shared" si="31"/>
        <v>241591.91040000005</v>
      </c>
      <c r="L77" s="4">
        <f t="shared" si="31"/>
        <v>193273.52832000004</v>
      </c>
      <c r="M77" s="4">
        <f t="shared" si="31"/>
        <v>154618.82265600003</v>
      </c>
      <c r="N77" s="4">
        <f t="shared" si="31"/>
        <v>123695.05812480004</v>
      </c>
      <c r="O77" s="4">
        <f t="shared" si="31"/>
        <v>98956.046499840042</v>
      </c>
      <c r="P77" s="4">
        <f t="shared" si="31"/>
        <v>79164.837199872039</v>
      </c>
      <c r="Q77" s="4">
        <f t="shared" si="31"/>
        <v>63331.869759897636</v>
      </c>
      <c r="R77" s="4">
        <f t="shared" si="31"/>
        <v>50665.495807918109</v>
      </c>
      <c r="S77" s="4">
        <f t="shared" si="31"/>
        <v>40532.396646334491</v>
      </c>
      <c r="T77" s="4">
        <f t="shared" si="31"/>
        <v>32425.917317067593</v>
      </c>
      <c r="U77" s="4">
        <f t="shared" si="31"/>
        <v>25940.733853654077</v>
      </c>
      <c r="V77" s="4">
        <f>U77*0.8</f>
        <v>20752.587082923263</v>
      </c>
      <c r="W77" s="4"/>
      <c r="X77" s="4">
        <f>V77*0.8</f>
        <v>16602.069666338612</v>
      </c>
      <c r="Y77" s="4">
        <f t="shared" si="32"/>
        <v>13281.655733070889</v>
      </c>
      <c r="Z77" s="4">
        <f t="shared" si="32"/>
        <v>10625.324586456712</v>
      </c>
    </row>
    <row r="78" spans="1:26" x14ac:dyDescent="0.3">
      <c r="A78" s="7" t="str">
        <f>Factors!B6</f>
        <v>Decids</v>
      </c>
      <c r="B78" s="4">
        <v>2700000</v>
      </c>
      <c r="C78" s="4">
        <f>B78*0.8</f>
        <v>2160000</v>
      </c>
      <c r="D78" s="4">
        <f t="shared" si="31"/>
        <v>1728000</v>
      </c>
      <c r="E78" s="4">
        <f t="shared" si="31"/>
        <v>1382400</v>
      </c>
      <c r="F78" s="4">
        <f t="shared" si="31"/>
        <v>1105920</v>
      </c>
      <c r="G78" s="4">
        <f t="shared" si="31"/>
        <v>884736</v>
      </c>
      <c r="H78" s="4">
        <f t="shared" si="31"/>
        <v>707788.80000000005</v>
      </c>
      <c r="I78" s="4">
        <f t="shared" si="31"/>
        <v>566231.04000000004</v>
      </c>
      <c r="J78" s="4">
        <f t="shared" si="31"/>
        <v>452984.83200000005</v>
      </c>
      <c r="K78" s="4">
        <f t="shared" si="31"/>
        <v>362387.86560000008</v>
      </c>
      <c r="L78" s="4">
        <f t="shared" si="31"/>
        <v>289910.29248000006</v>
      </c>
      <c r="M78" s="4">
        <f t="shared" si="31"/>
        <v>231928.23398400005</v>
      </c>
      <c r="N78" s="4">
        <f t="shared" si="31"/>
        <v>185542.58718720006</v>
      </c>
      <c r="O78" s="4">
        <f t="shared" si="31"/>
        <v>148434.06974976006</v>
      </c>
      <c r="P78" s="4">
        <f t="shared" si="31"/>
        <v>118747.25579980806</v>
      </c>
      <c r="Q78" s="4">
        <f t="shared" si="31"/>
        <v>94997.80463984645</v>
      </c>
      <c r="R78" s="4">
        <f t="shared" si="31"/>
        <v>75998.243711877163</v>
      </c>
      <c r="S78" s="4">
        <f t="shared" si="31"/>
        <v>60798.594969501733</v>
      </c>
      <c r="T78" s="4">
        <f t="shared" si="31"/>
        <v>48638.87597560139</v>
      </c>
      <c r="U78" s="4">
        <f t="shared" si="31"/>
        <v>38911.100780481116</v>
      </c>
      <c r="V78" s="4">
        <f>U78*0.8</f>
        <v>31128.880624384896</v>
      </c>
      <c r="W78" s="4"/>
      <c r="X78" s="4">
        <f>V78*0.8</f>
        <v>24903.104499507917</v>
      </c>
      <c r="Y78" s="4">
        <f t="shared" si="32"/>
        <v>19922.483599606334</v>
      </c>
      <c r="Z78" s="4">
        <f t="shared" si="32"/>
        <v>15937.986879685068</v>
      </c>
    </row>
    <row r="79" spans="1:26" x14ac:dyDescent="0.3">
      <c r="A79" t="str">
        <f>Factors!B7</f>
        <v>Sawdst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/>
      <c r="X79" s="4">
        <v>0</v>
      </c>
      <c r="Y79" s="4">
        <v>0</v>
      </c>
      <c r="Z79" s="4">
        <v>0</v>
      </c>
    </row>
    <row r="80" spans="1:26" x14ac:dyDescent="0.3">
      <c r="A80" t="str">
        <f>Factors!B8</f>
        <v>Chips_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/>
      <c r="X80" s="4">
        <v>0</v>
      </c>
      <c r="Y80" s="4">
        <v>0</v>
      </c>
      <c r="Z80" s="4">
        <v>0</v>
      </c>
    </row>
    <row r="81" spans="1:26" x14ac:dyDescent="0.3">
      <c r="A81" s="7" t="str">
        <f>Factors!B9</f>
        <v>ResStm</v>
      </c>
      <c r="B81" s="4">
        <v>100000000</v>
      </c>
      <c r="C81" s="4">
        <v>100000000</v>
      </c>
      <c r="D81" s="4">
        <v>100000000</v>
      </c>
      <c r="E81" s="4">
        <v>100000000</v>
      </c>
      <c r="F81" s="4">
        <v>100000000</v>
      </c>
      <c r="G81" s="4">
        <v>100000000</v>
      </c>
      <c r="H81" s="4">
        <v>100000000</v>
      </c>
      <c r="I81" s="4">
        <v>100000000</v>
      </c>
      <c r="J81" s="4">
        <v>100000000</v>
      </c>
      <c r="K81" s="4">
        <v>100000000</v>
      </c>
      <c r="L81" s="4">
        <v>100000000</v>
      </c>
      <c r="M81" s="4">
        <v>100000000</v>
      </c>
      <c r="N81" s="4">
        <v>100000000</v>
      </c>
      <c r="O81" s="4">
        <v>100000000</v>
      </c>
      <c r="P81" s="4">
        <v>100000000</v>
      </c>
      <c r="Q81" s="4">
        <v>100000000</v>
      </c>
      <c r="R81" s="4">
        <v>100000000</v>
      </c>
      <c r="S81" s="4">
        <v>100000000</v>
      </c>
      <c r="T81" s="4">
        <v>100000000</v>
      </c>
      <c r="U81" s="4">
        <v>100000000</v>
      </c>
      <c r="V81" s="4">
        <v>100000000</v>
      </c>
      <c r="W81" s="4"/>
      <c r="X81" s="4">
        <v>100000000</v>
      </c>
      <c r="Y81" s="4">
        <v>100000000</v>
      </c>
      <c r="Z81" s="4">
        <v>100000000</v>
      </c>
    </row>
    <row r="82" spans="1:26" x14ac:dyDescent="0.3">
      <c r="A82" t="str">
        <f>Factors!B10</f>
        <v>ResRot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/>
      <c r="X82" s="4">
        <v>0</v>
      </c>
      <c r="Y82" s="4">
        <v>0</v>
      </c>
      <c r="Z82" s="4">
        <v>0</v>
      </c>
    </row>
    <row r="83" spans="1:26" x14ac:dyDescent="0.3">
      <c r="A83" t="str">
        <f>Factors!B11</f>
        <v>Sawnwd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/>
      <c r="X83" s="4">
        <v>0</v>
      </c>
      <c r="Y83" s="4">
        <v>0</v>
      </c>
      <c r="Z83" s="4">
        <v>0</v>
      </c>
    </row>
    <row r="84" spans="1:26" x14ac:dyDescent="0.3">
      <c r="A84" t="e">
        <f>Factors!#REF!</f>
        <v>#REF!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/>
      <c r="X84" s="4"/>
      <c r="Y84" s="4"/>
      <c r="Z84" s="4"/>
    </row>
    <row r="85" spans="1:26" x14ac:dyDescent="0.3">
      <c r="A85" t="str">
        <f>Factors!B12</f>
        <v>Heat__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/>
      <c r="X85" s="4">
        <v>0</v>
      </c>
      <c r="Y85" s="4">
        <v>0</v>
      </c>
      <c r="Z85" s="4">
        <v>0</v>
      </c>
    </row>
    <row r="86" spans="1:26" x14ac:dyDescent="0.3">
      <c r="A86" t="str">
        <f>Factors!B13</f>
        <v>Electr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/>
      <c r="X86" s="4">
        <v>0</v>
      </c>
      <c r="Y86" s="4">
        <v>0</v>
      </c>
      <c r="Z86" s="4">
        <v>0</v>
      </c>
    </row>
    <row r="87" spans="1:26" x14ac:dyDescent="0.3">
      <c r="A87" t="str">
        <f>Factors!B14</f>
        <v>BioFue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/>
      <c r="X87" s="4">
        <v>0</v>
      </c>
      <c r="Y87" s="4">
        <v>0</v>
      </c>
      <c r="Z87" s="4">
        <v>0</v>
      </c>
    </row>
    <row r="88" spans="1:26" x14ac:dyDescent="0.3">
      <c r="A88" t="str">
        <f>Factors!B15</f>
        <v>PuChem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/>
      <c r="X88" s="4">
        <v>0</v>
      </c>
      <c r="Y88" s="4">
        <v>0</v>
      </c>
      <c r="Z88" s="4">
        <v>0</v>
      </c>
    </row>
    <row r="89" spans="1:26" x14ac:dyDescent="0.3">
      <c r="A89" t="str">
        <f>Factors!B16</f>
        <v>PuMech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/>
      <c r="X89" s="4">
        <v>0</v>
      </c>
      <c r="Y89" s="4">
        <v>0</v>
      </c>
      <c r="Z89" s="4">
        <v>0</v>
      </c>
    </row>
    <row r="90" spans="1:26" x14ac:dyDescent="0.3">
      <c r="A90" t="str">
        <f>Factors!B17</f>
        <v>PuDiss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/>
      <c r="X90" s="4">
        <v>0</v>
      </c>
      <c r="Y90" s="4">
        <v>0</v>
      </c>
      <c r="Z90" s="4">
        <v>0</v>
      </c>
    </row>
    <row r="91" spans="1:26" x14ac:dyDescent="0.3">
      <c r="A91" t="str">
        <f>Factors!B18</f>
        <v>PaChem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/>
      <c r="X91" s="4">
        <v>0</v>
      </c>
      <c r="Y91" s="4">
        <v>0</v>
      </c>
      <c r="Z91" s="4">
        <v>0</v>
      </c>
    </row>
    <row r="92" spans="1:26" x14ac:dyDescent="0.3">
      <c r="A92" t="str">
        <f>Factors!B19</f>
        <v>OtChem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/>
      <c r="X92" s="4">
        <v>0</v>
      </c>
      <c r="Y92" s="4">
        <v>0</v>
      </c>
      <c r="Z92" s="4">
        <v>0</v>
      </c>
    </row>
    <row r="93" spans="1:26" x14ac:dyDescent="0.3">
      <c r="A93" t="str">
        <f>Factors!B20</f>
        <v>OtMech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/>
      <c r="X93" s="4">
        <v>0</v>
      </c>
      <c r="Y93" s="4">
        <v>0</v>
      </c>
      <c r="Z93" s="4">
        <v>0</v>
      </c>
    </row>
    <row r="94" spans="1:26" x14ac:dyDescent="0.3">
      <c r="A94" t="str">
        <f>Factors!B21</f>
        <v>NwMech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/>
      <c r="X94" s="4">
        <v>0</v>
      </c>
      <c r="Y94" s="4">
        <v>0</v>
      </c>
      <c r="Z94" s="4">
        <v>0</v>
      </c>
    </row>
    <row r="95" spans="1:26" x14ac:dyDescent="0.3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95"/>
  <sheetViews>
    <sheetView topLeftCell="A2" zoomScale="55" zoomScaleNormal="55" workbookViewId="0">
      <selection activeCell="B42" sqref="B42"/>
    </sheetView>
  </sheetViews>
  <sheetFormatPr defaultRowHeight="16.5" x14ac:dyDescent="0.3"/>
  <cols>
    <col min="1" max="1" width="12.125" customWidth="1"/>
    <col min="2" max="29" width="14.5" customWidth="1"/>
  </cols>
  <sheetData>
    <row r="1" spans="1:29" ht="14.45" x14ac:dyDescent="0.3">
      <c r="A1" s="3" t="s">
        <v>23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Y1">
        <v>23</v>
      </c>
      <c r="AA1">
        <v>22</v>
      </c>
      <c r="AB1">
        <v>23</v>
      </c>
      <c r="AC1">
        <v>24</v>
      </c>
    </row>
    <row r="2" spans="1:29" ht="14.45" x14ac:dyDescent="0.3">
      <c r="A2" s="3" t="s">
        <v>35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Y2">
        <v>5</v>
      </c>
      <c r="AA2">
        <v>5</v>
      </c>
      <c r="AB2">
        <v>5</v>
      </c>
      <c r="AC2">
        <v>5</v>
      </c>
    </row>
    <row r="3" spans="1:29" ht="18" x14ac:dyDescent="0.35">
      <c r="A3" s="8" t="s">
        <v>67</v>
      </c>
    </row>
    <row r="4" spans="1:29" ht="14.45" x14ac:dyDescent="0.3">
      <c r="A4" t="s">
        <v>19</v>
      </c>
      <c r="B4" s="4">
        <v>0</v>
      </c>
      <c r="C4" s="4">
        <f t="shared" ref="C4:R10" si="0">B4</f>
        <v>0</v>
      </c>
      <c r="D4" s="4">
        <f t="shared" si="0"/>
        <v>0</v>
      </c>
      <c r="E4" s="4">
        <f t="shared" si="0"/>
        <v>0</v>
      </c>
      <c r="F4" s="4">
        <f t="shared" si="0"/>
        <v>0</v>
      </c>
      <c r="G4" s="4">
        <f t="shared" si="0"/>
        <v>0</v>
      </c>
      <c r="H4" s="4">
        <f t="shared" si="0"/>
        <v>0</v>
      </c>
      <c r="I4" s="4">
        <f t="shared" si="0"/>
        <v>0</v>
      </c>
      <c r="J4" s="4">
        <f t="shared" si="0"/>
        <v>0</v>
      </c>
      <c r="K4" s="4">
        <f t="shared" si="0"/>
        <v>0</v>
      </c>
      <c r="L4" s="4">
        <f t="shared" si="0"/>
        <v>0</v>
      </c>
      <c r="M4" s="4">
        <f t="shared" si="0"/>
        <v>0</v>
      </c>
      <c r="N4" s="4">
        <f t="shared" si="0"/>
        <v>0</v>
      </c>
      <c r="O4" s="4">
        <f t="shared" si="0"/>
        <v>0</v>
      </c>
      <c r="P4" s="4">
        <f t="shared" si="0"/>
        <v>0</v>
      </c>
      <c r="Q4" s="4">
        <f t="shared" si="0"/>
        <v>0</v>
      </c>
      <c r="R4" s="4">
        <f t="shared" si="0"/>
        <v>0</v>
      </c>
      <c r="S4" s="4">
        <f t="shared" ref="S4:W10" si="1">R4</f>
        <v>0</v>
      </c>
      <c r="T4" s="4">
        <f t="shared" si="1"/>
        <v>0</v>
      </c>
      <c r="U4" s="4">
        <f t="shared" si="1"/>
        <v>0</v>
      </c>
      <c r="V4" s="4">
        <f t="shared" si="1"/>
        <v>0</v>
      </c>
      <c r="W4" s="4">
        <f t="shared" si="1"/>
        <v>0</v>
      </c>
      <c r="X4" s="4"/>
      <c r="Y4" s="4">
        <f t="shared" ref="Y4:Y10" si="2">W4</f>
        <v>0</v>
      </c>
      <c r="Z4" s="4"/>
      <c r="AA4" s="4">
        <f t="shared" ref="AA4:AA10" si="3">V4</f>
        <v>0</v>
      </c>
      <c r="AB4" s="4">
        <f t="shared" ref="AB4:AC10" si="4">AA4</f>
        <v>0</v>
      </c>
      <c r="AC4" s="4">
        <f t="shared" si="4"/>
        <v>0</v>
      </c>
    </row>
    <row r="5" spans="1:29" ht="14.45" x14ac:dyDescent="0.3">
      <c r="A5" t="s">
        <v>20</v>
      </c>
      <c r="B5" s="4">
        <v>0</v>
      </c>
      <c r="C5" s="4">
        <f t="shared" si="0"/>
        <v>0</v>
      </c>
      <c r="D5" s="4">
        <f t="shared" si="0"/>
        <v>0</v>
      </c>
      <c r="E5" s="4">
        <f t="shared" si="0"/>
        <v>0</v>
      </c>
      <c r="F5" s="4">
        <f t="shared" si="0"/>
        <v>0</v>
      </c>
      <c r="G5" s="4">
        <f t="shared" si="0"/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>L5</f>
        <v>0</v>
      </c>
      <c r="N5" s="4">
        <f t="shared" si="0"/>
        <v>0</v>
      </c>
      <c r="O5" s="4">
        <f>N5</f>
        <v>0</v>
      </c>
      <c r="P5" s="4">
        <f>O5</f>
        <v>0</v>
      </c>
      <c r="Q5" s="4">
        <f>P5</f>
        <v>0</v>
      </c>
      <c r="R5" s="4">
        <f>Q5</f>
        <v>0</v>
      </c>
      <c r="S5" s="4">
        <f t="shared" si="1"/>
        <v>0</v>
      </c>
      <c r="T5" s="4">
        <f t="shared" si="1"/>
        <v>0</v>
      </c>
      <c r="U5" s="4">
        <f t="shared" si="1"/>
        <v>0</v>
      </c>
      <c r="V5" s="4">
        <f t="shared" si="1"/>
        <v>0</v>
      </c>
      <c r="W5" s="4">
        <f t="shared" si="1"/>
        <v>0</v>
      </c>
      <c r="X5" s="4"/>
      <c r="Y5" s="4">
        <f t="shared" si="2"/>
        <v>0</v>
      </c>
      <c r="Z5" s="4"/>
      <c r="AA5" s="4">
        <f t="shared" si="3"/>
        <v>0</v>
      </c>
      <c r="AB5" s="4">
        <f t="shared" si="4"/>
        <v>0</v>
      </c>
      <c r="AC5" s="4">
        <f t="shared" si="4"/>
        <v>0</v>
      </c>
    </row>
    <row r="6" spans="1:29" ht="14.45" x14ac:dyDescent="0.3">
      <c r="A6" t="s">
        <v>21</v>
      </c>
      <c r="B6" s="4">
        <v>0</v>
      </c>
      <c r="C6" s="4">
        <f t="shared" si="0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/>
      <c r="Y6" s="4">
        <f t="shared" si="2"/>
        <v>0</v>
      </c>
      <c r="Z6" s="4"/>
      <c r="AA6" s="4">
        <f t="shared" si="3"/>
        <v>0</v>
      </c>
      <c r="AB6" s="4">
        <f t="shared" si="4"/>
        <v>0</v>
      </c>
      <c r="AC6" s="4">
        <f t="shared" si="4"/>
        <v>0</v>
      </c>
    </row>
    <row r="7" spans="1:29" ht="14.45" x14ac:dyDescent="0.3">
      <c r="A7" t="s">
        <v>22</v>
      </c>
      <c r="B7" s="4"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1"/>
        <v>0</v>
      </c>
      <c r="T7" s="4">
        <f t="shared" si="1"/>
        <v>0</v>
      </c>
      <c r="U7" s="4">
        <f t="shared" si="1"/>
        <v>0</v>
      </c>
      <c r="V7" s="4">
        <f t="shared" si="1"/>
        <v>0</v>
      </c>
      <c r="W7" s="4">
        <f t="shared" si="1"/>
        <v>0</v>
      </c>
      <c r="X7" s="4"/>
      <c r="Y7" s="4">
        <f t="shared" si="2"/>
        <v>0</v>
      </c>
      <c r="Z7" s="4"/>
      <c r="AA7" s="4">
        <f t="shared" si="3"/>
        <v>0</v>
      </c>
      <c r="AB7" s="4">
        <f t="shared" si="4"/>
        <v>0</v>
      </c>
      <c r="AC7" s="4">
        <f t="shared" si="4"/>
        <v>0</v>
      </c>
    </row>
    <row r="8" spans="1:29" ht="14.45" x14ac:dyDescent="0.3">
      <c r="A8" t="s">
        <v>5</v>
      </c>
      <c r="B8" s="4">
        <v>0</v>
      </c>
      <c r="C8" s="4">
        <f t="shared" si="0"/>
        <v>0</v>
      </c>
      <c r="D8" s="4">
        <f t="shared" si="0"/>
        <v>0</v>
      </c>
      <c r="E8" s="4">
        <f t="shared" si="0"/>
        <v>0</v>
      </c>
      <c r="F8" s="4">
        <f t="shared" si="0"/>
        <v>0</v>
      </c>
      <c r="G8" s="4">
        <f t="shared" si="0"/>
        <v>0</v>
      </c>
      <c r="H8" s="4">
        <f t="shared" si="0"/>
        <v>0</v>
      </c>
      <c r="I8" s="4">
        <f t="shared" si="0"/>
        <v>0</v>
      </c>
      <c r="J8" s="4">
        <f t="shared" si="0"/>
        <v>0</v>
      </c>
      <c r="K8" s="4">
        <f t="shared" si="0"/>
        <v>0</v>
      </c>
      <c r="L8" s="4">
        <f t="shared" si="0"/>
        <v>0</v>
      </c>
      <c r="M8" s="4">
        <f t="shared" si="0"/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</v>
      </c>
      <c r="R8" s="4">
        <f t="shared" si="0"/>
        <v>0</v>
      </c>
      <c r="S8" s="4">
        <f t="shared" si="1"/>
        <v>0</v>
      </c>
      <c r="T8" s="4">
        <f t="shared" si="1"/>
        <v>0</v>
      </c>
      <c r="U8" s="4">
        <f t="shared" si="1"/>
        <v>0</v>
      </c>
      <c r="V8" s="4">
        <f t="shared" si="1"/>
        <v>0</v>
      </c>
      <c r="W8" s="4">
        <f t="shared" si="1"/>
        <v>0</v>
      </c>
      <c r="X8" s="4"/>
      <c r="Y8" s="4">
        <f t="shared" si="2"/>
        <v>0</v>
      </c>
      <c r="Z8" s="4"/>
      <c r="AA8" s="4">
        <f t="shared" si="3"/>
        <v>0</v>
      </c>
      <c r="AB8" s="4">
        <f t="shared" si="4"/>
        <v>0</v>
      </c>
      <c r="AC8" s="4">
        <f t="shared" si="4"/>
        <v>0</v>
      </c>
    </row>
    <row r="9" spans="1:29" ht="14.45" x14ac:dyDescent="0.3">
      <c r="A9" t="s">
        <v>6</v>
      </c>
      <c r="B9" s="4">
        <v>0</v>
      </c>
      <c r="C9" s="4">
        <f t="shared" si="0"/>
        <v>0</v>
      </c>
      <c r="D9" s="4">
        <f t="shared" si="0"/>
        <v>0</v>
      </c>
      <c r="E9" s="4">
        <f t="shared" si="0"/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1"/>
        <v>0</v>
      </c>
      <c r="T9" s="4">
        <f t="shared" si="1"/>
        <v>0</v>
      </c>
      <c r="U9" s="4">
        <f t="shared" si="1"/>
        <v>0</v>
      </c>
      <c r="V9" s="4">
        <f t="shared" si="1"/>
        <v>0</v>
      </c>
      <c r="W9" s="4">
        <f t="shared" si="1"/>
        <v>0</v>
      </c>
      <c r="X9" s="4"/>
      <c r="Y9" s="4">
        <f t="shared" si="2"/>
        <v>0</v>
      </c>
      <c r="Z9" s="4"/>
      <c r="AA9" s="4">
        <f t="shared" si="3"/>
        <v>0</v>
      </c>
      <c r="AB9" s="4">
        <f t="shared" si="4"/>
        <v>0</v>
      </c>
      <c r="AC9" s="4">
        <f t="shared" si="4"/>
        <v>0</v>
      </c>
    </row>
    <row r="10" spans="1:29" ht="14.45" x14ac:dyDescent="0.3">
      <c r="A10" t="s">
        <v>7</v>
      </c>
      <c r="B10" s="4">
        <v>0</v>
      </c>
      <c r="C10" s="4">
        <f t="shared" si="0"/>
        <v>0</v>
      </c>
      <c r="D10" s="4">
        <f t="shared" si="0"/>
        <v>0</v>
      </c>
      <c r="E10" s="4">
        <f t="shared" si="0"/>
        <v>0</v>
      </c>
      <c r="F10" s="4">
        <f t="shared" si="0"/>
        <v>0</v>
      </c>
      <c r="G10" s="4">
        <f t="shared" si="0"/>
        <v>0</v>
      </c>
      <c r="H10" s="4">
        <f t="shared" si="0"/>
        <v>0</v>
      </c>
      <c r="I10" s="4">
        <f t="shared" si="0"/>
        <v>0</v>
      </c>
      <c r="J10" s="4">
        <f t="shared" si="0"/>
        <v>0</v>
      </c>
      <c r="K10" s="4">
        <f t="shared" si="0"/>
        <v>0</v>
      </c>
      <c r="L10" s="4">
        <f t="shared" si="0"/>
        <v>0</v>
      </c>
      <c r="M10" s="4">
        <f t="shared" si="0"/>
        <v>0</v>
      </c>
      <c r="N10" s="4">
        <f t="shared" si="0"/>
        <v>0</v>
      </c>
      <c r="O10" s="4">
        <f t="shared" si="0"/>
        <v>0</v>
      </c>
      <c r="P10" s="4">
        <f t="shared" si="0"/>
        <v>0</v>
      </c>
      <c r="Q10" s="4">
        <f t="shared" si="0"/>
        <v>0</v>
      </c>
      <c r="R10" s="4">
        <f t="shared" si="0"/>
        <v>0</v>
      </c>
      <c r="S10" s="4">
        <f t="shared" si="1"/>
        <v>0</v>
      </c>
      <c r="T10" s="4">
        <f t="shared" si="1"/>
        <v>0</v>
      </c>
      <c r="U10" s="4">
        <f t="shared" si="1"/>
        <v>0</v>
      </c>
      <c r="V10" s="4">
        <f t="shared" si="1"/>
        <v>0</v>
      </c>
      <c r="W10" s="4">
        <f t="shared" si="1"/>
        <v>0</v>
      </c>
      <c r="X10" s="4"/>
      <c r="Y10" s="4">
        <f t="shared" si="2"/>
        <v>0</v>
      </c>
      <c r="Z10" s="4"/>
      <c r="AA10" s="4">
        <f t="shared" si="3"/>
        <v>0</v>
      </c>
      <c r="AB10" s="4">
        <f t="shared" si="4"/>
        <v>0</v>
      </c>
      <c r="AC10" s="4">
        <f t="shared" si="4"/>
        <v>0</v>
      </c>
    </row>
    <row r="11" spans="1:29" ht="14.45" x14ac:dyDescent="0.3">
      <c r="A11" t="s">
        <v>24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/>
      <c r="Y11" s="4">
        <v>0</v>
      </c>
      <c r="Z11" s="4"/>
      <c r="AA11" s="4">
        <v>0</v>
      </c>
      <c r="AB11" s="4">
        <v>0</v>
      </c>
      <c r="AC11" s="4">
        <v>0</v>
      </c>
    </row>
    <row r="12" spans="1:29" ht="14.45" x14ac:dyDescent="0.3">
      <c r="A12" t="s">
        <v>25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/>
      <c r="Y12" s="4">
        <v>0</v>
      </c>
      <c r="Z12" s="4"/>
      <c r="AA12" s="4">
        <v>0</v>
      </c>
      <c r="AB12" s="4">
        <v>0</v>
      </c>
      <c r="AC12" s="4">
        <v>0</v>
      </c>
    </row>
    <row r="13" spans="1:29" ht="14.45" x14ac:dyDescent="0.3">
      <c r="A13" t="s">
        <v>178</v>
      </c>
      <c r="B13" s="5">
        <v>2152.3303600805457</v>
      </c>
      <c r="C13" s="4">
        <f>(B13+D13)/2</f>
        <v>2082.7167143896008</v>
      </c>
      <c r="D13" s="5">
        <v>2013.103068698656</v>
      </c>
      <c r="E13" s="4">
        <f>(D13+F13)/2</f>
        <v>1998.5886575949798</v>
      </c>
      <c r="F13" s="5">
        <v>1984.0742464913039</v>
      </c>
      <c r="G13" s="4">
        <f t="shared" ref="G13:G19" si="5">(F13+H13)/2</f>
        <v>2008.9280625216443</v>
      </c>
      <c r="H13" s="5">
        <v>2033.7818785519844</v>
      </c>
      <c r="I13" s="4">
        <f t="shared" ref="I13:I19" si="6">(H13+J13)/2</f>
        <v>2067.9867920368752</v>
      </c>
      <c r="J13" s="5">
        <v>2102.1917055217659</v>
      </c>
      <c r="K13" s="4">
        <f t="shared" ref="K13:K19" si="7">(J13+L13)/2</f>
        <v>2134.9267241471343</v>
      </c>
      <c r="L13" s="5">
        <v>2167.6617427725032</v>
      </c>
      <c r="M13" s="4">
        <f t="shared" ref="M13:M19" si="8">(L13+N13)/2</f>
        <v>2181.880841005428</v>
      </c>
      <c r="N13" s="5">
        <v>2196.0999392383533</v>
      </c>
      <c r="O13" s="4">
        <f t="shared" ref="O13:O19" si="9">(N13+P13)/2</f>
        <v>2197.2824860509736</v>
      </c>
      <c r="P13" s="5">
        <v>2198.4650328635939</v>
      </c>
      <c r="Q13" s="4">
        <f t="shared" ref="Q13:Q19" si="10">(P13+R13)/2</f>
        <v>2175.0298872171925</v>
      </c>
      <c r="R13" s="5">
        <v>2151.594741570791</v>
      </c>
      <c r="S13" s="39">
        <f>R13</f>
        <v>2151.594741570791</v>
      </c>
      <c r="T13" s="39">
        <f>S13</f>
        <v>2151.594741570791</v>
      </c>
      <c r="U13" s="39">
        <f>T13</f>
        <v>2151.594741570791</v>
      </c>
      <c r="V13" s="39">
        <f>U13</f>
        <v>2151.594741570791</v>
      </c>
      <c r="W13" s="39">
        <f>V13</f>
        <v>2151.594741570791</v>
      </c>
      <c r="X13" s="39"/>
      <c r="Y13" s="39">
        <f>W13</f>
        <v>2151.594741570791</v>
      </c>
      <c r="Z13" s="4"/>
      <c r="AA13" s="4">
        <f t="shared" ref="AA13:AA24" si="11">V13</f>
        <v>2151.594741570791</v>
      </c>
      <c r="AB13" s="4">
        <f t="shared" ref="AB13:AC24" si="12">AA13</f>
        <v>2151.594741570791</v>
      </c>
      <c r="AC13" s="4">
        <f t="shared" si="12"/>
        <v>2151.594741570791</v>
      </c>
    </row>
    <row r="14" spans="1:29" ht="14.45" x14ac:dyDescent="0.3">
      <c r="A14" t="s">
        <v>179</v>
      </c>
      <c r="B14" s="4">
        <f>3000*1.5</f>
        <v>4500</v>
      </c>
      <c r="C14" s="4">
        <f>$B$14/$B$13*C13</f>
        <v>4354.4547754288387</v>
      </c>
      <c r="D14" s="4">
        <f t="shared" ref="D14:W14" si="13">$B$14/$B$13*D13</f>
        <v>4208.9095508576775</v>
      </c>
      <c r="E14" s="4">
        <f t="shared" si="13"/>
        <v>4178.5634426681809</v>
      </c>
      <c r="F14" s="4">
        <f t="shared" si="13"/>
        <v>4148.2173344786843</v>
      </c>
      <c r="G14" s="4">
        <f t="shared" si="13"/>
        <v>4200.1806270154057</v>
      </c>
      <c r="H14" s="4">
        <f t="shared" si="13"/>
        <v>4252.1439195521261</v>
      </c>
      <c r="I14" s="4">
        <f t="shared" si="13"/>
        <v>4323.6580855634484</v>
      </c>
      <c r="J14" s="4">
        <f t="shared" si="13"/>
        <v>4395.1722515747697</v>
      </c>
      <c r="K14" s="4">
        <f t="shared" si="13"/>
        <v>4463.6132244599203</v>
      </c>
      <c r="L14" s="4">
        <f t="shared" si="13"/>
        <v>4532.0541973450709</v>
      </c>
      <c r="M14" s="4">
        <f t="shared" si="13"/>
        <v>4561.7828780508371</v>
      </c>
      <c r="N14" s="4">
        <f t="shared" si="13"/>
        <v>4591.5115587566042</v>
      </c>
      <c r="O14" s="4">
        <f t="shared" si="13"/>
        <v>4593.9839769111268</v>
      </c>
      <c r="P14" s="4">
        <f t="shared" si="13"/>
        <v>4596.4563950656484</v>
      </c>
      <c r="Q14" s="4">
        <f t="shared" si="13"/>
        <v>4547.4591977186483</v>
      </c>
      <c r="R14" s="4">
        <f t="shared" si="13"/>
        <v>4498.4620003716473</v>
      </c>
      <c r="S14" s="4">
        <f t="shared" si="13"/>
        <v>4498.4620003716473</v>
      </c>
      <c r="T14" s="4">
        <f t="shared" si="13"/>
        <v>4498.4620003716473</v>
      </c>
      <c r="U14" s="4">
        <f t="shared" si="13"/>
        <v>4498.4620003716473</v>
      </c>
      <c r="V14" s="4">
        <f t="shared" si="13"/>
        <v>4498.4620003716473</v>
      </c>
      <c r="W14" s="4">
        <f t="shared" si="13"/>
        <v>4498.4620003716473</v>
      </c>
      <c r="X14" s="39"/>
      <c r="Y14" s="39"/>
      <c r="Z14" s="4"/>
      <c r="AA14" s="4"/>
      <c r="AB14" s="4"/>
      <c r="AC14" s="4"/>
    </row>
    <row r="15" spans="1:29" ht="14.45" x14ac:dyDescent="0.3">
      <c r="A15" t="s">
        <v>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/>
      <c r="Y15" s="4">
        <v>0</v>
      </c>
      <c r="Z15" s="4"/>
      <c r="AA15" s="4">
        <f t="shared" si="11"/>
        <v>0</v>
      </c>
      <c r="AB15" s="4">
        <f t="shared" si="12"/>
        <v>0</v>
      </c>
      <c r="AC15" s="4">
        <f t="shared" si="12"/>
        <v>0</v>
      </c>
    </row>
    <row r="16" spans="1:29" ht="14.45" x14ac:dyDescent="0.3">
      <c r="A16" t="s">
        <v>9</v>
      </c>
      <c r="B16" s="4">
        <v>650</v>
      </c>
      <c r="C16" s="4">
        <v>650</v>
      </c>
      <c r="D16" s="4">
        <v>650</v>
      </c>
      <c r="E16" s="4">
        <v>650</v>
      </c>
      <c r="F16" s="4">
        <v>650</v>
      </c>
      <c r="G16" s="4">
        <v>650</v>
      </c>
      <c r="H16" s="4">
        <v>650</v>
      </c>
      <c r="I16" s="4">
        <v>650</v>
      </c>
      <c r="J16" s="4">
        <v>650</v>
      </c>
      <c r="K16" s="4">
        <v>650</v>
      </c>
      <c r="L16" s="4">
        <v>650</v>
      </c>
      <c r="M16" s="4">
        <v>650</v>
      </c>
      <c r="N16" s="4">
        <v>650</v>
      </c>
      <c r="O16" s="4">
        <v>650</v>
      </c>
      <c r="P16" s="4">
        <v>650</v>
      </c>
      <c r="Q16" s="4">
        <v>650</v>
      </c>
      <c r="R16" s="4">
        <v>650</v>
      </c>
      <c r="S16" s="4">
        <v>650</v>
      </c>
      <c r="T16" s="4">
        <v>650</v>
      </c>
      <c r="U16" s="4">
        <v>650</v>
      </c>
      <c r="V16" s="4">
        <v>650</v>
      </c>
      <c r="W16" s="4">
        <v>650</v>
      </c>
      <c r="X16" s="4"/>
      <c r="Y16" s="4">
        <v>650</v>
      </c>
      <c r="Z16" s="4"/>
      <c r="AA16" s="4">
        <f t="shared" si="11"/>
        <v>650</v>
      </c>
      <c r="AB16" s="4">
        <f t="shared" si="12"/>
        <v>650</v>
      </c>
      <c r="AC16" s="4">
        <f t="shared" si="12"/>
        <v>650</v>
      </c>
    </row>
    <row r="17" spans="1:29" ht="14.45" x14ac:dyDescent="0.3">
      <c r="A17" t="s">
        <v>52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/>
      <c r="Y17" s="4">
        <v>0</v>
      </c>
      <c r="Z17" s="4"/>
      <c r="AA17" s="4">
        <f t="shared" si="11"/>
        <v>0</v>
      </c>
      <c r="AB17" s="4">
        <f t="shared" si="12"/>
        <v>0</v>
      </c>
      <c r="AC17" s="4">
        <f t="shared" si="12"/>
        <v>0</v>
      </c>
    </row>
    <row r="18" spans="1:29" ht="14.45" x14ac:dyDescent="0.3">
      <c r="A18" t="s">
        <v>27</v>
      </c>
      <c r="B18" s="5">
        <v>5671.6872449494349</v>
      </c>
      <c r="C18" s="4">
        <f>(B18+D18)/2</f>
        <v>6044.5608275464238</v>
      </c>
      <c r="D18" s="4">
        <v>6417.4344101434117</v>
      </c>
      <c r="E18" s="4">
        <f>(D18+F18)/2</f>
        <v>6434.7604303982134</v>
      </c>
      <c r="F18" s="4">
        <v>6452.0864506530152</v>
      </c>
      <c r="G18" s="4">
        <f t="shared" si="5"/>
        <v>6350.0741764146633</v>
      </c>
      <c r="H18" s="4">
        <v>6248.0619021763114</v>
      </c>
      <c r="I18" s="4">
        <f t="shared" si="6"/>
        <v>6270.7509429341044</v>
      </c>
      <c r="J18" s="4">
        <v>6293.4399836918983</v>
      </c>
      <c r="K18" s="4">
        <f t="shared" si="7"/>
        <v>6375.9677459828445</v>
      </c>
      <c r="L18" s="4">
        <v>6458.4955082737906</v>
      </c>
      <c r="M18" s="4">
        <f t="shared" si="8"/>
        <v>6444.1178211109491</v>
      </c>
      <c r="N18" s="4">
        <v>6429.7401339481075</v>
      </c>
      <c r="O18" s="4">
        <f t="shared" si="9"/>
        <v>6331.6334701463602</v>
      </c>
      <c r="P18" s="4">
        <v>6233.5268063446129</v>
      </c>
      <c r="Q18" s="4">
        <f t="shared" si="10"/>
        <v>6234.7921872043298</v>
      </c>
      <c r="R18" s="4">
        <v>6236.0575680640459</v>
      </c>
      <c r="S18" s="4">
        <f>R18</f>
        <v>6236.0575680640459</v>
      </c>
      <c r="T18" s="4">
        <f t="shared" ref="T18:W24" si="14">S18</f>
        <v>6236.0575680640459</v>
      </c>
      <c r="U18" s="4">
        <f t="shared" si="14"/>
        <v>6236.0575680640459</v>
      </c>
      <c r="V18" s="4">
        <f t="shared" si="14"/>
        <v>6236.0575680640459</v>
      </c>
      <c r="W18" s="4">
        <f t="shared" si="14"/>
        <v>6236.0575680640459</v>
      </c>
      <c r="X18" s="4"/>
      <c r="Y18" s="4">
        <f t="shared" ref="Y18:Y24" si="15">W18</f>
        <v>6236.0575680640459</v>
      </c>
      <c r="Z18" s="4"/>
      <c r="AA18" s="4">
        <f t="shared" si="11"/>
        <v>6236.0575680640459</v>
      </c>
      <c r="AB18" s="4">
        <f t="shared" si="12"/>
        <v>6236.0575680640459</v>
      </c>
      <c r="AC18" s="4">
        <f t="shared" si="12"/>
        <v>6236.0575680640459</v>
      </c>
    </row>
    <row r="19" spans="1:29" ht="14.45" x14ac:dyDescent="0.3">
      <c r="A19" t="s">
        <v>26</v>
      </c>
      <c r="B19" s="5">
        <v>4521.8222798989136</v>
      </c>
      <c r="C19" s="4">
        <f>(B19+D19)/2</f>
        <v>4883.6395796509914</v>
      </c>
      <c r="D19" s="4">
        <v>5245.4568794030683</v>
      </c>
      <c r="E19" s="4">
        <f>(D19+F19)/2</f>
        <v>5259.6187525644964</v>
      </c>
      <c r="F19" s="4">
        <v>5273.7806257259244</v>
      </c>
      <c r="G19" s="4">
        <f t="shared" si="5"/>
        <v>5190.3982408835836</v>
      </c>
      <c r="H19" s="4">
        <v>5107.0158560412428</v>
      </c>
      <c r="I19" s="4">
        <f t="shared" si="6"/>
        <v>5125.5613334584923</v>
      </c>
      <c r="J19" s="4">
        <v>5144.1068108757418</v>
      </c>
      <c r="K19" s="4">
        <f t="shared" si="7"/>
        <v>5211.5630232472386</v>
      </c>
      <c r="L19" s="4">
        <v>5279.0192356187354</v>
      </c>
      <c r="M19" s="4">
        <f t="shared" si="8"/>
        <v>5267.2672591717255</v>
      </c>
      <c r="N19" s="4">
        <v>5255.5152827247166</v>
      </c>
      <c r="O19" s="4">
        <f t="shared" si="9"/>
        <v>5175.3252501252728</v>
      </c>
      <c r="P19" s="4">
        <v>5095.1352175258289</v>
      </c>
      <c r="Q19" s="4">
        <f t="shared" si="10"/>
        <v>5096.1695094735896</v>
      </c>
      <c r="R19" s="4">
        <v>5097.2038014213504</v>
      </c>
      <c r="S19" s="4">
        <f>R19</f>
        <v>5097.2038014213504</v>
      </c>
      <c r="T19" s="4">
        <f t="shared" si="14"/>
        <v>5097.2038014213504</v>
      </c>
      <c r="U19" s="4">
        <f t="shared" si="14"/>
        <v>5097.2038014213504</v>
      </c>
      <c r="V19" s="4">
        <f t="shared" si="14"/>
        <v>5097.2038014213504</v>
      </c>
      <c r="W19" s="4">
        <f t="shared" si="14"/>
        <v>5097.2038014213504</v>
      </c>
      <c r="X19" s="4"/>
      <c r="Y19" s="4">
        <f t="shared" si="15"/>
        <v>5097.2038014213504</v>
      </c>
      <c r="Z19" s="4"/>
      <c r="AA19" s="4">
        <f t="shared" si="11"/>
        <v>5097.2038014213504</v>
      </c>
      <c r="AB19" s="4">
        <f t="shared" si="12"/>
        <v>5097.2038014213504</v>
      </c>
      <c r="AC19" s="4">
        <f t="shared" si="12"/>
        <v>5097.2038014213504</v>
      </c>
    </row>
    <row r="20" spans="1:29" ht="14.45" x14ac:dyDescent="0.3">
      <c r="A20" t="s">
        <v>10</v>
      </c>
      <c r="B20" s="11">
        <v>7543.8622572003678</v>
      </c>
      <c r="C20" s="4">
        <v>7543.8622572003678</v>
      </c>
      <c r="D20" s="4">
        <v>7543.8622572003678</v>
      </c>
      <c r="E20" s="4">
        <v>7543.8622572003678</v>
      </c>
      <c r="F20" s="4">
        <v>7543.8622572003678</v>
      </c>
      <c r="G20" s="4">
        <v>7543.8622572003678</v>
      </c>
      <c r="H20" s="4">
        <v>7543.8622572003678</v>
      </c>
      <c r="I20" s="4">
        <v>7543.8622572003678</v>
      </c>
      <c r="J20" s="4">
        <v>7543.8622572003678</v>
      </c>
      <c r="K20" s="4">
        <v>7543.8622572003678</v>
      </c>
      <c r="L20" s="4">
        <v>7543.8622572003678</v>
      </c>
      <c r="M20" s="4">
        <v>7543.8622572003678</v>
      </c>
      <c r="N20" s="4">
        <v>7543.8622572003678</v>
      </c>
      <c r="O20" s="4">
        <v>7543.8622572003678</v>
      </c>
      <c r="P20" s="4">
        <v>7543.8622572003678</v>
      </c>
      <c r="Q20" s="4">
        <v>7543.8622572003678</v>
      </c>
      <c r="R20" s="4">
        <v>7543.8622572003678</v>
      </c>
      <c r="S20" s="4">
        <v>7543.8622572003678</v>
      </c>
      <c r="T20" s="4">
        <v>7543.8622572003678</v>
      </c>
      <c r="U20" s="4">
        <v>7543.8622572003678</v>
      </c>
      <c r="V20" s="4">
        <v>7543.8622572003678</v>
      </c>
      <c r="W20" s="4">
        <f t="shared" si="14"/>
        <v>7543.8622572003678</v>
      </c>
      <c r="X20" s="4"/>
      <c r="Y20" s="4">
        <f t="shared" si="15"/>
        <v>7543.8622572003678</v>
      </c>
      <c r="Z20" s="4"/>
      <c r="AA20" s="4">
        <f t="shared" si="11"/>
        <v>7543.8622572003678</v>
      </c>
      <c r="AB20" s="4">
        <f t="shared" si="12"/>
        <v>7543.8622572003678</v>
      </c>
      <c r="AC20" s="4">
        <f t="shared" si="12"/>
        <v>7543.8622572003678</v>
      </c>
    </row>
    <row r="21" spans="1:29" ht="14.45" x14ac:dyDescent="0.3">
      <c r="A21" t="s">
        <v>29</v>
      </c>
      <c r="B21" s="5">
        <v>7987.3416225966748</v>
      </c>
      <c r="C21" s="4">
        <f>(B21+D21)/2</f>
        <v>7777.7665619456166</v>
      </c>
      <c r="D21" s="4">
        <v>7568.1915012945574</v>
      </c>
      <c r="E21" s="4">
        <f>(D21+F21)/2</f>
        <v>7570.6530120540574</v>
      </c>
      <c r="F21" s="4">
        <v>7573.1145228135574</v>
      </c>
      <c r="G21" s="4">
        <f>(F21+H21)/2</f>
        <v>7604.3067254607995</v>
      </c>
      <c r="H21" s="4">
        <v>7635.4989281080425</v>
      </c>
      <c r="I21" s="4">
        <f>(H21+J21)/2</f>
        <v>7696.5197951412447</v>
      </c>
      <c r="J21" s="4">
        <v>7757.540662174446</v>
      </c>
      <c r="K21" s="4">
        <f>(J21+L21)/2</f>
        <v>7827.7318868540369</v>
      </c>
      <c r="L21" s="4">
        <v>7897.9231115336288</v>
      </c>
      <c r="M21" s="4">
        <f>(L21+N21)/2</f>
        <v>7883.9764948612737</v>
      </c>
      <c r="N21" s="4">
        <v>7870.0298781889196</v>
      </c>
      <c r="O21" s="4">
        <f>(N21+P21)/2</f>
        <v>7790.4231871286011</v>
      </c>
      <c r="P21" s="4">
        <v>7710.8164960682825</v>
      </c>
      <c r="Q21" s="4">
        <f>(P21+R21)/2</f>
        <v>7733.4271708418773</v>
      </c>
      <c r="R21" s="4">
        <v>7756.0378456154722</v>
      </c>
      <c r="S21" s="4">
        <f t="shared" ref="S21:V24" si="16">R21</f>
        <v>7756.0378456154722</v>
      </c>
      <c r="T21" s="4">
        <f t="shared" si="16"/>
        <v>7756.0378456154722</v>
      </c>
      <c r="U21" s="4">
        <f t="shared" si="16"/>
        <v>7756.0378456154722</v>
      </c>
      <c r="V21" s="4">
        <f t="shared" si="16"/>
        <v>7756.0378456154722</v>
      </c>
      <c r="W21" s="4">
        <f t="shared" si="14"/>
        <v>7756.0378456154722</v>
      </c>
      <c r="X21" s="4"/>
      <c r="Y21" s="4">
        <f t="shared" si="15"/>
        <v>7756.0378456154722</v>
      </c>
      <c r="Z21" s="4"/>
      <c r="AA21" s="4">
        <f t="shared" si="11"/>
        <v>7756.0378456154722</v>
      </c>
      <c r="AB21" s="4">
        <f t="shared" si="12"/>
        <v>7756.0378456154722</v>
      </c>
      <c r="AC21" s="4">
        <f t="shared" si="12"/>
        <v>7756.0378456154722</v>
      </c>
    </row>
    <row r="22" spans="1:29" ht="14.45" x14ac:dyDescent="0.3">
      <c r="A22" t="s">
        <v>31</v>
      </c>
      <c r="B22" s="5">
        <v>8979.0977576808982</v>
      </c>
      <c r="C22" s="4">
        <f>(B22+D22)/2</f>
        <v>8170.0115705712797</v>
      </c>
      <c r="D22" s="4">
        <v>7360.9253834616602</v>
      </c>
      <c r="E22" s="4">
        <f>(D22+F22)/2</f>
        <v>7390.645913391063</v>
      </c>
      <c r="F22" s="4">
        <v>7420.3664433204667</v>
      </c>
      <c r="G22" s="4">
        <f>(F22+H22)/2</f>
        <v>7424.8682260145652</v>
      </c>
      <c r="H22" s="4">
        <v>7429.3700087086627</v>
      </c>
      <c r="I22" s="4">
        <f>(H22+J22)/2</f>
        <v>7433.1005083415166</v>
      </c>
      <c r="J22" s="4">
        <v>7436.8310079743696</v>
      </c>
      <c r="K22" s="4">
        <f>(J22+L22)/2</f>
        <v>7466.0089758675749</v>
      </c>
      <c r="L22" s="4">
        <v>7495.1869437607802</v>
      </c>
      <c r="M22" s="4">
        <f>(L22+N22)/2</f>
        <v>7417.2178890703581</v>
      </c>
      <c r="N22" s="4">
        <v>7339.2488343799369</v>
      </c>
      <c r="O22" s="4">
        <f>(N22+P22)/2</f>
        <v>7233.4622485943801</v>
      </c>
      <c r="P22" s="4">
        <v>7127.6756628088224</v>
      </c>
      <c r="Q22" s="4">
        <f>(P22+R22)/2</f>
        <v>7128.4761771739659</v>
      </c>
      <c r="R22" s="4">
        <v>7129.2766915391094</v>
      </c>
      <c r="S22" s="4">
        <f t="shared" si="16"/>
        <v>7129.2766915391094</v>
      </c>
      <c r="T22" s="4">
        <f t="shared" si="16"/>
        <v>7129.2766915391094</v>
      </c>
      <c r="U22" s="4">
        <f t="shared" si="16"/>
        <v>7129.2766915391094</v>
      </c>
      <c r="V22" s="4">
        <f t="shared" si="16"/>
        <v>7129.2766915391094</v>
      </c>
      <c r="W22" s="4">
        <f t="shared" si="14"/>
        <v>7129.2766915391094</v>
      </c>
      <c r="X22" s="4"/>
      <c r="Y22" s="4">
        <f t="shared" si="15"/>
        <v>7129.2766915391094</v>
      </c>
      <c r="Z22" s="4"/>
      <c r="AA22" s="4">
        <f t="shared" si="11"/>
        <v>7129.2766915391094</v>
      </c>
      <c r="AB22" s="4">
        <f t="shared" si="12"/>
        <v>7129.2766915391094</v>
      </c>
      <c r="AC22" s="4">
        <f t="shared" si="12"/>
        <v>7129.2766915391094</v>
      </c>
    </row>
    <row r="23" spans="1:29" ht="14.45" x14ac:dyDescent="0.3">
      <c r="A23" t="s">
        <v>30</v>
      </c>
      <c r="B23" s="5">
        <v>6194.744892345203</v>
      </c>
      <c r="C23" s="4">
        <f>(B23+D23)/2</f>
        <v>5929.9977010265711</v>
      </c>
      <c r="D23" s="4">
        <v>5665.2505097079393</v>
      </c>
      <c r="E23" s="4">
        <f>(D23+F23)/2</f>
        <v>5682.3230597890597</v>
      </c>
      <c r="F23" s="4">
        <v>5699.3956098701801</v>
      </c>
      <c r="G23" s="4">
        <f>(F23+H23)/2</f>
        <v>5712.5328063520737</v>
      </c>
      <c r="H23" s="4">
        <v>5725.6700028339683</v>
      </c>
      <c r="I23" s="4">
        <f>(H23+J23)/2</f>
        <v>5770.1580473550293</v>
      </c>
      <c r="J23" s="4">
        <v>5814.6460918760904</v>
      </c>
      <c r="K23" s="4">
        <f>(J23+L23)/2</f>
        <v>5860.0379633617831</v>
      </c>
      <c r="L23" s="4">
        <v>5905.4298348474758</v>
      </c>
      <c r="M23" s="4">
        <f>(L23+N23)/2</f>
        <v>5897.5218277739723</v>
      </c>
      <c r="N23" s="4">
        <v>5889.6138207004688</v>
      </c>
      <c r="O23" s="4">
        <f>(N23+P23)/2</f>
        <v>5835.6532509290582</v>
      </c>
      <c r="P23" s="4">
        <v>5781.6926811576477</v>
      </c>
      <c r="Q23" s="4">
        <f>(P23+R23)/2</f>
        <v>5782.3886651970824</v>
      </c>
      <c r="R23" s="4">
        <v>5783.0846492365163</v>
      </c>
      <c r="S23" s="4">
        <f t="shared" si="16"/>
        <v>5783.0846492365163</v>
      </c>
      <c r="T23" s="4">
        <f t="shared" si="16"/>
        <v>5783.0846492365163</v>
      </c>
      <c r="U23" s="4">
        <f t="shared" si="16"/>
        <v>5783.0846492365163</v>
      </c>
      <c r="V23" s="4">
        <f t="shared" si="16"/>
        <v>5783.0846492365163</v>
      </c>
      <c r="W23" s="4">
        <f t="shared" si="14"/>
        <v>5783.0846492365163</v>
      </c>
      <c r="X23" s="4"/>
      <c r="Y23" s="4">
        <f t="shared" si="15"/>
        <v>5783.0846492365163</v>
      </c>
      <c r="Z23" s="4"/>
      <c r="AA23" s="4">
        <f t="shared" si="11"/>
        <v>5783.0846492365163</v>
      </c>
      <c r="AB23" s="4">
        <f t="shared" si="12"/>
        <v>5783.0846492365163</v>
      </c>
      <c r="AC23" s="4">
        <f t="shared" si="12"/>
        <v>5783.0846492365163</v>
      </c>
    </row>
    <row r="24" spans="1:29" ht="14.45" x14ac:dyDescent="0.3">
      <c r="A24" t="s">
        <v>28</v>
      </c>
      <c r="B24" s="5">
        <v>5203.8884869339317</v>
      </c>
      <c r="C24" s="4">
        <f>(B24+D24)/2</f>
        <v>4496.3514217711663</v>
      </c>
      <c r="D24" s="4">
        <v>3788.8143566084013</v>
      </c>
      <c r="E24" s="4">
        <f>(D24+F24)/2</f>
        <v>3791.2725347503438</v>
      </c>
      <c r="F24" s="4">
        <v>3793.7307128922862</v>
      </c>
      <c r="G24" s="4">
        <f>(F24+H24)/2</f>
        <v>3822.0281981675271</v>
      </c>
      <c r="H24" s="4">
        <v>3850.325683442768</v>
      </c>
      <c r="I24" s="4">
        <f>(H24+J24)/2</f>
        <v>3864.0911004642712</v>
      </c>
      <c r="J24" s="4">
        <v>3877.8565174857749</v>
      </c>
      <c r="K24" s="4">
        <f>(J24+L24)/2</f>
        <v>3858.923576811671</v>
      </c>
      <c r="L24" s="4">
        <v>3839.990636137567</v>
      </c>
      <c r="M24" s="4">
        <f>(L24+N24)/2</f>
        <v>3819.6773973329073</v>
      </c>
      <c r="N24" s="4">
        <v>3799.364158528248</v>
      </c>
      <c r="O24" s="4">
        <f>(N24+P24)/2</f>
        <v>3754.1684379132394</v>
      </c>
      <c r="P24" s="4">
        <v>3708.9727172982311</v>
      </c>
      <c r="Q24" s="4">
        <f>(P24+R24)/2</f>
        <v>3709.5556522140814</v>
      </c>
      <c r="R24" s="4">
        <v>3710.1385871299317</v>
      </c>
      <c r="S24" s="4">
        <f t="shared" si="16"/>
        <v>3710.1385871299317</v>
      </c>
      <c r="T24" s="4">
        <f t="shared" si="16"/>
        <v>3710.1385871299317</v>
      </c>
      <c r="U24" s="4">
        <f t="shared" si="16"/>
        <v>3710.1385871299317</v>
      </c>
      <c r="V24" s="4">
        <f t="shared" si="16"/>
        <v>3710.1385871299317</v>
      </c>
      <c r="W24" s="4">
        <f t="shared" si="14"/>
        <v>3710.1385871299317</v>
      </c>
      <c r="X24" s="4"/>
      <c r="Y24" s="4">
        <f t="shared" si="15"/>
        <v>3710.1385871299317</v>
      </c>
      <c r="Z24" s="4"/>
      <c r="AA24" s="4">
        <f t="shared" si="11"/>
        <v>3710.1385871299317</v>
      </c>
      <c r="AB24" s="4">
        <f t="shared" si="12"/>
        <v>3710.1385871299317</v>
      </c>
      <c r="AC24" s="4">
        <f t="shared" si="12"/>
        <v>3710.1385871299317</v>
      </c>
    </row>
    <row r="25" spans="1:29" ht="14.45" x14ac:dyDescent="0.3">
      <c r="A25" t="s">
        <v>183</v>
      </c>
      <c r="B25" s="4">
        <v>1738</v>
      </c>
      <c r="C25" s="4">
        <v>1738</v>
      </c>
      <c r="D25" s="4">
        <v>1738</v>
      </c>
      <c r="E25" s="4">
        <v>1738</v>
      </c>
      <c r="F25" s="4">
        <v>1738</v>
      </c>
      <c r="G25" s="4">
        <v>1738</v>
      </c>
      <c r="H25" s="4">
        <v>1738</v>
      </c>
      <c r="I25" s="4">
        <v>1738</v>
      </c>
      <c r="J25" s="4">
        <v>1738</v>
      </c>
      <c r="K25" s="4">
        <v>1738</v>
      </c>
      <c r="L25" s="4">
        <v>1738</v>
      </c>
      <c r="M25" s="4">
        <v>1738</v>
      </c>
      <c r="N25" s="4">
        <v>1738</v>
      </c>
      <c r="O25" s="4">
        <v>1738</v>
      </c>
      <c r="P25" s="4">
        <v>1738</v>
      </c>
      <c r="Q25" s="4">
        <v>1738</v>
      </c>
      <c r="R25" s="4">
        <v>1738</v>
      </c>
      <c r="S25" s="4">
        <v>1738</v>
      </c>
      <c r="T25" s="4">
        <v>1738</v>
      </c>
      <c r="U25" s="4">
        <v>1738</v>
      </c>
      <c r="V25" s="4">
        <v>1738</v>
      </c>
      <c r="W25" s="4">
        <v>1738</v>
      </c>
      <c r="X25" s="4"/>
      <c r="Y25" s="4"/>
      <c r="Z25" s="4"/>
      <c r="AA25" s="4"/>
      <c r="AB25" s="4"/>
      <c r="AC25" s="4"/>
    </row>
    <row r="26" spans="1:29" ht="14.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8" x14ac:dyDescent="0.35">
      <c r="A27" s="8" t="s">
        <v>66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4.45" x14ac:dyDescent="0.3">
      <c r="A28" t="s">
        <v>19</v>
      </c>
      <c r="B28" s="4">
        <v>0</v>
      </c>
      <c r="C28" s="4">
        <f t="shared" ref="C28:R34" si="17">B28</f>
        <v>0</v>
      </c>
      <c r="D28" s="4">
        <f t="shared" si="17"/>
        <v>0</v>
      </c>
      <c r="E28" s="4">
        <f t="shared" si="17"/>
        <v>0</v>
      </c>
      <c r="F28" s="4">
        <f t="shared" si="17"/>
        <v>0</v>
      </c>
      <c r="G28" s="4">
        <f t="shared" si="17"/>
        <v>0</v>
      </c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  <c r="M28" s="4">
        <f t="shared" si="17"/>
        <v>0</v>
      </c>
      <c r="N28" s="4">
        <f t="shared" si="17"/>
        <v>0</v>
      </c>
      <c r="O28" s="4">
        <f t="shared" si="17"/>
        <v>0</v>
      </c>
      <c r="P28" s="4">
        <f t="shared" si="17"/>
        <v>0</v>
      </c>
      <c r="Q28" s="4">
        <f t="shared" si="17"/>
        <v>0</v>
      </c>
      <c r="R28" s="4">
        <f t="shared" si="17"/>
        <v>0</v>
      </c>
      <c r="S28" s="4">
        <f t="shared" ref="S28:W34" si="18">R28</f>
        <v>0</v>
      </c>
      <c r="T28" s="4">
        <f t="shared" si="18"/>
        <v>0</v>
      </c>
      <c r="U28" s="4">
        <f t="shared" si="18"/>
        <v>0</v>
      </c>
      <c r="V28" s="4">
        <f t="shared" si="18"/>
        <v>0</v>
      </c>
      <c r="W28" s="4">
        <f t="shared" si="18"/>
        <v>0</v>
      </c>
      <c r="X28" s="4"/>
      <c r="Y28" s="4">
        <f t="shared" ref="Y28:Y34" si="19">W28</f>
        <v>0</v>
      </c>
      <c r="Z28" s="4"/>
      <c r="AA28" s="4">
        <f t="shared" ref="AA28:AA34" si="20">V28</f>
        <v>0</v>
      </c>
      <c r="AB28" s="4">
        <f t="shared" ref="AB28:AC34" si="21">AA28</f>
        <v>0</v>
      </c>
      <c r="AC28" s="4">
        <f t="shared" si="21"/>
        <v>0</v>
      </c>
    </row>
    <row r="29" spans="1:29" ht="14.45" x14ac:dyDescent="0.3">
      <c r="A29" t="s">
        <v>20</v>
      </c>
      <c r="B29" s="4">
        <v>0</v>
      </c>
      <c r="C29" s="4">
        <f t="shared" si="17"/>
        <v>0</v>
      </c>
      <c r="D29" s="4">
        <f t="shared" si="17"/>
        <v>0</v>
      </c>
      <c r="E29" s="4">
        <f t="shared" si="17"/>
        <v>0</v>
      </c>
      <c r="F29" s="4">
        <f t="shared" si="17"/>
        <v>0</v>
      </c>
      <c r="G29" s="4">
        <f t="shared" si="17"/>
        <v>0</v>
      </c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  <c r="M29" s="4">
        <f t="shared" si="17"/>
        <v>0</v>
      </c>
      <c r="N29" s="4">
        <f t="shared" si="17"/>
        <v>0</v>
      </c>
      <c r="O29" s="4">
        <f t="shared" si="17"/>
        <v>0</v>
      </c>
      <c r="P29" s="4">
        <f t="shared" si="17"/>
        <v>0</v>
      </c>
      <c r="Q29" s="4">
        <f t="shared" si="17"/>
        <v>0</v>
      </c>
      <c r="R29" s="4">
        <f t="shared" si="17"/>
        <v>0</v>
      </c>
      <c r="S29" s="4">
        <f t="shared" si="18"/>
        <v>0</v>
      </c>
      <c r="T29" s="4">
        <f t="shared" si="18"/>
        <v>0</v>
      </c>
      <c r="U29" s="4">
        <f t="shared" si="18"/>
        <v>0</v>
      </c>
      <c r="V29" s="4">
        <f t="shared" si="18"/>
        <v>0</v>
      </c>
      <c r="W29" s="4">
        <f t="shared" si="18"/>
        <v>0</v>
      </c>
      <c r="X29" s="4"/>
      <c r="Y29" s="4">
        <f t="shared" si="19"/>
        <v>0</v>
      </c>
      <c r="Z29" s="4"/>
      <c r="AA29" s="4">
        <f t="shared" si="20"/>
        <v>0</v>
      </c>
      <c r="AB29" s="4">
        <f t="shared" si="21"/>
        <v>0</v>
      </c>
      <c r="AC29" s="4">
        <f t="shared" si="21"/>
        <v>0</v>
      </c>
    </row>
    <row r="30" spans="1:29" ht="14.45" x14ac:dyDescent="0.3">
      <c r="A30" t="s">
        <v>21</v>
      </c>
      <c r="B30" s="4">
        <v>0</v>
      </c>
      <c r="C30" s="4">
        <f t="shared" si="17"/>
        <v>0</v>
      </c>
      <c r="D30" s="4">
        <f t="shared" si="17"/>
        <v>0</v>
      </c>
      <c r="E30" s="4">
        <f t="shared" si="17"/>
        <v>0</v>
      </c>
      <c r="F30" s="4">
        <f t="shared" si="17"/>
        <v>0</v>
      </c>
      <c r="G30" s="4">
        <f t="shared" si="17"/>
        <v>0</v>
      </c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  <c r="M30" s="4">
        <f t="shared" si="17"/>
        <v>0</v>
      </c>
      <c r="N30" s="4">
        <f t="shared" si="17"/>
        <v>0</v>
      </c>
      <c r="O30" s="4">
        <f t="shared" si="17"/>
        <v>0</v>
      </c>
      <c r="P30" s="4">
        <f t="shared" si="17"/>
        <v>0</v>
      </c>
      <c r="Q30" s="4">
        <f t="shared" si="17"/>
        <v>0</v>
      </c>
      <c r="R30" s="4">
        <f t="shared" si="17"/>
        <v>0</v>
      </c>
      <c r="S30" s="4">
        <f t="shared" si="18"/>
        <v>0</v>
      </c>
      <c r="T30" s="4">
        <f t="shared" si="18"/>
        <v>0</v>
      </c>
      <c r="U30" s="4">
        <f t="shared" si="18"/>
        <v>0</v>
      </c>
      <c r="V30" s="4">
        <f t="shared" si="18"/>
        <v>0</v>
      </c>
      <c r="W30" s="4">
        <f t="shared" si="18"/>
        <v>0</v>
      </c>
      <c r="X30" s="4"/>
      <c r="Y30" s="4">
        <f t="shared" si="19"/>
        <v>0</v>
      </c>
      <c r="Z30" s="4"/>
      <c r="AA30" s="4">
        <f t="shared" si="20"/>
        <v>0</v>
      </c>
      <c r="AB30" s="4">
        <f t="shared" si="21"/>
        <v>0</v>
      </c>
      <c r="AC30" s="4">
        <f t="shared" si="21"/>
        <v>0</v>
      </c>
    </row>
    <row r="31" spans="1:29" ht="14.45" x14ac:dyDescent="0.3">
      <c r="A31" t="s">
        <v>22</v>
      </c>
      <c r="B31" s="4">
        <v>0</v>
      </c>
      <c r="C31" s="4">
        <f t="shared" si="17"/>
        <v>0</v>
      </c>
      <c r="D31" s="4">
        <f t="shared" si="17"/>
        <v>0</v>
      </c>
      <c r="E31" s="4">
        <f t="shared" si="17"/>
        <v>0</v>
      </c>
      <c r="F31" s="4">
        <f t="shared" si="17"/>
        <v>0</v>
      </c>
      <c r="G31" s="4">
        <f t="shared" si="17"/>
        <v>0</v>
      </c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  <c r="M31" s="4">
        <f t="shared" si="17"/>
        <v>0</v>
      </c>
      <c r="N31" s="4">
        <f t="shared" si="17"/>
        <v>0</v>
      </c>
      <c r="O31" s="4">
        <f t="shared" si="17"/>
        <v>0</v>
      </c>
      <c r="P31" s="4">
        <f t="shared" si="17"/>
        <v>0</v>
      </c>
      <c r="Q31" s="4">
        <f t="shared" si="17"/>
        <v>0</v>
      </c>
      <c r="R31" s="4">
        <f t="shared" si="17"/>
        <v>0</v>
      </c>
      <c r="S31" s="4">
        <f t="shared" si="18"/>
        <v>0</v>
      </c>
      <c r="T31" s="4">
        <f t="shared" si="18"/>
        <v>0</v>
      </c>
      <c r="U31" s="4">
        <f t="shared" si="18"/>
        <v>0</v>
      </c>
      <c r="V31" s="4">
        <f t="shared" si="18"/>
        <v>0</v>
      </c>
      <c r="W31" s="4">
        <f t="shared" si="18"/>
        <v>0</v>
      </c>
      <c r="X31" s="4"/>
      <c r="Y31" s="4">
        <f t="shared" si="19"/>
        <v>0</v>
      </c>
      <c r="Z31" s="4"/>
      <c r="AA31" s="4">
        <f t="shared" si="20"/>
        <v>0</v>
      </c>
      <c r="AB31" s="4">
        <f t="shared" si="21"/>
        <v>0</v>
      </c>
      <c r="AC31" s="4">
        <f t="shared" si="21"/>
        <v>0</v>
      </c>
    </row>
    <row r="32" spans="1:29" ht="14.45" x14ac:dyDescent="0.3">
      <c r="A32" t="s">
        <v>5</v>
      </c>
      <c r="B32" s="4">
        <v>0</v>
      </c>
      <c r="C32" s="4">
        <f t="shared" si="17"/>
        <v>0</v>
      </c>
      <c r="D32" s="4">
        <f t="shared" si="17"/>
        <v>0</v>
      </c>
      <c r="E32" s="4">
        <f t="shared" si="17"/>
        <v>0</v>
      </c>
      <c r="F32" s="4">
        <f t="shared" si="17"/>
        <v>0</v>
      </c>
      <c r="G32" s="4">
        <f t="shared" si="17"/>
        <v>0</v>
      </c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  <c r="M32" s="4">
        <f t="shared" si="17"/>
        <v>0</v>
      </c>
      <c r="N32" s="4">
        <f t="shared" si="17"/>
        <v>0</v>
      </c>
      <c r="O32" s="4">
        <f t="shared" si="17"/>
        <v>0</v>
      </c>
      <c r="P32" s="4">
        <f t="shared" si="17"/>
        <v>0</v>
      </c>
      <c r="Q32" s="4">
        <f t="shared" si="17"/>
        <v>0</v>
      </c>
      <c r="R32" s="4">
        <f t="shared" si="17"/>
        <v>0</v>
      </c>
      <c r="S32" s="4">
        <f t="shared" si="18"/>
        <v>0</v>
      </c>
      <c r="T32" s="4">
        <f t="shared" si="18"/>
        <v>0</v>
      </c>
      <c r="U32" s="4">
        <f t="shared" si="18"/>
        <v>0</v>
      </c>
      <c r="V32" s="4">
        <f t="shared" si="18"/>
        <v>0</v>
      </c>
      <c r="W32" s="4">
        <f t="shared" si="18"/>
        <v>0</v>
      </c>
      <c r="X32" s="4"/>
      <c r="Y32" s="4">
        <f t="shared" si="19"/>
        <v>0</v>
      </c>
      <c r="Z32" s="4"/>
      <c r="AA32" s="4">
        <f t="shared" si="20"/>
        <v>0</v>
      </c>
      <c r="AB32" s="4">
        <f t="shared" si="21"/>
        <v>0</v>
      </c>
      <c r="AC32" s="4">
        <f t="shared" si="21"/>
        <v>0</v>
      </c>
    </row>
    <row r="33" spans="1:29" ht="14.45" x14ac:dyDescent="0.3">
      <c r="A33" t="s">
        <v>6</v>
      </c>
      <c r="B33" s="4">
        <v>0</v>
      </c>
      <c r="C33" s="4">
        <f t="shared" si="17"/>
        <v>0</v>
      </c>
      <c r="D33" s="4">
        <f t="shared" si="17"/>
        <v>0</v>
      </c>
      <c r="E33" s="4">
        <f t="shared" si="17"/>
        <v>0</v>
      </c>
      <c r="F33" s="4">
        <f t="shared" si="17"/>
        <v>0</v>
      </c>
      <c r="G33" s="4">
        <f t="shared" si="17"/>
        <v>0</v>
      </c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  <c r="M33" s="4">
        <f t="shared" si="17"/>
        <v>0</v>
      </c>
      <c r="N33" s="4">
        <f t="shared" si="17"/>
        <v>0</v>
      </c>
      <c r="O33" s="4">
        <f t="shared" si="17"/>
        <v>0</v>
      </c>
      <c r="P33" s="4">
        <f t="shared" si="17"/>
        <v>0</v>
      </c>
      <c r="Q33" s="4">
        <f t="shared" si="17"/>
        <v>0</v>
      </c>
      <c r="R33" s="4">
        <f t="shared" si="17"/>
        <v>0</v>
      </c>
      <c r="S33" s="4">
        <f t="shared" si="18"/>
        <v>0</v>
      </c>
      <c r="T33" s="4">
        <f t="shared" si="18"/>
        <v>0</v>
      </c>
      <c r="U33" s="4">
        <f t="shared" si="18"/>
        <v>0</v>
      </c>
      <c r="V33" s="4">
        <f t="shared" si="18"/>
        <v>0</v>
      </c>
      <c r="W33" s="4">
        <f t="shared" si="18"/>
        <v>0</v>
      </c>
      <c r="X33" s="4"/>
      <c r="Y33" s="4">
        <f t="shared" si="19"/>
        <v>0</v>
      </c>
      <c r="Z33" s="4"/>
      <c r="AA33" s="4">
        <f t="shared" si="20"/>
        <v>0</v>
      </c>
      <c r="AB33" s="4">
        <f t="shared" si="21"/>
        <v>0</v>
      </c>
      <c r="AC33" s="4">
        <f t="shared" si="21"/>
        <v>0</v>
      </c>
    </row>
    <row r="34" spans="1:29" ht="14.45" x14ac:dyDescent="0.3">
      <c r="A34" t="s">
        <v>7</v>
      </c>
      <c r="B34" s="4">
        <v>0</v>
      </c>
      <c r="C34" s="4">
        <f t="shared" si="17"/>
        <v>0</v>
      </c>
      <c r="D34" s="4">
        <f t="shared" si="17"/>
        <v>0</v>
      </c>
      <c r="E34" s="4">
        <f t="shared" si="17"/>
        <v>0</v>
      </c>
      <c r="F34" s="4">
        <f t="shared" si="17"/>
        <v>0</v>
      </c>
      <c r="G34" s="4">
        <f t="shared" si="17"/>
        <v>0</v>
      </c>
      <c r="H34" s="4">
        <f t="shared" si="17"/>
        <v>0</v>
      </c>
      <c r="I34" s="4">
        <f t="shared" si="17"/>
        <v>0</v>
      </c>
      <c r="J34" s="4">
        <f t="shared" si="17"/>
        <v>0</v>
      </c>
      <c r="K34" s="4">
        <f t="shared" si="17"/>
        <v>0</v>
      </c>
      <c r="L34" s="4">
        <f t="shared" si="17"/>
        <v>0</v>
      </c>
      <c r="M34" s="4">
        <f t="shared" si="17"/>
        <v>0</v>
      </c>
      <c r="N34" s="4">
        <f t="shared" si="17"/>
        <v>0</v>
      </c>
      <c r="O34" s="4">
        <f t="shared" si="17"/>
        <v>0</v>
      </c>
      <c r="P34" s="4">
        <f t="shared" si="17"/>
        <v>0</v>
      </c>
      <c r="Q34" s="4">
        <f t="shared" si="17"/>
        <v>0</v>
      </c>
      <c r="R34" s="4">
        <f t="shared" si="17"/>
        <v>0</v>
      </c>
      <c r="S34" s="4">
        <f t="shared" si="18"/>
        <v>0</v>
      </c>
      <c r="T34" s="4">
        <f t="shared" si="18"/>
        <v>0</v>
      </c>
      <c r="U34" s="4">
        <f t="shared" si="18"/>
        <v>0</v>
      </c>
      <c r="V34" s="4">
        <f t="shared" si="18"/>
        <v>0</v>
      </c>
      <c r="W34" s="4">
        <f t="shared" si="18"/>
        <v>0</v>
      </c>
      <c r="X34" s="4"/>
      <c r="Y34" s="4">
        <f t="shared" si="19"/>
        <v>0</v>
      </c>
      <c r="Z34" s="4"/>
      <c r="AA34" s="4">
        <f t="shared" si="20"/>
        <v>0</v>
      </c>
      <c r="AB34" s="4">
        <f t="shared" si="21"/>
        <v>0</v>
      </c>
      <c r="AC34" s="4">
        <f t="shared" si="21"/>
        <v>0</v>
      </c>
    </row>
    <row r="35" spans="1:29" ht="14.45" x14ac:dyDescent="0.3">
      <c r="A35" t="s">
        <v>24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/>
      <c r="Y35" s="4">
        <v>0</v>
      </c>
      <c r="Z35" s="4"/>
      <c r="AA35" s="4">
        <v>0</v>
      </c>
      <c r="AB35" s="4">
        <v>0</v>
      </c>
      <c r="AC35" s="4">
        <v>0</v>
      </c>
    </row>
    <row r="36" spans="1:29" ht="14.45" x14ac:dyDescent="0.3">
      <c r="A36" t="s">
        <v>25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/>
      <c r="Y36" s="4">
        <v>0</v>
      </c>
      <c r="Z36" s="4"/>
      <c r="AA36" s="4">
        <v>0</v>
      </c>
      <c r="AB36" s="4">
        <v>0</v>
      </c>
      <c r="AC36" s="4">
        <v>0</v>
      </c>
    </row>
    <row r="37" spans="1:29" ht="14.45" x14ac:dyDescent="0.3">
      <c r="A37" t="s">
        <v>178</v>
      </c>
      <c r="B37" s="5">
        <v>18628757</v>
      </c>
      <c r="C37" s="4">
        <f>(B37+D37)/2</f>
        <v>18926066.260322951</v>
      </c>
      <c r="D37" s="4">
        <v>19223375.520645898</v>
      </c>
      <c r="E37" s="4">
        <f>(D37+F37)/2</f>
        <v>19784189.994823698</v>
      </c>
      <c r="F37" s="4">
        <v>20345004.469001498</v>
      </c>
      <c r="G37" s="4">
        <f>(F37+H37)/2</f>
        <v>20868630.972559698</v>
      </c>
      <c r="H37" s="4">
        <v>21392257.476117898</v>
      </c>
      <c r="I37" s="4">
        <f>(H37+J37)/2</f>
        <v>21522291.963774197</v>
      </c>
      <c r="J37" s="4">
        <v>21652326.4514305</v>
      </c>
      <c r="K37" s="4">
        <f>(J37+L37)/2</f>
        <v>21652326.4514305</v>
      </c>
      <c r="L37" s="4">
        <v>21652326.4514305</v>
      </c>
      <c r="M37" s="4">
        <f>(L37+N37)/2</f>
        <v>21652326.4514305</v>
      </c>
      <c r="N37" s="4">
        <v>21652326.4514305</v>
      </c>
      <c r="O37" s="4">
        <f>(N37+P37)/2</f>
        <v>21652326.4514305</v>
      </c>
      <c r="P37" s="4">
        <v>21652326.4514305</v>
      </c>
      <c r="Q37" s="4">
        <f>(P37+R37)/2</f>
        <v>21652326.4514305</v>
      </c>
      <c r="R37" s="4">
        <v>21652326.4514305</v>
      </c>
      <c r="S37" s="4">
        <f>R37</f>
        <v>21652326.4514305</v>
      </c>
      <c r="T37" s="4">
        <f>S37</f>
        <v>21652326.4514305</v>
      </c>
      <c r="U37" s="4">
        <f>T37</f>
        <v>21652326.4514305</v>
      </c>
      <c r="V37" s="4">
        <f>U37</f>
        <v>21652326.4514305</v>
      </c>
      <c r="W37" s="4">
        <f>V37</f>
        <v>21652326.4514305</v>
      </c>
      <c r="X37" s="49">
        <v>18628757</v>
      </c>
      <c r="Y37" s="49">
        <v>18628757</v>
      </c>
      <c r="Z37" s="4"/>
      <c r="AA37" s="4">
        <v>19580317.233362999</v>
      </c>
      <c r="AB37" s="4">
        <v>19580317.233362999</v>
      </c>
      <c r="AC37" s="4">
        <v>19580317.233362999</v>
      </c>
    </row>
    <row r="38" spans="1:29" ht="14.45" x14ac:dyDescent="0.3">
      <c r="A38" t="s">
        <v>179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39"/>
      <c r="Y38" s="39"/>
      <c r="Z38" s="4"/>
      <c r="AA38" s="4"/>
      <c r="AB38" s="4"/>
      <c r="AC38" s="4"/>
    </row>
    <row r="39" spans="1:29" ht="14.45" x14ac:dyDescent="0.3">
      <c r="A39" t="s">
        <v>8</v>
      </c>
      <c r="B39" s="4">
        <v>20250000</v>
      </c>
      <c r="C39" s="4">
        <v>20250000</v>
      </c>
      <c r="D39" s="4">
        <v>18000000</v>
      </c>
      <c r="E39" s="4">
        <v>18750000</v>
      </c>
      <c r="F39" s="4">
        <v>18000000</v>
      </c>
      <c r="G39" s="4">
        <v>18750000</v>
      </c>
      <c r="H39" s="4">
        <v>17250000</v>
      </c>
      <c r="I39" s="4">
        <v>17250000</v>
      </c>
      <c r="J39" s="4">
        <v>17250000</v>
      </c>
      <c r="K39" s="4">
        <v>17250000</v>
      </c>
      <c r="L39" s="4">
        <v>17250000</v>
      </c>
      <c r="M39" s="4">
        <v>17250000</v>
      </c>
      <c r="N39" s="4">
        <v>17250000</v>
      </c>
      <c r="O39" s="4">
        <v>17250000</v>
      </c>
      <c r="P39" s="4">
        <v>17250000</v>
      </c>
      <c r="Q39" s="4">
        <v>17250000</v>
      </c>
      <c r="R39" s="4">
        <v>17250000</v>
      </c>
      <c r="S39" s="4">
        <v>17250000</v>
      </c>
      <c r="T39" s="4">
        <v>17250000</v>
      </c>
      <c r="U39" s="4">
        <v>17250000</v>
      </c>
      <c r="V39" s="4">
        <v>17250000</v>
      </c>
      <c r="W39" s="4">
        <v>17250000</v>
      </c>
      <c r="X39" s="4"/>
      <c r="Y39" s="4">
        <v>17250000</v>
      </c>
      <c r="Z39" s="4"/>
      <c r="AA39" s="4">
        <v>17250000</v>
      </c>
      <c r="AB39" s="4">
        <v>17250000</v>
      </c>
      <c r="AC39" s="4">
        <v>17250000</v>
      </c>
    </row>
    <row r="40" spans="1:29" ht="14.45" x14ac:dyDescent="0.3">
      <c r="A40" t="s">
        <v>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/>
      <c r="Y40" s="4">
        <v>0</v>
      </c>
      <c r="Z40" s="4"/>
      <c r="AA40" s="4">
        <v>0</v>
      </c>
      <c r="AB40" s="4">
        <v>0</v>
      </c>
      <c r="AC40" s="4">
        <v>0</v>
      </c>
    </row>
    <row r="41" spans="1:29" ht="14.45" x14ac:dyDescent="0.3">
      <c r="A41" t="s">
        <v>52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/>
      <c r="Y41" s="5">
        <v>0</v>
      </c>
      <c r="Z41" s="4"/>
      <c r="AA41" s="4">
        <v>0</v>
      </c>
      <c r="AB41" s="4">
        <v>0</v>
      </c>
      <c r="AC41" s="4">
        <v>0</v>
      </c>
    </row>
    <row r="42" spans="1:29" ht="14.45" x14ac:dyDescent="0.3">
      <c r="A42" t="s">
        <v>27</v>
      </c>
      <c r="B42" s="5">
        <v>3404587.5000000005</v>
      </c>
      <c r="C42" s="4">
        <f>(B42+D42)/2</f>
        <v>3419384.1614387799</v>
      </c>
      <c r="D42" s="4">
        <v>3434180.8228775598</v>
      </c>
      <c r="E42" s="4">
        <f>(D42+F42)/2</f>
        <v>3473970.5283698402</v>
      </c>
      <c r="F42" s="4">
        <v>3513760.2338621207</v>
      </c>
      <c r="G42" s="4">
        <f>(F42+H42)/2</f>
        <v>3530342.8725717254</v>
      </c>
      <c r="H42" s="4">
        <v>3546925.5112813306</v>
      </c>
      <c r="I42" s="4">
        <f>(H42+J42)/2</f>
        <v>3569343.2128273249</v>
      </c>
      <c r="J42" s="4">
        <v>3591760.9143733196</v>
      </c>
      <c r="K42" s="4">
        <f>(J42+L42)/2</f>
        <v>3618555.1721560648</v>
      </c>
      <c r="L42" s="4">
        <v>3645349.4299388099</v>
      </c>
      <c r="M42" s="4">
        <f>(L42+N42)/2</f>
        <v>3672280.407520595</v>
      </c>
      <c r="N42" s="4">
        <v>3699211.3851023805</v>
      </c>
      <c r="O42" s="4">
        <f>(N42+P42)/2</f>
        <v>3725167.5797447106</v>
      </c>
      <c r="P42" s="4">
        <v>3751123.7743870406</v>
      </c>
      <c r="Q42" s="4">
        <f>(P42+R42)/2</f>
        <v>3785468.3735661088</v>
      </c>
      <c r="R42" s="4">
        <v>3819812.9727451764</v>
      </c>
      <c r="S42" s="4">
        <f>R42</f>
        <v>3819812.9727451764</v>
      </c>
      <c r="T42" s="4">
        <f t="shared" ref="T42:W48" si="22">S42</f>
        <v>3819812.9727451764</v>
      </c>
      <c r="U42" s="4">
        <f t="shared" si="22"/>
        <v>3819812.9727451764</v>
      </c>
      <c r="V42" s="4">
        <f t="shared" si="22"/>
        <v>3819812.9727451764</v>
      </c>
      <c r="W42" s="4">
        <f t="shared" si="22"/>
        <v>3819812.9727451764</v>
      </c>
      <c r="X42" s="4"/>
      <c r="Y42" s="4">
        <f t="shared" ref="Y42:Y48" si="23">W42</f>
        <v>3819812.9727451764</v>
      </c>
      <c r="Z42" s="4"/>
      <c r="AA42" s="4">
        <v>4081840.8687517252</v>
      </c>
      <c r="AB42" s="4">
        <v>4081840.8687517252</v>
      </c>
      <c r="AC42" s="4">
        <v>4081840.8687517252</v>
      </c>
    </row>
    <row r="43" spans="1:29" ht="14.45" x14ac:dyDescent="0.3">
      <c r="A43" t="s">
        <v>26</v>
      </c>
      <c r="B43" s="5">
        <v>530249.99999999988</v>
      </c>
      <c r="C43" s="4">
        <f>(B43+D43)/2</f>
        <v>530249.99999999988</v>
      </c>
      <c r="D43" s="4">
        <v>530249.99999999988</v>
      </c>
      <c r="E43" s="4">
        <f>(D43+F43)/2</f>
        <v>530249.99999999988</v>
      </c>
      <c r="F43" s="4">
        <v>530249.99999999988</v>
      </c>
      <c r="G43" s="4">
        <f>(F43+H43)/2</f>
        <v>507175.94749150187</v>
      </c>
      <c r="H43" s="4">
        <v>484101.89498300385</v>
      </c>
      <c r="I43" s="4">
        <f>(H43+J43)/2</f>
        <v>477912.14022308192</v>
      </c>
      <c r="J43" s="4">
        <v>471722.38546316006</v>
      </c>
      <c r="K43" s="4">
        <f>(J43+L43)/2</f>
        <v>471722.38546316006</v>
      </c>
      <c r="L43" s="4">
        <v>471722.38546316006</v>
      </c>
      <c r="M43" s="4">
        <f>(L43+N43)/2</f>
        <v>482982.64889347006</v>
      </c>
      <c r="N43" s="4">
        <v>494242.91232378001</v>
      </c>
      <c r="O43" s="4">
        <f>(N43+P43)/2</f>
        <v>436559.84633702919</v>
      </c>
      <c r="P43" s="4">
        <v>378876.78035027836</v>
      </c>
      <c r="Q43" s="4">
        <f>(P43+R43)/2</f>
        <v>365244.93081297888</v>
      </c>
      <c r="R43" s="4">
        <v>351613.08127567946</v>
      </c>
      <c r="S43" s="4">
        <f>R43</f>
        <v>351613.08127567946</v>
      </c>
      <c r="T43" s="4">
        <f t="shared" si="22"/>
        <v>351613.08127567946</v>
      </c>
      <c r="U43" s="4">
        <f t="shared" si="22"/>
        <v>351613.08127567946</v>
      </c>
      <c r="V43" s="4">
        <f t="shared" si="22"/>
        <v>351613.08127567946</v>
      </c>
      <c r="W43" s="4">
        <f t="shared" si="22"/>
        <v>351613.08127567946</v>
      </c>
      <c r="X43" s="4"/>
      <c r="Y43" s="4">
        <f t="shared" si="23"/>
        <v>351613.08127567946</v>
      </c>
      <c r="Z43" s="4"/>
      <c r="AA43" s="4">
        <v>380726.74415053963</v>
      </c>
      <c r="AB43" s="4">
        <v>380726.74415053963</v>
      </c>
      <c r="AC43" s="4">
        <v>380726.74415053963</v>
      </c>
    </row>
    <row r="44" spans="1:29" ht="14.45" x14ac:dyDescent="0.3">
      <c r="A44" t="s">
        <v>10</v>
      </c>
      <c r="B44" s="11">
        <v>336337</v>
      </c>
      <c r="C44" s="4">
        <v>367970.02798489406</v>
      </c>
      <c r="D44" s="4">
        <v>402578.19239394926</v>
      </c>
      <c r="E44" s="4">
        <v>440441.30952380964</v>
      </c>
      <c r="F44" s="4">
        <v>481865.51283736137</v>
      </c>
      <c r="G44" s="4">
        <v>527185.72813493363</v>
      </c>
      <c r="H44" s="4">
        <v>576768.38151927467</v>
      </c>
      <c r="I44" s="4">
        <v>631014.36204892572</v>
      </c>
      <c r="J44" s="4">
        <v>690362.26303384185</v>
      </c>
      <c r="K44" s="4">
        <v>755291.92818000272</v>
      </c>
      <c r="L44" s="4">
        <v>826328.33125454583</v>
      </c>
      <c r="M44" s="4">
        <v>904045.82063955511</v>
      </c>
      <c r="N44" s="4">
        <v>989072.76309286105</v>
      </c>
      <c r="O44" s="4">
        <v>1082096.6242619057</v>
      </c>
      <c r="P44" s="4">
        <v>1183869.5270279893</v>
      </c>
      <c r="Q44" s="4">
        <v>1295214.3326216042</v>
      </c>
      <c r="R44" s="4">
        <v>1417031.2936763056</v>
      </c>
      <c r="S44" s="4">
        <v>1550305.3330128435</v>
      </c>
      <c r="T44" s="4">
        <v>1696114.0070044822</v>
      </c>
      <c r="U44" s="4">
        <v>1855636.2179094483</v>
      </c>
      <c r="V44" s="4">
        <v>2030161.7456120576</v>
      </c>
      <c r="W44" s="4">
        <f t="shared" si="22"/>
        <v>2030161.7456120576</v>
      </c>
      <c r="X44" s="4"/>
      <c r="Y44" s="4">
        <f t="shared" si="23"/>
        <v>2030161.7456120576</v>
      </c>
      <c r="Z44" s="4"/>
      <c r="AA44" s="4">
        <v>417220.51329008659</v>
      </c>
      <c r="AB44" s="4">
        <v>417220.51329008659</v>
      </c>
      <c r="AC44" s="4">
        <v>417220.51329008659</v>
      </c>
    </row>
    <row r="45" spans="1:29" ht="14.45" x14ac:dyDescent="0.3">
      <c r="A45" t="s">
        <v>29</v>
      </c>
      <c r="B45" s="5">
        <v>5945000</v>
      </c>
      <c r="C45" s="4">
        <f>(B45+D45)/2</f>
        <v>5945000</v>
      </c>
      <c r="D45" s="4">
        <v>5945000</v>
      </c>
      <c r="E45" s="4">
        <f>(D45+F45)/2</f>
        <v>5945000</v>
      </c>
      <c r="F45" s="4">
        <v>5945000</v>
      </c>
      <c r="G45" s="4">
        <f>(F45+H45)/2</f>
        <v>5945000</v>
      </c>
      <c r="H45" s="4">
        <v>5945000</v>
      </c>
      <c r="I45" s="4">
        <f>(H45+J45)/2</f>
        <v>5945000</v>
      </c>
      <c r="J45" s="4">
        <v>5945000</v>
      </c>
      <c r="K45" s="4">
        <f>(J45+L45)/2</f>
        <v>5945000</v>
      </c>
      <c r="L45" s="4">
        <v>5945000</v>
      </c>
      <c r="M45" s="4">
        <f>(L45+N45)/2</f>
        <v>5945000</v>
      </c>
      <c r="N45" s="4">
        <v>5945000</v>
      </c>
      <c r="O45" s="4">
        <f>(N45+P45)/2</f>
        <v>5945000</v>
      </c>
      <c r="P45" s="4">
        <v>5945000</v>
      </c>
      <c r="Q45" s="4">
        <f>(P45+R45)/2</f>
        <v>5945000</v>
      </c>
      <c r="R45" s="4">
        <v>5945000</v>
      </c>
      <c r="S45" s="4">
        <f t="shared" ref="S45:V48" si="24">R45</f>
        <v>5945000</v>
      </c>
      <c r="T45" s="4">
        <f t="shared" si="24"/>
        <v>5945000</v>
      </c>
      <c r="U45" s="4">
        <f t="shared" si="24"/>
        <v>5945000</v>
      </c>
      <c r="V45" s="4">
        <f t="shared" si="24"/>
        <v>5945000</v>
      </c>
      <c r="W45" s="4">
        <f t="shared" si="22"/>
        <v>5945000</v>
      </c>
      <c r="X45" s="4"/>
      <c r="Y45" s="4">
        <f t="shared" si="23"/>
        <v>5945000</v>
      </c>
      <c r="Z45" s="4"/>
      <c r="AA45" s="4">
        <v>7891956.2984492658</v>
      </c>
      <c r="AB45" s="4">
        <v>7891956.2984492658</v>
      </c>
      <c r="AC45" s="4">
        <v>7891956.2984492658</v>
      </c>
    </row>
    <row r="46" spans="1:29" ht="14.45" x14ac:dyDescent="0.3">
      <c r="A46" t="s">
        <v>31</v>
      </c>
      <c r="B46" s="5">
        <v>591250</v>
      </c>
      <c r="C46" s="4">
        <f>(B46+D46)/2</f>
        <v>591250</v>
      </c>
      <c r="D46" s="4">
        <v>591250</v>
      </c>
      <c r="E46" s="4">
        <f>(D46+F46)/2</f>
        <v>591250</v>
      </c>
      <c r="F46" s="4">
        <v>591250</v>
      </c>
      <c r="G46" s="4">
        <f>(F46+H46)/2</f>
        <v>591250</v>
      </c>
      <c r="H46" s="4">
        <v>591250</v>
      </c>
      <c r="I46" s="4">
        <f>(H46+J46)/2</f>
        <v>591250</v>
      </c>
      <c r="J46" s="4">
        <v>591250</v>
      </c>
      <c r="K46" s="4">
        <f>(J46+L46)/2</f>
        <v>591250</v>
      </c>
      <c r="L46" s="4">
        <v>591250</v>
      </c>
      <c r="M46" s="4">
        <f>(L46+N46)/2</f>
        <v>591250</v>
      </c>
      <c r="N46" s="4">
        <v>591250</v>
      </c>
      <c r="O46" s="4">
        <f>(N46+P46)/2</f>
        <v>588485.68873269996</v>
      </c>
      <c r="P46" s="4">
        <v>585721.37746540003</v>
      </c>
      <c r="Q46" s="4">
        <f>(P46+R46)/2</f>
        <v>564168.59143758123</v>
      </c>
      <c r="R46" s="4">
        <v>542615.80540976254</v>
      </c>
      <c r="S46" s="4">
        <f t="shared" si="24"/>
        <v>542615.80540976254</v>
      </c>
      <c r="T46" s="4">
        <f t="shared" si="24"/>
        <v>542615.80540976254</v>
      </c>
      <c r="U46" s="4">
        <f t="shared" si="24"/>
        <v>542615.80540976254</v>
      </c>
      <c r="V46" s="4">
        <f t="shared" si="24"/>
        <v>542615.80540976254</v>
      </c>
      <c r="W46" s="4">
        <f t="shared" si="22"/>
        <v>542615.80540976254</v>
      </c>
      <c r="X46" s="4"/>
      <c r="Y46" s="4">
        <f t="shared" si="23"/>
        <v>542615.80540976254</v>
      </c>
      <c r="Z46" s="4"/>
      <c r="AA46" s="4">
        <v>574181.37691086344</v>
      </c>
      <c r="AB46" s="4">
        <v>574181.37691086344</v>
      </c>
      <c r="AC46" s="4">
        <v>574181.37691086344</v>
      </c>
    </row>
    <row r="47" spans="1:29" ht="14.45" x14ac:dyDescent="0.3">
      <c r="A47" t="s">
        <v>30</v>
      </c>
      <c r="B47" s="5">
        <v>1773750.0000000002</v>
      </c>
      <c r="C47" s="4">
        <f>(B47+D47)/2</f>
        <v>1773750.0000000002</v>
      </c>
      <c r="D47" s="4">
        <v>1773750.0000000002</v>
      </c>
      <c r="E47" s="4">
        <f>(D47+F47)/2</f>
        <v>1773750.0000000002</v>
      </c>
      <c r="F47" s="4">
        <v>1773750.0000000002</v>
      </c>
      <c r="G47" s="4">
        <f>(F47+H47)/2</f>
        <v>1773750.0000000002</v>
      </c>
      <c r="H47" s="4">
        <v>1773750.0000000002</v>
      </c>
      <c r="I47" s="4">
        <f>(H47+J47)/2</f>
        <v>1773750.0000000002</v>
      </c>
      <c r="J47" s="4">
        <v>1773750.0000000002</v>
      </c>
      <c r="K47" s="4">
        <f>(J47+L47)/2</f>
        <v>1773750.0000000002</v>
      </c>
      <c r="L47" s="4">
        <v>1773750.0000000002</v>
      </c>
      <c r="M47" s="4">
        <f>(L47+N47)/2</f>
        <v>1773750.0000000002</v>
      </c>
      <c r="N47" s="4">
        <v>1773750.0000000002</v>
      </c>
      <c r="O47" s="4">
        <f>(N47+P47)/2</f>
        <v>1765457.0661981001</v>
      </c>
      <c r="P47" s="4">
        <v>1757164.1323962</v>
      </c>
      <c r="Q47" s="4">
        <f>(P47+R47)/2</f>
        <v>1692505.7743127439</v>
      </c>
      <c r="R47" s="4">
        <v>1627847.4162292876</v>
      </c>
      <c r="S47" s="4">
        <f t="shared" si="24"/>
        <v>1627847.4162292876</v>
      </c>
      <c r="T47" s="4">
        <f t="shared" si="24"/>
        <v>1627847.4162292876</v>
      </c>
      <c r="U47" s="4">
        <f t="shared" si="24"/>
        <v>1627847.4162292876</v>
      </c>
      <c r="V47" s="4">
        <f t="shared" si="24"/>
        <v>1627847.4162292876</v>
      </c>
      <c r="W47" s="4">
        <f t="shared" si="22"/>
        <v>1627847.4162292876</v>
      </c>
      <c r="X47" s="4"/>
      <c r="Y47" s="4">
        <f t="shared" si="23"/>
        <v>1627847.4162292876</v>
      </c>
      <c r="Z47" s="4"/>
      <c r="AA47" s="4">
        <v>1274484.6984935116</v>
      </c>
      <c r="AB47" s="4">
        <v>1274484.6984935116</v>
      </c>
      <c r="AC47" s="4">
        <v>1274484.6984935116</v>
      </c>
    </row>
    <row r="48" spans="1:29" x14ac:dyDescent="0.3">
      <c r="A48" t="s">
        <v>28</v>
      </c>
      <c r="B48" s="5">
        <v>889000</v>
      </c>
      <c r="C48" s="4">
        <f>(B48+D48)/2</f>
        <v>889000</v>
      </c>
      <c r="D48" s="4">
        <v>889000</v>
      </c>
      <c r="E48" s="4">
        <f>(D48+F48)/2</f>
        <v>889000</v>
      </c>
      <c r="F48" s="4">
        <v>889000</v>
      </c>
      <c r="G48" s="4">
        <f>(F48+H48)/2</f>
        <v>889000</v>
      </c>
      <c r="H48" s="4">
        <v>889000</v>
      </c>
      <c r="I48" s="4">
        <f>(H48+J48)/2</f>
        <v>889000</v>
      </c>
      <c r="J48" s="4">
        <v>889000</v>
      </c>
      <c r="K48" s="4">
        <f>(J48+L48)/2</f>
        <v>889000</v>
      </c>
      <c r="L48" s="4">
        <v>889000</v>
      </c>
      <c r="M48" s="4">
        <f>(L48+N48)/2</f>
        <v>877739.73656969005</v>
      </c>
      <c r="N48" s="4">
        <v>866479.47313937999</v>
      </c>
      <c r="O48" s="4">
        <f>(N48+P48)/2</f>
        <v>844025.10010268702</v>
      </c>
      <c r="P48" s="4">
        <v>821570.72706599394</v>
      </c>
      <c r="Q48" s="4">
        <f>(P48+R48)/2</f>
        <v>801972.42156289646</v>
      </c>
      <c r="R48" s="4">
        <v>782374.11605979898</v>
      </c>
      <c r="S48" s="4">
        <f t="shared" si="24"/>
        <v>782374.11605979898</v>
      </c>
      <c r="T48" s="4">
        <f t="shared" si="24"/>
        <v>782374.11605979898</v>
      </c>
      <c r="U48" s="4">
        <f t="shared" si="24"/>
        <v>782374.11605979898</v>
      </c>
      <c r="V48" s="4">
        <f t="shared" si="24"/>
        <v>782374.11605979898</v>
      </c>
      <c r="W48" s="4">
        <f t="shared" si="22"/>
        <v>782374.11605979898</v>
      </c>
      <c r="X48" s="4"/>
      <c r="Y48" s="4">
        <f t="shared" si="23"/>
        <v>782374.11605979898</v>
      </c>
      <c r="Z48" s="4"/>
      <c r="AA48" s="4">
        <v>765929.63116022374</v>
      </c>
      <c r="AB48" s="4">
        <v>765929.63116022374</v>
      </c>
      <c r="AC48" s="4">
        <v>765929.63116022374</v>
      </c>
    </row>
    <row r="49" spans="1:29" x14ac:dyDescent="0.3">
      <c r="A49" t="s">
        <v>183</v>
      </c>
      <c r="B49" s="5">
        <v>582001</v>
      </c>
      <c r="C49" s="4">
        <v>602006</v>
      </c>
      <c r="D49" s="4">
        <v>640731</v>
      </c>
      <c r="E49" s="4">
        <v>670076</v>
      </c>
      <c r="F49" s="4">
        <v>696888</v>
      </c>
      <c r="G49" s="4">
        <v>724132</v>
      </c>
      <c r="H49" s="4">
        <v>750428</v>
      </c>
      <c r="I49" s="4">
        <v>750428</v>
      </c>
      <c r="J49" s="4">
        <v>750428</v>
      </c>
      <c r="K49" s="4">
        <v>750428</v>
      </c>
      <c r="L49" s="4">
        <v>750428</v>
      </c>
      <c r="M49" s="4">
        <v>750428</v>
      </c>
      <c r="N49" s="4">
        <v>750428</v>
      </c>
      <c r="O49" s="4">
        <v>750428</v>
      </c>
      <c r="P49" s="4">
        <v>750428</v>
      </c>
      <c r="Q49" s="4">
        <v>750428</v>
      </c>
      <c r="R49" s="4">
        <v>750428</v>
      </c>
      <c r="S49" s="4">
        <v>750428</v>
      </c>
      <c r="T49" s="4">
        <v>750428</v>
      </c>
      <c r="U49" s="4">
        <v>750428</v>
      </c>
      <c r="V49" s="4">
        <v>750428</v>
      </c>
      <c r="W49" s="4">
        <v>750428</v>
      </c>
      <c r="X49" s="4"/>
      <c r="Y49" s="4"/>
      <c r="Z49" s="4"/>
      <c r="AA49" s="4"/>
      <c r="AB49" s="4"/>
      <c r="AC49" s="4"/>
    </row>
    <row r="50" spans="1:29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8.75" x14ac:dyDescent="0.3">
      <c r="A51" s="8" t="s">
        <v>37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x14ac:dyDescent="0.3">
      <c r="A52" s="7" t="s">
        <v>19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/>
      <c r="Y52" s="4">
        <f>Y$13/6</f>
        <v>358.59912359513186</v>
      </c>
      <c r="Z52" s="4"/>
      <c r="AA52" s="4">
        <v>1</v>
      </c>
      <c r="AB52" s="4">
        <v>1</v>
      </c>
      <c r="AC52" s="4">
        <v>1</v>
      </c>
    </row>
    <row r="53" spans="1:29" x14ac:dyDescent="0.3">
      <c r="A53" s="7" t="s">
        <v>20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/>
      <c r="Y53" s="4">
        <f>Y$13/6</f>
        <v>358.59912359513186</v>
      </c>
      <c r="Z53" s="4"/>
      <c r="AA53" s="4">
        <v>1</v>
      </c>
      <c r="AB53" s="4">
        <v>1</v>
      </c>
      <c r="AC53" s="4">
        <v>1</v>
      </c>
    </row>
    <row r="54" spans="1:29" x14ac:dyDescent="0.3">
      <c r="A54" s="7" t="s">
        <v>21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/>
      <c r="Y54" s="4">
        <f>Y$13/6</f>
        <v>358.59912359513186</v>
      </c>
      <c r="Z54" s="4"/>
      <c r="AA54" s="4">
        <v>1</v>
      </c>
      <c r="AB54" s="4">
        <v>1</v>
      </c>
      <c r="AC54" s="4">
        <v>1</v>
      </c>
    </row>
    <row r="55" spans="1:29" x14ac:dyDescent="0.3">
      <c r="A55" s="7" t="s">
        <v>22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/>
      <c r="Y55" s="4">
        <f>Y$13/6</f>
        <v>358.59912359513186</v>
      </c>
      <c r="Z55" s="4"/>
      <c r="AA55" s="4">
        <v>1</v>
      </c>
      <c r="AB55" s="4">
        <v>1</v>
      </c>
      <c r="AC55" s="4">
        <v>1</v>
      </c>
    </row>
    <row r="56" spans="1:29" x14ac:dyDescent="0.3">
      <c r="A56" s="7" t="s">
        <v>5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/>
      <c r="Y56" s="4">
        <f>Y$13/6</f>
        <v>358.59912359513186</v>
      </c>
      <c r="Z56" s="4"/>
      <c r="AA56" s="4">
        <v>1</v>
      </c>
      <c r="AB56" s="4">
        <v>1</v>
      </c>
      <c r="AC56" s="4">
        <v>1</v>
      </c>
    </row>
    <row r="57" spans="1:29" x14ac:dyDescent="0.3">
      <c r="A57" t="s">
        <v>6</v>
      </c>
      <c r="B57" s="4">
        <f t="shared" ref="B57:W57" si="25">B9</f>
        <v>0</v>
      </c>
      <c r="C57" s="4">
        <f t="shared" si="25"/>
        <v>0</v>
      </c>
      <c r="D57" s="4">
        <f t="shared" si="25"/>
        <v>0</v>
      </c>
      <c r="E57" s="4">
        <f t="shared" si="25"/>
        <v>0</v>
      </c>
      <c r="F57" s="4">
        <f t="shared" si="25"/>
        <v>0</v>
      </c>
      <c r="G57" s="4">
        <f t="shared" si="25"/>
        <v>0</v>
      </c>
      <c r="H57" s="4">
        <f t="shared" si="25"/>
        <v>0</v>
      </c>
      <c r="I57" s="4">
        <f t="shared" si="25"/>
        <v>0</v>
      </c>
      <c r="J57" s="4">
        <f t="shared" si="25"/>
        <v>0</v>
      </c>
      <c r="K57" s="4">
        <f t="shared" si="25"/>
        <v>0</v>
      </c>
      <c r="L57" s="4">
        <f t="shared" si="25"/>
        <v>0</v>
      </c>
      <c r="M57" s="4">
        <f t="shared" si="25"/>
        <v>0</v>
      </c>
      <c r="N57" s="4">
        <f t="shared" si="25"/>
        <v>0</v>
      </c>
      <c r="O57" s="4">
        <f t="shared" si="25"/>
        <v>0</v>
      </c>
      <c r="P57" s="4">
        <f t="shared" si="25"/>
        <v>0</v>
      </c>
      <c r="Q57" s="4">
        <f t="shared" si="25"/>
        <v>0</v>
      </c>
      <c r="R57" s="4">
        <f t="shared" si="25"/>
        <v>0</v>
      </c>
      <c r="S57" s="4">
        <f t="shared" si="25"/>
        <v>0</v>
      </c>
      <c r="T57" s="4">
        <f t="shared" si="25"/>
        <v>0</v>
      </c>
      <c r="U57" s="4">
        <f t="shared" si="25"/>
        <v>0</v>
      </c>
      <c r="V57" s="4">
        <f t="shared" si="25"/>
        <v>0</v>
      </c>
      <c r="W57" s="4">
        <f t="shared" si="25"/>
        <v>0</v>
      </c>
      <c r="X57" s="4"/>
      <c r="Y57" s="4">
        <f>Y9</f>
        <v>0</v>
      </c>
      <c r="Z57" s="4"/>
      <c r="AA57" s="4">
        <f t="shared" ref="AA57:AC58" si="26">AA9</f>
        <v>0</v>
      </c>
      <c r="AB57" s="4">
        <f t="shared" si="26"/>
        <v>0</v>
      </c>
      <c r="AC57" s="4">
        <f t="shared" si="26"/>
        <v>0</v>
      </c>
    </row>
    <row r="58" spans="1:29" x14ac:dyDescent="0.3">
      <c r="A58" t="s">
        <v>7</v>
      </c>
      <c r="B58" s="4">
        <f t="shared" ref="B58:W58" si="27">B10</f>
        <v>0</v>
      </c>
      <c r="C58" s="4">
        <f t="shared" si="27"/>
        <v>0</v>
      </c>
      <c r="D58" s="4">
        <f t="shared" si="27"/>
        <v>0</v>
      </c>
      <c r="E58" s="4">
        <f t="shared" si="27"/>
        <v>0</v>
      </c>
      <c r="F58" s="4">
        <f t="shared" si="27"/>
        <v>0</v>
      </c>
      <c r="G58" s="4">
        <f t="shared" si="27"/>
        <v>0</v>
      </c>
      <c r="H58" s="4">
        <f t="shared" si="27"/>
        <v>0</v>
      </c>
      <c r="I58" s="4">
        <f t="shared" si="27"/>
        <v>0</v>
      </c>
      <c r="J58" s="4">
        <f t="shared" si="27"/>
        <v>0</v>
      </c>
      <c r="K58" s="4">
        <f t="shared" si="27"/>
        <v>0</v>
      </c>
      <c r="L58" s="4">
        <f t="shared" si="27"/>
        <v>0</v>
      </c>
      <c r="M58" s="4">
        <f t="shared" si="27"/>
        <v>0</v>
      </c>
      <c r="N58" s="4">
        <f t="shared" si="27"/>
        <v>0</v>
      </c>
      <c r="O58" s="4">
        <f t="shared" si="27"/>
        <v>0</v>
      </c>
      <c r="P58" s="4">
        <f t="shared" si="27"/>
        <v>0</v>
      </c>
      <c r="Q58" s="4">
        <f t="shared" si="27"/>
        <v>0</v>
      </c>
      <c r="R58" s="4">
        <f t="shared" si="27"/>
        <v>0</v>
      </c>
      <c r="S58" s="4">
        <f t="shared" si="27"/>
        <v>0</v>
      </c>
      <c r="T58" s="4">
        <f t="shared" si="27"/>
        <v>0</v>
      </c>
      <c r="U58" s="4">
        <f t="shared" si="27"/>
        <v>0</v>
      </c>
      <c r="V58" s="4">
        <f t="shared" si="27"/>
        <v>0</v>
      </c>
      <c r="W58" s="4">
        <f t="shared" si="27"/>
        <v>0</v>
      </c>
      <c r="X58" s="4"/>
      <c r="Y58" s="4">
        <f>Y10</f>
        <v>0</v>
      </c>
      <c r="Z58" s="4"/>
      <c r="AA58" s="4">
        <f t="shared" si="26"/>
        <v>0</v>
      </c>
      <c r="AB58" s="4">
        <f t="shared" si="26"/>
        <v>0</v>
      </c>
      <c r="AC58" s="4">
        <f t="shared" si="26"/>
        <v>0</v>
      </c>
    </row>
    <row r="59" spans="1:29" x14ac:dyDescent="0.3">
      <c r="A59" s="7" t="s">
        <v>24</v>
      </c>
      <c r="B59" s="4">
        <f t="shared" ref="B59:W59" si="28">B11</f>
        <v>0</v>
      </c>
      <c r="C59" s="4">
        <f t="shared" si="28"/>
        <v>0</v>
      </c>
      <c r="D59" s="4">
        <f t="shared" si="28"/>
        <v>0</v>
      </c>
      <c r="E59" s="4">
        <f t="shared" si="28"/>
        <v>0</v>
      </c>
      <c r="F59" s="4">
        <f t="shared" si="28"/>
        <v>0</v>
      </c>
      <c r="G59" s="4">
        <f t="shared" si="28"/>
        <v>0</v>
      </c>
      <c r="H59" s="4">
        <f t="shared" si="28"/>
        <v>0</v>
      </c>
      <c r="I59" s="4">
        <f t="shared" si="28"/>
        <v>0</v>
      </c>
      <c r="J59" s="4">
        <f t="shared" si="28"/>
        <v>0</v>
      </c>
      <c r="K59" s="4">
        <f t="shared" si="28"/>
        <v>0</v>
      </c>
      <c r="L59" s="4">
        <f t="shared" si="28"/>
        <v>0</v>
      </c>
      <c r="M59" s="4">
        <f t="shared" si="28"/>
        <v>0</v>
      </c>
      <c r="N59" s="4">
        <f t="shared" si="28"/>
        <v>0</v>
      </c>
      <c r="O59" s="4">
        <f t="shared" si="28"/>
        <v>0</v>
      </c>
      <c r="P59" s="4">
        <f t="shared" si="28"/>
        <v>0</v>
      </c>
      <c r="Q59" s="4">
        <f t="shared" si="28"/>
        <v>0</v>
      </c>
      <c r="R59" s="4">
        <f t="shared" si="28"/>
        <v>0</v>
      </c>
      <c r="S59" s="4">
        <f t="shared" si="28"/>
        <v>0</v>
      </c>
      <c r="T59" s="4">
        <f t="shared" si="28"/>
        <v>0</v>
      </c>
      <c r="U59" s="4">
        <f t="shared" si="28"/>
        <v>0</v>
      </c>
      <c r="V59" s="4">
        <f t="shared" si="28"/>
        <v>0</v>
      </c>
      <c r="W59" s="4">
        <f t="shared" si="28"/>
        <v>0</v>
      </c>
      <c r="X59" s="4"/>
      <c r="Y59" s="4">
        <f>Y11</f>
        <v>0</v>
      </c>
      <c r="Z59" s="4"/>
      <c r="AA59" s="4">
        <v>0</v>
      </c>
      <c r="AB59" s="4">
        <v>0</v>
      </c>
      <c r="AC59" s="4">
        <v>0</v>
      </c>
    </row>
    <row r="60" spans="1:29" x14ac:dyDescent="0.3">
      <c r="A60" t="s">
        <v>25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/>
      <c r="Y60" s="4">
        <v>0</v>
      </c>
      <c r="Z60" s="4"/>
      <c r="AA60" s="4">
        <v>0</v>
      </c>
      <c r="AB60" s="4">
        <v>0</v>
      </c>
      <c r="AC60" s="4">
        <v>0</v>
      </c>
    </row>
    <row r="61" spans="1:29" x14ac:dyDescent="0.3">
      <c r="A61" t="s">
        <v>178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/>
      <c r="Y61" s="4">
        <v>0</v>
      </c>
      <c r="Z61" s="4"/>
      <c r="AA61" s="4">
        <v>0</v>
      </c>
      <c r="AB61" s="4">
        <v>0</v>
      </c>
      <c r="AC61" s="4">
        <v>0</v>
      </c>
    </row>
    <row r="62" spans="1:29" x14ac:dyDescent="0.3">
      <c r="A62" t="s">
        <v>179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/>
      <c r="Y62" s="4"/>
      <c r="Z62" s="4"/>
      <c r="AA62" s="4"/>
      <c r="AB62" s="4"/>
      <c r="AC62" s="4"/>
    </row>
    <row r="63" spans="1:29" x14ac:dyDescent="0.3">
      <c r="A63" t="s">
        <v>8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/>
      <c r="Y63" s="4">
        <v>0</v>
      </c>
      <c r="Z63" s="4"/>
      <c r="AA63" s="4">
        <v>0</v>
      </c>
      <c r="AB63" s="4">
        <v>0</v>
      </c>
      <c r="AC63" s="4">
        <v>0</v>
      </c>
    </row>
    <row r="64" spans="1:29" x14ac:dyDescent="0.3">
      <c r="A64" t="s">
        <v>9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/>
      <c r="Y64" s="4">
        <v>0</v>
      </c>
      <c r="Z64" s="4"/>
      <c r="AA64" s="4">
        <v>0</v>
      </c>
      <c r="AB64" s="4">
        <v>0</v>
      </c>
      <c r="AC64" s="4">
        <v>0</v>
      </c>
    </row>
    <row r="65" spans="1:29" x14ac:dyDescent="0.3">
      <c r="A65" t="s">
        <v>52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/>
      <c r="Y65" s="4">
        <v>0</v>
      </c>
      <c r="Z65" s="4"/>
      <c r="AA65" s="4">
        <v>0</v>
      </c>
      <c r="AB65" s="4">
        <v>0</v>
      </c>
      <c r="AC65" s="4">
        <v>0</v>
      </c>
    </row>
    <row r="66" spans="1:29" x14ac:dyDescent="0.3">
      <c r="A66" t="s">
        <v>27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/>
      <c r="Y66" s="4">
        <v>0</v>
      </c>
      <c r="Z66" s="4"/>
      <c r="AA66" s="4">
        <v>0</v>
      </c>
      <c r="AB66" s="4">
        <v>0</v>
      </c>
      <c r="AC66" s="4">
        <v>0</v>
      </c>
    </row>
    <row r="67" spans="1:29" x14ac:dyDescent="0.3">
      <c r="A67" t="s">
        <v>26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/>
      <c r="Y67" s="4">
        <v>0</v>
      </c>
      <c r="Z67" s="4"/>
      <c r="AA67" s="4">
        <v>0</v>
      </c>
      <c r="AB67" s="4">
        <v>0</v>
      </c>
      <c r="AC67" s="4">
        <v>0</v>
      </c>
    </row>
    <row r="68" spans="1:29" x14ac:dyDescent="0.3">
      <c r="A68" t="s">
        <v>10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/>
      <c r="Y68" s="4">
        <v>0</v>
      </c>
      <c r="Z68" s="4"/>
      <c r="AA68" s="4">
        <v>0</v>
      </c>
      <c r="AB68" s="4">
        <v>0</v>
      </c>
      <c r="AC68" s="4">
        <v>0</v>
      </c>
    </row>
    <row r="69" spans="1:29" x14ac:dyDescent="0.3">
      <c r="A69" t="s">
        <v>29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/>
      <c r="Y69" s="4">
        <v>0</v>
      </c>
      <c r="Z69" s="4"/>
      <c r="AA69" s="4">
        <v>0</v>
      </c>
      <c r="AB69" s="4">
        <v>0</v>
      </c>
      <c r="AC69" s="4">
        <v>0</v>
      </c>
    </row>
    <row r="70" spans="1:29" x14ac:dyDescent="0.3">
      <c r="A70" t="s">
        <v>31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/>
      <c r="Y70" s="4">
        <v>0</v>
      </c>
      <c r="Z70" s="4"/>
      <c r="AA70" s="4">
        <v>0</v>
      </c>
      <c r="AB70" s="4">
        <v>0</v>
      </c>
      <c r="AC70" s="4">
        <v>0</v>
      </c>
    </row>
    <row r="71" spans="1:29" x14ac:dyDescent="0.3">
      <c r="A71" t="s">
        <v>30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/>
      <c r="Y71" s="4">
        <v>0</v>
      </c>
      <c r="Z71" s="4"/>
      <c r="AA71" s="4">
        <v>0</v>
      </c>
      <c r="AB71" s="4">
        <v>0</v>
      </c>
      <c r="AC71" s="4">
        <v>0</v>
      </c>
    </row>
    <row r="72" spans="1:29" x14ac:dyDescent="0.3">
      <c r="A72" t="s">
        <v>28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/>
      <c r="Y72" s="4">
        <v>0</v>
      </c>
      <c r="Z72" s="4"/>
      <c r="AA72" s="4">
        <v>0</v>
      </c>
      <c r="AB72" s="4">
        <v>0</v>
      </c>
      <c r="AC72" s="4">
        <v>0</v>
      </c>
    </row>
    <row r="73" spans="1:29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8.75" x14ac:dyDescent="0.3">
      <c r="A74" s="8" t="s">
        <v>36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x14ac:dyDescent="0.3">
      <c r="A75" s="7" t="s">
        <v>19</v>
      </c>
      <c r="B75" s="4">
        <v>400000</v>
      </c>
      <c r="C75" s="4">
        <f>B75</f>
        <v>400000</v>
      </c>
      <c r="D75" s="4">
        <f t="shared" ref="D75:S79" si="29">C75</f>
        <v>400000</v>
      </c>
      <c r="E75" s="4">
        <f t="shared" si="29"/>
        <v>400000</v>
      </c>
      <c r="F75" s="4">
        <f t="shared" si="29"/>
        <v>400000</v>
      </c>
      <c r="G75" s="4">
        <f t="shared" si="29"/>
        <v>400000</v>
      </c>
      <c r="H75" s="4">
        <f t="shared" si="29"/>
        <v>400000</v>
      </c>
      <c r="I75" s="4">
        <f t="shared" si="29"/>
        <v>400000</v>
      </c>
      <c r="J75" s="4">
        <f t="shared" si="29"/>
        <v>400000</v>
      </c>
      <c r="K75" s="4">
        <f t="shared" si="29"/>
        <v>400000</v>
      </c>
      <c r="L75" s="4">
        <f t="shared" si="29"/>
        <v>400000</v>
      </c>
      <c r="M75" s="4">
        <f t="shared" si="29"/>
        <v>400000</v>
      </c>
      <c r="N75" s="4">
        <f t="shared" si="29"/>
        <v>400000</v>
      </c>
      <c r="O75" s="4">
        <f t="shared" si="29"/>
        <v>400000</v>
      </c>
      <c r="P75" s="4">
        <f t="shared" si="29"/>
        <v>400000</v>
      </c>
      <c r="Q75" s="4">
        <f t="shared" si="29"/>
        <v>400000</v>
      </c>
      <c r="R75" s="4">
        <f t="shared" si="29"/>
        <v>400000</v>
      </c>
      <c r="S75" s="4">
        <f t="shared" si="29"/>
        <v>400000</v>
      </c>
      <c r="T75" s="4">
        <f t="shared" ref="S75:W79" si="30">S75</f>
        <v>400000</v>
      </c>
      <c r="U75" s="4">
        <f t="shared" si="30"/>
        <v>400000</v>
      </c>
      <c r="V75" s="4">
        <f t="shared" si="30"/>
        <v>400000</v>
      </c>
      <c r="W75" s="4">
        <f t="shared" si="30"/>
        <v>400000</v>
      </c>
      <c r="X75" s="4"/>
      <c r="Y75" s="4">
        <f>W75*0.8</f>
        <v>320000</v>
      </c>
      <c r="Z75" s="4"/>
      <c r="AA75" s="4">
        <f>V75*0.8</f>
        <v>320000</v>
      </c>
      <c r="AB75" s="4">
        <f t="shared" ref="AB75:AC79" si="31">AA75*0.8</f>
        <v>256000</v>
      </c>
      <c r="AC75" s="4">
        <f t="shared" si="31"/>
        <v>204800</v>
      </c>
    </row>
    <row r="76" spans="1:29" x14ac:dyDescent="0.3">
      <c r="A76" s="7" t="s">
        <v>20</v>
      </c>
      <c r="B76" s="4">
        <v>1300000</v>
      </c>
      <c r="C76" s="4">
        <f>B76</f>
        <v>1300000</v>
      </c>
      <c r="D76" s="4">
        <f t="shared" si="29"/>
        <v>1300000</v>
      </c>
      <c r="E76" s="4">
        <f t="shared" si="29"/>
        <v>1300000</v>
      </c>
      <c r="F76" s="4">
        <f t="shared" si="29"/>
        <v>1300000</v>
      </c>
      <c r="G76" s="4">
        <f t="shared" si="29"/>
        <v>1300000</v>
      </c>
      <c r="H76" s="4">
        <f t="shared" si="29"/>
        <v>1300000</v>
      </c>
      <c r="I76" s="4">
        <f t="shared" si="29"/>
        <v>1300000</v>
      </c>
      <c r="J76" s="4">
        <f t="shared" si="29"/>
        <v>1300000</v>
      </c>
      <c r="K76" s="4">
        <f t="shared" si="29"/>
        <v>1300000</v>
      </c>
      <c r="L76" s="4">
        <f t="shared" si="29"/>
        <v>1300000</v>
      </c>
      <c r="M76" s="4">
        <f t="shared" si="29"/>
        <v>1300000</v>
      </c>
      <c r="N76" s="4">
        <f t="shared" si="29"/>
        <v>1300000</v>
      </c>
      <c r="O76" s="4">
        <f t="shared" si="29"/>
        <v>1300000</v>
      </c>
      <c r="P76" s="4">
        <f t="shared" si="29"/>
        <v>1300000</v>
      </c>
      <c r="Q76" s="4">
        <f t="shared" si="29"/>
        <v>1300000</v>
      </c>
      <c r="R76" s="4">
        <f t="shared" si="29"/>
        <v>1300000</v>
      </c>
      <c r="S76" s="4">
        <f t="shared" si="30"/>
        <v>1300000</v>
      </c>
      <c r="T76" s="4">
        <f t="shared" si="30"/>
        <v>1300000</v>
      </c>
      <c r="U76" s="4">
        <f t="shared" si="30"/>
        <v>1300000</v>
      </c>
      <c r="V76" s="4">
        <f t="shared" si="30"/>
        <v>1300000</v>
      </c>
      <c r="W76" s="4">
        <f t="shared" si="30"/>
        <v>1300000</v>
      </c>
      <c r="X76" s="4"/>
      <c r="Y76" s="4">
        <f>W76*0.8</f>
        <v>1040000</v>
      </c>
      <c r="Z76" s="4"/>
      <c r="AA76" s="4">
        <f>V76*0.8</f>
        <v>1040000</v>
      </c>
      <c r="AB76" s="4">
        <f t="shared" si="31"/>
        <v>832000</v>
      </c>
      <c r="AC76" s="4">
        <f t="shared" si="31"/>
        <v>665600</v>
      </c>
    </row>
    <row r="77" spans="1:29" x14ac:dyDescent="0.3">
      <c r="A77" s="7" t="s">
        <v>21</v>
      </c>
      <c r="B77" s="4">
        <v>500000</v>
      </c>
      <c r="C77" s="4">
        <f>B77</f>
        <v>500000</v>
      </c>
      <c r="D77" s="4">
        <f t="shared" si="29"/>
        <v>500000</v>
      </c>
      <c r="E77" s="4">
        <f t="shared" si="29"/>
        <v>500000</v>
      </c>
      <c r="F77" s="4">
        <f t="shared" si="29"/>
        <v>500000</v>
      </c>
      <c r="G77" s="4">
        <f t="shared" si="29"/>
        <v>500000</v>
      </c>
      <c r="H77" s="4">
        <f t="shared" si="29"/>
        <v>500000</v>
      </c>
      <c r="I77" s="4">
        <f t="shared" si="29"/>
        <v>500000</v>
      </c>
      <c r="J77" s="4">
        <f t="shared" si="29"/>
        <v>500000</v>
      </c>
      <c r="K77" s="4">
        <f t="shared" si="29"/>
        <v>500000</v>
      </c>
      <c r="L77" s="4">
        <f t="shared" si="29"/>
        <v>500000</v>
      </c>
      <c r="M77" s="4">
        <f t="shared" si="29"/>
        <v>500000</v>
      </c>
      <c r="N77" s="4">
        <f t="shared" si="29"/>
        <v>500000</v>
      </c>
      <c r="O77" s="4">
        <f t="shared" si="29"/>
        <v>500000</v>
      </c>
      <c r="P77" s="4">
        <f t="shared" si="29"/>
        <v>500000</v>
      </c>
      <c r="Q77" s="4">
        <f t="shared" si="29"/>
        <v>500000</v>
      </c>
      <c r="R77" s="4">
        <f t="shared" si="29"/>
        <v>500000</v>
      </c>
      <c r="S77" s="4">
        <f t="shared" si="29"/>
        <v>500000</v>
      </c>
      <c r="T77" s="4">
        <f t="shared" si="30"/>
        <v>500000</v>
      </c>
      <c r="U77" s="4">
        <f t="shared" si="30"/>
        <v>500000</v>
      </c>
      <c r="V77" s="4">
        <f t="shared" si="30"/>
        <v>500000</v>
      </c>
      <c r="W77" s="4">
        <f t="shared" si="30"/>
        <v>500000</v>
      </c>
      <c r="X77" s="4"/>
      <c r="Y77" s="4">
        <f>W77*0.8</f>
        <v>400000</v>
      </c>
      <c r="Z77" s="4"/>
      <c r="AA77" s="4">
        <f>V77*0.8</f>
        <v>400000</v>
      </c>
      <c r="AB77" s="4">
        <f t="shared" si="31"/>
        <v>320000</v>
      </c>
      <c r="AC77" s="4">
        <f t="shared" si="31"/>
        <v>256000</v>
      </c>
    </row>
    <row r="78" spans="1:29" x14ac:dyDescent="0.3">
      <c r="A78" s="7" t="s">
        <v>22</v>
      </c>
      <c r="B78" s="4">
        <v>1800000</v>
      </c>
      <c r="C78" s="4">
        <f>B78</f>
        <v>1800000</v>
      </c>
      <c r="D78" s="4">
        <f t="shared" si="29"/>
        <v>1800000</v>
      </c>
      <c r="E78" s="4">
        <f t="shared" si="29"/>
        <v>1800000</v>
      </c>
      <c r="F78" s="4">
        <f t="shared" si="29"/>
        <v>1800000</v>
      </c>
      <c r="G78" s="4">
        <f t="shared" si="29"/>
        <v>1800000</v>
      </c>
      <c r="H78" s="4">
        <f t="shared" si="29"/>
        <v>1800000</v>
      </c>
      <c r="I78" s="4">
        <f t="shared" si="29"/>
        <v>1800000</v>
      </c>
      <c r="J78" s="4">
        <f t="shared" si="29"/>
        <v>1800000</v>
      </c>
      <c r="K78" s="4">
        <f t="shared" si="29"/>
        <v>1800000</v>
      </c>
      <c r="L78" s="4">
        <f t="shared" si="29"/>
        <v>1800000</v>
      </c>
      <c r="M78" s="4">
        <f t="shared" si="29"/>
        <v>1800000</v>
      </c>
      <c r="N78" s="4">
        <f t="shared" si="29"/>
        <v>1800000</v>
      </c>
      <c r="O78" s="4">
        <f t="shared" si="29"/>
        <v>1800000</v>
      </c>
      <c r="P78" s="4">
        <f t="shared" si="29"/>
        <v>1800000</v>
      </c>
      <c r="Q78" s="4">
        <f t="shared" si="29"/>
        <v>1800000</v>
      </c>
      <c r="R78" s="4">
        <f t="shared" si="29"/>
        <v>1800000</v>
      </c>
      <c r="S78" s="4">
        <f t="shared" si="29"/>
        <v>1800000</v>
      </c>
      <c r="T78" s="4">
        <f t="shared" si="30"/>
        <v>1800000</v>
      </c>
      <c r="U78" s="4">
        <f t="shared" si="30"/>
        <v>1800000</v>
      </c>
      <c r="V78" s="4">
        <f t="shared" si="30"/>
        <v>1800000</v>
      </c>
      <c r="W78" s="4">
        <f t="shared" si="30"/>
        <v>1800000</v>
      </c>
      <c r="X78" s="4"/>
      <c r="Y78" s="4">
        <f>W78*0.8</f>
        <v>1440000</v>
      </c>
      <c r="Z78" s="4"/>
      <c r="AA78" s="4">
        <f>V78*0.8</f>
        <v>1440000</v>
      </c>
      <c r="AB78" s="4">
        <f t="shared" si="31"/>
        <v>1152000</v>
      </c>
      <c r="AC78" s="4">
        <f t="shared" si="31"/>
        <v>921600</v>
      </c>
    </row>
    <row r="79" spans="1:29" x14ac:dyDescent="0.3">
      <c r="A79" s="7" t="s">
        <v>5</v>
      </c>
      <c r="B79" s="4">
        <v>2700000</v>
      </c>
      <c r="C79" s="4">
        <f>B79</f>
        <v>2700000</v>
      </c>
      <c r="D79" s="4">
        <f t="shared" si="29"/>
        <v>2700000</v>
      </c>
      <c r="E79" s="4">
        <f t="shared" si="29"/>
        <v>2700000</v>
      </c>
      <c r="F79" s="4">
        <f t="shared" si="29"/>
        <v>2700000</v>
      </c>
      <c r="G79" s="4">
        <f t="shared" si="29"/>
        <v>2700000</v>
      </c>
      <c r="H79" s="4">
        <f t="shared" si="29"/>
        <v>2700000</v>
      </c>
      <c r="I79" s="4">
        <f t="shared" si="29"/>
        <v>2700000</v>
      </c>
      <c r="J79" s="4">
        <f t="shared" si="29"/>
        <v>2700000</v>
      </c>
      <c r="K79" s="4">
        <f t="shared" si="29"/>
        <v>2700000</v>
      </c>
      <c r="L79" s="4">
        <f t="shared" si="29"/>
        <v>2700000</v>
      </c>
      <c r="M79" s="4">
        <f t="shared" si="29"/>
        <v>2700000</v>
      </c>
      <c r="N79" s="4">
        <f t="shared" si="29"/>
        <v>2700000</v>
      </c>
      <c r="O79" s="4">
        <f t="shared" si="29"/>
        <v>2700000</v>
      </c>
      <c r="P79" s="4">
        <f t="shared" si="29"/>
        <v>2700000</v>
      </c>
      <c r="Q79" s="4">
        <f t="shared" si="29"/>
        <v>2700000</v>
      </c>
      <c r="R79" s="4">
        <f t="shared" si="29"/>
        <v>2700000</v>
      </c>
      <c r="S79" s="4">
        <f t="shared" si="29"/>
        <v>2700000</v>
      </c>
      <c r="T79" s="4">
        <f t="shared" si="30"/>
        <v>2700000</v>
      </c>
      <c r="U79" s="4">
        <f t="shared" si="30"/>
        <v>2700000</v>
      </c>
      <c r="V79" s="4">
        <f t="shared" si="30"/>
        <v>2700000</v>
      </c>
      <c r="W79" s="4">
        <f t="shared" si="30"/>
        <v>2700000</v>
      </c>
      <c r="X79" s="4"/>
      <c r="Y79" s="4">
        <f>W79*0.8</f>
        <v>2160000</v>
      </c>
      <c r="Z79" s="4"/>
      <c r="AA79" s="4">
        <f>V79*0.8</f>
        <v>2160000</v>
      </c>
      <c r="AB79" s="4">
        <f t="shared" si="31"/>
        <v>1728000</v>
      </c>
      <c r="AC79" s="4">
        <f t="shared" si="31"/>
        <v>1382400</v>
      </c>
    </row>
    <row r="80" spans="1:29" x14ac:dyDescent="0.3">
      <c r="A80" t="s">
        <v>6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/>
      <c r="Y80" s="4">
        <v>0</v>
      </c>
      <c r="Z80" s="4"/>
      <c r="AA80" s="4">
        <v>0</v>
      </c>
      <c r="AB80" s="4">
        <v>0</v>
      </c>
      <c r="AC80" s="4">
        <v>0</v>
      </c>
    </row>
    <row r="81" spans="1:29" x14ac:dyDescent="0.3">
      <c r="A81" t="s">
        <v>7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/>
      <c r="Y81" s="4">
        <v>0</v>
      </c>
      <c r="Z81" s="4"/>
      <c r="AA81" s="4">
        <v>0</v>
      </c>
      <c r="AB81" s="4">
        <v>0</v>
      </c>
      <c r="AC81" s="4">
        <v>0</v>
      </c>
    </row>
    <row r="82" spans="1:29" x14ac:dyDescent="0.3">
      <c r="A82" s="7" t="s">
        <v>24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/>
      <c r="Y82" s="4">
        <v>0</v>
      </c>
      <c r="Z82" s="4"/>
      <c r="AA82" s="4">
        <v>100000000</v>
      </c>
      <c r="AB82" s="4">
        <v>100000000</v>
      </c>
      <c r="AC82" s="4">
        <v>100000000</v>
      </c>
    </row>
    <row r="83" spans="1:29" x14ac:dyDescent="0.3">
      <c r="A83" t="s">
        <v>25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/>
      <c r="Y83" s="4">
        <v>0</v>
      </c>
      <c r="Z83" s="4"/>
      <c r="AA83" s="4">
        <v>0</v>
      </c>
      <c r="AB83" s="4">
        <v>0</v>
      </c>
      <c r="AC83" s="4">
        <v>0</v>
      </c>
    </row>
    <row r="84" spans="1:29" x14ac:dyDescent="0.3">
      <c r="A84" t="s">
        <v>178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/>
      <c r="Y84" s="4">
        <v>0</v>
      </c>
      <c r="Z84" s="4"/>
      <c r="AA84" s="4">
        <v>0</v>
      </c>
      <c r="AB84" s="4">
        <v>0</v>
      </c>
      <c r="AC84" s="4">
        <v>0</v>
      </c>
    </row>
    <row r="85" spans="1:29" x14ac:dyDescent="0.3">
      <c r="A85" t="s">
        <v>179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/>
      <c r="Y85" s="4"/>
      <c r="Z85" s="4"/>
      <c r="AA85" s="4"/>
      <c r="AB85" s="4"/>
      <c r="AC85" s="4"/>
    </row>
    <row r="86" spans="1:29" x14ac:dyDescent="0.3">
      <c r="A86" t="s">
        <v>8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/>
      <c r="Y86" s="4">
        <v>0</v>
      </c>
      <c r="Z86" s="4"/>
      <c r="AA86" s="4">
        <v>0</v>
      </c>
      <c r="AB86" s="4">
        <v>0</v>
      </c>
      <c r="AC86" s="4">
        <v>0</v>
      </c>
    </row>
    <row r="87" spans="1:29" x14ac:dyDescent="0.3">
      <c r="A87" t="s">
        <v>9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/>
      <c r="Y87" s="4">
        <v>0</v>
      </c>
      <c r="Z87" s="4"/>
      <c r="AA87" s="4">
        <v>0</v>
      </c>
      <c r="AB87" s="4">
        <v>0</v>
      </c>
      <c r="AC87" s="4">
        <v>0</v>
      </c>
    </row>
    <row r="88" spans="1:29" x14ac:dyDescent="0.3">
      <c r="A88" t="s">
        <v>52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/>
      <c r="Y88" s="4">
        <v>0</v>
      </c>
      <c r="Z88" s="4"/>
      <c r="AA88" s="4">
        <v>0</v>
      </c>
      <c r="AB88" s="4">
        <v>0</v>
      </c>
      <c r="AC88" s="4">
        <v>0</v>
      </c>
    </row>
    <row r="89" spans="1:29" x14ac:dyDescent="0.3">
      <c r="A89" t="s">
        <v>27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/>
      <c r="Y89" s="4">
        <v>0</v>
      </c>
      <c r="Z89" s="4"/>
      <c r="AA89" s="4">
        <v>0</v>
      </c>
      <c r="AB89" s="4">
        <v>0</v>
      </c>
      <c r="AC89" s="4">
        <v>0</v>
      </c>
    </row>
    <row r="90" spans="1:29" x14ac:dyDescent="0.3">
      <c r="A90" t="s">
        <v>26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/>
      <c r="Y90" s="4">
        <v>0</v>
      </c>
      <c r="Z90" s="4"/>
      <c r="AA90" s="4">
        <v>0</v>
      </c>
      <c r="AB90" s="4">
        <v>0</v>
      </c>
      <c r="AC90" s="4">
        <v>0</v>
      </c>
    </row>
    <row r="91" spans="1:29" x14ac:dyDescent="0.3">
      <c r="A91" t="s">
        <v>10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/>
      <c r="Y91" s="4">
        <v>0</v>
      </c>
      <c r="Z91" s="4"/>
      <c r="AA91" s="4">
        <v>0</v>
      </c>
      <c r="AB91" s="4">
        <v>0</v>
      </c>
      <c r="AC91" s="4">
        <v>0</v>
      </c>
    </row>
    <row r="92" spans="1:29" x14ac:dyDescent="0.3">
      <c r="A92" t="s">
        <v>29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/>
      <c r="Y92" s="4">
        <v>0</v>
      </c>
      <c r="Z92" s="4"/>
      <c r="AA92" s="4">
        <v>0</v>
      </c>
      <c r="AB92" s="4">
        <v>0</v>
      </c>
      <c r="AC92" s="4">
        <v>0</v>
      </c>
    </row>
    <row r="93" spans="1:29" x14ac:dyDescent="0.3">
      <c r="A93" t="s">
        <v>31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/>
      <c r="Y93" s="4">
        <v>0</v>
      </c>
      <c r="Z93" s="4"/>
      <c r="AA93" s="4">
        <v>0</v>
      </c>
      <c r="AB93" s="4">
        <v>0</v>
      </c>
      <c r="AC93" s="4">
        <v>0</v>
      </c>
    </row>
    <row r="94" spans="1:29" x14ac:dyDescent="0.3">
      <c r="A94" t="s">
        <v>30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/>
      <c r="Y94" s="4">
        <v>0</v>
      </c>
      <c r="Z94" s="4"/>
      <c r="AA94" s="4">
        <v>0</v>
      </c>
      <c r="AB94" s="4">
        <v>0</v>
      </c>
      <c r="AC94" s="4">
        <v>0</v>
      </c>
    </row>
    <row r="95" spans="1:29" x14ac:dyDescent="0.3">
      <c r="A95" t="s">
        <v>28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/>
      <c r="Y95" s="4">
        <v>0</v>
      </c>
      <c r="Z95" s="4"/>
      <c r="AA95" s="4">
        <v>0</v>
      </c>
      <c r="AB95" s="4">
        <v>0</v>
      </c>
      <c r="AC95" s="4">
        <v>0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BA96E8-9214-4896-81B1-08DFB29076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Factors</vt:lpstr>
      <vt:lpstr>Processes</vt:lpstr>
      <vt:lpstr>IO</vt:lpstr>
      <vt:lpstr>ConvFact</vt:lpstr>
      <vt:lpstr>Trp</vt:lpstr>
      <vt:lpstr>SKA22B</vt:lpstr>
      <vt:lpstr>SKA22A</vt:lpstr>
      <vt:lpstr>FAO</vt:lpstr>
      <vt:lpstr>IIASA</vt:lpstr>
      <vt:lpstr>IO!Print_Area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Ljusk Ola Eriksson</dc:creator>
  <cp:lastModifiedBy>Ljusk Ola Eriksson</cp:lastModifiedBy>
  <dcterms:created xsi:type="dcterms:W3CDTF">2018-11-24T18:29:51Z</dcterms:created>
  <dcterms:modified xsi:type="dcterms:W3CDTF">2026-03-12T07:54:37Z</dcterms:modified>
</cp:coreProperties>
</file>